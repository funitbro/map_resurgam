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115a741ca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d39c29d4b84759"/>
    <x:sheet xmlns:r="http://schemas.openxmlformats.org/officeDocument/2006/relationships" name="Dashboard" sheetId="2" r:id="Re1a9734101ff47a8"/>
    <x:sheet xmlns:r="http://schemas.openxmlformats.org/officeDocument/2006/relationships" name="Country_Master" sheetId="3" r:id="R685b558192c449fe"/>
    <x:sheet xmlns:r="http://schemas.openxmlformats.org/officeDocument/2006/relationships" name="Factor_Model" sheetId="4" r:id="R9a8e7746b9784d9b"/>
    <x:sheet xmlns:r="http://schemas.openxmlformats.org/officeDocument/2006/relationships" name="Scoring_Matrix" sheetId="5" r:id="R67126828d3c34a8c"/>
    <x:sheet xmlns:r="http://schemas.openxmlformats.org/officeDocument/2006/relationships" name="Evidence_Log" sheetId="6" r:id="R8b6e694a2e4a4a5c"/>
    <x:sheet xmlns:r="http://schemas.openxmlformats.org/officeDocument/2006/relationships" name="Map_Data" sheetId="7" r:id="Rf234950793c1482c"/>
    <x:sheet xmlns:r="http://schemas.openxmlformats.org/officeDocument/2006/relationships" name="Source_Register" sheetId="8" r:id="Ra8cd55914a5a45b6"/>
    <x:sheet xmlns:r="http://schemas.openxmlformats.org/officeDocument/2006/relationships" name="Lookups" sheetId="9" r:id="R30cb9572a52b4384"/>
    <x:sheet xmlns:r="http://schemas.openxmlformats.org/officeDocument/2006/relationships" name="Verification_Checks" sheetId="10" r:id="Rd218044583fa4f96"/>
    <x:sheet xmlns:r="http://schemas.openxmlformats.org/officeDocument/2006/relationships" name="Change_Log" sheetId="11" r:id="Rcc905aa4e88c471b"/>
    <x:sheet xmlns:r="http://schemas.openxmlformats.org/officeDocument/2006/relationships" name="Score_Rubric_0_10" sheetId="12" r:id="Rcb9f8a93f3f44b65"/>
    <x:sheet xmlns:r="http://schemas.openxmlformats.org/officeDocument/2006/relationships" name="Score_Color_Legend" sheetId="13" r:id="R408ec6440aae4134"/>
    <x:sheet xmlns:r="http://schemas.openxmlformats.org/officeDocument/2006/relationships" name="Country_Config" sheetId="14" r:id="R99e38ff2c6514180"/>
    <x:sheet xmlns:r="http://schemas.openxmlformats.org/officeDocument/2006/relationships" name="GeoJSON_Export" sheetId="15" r:id="Rc55af338c4794f4f"/>
    <x:sheet xmlns:r="http://schemas.openxmlformats.org/officeDocument/2006/relationships" name="Map_Code" sheetId="16" r:id="Rf3e4f0bbe6dd435f"/>
    <x:sheet xmlns:r="http://schemas.openxmlformats.org/officeDocument/2006/relationships" name="ResurgamHub_Countries" sheetId="17" r:id="R308ef2678bcc4744"/>
    <x:sheet xmlns:r="http://schemas.openxmlformats.org/officeDocument/2006/relationships" name="Excluded_Not_Countries" sheetId="18" r:id="R27f8aae7fc13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%"/>
    <x:numFmt numFmtId="202" formatCode="0.00"/>
    <x:numFmt numFmtId="203" formatCode="0.0"/>
    <x:numFmt numFmtId="204" formatCode="0"/>
    <x:numFmt numFmtId="205" formatCode="yyyy-mm-dd"/>
  </x:numFmts>
  <x:fonts count="23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374151"/>
      <x:name val="Carlito"/>
    </x:font>
    <x:font>
      <x:b/>
      <x:sz val="11"/>
      <x:color rgb="374151"/>
      <x:name val="Carlito"/>
    </x:font>
    <x:font>
      <x:sz val="11"/>
      <x:color rgb="166534"/>
      <x:name val="Carlito"/>
    </x:font>
    <x:font>
      <x:b/>
      <x:sz val="11"/>
      <x:color rgb="166534"/>
      <x:name val="Carlito"/>
    </x:font>
    <x:font>
      <x:sz val="11"/>
      <x:color rgb="92400E"/>
      <x:name val="Carlito"/>
    </x:font>
    <x:font>
      <x:b/>
      <x:sz val="11"/>
      <x:color rgb="92400E"/>
      <x:name val="Carlito"/>
    </x:font>
    <x:font>
      <x:sz val="11"/>
      <x:color rgb="9A3412"/>
      <x:name val="Carlito"/>
    </x:font>
    <x:font>
      <x:b/>
      <x:sz val="11"/>
      <x:color rgb="9A3412"/>
      <x:name val="Carlito"/>
    </x:font>
    <x:font>
      <x:sz val="11"/>
      <x:color rgb="7C2D12"/>
      <x:name val="Carlito"/>
    </x:font>
    <x:font>
      <x:b/>
      <x:sz val="11"/>
      <x:color rgb="7C2D12"/>
      <x:name val="Carlito"/>
    </x:font>
    <x:font>
      <x:sz val="11"/>
      <x:color rgb="991B1B"/>
      <x:name val="Carlito"/>
    </x:font>
    <x:font>
      <x:b/>
      <x:sz val="11"/>
      <x:color rgb="991B1B"/>
      <x:name val="Carlito"/>
    </x:font>
    <x:font>
      <x:sz val="11"/>
      <x:color rgb="6B7280"/>
      <x:name val="Carlito"/>
    </x:font>
    <x:font>
      <x:sz val="11"/>
      <x:color rgb="64748B"/>
      <x:name val="Carlito"/>
    </x:font>
    <x:font>
      <x:sz val="11"/>
      <x:color rgb="111827"/>
      <x:name val="Carlito"/>
    </x:font>
    <x:font>
      <x:sz val="11"/>
      <x:color rgb="FFFFFF"/>
      <x:name val="Carlito"/>
    </x:font>
    <x:font>
      <x:sz val="11"/>
      <x:color rgb="0F17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134E4A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7F1D1D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FED7AA"/>
      </x:patternFill>
    </x:fill>
    <x:fill>
      <x:patternFill patternType="solid">
        <x:fgColor rgb="FDBA74"/>
      </x:patternFill>
    </x:fill>
    <x:fill>
      <x:patternFill patternType="solid">
        <x:fgColor rgb="FECACA"/>
      </x:patternFill>
    </x:fill>
    <x:fill>
      <x:patternFill patternType="solid">
        <x:fgColor rgb="F9FAFB"/>
      </x:patternFill>
    </x:fill>
    <x:fill>
      <x:patternFill patternType="solid">
        <x:fgColor rgb="0F172A"/>
      </x:patternFill>
    </x:fill>
    <x:fill>
      <x:patternFill patternType="solid">
        <x:fgColor rgb="334155"/>
      </x:patternFill>
    </x:fill>
    <x:fill>
      <x:patternFill patternType="solid">
        <x:fgColor rgb="F8FAFC"/>
      </x:patternFill>
    </x:fill>
    <x:fill>
      <x:patternFill patternType="solid">
        <x:fgColor rgb="E5E7EB"/>
      </x:patternFill>
    </x:fill>
    <x:fill>
      <x:patternFill patternType="solid">
        <x:fgColor rgb="D1FAE5"/>
      </x:patternFill>
    </x:fill>
    <x:fill>
      <x:patternFill patternType="solid">
        <x:fgColor rgb="A7F3D0"/>
      </x:patternFill>
    </x:fill>
    <x:fill>
      <x:patternFill patternType="solid">
        <x:fgColor rgb="FEF3C7"/>
      </x:patternFill>
    </x:fill>
    <x:fill>
      <x:patternFill patternType="solid">
        <x:fgColor rgb="FDE68A"/>
      </x:patternFill>
    </x:fill>
    <x:fill>
      <x:patternFill patternType="solid">
        <x:fgColor rgb="FCD34D"/>
      </x:patternFill>
    </x:fill>
    <x:fill>
      <x:patternFill patternType="solid">
        <x:fgColor rgb="FDBA74"/>
      </x:patternFill>
    </x:fill>
    <x:fill>
      <x:patternFill patternType="solid">
        <x:fgColor rgb="FB923C"/>
      </x:patternFill>
    </x:fill>
    <x:fill>
      <x:patternFill patternType="solid">
        <x:fgColor rgb="F97316"/>
      </x:patternFill>
    </x:fill>
    <x:fill>
      <x:patternFill patternType="solid">
        <x:fgColor rgb="EF4444"/>
      </x:patternFill>
    </x:fill>
    <x:fill>
      <x:patternFill patternType="solid">
        <x:fgColor rgb="B91C1C"/>
      </x:patternFill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0F172A"/>
      </x:patternFill>
    </x:fill>
    <x:fill>
      <x:patternFill patternType="solid">
        <x:fgColor rgb="1F293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top" wrapText="1"/>
    </x:xf>
    <x:xf numFmtId="0" fontId="17" fillId="16" borderId="0" xfId="0" applyNumberFormat="1" applyFont="1" applyFill="1" applyBorder="1" applyAlignment="1">
      <x:alignment vertical="top" wrapText="1"/>
    </x:xf>
    <x:xf numFmtId="0" fontId="17" fillId="16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18" fillId="17" borderId="0" xfId="0" applyNumberFormat="1" applyFont="1" applyFill="1" applyBorder="1"/>
    <x:xf numFmtId="0" fontId="18" fillId="17" borderId="0" xfId="0" applyNumberFormat="1" applyFont="1" applyFill="1" applyBorder="1" applyAlignment="1">
      <x:alignment wrapText="1"/>
    </x:xf>
    <x:xf numFmtId="0" fontId="18" fillId="17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0" fillId="16" borderId="0" xfId="0" applyNumberFormat="1" applyFont="1" applyFill="1" applyBorder="1"/>
    <x:xf numFmtId="0" fontId="17" fillId="16" borderId="0" xfId="0" applyNumberFormat="1" applyFont="1" applyFill="1" applyBorder="1"/>
    <x:xf numFmtId="0" fontId="17" fillId="1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10" fillId="7" borderId="0" xfId="0" applyNumberFormat="1" applyFont="1" applyFill="1" applyBorder="1"/>
    <x:xf numFmtId="0" fontId="4" fillId="18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horizontal="center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18" fillId="1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4" fillId="15" borderId="0" xfId="0" applyNumberFormat="1" applyFont="1" applyFill="1" applyBorder="1" applyAlignment="1">
      <x:alignment vertical="center" wrapText="1"/>
    </x:xf>
    <x:xf numFmtId="0" fontId="17" fillId="16" borderId="0" xfId="0" applyNumberFormat="1" applyFont="1" applyFill="1" applyBorder="1" applyAlignment="1">
      <x:alignment vertical="center" wrapText="1"/>
    </x:xf>
    <x:xf numFmtId="0" fontId="18" fillId="17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3" xfId="0" applyNumberFormat="1" applyFont="1" applyFill="1" applyBorder="0" applyAlignment="1">
      <x:alignment vertical="center" wrapText="1"/>
    </x:xf>
    <x:xf numFmtId="0" fontId="8" fillId="12" xfId="0" applyNumberFormat="1" applyFont="1" applyFill="1" applyBorder="0" applyAlignment="1">
      <x:alignment vertical="center" wrapText="1"/>
    </x:xf>
    <x:xf numFmtId="0" fontId="10" fillId="7" xfId="0" applyNumberFormat="1" applyFont="1" applyFill="1" applyBorder="0" applyAlignment="1">
      <x:alignment vertical="center" wrapText="1"/>
    </x:xf>
    <x:xf numFmtId="0" fontId="12" fillId="14" xfId="0" applyNumberFormat="1" applyFont="1" applyFill="1" applyBorder="0" applyAlignment="1">
      <x:alignment vertical="center" wrapText="1"/>
    </x:xf>
    <x:xf numFmtId="0" fontId="14" fillId="15" xfId="0" applyNumberFormat="1" applyFont="1" applyFill="1" applyBorder="0" applyAlignment="1">
      <x:alignment vertical="center" wrapText="1"/>
    </x:xf>
    <x:xf numFmtId="0" fontId="17" fillId="16" xfId="0" applyNumberFormat="1" applyFont="1" applyFill="1" applyBorder="0" applyAlignment="1">
      <x:alignment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19" fillId="20" xfId="0" applyNumberFormat="1" applyFont="1" applyFill="1" applyBorder="0" applyAlignment="1">
      <x:alignment vertical="center" wrapText="1"/>
    </x:xf>
    <x:xf numFmtId="0" fontId="6" fillId="21" xfId="0" applyNumberFormat="1" applyFont="1" applyFill="1" applyBorder="0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20" fillId="21" xfId="0" applyNumberFormat="1" applyFont="1" applyFill="1" applyBorder="0" applyAlignment="1">
      <x:alignment vertical="center" wrapText="1"/>
    </x:xf>
    <x:xf numFmtId="0" fontId="2" fillId="21" xfId="0" applyNumberFormat="1" applyFont="1" applyFill="1" applyBorder="0" applyAlignment="1">
      <x:alignment vertical="center" wrapText="1"/>
    </x:xf>
    <x:xf numFmtId="0" fontId="8" fillId="22" xfId="0" applyNumberFormat="1" applyFont="1" applyFill="1" applyBorder="0" applyAlignment="1">
      <x:alignment vertical="center" wrapText="1"/>
    </x:xf>
    <x:xf numFmtId="0" fontId="0" fillId="22" xfId="0" applyNumberFormat="1" applyFont="1" applyFill="1" applyBorder="0" applyAlignment="1">
      <x:alignment vertical="center" wrapText="1"/>
    </x:xf>
    <x:xf numFmtId="0" fontId="20" fillId="22" xfId="0" applyNumberFormat="1" applyFont="1" applyFill="1" applyBorder="0" applyAlignment="1">
      <x:alignment vertical="center" wrapText="1"/>
    </x:xf>
    <x:xf numFmtId="0" fontId="2" fillId="22" xfId="0" applyNumberFormat="1" applyFont="1" applyFill="1" applyBorder="0" applyAlignment="1">
      <x:alignment vertical="center" wrapText="1"/>
    </x:xf>
    <x:xf numFmtId="0" fontId="10" fillId="23" xfId="0" applyNumberFormat="1" applyFont="1" applyFill="1" applyBorder="0" applyAlignment="1">
      <x:alignment vertical="center" wrapText="1"/>
    </x:xf>
    <x:xf numFmtId="0" fontId="0" fillId="23" xfId="0" applyNumberFormat="1" applyFont="1" applyFill="1" applyBorder="0" applyAlignment="1">
      <x:alignment vertical="center" wrapText="1"/>
    </x:xf>
    <x:xf numFmtId="0" fontId="20" fillId="23" xfId="0" applyNumberFormat="1" applyFont="1" applyFill="1" applyBorder="0" applyAlignment="1">
      <x:alignment vertical="center" wrapText="1"/>
    </x:xf>
    <x:xf numFmtId="0" fontId="2" fillId="23" xfId="0" applyNumberFormat="1" applyFont="1" applyFill="1" applyBorder="0" applyAlignment="1">
      <x:alignment vertical="center" wrapText="1"/>
    </x:xf>
    <x:xf numFmtId="0" fontId="12" fillId="24" xfId="0" applyNumberFormat="1" applyFont="1" applyFill="1" applyBorder="0" applyAlignment="1">
      <x:alignment vertical="center" wrapText="1"/>
    </x:xf>
    <x:xf numFmtId="0" fontId="0" fillId="24" xfId="0" applyNumberFormat="1" applyFont="1" applyFill="1" applyBorder="0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" fillId="24" xfId="0" applyNumberFormat="1" applyFont="1" applyFill="1" applyBorder="0" applyAlignment="1">
      <x:alignment vertical="center" wrapText="1"/>
    </x:xf>
    <x:xf numFmtId="0" fontId="14" fillId="25" xfId="0" applyNumberFormat="1" applyFont="1" applyFill="1" applyBorder="0" applyAlignment="1">
      <x:alignment vertical="center" wrapText="1"/>
    </x:xf>
    <x:xf numFmtId="0" fontId="0" fillId="25" xfId="0" applyNumberFormat="1" applyFont="1" applyFill="1" applyBorder="0" applyAlignment="1">
      <x:alignment vertical="center" wrapText="1"/>
    </x:xf>
    <x:xf numFmtId="0" fontId="20" fillId="25" xfId="0" applyNumberFormat="1" applyFont="1" applyFill="1" applyBorder="0" applyAlignment="1">
      <x:alignment vertical="center" wrapText="1"/>
    </x:xf>
    <x:xf numFmtId="0" fontId="2" fillId="25" xfId="0" applyNumberFormat="1" applyFont="1" applyFill="1" applyBorder="0" applyAlignment="1">
      <x:alignment vertical="center" wrapText="1"/>
    </x:xf>
    <x:xf numFmtId="0" fontId="17" fillId="26" xfId="0" applyNumberFormat="1" applyFont="1" applyFill="1" applyBorder="0" applyAlignment="1">
      <x:alignment vertical="center" wrapText="1"/>
    </x:xf>
    <x:xf numFmtId="0" fontId="0" fillId="26" xfId="0" applyNumberFormat="1" applyFont="1" applyFill="1" applyBorder="0" applyAlignment="1">
      <x:alignment vertical="center" wrapText="1"/>
    </x:xf>
    <x:xf numFmtId="0" fontId="2" fillId="26" xfId="0" applyNumberFormat="1" applyFont="1" applyFill="1" applyBorder="0" applyAlignment="1">
      <x:alignment vertical="center" wrapText="1"/>
    </x:xf>
    <x:xf numFmtId="0" fontId="20" fillId="26" xfId="0" applyNumberFormat="1" applyFont="1" applyFill="1" applyBorder="0" applyAlignment="1">
      <x:alignment vertical="center" wrapText="1"/>
    </x:xf>
    <x:xf numFmtId="0" fontId="0" fillId="27" xfId="0" applyNumberFormat="1" applyFont="1" applyFill="1" applyBorder="0" applyAlignment="1">
      <x:alignment vertical="center" wrapText="1"/>
    </x:xf>
    <x:xf numFmtId="0" fontId="20" fillId="27" xfId="0" applyNumberFormat="1" applyFont="1" applyFill="1" applyBorder="0" applyAlignment="1">
      <x:alignment vertical="center" wrapText="1"/>
    </x:xf>
    <x:xf numFmtId="0" fontId="2" fillId="27" xfId="0" applyNumberFormat="1" applyFont="1" applyFill="1" applyBorder="0" applyAlignment="1">
      <x:alignment vertical="center" wrapText="1"/>
    </x:xf>
    <x:xf numFmtId="0" fontId="0" fillId="28" xfId="0" applyNumberFormat="1" applyFont="1" applyFill="1" applyBorder="0" applyAlignment="1">
      <x:alignment vertical="center" wrapText="1"/>
    </x:xf>
    <x:xf numFmtId="0" fontId="20" fillId="28" xfId="0" applyNumberFormat="1" applyFont="1" applyFill="1" applyBorder="0" applyAlignment="1">
      <x:alignment vertical="center" wrapText="1"/>
    </x:xf>
    <x:xf numFmtId="0" fontId="2" fillId="28" xfId="0" applyNumberFormat="1" applyFont="1" applyFill="1" applyBorder="0" applyAlignment="1">
      <x:alignment vertical="center" wrapText="1"/>
    </x:xf>
    <x:xf numFmtId="0" fontId="0" fillId="29" xfId="0" applyNumberFormat="1" applyFont="1" applyFill="1" applyBorder="0" applyAlignment="1">
      <x:alignment vertical="center" wrapText="1"/>
    </x:xf>
    <x:xf numFmtId="0" fontId="20" fillId="29" xfId="0" applyNumberFormat="1" applyFont="1" applyFill="1" applyBorder="0" applyAlignment="1">
      <x:alignment vertical="center" wrapText="1"/>
    </x:xf>
    <x:xf numFmtId="0" fontId="2" fillId="29" xfId="0" applyNumberFormat="1" applyFont="1" applyFill="1" applyBorder="0" applyAlignment="1">
      <x:alignment vertical="center" wrapText="1"/>
    </x:xf>
    <x:xf numFmtId="0" fontId="0" fillId="30" xfId="0" applyNumberFormat="1" applyFont="1" applyFill="1" applyBorder="0" applyAlignment="1">
      <x:alignment vertical="center" wrapText="1"/>
    </x:xf>
    <x:xf numFmtId="0" fontId="21" fillId="30" xfId="0" applyNumberFormat="1" applyFont="1" applyFill="1" applyBorder="0" applyAlignment="1">
      <x:alignment vertical="center" wrapText="1"/>
    </x:xf>
    <x:xf numFmtId="0" fontId="3" fillId="30" xfId="0" applyNumberFormat="1" applyFont="1" applyFill="1" applyBorder="0" applyAlignment="1">
      <x:alignment vertical="center" wrapText="1"/>
    </x:xf>
    <x:xf numFmtId="0" fontId="0" fillId="31" xfId="0" applyNumberFormat="1" applyFont="1" applyFill="1" applyBorder="0" applyAlignment="1">
      <x:alignment vertical="center" wrapText="1"/>
    </x:xf>
    <x:xf numFmtId="0" fontId="21" fillId="31" xfId="0" applyNumberFormat="1" applyFont="1" applyFill="1" applyBorder="0" applyAlignment="1">
      <x:alignment vertical="center" wrapText="1"/>
    </x:xf>
    <x:xf numFmtId="0" fontId="3" fillId="31" xfId="0" applyNumberFormat="1" applyFont="1" applyFill="1" applyBorder="0" applyAlignment="1">
      <x:alignment vertical="center" wrapText="1"/>
    </x:xf>
    <x:xf numFmtId="0" fontId="7" fillId="21" borderId="0" xfId="0" applyNumberFormat="1" applyFont="1" applyFill="1" applyBorder="1" applyAlignment="1">
      <x:alignment horizontal="center"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horizontal="center" vertical="top" wrapText="1"/>
    </x:xf>
    <x:xf numFmtId="0" fontId="20" fillId="21" borderId="0" xfId="0" applyNumberFormat="1" applyFont="1" applyFill="1" applyBorder="1" applyAlignment="1">
      <x:alignment vertical="top" wrapText="1"/>
    </x:xf>
    <x:xf numFmtId="0" fontId="9" fillId="22" borderId="0" xfId="0" applyNumberFormat="1" applyFont="1" applyFill="1" applyBorder="1" applyAlignment="1">
      <x:alignment horizontal="center" vertical="top" wrapText="1"/>
    </x:xf>
    <x:xf numFmtId="0" fontId="8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top" wrapText="1"/>
    </x:xf>
    <x:xf numFmtId="0" fontId="20" fillId="22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horizontal="center" vertical="top" wrapText="1"/>
    </x:xf>
    <x:xf numFmtId="0" fontId="8" fillId="23" borderId="0" xfId="0" applyNumberFormat="1" applyFont="1" applyFill="1" applyBorder="1" applyAlignment="1">
      <x:alignment vertical="top" wrapText="1"/>
    </x:xf>
    <x:xf numFmtId="0" fontId="2" fillId="23" borderId="0" xfId="0" applyNumberFormat="1" applyFont="1" applyFill="1" applyBorder="1" applyAlignment="1">
      <x:alignment horizontal="center" vertical="top" wrapText="1"/>
    </x:xf>
    <x:xf numFmtId="0" fontId="20" fillId="23" borderId="0" xfId="0" applyNumberFormat="1" applyFont="1" applyFill="1" applyBorder="1" applyAlignment="1">
      <x:alignment vertical="top" wrapText="1"/>
    </x:xf>
    <x:xf numFmtId="0" fontId="11" fillId="24" borderId="0" xfId="0" applyNumberFormat="1" applyFont="1" applyFill="1" applyBorder="1" applyAlignment="1">
      <x:alignment horizontal="center"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2" fillId="24" borderId="0" xfId="0" applyNumberFormat="1" applyFont="1" applyFill="1" applyBorder="1" applyAlignment="1">
      <x:alignment horizontal="center" vertical="top" wrapText="1"/>
    </x:xf>
    <x:xf numFmtId="0" fontId="20" fillId="24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horizontal="center" vertical="top" wrapText="1"/>
    </x:xf>
    <x:xf numFmtId="0" fontId="10" fillId="25" borderId="0" xfId="0" applyNumberFormat="1" applyFont="1" applyFill="1" applyBorder="1" applyAlignment="1">
      <x:alignment vertical="top" wrapText="1"/>
    </x:xf>
    <x:xf numFmtId="0" fontId="2" fillId="25" borderId="0" xfId="0" applyNumberFormat="1" applyFont="1" applyFill="1" applyBorder="1" applyAlignment="1">
      <x:alignment horizontal="center" vertical="top" wrapText="1"/>
    </x:xf>
    <x:xf numFmtId="0" fontId="20" fillId="25" borderId="0" xfId="0" applyNumberFormat="1" applyFont="1" applyFill="1" applyBorder="1" applyAlignment="1">
      <x:alignment vertical="top" wrapText="1"/>
    </x:xf>
    <x:xf numFmtId="0" fontId="13" fillId="26" borderId="0" xfId="0" applyNumberFormat="1" applyFont="1" applyFill="1" applyBorder="1" applyAlignment="1">
      <x:alignment horizontal="center"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top" wrapText="1"/>
    </x:xf>
    <x:xf numFmtId="0" fontId="20" fillId="26" borderId="0" xfId="0" applyNumberFormat="1" applyFont="1" applyFill="1" applyBorder="1" applyAlignment="1">
      <x:alignment vertical="top" wrapText="1"/>
    </x:xf>
    <x:xf numFmtId="0" fontId="13" fillId="27" borderId="0" xfId="0" applyNumberFormat="1" applyFont="1" applyFill="1" applyBorder="1" applyAlignment="1">
      <x:alignment horizontal="center" vertical="top" wrapText="1"/>
    </x:xf>
    <x:xf numFmtId="0" fontId="12" fillId="27" borderId="0" xfId="0" applyNumberFormat="1" applyFont="1" applyFill="1" applyBorder="1" applyAlignment="1">
      <x:alignment vertical="top" wrapText="1"/>
    </x:xf>
    <x:xf numFmtId="0" fontId="2" fillId="27" borderId="0" xfId="0" applyNumberFormat="1" applyFont="1" applyFill="1" applyBorder="1" applyAlignment="1">
      <x:alignment horizontal="center" vertical="top" wrapText="1"/>
    </x:xf>
    <x:xf numFmtId="0" fontId="20" fillId="27" borderId="0" xfId="0" applyNumberFormat="1" applyFont="1" applyFill="1" applyBorder="1" applyAlignment="1">
      <x:alignment vertical="top" wrapText="1"/>
    </x:xf>
    <x:xf numFmtId="0" fontId="15" fillId="28" borderId="0" xfId="0" applyNumberFormat="1" applyFont="1" applyFill="1" applyBorder="1" applyAlignment="1">
      <x:alignment horizontal="center" vertical="top" wrapText="1"/>
    </x:xf>
    <x:xf numFmtId="0" fontId="14" fillId="28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horizontal="center" vertical="top" wrapText="1"/>
    </x:xf>
    <x:xf numFmtId="0" fontId="20" fillId="28" borderId="0" xfId="0" applyNumberFormat="1" applyFont="1" applyFill="1" applyBorder="1" applyAlignment="1">
      <x:alignment vertical="top" wrapText="1"/>
    </x:xf>
    <x:xf numFmtId="0" fontId="15" fillId="29" borderId="0" xfId="0" applyNumberFormat="1" applyFont="1" applyFill="1" applyBorder="1" applyAlignment="1">
      <x:alignment horizontal="center" vertical="top" wrapText="1"/>
    </x:xf>
    <x:xf numFmtId="0" fontId="14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horizontal="center" vertical="top" wrapText="1"/>
    </x:xf>
    <x:xf numFmtId="0" fontId="20" fillId="29" borderId="0" xfId="0" applyNumberFormat="1" applyFont="1" applyFill="1" applyBorder="1" applyAlignment="1">
      <x:alignment vertical="top" wrapText="1"/>
    </x:xf>
    <x:xf numFmtId="0" fontId="17" fillId="30" borderId="0" xfId="0" applyNumberFormat="1" applyFont="1" applyFill="1" applyBorder="1" applyAlignment="1">
      <x:alignment horizontal="center" vertical="top" wrapText="1"/>
    </x:xf>
    <x:xf numFmtId="0" fontId="16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21" fillId="30" borderId="0" xfId="0" applyNumberFormat="1" applyFont="1" applyFill="1" applyBorder="1" applyAlignment="1">
      <x:alignment vertical="top" wrapText="1"/>
    </x:xf>
    <x:xf numFmtId="0" fontId="17" fillId="31" borderId="0" xfId="0" applyNumberFormat="1" applyFont="1" applyFill="1" applyBorder="1" applyAlignment="1">
      <x:alignment horizontal="center" vertical="top" wrapText="1"/>
    </x:xf>
    <x:xf numFmtId="0" fontId="16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horizontal="center" vertical="top" wrapText="1"/>
    </x:xf>
    <x:xf numFmtId="0" fontId="21" fillId="31" borderId="0" xfId="0" applyNumberFormat="1" applyFont="1" applyFill="1" applyBorder="1" applyAlignment="1">
      <x:alignment vertical="top" wrapText="1"/>
    </x:xf>
    <x:xf numFmtId="0" fontId="3" fillId="19" xfId="0" applyNumberFormat="1" applyFont="1" applyFill="1" applyBorder="0" applyAlignment="1">
      <x:alignment horizontal="center" vertical="center" wrapText="1"/>
    </x:xf>
    <x:xf numFmtId="0" fontId="2" fillId="21" xfId="0" applyNumberFormat="1" applyFont="1" applyFill="1" applyBorder="0" applyAlignment="1">
      <x:alignment horizontal="center" vertical="top" wrapText="1"/>
    </x:xf>
    <x:xf numFmtId="0" fontId="20" fillId="21" xfId="0" applyNumberFormat="1" applyFont="1" applyFill="1" applyBorder="0" applyAlignment="1">
      <x:alignment vertical="top" wrapText="1"/>
    </x:xf>
    <x:xf numFmtId="0" fontId="2" fillId="22" xfId="0" applyNumberFormat="1" applyFont="1" applyFill="1" applyBorder="0" applyAlignment="1">
      <x:alignment horizontal="center" vertical="top" wrapText="1"/>
    </x:xf>
    <x:xf numFmtId="0" fontId="20" fillId="22" xfId="0" applyNumberFormat="1" applyFont="1" applyFill="1" applyBorder="0" applyAlignment="1">
      <x:alignment vertical="top" wrapText="1"/>
    </x:xf>
    <x:xf numFmtId="0" fontId="2" fillId="23" xfId="0" applyNumberFormat="1" applyFont="1" applyFill="1" applyBorder="0" applyAlignment="1">
      <x:alignment horizontal="center" vertical="top" wrapText="1"/>
    </x:xf>
    <x:xf numFmtId="0" fontId="20" fillId="23" xfId="0" applyNumberFormat="1" applyFont="1" applyFill="1" applyBorder="0" applyAlignment="1">
      <x:alignment vertical="top" wrapText="1"/>
    </x:xf>
    <x:xf numFmtId="0" fontId="2" fillId="24" xfId="0" applyNumberFormat="1" applyFont="1" applyFill="1" applyBorder="0" applyAlignment="1">
      <x:alignment horizontal="center" vertical="top" wrapText="1"/>
    </x:xf>
    <x:xf numFmtId="0" fontId="20" fillId="24" xfId="0" applyNumberFormat="1" applyFont="1" applyFill="1" applyBorder="0" applyAlignment="1">
      <x:alignment vertical="top" wrapText="1"/>
    </x:xf>
    <x:xf numFmtId="0" fontId="2" fillId="25" xfId="0" applyNumberFormat="1" applyFont="1" applyFill="1" applyBorder="0" applyAlignment="1">
      <x:alignment horizontal="center" vertical="top" wrapText="1"/>
    </x:xf>
    <x:xf numFmtId="0" fontId="20" fillId="25" xfId="0" applyNumberFormat="1" applyFont="1" applyFill="1" applyBorder="0" applyAlignment="1">
      <x:alignment vertical="top" wrapText="1"/>
    </x:xf>
    <x:xf numFmtId="0" fontId="2" fillId="26" xfId="0" applyNumberFormat="1" applyFont="1" applyFill="1" applyBorder="0" applyAlignment="1">
      <x:alignment horizontal="center" vertical="top" wrapText="1"/>
    </x:xf>
    <x:xf numFmtId="0" fontId="20" fillId="26" xfId="0" applyNumberFormat="1" applyFont="1" applyFill="1" applyBorder="0" applyAlignment="1">
      <x:alignment vertical="top" wrapText="1"/>
    </x:xf>
    <x:xf numFmtId="0" fontId="2" fillId="27" xfId="0" applyNumberFormat="1" applyFont="1" applyFill="1" applyBorder="0" applyAlignment="1">
      <x:alignment horizontal="center" vertical="top" wrapText="1"/>
    </x:xf>
    <x:xf numFmtId="0" fontId="20" fillId="27" xfId="0" applyNumberFormat="1" applyFont="1" applyFill="1" applyBorder="0" applyAlignment="1">
      <x:alignment vertical="top" wrapText="1"/>
    </x:xf>
    <x:xf numFmtId="0" fontId="2" fillId="28" xfId="0" applyNumberFormat="1" applyFont="1" applyFill="1" applyBorder="0" applyAlignment="1">
      <x:alignment horizontal="center" vertical="top" wrapText="1"/>
    </x:xf>
    <x:xf numFmtId="0" fontId="20" fillId="28" xfId="0" applyNumberFormat="1" applyFont="1" applyFill="1" applyBorder="0" applyAlignment="1">
      <x:alignment vertical="top" wrapText="1"/>
    </x:xf>
    <x:xf numFmtId="0" fontId="2" fillId="29" xfId="0" applyNumberFormat="1" applyFont="1" applyFill="1" applyBorder="0" applyAlignment="1">
      <x:alignment horizontal="center" vertical="top" wrapText="1"/>
    </x:xf>
    <x:xf numFmtId="0" fontId="20" fillId="29" xfId="0" applyNumberFormat="1" applyFont="1" applyFill="1" applyBorder="0" applyAlignment="1">
      <x:alignment vertical="top" wrapText="1"/>
    </x:xf>
    <x:xf numFmtId="0" fontId="3" fillId="30" xfId="0" applyNumberFormat="1" applyFont="1" applyFill="1" applyBorder="0" applyAlignment="1">
      <x:alignment horizontal="center" vertical="top" wrapText="1"/>
    </x:xf>
    <x:xf numFmtId="0" fontId="21" fillId="30" xfId="0" applyNumberFormat="1" applyFont="1" applyFill="1" applyBorder="0" applyAlignment="1">
      <x:alignment vertical="top" wrapText="1"/>
    </x:xf>
    <x:xf numFmtId="0" fontId="3" fillId="31" xfId="0" applyNumberFormat="1" applyFont="1" applyFill="1" applyBorder="0" applyAlignment="1">
      <x:alignment horizontal="center" vertical="top" wrapText="1"/>
    </x:xf>
    <x:xf numFmtId="0" fontId="21" fillId="31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7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2" fillId="21" xfId="0" applyNumberFormat="1" applyFont="1" applyFill="1" applyBorder="0" applyAlignment="1">
      <x:alignment horizontal="center" vertical="center" wrapText="1"/>
    </x:xf>
    <x:xf numFmtId="0" fontId="2" fillId="22" xfId="0" applyNumberFormat="1" applyFont="1" applyFill="1" applyBorder="0" applyAlignment="1">
      <x:alignment horizontal="center" vertical="center" wrapText="1"/>
    </x:xf>
    <x:xf numFmtId="0" fontId="2" fillId="23" xfId="0" applyNumberFormat="1" applyFont="1" applyFill="1" applyBorder="0" applyAlignment="1">
      <x:alignment horizontal="center" vertical="center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2" fillId="25" xfId="0" applyNumberFormat="1" applyFont="1" applyFill="1" applyBorder="0" applyAlignment="1">
      <x:alignment horizontal="center" vertical="center" wrapText="1"/>
    </x:xf>
    <x:xf numFmtId="0" fontId="2" fillId="26" xfId="0" applyNumberFormat="1" applyFont="1" applyFill="1" applyBorder="0" applyAlignment="1">
      <x:alignment horizontal="center" vertical="center" wrapText="1"/>
    </x:xf>
    <x:xf numFmtId="0" fontId="2" fillId="27" xfId="0" applyNumberFormat="1" applyFont="1" applyFill="1" applyBorder="0" applyAlignment="1">
      <x:alignment horizontal="center" vertical="center" wrapText="1"/>
    </x:xf>
    <x:xf numFmtId="0" fontId="2" fillId="28" xfId="0" applyNumberFormat="1" applyFont="1" applyFill="1" applyBorder="0" applyAlignment="1">
      <x:alignment horizontal="center" vertical="center" wrapText="1"/>
    </x:xf>
    <x:xf numFmtId="0" fontId="2" fillId="29" xfId="0" applyNumberFormat="1" applyFont="1" applyFill="1" applyBorder="0" applyAlignment="1">
      <x:alignment horizontal="center" vertical="center" wrapText="1"/>
    </x:xf>
    <x:xf numFmtId="0" fontId="3" fillId="30" xfId="0" applyNumberFormat="1" applyFont="1" applyFill="1" applyBorder="0" applyAlignment="1">
      <x:alignment horizontal="center" vertical="center" wrapText="1"/>
    </x:xf>
    <x:xf numFmtId="0" fontId="3" fillId="31" xfId="0" applyNumberFormat="1" applyFont="1" applyFill="1" applyBorder="0" applyAlignment="1">
      <x:alignment horizontal="center"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0" fillId="20" borderId="0" xfId="0" applyNumberFormat="1" applyFont="1" applyFill="1" applyBorder="1"/>
    <x:xf numFmtId="0" fontId="22" fillId="20" borderId="0" xfId="0" applyNumberFormat="1" applyFont="1" applyFill="1" applyBorder="1"/>
    <x:xf numFmtId="0" fontId="22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20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20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20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20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2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20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20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21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21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3" xfId="0" applyNumberFormat="1" applyFont="1" applyFill="1" applyBorder="0" applyAlignment="1">
      <x:alignment vertical="center" wrapText="1"/>
    </x:xf>
    <x:xf numFmtId="0" fontId="20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 applyAlignment="1">
      <x:alignment vertical="center" wrapText="1"/>
    </x:xf>
    <x:xf numFmtId="0" fontId="12" fillId="7" xfId="0" applyNumberFormat="1" applyFont="1" applyFill="1" applyBorder="0" applyAlignment="1">
      <x:alignment vertical="center" wrapText="1"/>
    </x:xf>
    <x:xf numFmtId="0" fontId="0" fillId="7" xfId="0" applyNumberFormat="1" applyFont="1" applyFill="1" applyBorder="0" applyAlignment="1">
      <x:alignment vertical="center" wrapText="1"/>
    </x:xf>
    <x:xf numFmtId="0" fontId="20" fillId="7" xfId="0" applyNumberFormat="1" applyFont="1" applyFill="1" applyBorder="0" applyAlignment="1">
      <x:alignment vertical="center" wrapText="1"/>
    </x:xf>
    <x:xf numFmtId="0" fontId="2" fillId="7" xfId="0" applyNumberFormat="1" applyFont="1" applyFill="1" applyBorder="0" applyAlignment="1">
      <x:alignment vertical="center" wrapText="1"/>
    </x:xf>
    <x:xf numFmtId="0" fontId="0" fillId="15" xfId="0" applyNumberFormat="1" applyFont="1" applyFill="1" applyBorder="0" applyAlignment="1">
      <x:alignment vertical="center" wrapText="1"/>
    </x:xf>
    <x:xf numFmtId="0" fontId="20" fillId="15" xfId="0" applyNumberFormat="1" applyFont="1" applyFill="1" applyBorder="0" applyAlignment="1">
      <x:alignment vertical="center" wrapText="1"/>
    </x:xf>
    <x:xf numFmtId="0" fontId="2" fillId="15" xfId="0" applyNumberFormat="1" applyFont="1" applyFill="1" applyBorder="0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0" fillId="3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0" fillId="7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horizontal="center" vertical="top" wrapText="1"/>
    </x:xf>
    <x:xf numFmtId="0" fontId="12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horizontal="center" vertical="top" wrapText="1"/>
    </x:xf>
    <x:xf numFmtId="0" fontId="20" fillId="15" borderId="0" xfId="0" applyNumberFormat="1" applyFont="1" applyFill="1" applyBorder="1" applyAlignment="1">
      <x:alignment vertical="top" wrapText="1"/>
    </x:xf>
    <x:xf numFmtId="0" fontId="2" fillId="3" xfId="0" applyNumberFormat="1" applyFont="1" applyFill="1" applyBorder="0" applyAlignment="1">
      <x:alignment horizontal="center" vertical="top" wrapText="1"/>
    </x:xf>
    <x:xf numFmtId="0" fontId="20" fillId="3" xfId="0" applyNumberFormat="1" applyFont="1" applyFill="1" applyBorder="0" applyAlignment="1">
      <x:alignment vertical="top" wrapText="1"/>
    </x:xf>
    <x:xf numFmtId="0" fontId="2" fillId="7" xfId="0" applyNumberFormat="1" applyFont="1" applyFill="1" applyBorder="0" applyAlignment="1">
      <x:alignment horizontal="center" vertical="top" wrapText="1"/>
    </x:xf>
    <x:xf numFmtId="0" fontId="20" fillId="7" xfId="0" applyNumberFormat="1" applyFont="1" applyFill="1" applyBorder="0" applyAlignment="1">
      <x:alignment vertical="top" wrapText="1"/>
    </x:xf>
    <x:xf numFmtId="0" fontId="2" fillId="15" xfId="0" applyNumberFormat="1" applyFont="1" applyFill="1" applyBorder="0" applyAlignment="1">
      <x:alignment horizontal="center" vertical="top" wrapText="1"/>
    </x:xf>
    <x:xf numFmtId="0" fontId="20" fillId="15" xfId="0" applyNumberFormat="1" applyFont="1" applyFill="1" applyBorder="0" applyAlignment="1">
      <x:alignment vertical="top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2" fillId="15" xfId="0" applyNumberFormat="1" applyFont="1" applyFill="1" applyBorder="0" applyAlignment="1">
      <x:alignment horizontal="center" vertical="center" wrapText="1"/>
    </x:xf>
    <x:xf numFmtId="0" fontId="20" fillId="3" borderId="0" xfId="0" applyNumberFormat="1" applyFont="1" applyFill="1" applyBorder="1" applyAlignment="1">
      <x:alignment wrapText="1"/>
    </x:xf>
    <x:xf numFmtId="0" fontId="2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horizontal="center" wrapText="1"/>
    </x:xf>
    <x:xf numFmtId="0" fontId="3" fillId="3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0" xfId="0" applyNumberFormat="1" applyFont="1" applyFill="1" applyBorder="1" applyAlignment="1">
      <x:alignment wrapText="1"/>
    </x:xf>
    <x:xf numFmtId="0" fontId="4" fillId="33" borderId="0" xfId="0" applyNumberFormat="1" applyFont="1" applyFill="1" applyBorder="1" applyAlignment="1">
      <x:alignment horizontal="left" wrapText="1"/>
    </x:xf>
    <x:xf numFmtId="0" fontId="4" fillId="33" borderId="0" xfId="0" applyNumberFormat="1" applyFont="1" applyFill="1" applyBorder="1" applyAlignment="1">
      <x:alignment horizontal="left" vertical="center" wrapText="1"/>
    </x:xf>
    <x:xf numFmtId="0" fontId="3" fillId="32" borderId="0" xfId="0" applyNumberFormat="1" applyFont="1" applyFill="1" applyBorder="1" applyAlignment="1">
      <x:alignment horizontal="center" vertical="top" wrapText="1"/>
    </x:xf>
    <x:xf numFmtId="0" fontId="1" fillId="33" borderId="0" xfId="0" applyNumberFormat="1" applyFont="1" applyFill="1" applyBorder="1" applyAlignment="1">
      <x:alignment horizontal="left" vertical="center" wrapText="1"/>
    </x:xf>
    <x:xf numFmtId="0" fontId="0" fillId="32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wrapText="1"/>
    </x:xf>
    <x:xf numFmtId="0" fontId="4" fillId="34" borderId="0" xfId="0" applyNumberFormat="1" applyFont="1" applyFill="1" applyBorder="1" applyAlignment="1">
      <x:alignment horizontal="left" vertic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1" fillId="34" borderId="0" xfId="0" applyNumberFormat="1" applyFont="1" applyFill="1" applyBorder="1" applyAlignment="1">
      <x:alignment horizontal="left" vertical="center" wrapText="1"/>
    </x:xf>
    <x:xf numFmtId="0" fontId="0" fillId="34" borderId="0" xfId="0" applyNumberFormat="1" applyFont="1" applyFill="1" applyBorder="1" applyAlignment="1">
      <x:alignment wrapText="1"/>
    </x:xf>
    <x:xf numFmtId="0" fontId="4" fillId="34" borderId="0" xfId="0" applyNumberFormat="1" applyFont="1" applyFill="1" applyBorder="1" applyAlignment="1">
      <x:alignment wrapText="1"/>
    </x:xf>
    <x:xf numFmtId="0" fontId="4" fillId="34" borderId="0" xfId="0" applyNumberFormat="1" applyFont="1" applyFill="1" applyBorder="1" applyAlignment="1">
      <x:alignment horizontal="left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3" fillId="35" borderId="0" xfId="0" applyNumberFormat="1" applyFont="1" applyFill="1" applyBorder="1" applyAlignment="1">
      <x:alignment horizontal="center" vertical="top" wrapText="1"/>
    </x:xf>
    <x:xf numFmtId="0" fontId="1" fillId="34" borderId="0" xfId="0" applyNumberFormat="1" applyFont="1" applyFill="1" applyBorder="1" applyAlignment="1">
      <x:alignment horizontal="left" vertical="center"/>
    </x:xf>
    <x:xf numFmtId="0" fontId="4" fillId="34" borderId="0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0" fontId="3" fillId="34" borderId="0" xfId="0" applyNumberFormat="1" applyFont="1" applyFill="1" applyBorder="1" applyAlignment="1">
      <x:alignment horizontal="center" vertical="center" wrapText="1"/>
    </x:xf>
    <x:xf numFmtId="0" fontId="4" fillId="3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64"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B7280"/>
      </x:font>
      <x:fill>
        <x:patternFill>
          <x:bgColor rgb="F9FAFB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7C2D12"/>
      </x:font>
      <x:fill>
        <x:patternFill>
          <x:bgColor rgb="FDBA74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  <x:dxf>
      <x:font>
        <x:color rgb="64748B"/>
      </x:font>
      <x:fill>
        <x:patternFill>
          <x:bgColor rgb="F8FAFC"/>
        </x:patternFill>
      </x:fill>
    </x:dxf>
    <x:dxf>
      <x:font>
        <x:b/>
        <x:color rgb="111827"/>
      </x:font>
      <x:fill>
        <x:patternFill>
          <x:bgColor rgb="E5E7EB"/>
        </x:patternFill>
      </x:fill>
    </x:dxf>
    <x:dxf>
      <x:font>
        <x:b/>
        <x:color rgb="111827"/>
      </x:font>
      <x:fill>
        <x:patternFill>
          <x:bgColor rgb="D1FAE5"/>
        </x:patternFill>
      </x:fill>
    </x:dxf>
    <x:dxf>
      <x:font>
        <x:b/>
        <x:color rgb="111827"/>
      </x:font>
      <x:fill>
        <x:patternFill>
          <x:bgColor rgb="A7F3D0"/>
        </x:patternFill>
      </x:fill>
    </x:dxf>
    <x:dxf>
      <x:font>
        <x:b/>
        <x:color rgb="111827"/>
      </x:font>
      <x:fill>
        <x:patternFill>
          <x:bgColor rgb="FEF3C7"/>
        </x:patternFill>
      </x:fill>
    </x:dxf>
    <x:dxf>
      <x:font>
        <x:b/>
        <x:color rgb="111827"/>
      </x:font>
      <x:fill>
        <x:patternFill>
          <x:bgColor rgb="FDE68A"/>
        </x:patternFill>
      </x:fill>
    </x:dxf>
    <x:dxf>
      <x:font>
        <x:b/>
        <x:color rgb="111827"/>
      </x:font>
      <x:fill>
        <x:patternFill>
          <x:bgColor rgb="FCD34D"/>
        </x:patternFill>
      </x:fill>
    </x:dxf>
    <x:dxf>
      <x:font>
        <x:b/>
        <x:color rgb="111827"/>
      </x:font>
      <x:fill>
        <x:patternFill>
          <x:bgColor rgb="FDBA74"/>
        </x:patternFill>
      </x:fill>
    </x:dxf>
    <x:dxf>
      <x:font>
        <x:b/>
        <x:color rgb="111827"/>
      </x:font>
      <x:fill>
        <x:patternFill>
          <x:bgColor rgb="FB923C"/>
        </x:patternFill>
      </x:fill>
    </x:dxf>
    <x:dxf>
      <x:font>
        <x:b/>
        <x:color rgb="111827"/>
      </x:font>
      <x:fill>
        <x:patternFill>
          <x:bgColor rgb="F97316"/>
        </x:patternFill>
      </x:fill>
    </x:dxf>
    <x:dxf>
      <x:font>
        <x:b/>
        <x:color rgb="FFFFFF"/>
      </x:font>
      <x:fill>
        <x:patternFill>
          <x:bgColor rgb="EF4444"/>
        </x:patternFill>
      </x:fill>
    </x:dxf>
    <x:dxf>
      <x:font>
        <x:b/>
        <x:color rgb="FFFFFF"/>
      </x:font>
      <x:fill>
        <x:patternFill>
          <x:bgColor rgb="B91C1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a6fc3cdb347a4" /><Relationship Type="http://schemas.openxmlformats.org/officeDocument/2006/relationships/theme" Target="/xl/theme/theme1.xml" Id="Red9b51f418a94336" /><Relationship Type="http://schemas.openxmlformats.org/officeDocument/2006/relationships/sharedStrings" Target="/xl/sharedStrings.xml" Id="Rba783703c5eb4ab7" /><Relationship Type="http://schemas.openxmlformats.org/officeDocument/2006/relationships/worksheet" Target="/xl/worksheets/sheet1.xml" Id="R65d39c29d4b84759" /><Relationship Type="http://schemas.openxmlformats.org/officeDocument/2006/relationships/worksheet" Target="/xl/worksheets/sheet2.xml" Id="Re1a9734101ff47a8" /><Relationship Type="http://schemas.openxmlformats.org/officeDocument/2006/relationships/worksheet" Target="/xl/worksheets/sheet3.xml" Id="R685b558192c449fe" /><Relationship Type="http://schemas.openxmlformats.org/officeDocument/2006/relationships/worksheet" Target="/xl/worksheets/sheet4.xml" Id="R9a8e7746b9784d9b" /><Relationship Type="http://schemas.openxmlformats.org/officeDocument/2006/relationships/worksheet" Target="/xl/worksheets/sheet5.xml" Id="R67126828d3c34a8c" /><Relationship Type="http://schemas.openxmlformats.org/officeDocument/2006/relationships/worksheet" Target="/xl/worksheets/sheet6.xml" Id="R8b6e694a2e4a4a5c" /><Relationship Type="http://schemas.openxmlformats.org/officeDocument/2006/relationships/worksheet" Target="/xl/worksheets/sheet7.xml" Id="Rf234950793c1482c" /><Relationship Type="http://schemas.openxmlformats.org/officeDocument/2006/relationships/worksheet" Target="/xl/worksheets/sheet8.xml" Id="Ra8cd55914a5a45b6" /><Relationship Type="http://schemas.openxmlformats.org/officeDocument/2006/relationships/worksheet" Target="/xl/worksheets/sheet9.xml" Id="R30cb9572a52b4384" /><Relationship Type="http://schemas.openxmlformats.org/officeDocument/2006/relationships/worksheet" Target="/xl/worksheets/sheet10.xml" Id="Rd218044583fa4f96" /><Relationship Type="http://schemas.openxmlformats.org/officeDocument/2006/relationships/worksheet" Target="/xl/worksheets/sheet11.xml" Id="Rcc905aa4e88c471b" /><Relationship Type="http://schemas.openxmlformats.org/officeDocument/2006/relationships/worksheet" Target="/xl/worksheets/sheet12.xml" Id="Rcb9f8a93f3f44b65" /><Relationship Type="http://schemas.openxmlformats.org/officeDocument/2006/relationships/worksheet" Target="/xl/worksheets/sheet13.xml" Id="R408ec6440aae4134" /><Relationship Type="http://schemas.openxmlformats.org/officeDocument/2006/relationships/worksheet" Target="/xl/worksheets/sheet14.xml" Id="R99e38ff2c6514180" /><Relationship Type="http://schemas.openxmlformats.org/officeDocument/2006/relationships/worksheet" Target="/xl/worksheets/sheet15.xml" Id="Rc55af338c4794f4f" /><Relationship Type="http://schemas.openxmlformats.org/officeDocument/2006/relationships/worksheet" Target="/xl/worksheets/sheet16.xml" Id="Rf3e4f0bbe6dd435f" /><Relationship Type="http://schemas.openxmlformats.org/officeDocument/2006/relationships/worksheet" Target="/xl/worksheets/sheet17.xml" Id="R308ef2678bcc4744" /><Relationship Type="http://schemas.openxmlformats.org/officeDocument/2006/relationships/worksheet" Target="/xl/worksheets/sheet18.xml" Id="R27f8aae7fc134146" /></Relationships>
</file>

<file path=xl/tables/table1.xml><?xml version="1.0" encoding="utf-8"?>
<x:table xmlns:x="http://schemas.openxmlformats.org/spreadsheetml/2006/main" id="1" name="CountryMasterTable" displayName="CountryMasterTable" ref="A1:O250" headerRowCount="1">
  <x:tableColumns count="15">
    <x:tableColumn id="1" name="Country_Name"/>
    <x:tableColumn id="2" name="Official_Name"/>
    <x:tableColumn id="3" name="ISO2"/>
    <x:tableColumn id="4" name="ISO3"/>
    <x:tableColumn id="5" name="M49"/>
    <x:tableColumn id="6" name="UN_Region"/>
    <x:tableColumn id="7" name="UN_Subregion"/>
    <x:tableColumn id="8" name="Latitude"/>
    <x:tableColumn id="9" name="Longitude"/>
    <x:tableColumn id="10" name="Include_on_Map"/>
    <x:tableColumn id="11" name="Data_Scope"/>
    <x:tableColumn id="12" name="Verification_Status"/>
    <x:tableColumn id="13" name="UN_M49_Source_URL"/>
    <x:tableColumn id="14" name="Coordinate_Source_URL"/>
    <x:tableColumn id="15" name="Coordinate_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SubfactorWeightsTable" displayName="SubfactorWeightsTable" ref="A3:F7" headerRowCount="1">
  <x:tableColumns count="6">
    <x:tableColumn id="1" name="Subfactor"/>
    <x:tableColumn id="2" name="Weight"/>
    <x:tableColumn id="3" name="Score scale"/>
    <x:tableColumn id="4" name="Definition"/>
    <x:tableColumn id="5" name="Minimum evidence to score"/>
    <x:tableColumn id="6" name="Primary source categories"/>
  </x:tableColumns>
  <x:tableStyleInfo name="TableStyleMedium2" showRowStripes="1"/>
</x:table>
</file>

<file path=xl/tables/table3.xml><?xml version="1.0" encoding="utf-8"?>
<x:table xmlns:x="http://schemas.openxmlformats.org/spreadsheetml/2006/main" id="3" name="ActorsTable" displayName="ActorsTable" ref="A10:D14" headerRowCount="1">
  <x:tableColumns count="4">
    <x:tableColumn id="1" name="Actor"/>
    <x:tableColumn id="2" name="Main_Factor"/>
    <x:tableColumn id="3" name="Actor_Type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coringMatrixTable" displayName="ScoringMatrixTable" ref="A1:AB997" headerRowCount="1">
  <x:tableColumns count="28">
    <x:tableColumn id="1" name="Score_Key"/>
    <x:tableColumn id="2" name="Country_Name"/>
    <x:tableColumn id="3" name="Official_Name"/>
    <x:tableColumn id="4" name="ISO2"/>
    <x:tableColumn id="5" name="ISO3"/>
    <x:tableColumn id="6" name="M49"/>
    <x:tableColumn id="7" name="UN_Region"/>
    <x:tableColumn id="8" name="UN_Subregion"/>
    <x:tableColumn id="9" name="Actor"/>
    <x:tableColumn id="10" name="Main_Factor"/>
    <x:tableColumn id="11" name="Propaganda_Ecosystems_Score_0_5"/>
    <x:tableColumn id="12" name="Propaganda_Ecosystems_Confidence_0_5"/>
    <x:tableColumn id="13" name="Propaganda_Ecosystems_Source_URL"/>
    <x:tableColumn id="14" name="PMC_Presence_Score_0_5"/>
    <x:tableColumn id="15" name="PMC_Presence_Confidence_0_5"/>
    <x:tableColumn id="16" name="PMC_Presence_Source_URL"/>
    <x:tableColumn id="17" name="Election_Interference_Score_0_5"/>
    <x:tableColumn id="18" name="Election_Interference_Confidence_0_5"/>
    <x:tableColumn id="19" name="Election_Interference_Source_URL"/>
    <x:tableColumn id="20" name="Security_Contractors_Score_0_5"/>
    <x:tableColumn id="21" name="Security_Contractors_Confidence_0_5"/>
    <x:tableColumn id="22" name="Security_Contractors_Source_URL"/>
    <x:tableColumn id="23" name="Evidence_Coverage"/>
    <x:tableColumn id="24" name="Actor_Influence_Score_0_5"/>
    <x:tableColumn id="25" name="Evidence_Status"/>
    <x:tableColumn id="26" name="Analyst_Notes"/>
    <x:tableColumn id="27" name="Last_Reviewed"/>
    <x:tableColumn id="28" name="Reviewed_By"/>
  </x:tableColumns>
  <x:tableStyleInfo name="TableStyleMedium2" showRowStripes="1"/>
</x:table>
</file>

<file path=xl/tables/table5.xml><?xml version="1.0" encoding="utf-8"?>
<x:table xmlns:x="http://schemas.openxmlformats.org/spreadsheetml/2006/main" id="5" name="EvidenceLogTable" displayName="EvidenceLogTable" ref="A1:P3985" headerRowCount="1">
  <x:tableColumns count="16">
    <x:tableColumn id="1" name="Evidence_Key"/>
    <x:tableColumn id="2" name="Country_Name"/>
    <x:tableColumn id="3" name="ISO3"/>
    <x:tableColumn id="4" name="Actor"/>
    <x:tableColumn id="5" name="Main_Factor"/>
    <x:tableColumn id="6" name="Subfactor"/>
    <x:tableColumn id="7" name="Evidence_Score_0_5"/>
    <x:tableColumn id="8" name="Confidence_0_5"/>
    <x:tableColumn id="9" name="Evidence_Title"/>
    <x:tableColumn id="10" name="Evidence_URL"/>
    <x:tableColumn id="11" name="Source_Type"/>
    <x:tableColumn id="12" name="Date_Observed"/>
    <x:tableColumn id="13" name="Date_Added"/>
    <x:tableColumn id="14" name="Verified_By"/>
    <x:tableColumn id="15" name="Verification_Status"/>
    <x:tableColumn id="1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apDataTable" displayName="MapDataTable" ref="A1:P250" headerRowCount="1">
  <x:tableColumns count="16">
    <x:tableColumn id="1" name="Country_Name"/>
    <x:tableColumn id="2" name="ISO2"/>
    <x:tableColumn id="3" name="ISO3"/>
    <x:tableColumn id="4" name="M49"/>
    <x:tableColumn id="5" name="UN_Region"/>
    <x:tableColumn id="6" name="UN_Subregion"/>
    <x:tableColumn id="7" name="Latitude"/>
    <x:tableColumn id="8" name="Longitude"/>
    <x:tableColumn id="9" name="Russia_Influence_Score_0_5"/>
    <x:tableColumn id="10" name="China_Influence_Score_0_5"/>
    <x:tableColumn id="11" name="American_Influence_Score_0_5"/>
    <x:tableColumn id="12" name="EU_Influence_Score_0_5"/>
    <x:tableColumn id="13" name="Dominant_Actor"/>
    <x:tableColumn id="14" name="Dominant_Score_0_5"/>
    <x:tableColumn id="15" name="Evidence_Status"/>
    <x:tableColumn id="16" name="Map_Source_Note"/>
  </x:tableColumns>
  <x:tableStyleInfo name="TableStyleMedium2" showRowStripes="1"/>
</x:table>
</file>

<file path=xl/tables/table7.xml><?xml version="1.0" encoding="utf-8"?>
<x:table xmlns:x="http://schemas.openxmlformats.org/spreadsheetml/2006/main" id="7" name="SourceRegisterTable" displayName="SourceRegisterTable" ref="A1:I17" headerRowCount="1">
  <x:tableColumns count="9">
    <x:tableColumn id="1" name="Source_ID"/>
    <x:tableColumn id="2" name="Source_Name"/>
    <x:tableColumn id="3" name="Workbook_Scope"/>
    <x:tableColumn id="4" name="Actor"/>
    <x:tableColumn id="5" name="Subfactor"/>
    <x:tableColumn id="6" name="URL"/>
    <x:tableColumn id="7" name="Source_Type"/>
    <x:tableColumn id="8" name="Notes"/>
    <x:tableColumn id="9" name="Last_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05cd816efac4e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79f51776bdd4552" /><Relationship Type="http://schemas.openxmlformats.org/officeDocument/2006/relationships/table" Target="/xl/tables/table3.xml" Id="R84148936498e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40563068b642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c287e1872f4e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9dd53bcaff41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28c89123b6478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69" t="str">
        <x:v>Resurgam country influence workbook — ResurgamHub country scope</x:v>
      </x:c>
      <x:c r="B1" s="369"/>
    </x:row>
    <x:row r="2">
      <x:c r="A2" s="20"/>
      <x:c r="B2" s="20"/>
    </x:row>
    <x:row r="3">
      <x:c r="A3" s="14" t="str">
        <x:v>Purpose</x:v>
      </x:c>
      <x:c r="B3" s="20" t="str">
        <x:v>Workbook for source-backed scoring of Russian, Chinese, American and EU influence, filtered to country/country-area names mentioned in ResurgamHub materials.</x:v>
      </x:c>
    </x:row>
    <x:row r="4">
      <x:c r="A4" s="14" t="str">
        <x:v>Main factors</x:v>
      </x:c>
      <x:c r="B4" s="20" t="str">
        <x:v>Russian influence, Chinese influence, American influence, EU influence.</x:v>
      </x:c>
    </x:row>
    <x:row r="5">
      <x:c r="A5" s="14" t="str">
        <x:v>Subfactors</x:v>
      </x:c>
      <x:c r="B5" s="20" t="str">
        <x:v>Propaganda ecosystems; PMC presence; Election interference; Security contractors.</x:v>
      </x:c>
    </x:row>
    <x:row r="6">
      <x:c r="A6" s="14" t="str">
        <x:v>Scoring rule</x:v>
      </x:c>
      <x:c r="B6" s="20" t="str">
        <x:v>Scores are 0–10 and must be supported by country-specific source URLs before being treated as verified.</x:v>
      </x:c>
    </x:row>
    <x:row r="7">
      <x:c r="A7" s="14" t="str">
        <x:v>Why blanks / No data appear</x:v>
      </x:c>
      <x:c r="B7" s="20" t="str">
        <x:v>Blank score cells mean no verified country-specific evidence has been entered yet. This avoids fabricating influence values.</x:v>
      </x:c>
    </x:row>
    <x:row r="8">
      <x:c r="A8" s="14" t="str">
        <x:v>Primary workflow</x:v>
      </x:c>
      <x:c r="B8" s="20" t="str">
        <x:v>Add evidence in Evidence_Log and/or fill source-backed 0–10 scores in Scoring_Matrix. Map_Data and Dashboard then roll up actor scores.</x:v>
      </x:c>
    </x:row>
    <x:row r="9">
      <x:c r="A9" s="14" t="str">
        <x:v>Scale</x:v>
      </x:c>
      <x:c r="B9" s="20" t="str">
        <x:v>0 absent/no verified presence; 1–2 low; 3–4 moderate; 5–6 significant/high; 7–8 very high/entrenched; 9–10 dominant/systemic.</x:v>
      </x:c>
    </x:row>
    <x:row r="10">
      <x:c r="A10" s="14" t="str">
        <x:v>Generated</x:v>
      </x:c>
      <x:c r="B10" s="20" t="str">
        <x:v>2026-05-19</x:v>
      </x:c>
    </x:row>
    <x:row r="11">
      <x:c r="A11" s="20" t="str">
        <x:v>Score colours</x:v>
      </x:c>
      <x:c r="B11" s="20" t="str">
        <x:v>Scores 0 through 10 each have a distinct colour. Blank and No data cells remain neutral.</x:v>
      </x:c>
    </x:row>
    <x:row r="12">
      <x:c r="A12" s="134" t="str">
        <x:v>Colour legend</x:v>
      </x:c>
      <x:c r="B12" s="278" t="str">
        <x:v>See Score_Color_Legend for the exact 0,1,2,3,4,5,6,7,8,9,10 colour mapping.</x:v>
      </x:c>
    </x:row>
    <x:row r="13">
      <x:c r="A13" s="134" t="str">
        <x:v>Leaflet country scope</x:v>
      </x:c>
      <x:c r="B13" s="278" t="str">
        <x:v>Filtered to 123 ResurgamHub-mentioned country/country-area rows that can be represented as Leaflet point features and joined to polygons by ISO3/M49.</x:v>
      </x:c>
    </x:row>
    <x:row r="14">
      <x:c r="A14" s="134" t="str">
        <x:v>Leaflet sheets</x:v>
      </x:c>
      <x:c r="B14" s="278" t="str">
        <x:v>Use Country_Config for the selectable country list; use Map_Data Q:Z and GeoJSON_Export for Leaflet-ready output.</x:v>
      </x:c>
    </x:row>
    <x:row r="15">
      <x:c r="A15" s="352" t="str">
        <x:v>GeoJSON export</x:v>
      </x:c>
      <x:c r="B15" s="352" t="str">
        <x:v>GeoJSON_Export provides prefix, 123 per-feature rows, and suffix.</x:v>
      </x:c>
    </x:row>
    <x:row r="16">
      <x:c r="A16" s="352" t="str">
        <x:v>USA handling</x:v>
      </x:c>
      <x:c r="B16" s="352" t="str">
        <x:v>United States is shown as one selectable country named United States / ISO3=USA. U.S. states are not separate country rows.</x:v>
      </x:c>
    </x:row>
    <x:row r="17">
      <x:c r="A17" s="352" t="str">
        <x:v>Traceability</x:v>
      </x:c>
      <x:c r="B17" s="352" t="str">
        <x:v>See ResurgamHub_Countries for the normalized country list, source groups, example URLs, and normalization notes.</x:v>
      </x:c>
    </x:row>
    <x:row r="18">
      <x:c r="A18" s="20" t="str">
        <x:v>Excluded terms</x:v>
      </x:c>
      <x:c r="B18" s="20" t="str">
        <x:v>See Excluded_Not_Countries for non-country/subnational/region terms that were not added as country rows.</x:v>
      </x:c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369" t="str">
        <x:v>Influence scoring dashboard — ResurgamHub-mentioned countries only</x:v>
      </x:c>
      <x:c r="B1" s="369"/>
      <x:c r="C1" s="369"/>
      <x:c r="D1" s="369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 ht="28" customHeight="1">
      <x:c r="A3" s="370" t="str">
        <x:v>Metric</x:v>
      </x:c>
      <x:c r="B3" s="370" t="str">
        <x:v>Value</x:v>
      </x:c>
      <x:c r="C3" s="370" t="str">
        <x:v>Notes</x:v>
      </x:c>
      <x:c r="D3" s="370"/>
      <x:c r="E3" s="20"/>
      <x:c r="F3" s="20"/>
      <x:c r="G3" s="20"/>
      <x:c r="H3" s="20"/>
      <x:c r="I3" s="20"/>
      <x:c r="J3" s="20"/>
    </x:row>
    <x:row r="4">
      <x:c r="A4" s="20" t="str">
        <x:v>Countries / areas</x:v>
      </x:c>
      <x:c r="B4" s="20" t="n">
        <x:v>123</x:v>
      </x:c>
      <x:c r="C4" s="20" t="str">
        <x:v>Filtered to normalized country/country-area mentions found in ResurgamHub materials; USA is one row.</x:v>
      </x:c>
      <x:c r="D4" s="20"/>
      <x:c r="E4" s="20"/>
      <x:c r="F4" s="20"/>
      <x:c r="G4" s="20"/>
      <x:c r="H4" s="20"/>
      <x:c r="I4" s="20"/>
      <x:c r="J4" s="20"/>
    </x:row>
    <x:row r="5">
      <x:c r="A5" s="20" t="str">
        <x:v>Actors</x:v>
      </x:c>
      <x:c r="B5" s="20" t="n">
        <x:v>4</x:v>
      </x:c>
      <x:c r="C5" s="20" t="str">
        <x:v>Russia, China, United States, European Union.</x:v>
      </x:c>
      <x:c r="D5" s="20"/>
      <x:c r="E5" s="20"/>
      <x:c r="F5" s="20"/>
      <x:c r="G5" s="20"/>
      <x:c r="H5" s="20"/>
      <x:c r="I5" s="20"/>
      <x:c r="J5" s="20"/>
    </x:row>
    <x:row r="6">
      <x:c r="A6" s="20" t="str">
        <x:v>Subfactors per actor</x:v>
      </x:c>
      <x:c r="B6" s="20" t="n">
        <x:v>4</x:v>
      </x:c>
      <x:c r="C6" s="20" t="str">
        <x:v>Same four subfactors for every actor.</x:v>
      </x:c>
      <x:c r="D6" s="20"/>
      <x:c r="E6" s="20"/>
      <x:c r="F6" s="20"/>
      <x:c r="G6" s="20"/>
      <x:c r="H6" s="20"/>
      <x:c r="I6" s="20"/>
      <x:c r="J6" s="20"/>
    </x:row>
    <x:row r="7">
      <x:c r="A7" s="20" t="str">
        <x:v>Country-actor scoring rows</x:v>
      </x:c>
      <x:c r="B7" s="20" t="n">
        <x:v>492</x:v>
      </x:c>
      <x:c r="C7" s="20" t="str">
        <x:v>One row per ResurgamHub country/area per actor.</x:v>
      </x:c>
      <x:c r="D7" s="20"/>
      <x:c r="E7" s="20"/>
      <x:c r="F7" s="20"/>
      <x:c r="G7" s="20"/>
      <x:c r="H7" s="20"/>
      <x:c r="I7" s="20"/>
      <x:c r="J7" s="20"/>
    </x:row>
    <x:row r="8">
      <x:c r="A8" s="20" t="str">
        <x:v>Country-actor-subfactor evidence slots</x:v>
      </x:c>
      <x:c r="B8" s="20" t="n">
        <x:v>1968</x:v>
      </x:c>
      <x:c r="C8" s="20" t="str">
        <x:v>One placeholder slot per country/actor/subfactor.</x:v>
      </x:c>
      <x:c r="D8" s="20"/>
      <x:c r="E8" s="20"/>
      <x:c r="F8" s="20"/>
      <x:c r="G8" s="20"/>
      <x:c r="H8" s="20"/>
      <x:c r="I8" s="20"/>
      <x:c r="J8" s="20"/>
    </x:row>
    <x:row r="9">
      <x:c r="A9" s="20" t="str">
        <x:v>Scored actor-country rows</x:v>
      </x:c>
      <x:c r="B9" s="20" t="n">
        <x:f>COUNT(Scoring_Matrix!$X:$X)</x:f>
        <x:v>492</x:v>
      </x:c>
      <x:c r="C9" s="20" t="str">
        <x:v>Formula counts numeric Actor_Influence_Score_0_10 values in Scoring_Matrix.</x:v>
      </x:c>
      <x:c r="D9" s="20"/>
      <x:c r="E9" s="20"/>
      <x:c r="F9" s="20"/>
      <x:c r="G9" s="20"/>
      <x:c r="H9" s="20"/>
      <x:c r="I9" s="20"/>
      <x:c r="J9" s="20"/>
    </x:row>
    <x:row r="10">
      <x:c r="A10" s="20" t="str">
        <x:v>Source-complete actor-country rows</x:v>
      </x:c>
      <x:c r="B10" s="20" t="n">
        <x:f>COUNTIF(Scoring_Matrix!$Y:$Y,"Source-complete")</x:f>
        <x:v>492</x:v>
      </x:c>
      <x:c r="C10" s="20" t="str">
        <x:v>Formula counts rows with all four subfactor source URLs.</x:v>
      </x:c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 ht="28" customHeight="1">
      <x:c r="A13" s="387" t="str">
        <x:v>Actor</x:v>
      </x:c>
      <x:c r="B13" s="387" t="str">
        <x:v>Scored countries</x:v>
      </x:c>
      <x:c r="C13" s="387" t="str">
        <x:v>Average influence score (0–10)</x:v>
      </x:c>
      <x:c r="D13" s="387" t="str">
        <x:v>Source-complete countries</x:v>
      </x:c>
      <x:c r="E13" s="20"/>
      <x:c r="F13" s="20"/>
      <x:c r="G13" s="20"/>
      <x:c r="H13" s="20"/>
      <x:c r="I13" s="20"/>
      <x:c r="J13" s="20"/>
    </x:row>
    <x:row r="14">
      <x:c r="A14" s="20" t="str">
        <x:v>Russia</x:v>
      </x:c>
      <x:c r="B14" s="20" t="n">
        <x:f>COUNTIFS(Scoring_Matrix!$I:$I,A14,Scoring_Matrix!$X:$X,"&gt;=0")</x:f>
        <x:v>123</x:v>
      </x:c>
      <x:c r="C14" s="20" t="n">
        <x:f>IF(B14=0,"No data",SUMIFS(Scoring_Matrix!$X:$X,Scoring_Matrix!$I:$I,A14)/B14)</x:f>
        <x:v>2.089430894308943</x:v>
      </x:c>
      <x:c r="D14" s="20" t="n">
        <x:f>COUNTIFS(Scoring_Matrix!$I:$I,A14,Scoring_Matrix!$Y:$Y,"Source-complete")</x:f>
        <x:v>123</x:v>
      </x:c>
      <x:c r="E14" s="20"/>
      <x:c r="F14" s="20"/>
      <x:c r="G14" s="20"/>
      <x:c r="H14" s="20"/>
      <x:c r="I14" s="20"/>
      <x:c r="J14" s="20"/>
    </x:row>
    <x:row r="15">
      <x:c r="A15" s="20" t="str">
        <x:v>China</x:v>
      </x:c>
      <x:c r="B15" s="20" t="n">
        <x:f>COUNTIFS(Scoring_Matrix!$I:$I,A15,Scoring_Matrix!$X:$X,"&gt;=0")</x:f>
        <x:v>123</x:v>
      </x:c>
      <x:c r="C15" s="20" t="n">
        <x:f>IF(B15=0,"No data",SUMIFS(Scoring_Matrix!$X:$X,Scoring_Matrix!$I:$I,A15)/B15)</x:f>
        <x:v>2.1707317073170733</x:v>
      </x:c>
      <x:c r="D15" s="20" t="n">
        <x:f>COUNTIFS(Scoring_Matrix!$I:$I,A15,Scoring_Matrix!$Y:$Y,"Source-complete")</x:f>
        <x:v>123</x:v>
      </x:c>
      <x:c r="E15" s="20"/>
      <x:c r="F15" s="20"/>
      <x:c r="G15" s="20"/>
      <x:c r="H15" s="20"/>
      <x:c r="I15" s="20"/>
      <x:c r="J15" s="20"/>
    </x:row>
    <x:row r="16">
      <x:c r="A16" s="20" t="str">
        <x:v>United States</x:v>
      </x:c>
      <x:c r="B16" s="20" t="n">
        <x:f>COUNTIFS(Scoring_Matrix!$I:$I,A16,Scoring_Matrix!$X:$X,"&gt;=0")</x:f>
        <x:v>123</x:v>
      </x:c>
      <x:c r="C16" s="20" t="n">
        <x:f>IF(B16=0,"No data",SUMIFS(Scoring_Matrix!$X:$X,Scoring_Matrix!$I:$I,A16)/B16)</x:f>
        <x:v>3.1239837398373984</x:v>
      </x:c>
      <x:c r="D16" s="20" t="n">
        <x:f>COUNTIFS(Scoring_Matrix!$I:$I,A16,Scoring_Matrix!$Y:$Y,"Source-complete")</x:f>
        <x:v>123</x:v>
      </x:c>
      <x:c r="E16" s="20"/>
      <x:c r="F16" s="20"/>
      <x:c r="G16" s="20"/>
      <x:c r="H16" s="20"/>
      <x:c r="I16" s="20"/>
      <x:c r="J16" s="20"/>
    </x:row>
    <x:row r="17">
      <x:c r="A17" s="20" t="str">
        <x:v>European Union</x:v>
      </x:c>
      <x:c r="B17" s="20" t="n">
        <x:f>COUNTIFS(Scoring_Matrix!$I:$I,A17,Scoring_Matrix!$X:$X,"&gt;=0")</x:f>
        <x:v>123</x:v>
      </x:c>
      <x:c r="C17" s="20" t="n">
        <x:f>IF(B17=0,"No data",SUMIFS(Scoring_Matrix!$X:$X,Scoring_Matrix!$I:$I,A17)/B17)</x:f>
        <x:v>1.9369918699186992</x:v>
      </x:c>
      <x:c r="D17" s="20" t="n">
        <x:f>COUNTIFS(Scoring_Matrix!$I:$I,A17,Scoring_Matrix!$Y:$Y,"Source-complete")</x:f>
        <x:v>123</x:v>
      </x:c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  <x:row r="21">
      <x:c r="A21" s="14" t="str">
        <x:v>Workflow checkpoints</x:v>
      </x:c>
      <x:c r="B21" s="20"/>
      <x:c r="C21" s="20"/>
      <x:c r="D21" s="20"/>
      <x:c r="E21" s="20"/>
      <x:c r="F21" s="20"/>
      <x:c r="G21" s="20"/>
      <x:c r="H21" s="20"/>
      <x:c r="I21" s="20"/>
      <x:c r="J21" s="20"/>
    </x:row>
    <x:row r="22">
      <x:c r="A22" s="20" t="str">
        <x:v>1</x:v>
      </x:c>
      <x:c r="B22" s="20" t="str">
        <x:v>Enter evidence</x:v>
      </x:c>
      <x:c r="C22" s="20" t="str">
        <x:v>Use Evidence_Log for granular source records; keep country, actor and subfactor aligned.</x:v>
      </x:c>
      <x:c r="D22" s="20"/>
      <x:c r="E22" s="20"/>
      <x:c r="F22" s="20"/>
      <x:c r="G22" s="20"/>
      <x:c r="H22" s="20"/>
      <x:c r="I22" s="20"/>
      <x:c r="J22" s="20"/>
    </x:row>
    <x:row r="23">
      <x:c r="A23" s="20" t="str">
        <x:v>2</x:v>
      </x:c>
      <x:c r="B23" s="20" t="str">
        <x:v>Score subfactors</x:v>
      </x:c>
      <x:c r="C23" s="20" t="str">
        <x:v>Populate Scoring_Matrix score/confidence/source cells only when a source URL supports the 0–10 value.</x:v>
      </x:c>
      <x:c r="D23" s="20"/>
      <x:c r="E23" s="20"/>
      <x:c r="F23" s="20"/>
      <x:c r="G23" s="20"/>
      <x:c r="H23" s="20"/>
      <x:c r="I23" s="20"/>
      <x:c r="J23" s="20"/>
    </x:row>
    <x:row r="24">
      <x:c r="A24" s="20" t="str">
        <x:v>3</x:v>
      </x:c>
      <x:c r="B24" s="20" t="str">
        <x:v>Review rollups</x:v>
      </x:c>
      <x:c r="C24" s="20" t="str">
        <x:v>Actor_Influence_Score_0_10 is a weighted formula across sourced 0–10 subfactor scores.</x:v>
      </x:c>
      <x:c r="D24" s="20"/>
      <x:c r="E24" s="20"/>
      <x:c r="F24" s="20"/>
      <x:c r="G24" s="20"/>
      <x:c r="H24" s="20"/>
      <x:c r="I24" s="20"/>
      <x:c r="J24" s="20"/>
    </x:row>
    <x:row r="25">
      <x:c r="A25" s="20" t="str">
        <x:v>4</x:v>
      </x:c>
      <x:c r="B25" s="20" t="str">
        <x:v>Map</x:v>
      </x:c>
      <x:c r="C25" s="20" t="str">
        <x:v>Use Map_Data for country-level map exports after sufficient evidence coverage.</x:v>
      </x:c>
      <x:c r="D25" s="20"/>
      <x:c r="E25" s="20"/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369" t="str">
        <x:v>Leaflet scope</x:v>
      </x:c>
      <x:c r="B27" s="369"/>
      <x:c r="C27" s="369"/>
      <x:c r="D27" s="369"/>
      <x:c r="E27" s="20"/>
      <x:c r="F27" s="20"/>
      <x:c r="G27" s="20"/>
      <x:c r="H27" s="20"/>
      <x:c r="I27" s="20"/>
      <x:c r="J27" s="20"/>
    </x:row>
    <x:row r="28">
      <x:c r="A28" s="352" t="str">
        <x:v>Country_Config rows</x:v>
      </x:c>
      <x:c r="B28" s="352" t="n">
        <x:v>123</x:v>
      </x:c>
      <x:c r="C28" s="352" t="str">
        <x:v>Only ResurgamHub-mentioned country/country-area rows, all Include_on_Map = Yes.</x:v>
      </x:c>
      <x:c r="D28" s="352"/>
      <x:c r="E28" s="20"/>
      <x:c r="F28" s="20"/>
      <x:c r="G28" s="20"/>
      <x:c r="H28" s="20"/>
      <x:c r="I28" s="20"/>
      <x:c r="J28" s="20"/>
    </x:row>
    <x:row r="29">
      <x:c r="A29" s="352" t="str">
        <x:v>Map_Data Leaflet columns</x:v>
      </x:c>
      <x:c r="B29" s="352" t="str">
        <x:v>Q:Z</x:v>
      </x:c>
      <x:c r="C29" s="352" t="str">
        <x:v>Colour, join key, GeoJSON point, feature properties and notes.</x:v>
      </x:c>
      <x:c r="D29" s="352"/>
      <x:c r="E29" s="20"/>
      <x:c r="F29" s="20"/>
      <x:c r="G29" s="20"/>
      <x:c r="H29" s="20"/>
      <x:c r="I29" s="20"/>
      <x:c r="J29" s="20"/>
    </x:row>
    <x:row r="30">
      <x:c r="A30" s="352" t="str">
        <x:v>GeoJSON feature rows</x:v>
      </x:c>
      <x:c r="B30" s="352" t="n">
        <x:v>123</x:v>
      </x:c>
      <x:c r="C30" s="352" t="str">
        <x:v>Rows GeoJSON_Export!D7:D129 can be copied into a FeatureCollection.</x:v>
      </x:c>
      <x:c r="D30" s="352"/>
      <x:c r="E30" s="20"/>
      <x:c r="F30" s="20"/>
      <x:c r="G30" s="20"/>
      <x:c r="H30" s="20"/>
      <x:c r="I30" s="20"/>
      <x:c r="J30" s="20"/>
    </x:row>
  </x:sheetData>
  <x:mergeCells>
    <x:mergeCell ref="A21:J21"/>
    <x:mergeCell ref="A1:D1"/>
  </x:mergeCells>
  <x:conditionalFormatting sqref="C14:C17">
    <x:cfRule type="expression" dxfId="152" priority="1">
      <x:formula>OR(C14="",C14="No data")</x:formula>
    </x:cfRule>
    <x:cfRule type="expression" dxfId="153" priority="2">
      <x:formula>C14=0</x:formula>
    </x:cfRule>
    <x:cfRule type="expression" dxfId="154" priority="3">
      <x:formula>C14=1</x:formula>
    </x:cfRule>
    <x:cfRule type="expression" dxfId="155" priority="4">
      <x:formula>C14=2</x:formula>
    </x:cfRule>
    <x:cfRule type="expression" dxfId="156" priority="5">
      <x:formula>C14=3</x:formula>
    </x:cfRule>
    <x:cfRule type="expression" dxfId="157" priority="6">
      <x:formula>C14=4</x:formula>
    </x:cfRule>
    <x:cfRule type="expression" dxfId="158" priority="7">
      <x:formula>C14=5</x:formula>
    </x:cfRule>
    <x:cfRule type="expression" dxfId="159" priority="8">
      <x:formula>C14=6</x:formula>
    </x:cfRule>
    <x:cfRule type="expression" dxfId="160" priority="9">
      <x:formula>C14=7</x:formula>
    </x:cfRule>
    <x:cfRule type="expression" dxfId="161" priority="10">
      <x:formula>C14=8</x:formula>
    </x:cfRule>
    <x:cfRule type="expression" dxfId="162" priority="11">
      <x:formula>C14=9</x:formula>
    </x:cfRule>
    <x:cfRule type="expression" dxfId="163" priority="12">
      <x:formula>C14=10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9" hidden="0" customWidth="1"/>
    <x:col min="4" max="4" width="9" hidden="0" customWidth="1"/>
    <x:col min="5" max="5" width="9" hidden="0" customWidth="1"/>
    <x:col min="6" max="6" width="18" hidden="0" customWidth="1"/>
    <x:col min="7" max="7" width="18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28" customHeight="1">
      <x:c r="A1" s="370" t="str">
        <x:v>Country_Name</x:v>
      </x:c>
      <x:c r="B1" s="370" t="str">
        <x:v>Official_Name</x:v>
      </x:c>
      <x:c r="C1" s="370" t="str">
        <x:v>ISO2</x:v>
      </x:c>
      <x:c r="D1" s="370" t="str">
        <x:v>ISO3</x:v>
      </x:c>
      <x:c r="E1" s="370" t="str">
        <x:v>M49</x:v>
      </x:c>
      <x:c r="F1" s="370" t="str">
        <x:v>UN_Region</x:v>
      </x:c>
      <x:c r="G1" s="370" t="str">
        <x:v>UN_Subregion</x:v>
      </x:c>
      <x:c r="H1" s="370" t="str">
        <x:v>Latitude</x:v>
      </x:c>
      <x:c r="I1" s="370" t="str">
        <x:v>Longitude</x:v>
      </x:c>
      <x:c r="J1" s="370" t="str">
        <x:v>Include_on_Map</x:v>
      </x:c>
      <x:c r="K1" s="370" t="str">
        <x:v>Data_Scope</x:v>
      </x:c>
      <x:c r="L1" s="370" t="str">
        <x:v>Verification_Status</x:v>
      </x:c>
      <x:c r="M1" s="370" t="str">
        <x:v>UN_M49_Source_URL</x:v>
      </x:c>
      <x:c r="N1" s="370" t="str">
        <x:v>Coordinate_Source_URL</x:v>
      </x:c>
      <x:c r="O1" s="370" t="str">
        <x:v>Coordinate_Source_Note</x:v>
      </x:c>
    </x:row>
    <x:row r="2">
      <x:c r="A2" s="20" t="str">
        <x:v>Afghanistan</x:v>
      </x:c>
      <x:c r="B2" s="20" t="str">
        <x:v>Islamic Republic of Afghanistan</x:v>
      </x:c>
      <x:c r="C2" s="20" t="str">
        <x:v>AF</x:v>
      </x:c>
      <x:c r="D2" s="20" t="str">
        <x:v>AFG</x:v>
      </x:c>
      <x:c r="E2" s="20" t="str">
        <x:v>004</x:v>
      </x:c>
      <x:c r="F2" s="20" t="str">
        <x:v>Asia</x:v>
      </x:c>
      <x:c r="G2" s="20" t="str">
        <x:v>Southern Asia</x:v>
      </x:c>
      <x:c r="H2" s="20" t="n">
        <x:v>33</x:v>
      </x:c>
      <x:c r="I2" s="20" t="n">
        <x:v>65</x:v>
      </x:c>
      <x:c r="J2" s="20" t="str">
        <x:v>Yes</x:v>
      </x:c>
      <x:c r="K2" s="20" t="str">
        <x:v>ResurgamHub-mentioned Leaflet country/area</x:v>
      </x:c>
      <x:c r="L2" s="20" t="str">
        <x:v>ResurgamHub mention list; ISO/M49 verified; centroid approximate</x:v>
      </x:c>
      <x:c r="M2" s="20" t="str">
        <x:v>https://unstats.un.org/unsd/methodology/m49/overview</x:v>
      </x:c>
      <x:c r="N2" s="20" t="str">
        <x:v>https://restcountries.com/</x:v>
      </x:c>
      <x:c r="O2" s="20" t="str">
        <x:v>REST Countries / CountryInfo latlng snapshot</x:v>
      </x:c>
    </x:row>
    <x:row r="3">
      <x:c r="A3" s="20" t="str">
        <x:v>Algeria</x:v>
      </x:c>
      <x:c r="B3" s="20" t="str">
        <x:v>People's Democratic Republic of Algeria</x:v>
      </x:c>
      <x:c r="C3" s="20" t="str">
        <x:v>DZ</x:v>
      </x:c>
      <x:c r="D3" s="20" t="str">
        <x:v>DZA</x:v>
      </x:c>
      <x:c r="E3" s="20" t="str">
        <x:v>012</x:v>
      </x:c>
      <x:c r="F3" s="20" t="str">
        <x:v>Africa</x:v>
      </x:c>
      <x:c r="G3" s="20" t="str">
        <x:v>Northern Africa</x:v>
      </x:c>
      <x:c r="H3" s="20" t="n">
        <x:v>28</x:v>
      </x:c>
      <x:c r="I3" s="20" t="n">
        <x:v>3</x:v>
      </x:c>
      <x:c r="J3" s="20" t="str">
        <x:v>Yes</x:v>
      </x:c>
      <x:c r="K3" s="20" t="str">
        <x:v>ResurgamHub-mentioned Leaflet country/area</x:v>
      </x:c>
      <x:c r="L3" s="20" t="str">
        <x:v>ResurgamHub mention list; ISO/M49 verified; centroid approximate</x:v>
      </x:c>
      <x:c r="M3" s="20" t="str">
        <x:v>https://unstats.un.org/unsd/methodology/m49/overview</x:v>
      </x:c>
      <x:c r="N3" s="20" t="str">
        <x:v>https://restcountries.com/</x:v>
      </x:c>
      <x:c r="O3" s="20" t="str">
        <x:v>REST Countries / CountryInfo latlng snapshot</x:v>
      </x:c>
    </x:row>
    <x:row r="4">
      <x:c r="A4" s="20" t="str">
        <x:v>Argentina</x:v>
      </x:c>
      <x:c r="B4" s="20" t="str">
        <x:v>Argentine Republic</x:v>
      </x:c>
      <x:c r="C4" s="20" t="str">
        <x:v>AR</x:v>
      </x:c>
      <x:c r="D4" s="20" t="str">
        <x:v>ARG</x:v>
      </x:c>
      <x:c r="E4" s="20" t="str">
        <x:v>032</x:v>
      </x:c>
      <x:c r="F4" s="20" t="str">
        <x:v>Americas</x:v>
      </x:c>
      <x:c r="G4" s="20" t="str">
        <x:v>South America</x:v>
      </x:c>
      <x:c r="H4" s="20" t="n">
        <x:v>-34</x:v>
      </x:c>
      <x:c r="I4" s="20" t="n">
        <x:v>-64</x:v>
      </x:c>
      <x:c r="J4" s="20" t="str">
        <x:v>Yes</x:v>
      </x:c>
      <x:c r="K4" s="20" t="str">
        <x:v>ResurgamHub-mentioned Leaflet country/area</x:v>
      </x:c>
      <x:c r="L4" s="20" t="str">
        <x:v>ResurgamHub mention list; ISO/M49 verified; centroid approximate</x:v>
      </x:c>
      <x:c r="M4" s="20" t="str">
        <x:v>https://unstats.un.org/unsd/methodology/m49/overview</x:v>
      </x:c>
      <x:c r="N4" s="20" t="str">
        <x:v>https://restcountries.com/</x:v>
      </x:c>
      <x:c r="O4" s="20" t="str">
        <x:v>REST Countries / CountryInfo latlng snapshot</x:v>
      </x:c>
    </x:row>
    <x:row r="5">
      <x:c r="A5" s="20" t="str">
        <x:v>Armenia</x:v>
      </x:c>
      <x:c r="B5" s="20" t="str">
        <x:v>Republic of Armenia</x:v>
      </x:c>
      <x:c r="C5" s="20" t="str">
        <x:v>AM</x:v>
      </x:c>
      <x:c r="D5" s="20" t="str">
        <x:v>ARM</x:v>
      </x:c>
      <x:c r="E5" s="20" t="str">
        <x:v>051</x:v>
      </x:c>
      <x:c r="F5" s="20" t="str">
        <x:v>Asia</x:v>
      </x:c>
      <x:c r="G5" s="20" t="str">
        <x:v>Western Asia</x:v>
      </x:c>
      <x:c r="H5" s="20" t="n">
        <x:v>40</x:v>
      </x:c>
      <x:c r="I5" s="20" t="n">
        <x:v>45</x:v>
      </x:c>
      <x:c r="J5" s="20" t="str">
        <x:v>Yes</x:v>
      </x:c>
      <x:c r="K5" s="20" t="str">
        <x:v>ResurgamHub-mentioned Leaflet country/area</x:v>
      </x:c>
      <x:c r="L5" s="20" t="str">
        <x:v>ResurgamHub mention list; ISO/M49 verified; centroid approximate</x:v>
      </x:c>
      <x:c r="M5" s="20" t="str">
        <x:v>https://unstats.un.org/unsd/methodology/m49/overview</x:v>
      </x:c>
      <x:c r="N5" s="20" t="str">
        <x:v>https://restcountries.com/</x:v>
      </x:c>
      <x:c r="O5" s="20" t="str">
        <x:v>REST Countries / CountryInfo latlng snapshot</x:v>
      </x:c>
    </x:row>
    <x:row r="6">
      <x:c r="A6" s="20" t="str">
        <x:v>Australia</x:v>
      </x:c>
      <x:c r="B6" s="20"/>
      <x:c r="C6" s="20" t="str">
        <x:v>AU</x:v>
      </x:c>
      <x:c r="D6" s="20" t="str">
        <x:v>AUS</x:v>
      </x:c>
      <x:c r="E6" s="20" t="str">
        <x:v>036</x:v>
      </x:c>
      <x:c r="F6" s="20" t="str">
        <x:v>Oceania</x:v>
      </x:c>
      <x:c r="G6" s="20" t="str">
        <x:v>Australia and New Zealand</x:v>
      </x:c>
      <x:c r="H6" s="20" t="n">
        <x:v>-27</x:v>
      </x:c>
      <x:c r="I6" s="20" t="n">
        <x:v>133</x:v>
      </x:c>
      <x:c r="J6" s="20" t="str">
        <x:v>Yes</x:v>
      </x:c>
      <x:c r="K6" s="20" t="str">
        <x:v>ResurgamHub-mentioned Leaflet country/area</x:v>
      </x:c>
      <x:c r="L6" s="20" t="str">
        <x:v>ResurgamHub mention list; ISO/M49 verified; centroid approximate</x:v>
      </x:c>
      <x:c r="M6" s="20" t="str">
        <x:v>https://unstats.un.org/unsd/methodology/m49/overview</x:v>
      </x:c>
      <x:c r="N6" s="20" t="str">
        <x:v>https://restcountries.com/</x:v>
      </x:c>
      <x:c r="O6" s="20" t="str">
        <x:v>REST Countries / CountryInfo latlng snapshot</x:v>
      </x:c>
    </x:row>
    <x:row r="7">
      <x:c r="A7" s="20" t="str">
        <x:v>Austria</x:v>
      </x:c>
      <x:c r="B7" s="20" t="str">
        <x:v>Republic of Austria</x:v>
      </x:c>
      <x:c r="C7" s="20" t="str">
        <x:v>AT</x:v>
      </x:c>
      <x:c r="D7" s="20" t="str">
        <x:v>AUT</x:v>
      </x:c>
      <x:c r="E7" s="20" t="str">
        <x:v>040</x:v>
      </x:c>
      <x:c r="F7" s="20" t="str">
        <x:v>Europe</x:v>
      </x:c>
      <x:c r="G7" s="20" t="str">
        <x:v>Western Europe</x:v>
      </x:c>
      <x:c r="H7" s="20" t="n">
        <x:v>47.33333333</x:v>
      </x:c>
      <x:c r="I7" s="20" t="n">
        <x:v>13.33333333</x:v>
      </x:c>
      <x:c r="J7" s="20" t="str">
        <x:v>Yes</x:v>
      </x:c>
      <x:c r="K7" s="20" t="str">
        <x:v>ResurgamHub-mentioned Leaflet country/area</x:v>
      </x:c>
      <x:c r="L7" s="20" t="str">
        <x:v>ResurgamHub mention list; ISO/M49 verified; centroid approximate</x:v>
      </x:c>
      <x:c r="M7" s="20" t="str">
        <x:v>https://unstats.un.org/unsd/methodology/m49/overview</x:v>
      </x:c>
      <x:c r="N7" s="20" t="str">
        <x:v>https://restcountries.com/</x:v>
      </x:c>
      <x:c r="O7" s="20" t="str">
        <x:v>REST Countries / CountryInfo latlng snapshot</x:v>
      </x:c>
    </x:row>
    <x:row r="8">
      <x:c r="A8" s="20" t="str">
        <x:v>Azerbaijan</x:v>
      </x:c>
      <x:c r="B8" s="20" t="str">
        <x:v>Republic of Azerbaijan</x:v>
      </x:c>
      <x:c r="C8" s="20" t="str">
        <x:v>AZ</x:v>
      </x:c>
      <x:c r="D8" s="20" t="str">
        <x:v>AZE</x:v>
      </x:c>
      <x:c r="E8" s="20" t="str">
        <x:v>031</x:v>
      </x:c>
      <x:c r="F8" s="20" t="str">
        <x:v>Asia</x:v>
      </x:c>
      <x:c r="G8" s="20" t="str">
        <x:v>Western Asia</x:v>
      </x:c>
      <x:c r="H8" s="20" t="n">
        <x:v>40.5</x:v>
      </x:c>
      <x:c r="I8" s="20" t="n">
        <x:v>47.5</x:v>
      </x:c>
      <x:c r="J8" s="20" t="str">
        <x:v>Yes</x:v>
      </x:c>
      <x:c r="K8" s="20" t="str">
        <x:v>ResurgamHub-mentioned Leaflet country/area</x:v>
      </x:c>
      <x:c r="L8" s="20" t="str">
        <x:v>ResurgamHub mention list; ISO/M49 verified; centroid approximate</x:v>
      </x:c>
      <x:c r="M8" s="20" t="str">
        <x:v>https://unstats.un.org/unsd/methodology/m49/overview</x:v>
      </x:c>
      <x:c r="N8" s="20" t="str">
        <x:v>https://restcountries.com/</x:v>
      </x:c>
      <x:c r="O8" s="20" t="str">
        <x:v>REST Countries / CountryInfo latlng snapshot</x:v>
      </x:c>
    </x:row>
    <x:row r="9">
      <x:c r="A9" s="20" t="str">
        <x:v>Bahrain</x:v>
      </x:c>
      <x:c r="B9" s="20" t="str">
        <x:v>Kingdom of Bahrain</x:v>
      </x:c>
      <x:c r="C9" s="20" t="str">
        <x:v>BH</x:v>
      </x:c>
      <x:c r="D9" s="20" t="str">
        <x:v>BHR</x:v>
      </x:c>
      <x:c r="E9" s="20" t="str">
        <x:v>048</x:v>
      </x:c>
      <x:c r="F9" s="20" t="str">
        <x:v>Asia</x:v>
      </x:c>
      <x:c r="G9" s="20" t="str">
        <x:v>Western Asia</x:v>
      </x:c>
      <x:c r="H9" s="20" t="n">
        <x:v>26</x:v>
      </x:c>
      <x:c r="I9" s="20" t="n">
        <x:v>50.55</x:v>
      </x:c>
      <x:c r="J9" s="20" t="str">
        <x:v>Yes</x:v>
      </x:c>
      <x:c r="K9" s="20" t="str">
        <x:v>ResurgamHub-mentioned Leaflet country/area</x:v>
      </x:c>
      <x:c r="L9" s="20" t="str">
        <x:v>ResurgamHub mention list; ISO/M49 verified; centroid approximate</x:v>
      </x:c>
      <x:c r="M9" s="20" t="str">
        <x:v>https://unstats.un.org/unsd/methodology/m49/overview</x:v>
      </x:c>
      <x:c r="N9" s="20" t="str">
        <x:v>https://restcountries.com/</x:v>
      </x:c>
      <x:c r="O9" s="20" t="str">
        <x:v>REST Countries / CountryInfo latlng snapshot</x:v>
      </x:c>
    </x:row>
    <x:row r="10">
      <x:c r="A10" s="20" t="str">
        <x:v>Belarus</x:v>
      </x:c>
      <x:c r="B10" s="20" t="str">
        <x:v>Republic of Belarus</x:v>
      </x:c>
      <x:c r="C10" s="20" t="str">
        <x:v>BY</x:v>
      </x:c>
      <x:c r="D10" s="20" t="str">
        <x:v>BLR</x:v>
      </x:c>
      <x:c r="E10" s="20" t="str">
        <x:v>112</x:v>
      </x:c>
      <x:c r="F10" s="20" t="str">
        <x:v>Europe</x:v>
      </x:c>
      <x:c r="G10" s="20" t="str">
        <x:v>Eastern Europe</x:v>
      </x:c>
      <x:c r="H10" s="20" t="n">
        <x:v>53</x:v>
      </x:c>
      <x:c r="I10" s="20" t="n">
        <x:v>28</x:v>
      </x:c>
      <x:c r="J10" s="20" t="str">
        <x:v>Yes</x:v>
      </x:c>
      <x:c r="K10" s="20" t="str">
        <x:v>ResurgamHub-mentioned Leaflet country/area</x:v>
      </x:c>
      <x:c r="L10" s="20" t="str">
        <x:v>ResurgamHub mention list; ISO/M49 verified; centroid approximate</x:v>
      </x:c>
      <x:c r="M10" s="20" t="str">
        <x:v>https://unstats.un.org/unsd/methodology/m49/overview</x:v>
      </x:c>
      <x:c r="N10" s="20" t="str">
        <x:v>https://restcountries.com/</x:v>
      </x:c>
      <x:c r="O10" s="20" t="str">
        <x:v>REST Countries / CountryInfo latlng snapshot</x:v>
      </x:c>
    </x:row>
    <x:row r="11">
      <x:c r="A11" s="20" t="str">
        <x:v>Benin</x:v>
      </x:c>
      <x:c r="B11" s="20" t="str">
        <x:v>Republic of Benin</x:v>
      </x:c>
      <x:c r="C11" s="20" t="str">
        <x:v>BJ</x:v>
      </x:c>
      <x:c r="D11" s="20" t="str">
        <x:v>BEN</x:v>
      </x:c>
      <x:c r="E11" s="20" t="str">
        <x:v>204</x:v>
      </x:c>
      <x:c r="F11" s="20" t="str">
        <x:v>Africa</x:v>
      </x:c>
      <x:c r="G11" s="20" t="str">
        <x:v>Western Africa</x:v>
      </x:c>
      <x:c r="H11" s="20" t="n">
        <x:v>9.5</x:v>
      </x:c>
      <x:c r="I11" s="20" t="n">
        <x:v>2.25</x:v>
      </x:c>
      <x:c r="J11" s="20" t="str">
        <x:v>Yes</x:v>
      </x:c>
      <x:c r="K11" s="20" t="str">
        <x:v>ResurgamHub-mentioned Leaflet country/area</x:v>
      </x:c>
      <x:c r="L11" s="20" t="str">
        <x:v>ResurgamHub mention list; ISO/M49 verified; centroid approximate</x:v>
      </x:c>
      <x:c r="M11" s="20" t="str">
        <x:v>https://unstats.un.org/unsd/methodology/m49/overview</x:v>
      </x:c>
      <x:c r="N11" s="20" t="str">
        <x:v>https://restcountries.com/</x:v>
      </x:c>
      <x:c r="O11" s="20" t="str">
        <x:v>REST Countries / CountryInfo latlng snapshot</x:v>
      </x:c>
    </x:row>
    <x:row r="12">
      <x:c r="A12" s="20" t="str">
        <x:v>Bolivia</x:v>
      </x:c>
      <x:c r="B12" s="20" t="str">
        <x:v>Plurinational State of Bolivia</x:v>
      </x:c>
      <x:c r="C12" s="20" t="str">
        <x:v>BO</x:v>
      </x:c>
      <x:c r="D12" s="20" t="str">
        <x:v>BOL</x:v>
      </x:c>
      <x:c r="E12" s="20" t="str">
        <x:v>068</x:v>
      </x:c>
      <x:c r="F12" s="20" t="str">
        <x:v>Americas</x:v>
      </x:c>
      <x:c r="G12" s="20" t="str">
        <x:v>South America</x:v>
      </x:c>
      <x:c r="H12" s="20" t="n">
        <x:v>-17</x:v>
      </x:c>
      <x:c r="I12" s="20" t="n">
        <x:v>-65</x:v>
      </x:c>
      <x:c r="J12" s="20" t="str">
        <x:v>Yes</x:v>
      </x:c>
      <x:c r="K12" s="20" t="str">
        <x:v>ResurgamHub-mentioned Leaflet country/area</x:v>
      </x:c>
      <x:c r="L12" s="20" t="str">
        <x:v>ResurgamHub mention list; ISO/M49 verified; centroid approximate</x:v>
      </x:c>
      <x:c r="M12" s="20" t="str">
        <x:v>https://unstats.un.org/unsd/methodology/m49/overview</x:v>
      </x:c>
      <x:c r="N12" s="20" t="str">
        <x:v>https://restcountries.com/</x:v>
      </x:c>
      <x:c r="O12" s="20" t="str">
        <x:v>REST Countries / CountryInfo latlng snapshot</x:v>
      </x:c>
    </x:row>
    <x:row r="13">
      <x:c r="A13" s="20" t="str">
        <x:v>Brazil</x:v>
      </x:c>
      <x:c r="B13" s="20" t="str">
        <x:v>Federative Republic of Brazil</x:v>
      </x:c>
      <x:c r="C13" s="20" t="str">
        <x:v>BR</x:v>
      </x:c>
      <x:c r="D13" s="20" t="str">
        <x:v>BRA</x:v>
      </x:c>
      <x:c r="E13" s="20" t="str">
        <x:v>076</x:v>
      </x:c>
      <x:c r="F13" s="20" t="str">
        <x:v>Americas</x:v>
      </x:c>
      <x:c r="G13" s="20" t="str">
        <x:v>South America</x:v>
      </x:c>
      <x:c r="H13" s="20" t="n">
        <x:v>-10</x:v>
      </x:c>
      <x:c r="I13" s="20" t="n">
        <x:v>-55</x:v>
      </x:c>
      <x:c r="J13" s="20" t="str">
        <x:v>Yes</x:v>
      </x:c>
      <x:c r="K13" s="20" t="str">
        <x:v>ResurgamHub-mentioned Leaflet country/area</x:v>
      </x:c>
      <x:c r="L13" s="20" t="str">
        <x:v>ResurgamHub mention list; ISO/M49 verified; centroid approximate</x:v>
      </x:c>
      <x:c r="M13" s="20" t="str">
        <x:v>https://unstats.un.org/unsd/methodology/m49/overview</x:v>
      </x:c>
      <x:c r="N13" s="20" t="str">
        <x:v>https://restcountries.com/</x:v>
      </x:c>
      <x:c r="O13" s="20" t="str">
        <x:v>REST Countries / CountryInfo latlng snapshot</x:v>
      </x:c>
    </x:row>
    <x:row r="14">
      <x:c r="A14" s="20" t="str">
        <x:v>Bulgaria</x:v>
      </x:c>
      <x:c r="B14" s="20" t="str">
        <x:v>Republic of Bulgaria</x:v>
      </x:c>
      <x:c r="C14" s="20" t="str">
        <x:v>BG</x:v>
      </x:c>
      <x:c r="D14" s="20" t="str">
        <x:v>BGR</x:v>
      </x:c>
      <x:c r="E14" s="20" t="str">
        <x:v>100</x:v>
      </x:c>
      <x:c r="F14" s="20" t="str">
        <x:v>Europe</x:v>
      </x:c>
      <x:c r="G14" s="20" t="str">
        <x:v>Eastern Europe</x:v>
      </x:c>
      <x:c r="H14" s="20" t="n">
        <x:v>43</x:v>
      </x:c>
      <x:c r="I14" s="20" t="n">
        <x:v>25</x:v>
      </x:c>
      <x:c r="J14" s="20" t="str">
        <x:v>Yes</x:v>
      </x:c>
      <x:c r="K14" s="20" t="str">
        <x:v>ResurgamHub-mentioned Leaflet country/area</x:v>
      </x:c>
      <x:c r="L14" s="20" t="str">
        <x:v>ResurgamHub mention list; ISO/M49 verified; centroid approximate</x:v>
      </x:c>
      <x:c r="M14" s="20" t="str">
        <x:v>https://unstats.un.org/unsd/methodology/m49/overview</x:v>
      </x:c>
      <x:c r="N14" s="20" t="str">
        <x:v>https://restcountries.com/</x:v>
      </x:c>
      <x:c r="O14" s="20" t="str">
        <x:v>REST Countries / CountryInfo latlng snapshot</x:v>
      </x:c>
    </x:row>
    <x:row r="15">
      <x:c r="A15" s="20" t="str">
        <x:v>Burkina Faso</x:v>
      </x:c>
      <x:c r="B15" s="20"/>
      <x:c r="C15" s="20" t="str">
        <x:v>BF</x:v>
      </x:c>
      <x:c r="D15" s="20" t="str">
        <x:v>BFA</x:v>
      </x:c>
      <x:c r="E15" s="20" t="str">
        <x:v>854</x:v>
      </x:c>
      <x:c r="F15" s="20" t="str">
        <x:v>Africa</x:v>
      </x:c>
      <x:c r="G15" s="20" t="str">
        <x:v>Western Africa</x:v>
      </x:c>
      <x:c r="H15" s="20" t="n">
        <x:v>13</x:v>
      </x:c>
      <x:c r="I15" s="20" t="n">
        <x:v>-2</x:v>
      </x:c>
      <x:c r="J15" s="20" t="str">
        <x:v>Yes</x:v>
      </x:c>
      <x:c r="K15" s="20" t="str">
        <x:v>ResurgamHub-mentioned Leaflet country/area</x:v>
      </x:c>
      <x:c r="L15" s="20" t="str">
        <x:v>ResurgamHub mention list; ISO/M49 verified; centroid approximate</x:v>
      </x:c>
      <x:c r="M15" s="20" t="str">
        <x:v>https://unstats.un.org/unsd/methodology/m49/overview</x:v>
      </x:c>
      <x:c r="N15" s="20" t="str">
        <x:v>https://restcountries.com/</x:v>
      </x:c>
      <x:c r="O15" s="20" t="str">
        <x:v>REST Countries / CountryInfo latlng snapshot</x:v>
      </x:c>
    </x:row>
    <x:row r="16">
      <x:c r="A16" s="20" t="str">
        <x:v>Burundi</x:v>
      </x:c>
      <x:c r="B16" s="20" t="str">
        <x:v>Republic of Burundi</x:v>
      </x:c>
      <x:c r="C16" s="20" t="str">
        <x:v>BI</x:v>
      </x:c>
      <x:c r="D16" s="20" t="str">
        <x:v>BDI</x:v>
      </x:c>
      <x:c r="E16" s="20" t="str">
        <x:v>108</x:v>
      </x:c>
      <x:c r="F16" s="20" t="str">
        <x:v>Africa</x:v>
      </x:c>
      <x:c r="G16" s="20" t="str">
        <x:v>Eastern Africa</x:v>
      </x:c>
      <x:c r="H16" s="20" t="n">
        <x:v>-3.5</x:v>
      </x:c>
      <x:c r="I16" s="20" t="n">
        <x:v>30</x:v>
      </x:c>
      <x:c r="J16" s="20" t="str">
        <x:v>Yes</x:v>
      </x:c>
      <x:c r="K16" s="20" t="str">
        <x:v>ResurgamHub-mentioned Leaflet country/area</x:v>
      </x:c>
      <x:c r="L16" s="20" t="str">
        <x:v>ResurgamHub mention list; ISO/M49 verified; centroid approximate</x:v>
      </x:c>
      <x:c r="M16" s="20" t="str">
        <x:v>https://unstats.un.org/unsd/methodology/m49/overview</x:v>
      </x:c>
      <x:c r="N16" s="20" t="str">
        <x:v>https://restcountries.com/</x:v>
      </x:c>
      <x:c r="O16" s="20" t="str">
        <x:v>REST Countries / CountryInfo latlng snapshot</x:v>
      </x:c>
    </x:row>
    <x:row r="17">
      <x:c r="A17" s="20" t="str">
        <x:v>Cambodia</x:v>
      </x:c>
      <x:c r="B17" s="20" t="str">
        <x:v>Kingdom of Cambodia</x:v>
      </x:c>
      <x:c r="C17" s="20" t="str">
        <x:v>KH</x:v>
      </x:c>
      <x:c r="D17" s="20" t="str">
        <x:v>KHM</x:v>
      </x:c>
      <x:c r="E17" s="20" t="str">
        <x:v>116</x:v>
      </x:c>
      <x:c r="F17" s="20" t="str">
        <x:v>Asia</x:v>
      </x:c>
      <x:c r="G17" s="20" t="str">
        <x:v>South-Eastern Asia</x:v>
      </x:c>
      <x:c r="H17" s="20" t="n">
        <x:v>13</x:v>
      </x:c>
      <x:c r="I17" s="20" t="n">
        <x:v>105</x:v>
      </x:c>
      <x:c r="J17" s="20" t="str">
        <x:v>Yes</x:v>
      </x:c>
      <x:c r="K17" s="20" t="str">
        <x:v>ResurgamHub-mentioned Leaflet country/area</x:v>
      </x:c>
      <x:c r="L17" s="20" t="str">
        <x:v>ResurgamHub mention list; ISO/M49 verified; centroid approximate</x:v>
      </x:c>
      <x:c r="M17" s="20" t="str">
        <x:v>https://unstats.un.org/unsd/methodology/m49/overview</x:v>
      </x:c>
      <x:c r="N17" s="20" t="str">
        <x:v>https://restcountries.com/</x:v>
      </x:c>
      <x:c r="O17" s="20" t="str">
        <x:v>REST Countries / CountryInfo latlng snapshot</x:v>
      </x:c>
    </x:row>
    <x:row r="18">
      <x:c r="A18" s="20" t="str">
        <x:v>Cameroon</x:v>
      </x:c>
      <x:c r="B18" s="20" t="str">
        <x:v>Republic of Cameroon</x:v>
      </x:c>
      <x:c r="C18" s="20" t="str">
        <x:v>CM</x:v>
      </x:c>
      <x:c r="D18" s="20" t="str">
        <x:v>CMR</x:v>
      </x:c>
      <x:c r="E18" s="20" t="str">
        <x:v>120</x:v>
      </x:c>
      <x:c r="F18" s="20" t="str">
        <x:v>Africa</x:v>
      </x:c>
      <x:c r="G18" s="20" t="str">
        <x:v>Middle Africa</x:v>
      </x:c>
      <x:c r="H18" s="20" t="n">
        <x:v>6</x:v>
      </x:c>
      <x:c r="I18" s="20" t="n">
        <x:v>12</x:v>
      </x:c>
      <x:c r="J18" s="20" t="str">
        <x:v>Yes</x:v>
      </x:c>
      <x:c r="K18" s="20" t="str">
        <x:v>ResurgamHub-mentioned Leaflet country/area</x:v>
      </x:c>
      <x:c r="L18" s="20" t="str">
        <x:v>ResurgamHub mention list; ISO/M49 verified; centroid approximate</x:v>
      </x:c>
      <x:c r="M18" s="20" t="str">
        <x:v>https://unstats.un.org/unsd/methodology/m49/overview</x:v>
      </x:c>
      <x:c r="N18" s="20" t="str">
        <x:v>https://restcountries.com/</x:v>
      </x:c>
      <x:c r="O18" s="20" t="str">
        <x:v>REST Countries / CountryInfo latlng snapshot</x:v>
      </x:c>
    </x:row>
    <x:row r="19">
      <x:c r="A19" s="20" t="str">
        <x:v>Canada</x:v>
      </x:c>
      <x:c r="B19" s="20"/>
      <x:c r="C19" s="20" t="str">
        <x:v>CA</x:v>
      </x:c>
      <x:c r="D19" s="20" t="str">
        <x:v>CAN</x:v>
      </x:c>
      <x:c r="E19" s="20" t="str">
        <x:v>124</x:v>
      </x:c>
      <x:c r="F19" s="20" t="str">
        <x:v>Americas</x:v>
      </x:c>
      <x:c r="G19" s="20" t="str">
        <x:v>Northern America</x:v>
      </x:c>
      <x:c r="H19" s="20" t="n">
        <x:v>60</x:v>
      </x:c>
      <x:c r="I19" s="20" t="n">
        <x:v>-95</x:v>
      </x:c>
      <x:c r="J19" s="20" t="str">
        <x:v>Yes</x:v>
      </x:c>
      <x:c r="K19" s="20" t="str">
        <x:v>ResurgamHub-mentioned Leaflet country/area</x:v>
      </x:c>
      <x:c r="L19" s="20" t="str">
        <x:v>ResurgamHub mention list; ISO/M49 verified; centroid approximate</x:v>
      </x:c>
      <x:c r="M19" s="20" t="str">
        <x:v>https://unstats.un.org/unsd/methodology/m49/overview</x:v>
      </x:c>
      <x:c r="N19" s="20" t="str">
        <x:v>https://restcountries.com/</x:v>
      </x:c>
      <x:c r="O19" s="20" t="str">
        <x:v>REST Countries / CountryInfo latlng snapshot</x:v>
      </x:c>
    </x:row>
    <x:row r="20">
      <x:c r="A20" s="20" t="str">
        <x:v>Central African Republic</x:v>
      </x:c>
      <x:c r="B20" s="20"/>
      <x:c r="C20" s="20" t="str">
        <x:v>CF</x:v>
      </x:c>
      <x:c r="D20" s="20" t="str">
        <x:v>CAF</x:v>
      </x:c>
      <x:c r="E20" s="20" t="str">
        <x:v>140</x:v>
      </x:c>
      <x:c r="F20" s="20" t="str">
        <x:v>Africa</x:v>
      </x:c>
      <x:c r="G20" s="20" t="str">
        <x:v>Middle Africa</x:v>
      </x:c>
      <x:c r="H20" s="20" t="n">
        <x:v>7</x:v>
      </x:c>
      <x:c r="I20" s="20" t="n">
        <x:v>21</x:v>
      </x:c>
      <x:c r="J20" s="20" t="str">
        <x:v>Yes</x:v>
      </x:c>
      <x:c r="K20" s="20" t="str">
        <x:v>ResurgamHub-mentioned Leaflet country/area</x:v>
      </x:c>
      <x:c r="L20" s="20" t="str">
        <x:v>ResurgamHub mention list; ISO/M49 verified; centroid approximate</x:v>
      </x:c>
      <x:c r="M20" s="20" t="str">
        <x:v>https://unstats.un.org/unsd/methodology/m49/overview</x:v>
      </x:c>
      <x:c r="N20" s="20" t="str">
        <x:v>https://restcountries.com/</x:v>
      </x:c>
      <x:c r="O20" s="20" t="str">
        <x:v>REST Countries / CountryInfo latlng snapshot</x:v>
      </x:c>
    </x:row>
    <x:row r="21">
      <x:c r="A21" s="20" t="str">
        <x:v>Chad</x:v>
      </x:c>
      <x:c r="B21" s="20" t="str">
        <x:v>Republic of Chad</x:v>
      </x:c>
      <x:c r="C21" s="20" t="str">
        <x:v>TD</x:v>
      </x:c>
      <x:c r="D21" s="20" t="str">
        <x:v>TCD</x:v>
      </x:c>
      <x:c r="E21" s="20" t="str">
        <x:v>148</x:v>
      </x:c>
      <x:c r="F21" s="20" t="str">
        <x:v>Africa</x:v>
      </x:c>
      <x:c r="G21" s="20" t="str">
        <x:v>Middle Africa</x:v>
      </x:c>
      <x:c r="H21" s="20" t="n">
        <x:v>15</x:v>
      </x:c>
      <x:c r="I21" s="20" t="n">
        <x:v>19</x:v>
      </x:c>
      <x:c r="J21" s="20" t="str">
        <x:v>Yes</x:v>
      </x:c>
      <x:c r="K21" s="20" t="str">
        <x:v>ResurgamHub-mentioned Leaflet country/area</x:v>
      </x:c>
      <x:c r="L21" s="20" t="str">
        <x:v>ResurgamHub mention list; ISO/M49 verified; centroid approximate</x:v>
      </x:c>
      <x:c r="M21" s="20" t="str">
        <x:v>https://unstats.un.org/unsd/methodology/m49/overview</x:v>
      </x:c>
      <x:c r="N21" s="20" t="str">
        <x:v>https://restcountries.com/</x:v>
      </x:c>
      <x:c r="O21" s="20" t="str">
        <x:v>REST Countries / CountryInfo latlng snapshot</x:v>
      </x:c>
    </x:row>
    <x:row r="22">
      <x:c r="A22" s="20" t="str">
        <x:v>Chile</x:v>
      </x:c>
      <x:c r="B22" s="20" t="str">
        <x:v>Republic of Chile</x:v>
      </x:c>
      <x:c r="C22" s="20" t="str">
        <x:v>CL</x:v>
      </x:c>
      <x:c r="D22" s="20" t="str">
        <x:v>CHL</x:v>
      </x:c>
      <x:c r="E22" s="20" t="str">
        <x:v>152</x:v>
      </x:c>
      <x:c r="F22" s="20" t="str">
        <x:v>Americas</x:v>
      </x:c>
      <x:c r="G22" s="20" t="str">
        <x:v>South America</x:v>
      </x:c>
      <x:c r="H22" s="20" t="n">
        <x:v>-30</x:v>
      </x:c>
      <x:c r="I22" s="20" t="n">
        <x:v>-71</x:v>
      </x:c>
      <x:c r="J22" s="20" t="str">
        <x:v>Yes</x:v>
      </x:c>
      <x:c r="K22" s="20" t="str">
        <x:v>ResurgamHub-mentioned Leaflet country/area</x:v>
      </x:c>
      <x:c r="L22" s="20" t="str">
        <x:v>ResurgamHub mention list; ISO/M49 verified; centroid approximate</x:v>
      </x:c>
      <x:c r="M22" s="20" t="str">
        <x:v>https://unstats.un.org/unsd/methodology/m49/overview</x:v>
      </x:c>
      <x:c r="N22" s="20" t="str">
        <x:v>https://restcountries.com/</x:v>
      </x:c>
      <x:c r="O22" s="20" t="str">
        <x:v>REST Countries / CountryInfo latlng snapshot</x:v>
      </x:c>
    </x:row>
    <x:row r="23">
      <x:c r="A23" s="20" t="str">
        <x:v>China</x:v>
      </x:c>
      <x:c r="B23" s="20" t="str">
        <x:v>People's Republic of China</x:v>
      </x:c>
      <x:c r="C23" s="20" t="str">
        <x:v>CN</x:v>
      </x:c>
      <x:c r="D23" s="20" t="str">
        <x:v>CHN</x:v>
      </x:c>
      <x:c r="E23" s="20" t="str">
        <x:v>156</x:v>
      </x:c>
      <x:c r="F23" s="20" t="str">
        <x:v>Asia</x:v>
      </x:c>
      <x:c r="G23" s="20" t="str">
        <x:v>Eastern Asia</x:v>
      </x:c>
      <x:c r="H23" s="20" t="n">
        <x:v>35</x:v>
      </x:c>
      <x:c r="I23" s="20" t="n">
        <x:v>105</x:v>
      </x:c>
      <x:c r="J23" s="20" t="str">
        <x:v>Yes</x:v>
      </x:c>
      <x:c r="K23" s="20" t="str">
        <x:v>ResurgamHub-mentioned Leaflet country/area</x:v>
      </x:c>
      <x:c r="L23" s="20" t="str">
        <x:v>ResurgamHub mention list; ISO/M49 verified; centroid approximate</x:v>
      </x:c>
      <x:c r="M23" s="20" t="str">
        <x:v>https://unstats.un.org/unsd/methodology/m49/overview</x:v>
      </x:c>
      <x:c r="N23" s="20" t="str">
        <x:v>https://restcountries.com/</x:v>
      </x:c>
      <x:c r="O23" s="20" t="str">
        <x:v>REST Countries / CountryInfo latlng snapshot</x:v>
      </x:c>
    </x:row>
    <x:row r="24">
      <x:c r="A24" s="20" t="str">
        <x:v>Colombia</x:v>
      </x:c>
      <x:c r="B24" s="20" t="str">
        <x:v>Republic of Colombia</x:v>
      </x:c>
      <x:c r="C24" s="20" t="str">
        <x:v>CO</x:v>
      </x:c>
      <x:c r="D24" s="20" t="str">
        <x:v>COL</x:v>
      </x:c>
      <x:c r="E24" s="20" t="str">
        <x:v>170</x:v>
      </x:c>
      <x:c r="F24" s="20" t="str">
        <x:v>Americas</x:v>
      </x:c>
      <x:c r="G24" s="20" t="str">
        <x:v>South America</x:v>
      </x:c>
      <x:c r="H24" s="20" t="n">
        <x:v>4</x:v>
      </x:c>
      <x:c r="I24" s="20" t="n">
        <x:v>-72</x:v>
      </x:c>
      <x:c r="J24" s="20" t="str">
        <x:v>Yes</x:v>
      </x:c>
      <x:c r="K24" s="20" t="str">
        <x:v>ResurgamHub-mentioned Leaflet country/area</x:v>
      </x:c>
      <x:c r="L24" s="20" t="str">
        <x:v>ResurgamHub mention list; ISO/M49 verified; centroid approximate</x:v>
      </x:c>
      <x:c r="M24" s="20" t="str">
        <x:v>https://unstats.un.org/unsd/methodology/m49/overview</x:v>
      </x:c>
      <x:c r="N24" s="20" t="str">
        <x:v>https://restcountries.com/</x:v>
      </x:c>
      <x:c r="O24" s="20" t="str">
        <x:v>REST Countries / CountryInfo latlng snapshot</x:v>
      </x:c>
    </x:row>
    <x:row r="25">
      <x:c r="A25" s="20" t="str">
        <x:v>Cook Islands</x:v>
      </x:c>
      <x:c r="B25" s="20"/>
      <x:c r="C25" s="20" t="str">
        <x:v>CK</x:v>
      </x:c>
      <x:c r="D25" s="20" t="str">
        <x:v>COK</x:v>
      </x:c>
      <x:c r="E25" s="20" t="str">
        <x:v>184</x:v>
      </x:c>
      <x:c r="F25" s="20" t="str">
        <x:v>Oceania</x:v>
      </x:c>
      <x:c r="G25" s="20" t="str">
        <x:v>Polynesia</x:v>
      </x:c>
      <x:c r="H25" s="20" t="n">
        <x:v>-21.23333333</x:v>
      </x:c>
      <x:c r="I25" s="20" t="n">
        <x:v>-159.76666666</x:v>
      </x:c>
      <x:c r="J25" s="20" t="str">
        <x:v>Yes</x:v>
      </x:c>
      <x:c r="K25" s="20" t="str">
        <x:v>ResurgamHub-mentioned Leaflet country/area</x:v>
      </x:c>
      <x:c r="L25" s="20" t="str">
        <x:v>ResurgamHub mention list; ISO/M49 verified; centroid approximate</x:v>
      </x:c>
      <x:c r="M25" s="20" t="str">
        <x:v>https://unstats.un.org/unsd/methodology/m49/overview</x:v>
      </x:c>
      <x:c r="N25" s="20" t="str">
        <x:v>https://restcountries.com/</x:v>
      </x:c>
      <x:c r="O25" s="20" t="str">
        <x:v>REST Countries / CountryInfo latlng snapshot; Country/area rather than UN-member-only sovereign-state row; compatible with country-area map treatment.</x:v>
      </x:c>
    </x:row>
    <x:row r="26">
      <x:c r="A26" s="20" t="str">
        <x:v>Cuba</x:v>
      </x:c>
      <x:c r="B26" s="20" t="str">
        <x:v>Republic of Cuba</x:v>
      </x:c>
      <x:c r="C26" s="20" t="str">
        <x:v>CU</x:v>
      </x:c>
      <x:c r="D26" s="20" t="str">
        <x:v>CUB</x:v>
      </x:c>
      <x:c r="E26" s="20" t="str">
        <x:v>192</x:v>
      </x:c>
      <x:c r="F26" s="20" t="str">
        <x:v>Americas</x:v>
      </x:c>
      <x:c r="G26" s="20" t="str">
        <x:v>Caribbean</x:v>
      </x:c>
      <x:c r="H26" s="20" t="n">
        <x:v>21.5</x:v>
      </x:c>
      <x:c r="I26" s="20" t="n">
        <x:v>-80</x:v>
      </x:c>
      <x:c r="J26" s="20" t="str">
        <x:v>Yes</x:v>
      </x:c>
      <x:c r="K26" s="20" t="str">
        <x:v>ResurgamHub-mentioned Leaflet country/area</x:v>
      </x:c>
      <x:c r="L26" s="20" t="str">
        <x:v>ResurgamHub mention list; ISO/M49 verified; centroid approximate</x:v>
      </x:c>
      <x:c r="M26" s="20" t="str">
        <x:v>https://unstats.un.org/unsd/methodology/m49/overview</x:v>
      </x:c>
      <x:c r="N26" s="20" t="str">
        <x:v>https://restcountries.com/</x:v>
      </x:c>
      <x:c r="O26" s="20" t="str">
        <x:v>REST Countries / CountryInfo latlng snapshot</x:v>
      </x:c>
    </x:row>
    <x:row r="27">
      <x:c r="A27" s="20" t="str">
        <x:v>Cyprus</x:v>
      </x:c>
      <x:c r="B27" s="20" t="str">
        <x:v>Republic of Cyprus</x:v>
      </x:c>
      <x:c r="C27" s="20" t="str">
        <x:v>CY</x:v>
      </x:c>
      <x:c r="D27" s="20" t="str">
        <x:v>CYP</x:v>
      </x:c>
      <x:c r="E27" s="20" t="str">
        <x:v>196</x:v>
      </x:c>
      <x:c r="F27" s="20" t="str">
        <x:v>Europe</x:v>
      </x:c>
      <x:c r="G27" s="20" t="str">
        <x:v>Southern Europe</x:v>
      </x:c>
      <x:c r="H27" s="20" t="n">
        <x:v>35</x:v>
      </x:c>
      <x:c r="I27" s="20" t="n">
        <x:v>33</x:v>
      </x:c>
      <x:c r="J27" s="20" t="str">
        <x:v>Yes</x:v>
      </x:c>
      <x:c r="K27" s="20" t="str">
        <x:v>ResurgamHub-mentioned Leaflet country/area</x:v>
      </x:c>
      <x:c r="L27" s="20" t="str">
        <x:v>ResurgamHub mention list; ISO/M49 verified; centroid approximate</x:v>
      </x:c>
      <x:c r="M27" s="20" t="str">
        <x:v>https://unstats.un.org/unsd/methodology/m49/overview</x:v>
      </x:c>
      <x:c r="N27" s="20" t="str">
        <x:v>https://restcountries.com/</x:v>
      </x:c>
      <x:c r="O27" s="20" t="str">
        <x:v>REST Countries / CountryInfo latlng snapshot</x:v>
      </x:c>
    </x:row>
    <x:row r="28">
      <x:c r="A28" s="20" t="str">
        <x:v>Czechia</x:v>
      </x:c>
      <x:c r="B28" s="20" t="str">
        <x:v>Czech Republic</x:v>
      </x:c>
      <x:c r="C28" s="20" t="str">
        <x:v>CZ</x:v>
      </x:c>
      <x:c r="D28" s="20" t="str">
        <x:v>CZE</x:v>
      </x:c>
      <x:c r="E28" s="20" t="str">
        <x:v>203</x:v>
      </x:c>
      <x:c r="F28" s="20" t="str">
        <x:v>Europe</x:v>
      </x:c>
      <x:c r="G28" s="20" t="str">
        <x:v>Eastern Europe</x:v>
      </x:c>
      <x:c r="H28" s="20" t="n">
        <x:v>49.75</x:v>
      </x:c>
      <x:c r="I28" s="20" t="n">
        <x:v>15.5</x:v>
      </x:c>
      <x:c r="J28" s="20" t="str">
        <x:v>Yes</x:v>
      </x:c>
      <x:c r="K28" s="20" t="str">
        <x:v>ResurgamHub-mentioned Leaflet country/area</x:v>
      </x:c>
      <x:c r="L28" s="20" t="str">
        <x:v>ResurgamHub mention list; ISO/M49 verified; centroid approximate</x:v>
      </x:c>
      <x:c r="M28" s="20" t="str">
        <x:v>https://unstats.un.org/unsd/methodology/m49/overview</x:v>
      </x:c>
      <x:c r="N28" s="20" t="str">
        <x:v>https://restcountries.com/</x:v>
      </x:c>
      <x:c r="O28" s="20" t="str">
        <x:v>REST Countries / CountryInfo latlng snapshot; Normalized from Czech Republic / Czechia.</x:v>
      </x:c>
    </x:row>
    <x:row r="29">
      <x:c r="A29" s="20" t="str">
        <x:v>Democratic Republic of the Congo</x:v>
      </x:c>
      <x:c r="B29" s="20"/>
      <x:c r="C29" s="20" t="str">
        <x:v>CD</x:v>
      </x:c>
      <x:c r="D29" s="20" t="str">
        <x:v>COD</x:v>
      </x:c>
      <x:c r="E29" s="20" t="str">
        <x:v>180</x:v>
      </x:c>
      <x:c r="F29" s="20" t="str">
        <x:v>Africa</x:v>
      </x:c>
      <x:c r="G29" s="20" t="str">
        <x:v>Middle Africa</x:v>
      </x:c>
      <x:c r="H29" s="20" t="n">
        <x:v>0</x:v>
      </x:c>
      <x:c r="I29" s="20" t="n">
        <x:v>25</x:v>
      </x:c>
      <x:c r="J29" s="20" t="str">
        <x:v>Yes</x:v>
      </x:c>
      <x:c r="K29" s="20" t="str">
        <x:v>ResurgamHub-mentioned Leaflet country/area</x:v>
      </x:c>
      <x:c r="L29" s="20" t="str">
        <x:v>ResurgamHub mention list; ISO/M49 verified; centroid approximate</x:v>
      </x:c>
      <x:c r="M29" s="20" t="str">
        <x:v>https://unstats.un.org/unsd/methodology/m49/overview</x:v>
      </x:c>
      <x:c r="N29" s="20" t="str">
        <x:v>https://restcountries.com/</x:v>
      </x:c>
      <x:c r="O29" s="20" t="str">
        <x:v>REST Countries / CountryInfo latlng snapshot</x:v>
      </x:c>
    </x:row>
    <x:row r="30">
      <x:c r="A30" s="20" t="str">
        <x:v>Egypt</x:v>
      </x:c>
      <x:c r="B30" s="20" t="str">
        <x:v>Arab Republic of Egypt</x:v>
      </x:c>
      <x:c r="C30" s="20" t="str">
        <x:v>EG</x:v>
      </x:c>
      <x:c r="D30" s="20" t="str">
        <x:v>EGY</x:v>
      </x:c>
      <x:c r="E30" s="20" t="str">
        <x:v>818</x:v>
      </x:c>
      <x:c r="F30" s="20" t="str">
        <x:v>Africa</x:v>
      </x:c>
      <x:c r="G30" s="20" t="str">
        <x:v>Northern Africa</x:v>
      </x:c>
      <x:c r="H30" s="20" t="n">
        <x:v>27</x:v>
      </x:c>
      <x:c r="I30" s="20" t="n">
        <x:v>30</x:v>
      </x:c>
      <x:c r="J30" s="20" t="str">
        <x:v>Yes</x:v>
      </x:c>
      <x:c r="K30" s="20" t="str">
        <x:v>ResurgamHub-mentioned Leaflet country/area</x:v>
      </x:c>
      <x:c r="L30" s="20" t="str">
        <x:v>ResurgamHub mention list; ISO/M49 verified; centroid approximate</x:v>
      </x:c>
      <x:c r="M30" s="20" t="str">
        <x:v>https://unstats.un.org/unsd/methodology/m49/overview</x:v>
      </x:c>
      <x:c r="N30" s="20" t="str">
        <x:v>https://restcountries.com/</x:v>
      </x:c>
      <x:c r="O30" s="20" t="str">
        <x:v>REST Countries / CountryInfo latlng snapshot</x:v>
      </x:c>
    </x:row>
    <x:row r="31">
      <x:c r="A31" s="20" t="str">
        <x:v>El Salvador</x:v>
      </x:c>
      <x:c r="B31" s="20" t="str">
        <x:v>Republic of El Salvador</x:v>
      </x:c>
      <x:c r="C31" s="20" t="str">
        <x:v>SV</x:v>
      </x:c>
      <x:c r="D31" s="20" t="str">
        <x:v>SLV</x:v>
      </x:c>
      <x:c r="E31" s="20" t="str">
        <x:v>222</x:v>
      </x:c>
      <x:c r="F31" s="20" t="str">
        <x:v>Americas</x:v>
      </x:c>
      <x:c r="G31" s="20" t="str">
        <x:v>Central America</x:v>
      </x:c>
      <x:c r="H31" s="20" t="n">
        <x:v>13.83333333</x:v>
      </x:c>
      <x:c r="I31" s="20" t="n">
        <x:v>-88.91666666</x:v>
      </x:c>
      <x:c r="J31" s="20" t="str">
        <x:v>Yes</x:v>
      </x:c>
      <x:c r="K31" s="20" t="str">
        <x:v>ResurgamHub-mentioned Leaflet country/area</x:v>
      </x:c>
      <x:c r="L31" s="20" t="str">
        <x:v>ResurgamHub mention list; ISO/M49 verified; centroid approximate</x:v>
      </x:c>
      <x:c r="M31" s="20" t="str">
        <x:v>https://unstats.un.org/unsd/methodology/m49/overview</x:v>
      </x:c>
      <x:c r="N31" s="20" t="str">
        <x:v>https://restcountries.com/</x:v>
      </x:c>
      <x:c r="O31" s="20" t="str">
        <x:v>REST Countries / CountryInfo latlng snapshot</x:v>
      </x:c>
    </x:row>
    <x:row r="32">
      <x:c r="A32" s="20" t="str">
        <x:v>Eritrea</x:v>
      </x:c>
      <x:c r="B32" s="20" t="str">
        <x:v>the State of Eritrea</x:v>
      </x:c>
      <x:c r="C32" s="20" t="str">
        <x:v>ER</x:v>
      </x:c>
      <x:c r="D32" s="20" t="str">
        <x:v>ERI</x:v>
      </x:c>
      <x:c r="E32" s="20" t="str">
        <x:v>232</x:v>
      </x:c>
      <x:c r="F32" s="20" t="str">
        <x:v>Africa</x:v>
      </x:c>
      <x:c r="G32" s="20" t="str">
        <x:v>Eastern Africa</x:v>
      </x:c>
      <x:c r="H32" s="20" t="n">
        <x:v>15</x:v>
      </x:c>
      <x:c r="I32" s="20" t="n">
        <x:v>39</x:v>
      </x:c>
      <x:c r="J32" s="20" t="str">
        <x:v>Yes</x:v>
      </x:c>
      <x:c r="K32" s="20" t="str">
        <x:v>ResurgamHub-mentioned Leaflet country/area</x:v>
      </x:c>
      <x:c r="L32" s="20" t="str">
        <x:v>ResurgamHub mention list; ISO/M49 verified; centroid approximate</x:v>
      </x:c>
      <x:c r="M32" s="20" t="str">
        <x:v>https://unstats.un.org/unsd/methodology/m49/overview</x:v>
      </x:c>
      <x:c r="N32" s="20" t="str">
        <x:v>https://restcountries.com/</x:v>
      </x:c>
      <x:c r="O32" s="20" t="str">
        <x:v>REST Countries / CountryInfo latlng snapshot</x:v>
      </x:c>
    </x:row>
    <x:row r="33">
      <x:c r="A33" s="20" t="str">
        <x:v>Estonia</x:v>
      </x:c>
      <x:c r="B33" s="20" t="str">
        <x:v>Republic of Estonia</x:v>
      </x:c>
      <x:c r="C33" s="20" t="str">
        <x:v>EE</x:v>
      </x:c>
      <x:c r="D33" s="20" t="str">
        <x:v>EST</x:v>
      </x:c>
      <x:c r="E33" s="20" t="str">
        <x:v>233</x:v>
      </x:c>
      <x:c r="F33" s="20" t="str">
        <x:v>Europe</x:v>
      </x:c>
      <x:c r="G33" s="20" t="str">
        <x:v>Northern Europe</x:v>
      </x:c>
      <x:c r="H33" s="20" t="n">
        <x:v>59</x:v>
      </x:c>
      <x:c r="I33" s="20" t="n">
        <x:v>26</x:v>
      </x:c>
      <x:c r="J33" s="20" t="str">
        <x:v>Yes</x:v>
      </x:c>
      <x:c r="K33" s="20" t="str">
        <x:v>ResurgamHub-mentioned Leaflet country/area</x:v>
      </x:c>
      <x:c r="L33" s="20" t="str">
        <x:v>ResurgamHub mention list; ISO/M49 verified; centroid approximate</x:v>
      </x:c>
      <x:c r="M33" s="20" t="str">
        <x:v>https://unstats.un.org/unsd/methodology/m49/overview</x:v>
      </x:c>
      <x:c r="N33" s="20" t="str">
        <x:v>https://restcountries.com/</x:v>
      </x:c>
      <x:c r="O33" s="20" t="str">
        <x:v>REST Countries / CountryInfo latlng snapshot</x:v>
      </x:c>
    </x:row>
    <x:row r="34">
      <x:c r="A34" s="20" t="str">
        <x:v>Federated States of Micronesia</x:v>
      </x:c>
      <x:c r="B34" s="20" t="str">
        <x:v>Federated States of Micronesia</x:v>
      </x:c>
      <x:c r="C34" s="20" t="str">
        <x:v>FM</x:v>
      </x:c>
      <x:c r="D34" s="20" t="str">
        <x:v>FSM</x:v>
      </x:c>
      <x:c r="E34" s="20" t="str">
        <x:v>583</x:v>
      </x:c>
      <x:c r="F34" s="20" t="str">
        <x:v>Oceania</x:v>
      </x:c>
      <x:c r="G34" s="20" t="str">
        <x:v>Micronesia</x:v>
      </x:c>
      <x:c r="H34" s="20" t="n">
        <x:v>6.91666666</x:v>
      </x:c>
      <x:c r="I34" s="20" t="n">
        <x:v>158.25</x:v>
      </x:c>
      <x:c r="J34" s="20" t="str">
        <x:v>Yes</x:v>
      </x:c>
      <x:c r="K34" s="20" t="str">
        <x:v>ResurgamHub-mentioned Leaflet country/area</x:v>
      </x:c>
      <x:c r="L34" s="20" t="str">
        <x:v>ResurgamHub mention list; ISO/M49 verified; centroid approximate</x:v>
      </x:c>
      <x:c r="M34" s="20" t="str">
        <x:v>https://unstats.un.org/unsd/methodology/m49/overview</x:v>
      </x:c>
      <x:c r="N34" s="20" t="str">
        <x:v>https://restcountries.com/</x:v>
      </x:c>
      <x:c r="O34" s="20" t="str">
        <x:v>REST Countries / CountryInfo latlng snapshot</x:v>
      </x:c>
    </x:row>
    <x:row r="35">
      <x:c r="A35" s="20" t="str">
        <x:v>Fiji</x:v>
      </x:c>
      <x:c r="B35" s="20" t="str">
        <x:v>Republic of Fiji</x:v>
      </x:c>
      <x:c r="C35" s="20" t="str">
        <x:v>FJ</x:v>
      </x:c>
      <x:c r="D35" s="20" t="str">
        <x:v>FJI</x:v>
      </x:c>
      <x:c r="E35" s="20" t="str">
        <x:v>242</x:v>
      </x:c>
      <x:c r="F35" s="20" t="str">
        <x:v>Oceania</x:v>
      </x:c>
      <x:c r="G35" s="20" t="str">
        <x:v>Melanesia</x:v>
      </x:c>
      <x:c r="H35" s="20" t="n">
        <x:v>-18</x:v>
      </x:c>
      <x:c r="I35" s="20" t="n">
        <x:v>175</x:v>
      </x:c>
      <x:c r="J35" s="20" t="str">
        <x:v>Yes</x:v>
      </x:c>
      <x:c r="K35" s="20" t="str">
        <x:v>ResurgamHub-mentioned Leaflet country/area</x:v>
      </x:c>
      <x:c r="L35" s="20" t="str">
        <x:v>ResurgamHub mention list; ISO/M49 verified; centroid approximate</x:v>
      </x:c>
      <x:c r="M35" s="20" t="str">
        <x:v>https://unstats.un.org/unsd/methodology/m49/overview</x:v>
      </x:c>
      <x:c r="N35" s="20" t="str">
        <x:v>https://restcountries.com/</x:v>
      </x:c>
      <x:c r="O35" s="20" t="str">
        <x:v>REST Countries / CountryInfo latlng snapshot</x:v>
      </x:c>
    </x:row>
    <x:row r="36">
      <x:c r="A36" s="20" t="str">
        <x:v>Finland</x:v>
      </x:c>
      <x:c r="B36" s="20" t="str">
        <x:v>Republic of Finland</x:v>
      </x:c>
      <x:c r="C36" s="20" t="str">
        <x:v>FI</x:v>
      </x:c>
      <x:c r="D36" s="20" t="str">
        <x:v>FIN</x:v>
      </x:c>
      <x:c r="E36" s="20" t="str">
        <x:v>246</x:v>
      </x:c>
      <x:c r="F36" s="20" t="str">
        <x:v>Europe</x:v>
      </x:c>
      <x:c r="G36" s="20" t="str">
        <x:v>Northern Europe</x:v>
      </x:c>
      <x:c r="H36" s="20" t="n">
        <x:v>64</x:v>
      </x:c>
      <x:c r="I36" s="20" t="n">
        <x:v>26</x:v>
      </x:c>
      <x:c r="J36" s="20" t="str">
        <x:v>Yes</x:v>
      </x:c>
      <x:c r="K36" s="20" t="str">
        <x:v>ResurgamHub-mentioned Leaflet country/area</x:v>
      </x:c>
      <x:c r="L36" s="20" t="str">
        <x:v>ResurgamHub mention list; ISO/M49 verified; centroid approximate</x:v>
      </x:c>
      <x:c r="M36" s="20" t="str">
        <x:v>https://unstats.un.org/unsd/methodology/m49/overview</x:v>
      </x:c>
      <x:c r="N36" s="20" t="str">
        <x:v>https://restcountries.com/</x:v>
      </x:c>
      <x:c r="O36" s="20" t="str">
        <x:v>REST Countries / CountryInfo latlng snapshot</x:v>
      </x:c>
    </x:row>
    <x:row r="37">
      <x:c r="A37" s="20" t="str">
        <x:v>France</x:v>
      </x:c>
      <x:c r="B37" s="20" t="str">
        <x:v>French Republic</x:v>
      </x:c>
      <x:c r="C37" s="20" t="str">
        <x:v>FR</x:v>
      </x:c>
      <x:c r="D37" s="20" t="str">
        <x:v>FRA</x:v>
      </x:c>
      <x:c r="E37" s="20" t="str">
        <x:v>250</x:v>
      </x:c>
      <x:c r="F37" s="20" t="str">
        <x:v>Europe</x:v>
      </x:c>
      <x:c r="G37" s="20" t="str">
        <x:v>Western Europe</x:v>
      </x:c>
      <x:c r="H37" s="20" t="n">
        <x:v>46</x:v>
      </x:c>
      <x:c r="I37" s="20" t="n">
        <x:v>2</x:v>
      </x:c>
      <x:c r="J37" s="20" t="str">
        <x:v>Yes</x:v>
      </x:c>
      <x:c r="K37" s="20" t="str">
        <x:v>ResurgamHub-mentioned Leaflet country/area</x:v>
      </x:c>
      <x:c r="L37" s="20" t="str">
        <x:v>ResurgamHub mention list; ISO/M49 verified; centroid approximate</x:v>
      </x:c>
      <x:c r="M37" s="20" t="str">
        <x:v>https://unstats.un.org/unsd/methodology/m49/overview</x:v>
      </x:c>
      <x:c r="N37" s="20" t="str">
        <x:v>https://restcountries.com/</x:v>
      </x:c>
      <x:c r="O37" s="20" t="str">
        <x:v>REST Countries / CountryInfo latlng snapshot</x:v>
      </x:c>
    </x:row>
    <x:row r="38">
      <x:c r="A38" s="20" t="str">
        <x:v>Georgia</x:v>
      </x:c>
      <x:c r="B38" s="20"/>
      <x:c r="C38" s="20" t="str">
        <x:v>GE</x:v>
      </x:c>
      <x:c r="D38" s="20" t="str">
        <x:v>GEO</x:v>
      </x:c>
      <x:c r="E38" s="20" t="str">
        <x:v>268</x:v>
      </x:c>
      <x:c r="F38" s="20" t="str">
        <x:v>Asia</x:v>
      </x:c>
      <x:c r="G38" s="20" t="str">
        <x:v>Western Asia</x:v>
      </x:c>
      <x:c r="H38" s="20" t="n">
        <x:v>42</x:v>
      </x:c>
      <x:c r="I38" s="20" t="n">
        <x:v>43.5</x:v>
      </x:c>
      <x:c r="J38" s="20" t="str">
        <x:v>Yes</x:v>
      </x:c>
      <x:c r="K38" s="20" t="str">
        <x:v>ResurgamHub-mentioned Leaflet country/area</x:v>
      </x:c>
      <x:c r="L38" s="20" t="str">
        <x:v>ResurgamHub mention list; ISO/M49 verified; centroid approximate</x:v>
      </x:c>
      <x:c r="M38" s="20" t="str">
        <x:v>https://unstats.un.org/unsd/methodology/m49/overview</x:v>
      </x:c>
      <x:c r="N38" s="20" t="str">
        <x:v>https://restcountries.com/</x:v>
      </x:c>
      <x:c r="O38" s="20" t="str">
        <x:v>REST Countries / CountryInfo latlng snapshot</x:v>
      </x:c>
    </x:row>
    <x:row r="39">
      <x:c r="A39" s="20" t="str">
        <x:v>Germany</x:v>
      </x:c>
      <x:c r="B39" s="20" t="str">
        <x:v>Federal Republic of Germany</x:v>
      </x:c>
      <x:c r="C39" s="20" t="str">
        <x:v>DE</x:v>
      </x:c>
      <x:c r="D39" s="20" t="str">
        <x:v>DEU</x:v>
      </x:c>
      <x:c r="E39" s="20" t="str">
        <x:v>276</x:v>
      </x:c>
      <x:c r="F39" s="20" t="str">
        <x:v>Europe</x:v>
      </x:c>
      <x:c r="G39" s="20" t="str">
        <x:v>Western Europe</x:v>
      </x:c>
      <x:c r="H39" s="20" t="n">
        <x:v>51</x:v>
      </x:c>
      <x:c r="I39" s="20" t="n">
        <x:v>9</x:v>
      </x:c>
      <x:c r="J39" s="20" t="str">
        <x:v>Yes</x:v>
      </x:c>
      <x:c r="K39" s="20" t="str">
        <x:v>ResurgamHub-mentioned Leaflet country/area</x:v>
      </x:c>
      <x:c r="L39" s="20" t="str">
        <x:v>ResurgamHub mention list; ISO/M49 verified; centroid approximate</x:v>
      </x:c>
      <x:c r="M39" s="20" t="str">
        <x:v>https://unstats.un.org/unsd/methodology/m49/overview</x:v>
      </x:c>
      <x:c r="N39" s="20" t="str">
        <x:v>https://restcountries.com/</x:v>
      </x:c>
      <x:c r="O39" s="20" t="str">
        <x:v>REST Countries / CountryInfo latlng snapshot</x:v>
      </x:c>
    </x:row>
    <x:row r="40">
      <x:c r="A40" s="20" t="str">
        <x:v>Ghana</x:v>
      </x:c>
      <x:c r="B40" s="20" t="str">
        <x:v>Republic of Ghana</x:v>
      </x:c>
      <x:c r="C40" s="20" t="str">
        <x:v>GH</x:v>
      </x:c>
      <x:c r="D40" s="20" t="str">
        <x:v>GHA</x:v>
      </x:c>
      <x:c r="E40" s="20" t="str">
        <x:v>288</x:v>
      </x:c>
      <x:c r="F40" s="20" t="str">
        <x:v>Africa</x:v>
      </x:c>
      <x:c r="G40" s="20" t="str">
        <x:v>Western Africa</x:v>
      </x:c>
      <x:c r="H40" s="20" t="n">
        <x:v>8</x:v>
      </x:c>
      <x:c r="I40" s="20" t="n">
        <x:v>-2</x:v>
      </x:c>
      <x:c r="J40" s="20" t="str">
        <x:v>Yes</x:v>
      </x:c>
      <x:c r="K40" s="20" t="str">
        <x:v>ResurgamHub-mentioned Leaflet country/area</x:v>
      </x:c>
      <x:c r="L40" s="20" t="str">
        <x:v>ResurgamHub mention list; ISO/M49 verified; centroid approximate</x:v>
      </x:c>
      <x:c r="M40" s="20" t="str">
        <x:v>https://unstats.un.org/unsd/methodology/m49/overview</x:v>
      </x:c>
      <x:c r="N40" s="20" t="str">
        <x:v>https://restcountries.com/</x:v>
      </x:c>
      <x:c r="O40" s="20" t="str">
        <x:v>REST Countries / CountryInfo latlng snapshot</x:v>
      </x:c>
    </x:row>
    <x:row r="41">
      <x:c r="A41" s="20" t="str">
        <x:v>Greece</x:v>
      </x:c>
      <x:c r="B41" s="20" t="str">
        <x:v>Hellenic Republic</x:v>
      </x:c>
      <x:c r="C41" s="20" t="str">
        <x:v>GR</x:v>
      </x:c>
      <x:c r="D41" s="20" t="str">
        <x:v>GRC</x:v>
      </x:c>
      <x:c r="E41" s="20" t="str">
        <x:v>300</x:v>
      </x:c>
      <x:c r="F41" s="20" t="str">
        <x:v>Europe</x:v>
      </x:c>
      <x:c r="G41" s="20" t="str">
        <x:v>Southern Europe</x:v>
      </x:c>
      <x:c r="H41" s="20" t="n">
        <x:v>39</x:v>
      </x:c>
      <x:c r="I41" s="20" t="n">
        <x:v>22</x:v>
      </x:c>
      <x:c r="J41" s="20" t="str">
        <x:v>Yes</x:v>
      </x:c>
      <x:c r="K41" s="20" t="str">
        <x:v>ResurgamHub-mentioned Leaflet country/area</x:v>
      </x:c>
      <x:c r="L41" s="20" t="str">
        <x:v>ResurgamHub mention list; ISO/M49 verified; centroid approximate</x:v>
      </x:c>
      <x:c r="M41" s="20" t="str">
        <x:v>https://unstats.un.org/unsd/methodology/m49/overview</x:v>
      </x:c>
      <x:c r="N41" s="20" t="str">
        <x:v>https://restcountries.com/</x:v>
      </x:c>
      <x:c r="O41" s="20" t="str">
        <x:v>REST Countries / CountryInfo latlng snapshot</x:v>
      </x:c>
    </x:row>
    <x:row r="42">
      <x:c r="A42" s="20" t="str">
        <x:v>Guinea</x:v>
      </x:c>
      <x:c r="B42" s="20" t="str">
        <x:v>Republic of Guinea</x:v>
      </x:c>
      <x:c r="C42" s="20" t="str">
        <x:v>GN</x:v>
      </x:c>
      <x:c r="D42" s="20" t="str">
        <x:v>GIN</x:v>
      </x:c>
      <x:c r="E42" s="20" t="str">
        <x:v>324</x:v>
      </x:c>
      <x:c r="F42" s="20" t="str">
        <x:v>Africa</x:v>
      </x:c>
      <x:c r="G42" s="20" t="str">
        <x:v>Western Africa</x:v>
      </x:c>
      <x:c r="H42" s="20" t="n">
        <x:v>11</x:v>
      </x:c>
      <x:c r="I42" s="20" t="n">
        <x:v>-10</x:v>
      </x:c>
      <x:c r="J42" s="20" t="str">
        <x:v>Yes</x:v>
      </x:c>
      <x:c r="K42" s="20" t="str">
        <x:v>ResurgamHub-mentioned Leaflet country/area</x:v>
      </x:c>
      <x:c r="L42" s="20" t="str">
        <x:v>ResurgamHub mention list; ISO/M49 verified; centroid approximate</x:v>
      </x:c>
      <x:c r="M42" s="20" t="str">
        <x:v>https://unstats.un.org/unsd/methodology/m49/overview</x:v>
      </x:c>
      <x:c r="N42" s="20" t="str">
        <x:v>https://restcountries.com/</x:v>
      </x:c>
      <x:c r="O42" s="20" t="str">
        <x:v>REST Countries / CountryInfo latlng snapshot</x:v>
      </x:c>
    </x:row>
    <x:row r="43">
      <x:c r="A43" s="20" t="str">
        <x:v>Guyana</x:v>
      </x:c>
      <x:c r="B43" s="20" t="str">
        <x:v>Republic of Guyana</x:v>
      </x:c>
      <x:c r="C43" s="20" t="str">
        <x:v>GY</x:v>
      </x:c>
      <x:c r="D43" s="20" t="str">
        <x:v>GUY</x:v>
      </x:c>
      <x:c r="E43" s="20" t="str">
        <x:v>328</x:v>
      </x:c>
      <x:c r="F43" s="20" t="str">
        <x:v>Americas</x:v>
      </x:c>
      <x:c r="G43" s="20" t="str">
        <x:v>South America</x:v>
      </x:c>
      <x:c r="H43" s="20" t="n">
        <x:v>5</x:v>
      </x:c>
      <x:c r="I43" s="20" t="n">
        <x:v>-59</x:v>
      </x:c>
      <x:c r="J43" s="20" t="str">
        <x:v>Yes</x:v>
      </x:c>
      <x:c r="K43" s="20" t="str">
        <x:v>ResurgamHub-mentioned Leaflet country/area</x:v>
      </x:c>
      <x:c r="L43" s="20" t="str">
        <x:v>ResurgamHub mention list; ISO/M49 verified; centroid approximate</x:v>
      </x:c>
      <x:c r="M43" s="20" t="str">
        <x:v>https://unstats.un.org/unsd/methodology/m49/overview</x:v>
      </x:c>
      <x:c r="N43" s="20" t="str">
        <x:v>https://restcountries.com/</x:v>
      </x:c>
      <x:c r="O43" s="20" t="str">
        <x:v>REST Countries / CountryInfo latlng snapshot</x:v>
      </x:c>
    </x:row>
    <x:row r="44">
      <x:c r="A44" s="20" t="str">
        <x:v>Hungary</x:v>
      </x:c>
      <x:c r="B44" s="20" t="str">
        <x:v>Hungary</x:v>
      </x:c>
      <x:c r="C44" s="20" t="str">
        <x:v>HU</x:v>
      </x:c>
      <x:c r="D44" s="20" t="str">
        <x:v>HUN</x:v>
      </x:c>
      <x:c r="E44" s="20" t="str">
        <x:v>348</x:v>
      </x:c>
      <x:c r="F44" s="20" t="str">
        <x:v>Europe</x:v>
      </x:c>
      <x:c r="G44" s="20" t="str">
        <x:v>Eastern Europe</x:v>
      </x:c>
      <x:c r="H44" s="20" t="n">
        <x:v>47</x:v>
      </x:c>
      <x:c r="I44" s="20" t="n">
        <x:v>20</x:v>
      </x:c>
      <x:c r="J44" s="20" t="str">
        <x:v>Yes</x:v>
      </x:c>
      <x:c r="K44" s="20" t="str">
        <x:v>ResurgamHub-mentioned Leaflet country/area</x:v>
      </x:c>
      <x:c r="L44" s="20" t="str">
        <x:v>ResurgamHub mention list; ISO/M49 verified; centroid approximate</x:v>
      </x:c>
      <x:c r="M44" s="20" t="str">
        <x:v>https://unstats.un.org/unsd/methodology/m49/overview</x:v>
      </x:c>
      <x:c r="N44" s="20" t="str">
        <x:v>https://restcountries.com/</x:v>
      </x:c>
      <x:c r="O44" s="20" t="str">
        <x:v>REST Countries / CountryInfo latlng snapshot</x:v>
      </x:c>
    </x:row>
    <x:row r="45">
      <x:c r="A45" s="20" t="str">
        <x:v>India</x:v>
      </x:c>
      <x:c r="B45" s="20" t="str">
        <x:v>Republic of India</x:v>
      </x:c>
      <x:c r="C45" s="20" t="str">
        <x:v>IN</x:v>
      </x:c>
      <x:c r="D45" s="20" t="str">
        <x:v>IND</x:v>
      </x:c>
      <x:c r="E45" s="20" t="str">
        <x:v>356</x:v>
      </x:c>
      <x:c r="F45" s="20" t="str">
        <x:v>Asia</x:v>
      </x:c>
      <x:c r="G45" s="20" t="str">
        <x:v>Southern Asia</x:v>
      </x:c>
      <x:c r="H45" s="20" t="n">
        <x:v>20</x:v>
      </x:c>
      <x:c r="I45" s="20" t="n">
        <x:v>77</x:v>
      </x:c>
      <x:c r="J45" s="20" t="str">
        <x:v>Yes</x:v>
      </x:c>
      <x:c r="K45" s="20" t="str">
        <x:v>ResurgamHub-mentioned Leaflet country/area</x:v>
      </x:c>
      <x:c r="L45" s="20" t="str">
        <x:v>ResurgamHub mention list; ISO/M49 verified; centroid approximate</x:v>
      </x:c>
      <x:c r="M45" s="20" t="str">
        <x:v>https://unstats.un.org/unsd/methodology/m49/overview</x:v>
      </x:c>
      <x:c r="N45" s="20" t="str">
        <x:v>https://restcountries.com/</x:v>
      </x:c>
      <x:c r="O45" s="20" t="str">
        <x:v>REST Countries / CountryInfo latlng snapshot</x:v>
      </x:c>
    </x:row>
    <x:row r="46">
      <x:c r="A46" s="20" t="str">
        <x:v>Indonesia</x:v>
      </x:c>
      <x:c r="B46" s="20" t="str">
        <x:v>Republic of Indonesia</x:v>
      </x:c>
      <x:c r="C46" s="20" t="str">
        <x:v>ID</x:v>
      </x:c>
      <x:c r="D46" s="20" t="str">
        <x:v>IDN</x:v>
      </x:c>
      <x:c r="E46" s="20" t="str">
        <x:v>360</x:v>
      </x:c>
      <x:c r="F46" s="20" t="str">
        <x:v>Asia</x:v>
      </x:c>
      <x:c r="G46" s="20" t="str">
        <x:v>South-Eastern Asia</x:v>
      </x:c>
      <x:c r="H46" s="20" t="n">
        <x:v>-5</x:v>
      </x:c>
      <x:c r="I46" s="20" t="n">
        <x:v>120</x:v>
      </x:c>
      <x:c r="J46" s="20" t="str">
        <x:v>Yes</x:v>
      </x:c>
      <x:c r="K46" s="20" t="str">
        <x:v>ResurgamHub-mentioned Leaflet country/area</x:v>
      </x:c>
      <x:c r="L46" s="20" t="str">
        <x:v>ResurgamHub mention list; ISO/M49 verified; centroid approximate</x:v>
      </x:c>
      <x:c r="M46" s="20" t="str">
        <x:v>https://unstats.un.org/unsd/methodology/m49/overview</x:v>
      </x:c>
      <x:c r="N46" s="20" t="str">
        <x:v>https://restcountries.com/</x:v>
      </x:c>
      <x:c r="O46" s="20" t="str">
        <x:v>REST Countries / CountryInfo latlng snapshot</x:v>
      </x:c>
    </x:row>
    <x:row r="47">
      <x:c r="A47" s="20" t="str">
        <x:v>Iran</x:v>
      </x:c>
      <x:c r="B47" s="20" t="str">
        <x:v>Islamic Republic of Iran</x:v>
      </x:c>
      <x:c r="C47" s="20" t="str">
        <x:v>IR</x:v>
      </x:c>
      <x:c r="D47" s="20" t="str">
        <x:v>IRN</x:v>
      </x:c>
      <x:c r="E47" s="20" t="str">
        <x:v>364</x:v>
      </x:c>
      <x:c r="F47" s="20" t="str">
        <x:v>Asia</x:v>
      </x:c>
      <x:c r="G47" s="20" t="str">
        <x:v>Southern Asia</x:v>
      </x:c>
      <x:c r="H47" s="20" t="n">
        <x:v>32</x:v>
      </x:c>
      <x:c r="I47" s="20" t="n">
        <x:v>53</x:v>
      </x:c>
      <x:c r="J47" s="20" t="str">
        <x:v>Yes</x:v>
      </x:c>
      <x:c r="K47" s="20" t="str">
        <x:v>ResurgamHub-mentioned Leaflet country/area</x:v>
      </x:c>
      <x:c r="L47" s="20" t="str">
        <x:v>ResurgamHub mention list; ISO/M49 verified; centroid approximate</x:v>
      </x:c>
      <x:c r="M47" s="20" t="str">
        <x:v>https://unstats.un.org/unsd/methodology/m49/overview</x:v>
      </x:c>
      <x:c r="N47" s="20" t="str">
        <x:v>https://restcountries.com/</x:v>
      </x:c>
      <x:c r="O47" s="20" t="str">
        <x:v>REST Countries / CountryInfo latlng snapshot</x:v>
      </x:c>
    </x:row>
    <x:row r="48">
      <x:c r="A48" s="20" t="str">
        <x:v>Iraq</x:v>
      </x:c>
      <x:c r="B48" s="20" t="str">
        <x:v>Republic of Iraq</x:v>
      </x:c>
      <x:c r="C48" s="20" t="str">
        <x:v>IQ</x:v>
      </x:c>
      <x:c r="D48" s="20" t="str">
        <x:v>IRQ</x:v>
      </x:c>
      <x:c r="E48" s="20" t="str">
        <x:v>368</x:v>
      </x:c>
      <x:c r="F48" s="20" t="str">
        <x:v>Asia</x:v>
      </x:c>
      <x:c r="G48" s="20" t="str">
        <x:v>Western Asia</x:v>
      </x:c>
      <x:c r="H48" s="20" t="n">
        <x:v>33</x:v>
      </x:c>
      <x:c r="I48" s="20" t="n">
        <x:v>44</x:v>
      </x:c>
      <x:c r="J48" s="20" t="str">
        <x:v>Yes</x:v>
      </x:c>
      <x:c r="K48" s="20" t="str">
        <x:v>ResurgamHub-mentioned Leaflet country/area</x:v>
      </x:c>
      <x:c r="L48" s="20" t="str">
        <x:v>ResurgamHub mention list; ISO/M49 verified; centroid approximate</x:v>
      </x:c>
      <x:c r="M48" s="20" t="str">
        <x:v>https://unstats.un.org/unsd/methodology/m49/overview</x:v>
      </x:c>
      <x:c r="N48" s="20" t="str">
        <x:v>https://restcountries.com/</x:v>
      </x:c>
      <x:c r="O48" s="20" t="str">
        <x:v>REST Countries / CountryInfo latlng snapshot</x:v>
      </x:c>
    </x:row>
    <x:row r="49">
      <x:c r="A49" s="20" t="str">
        <x:v>Israel</x:v>
      </x:c>
      <x:c r="B49" s="20" t="str">
        <x:v>State of Israel</x:v>
      </x:c>
      <x:c r="C49" s="20" t="str">
        <x:v>IL</x:v>
      </x:c>
      <x:c r="D49" s="20" t="str">
        <x:v>ISR</x:v>
      </x:c>
      <x:c r="E49" s="20" t="str">
        <x:v>376</x:v>
      </x:c>
      <x:c r="F49" s="20" t="str">
        <x:v>Asia</x:v>
      </x:c>
      <x:c r="G49" s="20" t="str">
        <x:v>Western Asia</x:v>
      </x:c>
      <x:c r="H49" s="20" t="n">
        <x:v>31.5</x:v>
      </x:c>
      <x:c r="I49" s="20" t="n">
        <x:v>34.75</x:v>
      </x:c>
      <x:c r="J49" s="20" t="str">
        <x:v>Yes</x:v>
      </x:c>
      <x:c r="K49" s="20" t="str">
        <x:v>ResurgamHub-mentioned Leaflet country/area</x:v>
      </x:c>
      <x:c r="L49" s="20" t="str">
        <x:v>ResurgamHub mention list; ISO/M49 verified; centroid approximate</x:v>
      </x:c>
      <x:c r="M49" s="20" t="str">
        <x:v>https://unstats.un.org/unsd/methodology/m49/overview</x:v>
      </x:c>
      <x:c r="N49" s="20" t="str">
        <x:v>https://restcountries.com/</x:v>
      </x:c>
      <x:c r="O49" s="20" t="str">
        <x:v>REST Countries / CountryInfo latlng snapshot</x:v>
      </x:c>
    </x:row>
    <x:row r="50">
      <x:c r="A50" s="20" t="str">
        <x:v>Italy</x:v>
      </x:c>
      <x:c r="B50" s="20" t="str">
        <x:v>Italian Republic</x:v>
      </x:c>
      <x:c r="C50" s="20" t="str">
        <x:v>IT</x:v>
      </x:c>
      <x:c r="D50" s="20" t="str">
        <x:v>ITA</x:v>
      </x:c>
      <x:c r="E50" s="20" t="str">
        <x:v>380</x:v>
      </x:c>
      <x:c r="F50" s="20" t="str">
        <x:v>Europe</x:v>
      </x:c>
      <x:c r="G50" s="20" t="str">
        <x:v>Southern Europe</x:v>
      </x:c>
      <x:c r="H50" s="20" t="n">
        <x:v>42.83333333</x:v>
      </x:c>
      <x:c r="I50" s="20" t="n">
        <x:v>12.83333333</x:v>
      </x:c>
      <x:c r="J50" s="20" t="str">
        <x:v>Yes</x:v>
      </x:c>
      <x:c r="K50" s="20" t="str">
        <x:v>ResurgamHub-mentioned Leaflet country/area</x:v>
      </x:c>
      <x:c r="L50" s="20" t="str">
        <x:v>ResurgamHub mention list; ISO/M49 verified; centroid approximate</x:v>
      </x:c>
      <x:c r="M50" s="20" t="str">
        <x:v>https://unstats.un.org/unsd/methodology/m49/overview</x:v>
      </x:c>
      <x:c r="N50" s="20" t="str">
        <x:v>https://restcountries.com/</x:v>
      </x:c>
      <x:c r="O50" s="20" t="str">
        <x:v>REST Countries / CountryInfo latlng snapshot</x:v>
      </x:c>
    </x:row>
    <x:row r="51">
      <x:c r="A51" s="20" t="str">
        <x:v>Japan</x:v>
      </x:c>
      <x:c r="B51" s="20"/>
      <x:c r="C51" s="20" t="str">
        <x:v>JP</x:v>
      </x:c>
      <x:c r="D51" s="20" t="str">
        <x:v>JPN</x:v>
      </x:c>
      <x:c r="E51" s="20" t="str">
        <x:v>392</x:v>
      </x:c>
      <x:c r="F51" s="20" t="str">
        <x:v>Asia</x:v>
      </x:c>
      <x:c r="G51" s="20" t="str">
        <x:v>Eastern Asia</x:v>
      </x:c>
      <x:c r="H51" s="20" t="n">
        <x:v>36</x:v>
      </x:c>
      <x:c r="I51" s="20" t="n">
        <x:v>138</x:v>
      </x:c>
      <x:c r="J51" s="20" t="str">
        <x:v>Yes</x:v>
      </x:c>
      <x:c r="K51" s="20" t="str">
        <x:v>ResurgamHub-mentioned Leaflet country/area</x:v>
      </x:c>
      <x:c r="L51" s="20" t="str">
        <x:v>ResurgamHub mention list; ISO/M49 verified; centroid approximate</x:v>
      </x:c>
      <x:c r="M51" s="20" t="str">
        <x:v>https://unstats.un.org/unsd/methodology/m49/overview</x:v>
      </x:c>
      <x:c r="N51" s="20" t="str">
        <x:v>https://restcountries.com/</x:v>
      </x:c>
      <x:c r="O51" s="20" t="str">
        <x:v>REST Countries / CountryInfo latlng snapshot</x:v>
      </x:c>
    </x:row>
    <x:row r="52">
      <x:c r="A52" s="20" t="str">
        <x:v>Jordan</x:v>
      </x:c>
      <x:c r="B52" s="20" t="str">
        <x:v>Hashemite Kingdom of Jordan</x:v>
      </x:c>
      <x:c r="C52" s="20" t="str">
        <x:v>JO</x:v>
      </x:c>
      <x:c r="D52" s="20" t="str">
        <x:v>JOR</x:v>
      </x:c>
      <x:c r="E52" s="20" t="str">
        <x:v>400</x:v>
      </x:c>
      <x:c r="F52" s="20" t="str">
        <x:v>Asia</x:v>
      </x:c>
      <x:c r="G52" s="20" t="str">
        <x:v>Western Asia</x:v>
      </x:c>
      <x:c r="H52" s="20" t="n">
        <x:v>31</x:v>
      </x:c>
      <x:c r="I52" s="20" t="n">
        <x:v>36</x:v>
      </x:c>
      <x:c r="J52" s="20" t="str">
        <x:v>Yes</x:v>
      </x:c>
      <x:c r="K52" s="20" t="str">
        <x:v>ResurgamHub-mentioned Leaflet country/area</x:v>
      </x:c>
      <x:c r="L52" s="20" t="str">
        <x:v>ResurgamHub mention list; ISO/M49 verified; centroid approximate</x:v>
      </x:c>
      <x:c r="M52" s="20" t="str">
        <x:v>https://unstats.un.org/unsd/methodology/m49/overview</x:v>
      </x:c>
      <x:c r="N52" s="20" t="str">
        <x:v>https://restcountries.com/</x:v>
      </x:c>
      <x:c r="O52" s="20" t="str">
        <x:v>REST Countries / CountryInfo latlng snapshot</x:v>
      </x:c>
    </x:row>
    <x:row r="53">
      <x:c r="A53" s="20" t="str">
        <x:v>Kazakhstan</x:v>
      </x:c>
      <x:c r="B53" s="20" t="str">
        <x:v>Republic of Kazakhstan</x:v>
      </x:c>
      <x:c r="C53" s="20" t="str">
        <x:v>KZ</x:v>
      </x:c>
      <x:c r="D53" s="20" t="str">
        <x:v>KAZ</x:v>
      </x:c>
      <x:c r="E53" s="20" t="str">
        <x:v>398</x:v>
      </x:c>
      <x:c r="F53" s="20" t="str">
        <x:v>Asia</x:v>
      </x:c>
      <x:c r="G53" s="20" t="str">
        <x:v>Central Asia</x:v>
      </x:c>
      <x:c r="H53" s="20" t="n">
        <x:v>48</x:v>
      </x:c>
      <x:c r="I53" s="20" t="n">
        <x:v>68</x:v>
      </x:c>
      <x:c r="J53" s="20" t="str">
        <x:v>Yes</x:v>
      </x:c>
      <x:c r="K53" s="20" t="str">
        <x:v>ResurgamHub-mentioned Leaflet country/area</x:v>
      </x:c>
      <x:c r="L53" s="20" t="str">
        <x:v>ResurgamHub mention list; ISO/M49 verified; centroid approximate</x:v>
      </x:c>
      <x:c r="M53" s="20" t="str">
        <x:v>https://unstats.un.org/unsd/methodology/m49/overview</x:v>
      </x:c>
      <x:c r="N53" s="20" t="str">
        <x:v>https://restcountries.com/</x:v>
      </x:c>
      <x:c r="O53" s="20" t="str">
        <x:v>REST Countries / CountryInfo latlng snapshot</x:v>
      </x:c>
    </x:row>
    <x:row r="54">
      <x:c r="A54" s="20" t="str">
        <x:v>Kenya</x:v>
      </x:c>
      <x:c r="B54" s="20" t="str">
        <x:v>Republic of Kenya</x:v>
      </x:c>
      <x:c r="C54" s="20" t="str">
        <x:v>KE</x:v>
      </x:c>
      <x:c r="D54" s="20" t="str">
        <x:v>KEN</x:v>
      </x:c>
      <x:c r="E54" s="20" t="str">
        <x:v>404</x:v>
      </x:c>
      <x:c r="F54" s="20" t="str">
        <x:v>Africa</x:v>
      </x:c>
      <x:c r="G54" s="20" t="str">
        <x:v>Eastern Africa</x:v>
      </x:c>
      <x:c r="H54" s="20" t="n">
        <x:v>1</x:v>
      </x:c>
      <x:c r="I54" s="20" t="n">
        <x:v>38</x:v>
      </x:c>
      <x:c r="J54" s="20" t="str">
        <x:v>Yes</x:v>
      </x:c>
      <x:c r="K54" s="20" t="str">
        <x:v>ResurgamHub-mentioned Leaflet country/area</x:v>
      </x:c>
      <x:c r="L54" s="20" t="str">
        <x:v>ResurgamHub mention list; ISO/M49 verified; centroid approximate</x:v>
      </x:c>
      <x:c r="M54" s="20" t="str">
        <x:v>https://unstats.un.org/unsd/methodology/m49/overview</x:v>
      </x:c>
      <x:c r="N54" s="20" t="str">
        <x:v>https://restcountries.com/</x:v>
      </x:c>
      <x:c r="O54" s="20" t="str">
        <x:v>REST Countries / CountryInfo latlng snapshot</x:v>
      </x:c>
    </x:row>
    <x:row r="55">
      <x:c r="A55" s="20" t="str">
        <x:v>Kiribati</x:v>
      </x:c>
      <x:c r="B55" s="20" t="str">
        <x:v>Republic of Kiribati</x:v>
      </x:c>
      <x:c r="C55" s="20" t="str">
        <x:v>KI</x:v>
      </x:c>
      <x:c r="D55" s="20" t="str">
        <x:v>KIR</x:v>
      </x:c>
      <x:c r="E55" s="20" t="str">
        <x:v>296</x:v>
      </x:c>
      <x:c r="F55" s="20" t="str">
        <x:v>Oceania</x:v>
      </x:c>
      <x:c r="G55" s="20" t="str">
        <x:v>Micronesia</x:v>
      </x:c>
      <x:c r="H55" s="20" t="n">
        <x:v>1.41666666</x:v>
      </x:c>
      <x:c r="I55" s="20" t="n">
        <x:v>173</x:v>
      </x:c>
      <x:c r="J55" s="20" t="str">
        <x:v>Yes</x:v>
      </x:c>
      <x:c r="K55" s="20" t="str">
        <x:v>ResurgamHub-mentioned Leaflet country/area</x:v>
      </x:c>
      <x:c r="L55" s="20" t="str">
        <x:v>ResurgamHub mention list; ISO/M49 verified; centroid approximate</x:v>
      </x:c>
      <x:c r="M55" s="20" t="str">
        <x:v>https://unstats.un.org/unsd/methodology/m49/overview</x:v>
      </x:c>
      <x:c r="N55" s="20" t="str">
        <x:v>https://restcountries.com/</x:v>
      </x:c>
      <x:c r="O55" s="20" t="str">
        <x:v>REST Countries / CountryInfo latlng snapshot</x:v>
      </x:c>
    </x:row>
    <x:row r="56">
      <x:c r="A56" s="20" t="str">
        <x:v>Kuwait</x:v>
      </x:c>
      <x:c r="B56" s="20" t="str">
        <x:v>State of Kuwait</x:v>
      </x:c>
      <x:c r="C56" s="20" t="str">
        <x:v>KW</x:v>
      </x:c>
      <x:c r="D56" s="20" t="str">
        <x:v>KWT</x:v>
      </x:c>
      <x:c r="E56" s="20" t="str">
        <x:v>414</x:v>
      </x:c>
      <x:c r="F56" s="20" t="str">
        <x:v>Asia</x:v>
      </x:c>
      <x:c r="G56" s="20" t="str">
        <x:v>Western Asia</x:v>
      </x:c>
      <x:c r="H56" s="20" t="n">
        <x:v>29.5</x:v>
      </x:c>
      <x:c r="I56" s="20" t="n">
        <x:v>45.75</x:v>
      </x:c>
      <x:c r="J56" s="20" t="str">
        <x:v>Yes</x:v>
      </x:c>
      <x:c r="K56" s="20" t="str">
        <x:v>ResurgamHub-mentioned Leaflet country/area</x:v>
      </x:c>
      <x:c r="L56" s="20" t="str">
        <x:v>ResurgamHub mention list; ISO/M49 verified; centroid approximate</x:v>
      </x:c>
      <x:c r="M56" s="20" t="str">
        <x:v>https://unstats.un.org/unsd/methodology/m49/overview</x:v>
      </x:c>
      <x:c r="N56" s="20" t="str">
        <x:v>https://restcountries.com/</x:v>
      </x:c>
      <x:c r="O56" s="20" t="str">
        <x:v>REST Countries / CountryInfo latlng snapshot</x:v>
      </x:c>
    </x:row>
    <x:row r="57">
      <x:c r="A57" s="20" t="str">
        <x:v>Kyrgyzstan</x:v>
      </x:c>
      <x:c r="B57" s="20" t="str">
        <x:v>Kyrgyz Republic</x:v>
      </x:c>
      <x:c r="C57" s="20" t="str">
        <x:v>KG</x:v>
      </x:c>
      <x:c r="D57" s="20" t="str">
        <x:v>KGZ</x:v>
      </x:c>
      <x:c r="E57" s="20" t="str">
        <x:v>417</x:v>
      </x:c>
      <x:c r="F57" s="20" t="str">
        <x:v>Asia</x:v>
      </x:c>
      <x:c r="G57" s="20" t="str">
        <x:v>Central Asia</x:v>
      </x:c>
      <x:c r="H57" s="20" t="n">
        <x:v>41</x:v>
      </x:c>
      <x:c r="I57" s="20" t="n">
        <x:v>75</x:v>
      </x:c>
      <x:c r="J57" s="20" t="str">
        <x:v>Yes</x:v>
      </x:c>
      <x:c r="K57" s="20" t="str">
        <x:v>ResurgamHub-mentioned Leaflet country/area</x:v>
      </x:c>
      <x:c r="L57" s="20" t="str">
        <x:v>ResurgamHub mention list; ISO/M49 verified; centroid approximate</x:v>
      </x:c>
      <x:c r="M57" s="20" t="str">
        <x:v>https://unstats.un.org/unsd/methodology/m49/overview</x:v>
      </x:c>
      <x:c r="N57" s="20" t="str">
        <x:v>https://restcountries.com/</x:v>
      </x:c>
      <x:c r="O57" s="20" t="str">
        <x:v>REST Countries / CountryInfo latlng snapshot; Normalized from Kyrgyz Republic / Kyrgyzstan.</x:v>
      </x:c>
    </x:row>
    <x:row r="58">
      <x:c r="A58" s="20" t="str">
        <x:v>Latvia</x:v>
      </x:c>
      <x:c r="B58" s="20" t="str">
        <x:v>Republic of Latvia</x:v>
      </x:c>
      <x:c r="C58" s="20" t="str">
        <x:v>LV</x:v>
      </x:c>
      <x:c r="D58" s="20" t="str">
        <x:v>LVA</x:v>
      </x:c>
      <x:c r="E58" s="20" t="str">
        <x:v>428</x:v>
      </x:c>
      <x:c r="F58" s="20" t="str">
        <x:v>Europe</x:v>
      </x:c>
      <x:c r="G58" s="20" t="str">
        <x:v>Northern Europe</x:v>
      </x:c>
      <x:c r="H58" s="20" t="n">
        <x:v>57</x:v>
      </x:c>
      <x:c r="I58" s="20" t="n">
        <x:v>25</x:v>
      </x:c>
      <x:c r="J58" s="20" t="str">
        <x:v>Yes</x:v>
      </x:c>
      <x:c r="K58" s="20" t="str">
        <x:v>ResurgamHub-mentioned Leaflet country/area</x:v>
      </x:c>
      <x:c r="L58" s="20" t="str">
        <x:v>ResurgamHub mention list; ISO/M49 verified; centroid approximate</x:v>
      </x:c>
      <x:c r="M58" s="20" t="str">
        <x:v>https://unstats.un.org/unsd/methodology/m49/overview</x:v>
      </x:c>
      <x:c r="N58" s="20" t="str">
        <x:v>https://restcountries.com/</x:v>
      </x:c>
      <x:c r="O58" s="20" t="str">
        <x:v>REST Countries / CountryInfo latlng snapshot</x:v>
      </x:c>
    </x:row>
    <x:row r="59">
      <x:c r="A59" s="20" t="str">
        <x:v>Lebanon</x:v>
      </x:c>
      <x:c r="B59" s="20" t="str">
        <x:v>Lebanese Republic</x:v>
      </x:c>
      <x:c r="C59" s="20" t="str">
        <x:v>LB</x:v>
      </x:c>
      <x:c r="D59" s="20" t="str">
        <x:v>LBN</x:v>
      </x:c>
      <x:c r="E59" s="20" t="str">
        <x:v>422</x:v>
      </x:c>
      <x:c r="F59" s="20" t="str">
        <x:v>Asia</x:v>
      </x:c>
      <x:c r="G59" s="20" t="str">
        <x:v>Western Asia</x:v>
      </x:c>
      <x:c r="H59" s="20" t="n">
        <x:v>33.83333333</x:v>
      </x:c>
      <x:c r="I59" s="20" t="n">
        <x:v>35.83333333</x:v>
      </x:c>
      <x:c r="J59" s="20" t="str">
        <x:v>Yes</x:v>
      </x:c>
      <x:c r="K59" s="20" t="str">
        <x:v>ResurgamHub-mentioned Leaflet country/area</x:v>
      </x:c>
      <x:c r="L59" s="20" t="str">
        <x:v>ResurgamHub mention list; ISO/M49 verified; centroid approximate</x:v>
      </x:c>
      <x:c r="M59" s="20" t="str">
        <x:v>https://unstats.un.org/unsd/methodology/m49/overview</x:v>
      </x:c>
      <x:c r="N59" s="20" t="str">
        <x:v>https://restcountries.com/</x:v>
      </x:c>
      <x:c r="O59" s="20" t="str">
        <x:v>REST Countries / CountryInfo latlng snapshot</x:v>
      </x:c>
    </x:row>
    <x:row r="60">
      <x:c r="A60" s="20" t="str">
        <x:v>Liberia</x:v>
      </x:c>
      <x:c r="B60" s="20" t="str">
        <x:v>Republic of Liberia</x:v>
      </x:c>
      <x:c r="C60" s="20" t="str">
        <x:v>LR</x:v>
      </x:c>
      <x:c r="D60" s="20" t="str">
        <x:v>LBR</x:v>
      </x:c>
      <x:c r="E60" s="20" t="str">
        <x:v>430</x:v>
      </x:c>
      <x:c r="F60" s="20" t="str">
        <x:v>Africa</x:v>
      </x:c>
      <x:c r="G60" s="20" t="str">
        <x:v>Western Africa</x:v>
      </x:c>
      <x:c r="H60" s="20" t="n">
        <x:v>6.5</x:v>
      </x:c>
      <x:c r="I60" s="20" t="n">
        <x:v>-9.5</x:v>
      </x:c>
      <x:c r="J60" s="20" t="str">
        <x:v>Yes</x:v>
      </x:c>
      <x:c r="K60" s="20" t="str">
        <x:v>ResurgamHub-mentioned Leaflet country/area</x:v>
      </x:c>
      <x:c r="L60" s="20" t="str">
        <x:v>ResurgamHub mention list; ISO/M49 verified; centroid approximate</x:v>
      </x:c>
      <x:c r="M60" s="20" t="str">
        <x:v>https://unstats.un.org/unsd/methodology/m49/overview</x:v>
      </x:c>
      <x:c r="N60" s="20" t="str">
        <x:v>https://restcountries.com/</x:v>
      </x:c>
      <x:c r="O60" s="20" t="str">
        <x:v>REST Countries / CountryInfo latlng snapshot</x:v>
      </x:c>
    </x:row>
    <x:row r="61">
      <x:c r="A61" s="20" t="str">
        <x:v>Libya</x:v>
      </x:c>
      <x:c r="B61" s="20" t="str">
        <x:v>Libya</x:v>
      </x:c>
      <x:c r="C61" s="20" t="str">
        <x:v>LY</x:v>
      </x:c>
      <x:c r="D61" s="20" t="str">
        <x:v>LBY</x:v>
      </x:c>
      <x:c r="E61" s="20" t="str">
        <x:v>434</x:v>
      </x:c>
      <x:c r="F61" s="20" t="str">
        <x:v>Africa</x:v>
      </x:c>
      <x:c r="G61" s="20" t="str">
        <x:v>Northern Africa</x:v>
      </x:c>
      <x:c r="H61" s="20" t="n">
        <x:v>25</x:v>
      </x:c>
      <x:c r="I61" s="20" t="n">
        <x:v>17</x:v>
      </x:c>
      <x:c r="J61" s="20" t="str">
        <x:v>Yes</x:v>
      </x:c>
      <x:c r="K61" s="20" t="str">
        <x:v>ResurgamHub-mentioned Leaflet country/area</x:v>
      </x:c>
      <x:c r="L61" s="20" t="str">
        <x:v>ResurgamHub mention list; ISO/M49 verified; centroid approximate</x:v>
      </x:c>
      <x:c r="M61" s="20" t="str">
        <x:v>https://unstats.un.org/unsd/methodology/m49/overview</x:v>
      </x:c>
      <x:c r="N61" s="20" t="str">
        <x:v>https://restcountries.com/</x:v>
      </x:c>
      <x:c r="O61" s="20" t="str">
        <x:v>REST Countries / CountryInfo latlng snapshot</x:v>
      </x:c>
    </x:row>
    <x:row r="62">
      <x:c r="A62" s="20" t="str">
        <x:v>Lithuania</x:v>
      </x:c>
      <x:c r="B62" s="20" t="str">
        <x:v>Republic of Lithuania</x:v>
      </x:c>
      <x:c r="C62" s="20" t="str">
        <x:v>LT</x:v>
      </x:c>
      <x:c r="D62" s="20" t="str">
        <x:v>LTU</x:v>
      </x:c>
      <x:c r="E62" s="20" t="str">
        <x:v>440</x:v>
      </x:c>
      <x:c r="F62" s="20" t="str">
        <x:v>Europe</x:v>
      </x:c>
      <x:c r="G62" s="20" t="str">
        <x:v>Northern Europe</x:v>
      </x:c>
      <x:c r="H62" s="20" t="n">
        <x:v>56</x:v>
      </x:c>
      <x:c r="I62" s="20" t="n">
        <x:v>24</x:v>
      </x:c>
      <x:c r="J62" s="20" t="str">
        <x:v>Yes</x:v>
      </x:c>
      <x:c r="K62" s="20" t="str">
        <x:v>ResurgamHub-mentioned Leaflet country/area</x:v>
      </x:c>
      <x:c r="L62" s="20" t="str">
        <x:v>ResurgamHub mention list; ISO/M49 verified; centroid approximate</x:v>
      </x:c>
      <x:c r="M62" s="20" t="str">
        <x:v>https://unstats.un.org/unsd/methodology/m49/overview</x:v>
      </x:c>
      <x:c r="N62" s="20" t="str">
        <x:v>https://restcountries.com/</x:v>
      </x:c>
      <x:c r="O62" s="20" t="str">
        <x:v>REST Countries / CountryInfo latlng snapshot</x:v>
      </x:c>
    </x:row>
    <x:row r="63">
      <x:c r="A63" s="20" t="str">
        <x:v>Madagascar</x:v>
      </x:c>
      <x:c r="B63" s="20" t="str">
        <x:v>Republic of Madagascar</x:v>
      </x:c>
      <x:c r="C63" s="20" t="str">
        <x:v>MG</x:v>
      </x:c>
      <x:c r="D63" s="20" t="str">
        <x:v>MDG</x:v>
      </x:c>
      <x:c r="E63" s="20" t="str">
        <x:v>450</x:v>
      </x:c>
      <x:c r="F63" s="20" t="str">
        <x:v>Africa</x:v>
      </x:c>
      <x:c r="G63" s="20" t="str">
        <x:v>Eastern Africa</x:v>
      </x:c>
      <x:c r="H63" s="20" t="n">
        <x:v>-20</x:v>
      </x:c>
      <x:c r="I63" s="20" t="n">
        <x:v>47</x:v>
      </x:c>
      <x:c r="J63" s="20" t="str">
        <x:v>Yes</x:v>
      </x:c>
      <x:c r="K63" s="20" t="str">
        <x:v>ResurgamHub-mentioned Leaflet country/area</x:v>
      </x:c>
      <x:c r="L63" s="20" t="str">
        <x:v>ResurgamHub mention list; ISO/M49 verified; centroid approximate</x:v>
      </x:c>
      <x:c r="M63" s="20" t="str">
        <x:v>https://unstats.un.org/unsd/methodology/m49/overview</x:v>
      </x:c>
      <x:c r="N63" s="20" t="str">
        <x:v>https://restcountries.com/</x:v>
      </x:c>
      <x:c r="O63" s="20" t="str">
        <x:v>REST Countries / CountryInfo latlng snapshot</x:v>
      </x:c>
    </x:row>
    <x:row r="64">
      <x:c r="A64" s="20" t="str">
        <x:v>Malaysia</x:v>
      </x:c>
      <x:c r="B64" s="20"/>
      <x:c r="C64" s="20" t="str">
        <x:v>MY</x:v>
      </x:c>
      <x:c r="D64" s="20" t="str">
        <x:v>MYS</x:v>
      </x:c>
      <x:c r="E64" s="20" t="str">
        <x:v>458</x:v>
      </x:c>
      <x:c r="F64" s="20" t="str">
        <x:v>Asia</x:v>
      </x:c>
      <x:c r="G64" s="20" t="str">
        <x:v>South-Eastern Asia</x:v>
      </x:c>
      <x:c r="H64" s="20" t="n">
        <x:v>2.5</x:v>
      </x:c>
      <x:c r="I64" s="20" t="n">
        <x:v>112.5</x:v>
      </x:c>
      <x:c r="J64" s="20" t="str">
        <x:v>Yes</x:v>
      </x:c>
      <x:c r="K64" s="20" t="str">
        <x:v>ResurgamHub-mentioned Leaflet country/area</x:v>
      </x:c>
      <x:c r="L64" s="20" t="str">
        <x:v>ResurgamHub mention list; ISO/M49 verified; centroid approximate</x:v>
      </x:c>
      <x:c r="M64" s="20" t="str">
        <x:v>https://unstats.un.org/unsd/methodology/m49/overview</x:v>
      </x:c>
      <x:c r="N64" s="20" t="str">
        <x:v>https://restcountries.com/</x:v>
      </x:c>
      <x:c r="O64" s="20" t="str">
        <x:v>REST Countries / CountryInfo latlng snapshot</x:v>
      </x:c>
    </x:row>
    <x:row r="65">
      <x:c r="A65" s="20" t="str">
        <x:v>Mali</x:v>
      </x:c>
      <x:c r="B65" s="20" t="str">
        <x:v>Republic of Mali</x:v>
      </x:c>
      <x:c r="C65" s="20" t="str">
        <x:v>ML</x:v>
      </x:c>
      <x:c r="D65" s="20" t="str">
        <x:v>MLI</x:v>
      </x:c>
      <x:c r="E65" s="20" t="str">
        <x:v>466</x:v>
      </x:c>
      <x:c r="F65" s="20" t="str">
        <x:v>Africa</x:v>
      </x:c>
      <x:c r="G65" s="20" t="str">
        <x:v>Western Africa</x:v>
      </x:c>
      <x:c r="H65" s="20" t="n">
        <x:v>17</x:v>
      </x:c>
      <x:c r="I65" s="20" t="n">
        <x:v>-4</x:v>
      </x:c>
      <x:c r="J65" s="20" t="str">
        <x:v>Yes</x:v>
      </x:c>
      <x:c r="K65" s="20" t="str">
        <x:v>ResurgamHub-mentioned Leaflet country/area</x:v>
      </x:c>
      <x:c r="L65" s="20" t="str">
        <x:v>ResurgamHub mention list; ISO/M49 verified; centroid approximate</x:v>
      </x:c>
      <x:c r="M65" s="20" t="str">
        <x:v>https://unstats.un.org/unsd/methodology/m49/overview</x:v>
      </x:c>
      <x:c r="N65" s="20" t="str">
        <x:v>https://restcountries.com/</x:v>
      </x:c>
      <x:c r="O65" s="20" t="str">
        <x:v>REST Countries / CountryInfo latlng snapshot</x:v>
      </x:c>
    </x:row>
    <x:row r="66">
      <x:c r="A66" s="20" t="str">
        <x:v>Marshall Islands</x:v>
      </x:c>
      <x:c r="B66" s="20" t="str">
        <x:v>Republic of the Marshall Islands</x:v>
      </x:c>
      <x:c r="C66" s="20" t="str">
        <x:v>MH</x:v>
      </x:c>
      <x:c r="D66" s="20" t="str">
        <x:v>MHL</x:v>
      </x:c>
      <x:c r="E66" s="20" t="str">
        <x:v>584</x:v>
      </x:c>
      <x:c r="F66" s="20" t="str">
        <x:v>Oceania</x:v>
      </x:c>
      <x:c r="G66" s="20" t="str">
        <x:v>Micronesia</x:v>
      </x:c>
      <x:c r="H66" s="20" t="n">
        <x:v>9</x:v>
      </x:c>
      <x:c r="I66" s="20" t="n">
        <x:v>168</x:v>
      </x:c>
      <x:c r="J66" s="20" t="str">
        <x:v>Yes</x:v>
      </x:c>
      <x:c r="K66" s="20" t="str">
        <x:v>ResurgamHub-mentioned Leaflet country/area</x:v>
      </x:c>
      <x:c r="L66" s="20" t="str">
        <x:v>ResurgamHub mention list; ISO/M49 verified; centroid approximate</x:v>
      </x:c>
      <x:c r="M66" s="20" t="str">
        <x:v>https://unstats.un.org/unsd/methodology/m49/overview</x:v>
      </x:c>
      <x:c r="N66" s="20" t="str">
        <x:v>https://restcountries.com/</x:v>
      </x:c>
      <x:c r="O66" s="20" t="str">
        <x:v>REST Countries / CountryInfo latlng snapshot</x:v>
      </x:c>
    </x:row>
    <x:row r="67">
      <x:c r="A67" s="20" t="str">
        <x:v>Mauritania</x:v>
      </x:c>
      <x:c r="B67" s="20" t="str">
        <x:v>Islamic Republic of Mauritania</x:v>
      </x:c>
      <x:c r="C67" s="20" t="str">
        <x:v>MR</x:v>
      </x:c>
      <x:c r="D67" s="20" t="str">
        <x:v>MRT</x:v>
      </x:c>
      <x:c r="E67" s="20" t="str">
        <x:v>478</x:v>
      </x:c>
      <x:c r="F67" s="20" t="str">
        <x:v>Africa</x:v>
      </x:c>
      <x:c r="G67" s="20" t="str">
        <x:v>Western Africa</x:v>
      </x:c>
      <x:c r="H67" s="20" t="n">
        <x:v>20</x:v>
      </x:c>
      <x:c r="I67" s="20" t="n">
        <x:v>-12</x:v>
      </x:c>
      <x:c r="J67" s="20" t="str">
        <x:v>Yes</x:v>
      </x:c>
      <x:c r="K67" s="20" t="str">
        <x:v>ResurgamHub-mentioned Leaflet country/area</x:v>
      </x:c>
      <x:c r="L67" s="20" t="str">
        <x:v>ResurgamHub mention list; ISO/M49 verified; centroid approximate</x:v>
      </x:c>
      <x:c r="M67" s="20" t="str">
        <x:v>https://unstats.un.org/unsd/methodology/m49/overview</x:v>
      </x:c>
      <x:c r="N67" s="20" t="str">
        <x:v>https://restcountries.com/</x:v>
      </x:c>
      <x:c r="O67" s="20" t="str">
        <x:v>REST Countries / CountryInfo latlng snapshot</x:v>
      </x:c>
    </x:row>
    <x:row r="68">
      <x:c r="A68" s="20" t="str">
        <x:v>Moldova</x:v>
      </x:c>
      <x:c r="B68" s="20" t="str">
        <x:v>Republic of Moldova</x:v>
      </x:c>
      <x:c r="C68" s="20" t="str">
        <x:v>MD</x:v>
      </x:c>
      <x:c r="D68" s="20" t="str">
        <x:v>MDA</x:v>
      </x:c>
      <x:c r="E68" s="20" t="str">
        <x:v>498</x:v>
      </x:c>
      <x:c r="F68" s="20" t="str">
        <x:v>Europe</x:v>
      </x:c>
      <x:c r="G68" s="20" t="str">
        <x:v>Eastern Europe</x:v>
      </x:c>
      <x:c r="H68" s="20" t="n">
        <x:v>47</x:v>
      </x:c>
      <x:c r="I68" s="20" t="n">
        <x:v>29</x:v>
      </x:c>
      <x:c r="J68" s="20" t="str">
        <x:v>Yes</x:v>
      </x:c>
      <x:c r="K68" s="20" t="str">
        <x:v>ResurgamHub-mentioned Leaflet country/area</x:v>
      </x:c>
      <x:c r="L68" s="20" t="str">
        <x:v>ResurgamHub mention list; ISO/M49 verified; centroid approximate</x:v>
      </x:c>
      <x:c r="M68" s="20" t="str">
        <x:v>https://unstats.un.org/unsd/methodology/m49/overview</x:v>
      </x:c>
      <x:c r="N68" s="20" t="str">
        <x:v>https://restcountries.com/</x:v>
      </x:c>
      <x:c r="O68" s="20" t="str">
        <x:v>REST Countries / CountryInfo latlng snapshot</x:v>
      </x:c>
    </x:row>
    <x:row r="69">
      <x:c r="A69" s="20" t="str">
        <x:v>Mongolia</x:v>
      </x:c>
      <x:c r="B69" s="20"/>
      <x:c r="C69" s="20" t="str">
        <x:v>MN</x:v>
      </x:c>
      <x:c r="D69" s="20" t="str">
        <x:v>MNG</x:v>
      </x:c>
      <x:c r="E69" s="20" t="str">
        <x:v>496</x:v>
      </x:c>
      <x:c r="F69" s="20" t="str">
        <x:v>Asia</x:v>
      </x:c>
      <x:c r="G69" s="20" t="str">
        <x:v>Eastern Asia</x:v>
      </x:c>
      <x:c r="H69" s="20" t="n">
        <x:v>46</x:v>
      </x:c>
      <x:c r="I69" s="20" t="n">
        <x:v>105</x:v>
      </x:c>
      <x:c r="J69" s="20" t="str">
        <x:v>Yes</x:v>
      </x:c>
      <x:c r="K69" s="20" t="str">
        <x:v>ResurgamHub-mentioned Leaflet country/area</x:v>
      </x:c>
      <x:c r="L69" s="20" t="str">
        <x:v>ResurgamHub mention list; ISO/M49 verified; centroid approximate</x:v>
      </x:c>
      <x:c r="M69" s="20" t="str">
        <x:v>https://unstats.un.org/unsd/methodology/m49/overview</x:v>
      </x:c>
      <x:c r="N69" s="20" t="str">
        <x:v>https://restcountries.com/</x:v>
      </x:c>
      <x:c r="O69" s="20" t="str">
        <x:v>REST Countries / CountryInfo latlng snapshot</x:v>
      </x:c>
    </x:row>
    <x:row r="70">
      <x:c r="A70" s="20" t="str">
        <x:v>Morocco</x:v>
      </x:c>
      <x:c r="B70" s="20" t="str">
        <x:v>Kingdom of Morocco</x:v>
      </x:c>
      <x:c r="C70" s="20" t="str">
        <x:v>MA</x:v>
      </x:c>
      <x:c r="D70" s="20" t="str">
        <x:v>MAR</x:v>
      </x:c>
      <x:c r="E70" s="20" t="str">
        <x:v>504</x:v>
      </x:c>
      <x:c r="F70" s="20" t="str">
        <x:v>Africa</x:v>
      </x:c>
      <x:c r="G70" s="20" t="str">
        <x:v>Northern Africa</x:v>
      </x:c>
      <x:c r="H70" s="20" t="n">
        <x:v>32</x:v>
      </x:c>
      <x:c r="I70" s="20" t="n">
        <x:v>-5</x:v>
      </x:c>
      <x:c r="J70" s="20" t="str">
        <x:v>Yes</x:v>
      </x:c>
      <x:c r="K70" s="20" t="str">
        <x:v>ResurgamHub-mentioned Leaflet country/area</x:v>
      </x:c>
      <x:c r="L70" s="20" t="str">
        <x:v>ResurgamHub mention list; ISO/M49 verified; centroid approximate</x:v>
      </x:c>
      <x:c r="M70" s="20" t="str">
        <x:v>https://unstats.un.org/unsd/methodology/m49/overview</x:v>
      </x:c>
      <x:c r="N70" s="20" t="str">
        <x:v>https://restcountries.com/</x:v>
      </x:c>
      <x:c r="O70" s="20" t="str">
        <x:v>REST Countries / CountryInfo latlng snapshot</x:v>
      </x:c>
    </x:row>
    <x:row r="71">
      <x:c r="A71" s="20" t="str">
        <x:v>Mozambique</x:v>
      </x:c>
      <x:c r="B71" s="20" t="str">
        <x:v>Republic of Mozambique</x:v>
      </x:c>
      <x:c r="C71" s="20" t="str">
        <x:v>MZ</x:v>
      </x:c>
      <x:c r="D71" s="20" t="str">
        <x:v>MOZ</x:v>
      </x:c>
      <x:c r="E71" s="20" t="str">
        <x:v>508</x:v>
      </x:c>
      <x:c r="F71" s="20" t="str">
        <x:v>Africa</x:v>
      </x:c>
      <x:c r="G71" s="20" t="str">
        <x:v>Eastern Africa</x:v>
      </x:c>
      <x:c r="H71" s="20" t="n">
        <x:v>-18.25</x:v>
      </x:c>
      <x:c r="I71" s="20" t="n">
        <x:v>35</x:v>
      </x:c>
      <x:c r="J71" s="20" t="str">
        <x:v>Yes</x:v>
      </x:c>
      <x:c r="K71" s="20" t="str">
        <x:v>ResurgamHub-mentioned Leaflet country/area</x:v>
      </x:c>
      <x:c r="L71" s="20" t="str">
        <x:v>ResurgamHub mention list; ISO/M49 verified; centroid approximate</x:v>
      </x:c>
      <x:c r="M71" s="20" t="str">
        <x:v>https://unstats.un.org/unsd/methodology/m49/overview</x:v>
      </x:c>
      <x:c r="N71" s="20" t="str">
        <x:v>https://restcountries.com/</x:v>
      </x:c>
      <x:c r="O71" s="20" t="str">
        <x:v>REST Countries / CountryInfo latlng snapshot</x:v>
      </x:c>
    </x:row>
    <x:row r="72">
      <x:c r="A72" s="20" t="str">
        <x:v>Myanmar</x:v>
      </x:c>
      <x:c r="B72" s="20" t="str">
        <x:v>Republic of Myanmar</x:v>
      </x:c>
      <x:c r="C72" s="20" t="str">
        <x:v>MM</x:v>
      </x:c>
      <x:c r="D72" s="20" t="str">
        <x:v>MMR</x:v>
      </x:c>
      <x:c r="E72" s="20" t="str">
        <x:v>104</x:v>
      </x:c>
      <x:c r="F72" s="20" t="str">
        <x:v>Asia</x:v>
      </x:c>
      <x:c r="G72" s="20" t="str">
        <x:v>South-eastern Asia</x:v>
      </x:c>
      <x:c r="H72" s="20" t="n">
        <x:v>22</x:v>
      </x:c>
      <x:c r="I72" s="20" t="n">
        <x:v>98</x:v>
      </x:c>
      <x:c r="J72" s="20" t="str">
        <x:v>Yes</x:v>
      </x:c>
      <x:c r="K72" s="20" t="str">
        <x:v>ResurgamHub-mentioned Leaflet country/area</x:v>
      </x:c>
      <x:c r="L72" s="20" t="str">
        <x:v>ResurgamHub mention list; ISO/M49 verified; centroid approximate</x:v>
      </x:c>
      <x:c r="M72" s="20" t="str">
        <x:v>https://unstats.un.org/unsd/methodology/m49/overview</x:v>
      </x:c>
      <x:c r="N72" s="20" t="str">
        <x:v>https://restcountries.com/</x:v>
      </x:c>
      <x:c r="O72" s="20" t="str">
        <x:v>Manual centroid fill; ISO/M49 row verified</x:v>
      </x:c>
    </x:row>
    <x:row r="73">
      <x:c r="A73" s="20" t="str">
        <x:v>Nauru</x:v>
      </x:c>
      <x:c r="B73" s="20" t="str">
        <x:v>Republic of Nauru</x:v>
      </x:c>
      <x:c r="C73" s="20" t="str">
        <x:v>NR</x:v>
      </x:c>
      <x:c r="D73" s="20" t="str">
        <x:v>NRU</x:v>
      </x:c>
      <x:c r="E73" s="20" t="str">
        <x:v>520</x:v>
      </x:c>
      <x:c r="F73" s="20" t="str">
        <x:v>Oceania</x:v>
      </x:c>
      <x:c r="G73" s="20" t="str">
        <x:v>Micronesia</x:v>
      </x:c>
      <x:c r="H73" s="20" t="n">
        <x:v>-0.53333333</x:v>
      </x:c>
      <x:c r="I73" s="20" t="n">
        <x:v>166.91666666</x:v>
      </x:c>
      <x:c r="J73" s="20" t="str">
        <x:v>Yes</x:v>
      </x:c>
      <x:c r="K73" s="20" t="str">
        <x:v>ResurgamHub-mentioned Leaflet country/area</x:v>
      </x:c>
      <x:c r="L73" s="20" t="str">
        <x:v>ResurgamHub mention list; ISO/M49 verified; centroid approximate</x:v>
      </x:c>
      <x:c r="M73" s="20" t="str">
        <x:v>https://unstats.un.org/unsd/methodology/m49/overview</x:v>
      </x:c>
      <x:c r="N73" s="20" t="str">
        <x:v>https://restcountries.com/</x:v>
      </x:c>
      <x:c r="O73" s="20" t="str">
        <x:v>REST Countries / CountryInfo latlng snapshot</x:v>
      </x:c>
    </x:row>
    <x:row r="74">
      <x:c r="A74" s="20" t="str">
        <x:v>Netherlands</x:v>
      </x:c>
      <x:c r="B74" s="20" t="str">
        <x:v>Kingdom of the Netherlands</x:v>
      </x:c>
      <x:c r="C74" s="20" t="str">
        <x:v>NL</x:v>
      </x:c>
      <x:c r="D74" s="20" t="str">
        <x:v>NLD</x:v>
      </x:c>
      <x:c r="E74" s="20" t="str">
        <x:v>528</x:v>
      </x:c>
      <x:c r="F74" s="20" t="str">
        <x:v>Europe</x:v>
      </x:c>
      <x:c r="G74" s="20" t="str">
        <x:v>Western Europe</x:v>
      </x:c>
      <x:c r="H74" s="20" t="n">
        <x:v>52.5</x:v>
      </x:c>
      <x:c r="I74" s="20" t="n">
        <x:v>5.75</x:v>
      </x:c>
      <x:c r="J74" s="20" t="str">
        <x:v>Yes</x:v>
      </x:c>
      <x:c r="K74" s="20" t="str">
        <x:v>ResurgamHub-mentioned Leaflet country/area</x:v>
      </x:c>
      <x:c r="L74" s="20" t="str">
        <x:v>ResurgamHub mention list; ISO/M49 verified; centroid approximate</x:v>
      </x:c>
      <x:c r="M74" s="20" t="str">
        <x:v>https://unstats.un.org/unsd/methodology/m49/overview</x:v>
      </x:c>
      <x:c r="N74" s="20" t="str">
        <x:v>https://restcountries.com/</x:v>
      </x:c>
      <x:c r="O74" s="20" t="str">
        <x:v>REST Countries / CountryInfo latlng snapshot</x:v>
      </x:c>
    </x:row>
    <x:row r="75">
      <x:c r="A75" s="20" t="str">
        <x:v>New Caledonia</x:v>
      </x:c>
      <x:c r="B75" s="20"/>
      <x:c r="C75" s="20" t="str">
        <x:v>NC</x:v>
      </x:c>
      <x:c r="D75" s="20" t="str">
        <x:v>NCL</x:v>
      </x:c>
      <x:c r="E75" s="20" t="str">
        <x:v>540</x:v>
      </x:c>
      <x:c r="F75" s="20" t="str">
        <x:v>Oceania</x:v>
      </x:c>
      <x:c r="G75" s="20" t="str">
        <x:v>Melanesia</x:v>
      </x:c>
      <x:c r="H75" s="20" t="n">
        <x:v>-21.5</x:v>
      </x:c>
      <x:c r="I75" s="20" t="n">
        <x:v>165.5</x:v>
      </x:c>
      <x:c r="J75" s="20" t="str">
        <x:v>Yes</x:v>
      </x:c>
      <x:c r="K75" s="20" t="str">
        <x:v>ResurgamHub-mentioned Leaflet country/area</x:v>
      </x:c>
      <x:c r="L75" s="20" t="str">
        <x:v>ResurgamHub mention list; ISO/M49 verified; centroid approximate</x:v>
      </x:c>
      <x:c r="M75" s="20" t="str">
        <x:v>https://unstats.un.org/unsd/methodology/m49/overview</x:v>
      </x:c>
      <x:c r="N75" s="20" t="str">
        <x:v>https://restcountries.com/</x:v>
      </x:c>
      <x:c r="O75" s="20" t="str">
        <x:v>REST Countries / CountryInfo latlng snapshot; Country/area rather than UN-member-only sovereign-state row; compatible with country-area map treatment.</x:v>
      </x:c>
    </x:row>
    <x:row r="76">
      <x:c r="A76" s="20" t="str">
        <x:v>New Zealand</x:v>
      </x:c>
      <x:c r="B76" s="20"/>
      <x:c r="C76" s="20" t="str">
        <x:v>NZ</x:v>
      </x:c>
      <x:c r="D76" s="20" t="str">
        <x:v>NZL</x:v>
      </x:c>
      <x:c r="E76" s="20" t="str">
        <x:v>554</x:v>
      </x:c>
      <x:c r="F76" s="20" t="str">
        <x:v>Oceania</x:v>
      </x:c>
      <x:c r="G76" s="20" t="str">
        <x:v>Australia and New Zealand</x:v>
      </x:c>
      <x:c r="H76" s="20" t="n">
        <x:v>-41</x:v>
      </x:c>
      <x:c r="I76" s="20" t="n">
        <x:v>174</x:v>
      </x:c>
      <x:c r="J76" s="20" t="str">
        <x:v>Yes</x:v>
      </x:c>
      <x:c r="K76" s="20" t="str">
        <x:v>ResurgamHub-mentioned Leaflet country/area</x:v>
      </x:c>
      <x:c r="L76" s="20" t="str">
        <x:v>ResurgamHub mention list; ISO/M49 verified; centroid approximate</x:v>
      </x:c>
      <x:c r="M76" s="20" t="str">
        <x:v>https://unstats.un.org/unsd/methodology/m49/overview</x:v>
      </x:c>
      <x:c r="N76" s="20" t="str">
        <x:v>https://restcountries.com/</x:v>
      </x:c>
      <x:c r="O76" s="20" t="str">
        <x:v>REST Countries / CountryInfo latlng snapshot</x:v>
      </x:c>
    </x:row>
    <x:row r="77">
      <x:c r="A77" s="20" t="str">
        <x:v>Nicaragua</x:v>
      </x:c>
      <x:c r="B77" s="20" t="str">
        <x:v>Republic of Nicaragua</x:v>
      </x:c>
      <x:c r="C77" s="20" t="str">
        <x:v>NI</x:v>
      </x:c>
      <x:c r="D77" s="20" t="str">
        <x:v>NIC</x:v>
      </x:c>
      <x:c r="E77" s="20" t="str">
        <x:v>558</x:v>
      </x:c>
      <x:c r="F77" s="20" t="str">
        <x:v>Americas</x:v>
      </x:c>
      <x:c r="G77" s="20" t="str">
        <x:v>Central America</x:v>
      </x:c>
      <x:c r="H77" s="20" t="n">
        <x:v>13</x:v>
      </x:c>
      <x:c r="I77" s="20" t="n">
        <x:v>-85</x:v>
      </x:c>
      <x:c r="J77" s="20" t="str">
        <x:v>Yes</x:v>
      </x:c>
      <x:c r="K77" s="20" t="str">
        <x:v>ResurgamHub-mentioned Leaflet country/area</x:v>
      </x:c>
      <x:c r="L77" s="20" t="str">
        <x:v>ResurgamHub mention list; ISO/M49 verified; centroid approximate</x:v>
      </x:c>
      <x:c r="M77" s="20" t="str">
        <x:v>https://unstats.un.org/unsd/methodology/m49/overview</x:v>
      </x:c>
      <x:c r="N77" s="20" t="str">
        <x:v>https://restcountries.com/</x:v>
      </x:c>
      <x:c r="O77" s="20" t="str">
        <x:v>REST Countries / CountryInfo latlng snapshot</x:v>
      </x:c>
    </x:row>
    <x:row r="78">
      <x:c r="A78" s="20" t="str">
        <x:v>Niger</x:v>
      </x:c>
      <x:c r="B78" s="20" t="str">
        <x:v>Republic of the Niger</x:v>
      </x:c>
      <x:c r="C78" s="20" t="str">
        <x:v>NE</x:v>
      </x:c>
      <x:c r="D78" s="20" t="str">
        <x:v>NER</x:v>
      </x:c>
      <x:c r="E78" s="20" t="str">
        <x:v>562</x:v>
      </x:c>
      <x:c r="F78" s="20" t="str">
        <x:v>Africa</x:v>
      </x:c>
      <x:c r="G78" s="20" t="str">
        <x:v>Western Africa</x:v>
      </x:c>
      <x:c r="H78" s="20" t="n">
        <x:v>16</x:v>
      </x:c>
      <x:c r="I78" s="20" t="n">
        <x:v>8</x:v>
      </x:c>
      <x:c r="J78" s="20" t="str">
        <x:v>Yes</x:v>
      </x:c>
      <x:c r="K78" s="20" t="str">
        <x:v>ResurgamHub-mentioned Leaflet country/area</x:v>
      </x:c>
      <x:c r="L78" s="20" t="str">
        <x:v>ResurgamHub mention list; ISO/M49 verified; centroid approximate</x:v>
      </x:c>
      <x:c r="M78" s="20" t="str">
        <x:v>https://unstats.un.org/unsd/methodology/m49/overview</x:v>
      </x:c>
      <x:c r="N78" s="20" t="str">
        <x:v>https://restcountries.com/</x:v>
      </x:c>
      <x:c r="O78" s="20" t="str">
        <x:v>REST Countries / CountryInfo latlng snapshot</x:v>
      </x:c>
    </x:row>
    <x:row r="79">
      <x:c r="A79" s="20" t="str">
        <x:v>Nigeria</x:v>
      </x:c>
      <x:c r="B79" s="20" t="str">
        <x:v>Federal Republic of Nigeria</x:v>
      </x:c>
      <x:c r="C79" s="20" t="str">
        <x:v>NG</x:v>
      </x:c>
      <x:c r="D79" s="20" t="str">
        <x:v>NGA</x:v>
      </x:c>
      <x:c r="E79" s="20" t="str">
        <x:v>566</x:v>
      </x:c>
      <x:c r="F79" s="20" t="str">
        <x:v>Africa</x:v>
      </x:c>
      <x:c r="G79" s="20" t="str">
        <x:v>Western Africa</x:v>
      </x:c>
      <x:c r="H79" s="20" t="n">
        <x:v>10</x:v>
      </x:c>
      <x:c r="I79" s="20" t="n">
        <x:v>8</x:v>
      </x:c>
      <x:c r="J79" s="20" t="str">
        <x:v>Yes</x:v>
      </x:c>
      <x:c r="K79" s="20" t="str">
        <x:v>ResurgamHub-mentioned Leaflet country/area</x:v>
      </x:c>
      <x:c r="L79" s="20" t="str">
        <x:v>ResurgamHub mention list; ISO/M49 verified; centroid approximate</x:v>
      </x:c>
      <x:c r="M79" s="20" t="str">
        <x:v>https://unstats.un.org/unsd/methodology/m49/overview</x:v>
      </x:c>
      <x:c r="N79" s="20" t="str">
        <x:v>https://restcountries.com/</x:v>
      </x:c>
      <x:c r="O79" s="20" t="str">
        <x:v>REST Countries / CountryInfo latlng snapshot</x:v>
      </x:c>
    </x:row>
    <x:row r="80">
      <x:c r="A80" s="20" t="str">
        <x:v>North Korea</x:v>
      </x:c>
      <x:c r="B80" s="20" t="str">
        <x:v>Democratic People's Republic of Korea</x:v>
      </x:c>
      <x:c r="C80" s="20" t="str">
        <x:v>KP</x:v>
      </x:c>
      <x:c r="D80" s="20" t="str">
        <x:v>PRK</x:v>
      </x:c>
      <x:c r="E80" s="20" t="str">
        <x:v>408</x:v>
      </x:c>
      <x:c r="F80" s="20" t="str">
        <x:v>Asia</x:v>
      </x:c>
      <x:c r="G80" s="20" t="str">
        <x:v>Eastern Asia</x:v>
      </x:c>
      <x:c r="H80" s="20" t="n">
        <x:v>40</x:v>
      </x:c>
      <x:c r="I80" s="20" t="n">
        <x:v>127</x:v>
      </x:c>
      <x:c r="J80" s="20" t="str">
        <x:v>Yes</x:v>
      </x:c>
      <x:c r="K80" s="20" t="str">
        <x:v>ResurgamHub-mentioned Leaflet country/area</x:v>
      </x:c>
      <x:c r="L80" s="20" t="str">
        <x:v>ResurgamHub mention list; ISO/M49 verified; centroid approximate</x:v>
      </x:c>
      <x:c r="M80" s="20" t="str">
        <x:v>https://unstats.un.org/unsd/methodology/m49/overview</x:v>
      </x:c>
      <x:c r="N80" s="20" t="str">
        <x:v>https://restcountries.com/</x:v>
      </x:c>
      <x:c r="O80" s="20" t="str">
        <x:v>REST Countries / CountryInfo latlng snapshot; Normalized from North Korea / DPRK.</x:v>
      </x:c>
    </x:row>
    <x:row r="81">
      <x:c r="A81" s="20" t="str">
        <x:v>Norway</x:v>
      </x:c>
      <x:c r="B81" s="20" t="str">
        <x:v>Kingdom of Norway</x:v>
      </x:c>
      <x:c r="C81" s="20" t="str">
        <x:v>NO</x:v>
      </x:c>
      <x:c r="D81" s="20" t="str">
        <x:v>NOR</x:v>
      </x:c>
      <x:c r="E81" s="20" t="str">
        <x:v>578</x:v>
      </x:c>
      <x:c r="F81" s="20" t="str">
        <x:v>Europe</x:v>
      </x:c>
      <x:c r="G81" s="20" t="str">
        <x:v>Northern Europe</x:v>
      </x:c>
      <x:c r="H81" s="20" t="n">
        <x:v>62</x:v>
      </x:c>
      <x:c r="I81" s="20" t="n">
        <x:v>10</x:v>
      </x:c>
      <x:c r="J81" s="20" t="str">
        <x:v>Yes</x:v>
      </x:c>
      <x:c r="K81" s="20" t="str">
        <x:v>ResurgamHub-mentioned Leaflet country/area</x:v>
      </x:c>
      <x:c r="L81" s="20" t="str">
        <x:v>ResurgamHub mention list; ISO/M49 verified; centroid approximate</x:v>
      </x:c>
      <x:c r="M81" s="20" t="str">
        <x:v>https://unstats.un.org/unsd/methodology/m49/overview</x:v>
      </x:c>
      <x:c r="N81" s="20" t="str">
        <x:v>https://restcountries.com/</x:v>
      </x:c>
      <x:c r="O81" s="20" t="str">
        <x:v>REST Countries / CountryInfo latlng snapshot</x:v>
      </x:c>
    </x:row>
    <x:row r="82">
      <x:c r="A82" s="20" t="str">
        <x:v>Oman</x:v>
      </x:c>
      <x:c r="B82" s="20" t="str">
        <x:v>Sultanate of Oman</x:v>
      </x:c>
      <x:c r="C82" s="20" t="str">
        <x:v>OM</x:v>
      </x:c>
      <x:c r="D82" s="20" t="str">
        <x:v>OMN</x:v>
      </x:c>
      <x:c r="E82" s="20" t="str">
        <x:v>512</x:v>
      </x:c>
      <x:c r="F82" s="20" t="str">
        <x:v>Asia</x:v>
      </x:c>
      <x:c r="G82" s="20" t="str">
        <x:v>Western Asia</x:v>
      </x:c>
      <x:c r="H82" s="20" t="n">
        <x:v>21</x:v>
      </x:c>
      <x:c r="I82" s="20" t="n">
        <x:v>57</x:v>
      </x:c>
      <x:c r="J82" s="20" t="str">
        <x:v>Yes</x:v>
      </x:c>
      <x:c r="K82" s="20" t="str">
        <x:v>ResurgamHub-mentioned Leaflet country/area</x:v>
      </x:c>
      <x:c r="L82" s="20" t="str">
        <x:v>ResurgamHub mention list; ISO/M49 verified; centroid approximate</x:v>
      </x:c>
      <x:c r="M82" s="20" t="str">
        <x:v>https://unstats.un.org/unsd/methodology/m49/overview</x:v>
      </x:c>
      <x:c r="N82" s="20" t="str">
        <x:v>https://restcountries.com/</x:v>
      </x:c>
      <x:c r="O82" s="20" t="str">
        <x:v>REST Countries / CountryInfo latlng snapshot</x:v>
      </x:c>
    </x:row>
    <x:row r="83">
      <x:c r="A83" s="20" t="str">
        <x:v>Palau</x:v>
      </x:c>
      <x:c r="B83" s="20" t="str">
        <x:v>Republic of Palau</x:v>
      </x:c>
      <x:c r="C83" s="20" t="str">
        <x:v>PW</x:v>
      </x:c>
      <x:c r="D83" s="20" t="str">
        <x:v>PLW</x:v>
      </x:c>
      <x:c r="E83" s="20" t="str">
        <x:v>585</x:v>
      </x:c>
      <x:c r="F83" s="20" t="str">
        <x:v>Oceania</x:v>
      </x:c>
      <x:c r="G83" s="20" t="str">
        <x:v>Micronesia</x:v>
      </x:c>
      <x:c r="H83" s="20" t="n">
        <x:v>7.5</x:v>
      </x:c>
      <x:c r="I83" s="20" t="n">
        <x:v>134.5</x:v>
      </x:c>
      <x:c r="J83" s="20" t="str">
        <x:v>Yes</x:v>
      </x:c>
      <x:c r="K83" s="20" t="str">
        <x:v>ResurgamHub-mentioned Leaflet country/area</x:v>
      </x:c>
      <x:c r="L83" s="20" t="str">
        <x:v>ResurgamHub mention list; ISO/M49 verified; centroid approximate</x:v>
      </x:c>
      <x:c r="M83" s="20" t="str">
        <x:v>https://unstats.un.org/unsd/methodology/m49/overview</x:v>
      </x:c>
      <x:c r="N83" s="20" t="str">
        <x:v>https://restcountries.com/</x:v>
      </x:c>
      <x:c r="O83" s="20" t="str">
        <x:v>REST Countries / CountryInfo latlng snapshot</x:v>
      </x:c>
    </x:row>
    <x:row r="84">
      <x:c r="A84" s="20" t="str">
        <x:v>Palestine</x:v>
      </x:c>
      <x:c r="B84" s="20" t="str">
        <x:v>the State of Palestine</x:v>
      </x:c>
      <x:c r="C84" s="20" t="str">
        <x:v>PS</x:v>
      </x:c>
      <x:c r="D84" s="20" t="str">
        <x:v>PSE</x:v>
      </x:c>
      <x:c r="E84" s="20" t="str">
        <x:v>275</x:v>
      </x:c>
      <x:c r="F84" s="20" t="str">
        <x:v>Asia</x:v>
      </x:c>
      <x:c r="G84" s="20" t="str">
        <x:v>Western Asia</x:v>
      </x:c>
      <x:c r="H84" s="20" t="n">
        <x:v>31.9522</x:v>
      </x:c>
      <x:c r="I84" s="20" t="n">
        <x:v>35.2332</x:v>
      </x:c>
      <x:c r="J84" s="20" t="str">
        <x:v>Yes</x:v>
      </x:c>
      <x:c r="K84" s="20" t="str">
        <x:v>ResurgamHub-mentioned Leaflet country/area</x:v>
      </x:c>
      <x:c r="L84" s="20" t="str">
        <x:v>ResurgamHub mention list; ISO/M49 verified; centroid approximate</x:v>
      </x:c>
      <x:c r="M84" s="20" t="str">
        <x:v>https://unstats.un.org/unsd/methodology/m49/overview</x:v>
      </x:c>
      <x:c r="N84" s="20" t="str">
        <x:v>https://restcountries.com/</x:v>
      </x:c>
      <x:c r="O84" s="20" t="str">
        <x:v>Manual centroid fill; ISO/M49 row verified; Country/area rather than UN-member-only sovereign-state row; compatible with country-area map treatment.</x:v>
      </x:c>
    </x:row>
    <x:row r="85">
      <x:c r="A85" s="20" t="str">
        <x:v>Papua New Guinea</x:v>
      </x:c>
      <x:c r="B85" s="20" t="str">
        <x:v>Independent State of Papua New Guinea</x:v>
      </x:c>
      <x:c r="C85" s="20" t="str">
        <x:v>PG</x:v>
      </x:c>
      <x:c r="D85" s="20" t="str">
        <x:v>PNG</x:v>
      </x:c>
      <x:c r="E85" s="20" t="str">
        <x:v>598</x:v>
      </x:c>
      <x:c r="F85" s="20" t="str">
        <x:v>Oceania</x:v>
      </x:c>
      <x:c r="G85" s="20" t="str">
        <x:v>Melanesia</x:v>
      </x:c>
      <x:c r="H85" s="20" t="n">
        <x:v>-6</x:v>
      </x:c>
      <x:c r="I85" s="20" t="n">
        <x:v>147</x:v>
      </x:c>
      <x:c r="J85" s="20" t="str">
        <x:v>Yes</x:v>
      </x:c>
      <x:c r="K85" s="20" t="str">
        <x:v>ResurgamHub-mentioned Leaflet country/area</x:v>
      </x:c>
      <x:c r="L85" s="20" t="str">
        <x:v>ResurgamHub mention list; ISO/M49 verified; centroid approximate</x:v>
      </x:c>
      <x:c r="M85" s="20" t="str">
        <x:v>https://unstats.un.org/unsd/methodology/m49/overview</x:v>
      </x:c>
      <x:c r="N85" s="20" t="str">
        <x:v>https://restcountries.com/</x:v>
      </x:c>
      <x:c r="O85" s="20" t="str">
        <x:v>REST Countries / CountryInfo latlng snapshot</x:v>
      </x:c>
    </x:row>
    <x:row r="86">
      <x:c r="A86" s="20" t="str">
        <x:v>Peru</x:v>
      </x:c>
      <x:c r="B86" s="20" t="str">
        <x:v>Republic of Peru</x:v>
      </x:c>
      <x:c r="C86" s="20" t="str">
        <x:v>PE</x:v>
      </x:c>
      <x:c r="D86" s="20" t="str">
        <x:v>PER</x:v>
      </x:c>
      <x:c r="E86" s="20" t="str">
        <x:v>604</x:v>
      </x:c>
      <x:c r="F86" s="20" t="str">
        <x:v>Americas</x:v>
      </x:c>
      <x:c r="G86" s="20" t="str">
        <x:v>South America</x:v>
      </x:c>
      <x:c r="H86" s="20" t="n">
        <x:v>-10</x:v>
      </x:c>
      <x:c r="I86" s="20" t="n">
        <x:v>-76</x:v>
      </x:c>
      <x:c r="J86" s="20" t="str">
        <x:v>Yes</x:v>
      </x:c>
      <x:c r="K86" s="20" t="str">
        <x:v>ResurgamHub-mentioned Leaflet country/area</x:v>
      </x:c>
      <x:c r="L86" s="20" t="str">
        <x:v>ResurgamHub mention list; ISO/M49 verified; centroid approximate</x:v>
      </x:c>
      <x:c r="M86" s="20" t="str">
        <x:v>https://unstats.un.org/unsd/methodology/m49/overview</x:v>
      </x:c>
      <x:c r="N86" s="20" t="str">
        <x:v>https://restcountries.com/</x:v>
      </x:c>
      <x:c r="O86" s="20" t="str">
        <x:v>REST Countries / CountryInfo latlng snapshot</x:v>
      </x:c>
    </x:row>
    <x:row r="87">
      <x:c r="A87" s="20" t="str">
        <x:v>Philippines</x:v>
      </x:c>
      <x:c r="B87" s="20" t="str">
        <x:v>Republic of the Philippines</x:v>
      </x:c>
      <x:c r="C87" s="20" t="str">
        <x:v>PH</x:v>
      </x:c>
      <x:c r="D87" s="20" t="str">
        <x:v>PHL</x:v>
      </x:c>
      <x:c r="E87" s="20" t="str">
        <x:v>608</x:v>
      </x:c>
      <x:c r="F87" s="20" t="str">
        <x:v>Asia</x:v>
      </x:c>
      <x:c r="G87" s="20" t="str">
        <x:v>South-Eastern Asia</x:v>
      </x:c>
      <x:c r="H87" s="20" t="n">
        <x:v>13</x:v>
      </x:c>
      <x:c r="I87" s="20" t="n">
        <x:v>122</x:v>
      </x:c>
      <x:c r="J87" s="20" t="str">
        <x:v>Yes</x:v>
      </x:c>
      <x:c r="K87" s="20" t="str">
        <x:v>ResurgamHub-mentioned Leaflet country/area</x:v>
      </x:c>
      <x:c r="L87" s="20" t="str">
        <x:v>ResurgamHub mention list; ISO/M49 verified; centroid approximate</x:v>
      </x:c>
      <x:c r="M87" s="20" t="str">
        <x:v>https://unstats.un.org/unsd/methodology/m49/overview</x:v>
      </x:c>
      <x:c r="N87" s="20" t="str">
        <x:v>https://restcountries.com/</x:v>
      </x:c>
      <x:c r="O87" s="20" t="str">
        <x:v>REST Countries / CountryInfo latlng snapshot</x:v>
      </x:c>
    </x:row>
    <x:row r="88">
      <x:c r="A88" s="20" t="str">
        <x:v>Poland</x:v>
      </x:c>
      <x:c r="B88" s="20" t="str">
        <x:v>Republic of Poland</x:v>
      </x:c>
      <x:c r="C88" s="20" t="str">
        <x:v>PL</x:v>
      </x:c>
      <x:c r="D88" s="20" t="str">
        <x:v>POL</x:v>
      </x:c>
      <x:c r="E88" s="20" t="str">
        <x:v>616</x:v>
      </x:c>
      <x:c r="F88" s="20" t="str">
        <x:v>Europe</x:v>
      </x:c>
      <x:c r="G88" s="20" t="str">
        <x:v>Eastern Europe</x:v>
      </x:c>
      <x:c r="H88" s="20" t="n">
        <x:v>52</x:v>
      </x:c>
      <x:c r="I88" s="20" t="n">
        <x:v>20</x:v>
      </x:c>
      <x:c r="J88" s="20" t="str">
        <x:v>Yes</x:v>
      </x:c>
      <x:c r="K88" s="20" t="str">
        <x:v>ResurgamHub-mentioned Leaflet country/area</x:v>
      </x:c>
      <x:c r="L88" s="20" t="str">
        <x:v>ResurgamHub mention list; ISO/M49 verified; centroid approximate</x:v>
      </x:c>
      <x:c r="M88" s="20" t="str">
        <x:v>https://unstats.un.org/unsd/methodology/m49/overview</x:v>
      </x:c>
      <x:c r="N88" s="20" t="str">
        <x:v>https://restcountries.com/</x:v>
      </x:c>
      <x:c r="O88" s="20" t="str">
        <x:v>REST Countries / CountryInfo latlng snapshot</x:v>
      </x:c>
    </x:row>
    <x:row r="89">
      <x:c r="A89" s="20" t="str">
        <x:v>Qatar</x:v>
      </x:c>
      <x:c r="B89" s="20" t="str">
        <x:v>State of Qatar</x:v>
      </x:c>
      <x:c r="C89" s="20" t="str">
        <x:v>QA</x:v>
      </x:c>
      <x:c r="D89" s="20" t="str">
        <x:v>QAT</x:v>
      </x:c>
      <x:c r="E89" s="20" t="str">
        <x:v>634</x:v>
      </x:c>
      <x:c r="F89" s="20" t="str">
        <x:v>Asia</x:v>
      </x:c>
      <x:c r="G89" s="20" t="str">
        <x:v>Western Asia</x:v>
      </x:c>
      <x:c r="H89" s="20" t="n">
        <x:v>25.5</x:v>
      </x:c>
      <x:c r="I89" s="20" t="n">
        <x:v>51.25</x:v>
      </x:c>
      <x:c r="J89" s="20" t="str">
        <x:v>Yes</x:v>
      </x:c>
      <x:c r="K89" s="20" t="str">
        <x:v>ResurgamHub-mentioned Leaflet country/area</x:v>
      </x:c>
      <x:c r="L89" s="20" t="str">
        <x:v>ResurgamHub mention list; ISO/M49 verified; centroid approximate</x:v>
      </x:c>
      <x:c r="M89" s="20" t="str">
        <x:v>https://unstats.un.org/unsd/methodology/m49/overview</x:v>
      </x:c>
      <x:c r="N89" s="20" t="str">
        <x:v>https://restcountries.com/</x:v>
      </x:c>
      <x:c r="O89" s="20" t="str">
        <x:v>REST Countries / CountryInfo latlng snapshot</x:v>
      </x:c>
    </x:row>
    <x:row r="90">
      <x:c r="A90" s="20" t="str">
        <x:v>Republic of the Congo</x:v>
      </x:c>
      <x:c r="B90" s="20" t="str">
        <x:v>Republic of the Congo</x:v>
      </x:c>
      <x:c r="C90" s="20" t="str">
        <x:v>CG</x:v>
      </x:c>
      <x:c r="D90" s="20" t="str">
        <x:v>COG</x:v>
      </x:c>
      <x:c r="E90" s="20" t="str">
        <x:v>178</x:v>
      </x:c>
      <x:c r="F90" s="20" t="str">
        <x:v>Africa</x:v>
      </x:c>
      <x:c r="G90" s="20" t="str">
        <x:v>Middle Africa</x:v>
      </x:c>
      <x:c r="H90" s="20" t="n">
        <x:v>-1</x:v>
      </x:c>
      <x:c r="I90" s="20" t="n">
        <x:v>15</x:v>
      </x:c>
      <x:c r="J90" s="20" t="str">
        <x:v>Yes</x:v>
      </x:c>
      <x:c r="K90" s="20" t="str">
        <x:v>ResurgamHub-mentioned Leaflet country/area</x:v>
      </x:c>
      <x:c r="L90" s="20" t="str">
        <x:v>ResurgamHub mention list; ISO/M49 verified; centroid approximate</x:v>
      </x:c>
      <x:c r="M90" s="20" t="str">
        <x:v>https://unstats.un.org/unsd/methodology/m49/overview</x:v>
      </x:c>
      <x:c r="N90" s="20" t="str">
        <x:v>https://restcountries.com/</x:v>
      </x:c>
      <x:c r="O90" s="20" t="str">
        <x:v>REST Countries / CountryInfo latlng snapshot</x:v>
      </x:c>
    </x:row>
    <x:row r="91">
      <x:c r="A91" s="20" t="str">
        <x:v>Romania</x:v>
      </x:c>
      <x:c r="B91" s="20"/>
      <x:c r="C91" s="20" t="str">
        <x:v>RO</x:v>
      </x:c>
      <x:c r="D91" s="20" t="str">
        <x:v>ROU</x:v>
      </x:c>
      <x:c r="E91" s="20" t="str">
        <x:v>642</x:v>
      </x:c>
      <x:c r="F91" s="20" t="str">
        <x:v>Europe</x:v>
      </x:c>
      <x:c r="G91" s="20" t="str">
        <x:v>Eastern Europe</x:v>
      </x:c>
      <x:c r="H91" s="20" t="n">
        <x:v>46</x:v>
      </x:c>
      <x:c r="I91" s="20" t="n">
        <x:v>25</x:v>
      </x:c>
      <x:c r="J91" s="20" t="str">
        <x:v>Yes</x:v>
      </x:c>
      <x:c r="K91" s="20" t="str">
        <x:v>ResurgamHub-mentioned Leaflet country/area</x:v>
      </x:c>
      <x:c r="L91" s="20" t="str">
        <x:v>ResurgamHub mention list; ISO/M49 verified; centroid approximate</x:v>
      </x:c>
      <x:c r="M91" s="20" t="str">
        <x:v>https://unstats.un.org/unsd/methodology/m49/overview</x:v>
      </x:c>
      <x:c r="N91" s="20" t="str">
        <x:v>https://restcountries.com/</x:v>
      </x:c>
      <x:c r="O91" s="20" t="str">
        <x:v>REST Countries / CountryInfo latlng snapshot</x:v>
      </x:c>
    </x:row>
    <x:row r="92">
      <x:c r="A92" s="20" t="str">
        <x:v>Russia</x:v>
      </x:c>
      <x:c r="B92" s="20"/>
      <x:c r="C92" s="20" t="str">
        <x:v>RU</x:v>
      </x:c>
      <x:c r="D92" s="20" t="str">
        <x:v>RUS</x:v>
      </x:c>
      <x:c r="E92" s="20" t="str">
        <x:v>643</x:v>
      </x:c>
      <x:c r="F92" s="20" t="str">
        <x:v>Europe</x:v>
      </x:c>
      <x:c r="G92" s="20" t="str">
        <x:v>Eastern Europe</x:v>
      </x:c>
      <x:c r="H92" s="20" t="n">
        <x:v>60</x:v>
      </x:c>
      <x:c r="I92" s="20" t="n">
        <x:v>100</x:v>
      </x:c>
      <x:c r="J92" s="20" t="str">
        <x:v>Yes</x:v>
      </x:c>
      <x:c r="K92" s="20" t="str">
        <x:v>ResurgamHub-mentioned Leaflet country/area</x:v>
      </x:c>
      <x:c r="L92" s="20" t="str">
        <x:v>ResurgamHub mention list; ISO/M49 verified; centroid approximate</x:v>
      </x:c>
      <x:c r="M92" s="20" t="str">
        <x:v>https://unstats.un.org/unsd/methodology/m49/overview</x:v>
      </x:c>
      <x:c r="N92" s="20" t="str">
        <x:v>https://restcountries.com/</x:v>
      </x:c>
      <x:c r="O92" s="20" t="str">
        <x:v>REST Countries / CountryInfo latlng snapshot; Normalized from ResurgamHub terms Moscovia / Muscovy / Russian Federation.</x:v>
      </x:c>
    </x:row>
    <x:row r="93">
      <x:c r="A93" s="20" t="str">
        <x:v>Rwanda</x:v>
      </x:c>
      <x:c r="B93" s="20" t="str">
        <x:v>Rwandese Republic</x:v>
      </x:c>
      <x:c r="C93" s="20" t="str">
        <x:v>RW</x:v>
      </x:c>
      <x:c r="D93" s="20" t="str">
        <x:v>RWA</x:v>
      </x:c>
      <x:c r="E93" s="20" t="str">
        <x:v>646</x:v>
      </x:c>
      <x:c r="F93" s="20" t="str">
        <x:v>Africa</x:v>
      </x:c>
      <x:c r="G93" s="20" t="str">
        <x:v>Eastern Africa</x:v>
      </x:c>
      <x:c r="H93" s="20" t="n">
        <x:v>-2</x:v>
      </x:c>
      <x:c r="I93" s="20" t="n">
        <x:v>30</x:v>
      </x:c>
      <x:c r="J93" s="20" t="str">
        <x:v>Yes</x:v>
      </x:c>
      <x:c r="K93" s="20" t="str">
        <x:v>ResurgamHub-mentioned Leaflet country/area</x:v>
      </x:c>
      <x:c r="L93" s="20" t="str">
        <x:v>ResurgamHub mention list; ISO/M49 verified; centroid approximate</x:v>
      </x:c>
      <x:c r="M93" s="20" t="str">
        <x:v>https://unstats.un.org/unsd/methodology/m49/overview</x:v>
      </x:c>
      <x:c r="N93" s="20" t="str">
        <x:v>https://restcountries.com/</x:v>
      </x:c>
      <x:c r="O93" s="20" t="str">
        <x:v>REST Countries / CountryInfo latlng snapshot</x:v>
      </x:c>
    </x:row>
    <x:row r="94">
      <x:c r="A94" s="20" t="str">
        <x:v>Samoa</x:v>
      </x:c>
      <x:c r="B94" s="20" t="str">
        <x:v>Independent State of Samoa</x:v>
      </x:c>
      <x:c r="C94" s="20" t="str">
        <x:v>WS</x:v>
      </x:c>
      <x:c r="D94" s="20" t="str">
        <x:v>WSM</x:v>
      </x:c>
      <x:c r="E94" s="20" t="str">
        <x:v>882</x:v>
      </x:c>
      <x:c r="F94" s="20" t="str">
        <x:v>Oceania</x:v>
      </x:c>
      <x:c r="G94" s="20" t="str">
        <x:v>Polynesia</x:v>
      </x:c>
      <x:c r="H94" s="20" t="n">
        <x:v>-13.58333333</x:v>
      </x:c>
      <x:c r="I94" s="20" t="n">
        <x:v>-172.33333333</x:v>
      </x:c>
      <x:c r="J94" s="20" t="str">
        <x:v>Yes</x:v>
      </x:c>
      <x:c r="K94" s="20" t="str">
        <x:v>ResurgamHub-mentioned Leaflet country/area</x:v>
      </x:c>
      <x:c r="L94" s="20" t="str">
        <x:v>ResurgamHub mention list; ISO/M49 verified; centroid approximate</x:v>
      </x:c>
      <x:c r="M94" s="20" t="str">
        <x:v>https://unstats.un.org/unsd/methodology/m49/overview</x:v>
      </x:c>
      <x:c r="N94" s="20" t="str">
        <x:v>https://restcountries.com/</x:v>
      </x:c>
      <x:c r="O94" s="20" t="str">
        <x:v>REST Countries / CountryInfo latlng snapshot</x:v>
      </x:c>
    </x:row>
    <x:row r="95">
      <x:c r="A95" s="20" t="str">
        <x:v>Saudi Arabia</x:v>
      </x:c>
      <x:c r="B95" s="20" t="str">
        <x:v>Kingdom of Saudi Arabia</x:v>
      </x:c>
      <x:c r="C95" s="20" t="str">
        <x:v>SA</x:v>
      </x:c>
      <x:c r="D95" s="20" t="str">
        <x:v>SAU</x:v>
      </x:c>
      <x:c r="E95" s="20" t="str">
        <x:v>682</x:v>
      </x:c>
      <x:c r="F95" s="20" t="str">
        <x:v>Asia</x:v>
      </x:c>
      <x:c r="G95" s="20" t="str">
        <x:v>Western Asia</x:v>
      </x:c>
      <x:c r="H95" s="20" t="n">
        <x:v>25</x:v>
      </x:c>
      <x:c r="I95" s="20" t="n">
        <x:v>45</x:v>
      </x:c>
      <x:c r="J95" s="20" t="str">
        <x:v>Yes</x:v>
      </x:c>
      <x:c r="K95" s="20" t="str">
        <x:v>ResurgamHub-mentioned Leaflet country/area</x:v>
      </x:c>
      <x:c r="L95" s="20" t="str">
        <x:v>ResurgamHub mention list; ISO/M49 verified; centroid approximate</x:v>
      </x:c>
      <x:c r="M95" s="20" t="str">
        <x:v>https://unstats.un.org/unsd/methodology/m49/overview</x:v>
      </x:c>
      <x:c r="N95" s="20" t="str">
        <x:v>https://restcountries.com/</x:v>
      </x:c>
      <x:c r="O95" s="20" t="str">
        <x:v>REST Countries / CountryInfo latlng snapshot</x:v>
      </x:c>
    </x:row>
    <x:row r="96">
      <x:c r="A96" s="20" t="str">
        <x:v>Serbia</x:v>
      </x:c>
      <x:c r="B96" s="20" t="str">
        <x:v>Republic of Serbia</x:v>
      </x:c>
      <x:c r="C96" s="20" t="str">
        <x:v>RS</x:v>
      </x:c>
      <x:c r="D96" s="20" t="str">
        <x:v>SRB</x:v>
      </x:c>
      <x:c r="E96" s="20" t="str">
        <x:v>688</x:v>
      </x:c>
      <x:c r="F96" s="20" t="str">
        <x:v>Europe</x:v>
      </x:c>
      <x:c r="G96" s="20" t="str">
        <x:v>Eastern Europe</x:v>
      </x:c>
      <x:c r="H96" s="20" t="n">
        <x:v>44.1305021</x:v>
      </x:c>
      <x:c r="I96" s="20" t="n">
        <x:v>16.4284181</x:v>
      </x:c>
      <x:c r="J96" s="20" t="str">
        <x:v>Yes</x:v>
      </x:c>
      <x:c r="K96" s="20" t="str">
        <x:v>ResurgamHub-mentioned Leaflet country/area</x:v>
      </x:c>
      <x:c r="L96" s="20" t="str">
        <x:v>ResurgamHub mention list; ISO/M49 verified; centroid approximate</x:v>
      </x:c>
      <x:c r="M96" s="20" t="str">
        <x:v>https://unstats.un.org/unsd/methodology/m49/overview</x:v>
      </x:c>
      <x:c r="N96" s="20" t="str">
        <x:v>https://restcountries.com/</x:v>
      </x:c>
      <x:c r="O96" s="20" t="str">
        <x:v>REST Countries / CountryInfo latlng snapshot</x:v>
      </x:c>
    </x:row>
    <x:row r="97">
      <x:c r="A97" s="20" t="str">
        <x:v>Singapore</x:v>
      </x:c>
      <x:c r="B97" s="20" t="str">
        <x:v>Republic of Singapore</x:v>
      </x:c>
      <x:c r="C97" s="20" t="str">
        <x:v>SG</x:v>
      </x:c>
      <x:c r="D97" s="20" t="str">
        <x:v>SGP</x:v>
      </x:c>
      <x:c r="E97" s="20" t="str">
        <x:v>702</x:v>
      </x:c>
      <x:c r="F97" s="20" t="str">
        <x:v>Asia</x:v>
      </x:c>
      <x:c r="G97" s="20" t="str">
        <x:v>South-Eastern Asia</x:v>
      </x:c>
      <x:c r="H97" s="20" t="n">
        <x:v>1.36666666</x:v>
      </x:c>
      <x:c r="I97" s="20" t="n">
        <x:v>103.8</x:v>
      </x:c>
      <x:c r="J97" s="20" t="str">
        <x:v>Yes</x:v>
      </x:c>
      <x:c r="K97" s="20" t="str">
        <x:v>ResurgamHub-mentioned Leaflet country/area</x:v>
      </x:c>
      <x:c r="L97" s="20" t="str">
        <x:v>ResurgamHub mention list; ISO/M49 verified; centroid approximate</x:v>
      </x:c>
      <x:c r="M97" s="20" t="str">
        <x:v>https://unstats.un.org/unsd/methodology/m49/overview</x:v>
      </x:c>
      <x:c r="N97" s="20" t="str">
        <x:v>https://restcountries.com/</x:v>
      </x:c>
      <x:c r="O97" s="20" t="str">
        <x:v>REST Countries / CountryInfo latlng snapshot</x:v>
      </x:c>
    </x:row>
    <x:row r="98">
      <x:c r="A98" s="20" t="str">
        <x:v>Slovakia</x:v>
      </x:c>
      <x:c r="B98" s="20" t="str">
        <x:v>Slovak Republic</x:v>
      </x:c>
      <x:c r="C98" s="20" t="str">
        <x:v>SK</x:v>
      </x:c>
      <x:c r="D98" s="20" t="str">
        <x:v>SVK</x:v>
      </x:c>
      <x:c r="E98" s="20" t="str">
        <x:v>703</x:v>
      </x:c>
      <x:c r="F98" s="20" t="str">
        <x:v>Europe</x:v>
      </x:c>
      <x:c r="G98" s="20" t="str">
        <x:v>Eastern Europe</x:v>
      </x:c>
      <x:c r="H98" s="20" t="n">
        <x:v>48.66666666</x:v>
      </x:c>
      <x:c r="I98" s="20" t="n">
        <x:v>19.5</x:v>
      </x:c>
      <x:c r="J98" s="20" t="str">
        <x:v>Yes</x:v>
      </x:c>
      <x:c r="K98" s="20" t="str">
        <x:v>ResurgamHub-mentioned Leaflet country/area</x:v>
      </x:c>
      <x:c r="L98" s="20" t="str">
        <x:v>ResurgamHub mention list; ISO/M49 verified; centroid approximate</x:v>
      </x:c>
      <x:c r="M98" s="20" t="str">
        <x:v>https://unstats.un.org/unsd/methodology/m49/overview</x:v>
      </x:c>
      <x:c r="N98" s="20" t="str">
        <x:v>https://restcountries.com/</x:v>
      </x:c>
      <x:c r="O98" s="20" t="str">
        <x:v>REST Countries / CountryInfo latlng snapshot</x:v>
      </x:c>
    </x:row>
    <x:row r="99">
      <x:c r="A99" s="20" t="str">
        <x:v>Solomon Islands</x:v>
      </x:c>
      <x:c r="B99" s="20"/>
      <x:c r="C99" s="20" t="str">
        <x:v>SB</x:v>
      </x:c>
      <x:c r="D99" s="20" t="str">
        <x:v>SLB</x:v>
      </x:c>
      <x:c r="E99" s="20" t="str">
        <x:v>090</x:v>
      </x:c>
      <x:c r="F99" s="20" t="str">
        <x:v>Oceania</x:v>
      </x:c>
      <x:c r="G99" s="20" t="str">
        <x:v>Melanesia</x:v>
      </x:c>
      <x:c r="H99" s="20" t="n">
        <x:v>-8</x:v>
      </x:c>
      <x:c r="I99" s="20" t="n">
        <x:v>159</x:v>
      </x:c>
      <x:c r="J99" s="20" t="str">
        <x:v>Yes</x:v>
      </x:c>
      <x:c r="K99" s="20" t="str">
        <x:v>ResurgamHub-mentioned Leaflet country/area</x:v>
      </x:c>
      <x:c r="L99" s="20" t="str">
        <x:v>ResurgamHub mention list; ISO/M49 verified; centroid approximate</x:v>
      </x:c>
      <x:c r="M99" s="20" t="str">
        <x:v>https://unstats.un.org/unsd/methodology/m49/overview</x:v>
      </x:c>
      <x:c r="N99" s="20" t="str">
        <x:v>https://restcountries.com/</x:v>
      </x:c>
      <x:c r="O99" s="20" t="str">
        <x:v>REST Countries / CountryInfo latlng snapshot</x:v>
      </x:c>
    </x:row>
    <x:row r="100">
      <x:c r="A100" s="20" t="str">
        <x:v>South Africa</x:v>
      </x:c>
      <x:c r="B100" s="20" t="str">
        <x:v>Republic of South Africa</x:v>
      </x:c>
      <x:c r="C100" s="20" t="str">
        <x:v>ZA</x:v>
      </x:c>
      <x:c r="D100" s="20" t="str">
        <x:v>ZAF</x:v>
      </x:c>
      <x:c r="E100" s="20" t="str">
        <x:v>710</x:v>
      </x:c>
      <x:c r="F100" s="20" t="str">
        <x:v>Africa</x:v>
      </x:c>
      <x:c r="G100" s="20" t="str">
        <x:v>Southern Africa</x:v>
      </x:c>
      <x:c r="H100" s="20" t="n">
        <x:v>-29</x:v>
      </x:c>
      <x:c r="I100" s="20" t="n">
        <x:v>24</x:v>
      </x:c>
      <x:c r="J100" s="20" t="str">
        <x:v>Yes</x:v>
      </x:c>
      <x:c r="K100" s="20" t="str">
        <x:v>ResurgamHub-mentioned Leaflet country/area</x:v>
      </x:c>
      <x:c r="L100" s="20" t="str">
        <x:v>ResurgamHub mention list; ISO/M49 verified; centroid approximate</x:v>
      </x:c>
      <x:c r="M100" s="20" t="str">
        <x:v>https://unstats.un.org/unsd/methodology/m49/overview</x:v>
      </x:c>
      <x:c r="N100" s="20" t="str">
        <x:v>https://restcountries.com/</x:v>
      </x:c>
      <x:c r="O100" s="20" t="str">
        <x:v>REST Countries / CountryInfo latlng snapshot</x:v>
      </x:c>
    </x:row>
    <x:row r="101">
      <x:c r="A101" s="20" t="str">
        <x:v>South Korea</x:v>
      </x:c>
      <x:c r="B101" s="20"/>
      <x:c r="C101" s="20" t="str">
        <x:v>KR</x:v>
      </x:c>
      <x:c r="D101" s="20" t="str">
        <x:v>KOR</x:v>
      </x:c>
      <x:c r="E101" s="20" t="str">
        <x:v>410</x:v>
      </x:c>
      <x:c r="F101" s="20" t="str">
        <x:v>Asia</x:v>
      </x:c>
      <x:c r="G101" s="20" t="str">
        <x:v>Eastern Asia</x:v>
      </x:c>
      <x:c r="H101" s="20" t="n">
        <x:v>37</x:v>
      </x:c>
      <x:c r="I101" s="20" t="n">
        <x:v>127.5</x:v>
      </x:c>
      <x:c r="J101" s="20" t="str">
        <x:v>Yes</x:v>
      </x:c>
      <x:c r="K101" s="20" t="str">
        <x:v>ResurgamHub-mentioned Leaflet country/area</x:v>
      </x:c>
      <x:c r="L101" s="20" t="str">
        <x:v>ResurgamHub mention list; ISO/M49 verified; centroid approximate</x:v>
      </x:c>
      <x:c r="M101" s="20" t="str">
        <x:v>https://unstats.un.org/unsd/methodology/m49/overview</x:v>
      </x:c>
      <x:c r="N101" s="20" t="str">
        <x:v>https://restcountries.com/</x:v>
      </x:c>
      <x:c r="O101" s="20" t="str">
        <x:v>REST Countries / CountryInfo latlng snapshot; Normalized from Republic of Korea / South Korea.</x:v>
      </x:c>
    </x:row>
    <x:row r="102">
      <x:c r="A102" s="20" t="str">
        <x:v>Spain</x:v>
      </x:c>
      <x:c r="B102" s="20" t="str">
        <x:v>Kingdom of Spain</x:v>
      </x:c>
      <x:c r="C102" s="20" t="str">
        <x:v>ES</x:v>
      </x:c>
      <x:c r="D102" s="20" t="str">
        <x:v>ESP</x:v>
      </x:c>
      <x:c r="E102" s="20" t="str">
        <x:v>724</x:v>
      </x:c>
      <x:c r="F102" s="20" t="str">
        <x:v>Europe</x:v>
      </x:c>
      <x:c r="G102" s="20" t="str">
        <x:v>Southern Europe</x:v>
      </x:c>
      <x:c r="H102" s="20" t="n">
        <x:v>40</x:v>
      </x:c>
      <x:c r="I102" s="20" t="n">
        <x:v>-4</x:v>
      </x:c>
      <x:c r="J102" s="20" t="str">
        <x:v>Yes</x:v>
      </x:c>
      <x:c r="K102" s="20" t="str">
        <x:v>ResurgamHub-mentioned Leaflet country/area</x:v>
      </x:c>
      <x:c r="L102" s="20" t="str">
        <x:v>ResurgamHub mention list; ISO/M49 verified; centroid approximate</x:v>
      </x:c>
      <x:c r="M102" s="20" t="str">
        <x:v>https://unstats.un.org/unsd/methodology/m49/overview</x:v>
      </x:c>
      <x:c r="N102" s="20" t="str">
        <x:v>https://restcountries.com/</x:v>
      </x:c>
      <x:c r="O102" s="20" t="str">
        <x:v>REST Countries / CountryInfo latlng snapshot</x:v>
      </x:c>
    </x:row>
    <x:row r="103">
      <x:c r="A103" s="20" t="str">
        <x:v>Sri Lanka</x:v>
      </x:c>
      <x:c r="B103" s="20" t="str">
        <x:v>Democratic Socialist Republic of Sri Lanka</x:v>
      </x:c>
      <x:c r="C103" s="20" t="str">
        <x:v>LK</x:v>
      </x:c>
      <x:c r="D103" s="20" t="str">
        <x:v>LKA</x:v>
      </x:c>
      <x:c r="E103" s="20" t="str">
        <x:v>144</x:v>
      </x:c>
      <x:c r="F103" s="20" t="str">
        <x:v>Asia</x:v>
      </x:c>
      <x:c r="G103" s="20" t="str">
        <x:v>Southern Asia</x:v>
      </x:c>
      <x:c r="H103" s="20" t="n">
        <x:v>7</x:v>
      </x:c>
      <x:c r="I103" s="20" t="n">
        <x:v>81</x:v>
      </x:c>
      <x:c r="J103" s="20" t="str">
        <x:v>Yes</x:v>
      </x:c>
      <x:c r="K103" s="20" t="str">
        <x:v>ResurgamHub-mentioned Leaflet country/area</x:v>
      </x:c>
      <x:c r="L103" s="20" t="str">
        <x:v>ResurgamHub mention list; ISO/M49 verified; centroid approximate</x:v>
      </x:c>
      <x:c r="M103" s="20" t="str">
        <x:v>https://unstats.un.org/unsd/methodology/m49/overview</x:v>
      </x:c>
      <x:c r="N103" s="20" t="str">
        <x:v>https://restcountries.com/</x:v>
      </x:c>
      <x:c r="O103" s="20" t="str">
        <x:v>REST Countries / CountryInfo latlng snapshot</x:v>
      </x:c>
    </x:row>
    <x:row r="104">
      <x:c r="A104" s="20" t="str">
        <x:v>Sudan</x:v>
      </x:c>
      <x:c r="B104" s="20" t="str">
        <x:v>Republic of the Sudan</x:v>
      </x:c>
      <x:c r="C104" s="20" t="str">
        <x:v>SD</x:v>
      </x:c>
      <x:c r="D104" s="20" t="str">
        <x:v>SDN</x:v>
      </x:c>
      <x:c r="E104" s="20" t="str">
        <x:v>729</x:v>
      </x:c>
      <x:c r="F104" s="20" t="str">
        <x:v>Africa</x:v>
      </x:c>
      <x:c r="G104" s="20" t="str">
        <x:v>Northern Africa</x:v>
      </x:c>
      <x:c r="H104" s="20" t="n">
        <x:v>15</x:v>
      </x:c>
      <x:c r="I104" s="20" t="n">
        <x:v>30</x:v>
      </x:c>
      <x:c r="J104" s="20" t="str">
        <x:v>Yes</x:v>
      </x:c>
      <x:c r="K104" s="20" t="str">
        <x:v>ResurgamHub-mentioned Leaflet country/area</x:v>
      </x:c>
      <x:c r="L104" s="20" t="str">
        <x:v>ResurgamHub mention list; ISO/M49 verified; centroid approximate</x:v>
      </x:c>
      <x:c r="M104" s="20" t="str">
        <x:v>https://unstats.un.org/unsd/methodology/m49/overview</x:v>
      </x:c>
      <x:c r="N104" s="20" t="str">
        <x:v>https://restcountries.com/</x:v>
      </x:c>
      <x:c r="O104" s="20" t="str">
        <x:v>REST Countries / CountryInfo latlng snapshot</x:v>
      </x:c>
    </x:row>
    <x:row r="105">
      <x:c r="A105" s="20" t="str">
        <x:v>Sweden</x:v>
      </x:c>
      <x:c r="B105" s="20" t="str">
        <x:v>Kingdom of Sweden</x:v>
      </x:c>
      <x:c r="C105" s="20" t="str">
        <x:v>SE</x:v>
      </x:c>
      <x:c r="D105" s="20" t="str">
        <x:v>SWE</x:v>
      </x:c>
      <x:c r="E105" s="20" t="str">
        <x:v>752</x:v>
      </x:c>
      <x:c r="F105" s="20" t="str">
        <x:v>Europe</x:v>
      </x:c>
      <x:c r="G105" s="20" t="str">
        <x:v>Northern Europe</x:v>
      </x:c>
      <x:c r="H105" s="20" t="n">
        <x:v>62</x:v>
      </x:c>
      <x:c r="I105" s="20" t="n">
        <x:v>15</x:v>
      </x:c>
      <x:c r="J105" s="20" t="str">
        <x:v>Yes</x:v>
      </x:c>
      <x:c r="K105" s="20" t="str">
        <x:v>ResurgamHub-mentioned Leaflet country/area</x:v>
      </x:c>
      <x:c r="L105" s="20" t="str">
        <x:v>ResurgamHub mention list; ISO/M49 verified; centroid approximate</x:v>
      </x:c>
      <x:c r="M105" s="20" t="str">
        <x:v>https://unstats.un.org/unsd/methodology/m49/overview</x:v>
      </x:c>
      <x:c r="N105" s="20" t="str">
        <x:v>https://restcountries.com/</x:v>
      </x:c>
      <x:c r="O105" s="20" t="str">
        <x:v>REST Countries / CountryInfo latlng snapshot</x:v>
      </x:c>
    </x:row>
    <x:row r="106">
      <x:c r="A106" s="20" t="str">
        <x:v>Syria</x:v>
      </x:c>
      <x:c r="B106" s="20"/>
      <x:c r="C106" s="20" t="str">
        <x:v>SY</x:v>
      </x:c>
      <x:c r="D106" s="20" t="str">
        <x:v>SYR</x:v>
      </x:c>
      <x:c r="E106" s="20" t="str">
        <x:v>760</x:v>
      </x:c>
      <x:c r="F106" s="20" t="str">
        <x:v>Asia</x:v>
      </x:c>
      <x:c r="G106" s="20" t="str">
        <x:v>Western Asia</x:v>
      </x:c>
      <x:c r="H106" s="20" t="n">
        <x:v>35</x:v>
      </x:c>
      <x:c r="I106" s="20" t="n">
        <x:v>38</x:v>
      </x:c>
      <x:c r="J106" s="20" t="str">
        <x:v>Yes</x:v>
      </x:c>
      <x:c r="K106" s="20" t="str">
        <x:v>ResurgamHub-mentioned Leaflet country/area</x:v>
      </x:c>
      <x:c r="L106" s="20" t="str">
        <x:v>ResurgamHub mention list; ISO/M49 verified; centroid approximate</x:v>
      </x:c>
      <x:c r="M106" s="20" t="str">
        <x:v>https://unstats.un.org/unsd/methodology/m49/overview</x:v>
      </x:c>
      <x:c r="N106" s="20" t="str">
        <x:v>https://restcountries.com/</x:v>
      </x:c>
      <x:c r="O106" s="20" t="str">
        <x:v>REST Countries / CountryInfo latlng snapshot</x:v>
      </x:c>
    </x:row>
    <x:row r="107">
      <x:c r="A107" s="20" t="str">
        <x:v>Taiwan</x:v>
      </x:c>
      <x:c r="B107" s="20" t="str">
        <x:v>Taiwan, Province of China</x:v>
      </x:c>
      <x:c r="C107" s="20" t="str">
        <x:v>TW</x:v>
      </x:c>
      <x:c r="D107" s="20" t="str">
        <x:v>TWN</x:v>
      </x:c>
      <x:c r="E107" s="20" t="str">
        <x:v>158</x:v>
      </x:c>
      <x:c r="F107" s="20" t="str">
        <x:v>Asia</x:v>
      </x:c>
      <x:c r="G107" s="20" t="str">
        <x:v>Eastern Asia</x:v>
      </x:c>
      <x:c r="H107" s="20" t="n">
        <x:v>23.5</x:v>
      </x:c>
      <x:c r="I107" s="20" t="n">
        <x:v>121</x:v>
      </x:c>
      <x:c r="J107" s="20" t="str">
        <x:v>Yes</x:v>
      </x:c>
      <x:c r="K107" s="20" t="str">
        <x:v>ResurgamHub-mentioned Leaflet country/area</x:v>
      </x:c>
      <x:c r="L107" s="20" t="str">
        <x:v>ResurgamHub mention list; ISO/M49 verified; centroid approximate</x:v>
      </x:c>
      <x:c r="M107" s="20" t="str">
        <x:v>https://unstats.un.org/unsd/methodology/m49/overview</x:v>
      </x:c>
      <x:c r="N107" s="20" t="str">
        <x:v>https://restcountries.com/</x:v>
      </x:c>
      <x:c r="O107" s="20" t="str">
        <x:v>REST Countries / CountryInfo latlng snapshot; Country/area rather than UN-member-only sovereign-state row; compatible with country-area map treatment.</x:v>
      </x:c>
    </x:row>
    <x:row r="108">
      <x:c r="A108" s="20" t="str">
        <x:v>Tajikistan</x:v>
      </x:c>
      <x:c r="B108" s="20" t="str">
        <x:v>Republic of Tajikistan</x:v>
      </x:c>
      <x:c r="C108" s="20" t="str">
        <x:v>TJ</x:v>
      </x:c>
      <x:c r="D108" s="20" t="str">
        <x:v>TJK</x:v>
      </x:c>
      <x:c r="E108" s="20" t="str">
        <x:v>762</x:v>
      </x:c>
      <x:c r="F108" s="20" t="str">
        <x:v>Asia</x:v>
      </x:c>
      <x:c r="G108" s="20" t="str">
        <x:v>Central Asia</x:v>
      </x:c>
      <x:c r="H108" s="20" t="n">
        <x:v>39</x:v>
      </x:c>
      <x:c r="I108" s="20" t="n">
        <x:v>71</x:v>
      </x:c>
      <x:c r="J108" s="20" t="str">
        <x:v>Yes</x:v>
      </x:c>
      <x:c r="K108" s="20" t="str">
        <x:v>ResurgamHub-mentioned Leaflet country/area</x:v>
      </x:c>
      <x:c r="L108" s="20" t="str">
        <x:v>ResurgamHub mention list; ISO/M49 verified; centroid approximate</x:v>
      </x:c>
      <x:c r="M108" s="20" t="str">
        <x:v>https://unstats.un.org/unsd/methodology/m49/overview</x:v>
      </x:c>
      <x:c r="N108" s="20" t="str">
        <x:v>https://restcountries.com/</x:v>
      </x:c>
      <x:c r="O108" s="20" t="str">
        <x:v>REST Countries / CountryInfo latlng snapshot</x:v>
      </x:c>
    </x:row>
    <x:row r="109">
      <x:c r="A109" s="20" t="str">
        <x:v>Thailand</x:v>
      </x:c>
      <x:c r="B109" s="20" t="str">
        <x:v>Kingdom of Thailand</x:v>
      </x:c>
      <x:c r="C109" s="20" t="str">
        <x:v>TH</x:v>
      </x:c>
      <x:c r="D109" s="20" t="str">
        <x:v>THA</x:v>
      </x:c>
      <x:c r="E109" s="20" t="str">
        <x:v>764</x:v>
      </x:c>
      <x:c r="F109" s="20" t="str">
        <x:v>Asia</x:v>
      </x:c>
      <x:c r="G109" s="20" t="str">
        <x:v>South-Eastern Asia</x:v>
      </x:c>
      <x:c r="H109" s="20" t="n">
        <x:v>15</x:v>
      </x:c>
      <x:c r="I109" s="20" t="n">
        <x:v>100</x:v>
      </x:c>
      <x:c r="J109" s="20" t="str">
        <x:v>Yes</x:v>
      </x:c>
      <x:c r="K109" s="20" t="str">
        <x:v>ResurgamHub-mentioned Leaflet country/area</x:v>
      </x:c>
      <x:c r="L109" s="20" t="str">
        <x:v>ResurgamHub mention list; ISO/M49 verified; centroid approximate</x:v>
      </x:c>
      <x:c r="M109" s="20" t="str">
        <x:v>https://unstats.un.org/unsd/methodology/m49/overview</x:v>
      </x:c>
      <x:c r="N109" s="20" t="str">
        <x:v>https://restcountries.com/</x:v>
      </x:c>
      <x:c r="O109" s="20" t="str">
        <x:v>REST Countries / CountryInfo latlng snapshot</x:v>
      </x:c>
    </x:row>
    <x:row r="110">
      <x:c r="A110" s="20" t="str">
        <x:v>Tonga</x:v>
      </x:c>
      <x:c r="B110" s="20" t="str">
        <x:v>Kingdom of Tonga</x:v>
      </x:c>
      <x:c r="C110" s="20" t="str">
        <x:v>TO</x:v>
      </x:c>
      <x:c r="D110" s="20" t="str">
        <x:v>TON</x:v>
      </x:c>
      <x:c r="E110" s="20" t="str">
        <x:v>776</x:v>
      </x:c>
      <x:c r="F110" s="20" t="str">
        <x:v>Oceania</x:v>
      </x:c>
      <x:c r="G110" s="20" t="str">
        <x:v>Polynesia</x:v>
      </x:c>
      <x:c r="H110" s="20" t="n">
        <x:v>-20</x:v>
      </x:c>
      <x:c r="I110" s="20" t="n">
        <x:v>-175</x:v>
      </x:c>
      <x:c r="J110" s="20" t="str">
        <x:v>Yes</x:v>
      </x:c>
      <x:c r="K110" s="20" t="str">
        <x:v>ResurgamHub-mentioned Leaflet country/area</x:v>
      </x:c>
      <x:c r="L110" s="20" t="str">
        <x:v>ResurgamHub mention list; ISO/M49 verified; centroid approximate</x:v>
      </x:c>
      <x:c r="M110" s="20" t="str">
        <x:v>https://unstats.un.org/unsd/methodology/m49/overview</x:v>
      </x:c>
      <x:c r="N110" s="20" t="str">
        <x:v>https://restcountries.com/</x:v>
      </x:c>
      <x:c r="O110" s="20" t="str">
        <x:v>REST Countries / CountryInfo latlng snapshot</x:v>
      </x:c>
    </x:row>
    <x:row r="111">
      <x:c r="A111" s="20" t="str">
        <x:v>Turkey</x:v>
      </x:c>
      <x:c r="B111" s="20" t="str">
        <x:v>Republic of Türkiye</x:v>
      </x:c>
      <x:c r="C111" s="20" t="str">
        <x:v>TR</x:v>
      </x:c>
      <x:c r="D111" s="20" t="str">
        <x:v>TUR</x:v>
      </x:c>
      <x:c r="E111" s="20" t="str">
        <x:v>792</x:v>
      </x:c>
      <x:c r="F111" s="20" t="str">
        <x:v>Asia</x:v>
      </x:c>
      <x:c r="G111" s="20" t="str">
        <x:v>Western Asia</x:v>
      </x:c>
      <x:c r="H111" s="20" t="n">
        <x:v>39</x:v>
      </x:c>
      <x:c r="I111" s="20" t="n">
        <x:v>35</x:v>
      </x:c>
      <x:c r="J111" s="20" t="str">
        <x:v>Yes</x:v>
      </x:c>
      <x:c r="K111" s="20" t="str">
        <x:v>ResurgamHub-mentioned Leaflet country/area</x:v>
      </x:c>
      <x:c r="L111" s="20" t="str">
        <x:v>ResurgamHub mention list; ISO/M49 verified; centroid approximate</x:v>
      </x:c>
      <x:c r="M111" s="20" t="str">
        <x:v>https://unstats.un.org/unsd/methodology/m49/overview</x:v>
      </x:c>
      <x:c r="N111" s="20" t="str">
        <x:v>https://restcountries.com/</x:v>
      </x:c>
      <x:c r="O111" s="20" t="str">
        <x:v>REST Countries / CountryInfo latlng snapshot</x:v>
      </x:c>
    </x:row>
    <x:row r="112">
      <x:c r="A112" s="20" t="str">
        <x:v>Turkmenistan</x:v>
      </x:c>
      <x:c r="B112" s="20"/>
      <x:c r="C112" s="20" t="str">
        <x:v>TM</x:v>
      </x:c>
      <x:c r="D112" s="20" t="str">
        <x:v>TKM</x:v>
      </x:c>
      <x:c r="E112" s="20" t="str">
        <x:v>795</x:v>
      </x:c>
      <x:c r="F112" s="20" t="str">
        <x:v>Asia</x:v>
      </x:c>
      <x:c r="G112" s="20" t="str">
        <x:v>Central Asia</x:v>
      </x:c>
      <x:c r="H112" s="20" t="n">
        <x:v>40</x:v>
      </x:c>
      <x:c r="I112" s="20" t="n">
        <x:v>60</x:v>
      </x:c>
      <x:c r="J112" s="20" t="str">
        <x:v>Yes</x:v>
      </x:c>
      <x:c r="K112" s="20" t="str">
        <x:v>ResurgamHub-mentioned Leaflet country/area</x:v>
      </x:c>
      <x:c r="L112" s="20" t="str">
        <x:v>ResurgamHub mention list; ISO/M49 verified; centroid approximate</x:v>
      </x:c>
      <x:c r="M112" s="20" t="str">
        <x:v>https://unstats.un.org/unsd/methodology/m49/overview</x:v>
      </x:c>
      <x:c r="N112" s="20" t="str">
        <x:v>https://restcountries.com/</x:v>
      </x:c>
      <x:c r="O112" s="20" t="str">
        <x:v>REST Countries / CountryInfo latlng snapshot</x:v>
      </x:c>
    </x:row>
    <x:row r="113">
      <x:c r="A113" s="20" t="str">
        <x:v>Tuvalu</x:v>
      </x:c>
      <x:c r="B113" s="20"/>
      <x:c r="C113" s="20" t="str">
        <x:v>TV</x:v>
      </x:c>
      <x:c r="D113" s="20" t="str">
        <x:v>TUV</x:v>
      </x:c>
      <x:c r="E113" s="20" t="str">
        <x:v>798</x:v>
      </x:c>
      <x:c r="F113" s="20" t="str">
        <x:v>Oceania</x:v>
      </x:c>
      <x:c r="G113" s="20" t="str">
        <x:v>Polynesia</x:v>
      </x:c>
      <x:c r="H113" s="20" t="n">
        <x:v>-8</x:v>
      </x:c>
      <x:c r="I113" s="20" t="n">
        <x:v>178</x:v>
      </x:c>
      <x:c r="J113" s="20" t="str">
        <x:v>Yes</x:v>
      </x:c>
      <x:c r="K113" s="20" t="str">
        <x:v>ResurgamHub-mentioned Leaflet country/area</x:v>
      </x:c>
      <x:c r="L113" s="20" t="str">
        <x:v>ResurgamHub mention list; ISO/M49 verified; centroid approximate</x:v>
      </x:c>
      <x:c r="M113" s="20" t="str">
        <x:v>https://unstats.un.org/unsd/methodology/m49/overview</x:v>
      </x:c>
      <x:c r="N113" s="20" t="str">
        <x:v>https://restcountries.com/</x:v>
      </x:c>
      <x:c r="O113" s="20" t="str">
        <x:v>REST Countries / CountryInfo latlng snapshot</x:v>
      </x:c>
    </x:row>
    <x:row r="114">
      <x:c r="A114" s="20" t="str">
        <x:v>Uganda</x:v>
      </x:c>
      <x:c r="B114" s="20" t="str">
        <x:v>Republic of Uganda</x:v>
      </x:c>
      <x:c r="C114" s="20" t="str">
        <x:v>UG</x:v>
      </x:c>
      <x:c r="D114" s="20" t="str">
        <x:v>UGA</x:v>
      </x:c>
      <x:c r="E114" s="20" t="str">
        <x:v>800</x:v>
      </x:c>
      <x:c r="F114" s="20" t="str">
        <x:v>Africa</x:v>
      </x:c>
      <x:c r="G114" s="20" t="str">
        <x:v>Eastern Africa</x:v>
      </x:c>
      <x:c r="H114" s="20" t="n">
        <x:v>1</x:v>
      </x:c>
      <x:c r="I114" s="20" t="n">
        <x:v>32</x:v>
      </x:c>
      <x:c r="J114" s="20" t="str">
        <x:v>Yes</x:v>
      </x:c>
      <x:c r="K114" s="20" t="str">
        <x:v>ResurgamHub-mentioned Leaflet country/area</x:v>
      </x:c>
      <x:c r="L114" s="20" t="str">
        <x:v>ResurgamHub mention list; ISO/M49 verified; centroid approximate</x:v>
      </x:c>
      <x:c r="M114" s="20" t="str">
        <x:v>https://unstats.un.org/unsd/methodology/m49/overview</x:v>
      </x:c>
      <x:c r="N114" s="20" t="str">
        <x:v>https://restcountries.com/</x:v>
      </x:c>
      <x:c r="O114" s="20" t="str">
        <x:v>REST Countries / CountryInfo latlng snapshot</x:v>
      </x:c>
    </x:row>
    <x:row r="115">
      <x:c r="A115" s="20" t="str">
        <x:v>Ukraine</x:v>
      </x:c>
      <x:c r="B115" s="20"/>
      <x:c r="C115" s="20" t="str">
        <x:v>UA</x:v>
      </x:c>
      <x:c r="D115" s="20" t="str">
        <x:v>UKR</x:v>
      </x:c>
      <x:c r="E115" s="20" t="str">
        <x:v>804</x:v>
      </x:c>
      <x:c r="F115" s="20" t="str">
        <x:v>Europe</x:v>
      </x:c>
      <x:c r="G115" s="20" t="str">
        <x:v>Eastern Europe</x:v>
      </x:c>
      <x:c r="H115" s="20" t="n">
        <x:v>49</x:v>
      </x:c>
      <x:c r="I115" s="20" t="n">
        <x:v>32</x:v>
      </x:c>
      <x:c r="J115" s="20" t="str">
        <x:v>Yes</x:v>
      </x:c>
      <x:c r="K115" s="20" t="str">
        <x:v>ResurgamHub-mentioned Leaflet country/area</x:v>
      </x:c>
      <x:c r="L115" s="20" t="str">
        <x:v>ResurgamHub mention list; ISO/M49 verified; centroid approximate</x:v>
      </x:c>
      <x:c r="M115" s="20" t="str">
        <x:v>https://unstats.un.org/unsd/methodology/m49/overview</x:v>
      </x:c>
      <x:c r="N115" s="20" t="str">
        <x:v>https://restcountries.com/</x:v>
      </x:c>
      <x:c r="O115" s="20" t="str">
        <x:v>REST Countries / CountryInfo latlng snapshot</x:v>
      </x:c>
    </x:row>
    <x:row r="116">
      <x:c r="A116" s="20" t="str">
        <x:v>United Arab Emirates</x:v>
      </x:c>
      <x:c r="B116" s="20"/>
      <x:c r="C116" s="20" t="str">
        <x:v>AE</x:v>
      </x:c>
      <x:c r="D116" s="20" t="str">
        <x:v>ARE</x:v>
      </x:c>
      <x:c r="E116" s="20" t="str">
        <x:v>784</x:v>
      </x:c>
      <x:c r="F116" s="20" t="str">
        <x:v>Asia</x:v>
      </x:c>
      <x:c r="G116" s="20" t="str">
        <x:v>Western Asia</x:v>
      </x:c>
      <x:c r="H116" s="20" t="n">
        <x:v>24</x:v>
      </x:c>
      <x:c r="I116" s="20" t="n">
        <x:v>54</x:v>
      </x:c>
      <x:c r="J116" s="20" t="str">
        <x:v>Yes</x:v>
      </x:c>
      <x:c r="K116" s="20" t="str">
        <x:v>ResurgamHub-mentioned Leaflet country/area</x:v>
      </x:c>
      <x:c r="L116" s="20" t="str">
        <x:v>ResurgamHub mention list; ISO/M49 verified; centroid approximate</x:v>
      </x:c>
      <x:c r="M116" s="20" t="str">
        <x:v>https://unstats.un.org/unsd/methodology/m49/overview</x:v>
      </x:c>
      <x:c r="N116" s="20" t="str">
        <x:v>https://restcountries.com/</x:v>
      </x:c>
      <x:c r="O116" s="20" t="str">
        <x:v>REST Countries / CountryInfo latlng snapshot</x:v>
      </x:c>
    </x:row>
    <x:row r="117">
      <x:c r="A117" s="20" t="str">
        <x:v>United Kingdom</x:v>
      </x:c>
      <x:c r="B117" s="20" t="str">
        <x:v>United Kingdom of Great Britain and Northern Ireland</x:v>
      </x:c>
      <x:c r="C117" s="20" t="str">
        <x:v>GB</x:v>
      </x:c>
      <x:c r="D117" s="20" t="str">
        <x:v>GBR</x:v>
      </x:c>
      <x:c r="E117" s="20" t="str">
        <x:v>826</x:v>
      </x:c>
      <x:c r="F117" s="20" t="str">
        <x:v>Europe</x:v>
      </x:c>
      <x:c r="G117" s="20" t="str">
        <x:v>Northern Europe</x:v>
      </x:c>
      <x:c r="H117" s="20" t="n">
        <x:v>54</x:v>
      </x:c>
      <x:c r="I117" s="20" t="n">
        <x:v>-2</x:v>
      </x:c>
      <x:c r="J117" s="20" t="str">
        <x:v>Yes</x:v>
      </x:c>
      <x:c r="K117" s="20" t="str">
        <x:v>ResurgamHub-mentioned Leaflet country/area</x:v>
      </x:c>
      <x:c r="L117" s="20" t="str">
        <x:v>ResurgamHub mention list; ISO/M49 verified; centroid approximate</x:v>
      </x:c>
      <x:c r="M117" s="20" t="str">
        <x:v>https://unstats.un.org/unsd/methodology/m49/overview</x:v>
      </x:c>
      <x:c r="N117" s="20" t="str">
        <x:v>https://restcountries.com/</x:v>
      </x:c>
      <x:c r="O117" s="20" t="str">
        <x:v>REST Countries / CountryInfo latlng snapshot; Use UK/GBR for Great Britain/Britain/England/Scotland/Wales references unless subnational layer is added.</x:v>
      </x:c>
    </x:row>
    <x:row r="118">
      <x:c r="A118" s="20" t="str">
        <x:v>United States</x:v>
      </x:c>
      <x:c r="B118" s="20" t="str">
        <x:v>United States of America</x:v>
      </x:c>
      <x:c r="C118" s="20" t="str">
        <x:v>US</x:v>
      </x:c>
      <x:c r="D118" s="20" t="str">
        <x:v>USA</x:v>
      </x:c>
      <x:c r="E118" s="20" t="str">
        <x:v>840</x:v>
      </x:c>
      <x:c r="F118" s="20" t="str">
        <x:v>Americas</x:v>
      </x:c>
      <x:c r="G118" s="20" t="str">
        <x:v>Northern America</x:v>
      </x:c>
      <x:c r="H118" s="20" t="n">
        <x:v>38</x:v>
      </x:c>
      <x:c r="I118" s="20" t="n">
        <x:v>-97</x:v>
      </x:c>
      <x:c r="J118" s="20" t="str">
        <x:v>Yes</x:v>
      </x:c>
      <x:c r="K118" s="20" t="str">
        <x:v>ResurgamHub-mentioned Leaflet country/area</x:v>
      </x:c>
      <x:c r="L118" s="20" t="str">
        <x:v>ResurgamHub mention list; ISO/M49 verified; centroid approximate</x:v>
      </x:c>
      <x:c r="M118" s="20" t="str">
        <x:v>https://unstats.un.org/unsd/methodology/m49/overview</x:v>
      </x:c>
      <x:c r="N118" s="20" t="str">
        <x:v>https://restcountries.com/</x:v>
      </x:c>
      <x:c r="O118" s="20" t="str">
        <x:v>REST Countries / CountryInfo latlng snapshot; USA represented as one country, with U.S. states excluded as subnational units.; Normalized from USA / United States / America.</x:v>
      </x:c>
    </x:row>
    <x:row r="119">
      <x:c r="A119" s="20" t="str">
        <x:v>Uzbekistan</x:v>
      </x:c>
      <x:c r="B119" s="20" t="str">
        <x:v>Republic of Uzbekistan</x:v>
      </x:c>
      <x:c r="C119" s="20" t="str">
        <x:v>UZ</x:v>
      </x:c>
      <x:c r="D119" s="20" t="str">
        <x:v>UZB</x:v>
      </x:c>
      <x:c r="E119" s="20" t="str">
        <x:v>860</x:v>
      </x:c>
      <x:c r="F119" s="20" t="str">
        <x:v>Asia</x:v>
      </x:c>
      <x:c r="G119" s="20" t="str">
        <x:v>Central Asia</x:v>
      </x:c>
      <x:c r="H119" s="20" t="n">
        <x:v>41</x:v>
      </x:c>
      <x:c r="I119" s="20" t="n">
        <x:v>64</x:v>
      </x:c>
      <x:c r="J119" s="20" t="str">
        <x:v>Yes</x:v>
      </x:c>
      <x:c r="K119" s="20" t="str">
        <x:v>ResurgamHub-mentioned Leaflet country/area</x:v>
      </x:c>
      <x:c r="L119" s="20" t="str">
        <x:v>ResurgamHub mention list; ISO/M49 verified; centroid approximate</x:v>
      </x:c>
      <x:c r="M119" s="20" t="str">
        <x:v>https://unstats.un.org/unsd/methodology/m49/overview</x:v>
      </x:c>
      <x:c r="N119" s="20" t="str">
        <x:v>https://restcountries.com/</x:v>
      </x:c>
      <x:c r="O119" s="20" t="str">
        <x:v>REST Countries / CountryInfo latlng snapshot</x:v>
      </x:c>
    </x:row>
    <x:row r="120">
      <x:c r="A120" s="20" t="str">
        <x:v>Vanuatu</x:v>
      </x:c>
      <x:c r="B120" s="20" t="str">
        <x:v>Republic of Vanuatu</x:v>
      </x:c>
      <x:c r="C120" s="20" t="str">
        <x:v>VU</x:v>
      </x:c>
      <x:c r="D120" s="20" t="str">
        <x:v>VUT</x:v>
      </x:c>
      <x:c r="E120" s="20" t="str">
        <x:v>548</x:v>
      </x:c>
      <x:c r="F120" s="20" t="str">
        <x:v>Oceania</x:v>
      </x:c>
      <x:c r="G120" s="20" t="str">
        <x:v>Melanesia</x:v>
      </x:c>
      <x:c r="H120" s="20" t="n">
        <x:v>-16</x:v>
      </x:c>
      <x:c r="I120" s="20" t="n">
        <x:v>167</x:v>
      </x:c>
      <x:c r="J120" s="20" t="str">
        <x:v>Yes</x:v>
      </x:c>
      <x:c r="K120" s="20" t="str">
        <x:v>ResurgamHub-mentioned Leaflet country/area</x:v>
      </x:c>
      <x:c r="L120" s="20" t="str">
        <x:v>ResurgamHub mention list; ISO/M49 verified; centroid approximate</x:v>
      </x:c>
      <x:c r="M120" s="20" t="str">
        <x:v>https://unstats.un.org/unsd/methodology/m49/overview</x:v>
      </x:c>
      <x:c r="N120" s="20" t="str">
        <x:v>https://restcountries.com/</x:v>
      </x:c>
      <x:c r="O120" s="20" t="str">
        <x:v>REST Countries / CountryInfo latlng snapshot</x:v>
      </x:c>
    </x:row>
    <x:row r="121">
      <x:c r="A121" s="20" t="str">
        <x:v>Venezuela</x:v>
      </x:c>
      <x:c r="B121" s="20" t="str">
        <x:v>Bolivarian Republic of Venezuela</x:v>
      </x:c>
      <x:c r="C121" s="20" t="str">
        <x:v>VE</x:v>
      </x:c>
      <x:c r="D121" s="20" t="str">
        <x:v>VEN</x:v>
      </x:c>
      <x:c r="E121" s="20" t="str">
        <x:v>862</x:v>
      </x:c>
      <x:c r="F121" s="20" t="str">
        <x:v>Americas</x:v>
      </x:c>
      <x:c r="G121" s="20" t="str">
        <x:v>South America</x:v>
      </x:c>
      <x:c r="H121" s="20" t="n">
        <x:v>8</x:v>
      </x:c>
      <x:c r="I121" s="20" t="n">
        <x:v>-66</x:v>
      </x:c>
      <x:c r="J121" s="20" t="str">
        <x:v>Yes</x:v>
      </x:c>
      <x:c r="K121" s="20" t="str">
        <x:v>ResurgamHub-mentioned Leaflet country/area</x:v>
      </x:c>
      <x:c r="L121" s="20" t="str">
        <x:v>ResurgamHub mention list; ISO/M49 verified; centroid approximate</x:v>
      </x:c>
      <x:c r="M121" s="20" t="str">
        <x:v>https://unstats.un.org/unsd/methodology/m49/overview</x:v>
      </x:c>
      <x:c r="N121" s="20" t="str">
        <x:v>https://restcountries.com/</x:v>
      </x:c>
      <x:c r="O121" s="20" t="str">
        <x:v>REST Countries / CountryInfo latlng snapshot</x:v>
      </x:c>
    </x:row>
    <x:row r="122">
      <x:c r="A122" s="20" t="str">
        <x:v>Vietnam</x:v>
      </x:c>
      <x:c r="B122" s="20" t="str">
        <x:v>Socialist Republic of Viet Nam</x:v>
      </x:c>
      <x:c r="C122" s="20" t="str">
        <x:v>VN</x:v>
      </x:c>
      <x:c r="D122" s="20" t="str">
        <x:v>VNM</x:v>
      </x:c>
      <x:c r="E122" s="20" t="str">
        <x:v>704</x:v>
      </x:c>
      <x:c r="F122" s="20" t="str">
        <x:v>Asia</x:v>
      </x:c>
      <x:c r="G122" s="20" t="str">
        <x:v>South-Eastern Asia</x:v>
      </x:c>
      <x:c r="H122" s="20" t="n">
        <x:v>16.16666666</x:v>
      </x:c>
      <x:c r="I122" s="20" t="n">
        <x:v>107.83333333</x:v>
      </x:c>
      <x:c r="J122" s="20" t="str">
        <x:v>Yes</x:v>
      </x:c>
      <x:c r="K122" s="20" t="str">
        <x:v>ResurgamHub-mentioned Leaflet country/area</x:v>
      </x:c>
      <x:c r="L122" s="20" t="str">
        <x:v>ResurgamHub mention list; ISO/M49 verified; centroid approximate</x:v>
      </x:c>
      <x:c r="M122" s="20" t="str">
        <x:v>https://unstats.un.org/unsd/methodology/m49/overview</x:v>
      </x:c>
      <x:c r="N122" s="20" t="str">
        <x:v>https://restcountries.com/</x:v>
      </x:c>
      <x:c r="O122" s="20" t="str">
        <x:v>REST Countries / CountryInfo latlng snapshot</x:v>
      </x:c>
    </x:row>
    <x:row r="123">
      <x:c r="A123" s="20" t="str">
        <x:v>Western Sahara</x:v>
      </x:c>
      <x:c r="B123" s="20"/>
      <x:c r="C123" s="20" t="str">
        <x:v>EH</x:v>
      </x:c>
      <x:c r="D123" s="20" t="str">
        <x:v>ESH</x:v>
      </x:c>
      <x:c r="E123" s="20" t="str">
        <x:v>732</x:v>
      </x:c>
      <x:c r="F123" s="20" t="str">
        <x:v>Africa</x:v>
      </x:c>
      <x:c r="G123" s="20" t="str">
        <x:v>Northern Africa</x:v>
      </x:c>
      <x:c r="H123" s="20" t="n">
        <x:v>24.5</x:v>
      </x:c>
      <x:c r="I123" s="20" t="n">
        <x:v>-13</x:v>
      </x:c>
      <x:c r="J123" s="20" t="str">
        <x:v>Yes</x:v>
      </x:c>
      <x:c r="K123" s="20" t="str">
        <x:v>ResurgamHub-mentioned Leaflet country/area</x:v>
      </x:c>
      <x:c r="L123" s="20" t="str">
        <x:v>ResurgamHub mention list; ISO/M49 verified; centroid approximate</x:v>
      </x:c>
      <x:c r="M123" s="20" t="str">
        <x:v>https://unstats.un.org/unsd/methodology/m49/overview</x:v>
      </x:c>
      <x:c r="N123" s="20" t="str">
        <x:v>https://restcountries.com/</x:v>
      </x:c>
      <x:c r="O123" s="20" t="str">
        <x:v>REST Countries / CountryInfo latlng snapshot; Country/area rather than UN-member-only sovereign-state row; compatible with country-area map treatment.</x:v>
      </x:c>
    </x:row>
    <x:row r="124">
      <x:c r="A124" s="20" t="str">
        <x:v>Zimbabwe</x:v>
      </x:c>
      <x:c r="B124" s="20" t="str">
        <x:v>Republic of Zimbabwe</x:v>
      </x:c>
      <x:c r="C124" s="20" t="str">
        <x:v>ZW</x:v>
      </x:c>
      <x:c r="D124" s="20" t="str">
        <x:v>ZWE</x:v>
      </x:c>
      <x:c r="E124" s="20" t="str">
        <x:v>716</x:v>
      </x:c>
      <x:c r="F124" s="20" t="str">
        <x:v>Africa</x:v>
      </x:c>
      <x:c r="G124" s="20" t="str">
        <x:v>Eastern Africa</x:v>
      </x:c>
      <x:c r="H124" s="20" t="n">
        <x:v>-20</x:v>
      </x:c>
      <x:c r="I124" s="20" t="n">
        <x:v>30</x:v>
      </x:c>
      <x:c r="J124" s="20" t="str">
        <x:v>Yes</x:v>
      </x:c>
      <x:c r="K124" s="20" t="str">
        <x:v>ResurgamHub-mentioned Leaflet country/area</x:v>
      </x:c>
      <x:c r="L124" s="20" t="str">
        <x:v>ResurgamHub mention list; ISO/M49 verified; centroid approximate</x:v>
      </x:c>
      <x:c r="M124" s="20" t="str">
        <x:v>https://unstats.un.org/unsd/methodology/m49/overview</x:v>
      </x:c>
      <x:c r="N124" s="20" t="str">
        <x:v>https://restcountries.com/</x:v>
      </x:c>
      <x:c r="O124" s="20" t="str">
        <x:v>REST Countries / CountryInfo latlng snapshot</x:v>
      </x:c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</x:row>
  </x:sheetData>
  <x:pageMargins left="0.7" right="0.7" top="0.75" bottom="0.75" header="0.3" footer="0.3"/>
  <x:tableParts count="1">
    <x:tablePart xmlns:r="http://schemas.openxmlformats.org/officeDocument/2006/relationships" r:id="Re05cd816efac4e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70" hidden="0" customWidth="1"/>
    <x:col min="5" max="5" width="38" hidden="0" customWidth="1"/>
    <x:col min="6" max="6" width="50" hidden="0" customWidth="1"/>
    <x:col min="8" max="8" width="10" hidden="0" customWidth="1"/>
    <x:col min="9" max="9" width="70" hidden="0" customWidth="1"/>
  </x:cols>
  <x:sheetData>
    <x:row r="1" ht="32" customHeight="1">
      <x:c r="A1" s="32" t="str">
        <x:v>Actor/factor model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</x:row>
    <x:row r="3" ht="28" customHeight="1">
      <x:c r="A3" s="26" t="str">
        <x:v>Subfactor</x:v>
      </x:c>
      <x:c r="B3" s="26" t="str">
        <x:v>Weight</x:v>
      </x:c>
      <x:c r="C3" s="26" t="str">
        <x:v>Score scale</x:v>
      </x:c>
      <x:c r="D3" s="26" t="str">
        <x:v>Definition</x:v>
      </x:c>
      <x:c r="E3" s="26" t="str">
        <x:v>Minimum evidence to score</x:v>
      </x:c>
      <x:c r="F3" s="26" t="str">
        <x:v>Primary source categories</x:v>
      </x:c>
      <x:c r="G3" s="20"/>
      <x:c r="H3" s="131" t="str">
        <x:v>Score</x:v>
      </x:c>
      <x:c r="I3" s="131" t="str">
        <x:v>Meaning</x:v>
      </x:c>
    </x:row>
    <x:row r="4">
      <x:c r="A4" s="20" t="str">
        <x:v>Propaganda ecosystems</x:v>
      </x:c>
      <x:c r="B4" s="54" t="n">
        <x:v>0.25</x:v>
      </x:c>
      <x:c r="C4" s="20" t="str">
        <x:v>0–10</x:v>
      </x:c>
      <x:c r="D4" s="20" t="str">
        <x:v>State/proxy media, coordinated online influence, FIMI/disinformation infrastructure, narrative laundering, and platform amplification.</x:v>
      </x:c>
      <x:c r="E4" s="20" t="str">
        <x:v>Country-specific source URL + summary + confidence rating</x:v>
      </x:c>
      <x:c r="F4" s="20" t="str">
        <x:v>Official records, sanctions, election reports, platform threat reports, credible research datasets</x:v>
      </x:c>
      <x:c r="G4" s="20"/>
      <x:c r="H4" s="281" t="n">
        <x:v>0</x:v>
      </x:c>
      <x:c r="I4" s="280" t="str">
        <x:v>No verified presence / absent in available country-specific evidence.</x:v>
      </x:c>
    </x:row>
    <x:row r="5">
      <x:c r="A5" s="20" t="str">
        <x:v>PMC presence</x:v>
      </x:c>
      <x:c r="B5" s="54" t="n">
        <x:v>0.25</x:v>
      </x:c>
      <x:c r="C5" s="20" t="str">
        <x:v>0–10</x:v>
      </x:c>
      <x:c r="D5" s="20" t="str">
        <x:v>Private military, paramilitary, mercenary, or combat-adjacent formations tied to the actor and operating in/against the country.</x:v>
      </x:c>
      <x:c r="E5" s="20" t="str">
        <x:v>Country-specific source URL + summary + confidence rating</x:v>
      </x:c>
      <x:c r="F5" s="20" t="str">
        <x:v>Official records, sanctions, election reports, platform threat reports, credible research datasets</x:v>
      </x:c>
      <x:c r="G5" s="20"/>
      <x:c r="H5" s="284" t="n">
        <x:v>1</x:v>
      </x:c>
      <x:c r="I5" s="283" t="str">
        <x:v>Trace / isolated indicator; very weak footprint.</x:v>
      </x:c>
    </x:row>
    <x:row r="6">
      <x:c r="A6" s="20" t="str">
        <x:v>Election interference</x:v>
      </x:c>
      <x:c r="B6" s="54" t="n">
        <x:v>0.25</x:v>
      </x:c>
      <x:c r="C6" s="20" t="str">
        <x:v>0–10</x:v>
      </x:c>
      <x:c r="D6" s="20" t="str">
        <x:v>Covert, coercive, deceptive, or non-transparent action intended to affect election integrity, candidate outcomes, turnout, trust, or public confidence.</x:v>
      </x:c>
      <x:c r="E6" s="20" t="str">
        <x:v>Country-specific source URL + summary + confidence rating</x:v>
      </x:c>
      <x:c r="F6" s="20" t="str">
        <x:v>Official records, sanctions, election reports, platform threat reports, credible research datasets</x:v>
      </x:c>
      <x:c r="G6" s="20"/>
      <x:c r="H6" s="287" t="n">
        <x:v>2</x:v>
      </x:c>
      <x:c r="I6" s="286" t="str">
        <x:v>Low but identifiable influence or presence.</x:v>
      </x:c>
    </x:row>
    <x:row r="7">
      <x:c r="A7" s="20" t="str">
        <x:v>Security contractors</x:v>
      </x:c>
      <x:c r="B7" s="54" t="n">
        <x:v>0.25</x:v>
      </x:c>
      <x:c r="C7" s="20" t="str">
        <x:v>0–10</x:v>
      </x:c>
      <x:c r="D7" s="20" t="str">
        <x:v>Private security, advisory, training, logistics, surveillance, or protection contractors linked to the actor and active in the country.</x:v>
      </x:c>
      <x:c r="E7" s="20" t="str">
        <x:v>Country-specific source URL + summary + confidence rating</x:v>
      </x:c>
      <x:c r="F7" s="20" t="str">
        <x:v>Official records, sanctions, election reports, platform threat reports, credible research datasets</x:v>
      </x:c>
      <x:c r="G7" s="20"/>
      <x:c r="H7" s="290" t="n">
        <x:v>3</x:v>
      </x:c>
      <x:c r="I7" s="289" t="str">
        <x:v>Limited but recurring evidence.</x:v>
      </x:c>
    </x:row>
    <x:row r="8">
      <x:c r="A8" s="20"/>
      <x:c r="B8" s="20"/>
      <x:c r="C8" s="20"/>
      <x:c r="D8" s="20"/>
      <x:c r="E8" s="20"/>
      <x:c r="F8" s="20"/>
      <x:c r="G8" s="20"/>
      <x:c r="H8" s="293" t="n">
        <x:v>4</x:v>
      </x:c>
      <x:c r="I8" s="292" t="str">
        <x:v>Moderate influence; recurring and credible evidence.</x:v>
      </x:c>
    </x:row>
    <x:row r="9">
      <x:c r="A9" s="20"/>
      <x:c r="B9" s="20"/>
      <x:c r="C9" s="20"/>
      <x:c r="D9" s="20"/>
      <x:c r="E9" s="20"/>
      <x:c r="F9" s="20"/>
      <x:c r="G9" s="20"/>
      <x:c r="H9" s="296" t="n">
        <x:v>5</x:v>
      </x:c>
      <x:c r="I9" s="295" t="str">
        <x:v>Significant influence in one channel or limited multi-channel activity.</x:v>
      </x:c>
    </x:row>
    <x:row r="10" ht="28" customHeight="1">
      <x:c r="A10" s="26" t="str">
        <x:v>Actor</x:v>
      </x:c>
      <x:c r="B10" s="26" t="str">
        <x:v>Main_Factor</x:v>
      </x:c>
      <x:c r="C10" s="26" t="str">
        <x:v>Actor_Type</x:v>
      </x:c>
      <x:c r="D10" s="26" t="str">
        <x:v>Notes</x:v>
      </x:c>
      <x:c r="E10" s="20"/>
      <x:c r="F10" s="20"/>
      <x:c r="G10" s="20"/>
      <x:c r="H10" s="299" t="n">
        <x:v>6</x:v>
      </x:c>
      <x:c r="I10" s="298" t="str">
        <x:v>High influence; sustained, visible, or strategically relevant evidence.</x:v>
      </x:c>
    </x:row>
    <x:row r="11">
      <x:c r="A11" s="20" t="str">
        <x:v>Russia</x:v>
      </x:c>
      <x:c r="B11" s="20" t="str">
        <x:v>Russian influence</x:v>
      </x:c>
      <x:c r="C11" s="20" t="str">
        <x:v>State actor</x:v>
      </x:c>
      <x:c r="D11" s="20" t="str">
        <x:v>Apply the same subfactors; PMC and security-contractor rows may overlap but should be scored separately based on evidence.</x:v>
      </x:c>
      <x:c r="E11" s="20"/>
      <x:c r="F11" s="20"/>
      <x:c r="G11" s="20"/>
      <x:c r="H11" s="302" t="n">
        <x:v>7</x:v>
      </x:c>
      <x:c r="I11" s="301" t="str">
        <x:v>Very high influence; strong multi-channel footprint.</x:v>
      </x:c>
    </x:row>
    <x:row r="12">
      <x:c r="A12" s="20" t="str">
        <x:v>China</x:v>
      </x:c>
      <x:c r="B12" s="20" t="str">
        <x:v>Chinese influence</x:v>
      </x:c>
      <x:c r="C12" s="20" t="str">
        <x:v>State actor</x:v>
      </x:c>
      <x:c r="D12" s="20" t="str">
        <x:v>For PMC presence, distinguish true PMC/paramilitary evidence from private security contractors protecting BRI-linked assets.</x:v>
      </x:c>
      <x:c r="E12" s="20"/>
      <x:c r="F12" s="20"/>
      <x:c r="G12" s="20"/>
      <x:c r="H12" s="305" t="n">
        <x:v>8</x:v>
      </x:c>
      <x:c r="I12" s="304" t="str">
        <x:v>Entrenched influence; institutionally or network significant.</x:v>
      </x:c>
    </x:row>
    <x:row r="13">
      <x:c r="A13" s="20" t="str">
        <x:v>United States</x:v>
      </x:c>
      <x:c r="B13" s="20" t="str">
        <x:v>American influence</x:v>
      </x:c>
      <x:c r="C13" s="20" t="str">
        <x:v>State actor</x:v>
      </x:c>
      <x:c r="D13" s="20" t="str">
        <x:v>Classify public diplomacy, assistance, election support and security contracting separately; avoid treating disclosed support as covert interference without evidence.</x:v>
      </x:c>
      <x:c r="E13" s="20"/>
      <x:c r="F13" s="20"/>
      <x:c r="G13" s="20"/>
      <x:c r="H13" s="308" t="n">
        <x:v>9</x:v>
      </x:c>
      <x:c r="I13" s="307" t="str">
        <x:v>Dominant in key influence channels; major political-security-information role.</x:v>
      </x:c>
    </x:row>
    <x:row r="14">
      <x:c r="A14" s="20" t="str">
        <x:v>European Union</x:v>
      </x:c>
      <x:c r="B14" s="20" t="str">
        <x:v>EU influence</x:v>
      </x:c>
      <x:c r="C14" s="20" t="str">
        <x:v>Supranational actor</x:v>
      </x:c>
      <x:c r="D14" s="20" t="str">
        <x:v>Classify election observation/democracy support separately from interference; source-backed evidence required for any coercive/interference score.</x:v>
      </x:c>
      <x:c r="E14" s="20"/>
      <x:c r="F14" s="20"/>
      <x:c r="G14" s="20"/>
      <x:c r="H14" s="311" t="n">
        <x:v>10</x:v>
      </x:c>
      <x:c r="I14" s="310" t="str">
        <x:v>Systemic / commanding influence; central to the country’s political-security-information environment.</x:v>
      </x:c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d79f51776bdd4552"/>
    <x:tablePart xmlns:r="http://schemas.openxmlformats.org/officeDocument/2006/relationships" r:id="R84148936498e49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38" hidden="0" customWidth="1"/>
    <x:col min="14" max="14" width="12" hidden="0" customWidth="1"/>
    <x:col min="15" max="15" width="12" hidden="0" customWidth="1"/>
    <x:col min="16" max="16" width="38" hidden="0" customWidth="1"/>
    <x:col min="17" max="17" width="12" hidden="0" customWidth="1"/>
    <x:col min="18" max="18" width="12" hidden="0" customWidth="1"/>
    <x:col min="19" max="19" width="38" hidden="0" customWidth="1"/>
    <x:col min="20" max="20" width="12" hidden="0" customWidth="1"/>
    <x:col min="21" max="21" width="12" hidden="0" customWidth="1"/>
    <x:col min="22" max="22" width="38" hidden="0" customWidth="1"/>
    <x:col min="23" max="23" width="18" hidden="0" customWidth="1"/>
    <x:col min="24" max="24" width="18" hidden="0" customWidth="1"/>
    <x:col min="25" max="25" width="18" hidden="0" customWidth="1"/>
    <x:col min="26" max="26" width="46" hidden="0" customWidth="1"/>
    <x:col min="27" max="27" width="14" hidden="0" customWidth="1"/>
    <x:col min="28" max="28" width="18" hidden="0" customWidth="1"/>
  </x:cols>
  <x:sheetData>
    <x:row r="1" ht="28" customHeight="1">
      <x:c r="A1" s="370" t="str">
        <x:v>Score_Key</x:v>
      </x:c>
      <x:c r="B1" s="370" t="str">
        <x:v>Country_Name</x:v>
      </x:c>
      <x:c r="C1" s="370" t="str">
        <x:v>Official_Name</x:v>
      </x:c>
      <x:c r="D1" s="370" t="str">
        <x:v>ISO2</x:v>
      </x:c>
      <x:c r="E1" s="370" t="str">
        <x:v>ISO3</x:v>
      </x:c>
      <x:c r="F1" s="370" t="str">
        <x:v>M49</x:v>
      </x:c>
      <x:c r="G1" s="370" t="str">
        <x:v>UN_Region</x:v>
      </x:c>
      <x:c r="H1" s="370" t="str">
        <x:v>UN_Subregion</x:v>
      </x:c>
      <x:c r="I1" s="370" t="str">
        <x:v>Actor</x:v>
      </x:c>
      <x:c r="J1" s="370" t="str">
        <x:v>Main_Factor</x:v>
      </x:c>
      <x:c r="K1" s="370" t="str">
        <x:v>Propaganda_Ecosystems_Score_0_10</x:v>
      </x:c>
      <x:c r="L1" s="370" t="str">
        <x:v>Propaganda_Ecosystems_Confidence_0_5</x:v>
      </x:c>
      <x:c r="M1" s="370" t="str">
        <x:v>Propaganda_Ecosystems_Source_URL</x:v>
      </x:c>
      <x:c r="N1" s="370" t="str">
        <x:v>PMC_Presence_Score_0_10</x:v>
      </x:c>
      <x:c r="O1" s="370" t="str">
        <x:v>PMC_Presence_Confidence_0_5</x:v>
      </x:c>
      <x:c r="P1" s="370" t="str">
        <x:v>PMC_Presence_Source_URL</x:v>
      </x:c>
      <x:c r="Q1" s="370" t="str">
        <x:v>Election_Interference_Score_0_10</x:v>
      </x:c>
      <x:c r="R1" s="370" t="str">
        <x:v>Election_Interference_Confidence_0_5</x:v>
      </x:c>
      <x:c r="S1" s="370" t="str">
        <x:v>Election_Interference_Source_URL</x:v>
      </x:c>
      <x:c r="T1" s="370" t="str">
        <x:v>Security_Contractors_Score_0_10</x:v>
      </x:c>
      <x:c r="U1" s="370" t="str">
        <x:v>Security_Contractors_Confidence_0_5</x:v>
      </x:c>
      <x:c r="V1" s="370" t="str">
        <x:v>Security_Contractors_Source_URL</x:v>
      </x:c>
      <x:c r="W1" s="370" t="str">
        <x:v>Evidence_Coverage</x:v>
      </x:c>
      <x:c r="X1" s="370" t="str">
        <x:v>Actor_Influence_Score_0_10</x:v>
      </x:c>
      <x:c r="Y1" s="370" t="str">
        <x:v>Evidence_Status</x:v>
      </x:c>
      <x:c r="Z1" s="370" t="str">
        <x:v>Analyst_Notes</x:v>
      </x:c>
      <x:c r="AA1" s="370" t="str">
        <x:v>Last_Reviewed</x:v>
      </x:c>
      <x:c r="AB1" s="370" t="str">
        <x:v>Reviewed_By</x:v>
      </x:c>
    </x:row>
    <x:row r="2" ht="24" customHeight="1">
      <x:c r="A2" s="20" t="str">
        <x:v>AFG|Russia</x:v>
      </x:c>
      <x:c r="B2" s="20" t="str">
        <x:v>Afghanistan</x:v>
      </x:c>
      <x:c r="C2" s="20" t="str">
        <x:v>Islamic Republic of Afghanistan</x:v>
      </x:c>
      <x:c r="D2" s="20" t="str">
        <x:v>AF</x:v>
      </x:c>
      <x:c r="E2" s="20" t="str">
        <x:v>AFG</x:v>
      </x:c>
      <x:c r="F2" s="20" t="str">
        <x:v>004</x:v>
      </x:c>
      <x:c r="G2" s="20" t="str">
        <x:v>Asia</x:v>
      </x:c>
      <x:c r="H2" s="20" t="str">
        <x:v>Southern Asia</x:v>
      </x:c>
      <x:c r="I2" s="20" t="str">
        <x:v>Russia</x:v>
      </x:c>
      <x:c r="J2" s="20" t="str">
        <x:v>Russian influence</x:v>
      </x:c>
      <x:c r="K2" s="384" t="n">
        <x:v>2</x:v>
      </x:c>
      <x:c r="L2" s="396" t="n">
        <x:v>2</x:v>
      </x:c>
      <x:c r="M2" s="397" t="str">
        <x:v>https://www.eeas.europa.eu/eeas/4th-eeas-annual-report-foreign-information-manipulation-and-interference-threats_en</x:v>
      </x:c>
      <x:c r="N2" s="384" t="n">
        <x:v>1</x:v>
      </x:c>
      <x:c r="O2" s="396" t="n">
        <x:v>2</x:v>
      </x:c>
      <x:c r="P2" s="397" t="str">
        <x:v>https://www.consilium.europa.eu/en/press/press-releases/2023/02/25/wagner-group-council-adds-11-individuals-and-7-entities-to-eu-sanctions-lists/</x:v>
      </x:c>
      <x:c r="Q2" s="384" t="n">
        <x:v>0</x:v>
      </x:c>
      <x:c r="R2" s="396" t="n">
        <x:v>1</x:v>
      </x:c>
      <x:c r="S2" s="397" t="str">
        <x:v>https://www.dni.gov/files/ODNI/documents/assessments/ATA-2026-Unclassified-Report.pdf</x:v>
      </x:c>
      <x:c r="T2" s="384" t="n">
        <x:v>1</x:v>
      </x:c>
      <x:c r="U2" s="396" t="n">
        <x:v>2</x:v>
      </x:c>
      <x:c r="V2" s="397" t="str">
        <x:v>https://www.consilium.europa.eu/en/press/press-releases/2023/02/25/wagner-group-council-adds-11-individuals-and-7-entities-to-eu-sanctions-lists/</x:v>
      </x:c>
      <x:c r="W2" s="385" t="n">
        <x:f>(--(M2&lt;&gt;"")+--(P2&lt;&gt;"")+--(S2&lt;&gt;"")+--(V2&lt;&gt;""))/4</x:f>
        <x:v>1</x:v>
      </x:c>
      <x:c r="X2" s="384" t="n">
        <x:f>IF(COUNT(K2,N2,Q2,T2)=0,"No data",(IF(ISNUMBER(K2),K2*Factor_Model!$B$4,0)+IF(ISNUMBER(N2),N2*Factor_Model!$B$5,0)+IF(ISNUMBER(Q2),Q2*Factor_Model!$B$6,0)+IF(ISNUMBER(T2),T2*Factor_Model!$B$7,0))/(IF(ISNUMBER(K2),Factor_Model!$B$4,0)+IF(ISNUMBER(N2),Factor_Model!$B$5,0)+IF(ISNUMBER(Q2),Factor_Model!$B$6,0)+IF(ISNUMBER(T2),Factor_Model!$B$7,0)))</x:f>
        <x:v>1</x:v>
      </x:c>
      <x:c r="Y2" s="20" t="str">
        <x:f>IF(W2=0,"No source",IF(W2&lt;1,"Partial source","Source-complete"))</x:f>
        <x:v>Source-complete</x:v>
      </x:c>
      <x:c r="Z2" s="20" t="str">
        <x:v>Automated screening pass: row uses a primary source URL by actor/subfactor; verify with country-specific evidence before final analytical use.</x:v>
      </x:c>
      <x:c r="AA2" s="20" t="str">
        <x:v>2026-05-20</x:v>
      </x:c>
      <x:c r="AB2" s="20" t="str">
        <x:v>GPT-5.5 Pro</x:v>
      </x:c>
    </x:row>
    <x:row r="3" ht="24" customHeight="1">
      <x:c r="A3" s="20" t="str">
        <x:v>AFG|China</x:v>
      </x:c>
      <x:c r="B3" s="20" t="str">
        <x:v>Afghanistan</x:v>
      </x:c>
      <x:c r="C3" s="20" t="str">
        <x:v>Islamic Republic of Afghanistan</x:v>
      </x:c>
      <x:c r="D3" s="20" t="str">
        <x:v>AF</x:v>
      </x:c>
      <x:c r="E3" s="20" t="str">
        <x:v>AFG</x:v>
      </x:c>
      <x:c r="F3" s="20" t="str">
        <x:v>004</x:v>
      </x:c>
      <x:c r="G3" s="20" t="str">
        <x:v>Asia</x:v>
      </x:c>
      <x:c r="H3" s="20" t="str">
        <x:v>Southern Asia</x:v>
      </x:c>
      <x:c r="I3" s="20" t="str">
        <x:v>China</x:v>
      </x:c>
      <x:c r="J3" s="20" t="str">
        <x:v>Chinese influence</x:v>
      </x:c>
      <x:c r="K3" s="384" t="n">
        <x:v>3</x:v>
      </x:c>
      <x:c r="L3" s="396" t="n">
        <x:v>3</x:v>
      </x:c>
      <x:c r="M3" s="397" t="str">
        <x:v>https://www.eeas.europa.eu/eeas/4th-eeas-annual-report-foreign-information-manipulation-and-interference-threats_en</x:v>
      </x:c>
      <x:c r="N3" s="384" t="n">
        <x:v>1</x:v>
      </x:c>
      <x:c r="O3" s="396" t="n">
        <x:v>2</x:v>
      </x:c>
      <x:c r="P3" s="397" t="str">
        <x:v>https://merics.org/en/report/guardians-belt-and-road</x:v>
      </x:c>
      <x:c r="Q3" s="384" t="n">
        <x:v>1</x:v>
      </x:c>
      <x:c r="R3" s="396" t="n">
        <x:v>2</x:v>
      </x:c>
      <x:c r="S3" s="397" t="str">
        <x:v>https://www.eeas.europa.eu/eeas/4th-eeas-annual-report-foreign-information-manipulation-and-interference-threats_en</x:v>
      </x:c>
      <x:c r="T3" s="384" t="n">
        <x:v>2</x:v>
      </x:c>
      <x:c r="U3" s="396" t="n">
        <x:v>2</x:v>
      </x:c>
      <x:c r="V3" s="397" t="str">
        <x:v>https://merics.org/en/report/guardians-belt-and-road</x:v>
      </x:c>
      <x:c r="W3" s="385" t="n">
        <x:f>(--(M3&lt;&gt;"")+--(P3&lt;&gt;"")+--(S3&lt;&gt;"")+--(V3&lt;&gt;""))/4</x:f>
        <x:v>1</x:v>
      </x:c>
      <x:c r="X3" s="384" t="n">
        <x:f>IF(COUNT(K3,N3,Q3,T3)=0,"No data",(IF(ISNUMBER(K3),K3*Factor_Model!$B$4,0)+IF(ISNUMBER(N3),N3*Factor_Model!$B$5,0)+IF(ISNUMBER(Q3),Q3*Factor_Model!$B$6,0)+IF(ISNUMBER(T3),T3*Factor_Model!$B$7,0))/(IF(ISNUMBER(K3),Factor_Model!$B$4,0)+IF(ISNUMBER(N3),Factor_Model!$B$5,0)+IF(ISNUMBER(Q3),Factor_Model!$B$6,0)+IF(ISNUMBER(T3),Factor_Model!$B$7,0)))</x:f>
        <x:v>1.75</x:v>
      </x:c>
      <x:c r="Y3" s="20" t="str">
        <x:f>IF(W3=0,"No source",IF(W3&lt;1,"Partial source","Source-complete"))</x:f>
        <x:v>Source-complete</x:v>
      </x:c>
      <x:c r="Z3" s="20" t="str">
        <x:v>Automated screening pass: row uses a primary source URL by actor/subfactor; verify with country-specific evidence before final analytical use.</x:v>
      </x:c>
      <x:c r="AA3" s="20" t="str">
        <x:v>2026-05-20</x:v>
      </x:c>
      <x:c r="AB3" s="20" t="str">
        <x:v>GPT-5.5 Pro</x:v>
      </x:c>
    </x:row>
    <x:row r="4" ht="24" customHeight="1">
      <x:c r="A4" s="20" t="str">
        <x:v>AFG|United States</x:v>
      </x:c>
      <x:c r="B4" s="20" t="str">
        <x:v>Afghanistan</x:v>
      </x:c>
      <x:c r="C4" s="20" t="str">
        <x:v>Islamic Republic of Afghanistan</x:v>
      </x:c>
      <x:c r="D4" s="20" t="str">
        <x:v>AF</x:v>
      </x:c>
      <x:c r="E4" s="20" t="str">
        <x:v>AFG</x:v>
      </x:c>
      <x:c r="F4" s="20" t="str">
        <x:v>004</x:v>
      </x:c>
      <x:c r="G4" s="20" t="str">
        <x:v>Asia</x:v>
      </x:c>
      <x:c r="H4" s="20" t="str">
        <x:v>Southern Asia</x:v>
      </x:c>
      <x:c r="I4" s="20" t="str">
        <x:v>United States</x:v>
      </x:c>
      <x:c r="J4" s="20" t="str">
        <x:v>American influence</x:v>
      </x:c>
      <x:c r="K4" s="384" t="n">
        <x:v>8</x:v>
      </x:c>
      <x:c r="L4" s="396" t="n">
        <x:v>4</x:v>
      </x:c>
      <x:c r="M4" s="397" t="str">
        <x:v>https://www.usagm.gov/our-work/strategy-and-results/strategic-priorities/research-reports/</x:v>
      </x:c>
      <x:c r="N4" s="384" t="n">
        <x:v>9</x:v>
      </x:c>
      <x:c r="O4" s="396" t="n">
        <x:v>5</x:v>
      </x:c>
      <x:c r="P4" s="397" t="str">
        <x:v>https://internationalpolicy.org/programs/sam/</x:v>
      </x:c>
      <x:c r="Q4" s="384" t="n">
        <x:v>2</x:v>
      </x:c>
      <x:c r="R4" s="396" t="n">
        <x:v>2</x:v>
      </x:c>
      <x:c r="S4" s="397" t="str">
        <x:v>https://www.ned.org/ned-grantmaking/</x:v>
      </x:c>
      <x:c r="T4" s="384" t="n">
        <x:v>9</x:v>
      </x:c>
      <x:c r="U4" s="396" t="n">
        <x:v>5</x:v>
      </x:c>
      <x:c r="V4" s="397" t="str">
        <x:v>https://internationalpolicy.org/programs/sam/</x:v>
      </x:c>
      <x:c r="W4" s="385" t="n">
        <x:f>(--(M4&lt;&gt;"")+--(P4&lt;&gt;"")+--(S4&lt;&gt;"")+--(V4&lt;&gt;""))/4</x:f>
        <x:v>1</x:v>
      </x:c>
      <x:c r="X4" s="384" t="n">
        <x:f>IF(COUNT(K4,N4,Q4,T4)=0,"No data",(IF(ISNUMBER(K4),K4*Factor_Model!$B$4,0)+IF(ISNUMBER(N4),N4*Factor_Model!$B$5,0)+IF(ISNUMBER(Q4),Q4*Factor_Model!$B$6,0)+IF(ISNUMBER(T4),T4*Factor_Model!$B$7,0))/(IF(ISNUMBER(K4),Factor_Model!$B$4,0)+IF(ISNUMBER(N4),Factor_Model!$B$5,0)+IF(ISNUMBER(Q4),Factor_Model!$B$6,0)+IF(ISNUMBER(T4),Factor_Model!$B$7,0)))</x:f>
        <x:v>7</x:v>
      </x:c>
      <x:c r="Y4" s="20" t="str">
        <x:f>IF(W4=0,"No source",IF(W4&lt;1,"Partial source","Source-complete"))</x:f>
        <x:v>Source-complete</x:v>
      </x:c>
      <x:c r="Z4" s="20" t="str">
        <x:v>Automated screening pass: row uses a primary source URL by actor/subfactor; verify with country-specific evidence before final analytical use.</x:v>
      </x:c>
      <x:c r="AA4" s="20" t="str">
        <x:v>2026-05-20</x:v>
      </x:c>
      <x:c r="AB4" s="20" t="str">
        <x:v>GPT-5.5 Pro</x:v>
      </x:c>
    </x:row>
    <x:row r="5" ht="24" customHeight="1">
      <x:c r="A5" s="20" t="str">
        <x:v>AFG|European Union</x:v>
      </x:c>
      <x:c r="B5" s="20" t="str">
        <x:v>Afghanistan</x:v>
      </x:c>
      <x:c r="C5" s="20" t="str">
        <x:v>Islamic Republic of Afghanistan</x:v>
      </x:c>
      <x:c r="D5" s="20" t="str">
        <x:v>AF</x:v>
      </x:c>
      <x:c r="E5" s="20" t="str">
        <x:v>AFG</x:v>
      </x:c>
      <x:c r="F5" s="20" t="str">
        <x:v>004</x:v>
      </x:c>
      <x:c r="G5" s="20" t="str">
        <x:v>Asia</x:v>
      </x:c>
      <x:c r="H5" s="20" t="str">
        <x:v>Southern Asia</x:v>
      </x:c>
      <x:c r="I5" s="20" t="str">
        <x:v>European Union</x:v>
      </x:c>
      <x:c r="J5" s="20" t="str">
        <x:v>EU influence</x:v>
      </x:c>
      <x:c r="K5" s="384" t="n">
        <x:v>2</x:v>
      </x:c>
      <x:c r="L5" s="396" t="n">
        <x:v>2</x:v>
      </x:c>
      <x:c r="M5" s="397" t="str">
        <x:v>https://www.eeas.europa.eu/eeas/public-diplomacy_en</x:v>
      </x:c>
      <x:c r="N5" s="384" t="n">
        <x:v>0</x:v>
      </x:c>
      <x:c r="O5" s="396" t="n">
        <x:v>1</x:v>
      </x:c>
      <x:c r="P5" s="397" t="str">
        <x:v>https://www.eeas.europa.eu/eeas/missions-and-operations_en</x:v>
      </x:c>
      <x:c r="Q5" s="384" t="n">
        <x:v>1</x:v>
      </x:c>
      <x:c r="R5" s="396" t="n">
        <x:v>2</x:v>
      </x:c>
      <x:c r="S5" s="397" t="str">
        <x:v>https://www.eeas.europa.eu/eeas/eu-election-observation-missions-1_en?page_lang=en</x:v>
      </x:c>
      <x:c r="T5" s="384" t="n">
        <x:v>2</x:v>
      </x:c>
      <x:c r="U5" s="396" t="n">
        <x:v>2</x:v>
      </x:c>
      <x:c r="V5" s="397" t="str">
        <x:v>https://www.eeas.europa.eu/eeas/missions-and-operations_en</x:v>
      </x:c>
      <x:c r="W5" s="385" t="n">
        <x:f>(--(M5&lt;&gt;"")+--(P5&lt;&gt;"")+--(S5&lt;&gt;"")+--(V5&lt;&gt;""))/4</x:f>
        <x:v>1</x:v>
      </x:c>
      <x:c r="X5" s="384" t="n">
        <x:f>IF(COUNT(K5,N5,Q5,T5)=0,"No data",(IF(ISNUMBER(K5),K5*Factor_Model!$B$4,0)+IF(ISNUMBER(N5),N5*Factor_Model!$B$5,0)+IF(ISNUMBER(Q5),Q5*Factor_Model!$B$6,0)+IF(ISNUMBER(T5),T5*Factor_Model!$B$7,0))/(IF(ISNUMBER(K5),Factor_Model!$B$4,0)+IF(ISNUMBER(N5),Factor_Model!$B$5,0)+IF(ISNUMBER(Q5),Factor_Model!$B$6,0)+IF(ISNUMBER(T5),Factor_Model!$B$7,0)))</x:f>
        <x:v>1.25</x:v>
      </x:c>
      <x:c r="Y5" s="20" t="str">
        <x:f>IF(W5=0,"No source",IF(W5&lt;1,"Partial source","Source-complete"))</x:f>
        <x:v>Source-complete</x:v>
      </x:c>
      <x:c r="Z5" s="20" t="str">
        <x:v>Automated screening pass: row uses a primary source URL by actor/subfactor; verify with country-specific evidence before final analytical use.</x:v>
      </x:c>
      <x:c r="AA5" s="20" t="str">
        <x:v>2026-05-20</x:v>
      </x:c>
      <x:c r="AB5" s="20" t="str">
        <x:v>GPT-5.5 Pro</x:v>
      </x:c>
    </x:row>
    <x:row r="6" ht="24" customHeight="1">
      <x:c r="A6" s="20" t="str">
        <x:v>DZA|Russia</x:v>
      </x:c>
      <x:c r="B6" s="20" t="str">
        <x:v>Algeria</x:v>
      </x:c>
      <x:c r="C6" s="20" t="str">
        <x:v>People's Democratic Republic of Algeria</x:v>
      </x:c>
      <x:c r="D6" s="20" t="str">
        <x:v>DZ</x:v>
      </x:c>
      <x:c r="E6" s="20" t="str">
        <x:v>DZA</x:v>
      </x:c>
      <x:c r="F6" s="20" t="str">
        <x:v>012</x:v>
      </x:c>
      <x:c r="G6" s="20" t="str">
        <x:v>Africa</x:v>
      </x:c>
      <x:c r="H6" s="20" t="str">
        <x:v>Northern Africa</x:v>
      </x:c>
      <x:c r="I6" s="20" t="str">
        <x:v>Russia</x:v>
      </x:c>
      <x:c r="J6" s="20" t="str">
        <x:v>Russian influence</x:v>
      </x:c>
      <x:c r="K6" s="384" t="n">
        <x:v>5</x:v>
      </x:c>
      <x:c r="L6" s="396" t="n">
        <x:v>3</x:v>
      </x:c>
      <x:c r="M6" s="397" t="str">
        <x:v>https://www.eeas.europa.eu/eeas/4th-eeas-annual-report-foreign-information-manipulation-and-interference-threats_en</x:v>
      </x:c>
      <x:c r="N6" s="384" t="n">
        <x:v>1</x:v>
      </x:c>
      <x:c r="O6" s="396" t="n">
        <x:v>2</x:v>
      </x:c>
      <x:c r="P6" s="397" t="str">
        <x:v>https://www.consilium.europa.eu/en/press/press-releases/2023/02/25/wagner-group-council-adds-11-individuals-and-7-entities-to-eu-sanctions-lists/</x:v>
      </x:c>
      <x:c r="Q6" s="384" t="n">
        <x:v>1</x:v>
      </x:c>
      <x:c r="R6" s="396" t="n">
        <x:v>2</x:v>
      </x:c>
      <x:c r="S6" s="397" t="str">
        <x:v>https://www.dni.gov/files/ODNI/documents/assessments/ATA-2026-Unclassified-Report.pdf</x:v>
      </x:c>
      <x:c r="T6" s="384" t="n">
        <x:v>1</x:v>
      </x:c>
      <x:c r="U6" s="396" t="n">
        <x:v>2</x:v>
      </x:c>
      <x:c r="V6" s="397" t="str">
        <x:v>https://www.consilium.europa.eu/en/press/press-releases/2023/02/25/wagner-group-council-adds-11-individuals-and-7-entities-to-eu-sanctions-lists/</x:v>
      </x:c>
      <x:c r="W6" s="385" t="n">
        <x:f>(--(M6&lt;&gt;"")+--(P6&lt;&gt;"")+--(S6&lt;&gt;"")+--(V6&lt;&gt;""))/4</x:f>
        <x:v>1</x:v>
      </x:c>
      <x:c r="X6" s="384" t="n">
        <x:f>IF(COUNT(K6,N6,Q6,T6)=0,"No data",(IF(ISNUMBER(K6),K6*Factor_Model!$B$4,0)+IF(ISNUMBER(N6),N6*Factor_Model!$B$5,0)+IF(ISNUMBER(Q6),Q6*Factor_Model!$B$6,0)+IF(ISNUMBER(T6),T6*Factor_Model!$B$7,0))/(IF(ISNUMBER(K6),Factor_Model!$B$4,0)+IF(ISNUMBER(N6),Factor_Model!$B$5,0)+IF(ISNUMBER(Q6),Factor_Model!$B$6,0)+IF(ISNUMBER(T6),Factor_Model!$B$7,0)))</x:f>
        <x:v>2</x:v>
      </x:c>
      <x:c r="Y6" s="20" t="str">
        <x:f>IF(W6=0,"No source",IF(W6&lt;1,"Partial source","Source-complete"))</x:f>
        <x:v>Source-complete</x:v>
      </x:c>
      <x:c r="Z6" s="20" t="str">
        <x:v>Automated screening pass: row uses a primary source URL by actor/subfactor; verify with country-specific evidence before final analytical use.</x:v>
      </x:c>
      <x:c r="AA6" s="20" t="str">
        <x:v>2026-05-20</x:v>
      </x:c>
      <x:c r="AB6" s="20" t="str">
        <x:v>GPT-5.5 Pro</x:v>
      </x:c>
    </x:row>
    <x:row r="7" ht="24" customHeight="1">
      <x:c r="A7" s="20" t="str">
        <x:v>DZA|China</x:v>
      </x:c>
      <x:c r="B7" s="20" t="str">
        <x:v>Algeria</x:v>
      </x:c>
      <x:c r="C7" s="20" t="str">
        <x:v>People's Democratic Republic of Algeria</x:v>
      </x:c>
      <x:c r="D7" s="20" t="str">
        <x:v>DZ</x:v>
      </x:c>
      <x:c r="E7" s="20" t="str">
        <x:v>DZA</x:v>
      </x:c>
      <x:c r="F7" s="20" t="str">
        <x:v>012</x:v>
      </x:c>
      <x:c r="G7" s="20" t="str">
        <x:v>Africa</x:v>
      </x:c>
      <x:c r="H7" s="20" t="str">
        <x:v>Northern Africa</x:v>
      </x:c>
      <x:c r="I7" s="20" t="str">
        <x:v>China</x:v>
      </x:c>
      <x:c r="J7" s="20" t="str">
        <x:v>Chinese influence</x:v>
      </x:c>
      <x:c r="K7" s="384" t="n">
        <x:v>5</x:v>
      </x:c>
      <x:c r="L7" s="396" t="n">
        <x:v>3</x:v>
      </x:c>
      <x:c r="M7" s="397" t="str">
        <x:v>https://www.eeas.europa.eu/eeas/4th-eeas-annual-report-foreign-information-manipulation-and-interference-threats_en</x:v>
      </x:c>
      <x:c r="N7" s="384" t="n">
        <x:v>1</x:v>
      </x:c>
      <x:c r="O7" s="396" t="n">
        <x:v>2</x:v>
      </x:c>
      <x:c r="P7" s="397" t="str">
        <x:v>https://merics.org/en/report/guardians-belt-and-road</x:v>
      </x:c>
      <x:c r="Q7" s="384" t="n">
        <x:v>1</x:v>
      </x:c>
      <x:c r="R7" s="396" t="n">
        <x:v>2</x:v>
      </x:c>
      <x:c r="S7" s="397" t="str">
        <x:v>https://www.eeas.europa.eu/eeas/4th-eeas-annual-report-foreign-information-manipulation-and-interference-threats_en</x:v>
      </x:c>
      <x:c r="T7" s="384" t="n">
        <x:v>3</x:v>
      </x:c>
      <x:c r="U7" s="396" t="n">
        <x:v>3</x:v>
      </x:c>
      <x:c r="V7" s="397" t="str">
        <x:v>https://merics.org/en/report/guardians-belt-and-road</x:v>
      </x:c>
      <x:c r="W7" s="385" t="n">
        <x:f>(--(M7&lt;&gt;"")+--(P7&lt;&gt;"")+--(S7&lt;&gt;"")+--(V7&lt;&gt;""))/4</x:f>
        <x:v>1</x:v>
      </x:c>
      <x:c r="X7" s="384" t="n">
        <x:f>IF(COUNT(K7,N7,Q7,T7)=0,"No data",(IF(ISNUMBER(K7),K7*Factor_Model!$B$4,0)+IF(ISNUMBER(N7),N7*Factor_Model!$B$5,0)+IF(ISNUMBER(Q7),Q7*Factor_Model!$B$6,0)+IF(ISNUMBER(T7),T7*Factor_Model!$B$7,0))/(IF(ISNUMBER(K7),Factor_Model!$B$4,0)+IF(ISNUMBER(N7),Factor_Model!$B$5,0)+IF(ISNUMBER(Q7),Factor_Model!$B$6,0)+IF(ISNUMBER(T7),Factor_Model!$B$7,0)))</x:f>
        <x:v>2.5</x:v>
      </x:c>
      <x:c r="Y7" s="20" t="str">
        <x:f>IF(W7=0,"No source",IF(W7&lt;1,"Partial source","Source-complete"))</x:f>
        <x:v>Source-complete</x:v>
      </x:c>
      <x:c r="Z7" s="20" t="str">
        <x:v>Automated screening pass: row uses a primary source URL by actor/subfactor; verify with country-specific evidence before final analytical use.</x:v>
      </x:c>
      <x:c r="AA7" s="20" t="str">
        <x:v>2026-05-20</x:v>
      </x:c>
      <x:c r="AB7" s="20" t="str">
        <x:v>GPT-5.5 Pro</x:v>
      </x:c>
    </x:row>
    <x:row r="8" ht="24" customHeight="1">
      <x:c r="A8" s="20" t="str">
        <x:v>DZA|United States</x:v>
      </x:c>
      <x:c r="B8" s="20" t="str">
        <x:v>Algeria</x:v>
      </x:c>
      <x:c r="C8" s="20" t="str">
        <x:v>People's Democratic Republic of Algeria</x:v>
      </x:c>
      <x:c r="D8" s="20" t="str">
        <x:v>DZ</x:v>
      </x:c>
      <x:c r="E8" s="20" t="str">
        <x:v>DZA</x:v>
      </x:c>
      <x:c r="F8" s="20" t="str">
        <x:v>012</x:v>
      </x:c>
      <x:c r="G8" s="20" t="str">
        <x:v>Africa</x:v>
      </x:c>
      <x:c r="H8" s="20" t="str">
        <x:v>Northern Africa</x:v>
      </x:c>
      <x:c r="I8" s="20" t="str">
        <x:v>United States</x:v>
      </x:c>
      <x:c r="J8" s="20" t="str">
        <x:v>American influence</x:v>
      </x:c>
      <x:c r="K8" s="384" t="n">
        <x:v>4</x:v>
      </x:c>
      <x:c r="L8" s="396" t="n">
        <x:v>3</x:v>
      </x:c>
      <x:c r="M8" s="397" t="str">
        <x:v>https://www.usagm.gov/our-work/strategy-and-results/strategic-priorities/research-reports/</x:v>
      </x:c>
      <x:c r="N8" s="384" t="n">
        <x:v>2</x:v>
      </x:c>
      <x:c r="O8" s="396" t="n">
        <x:v>2</x:v>
      </x:c>
      <x:c r="P8" s="397" t="str">
        <x:v>https://internationalpolicy.org/programs/sam/</x:v>
      </x:c>
      <x:c r="Q8" s="384" t="n">
        <x:v>2</x:v>
      </x:c>
      <x:c r="R8" s="396" t="n">
        <x:v>2</x:v>
      </x:c>
      <x:c r="S8" s="397" t="str">
        <x:v>https://www.ned.org/ned-grantmaking/</x:v>
      </x:c>
      <x:c r="T8" s="384" t="n">
        <x:v>3</x:v>
      </x:c>
      <x:c r="U8" s="396" t="n">
        <x:v>3</x:v>
      </x:c>
      <x:c r="V8" s="397" t="str">
        <x:v>https://internationalpolicy.org/programs/sam/</x:v>
      </x:c>
      <x:c r="W8" s="385" t="n">
        <x:f>(--(M8&lt;&gt;"")+--(P8&lt;&gt;"")+--(S8&lt;&gt;"")+--(V8&lt;&gt;""))/4</x:f>
        <x:v>1</x:v>
      </x:c>
      <x:c r="X8" s="384" t="n">
        <x:f>IF(COUNT(K8,N8,Q8,T8)=0,"No data",(IF(ISNUMBER(K8),K8*Factor_Model!$B$4,0)+IF(ISNUMBER(N8),N8*Factor_Model!$B$5,0)+IF(ISNUMBER(Q8),Q8*Factor_Model!$B$6,0)+IF(ISNUMBER(T8),T8*Factor_Model!$B$7,0))/(IF(ISNUMBER(K8),Factor_Model!$B$4,0)+IF(ISNUMBER(N8),Factor_Model!$B$5,0)+IF(ISNUMBER(Q8),Factor_Model!$B$6,0)+IF(ISNUMBER(T8),Factor_Model!$B$7,0)))</x:f>
        <x:v>2.75</x:v>
      </x:c>
      <x:c r="Y8" s="20" t="str">
        <x:f>IF(W8=0,"No source",IF(W8&lt;1,"Partial source","Source-complete"))</x:f>
        <x:v>Source-complete</x:v>
      </x:c>
      <x:c r="Z8" s="20" t="str">
        <x:v>Automated screening pass: row uses a primary source URL by actor/subfactor; verify with country-specific evidence before final analytical use.</x:v>
      </x:c>
      <x:c r="AA8" s="20" t="str">
        <x:v>2026-05-20</x:v>
      </x:c>
      <x:c r="AB8" s="20" t="str">
        <x:v>GPT-5.5 Pro</x:v>
      </x:c>
    </x:row>
    <x:row r="9" ht="24" customHeight="1">
      <x:c r="A9" s="20" t="str">
        <x:v>DZA|European Union</x:v>
      </x:c>
      <x:c r="B9" s="20" t="str">
        <x:v>Algeria</x:v>
      </x:c>
      <x:c r="C9" s="20" t="str">
        <x:v>People's Democratic Republic of Algeria</x:v>
      </x:c>
      <x:c r="D9" s="20" t="str">
        <x:v>DZ</x:v>
      </x:c>
      <x:c r="E9" s="20" t="str">
        <x:v>DZA</x:v>
      </x:c>
      <x:c r="F9" s="20" t="str">
        <x:v>012</x:v>
      </x:c>
      <x:c r="G9" s="20" t="str">
        <x:v>Africa</x:v>
      </x:c>
      <x:c r="H9" s="20" t="str">
        <x:v>Northern Africa</x:v>
      </x:c>
      <x:c r="I9" s="20" t="str">
        <x:v>European Union</x:v>
      </x:c>
      <x:c r="J9" s="20" t="str">
        <x:v>EU influence</x:v>
      </x:c>
      <x:c r="K9" s="384" t="n">
        <x:v>3</x:v>
      </x:c>
      <x:c r="L9" s="396" t="n">
        <x:v>3</x:v>
      </x:c>
      <x:c r="M9" s="397" t="str">
        <x:v>https://www.eeas.europa.eu/eeas/public-diplomacy_en</x:v>
      </x:c>
      <x:c r="N9" s="384" t="n">
        <x:v>0</x:v>
      </x:c>
      <x:c r="O9" s="396" t="n">
        <x:v>1</x:v>
      </x:c>
      <x:c r="P9" s="397" t="str">
        <x:v>https://www.eeas.europa.eu/eeas/missions-and-operations_en</x:v>
      </x:c>
      <x:c r="Q9" s="384" t="n">
        <x:v>1</x:v>
      </x:c>
      <x:c r="R9" s="396" t="n">
        <x:v>2</x:v>
      </x:c>
      <x:c r="S9" s="397" t="str">
        <x:v>https://www.eeas.europa.eu/eeas/eu-election-observation-missions-1_en?page_lang=en</x:v>
      </x:c>
      <x:c r="T9" s="384" t="n">
        <x:v>2</x:v>
      </x:c>
      <x:c r="U9" s="396" t="n">
        <x:v>2</x:v>
      </x:c>
      <x:c r="V9" s="397" t="str">
        <x:v>https://www.eeas.europa.eu/eeas/missions-and-operations_en</x:v>
      </x:c>
      <x:c r="W9" s="385" t="n">
        <x:f>(--(M9&lt;&gt;"")+--(P9&lt;&gt;"")+--(S9&lt;&gt;"")+--(V9&lt;&gt;""))/4</x:f>
        <x:v>1</x:v>
      </x:c>
      <x:c r="X9" s="384" t="n">
        <x:f>IF(COUNT(K9,N9,Q9,T9)=0,"No data",(IF(ISNUMBER(K9),K9*Factor_Model!$B$4,0)+IF(ISNUMBER(N9),N9*Factor_Model!$B$5,0)+IF(ISNUMBER(Q9),Q9*Factor_Model!$B$6,0)+IF(ISNUMBER(T9),T9*Factor_Model!$B$7,0))/(IF(ISNUMBER(K9),Factor_Model!$B$4,0)+IF(ISNUMBER(N9),Factor_Model!$B$5,0)+IF(ISNUMBER(Q9),Factor_Model!$B$6,0)+IF(ISNUMBER(T9),Factor_Model!$B$7,0)))</x:f>
        <x:v>1.5</x:v>
      </x:c>
      <x:c r="Y9" s="20" t="str">
        <x:f>IF(W9=0,"No source",IF(W9&lt;1,"Partial source","Source-complete"))</x:f>
        <x:v>Source-complete</x:v>
      </x:c>
      <x:c r="Z9" s="20" t="str">
        <x:v>Automated screening pass: row uses a primary source URL by actor/subfactor; verify with country-specific evidence before final analytical use.</x:v>
      </x:c>
      <x:c r="AA9" s="20" t="str">
        <x:v>2026-05-20</x:v>
      </x:c>
      <x:c r="AB9" s="20" t="str">
        <x:v>GPT-5.5 Pro</x:v>
      </x:c>
    </x:row>
    <x:row r="10" ht="24" customHeight="1">
      <x:c r="A10" s="20" t="str">
        <x:v>ARG|Russia</x:v>
      </x:c>
      <x:c r="B10" s="20" t="str">
        <x:v>Argentina</x:v>
      </x:c>
      <x:c r="C10" s="20" t="str">
        <x:v>Argentine Republic</x:v>
      </x:c>
      <x:c r="D10" s="20" t="str">
        <x:v>AR</x:v>
      </x:c>
      <x:c r="E10" s="20" t="str">
        <x:v>ARG</x:v>
      </x:c>
      <x:c r="F10" s="20" t="str">
        <x:v>032</x:v>
      </x:c>
      <x:c r="G10" s="20" t="str">
        <x:v>Americas</x:v>
      </x:c>
      <x:c r="H10" s="20" t="str">
        <x:v>South America</x:v>
      </x:c>
      <x:c r="I10" s="20" t="str">
        <x:v>Russia</x:v>
      </x:c>
      <x:c r="J10" s="20" t="str">
        <x:v>Russian influence</x:v>
      </x:c>
      <x:c r="K10" s="384" t="n">
        <x:v>3</x:v>
      </x:c>
      <x:c r="L10" s="396" t="n">
        <x:v>3</x:v>
      </x:c>
      <x:c r="M10" s="397" t="str">
        <x:v>https://www.eeas.europa.eu/eeas/4th-eeas-annual-report-foreign-information-manipulation-and-interference-threats_en</x:v>
      </x:c>
      <x:c r="N10" s="384" t="n">
        <x:v>0</x:v>
      </x:c>
      <x:c r="O10" s="396" t="n">
        <x:v>1</x:v>
      </x:c>
      <x:c r="P10" s="397" t="str">
        <x:v>https://www.consilium.europa.eu/en/press/press-releases/2023/02/25/wagner-group-council-adds-11-individuals-and-7-entities-to-eu-sanctions-lists/</x:v>
      </x:c>
      <x:c r="Q10" s="384" t="n">
        <x:v>2</x:v>
      </x:c>
      <x:c r="R10" s="396" t="n">
        <x:v>2</x:v>
      </x:c>
      <x:c r="S10" s="397" t="str">
        <x:v>https://www.dni.gov/files/ODNI/documents/assessments/ATA-2026-Unclassified-Report.pdf</x:v>
      </x:c>
      <x:c r="T10" s="384" t="n">
        <x:v>0</x:v>
      </x:c>
      <x:c r="U10" s="396" t="n">
        <x:v>1</x:v>
      </x:c>
      <x:c r="V10" s="397" t="str">
        <x:v>https://www.consilium.europa.eu/en/press/press-releases/2023/02/25/wagner-group-council-adds-11-individuals-and-7-entities-to-eu-sanctions-lists/</x:v>
      </x:c>
      <x:c r="W10" s="385" t="n">
        <x:f>(--(M10&lt;&gt;"")+--(P10&lt;&gt;"")+--(S10&lt;&gt;"")+--(V10&lt;&gt;""))/4</x:f>
        <x:v>1</x:v>
      </x:c>
      <x:c r="X10" s="384" t="n">
        <x:f>IF(COUNT(K10,N10,Q10,T10)=0,"No data",(IF(ISNUMBER(K10),K10*Factor_Model!$B$4,0)+IF(ISNUMBER(N10),N10*Factor_Model!$B$5,0)+IF(ISNUMBER(Q10),Q10*Factor_Model!$B$6,0)+IF(ISNUMBER(T10),T10*Factor_Model!$B$7,0))/(IF(ISNUMBER(K10),Factor_Model!$B$4,0)+IF(ISNUMBER(N10),Factor_Model!$B$5,0)+IF(ISNUMBER(Q10),Factor_Model!$B$6,0)+IF(ISNUMBER(T10),Factor_Model!$B$7,0)))</x:f>
        <x:v>1.25</x:v>
      </x:c>
      <x:c r="Y10" s="20" t="str">
        <x:f>IF(W10=0,"No source",IF(W10&lt;1,"Partial source","Source-complete"))</x:f>
        <x:v>Source-complete</x:v>
      </x:c>
      <x:c r="Z10" s="20" t="str">
        <x:v>Automated screening pass: row uses a primary source URL by actor/subfactor; verify with country-specific evidence before final analytical use.</x:v>
      </x:c>
      <x:c r="AA10" s="20" t="str">
        <x:v>2026-05-20</x:v>
      </x:c>
      <x:c r="AB10" s="20" t="str">
        <x:v>GPT-5.5 Pro</x:v>
      </x:c>
    </x:row>
    <x:row r="11" ht="24" customHeight="1">
      <x:c r="A11" s="20" t="str">
        <x:v>ARG|China</x:v>
      </x:c>
      <x:c r="B11" s="20" t="str">
        <x:v>Argentina</x:v>
      </x:c>
      <x:c r="C11" s="20" t="str">
        <x:v>Argentine Republic</x:v>
      </x:c>
      <x:c r="D11" s="20" t="str">
        <x:v>AR</x:v>
      </x:c>
      <x:c r="E11" s="20" t="str">
        <x:v>ARG</x:v>
      </x:c>
      <x:c r="F11" s="20" t="str">
        <x:v>032</x:v>
      </x:c>
      <x:c r="G11" s="20" t="str">
        <x:v>Americas</x:v>
      </x:c>
      <x:c r="H11" s="20" t="str">
        <x:v>South America</x:v>
      </x:c>
      <x:c r="I11" s="20" t="str">
        <x:v>China</x:v>
      </x:c>
      <x:c r="J11" s="20" t="str">
        <x:v>Chinese influence</x:v>
      </x:c>
      <x:c r="K11" s="384" t="n">
        <x:v>4</x:v>
      </x:c>
      <x:c r="L11" s="396" t="n">
        <x:v>3</x:v>
      </x:c>
      <x:c r="M11" s="397" t="str">
        <x:v>https://www.eeas.europa.eu/eeas/4th-eeas-annual-report-foreign-information-manipulation-and-interference-threats_en</x:v>
      </x:c>
      <x:c r="N11" s="384" t="n">
        <x:v>0</x:v>
      </x:c>
      <x:c r="O11" s="396" t="n">
        <x:v>1</x:v>
      </x:c>
      <x:c r="P11" s="397" t="str">
        <x:v>https://merics.org/en/report/guardians-belt-and-road</x:v>
      </x:c>
      <x:c r="Q11" s="384" t="n">
        <x:v>2</x:v>
      </x:c>
      <x:c r="R11" s="396" t="n">
        <x:v>2</x:v>
      </x:c>
      <x:c r="S11" s="397" t="str">
        <x:v>https://www.eeas.europa.eu/eeas/4th-eeas-annual-report-foreign-information-manipulation-and-interference-threats_en</x:v>
      </x:c>
      <x:c r="T11" s="384" t="n">
        <x:v>0</x:v>
      </x:c>
      <x:c r="U11" s="396" t="n">
        <x:v>1</x:v>
      </x:c>
      <x:c r="V11" s="397" t="str">
        <x:v>https://merics.org/en/report/guardians-belt-and-road</x:v>
      </x:c>
      <x:c r="W11" s="385" t="n">
        <x:f>(--(M11&lt;&gt;"")+--(P11&lt;&gt;"")+--(S11&lt;&gt;"")+--(V11&lt;&gt;""))/4</x:f>
        <x:v>1</x:v>
      </x:c>
      <x:c r="X11" s="384" t="n">
        <x:f>IF(COUNT(K11,N11,Q11,T11)=0,"No data",(IF(ISNUMBER(K11),K11*Factor_Model!$B$4,0)+IF(ISNUMBER(N11),N11*Factor_Model!$B$5,0)+IF(ISNUMBER(Q11),Q11*Factor_Model!$B$6,0)+IF(ISNUMBER(T11),T11*Factor_Model!$B$7,0))/(IF(ISNUMBER(K11),Factor_Model!$B$4,0)+IF(ISNUMBER(N11),Factor_Model!$B$5,0)+IF(ISNUMBER(Q11),Factor_Model!$B$6,0)+IF(ISNUMBER(T11),Factor_Model!$B$7,0)))</x:f>
        <x:v>1.5</x:v>
      </x:c>
      <x:c r="Y11" s="20" t="str">
        <x:f>IF(W11=0,"No source",IF(W11&lt;1,"Partial source","Source-complete"))</x:f>
        <x:v>Source-complete</x:v>
      </x:c>
      <x:c r="Z11" s="20" t="str">
        <x:v>Automated screening pass: row uses a primary source URL by actor/subfactor; verify with country-specific evidence before final analytical use.</x:v>
      </x:c>
      <x:c r="AA11" s="20" t="str">
        <x:v>2026-05-20</x:v>
      </x:c>
      <x:c r="AB11" s="20" t="str">
        <x:v>GPT-5.5 Pro</x:v>
      </x:c>
    </x:row>
    <x:row r="12" ht="24" customHeight="1">
      <x:c r="A12" s="20" t="str">
        <x:v>ARG|United States</x:v>
      </x:c>
      <x:c r="B12" s="20" t="str">
        <x:v>Argentina</x:v>
      </x:c>
      <x:c r="C12" s="20" t="str">
        <x:v>Argentine Republic</x:v>
      </x:c>
      <x:c r="D12" s="20" t="str">
        <x:v>AR</x:v>
      </x:c>
      <x:c r="E12" s="20" t="str">
        <x:v>ARG</x:v>
      </x:c>
      <x:c r="F12" s="20" t="str">
        <x:v>032</x:v>
      </x:c>
      <x:c r="G12" s="20" t="str">
        <x:v>Americas</x:v>
      </x:c>
      <x:c r="H12" s="20" t="str">
        <x:v>South America</x:v>
      </x:c>
      <x:c r="I12" s="20" t="str">
        <x:v>United States</x:v>
      </x:c>
      <x:c r="J12" s="20" t="str">
        <x:v>American influence</x:v>
      </x:c>
      <x:c r="K12" s="384" t="n">
        <x:v>3</x:v>
      </x:c>
      <x:c r="L12" s="396" t="n">
        <x:v>3</x:v>
      </x:c>
      <x:c r="M12" s="397" t="str">
        <x:v>https://www.usagm.gov/our-work/strategy-and-results/strategic-priorities/research-reports/</x:v>
      </x:c>
      <x:c r="N12" s="384" t="n">
        <x:v>2</x:v>
      </x:c>
      <x:c r="O12" s="396" t="n">
        <x:v>2</x:v>
      </x:c>
      <x:c r="P12" s="397" t="str">
        <x:v>https://internationalpolicy.org/programs/sam/</x:v>
      </x:c>
      <x:c r="Q12" s="384" t="n">
        <x:v>2</x:v>
      </x:c>
      <x:c r="R12" s="396" t="n">
        <x:v>2</x:v>
      </x:c>
      <x:c r="S12" s="397" t="str">
        <x:v>https://www.ned.org/ned-grantmaking/</x:v>
      </x:c>
      <x:c r="T12" s="384" t="n">
        <x:v>4</x:v>
      </x:c>
      <x:c r="U12" s="396" t="n">
        <x:v>3</x:v>
      </x:c>
      <x:c r="V12" s="397" t="str">
        <x:v>https://internationalpolicy.org/programs/sam/</x:v>
      </x:c>
      <x:c r="W12" s="385" t="n">
        <x:f>(--(M12&lt;&gt;"")+--(P12&lt;&gt;"")+--(S12&lt;&gt;"")+--(V12&lt;&gt;""))/4</x:f>
        <x:v>1</x:v>
      </x:c>
      <x:c r="X12" s="384" t="n">
        <x:f>IF(COUNT(K12,N12,Q12,T12)=0,"No data",(IF(ISNUMBER(K12),K12*Factor_Model!$B$4,0)+IF(ISNUMBER(N12),N12*Factor_Model!$B$5,0)+IF(ISNUMBER(Q12),Q12*Factor_Model!$B$6,0)+IF(ISNUMBER(T12),T12*Factor_Model!$B$7,0))/(IF(ISNUMBER(K12),Factor_Model!$B$4,0)+IF(ISNUMBER(N12),Factor_Model!$B$5,0)+IF(ISNUMBER(Q12),Factor_Model!$B$6,0)+IF(ISNUMBER(T12),Factor_Model!$B$7,0)))</x:f>
        <x:v>2.75</x:v>
      </x:c>
      <x:c r="Y12" s="20" t="str">
        <x:f>IF(W12=0,"No source",IF(W12&lt;1,"Partial source","Source-complete"))</x:f>
        <x:v>Source-complete</x:v>
      </x:c>
      <x:c r="Z12" s="20" t="str">
        <x:v>Automated screening pass: row uses a primary source URL by actor/subfactor; verify with country-specific evidence before final analytical use.</x:v>
      </x:c>
      <x:c r="AA12" s="20" t="str">
        <x:v>2026-05-20</x:v>
      </x:c>
      <x:c r="AB12" s="20" t="str">
        <x:v>GPT-5.5 Pro</x:v>
      </x:c>
    </x:row>
    <x:row r="13" ht="24" customHeight="1">
      <x:c r="A13" s="20" t="str">
        <x:v>ARG|European Union</x:v>
      </x:c>
      <x:c r="B13" s="20" t="str">
        <x:v>Argentina</x:v>
      </x:c>
      <x:c r="C13" s="20" t="str">
        <x:v>Argentine Republic</x:v>
      </x:c>
      <x:c r="D13" s="20" t="str">
        <x:v>AR</x:v>
      </x:c>
      <x:c r="E13" s="20" t="str">
        <x:v>ARG</x:v>
      </x:c>
      <x:c r="F13" s="20" t="str">
        <x:v>032</x:v>
      </x:c>
      <x:c r="G13" s="20" t="str">
        <x:v>Americas</x:v>
      </x:c>
      <x:c r="H13" s="20" t="str">
        <x:v>South America</x:v>
      </x:c>
      <x:c r="I13" s="20" t="str">
        <x:v>European Union</x:v>
      </x:c>
      <x:c r="J13" s="20" t="str">
        <x:v>EU influence</x:v>
      </x:c>
      <x:c r="K13" s="384" t="n">
        <x:v>3</x:v>
      </x:c>
      <x:c r="L13" s="396" t="n">
        <x:v>3</x:v>
      </x:c>
      <x:c r="M13" s="397" t="str">
        <x:v>https://www.eeas.europa.eu/eeas/public-diplomacy_en</x:v>
      </x:c>
      <x:c r="N13" s="384" t="n">
        <x:v>0</x:v>
      </x:c>
      <x:c r="O13" s="396" t="n">
        <x:v>1</x:v>
      </x:c>
      <x:c r="P13" s="397" t="str">
        <x:v>https://www.eeas.europa.eu/eeas/missions-and-operations_en</x:v>
      </x:c>
      <x:c r="Q13" s="384" t="n">
        <x:v>1</x:v>
      </x:c>
      <x:c r="R13" s="396" t="n">
        <x:v>2</x:v>
      </x:c>
      <x:c r="S13" s="397" t="str">
        <x:v>https://www.eeas.europa.eu/eeas/eu-election-observation-missions-1_en?page_lang=en</x:v>
      </x:c>
      <x:c r="T13" s="384" t="n">
        <x:v>2</x:v>
      </x:c>
      <x:c r="U13" s="396" t="n">
        <x:v>2</x:v>
      </x:c>
      <x:c r="V13" s="397" t="str">
        <x:v>https://www.eeas.europa.eu/eeas/missions-and-operations_en</x:v>
      </x:c>
      <x:c r="W13" s="385" t="n">
        <x:f>(--(M13&lt;&gt;"")+--(P13&lt;&gt;"")+--(S13&lt;&gt;"")+--(V13&lt;&gt;""))/4</x:f>
        <x:v>1</x:v>
      </x:c>
      <x:c r="X13" s="384" t="n">
        <x:f>IF(COUNT(K13,N13,Q13,T13)=0,"No data",(IF(ISNUMBER(K13),K13*Factor_Model!$B$4,0)+IF(ISNUMBER(N13),N13*Factor_Model!$B$5,0)+IF(ISNUMBER(Q13),Q13*Factor_Model!$B$6,0)+IF(ISNUMBER(T13),T13*Factor_Model!$B$7,0))/(IF(ISNUMBER(K13),Factor_Model!$B$4,0)+IF(ISNUMBER(N13),Factor_Model!$B$5,0)+IF(ISNUMBER(Q13),Factor_Model!$B$6,0)+IF(ISNUMBER(T13),Factor_Model!$B$7,0)))</x:f>
        <x:v>1.5</x:v>
      </x:c>
      <x:c r="Y13" s="20" t="str">
        <x:f>IF(W13=0,"No source",IF(W13&lt;1,"Partial source","Source-complete"))</x:f>
        <x:v>Source-complete</x:v>
      </x:c>
      <x:c r="Z13" s="20" t="str">
        <x:v>Automated screening pass: row uses a primary source URL by actor/subfactor; verify with country-specific evidence before final analytical use.</x:v>
      </x:c>
      <x:c r="AA13" s="20" t="str">
        <x:v>2026-05-20</x:v>
      </x:c>
      <x:c r="AB13" s="20" t="str">
        <x:v>GPT-5.5 Pro</x:v>
      </x:c>
    </x:row>
    <x:row r="14" ht="24" customHeight="1">
      <x:c r="A14" s="20" t="str">
        <x:v>ARM|Russia</x:v>
      </x:c>
      <x:c r="B14" s="20" t="str">
        <x:v>Armenia</x:v>
      </x:c>
      <x:c r="C14" s="20" t="str">
        <x:v>Republic of Armenia</x:v>
      </x:c>
      <x:c r="D14" s="20" t="str">
        <x:v>AM</x:v>
      </x:c>
      <x:c r="E14" s="20" t="str">
        <x:v>ARM</x:v>
      </x:c>
      <x:c r="F14" s="20" t="str">
        <x:v>051</x:v>
      </x:c>
      <x:c r="G14" s="20" t="str">
        <x:v>Asia</x:v>
      </x:c>
      <x:c r="H14" s="20" t="str">
        <x:v>Western Asia</x:v>
      </x:c>
      <x:c r="I14" s="20" t="str">
        <x:v>Russia</x:v>
      </x:c>
      <x:c r="J14" s="20" t="str">
        <x:v>Russian influence</x:v>
      </x:c>
      <x:c r="K14" s="384" t="n">
        <x:v>7</x:v>
      </x:c>
      <x:c r="L14" s="396" t="n">
        <x:v>4</x:v>
      </x:c>
      <x:c r="M14" s="397" t="str">
        <x:v>https://www.eeas.europa.eu/eeas/4th-eeas-annual-report-foreign-information-manipulation-and-interference-threats_en</x:v>
      </x:c>
      <x:c r="N14" s="384" t="n">
        <x:v>0</x:v>
      </x:c>
      <x:c r="O14" s="396" t="n">
        <x:v>1</x:v>
      </x:c>
      <x:c r="P14" s="397" t="str">
        <x:v>https://www.consilium.europa.eu/en/press/press-releases/2023/02/25/wagner-group-council-adds-11-individuals-and-7-entities-to-eu-sanctions-lists/</x:v>
      </x:c>
      <x:c r="Q14" s="384" t="n">
        <x:v>0</x:v>
      </x:c>
      <x:c r="R14" s="396" t="n">
        <x:v>1</x:v>
      </x:c>
      <x:c r="S14" s="397" t="str">
        <x:v>https://www.dni.gov/files/ODNI/documents/assessments/ATA-2026-Unclassified-Report.pdf</x:v>
      </x:c>
      <x:c r="T14" s="384" t="n">
        <x:v>0</x:v>
      </x:c>
      <x:c r="U14" s="396" t="n">
        <x:v>1</x:v>
      </x:c>
      <x:c r="V14" s="397" t="str">
        <x:v>https://www.consilium.europa.eu/en/press/press-releases/2023/02/25/wagner-group-council-adds-11-individuals-and-7-entities-to-eu-sanctions-lists/</x:v>
      </x:c>
      <x:c r="W14" s="385" t="n">
        <x:f>(--(M14&lt;&gt;"")+--(P14&lt;&gt;"")+--(S14&lt;&gt;"")+--(V14&lt;&gt;""))/4</x:f>
        <x:v>1</x:v>
      </x:c>
      <x:c r="X14" s="384" t="n">
        <x:f>IF(COUNT(K14,N14,Q14,T14)=0,"No data",(IF(ISNUMBER(K14),K14*Factor_Model!$B$4,0)+IF(ISNUMBER(N14),N14*Factor_Model!$B$5,0)+IF(ISNUMBER(Q14),Q14*Factor_Model!$B$6,0)+IF(ISNUMBER(T14),T14*Factor_Model!$B$7,0))/(IF(ISNUMBER(K14),Factor_Model!$B$4,0)+IF(ISNUMBER(N14),Factor_Model!$B$5,0)+IF(ISNUMBER(Q14),Factor_Model!$B$6,0)+IF(ISNUMBER(T14),Factor_Model!$B$7,0)))</x:f>
        <x:v>1.75</x:v>
      </x:c>
      <x:c r="Y14" s="20" t="str">
        <x:f>IF(W14=0,"No source",IF(W14&lt;1,"Partial source","Source-complete"))</x:f>
        <x:v>Source-complete</x:v>
      </x:c>
      <x:c r="Z14" s="20" t="str">
        <x:v>Automated screening pass: row uses a primary source URL by actor/subfactor; verify with country-specific evidence before final analytical use.</x:v>
      </x:c>
      <x:c r="AA14" s="20" t="str">
        <x:v>2026-05-20</x:v>
      </x:c>
      <x:c r="AB14" s="20" t="str">
        <x:v>GPT-5.5 Pro</x:v>
      </x:c>
    </x:row>
    <x:row r="15" ht="24" customHeight="1">
      <x:c r="A15" s="20" t="str">
        <x:v>ARM|China</x:v>
      </x:c>
      <x:c r="B15" s="20" t="str">
        <x:v>Armenia</x:v>
      </x:c>
      <x:c r="C15" s="20" t="str">
        <x:v>Republic of Armenia</x:v>
      </x:c>
      <x:c r="D15" s="20" t="str">
        <x:v>AM</x:v>
      </x:c>
      <x:c r="E15" s="20" t="str">
        <x:v>ARM</x:v>
      </x:c>
      <x:c r="F15" s="20" t="str">
        <x:v>051</x:v>
      </x:c>
      <x:c r="G15" s="20" t="str">
        <x:v>Asia</x:v>
      </x:c>
      <x:c r="H15" s="20" t="str">
        <x:v>Western Asia</x:v>
      </x:c>
      <x:c r="I15" s="20" t="str">
        <x:v>China</x:v>
      </x:c>
      <x:c r="J15" s="20" t="str">
        <x:v>Chinese influence</x:v>
      </x:c>
      <x:c r="K15" s="384" t="n">
        <x:v>3</x:v>
      </x:c>
      <x:c r="L15" s="396" t="n">
        <x:v>3</x:v>
      </x:c>
      <x:c r="M15" s="397" t="str">
        <x:v>https://www.eeas.europa.eu/eeas/4th-eeas-annual-report-foreign-information-manipulation-and-interference-threats_en</x:v>
      </x:c>
      <x:c r="N15" s="384" t="n">
        <x:v>0</x:v>
      </x:c>
      <x:c r="O15" s="396" t="n">
        <x:v>1</x:v>
      </x:c>
      <x:c r="P15" s="397" t="str">
        <x:v>https://merics.org/en/report/guardians-belt-and-road</x:v>
      </x:c>
      <x:c r="Q15" s="384" t="n">
        <x:v>1</x:v>
      </x:c>
      <x:c r="R15" s="396" t="n">
        <x:v>2</x:v>
      </x:c>
      <x:c r="S15" s="397" t="str">
        <x:v>https://www.eeas.europa.eu/eeas/4th-eeas-annual-report-foreign-information-manipulation-and-interference-threats_en</x:v>
      </x:c>
      <x:c r="T15" s="384" t="n">
        <x:v>1</x:v>
      </x:c>
      <x:c r="U15" s="396" t="n">
        <x:v>2</x:v>
      </x:c>
      <x:c r="V15" s="397" t="str">
        <x:v>https://merics.org/en/report/guardians-belt-and-road</x:v>
      </x:c>
      <x:c r="W15" s="385" t="n">
        <x:f>(--(M15&lt;&gt;"")+--(P15&lt;&gt;"")+--(S15&lt;&gt;"")+--(V15&lt;&gt;""))/4</x:f>
        <x:v>1</x:v>
      </x:c>
      <x:c r="X15" s="384" t="n">
        <x:f>IF(COUNT(K15,N15,Q15,T15)=0,"No data",(IF(ISNUMBER(K15),K15*Factor_Model!$B$4,0)+IF(ISNUMBER(N15),N15*Factor_Model!$B$5,0)+IF(ISNUMBER(Q15),Q15*Factor_Model!$B$6,0)+IF(ISNUMBER(T15),T15*Factor_Model!$B$7,0))/(IF(ISNUMBER(K15),Factor_Model!$B$4,0)+IF(ISNUMBER(N15),Factor_Model!$B$5,0)+IF(ISNUMBER(Q15),Factor_Model!$B$6,0)+IF(ISNUMBER(T15),Factor_Model!$B$7,0)))</x:f>
        <x:v>1.25</x:v>
      </x:c>
      <x:c r="Y15" s="20" t="str">
        <x:f>IF(W15=0,"No source",IF(W15&lt;1,"Partial source","Source-complete"))</x:f>
        <x:v>Source-complete</x:v>
      </x:c>
      <x:c r="Z15" s="20" t="str">
        <x:v>Automated screening pass: row uses a primary source URL by actor/subfactor; verify with country-specific evidence before final analytical use.</x:v>
      </x:c>
      <x:c r="AA15" s="20" t="str">
        <x:v>2026-05-20</x:v>
      </x:c>
      <x:c r="AB15" s="20" t="str">
        <x:v>GPT-5.5 Pro</x:v>
      </x:c>
    </x:row>
    <x:row r="16" ht="24" customHeight="1">
      <x:c r="A16" s="20" t="str">
        <x:v>ARM|United States</x:v>
      </x:c>
      <x:c r="B16" s="20" t="str">
        <x:v>Armenia</x:v>
      </x:c>
      <x:c r="C16" s="20" t="str">
        <x:v>Republic of Armenia</x:v>
      </x:c>
      <x:c r="D16" s="20" t="str">
        <x:v>AM</x:v>
      </x:c>
      <x:c r="E16" s="20" t="str">
        <x:v>ARM</x:v>
      </x:c>
      <x:c r="F16" s="20" t="str">
        <x:v>051</x:v>
      </x:c>
      <x:c r="G16" s="20" t="str">
        <x:v>Asia</x:v>
      </x:c>
      <x:c r="H16" s="20" t="str">
        <x:v>Western Asia</x:v>
      </x:c>
      <x:c r="I16" s="20" t="str">
        <x:v>United States</x:v>
      </x:c>
      <x:c r="J16" s="20" t="str">
        <x:v>American influence</x:v>
      </x:c>
      <x:c r="K16" s="384" t="n">
        <x:v>6</x:v>
      </x:c>
      <x:c r="L16" s="396" t="n">
        <x:v>4</x:v>
      </x:c>
      <x:c r="M16" s="397" t="str">
        <x:v>https://www.usagm.gov/our-work/strategy-and-results/strategic-priorities/research-reports/</x:v>
      </x:c>
      <x:c r="N16" s="384" t="n">
        <x:v>1</x:v>
      </x:c>
      <x:c r="O16" s="396" t="n">
        <x:v>2</x:v>
      </x:c>
      <x:c r="P16" s="397" t="str">
        <x:v>https://internationalpolicy.org/programs/sam/</x:v>
      </x:c>
      <x:c r="Q16" s="384" t="n">
        <x:v>3</x:v>
      </x:c>
      <x:c r="R16" s="396" t="n">
        <x:v>3</x:v>
      </x:c>
      <x:c r="S16" s="397" t="str">
        <x:v>https://www.ned.org/ned-grantmaking/</x:v>
      </x:c>
      <x:c r="T16" s="384" t="n">
        <x:v>2</x:v>
      </x:c>
      <x:c r="U16" s="396" t="n">
        <x:v>2</x:v>
      </x:c>
      <x:c r="V16" s="397" t="str">
        <x:v>https://internationalpolicy.org/programs/sam/</x:v>
      </x:c>
      <x:c r="W16" s="385" t="n">
        <x:f>(--(M16&lt;&gt;"")+--(P16&lt;&gt;"")+--(S16&lt;&gt;"")+--(V16&lt;&gt;""))/4</x:f>
        <x:v>1</x:v>
      </x:c>
      <x:c r="X16" s="384" t="n">
        <x:f>IF(COUNT(K16,N16,Q16,T16)=0,"No data",(IF(ISNUMBER(K16),K16*Factor_Model!$B$4,0)+IF(ISNUMBER(N16),N16*Factor_Model!$B$5,0)+IF(ISNUMBER(Q16),Q16*Factor_Model!$B$6,0)+IF(ISNUMBER(T16),T16*Factor_Model!$B$7,0))/(IF(ISNUMBER(K16),Factor_Model!$B$4,0)+IF(ISNUMBER(N16),Factor_Model!$B$5,0)+IF(ISNUMBER(Q16),Factor_Model!$B$6,0)+IF(ISNUMBER(T16),Factor_Model!$B$7,0)))</x:f>
        <x:v>3</x:v>
      </x:c>
      <x:c r="Y16" s="20" t="str">
        <x:f>IF(W16=0,"No source",IF(W16&lt;1,"Partial source","Source-complete"))</x:f>
        <x:v>Source-complete</x:v>
      </x:c>
      <x:c r="Z16" s="20" t="str">
        <x:v>Automated screening pass: row uses a primary source URL by actor/subfactor; verify with country-specific evidence before final analytical use.</x:v>
      </x:c>
      <x:c r="AA16" s="20" t="str">
        <x:v>2026-05-20</x:v>
      </x:c>
      <x:c r="AB16" s="20" t="str">
        <x:v>GPT-5.5 Pro</x:v>
      </x:c>
    </x:row>
    <x:row r="17" ht="24" customHeight="1">
      <x:c r="A17" s="20" t="str">
        <x:v>ARM|European Union</x:v>
      </x:c>
      <x:c r="B17" s="20" t="str">
        <x:v>Armenia</x:v>
      </x:c>
      <x:c r="C17" s="20" t="str">
        <x:v>Republic of Armenia</x:v>
      </x:c>
      <x:c r="D17" s="20" t="str">
        <x:v>AM</x:v>
      </x:c>
      <x:c r="E17" s="20" t="str">
        <x:v>ARM</x:v>
      </x:c>
      <x:c r="F17" s="20" t="str">
        <x:v>051</x:v>
      </x:c>
      <x:c r="G17" s="20" t="str">
        <x:v>Asia</x:v>
      </x:c>
      <x:c r="H17" s="20" t="str">
        <x:v>Western Asia</x:v>
      </x:c>
      <x:c r="I17" s="20" t="str">
        <x:v>European Union</x:v>
      </x:c>
      <x:c r="J17" s="20" t="str">
        <x:v>EU influence</x:v>
      </x:c>
      <x:c r="K17" s="384" t="n">
        <x:v>7</x:v>
      </x:c>
      <x:c r="L17" s="396" t="n">
        <x:v>4</x:v>
      </x:c>
      <x:c r="M17" s="397" t="str">
        <x:v>https://www.eeas.europa.eu/eeas/public-diplomacy_en</x:v>
      </x:c>
      <x:c r="N17" s="384" t="n">
        <x:v>1</x:v>
      </x:c>
      <x:c r="O17" s="396" t="n">
        <x:v>2</x:v>
      </x:c>
      <x:c r="P17" s="397" t="str">
        <x:v>https://www.eeas.europa.eu/eeas/missions-and-operations_en</x:v>
      </x:c>
      <x:c r="Q17" s="384" t="n">
        <x:v>3</x:v>
      </x:c>
      <x:c r="R17" s="396" t="n">
        <x:v>3</x:v>
      </x:c>
      <x:c r="S17" s="397" t="str">
        <x:v>https://www.eeas.europa.eu/eeas/eu-election-observation-missions-1_en?page_lang=en</x:v>
      </x:c>
      <x:c r="T17" s="384" t="n">
        <x:v>5</x:v>
      </x:c>
      <x:c r="U17" s="396" t="n">
        <x:v>3</x:v>
      </x:c>
      <x:c r="V17" s="397" t="str">
        <x:v>https://www.eeas.europa.eu/eeas/missions-and-operations_en</x:v>
      </x:c>
      <x:c r="W17" s="385" t="n">
        <x:f>(--(M17&lt;&gt;"")+--(P17&lt;&gt;"")+--(S17&lt;&gt;"")+--(V17&lt;&gt;""))/4</x:f>
        <x:v>1</x:v>
      </x:c>
      <x:c r="X17" s="384" t="n">
        <x:f>IF(COUNT(K17,N17,Q17,T17)=0,"No data",(IF(ISNUMBER(K17),K17*Factor_Model!$B$4,0)+IF(ISNUMBER(N17),N17*Factor_Model!$B$5,0)+IF(ISNUMBER(Q17),Q17*Factor_Model!$B$6,0)+IF(ISNUMBER(T17),T17*Factor_Model!$B$7,0))/(IF(ISNUMBER(K17),Factor_Model!$B$4,0)+IF(ISNUMBER(N17),Factor_Model!$B$5,0)+IF(ISNUMBER(Q17),Factor_Model!$B$6,0)+IF(ISNUMBER(T17),Factor_Model!$B$7,0)))</x:f>
        <x:v>4</x:v>
      </x:c>
      <x:c r="Y17" s="20" t="str">
        <x:f>IF(W17=0,"No source",IF(W17&lt;1,"Partial source","Source-complete"))</x:f>
        <x:v>Source-complete</x:v>
      </x:c>
      <x:c r="Z17" s="20" t="str">
        <x:v>Automated screening pass: row uses a primary source URL by actor/subfactor; verify with country-specific evidence before final analytical use.</x:v>
      </x:c>
      <x:c r="AA17" s="20" t="str">
        <x:v>2026-05-20</x:v>
      </x:c>
      <x:c r="AB17" s="20" t="str">
        <x:v>GPT-5.5 Pro</x:v>
      </x:c>
    </x:row>
    <x:row r="18" ht="24" customHeight="1">
      <x:c r="A18" s="20" t="str">
        <x:v>AUS|Russia</x:v>
      </x:c>
      <x:c r="B18" s="20" t="str">
        <x:v>Australia</x:v>
      </x:c>
      <x:c r="C18" s="20"/>
      <x:c r="D18" s="20" t="str">
        <x:v>AU</x:v>
      </x:c>
      <x:c r="E18" s="20" t="str">
        <x:v>AUS</x:v>
      </x:c>
      <x:c r="F18" s="20" t="str">
        <x:v>036</x:v>
      </x:c>
      <x:c r="G18" s="20" t="str">
        <x:v>Oceania</x:v>
      </x:c>
      <x:c r="H18" s="20" t="str">
        <x:v>Australia and New Zealand</x:v>
      </x:c>
      <x:c r="I18" s="20" t="str">
        <x:v>Russia</x:v>
      </x:c>
      <x:c r="J18" s="20" t="str">
        <x:v>Russian influence</x:v>
      </x:c>
      <x:c r="K18" s="384" t="n">
        <x:v>2</x:v>
      </x:c>
      <x:c r="L18" s="396" t="n">
        <x:v>2</x:v>
      </x:c>
      <x:c r="M18" s="397" t="str">
        <x:v>https://www.eeas.europa.eu/eeas/4th-eeas-annual-report-foreign-information-manipulation-and-interference-threats_en</x:v>
      </x:c>
      <x:c r="N18" s="384" t="n">
        <x:v>0</x:v>
      </x:c>
      <x:c r="O18" s="396" t="n">
        <x:v>1</x:v>
      </x:c>
      <x:c r="P18" s="397" t="str">
        <x:v>https://www.consilium.europa.eu/en/press/press-releases/2023/02/25/wagner-group-council-adds-11-individuals-and-7-entities-to-eu-sanctions-lists/</x:v>
      </x:c>
      <x:c r="Q18" s="384" t="n">
        <x:v>4</x:v>
      </x:c>
      <x:c r="R18" s="396" t="n">
        <x:v>3</x:v>
      </x:c>
      <x:c r="S18" s="397" t="str">
        <x:v>https://www.dni.gov/files/ODNI/documents/assessments/ATA-2026-Unclassified-Report.pdf</x:v>
      </x:c>
      <x:c r="T18" s="384" t="n">
        <x:v>0</x:v>
      </x:c>
      <x:c r="U18" s="396" t="n">
        <x:v>1</x:v>
      </x:c>
      <x:c r="V18" s="397" t="str">
        <x:v>https://www.consilium.europa.eu/en/press/press-releases/2023/02/25/wagner-group-council-adds-11-individuals-and-7-entities-to-eu-sanctions-lists/</x:v>
      </x:c>
      <x:c r="W18" s="385" t="n">
        <x:f>(--(M18&lt;&gt;"")+--(P18&lt;&gt;"")+--(S18&lt;&gt;"")+--(V18&lt;&gt;""))/4</x:f>
        <x:v>1</x:v>
      </x:c>
      <x:c r="X18" s="384" t="n">
        <x:f>IF(COUNT(K18,N18,Q18,T18)=0,"No data",(IF(ISNUMBER(K18),K18*Factor_Model!$B$4,0)+IF(ISNUMBER(N18),N18*Factor_Model!$B$5,0)+IF(ISNUMBER(Q18),Q18*Factor_Model!$B$6,0)+IF(ISNUMBER(T18),T18*Factor_Model!$B$7,0))/(IF(ISNUMBER(K18),Factor_Model!$B$4,0)+IF(ISNUMBER(N18),Factor_Model!$B$5,0)+IF(ISNUMBER(Q18),Factor_Model!$B$6,0)+IF(ISNUMBER(T18),Factor_Model!$B$7,0)))</x:f>
        <x:v>1.5</x:v>
      </x:c>
      <x:c r="Y18" s="20" t="str">
        <x:f>IF(W18=0,"No source",IF(W18&lt;1,"Partial source","Source-complete"))</x:f>
        <x:v>Source-complete</x:v>
      </x:c>
      <x:c r="Z18" s="20" t="str">
        <x:v>Automated screening pass: row uses a primary source URL by actor/subfactor; verify with country-specific evidence before final analytical use.</x:v>
      </x:c>
      <x:c r="AA18" s="20" t="str">
        <x:v>2026-05-20</x:v>
      </x:c>
      <x:c r="AB18" s="20" t="str">
        <x:v>GPT-5.5 Pro</x:v>
      </x:c>
    </x:row>
    <x:row r="19" ht="24" customHeight="1">
      <x:c r="A19" s="20" t="str">
        <x:v>AUS|China</x:v>
      </x:c>
      <x:c r="B19" s="20" t="str">
        <x:v>Australia</x:v>
      </x:c>
      <x:c r="C19" s="20"/>
      <x:c r="D19" s="20" t="str">
        <x:v>AU</x:v>
      </x:c>
      <x:c r="E19" s="20" t="str">
        <x:v>AUS</x:v>
      </x:c>
      <x:c r="F19" s="20" t="str">
        <x:v>036</x:v>
      </x:c>
      <x:c r="G19" s="20" t="str">
        <x:v>Oceania</x:v>
      </x:c>
      <x:c r="H19" s="20" t="str">
        <x:v>Australia and New Zealand</x:v>
      </x:c>
      <x:c r="I19" s="20" t="str">
        <x:v>China</x:v>
      </x:c>
      <x:c r="J19" s="20" t="str">
        <x:v>Chinese influence</x:v>
      </x:c>
      <x:c r="K19" s="384" t="n">
        <x:v>6</x:v>
      </x:c>
      <x:c r="L19" s="396" t="n">
        <x:v>4</x:v>
      </x:c>
      <x:c r="M19" s="397" t="str">
        <x:v>https://www.eeas.europa.eu/eeas/4th-eeas-annual-report-foreign-information-manipulation-and-interference-threats_en</x:v>
      </x:c>
      <x:c r="N19" s="384" t="n">
        <x:v>0</x:v>
      </x:c>
      <x:c r="O19" s="396" t="n">
        <x:v>1</x:v>
      </x:c>
      <x:c r="P19" s="397" t="str">
        <x:v>https://merics.org/en/report/guardians-belt-and-road</x:v>
      </x:c>
      <x:c r="Q19" s="384" t="n">
        <x:v>4</x:v>
      </x:c>
      <x:c r="R19" s="396" t="n">
        <x:v>3</x:v>
      </x:c>
      <x:c r="S19" s="397" t="str">
        <x:v>https://www.eeas.europa.eu/eeas/4th-eeas-annual-report-foreign-information-manipulation-and-interference-threats_en</x:v>
      </x:c>
      <x:c r="T19" s="384" t="n">
        <x:v>1</x:v>
      </x:c>
      <x:c r="U19" s="396" t="n">
        <x:v>2</x:v>
      </x:c>
      <x:c r="V19" s="397" t="str">
        <x:v>https://merics.org/en/report/guardians-belt-and-road</x:v>
      </x:c>
      <x:c r="W19" s="385" t="n">
        <x:f>(--(M19&lt;&gt;"")+--(P19&lt;&gt;"")+--(S19&lt;&gt;"")+--(V19&lt;&gt;""))/4</x:f>
        <x:v>1</x:v>
      </x:c>
      <x:c r="X19" s="384" t="n">
        <x:f>IF(COUNT(K19,N19,Q19,T19)=0,"No data",(IF(ISNUMBER(K19),K19*Factor_Model!$B$4,0)+IF(ISNUMBER(N19),N19*Factor_Model!$B$5,0)+IF(ISNUMBER(Q19),Q19*Factor_Model!$B$6,0)+IF(ISNUMBER(T19),T19*Factor_Model!$B$7,0))/(IF(ISNUMBER(K19),Factor_Model!$B$4,0)+IF(ISNUMBER(N19),Factor_Model!$B$5,0)+IF(ISNUMBER(Q19),Factor_Model!$B$6,0)+IF(ISNUMBER(T19),Factor_Model!$B$7,0)))</x:f>
        <x:v>2.75</x:v>
      </x:c>
      <x:c r="Y19" s="20" t="str">
        <x:f>IF(W19=0,"No source",IF(W19&lt;1,"Partial source","Source-complete"))</x:f>
        <x:v>Source-complete</x:v>
      </x:c>
      <x:c r="Z19" s="20" t="str">
        <x:v>Automated screening pass: row uses a primary source URL by actor/subfactor; verify with country-specific evidence before final analytical use.</x:v>
      </x:c>
      <x:c r="AA19" s="20" t="str">
        <x:v>2026-05-20</x:v>
      </x:c>
      <x:c r="AB19" s="20" t="str">
        <x:v>GPT-5.5 Pro</x:v>
      </x:c>
    </x:row>
    <x:row r="20" ht="24" customHeight="1">
      <x:c r="A20" s="20" t="str">
        <x:v>AUS|United States</x:v>
      </x:c>
      <x:c r="B20" s="20" t="str">
        <x:v>Australia</x:v>
      </x:c>
      <x:c r="C20" s="20"/>
      <x:c r="D20" s="20" t="str">
        <x:v>AU</x:v>
      </x:c>
      <x:c r="E20" s="20" t="str">
        <x:v>AUS</x:v>
      </x:c>
      <x:c r="F20" s="20" t="str">
        <x:v>036</x:v>
      </x:c>
      <x:c r="G20" s="20" t="str">
        <x:v>Oceania</x:v>
      </x:c>
      <x:c r="H20" s="20" t="str">
        <x:v>Australia and New Zealand</x:v>
      </x:c>
      <x:c r="I20" s="20" t="str">
        <x:v>United States</x:v>
      </x:c>
      <x:c r="J20" s="20" t="str">
        <x:v>American influence</x:v>
      </x:c>
      <x:c r="K20" s="384" t="n">
        <x:v>5</x:v>
      </x:c>
      <x:c r="L20" s="396" t="n">
        <x:v>3</x:v>
      </x:c>
      <x:c r="M20" s="397" t="str">
        <x:v>https://www.usagm.gov/our-work/strategy-and-results/strategic-priorities/research-reports/</x:v>
      </x:c>
      <x:c r="N20" s="384" t="n">
        <x:v>4</x:v>
      </x:c>
      <x:c r="O20" s="396" t="n">
        <x:v>3</x:v>
      </x:c>
      <x:c r="P20" s="397" t="str">
        <x:v>https://internationalpolicy.org/programs/sam/</x:v>
      </x:c>
      <x:c r="Q20" s="384" t="n">
        <x:v>1</x:v>
      </x:c>
      <x:c r="R20" s="396" t="n">
        <x:v>2</x:v>
      </x:c>
      <x:c r="S20" s="397" t="str">
        <x:v>https://www.ned.org/ned-grantmaking/</x:v>
      </x:c>
      <x:c r="T20" s="384" t="n">
        <x:v>7</x:v>
      </x:c>
      <x:c r="U20" s="396" t="n">
        <x:v>4</x:v>
      </x:c>
      <x:c r="V20" s="397" t="str">
        <x:v>https://internationalpolicy.org/programs/sam/</x:v>
      </x:c>
      <x:c r="W20" s="385" t="n">
        <x:f>(--(M20&lt;&gt;"")+--(P20&lt;&gt;"")+--(S20&lt;&gt;"")+--(V20&lt;&gt;""))/4</x:f>
        <x:v>1</x:v>
      </x:c>
      <x:c r="X20" s="384" t="n">
        <x:f>IF(COUNT(K20,N20,Q20,T20)=0,"No data",(IF(ISNUMBER(K20),K20*Factor_Model!$B$4,0)+IF(ISNUMBER(N20),N20*Factor_Model!$B$5,0)+IF(ISNUMBER(Q20),Q20*Factor_Model!$B$6,0)+IF(ISNUMBER(T20),T20*Factor_Model!$B$7,0))/(IF(ISNUMBER(K20),Factor_Model!$B$4,0)+IF(ISNUMBER(N20),Factor_Model!$B$5,0)+IF(ISNUMBER(Q20),Factor_Model!$B$6,0)+IF(ISNUMBER(T20),Factor_Model!$B$7,0)))</x:f>
        <x:v>4.25</x:v>
      </x:c>
      <x:c r="Y20" s="20" t="str">
        <x:f>IF(W20=0,"No source",IF(W20&lt;1,"Partial source","Source-complete"))</x:f>
        <x:v>Source-complete</x:v>
      </x:c>
      <x:c r="Z20" s="20" t="str">
        <x:v>Automated screening pass: row uses a primary source URL by actor/subfactor; verify with country-specific evidence before final analytical use.</x:v>
      </x:c>
      <x:c r="AA20" s="20" t="str">
        <x:v>2026-05-20</x:v>
      </x:c>
      <x:c r="AB20" s="20" t="str">
        <x:v>GPT-5.5 Pro</x:v>
      </x:c>
    </x:row>
    <x:row r="21" ht="24" customHeight="1">
      <x:c r="A21" s="20" t="str">
        <x:v>AUS|European Union</x:v>
      </x:c>
      <x:c r="B21" s="20" t="str">
        <x:v>Australia</x:v>
      </x:c>
      <x:c r="C21" s="20"/>
      <x:c r="D21" s="20" t="str">
        <x:v>AU</x:v>
      </x:c>
      <x:c r="E21" s="20" t="str">
        <x:v>AUS</x:v>
      </x:c>
      <x:c r="F21" s="20" t="str">
        <x:v>036</x:v>
      </x:c>
      <x:c r="G21" s="20" t="str">
        <x:v>Oceania</x:v>
      </x:c>
      <x:c r="H21" s="20" t="str">
        <x:v>Australia and New Zealand</x:v>
      </x:c>
      <x:c r="I21" s="20" t="str">
        <x:v>European Union</x:v>
      </x:c>
      <x:c r="J21" s="20" t="str">
        <x:v>EU influence</x:v>
      </x:c>
      <x:c r="K21" s="384" t="n">
        <x:v>3</x:v>
      </x:c>
      <x:c r="L21" s="396" t="n">
        <x:v>3</x:v>
      </x:c>
      <x:c r="M21" s="397" t="str">
        <x:v>https://www.eeas.europa.eu/eeas/public-diplomacy_en</x:v>
      </x:c>
      <x:c r="N21" s="384" t="n">
        <x:v>0</x:v>
      </x:c>
      <x:c r="O21" s="396" t="n">
        <x:v>1</x:v>
      </x:c>
      <x:c r="P21" s="397" t="str">
        <x:v>https://www.eeas.europa.eu/eeas/missions-and-operations_en</x:v>
      </x:c>
      <x:c r="Q21" s="384" t="n">
        <x:v>1</x:v>
      </x:c>
      <x:c r="R21" s="396" t="n">
        <x:v>2</x:v>
      </x:c>
      <x:c r="S21" s="397" t="str">
        <x:v>https://www.eeas.europa.eu/eeas/eu-election-observation-missions-1_en?page_lang=en</x:v>
      </x:c>
      <x:c r="T21" s="384" t="n">
        <x:v>3</x:v>
      </x:c>
      <x:c r="U21" s="396" t="n">
        <x:v>3</x:v>
      </x:c>
      <x:c r="V21" s="397" t="str">
        <x:v>https://www.eeas.europa.eu/eeas/missions-and-operations_en</x:v>
      </x:c>
      <x:c r="W21" s="385" t="n">
        <x:f>(--(M21&lt;&gt;"")+--(P21&lt;&gt;"")+--(S21&lt;&gt;"")+--(V21&lt;&gt;""))/4</x:f>
        <x:v>1</x:v>
      </x:c>
      <x:c r="X21" s="384" t="n">
        <x:f>IF(COUNT(K21,N21,Q21,T21)=0,"No data",(IF(ISNUMBER(K21),K21*Factor_Model!$B$4,0)+IF(ISNUMBER(N21),N21*Factor_Model!$B$5,0)+IF(ISNUMBER(Q21),Q21*Factor_Model!$B$6,0)+IF(ISNUMBER(T21),T21*Factor_Model!$B$7,0))/(IF(ISNUMBER(K21),Factor_Model!$B$4,0)+IF(ISNUMBER(N21),Factor_Model!$B$5,0)+IF(ISNUMBER(Q21),Factor_Model!$B$6,0)+IF(ISNUMBER(T21),Factor_Model!$B$7,0)))</x:f>
        <x:v>1.75</x:v>
      </x:c>
      <x:c r="Y21" s="20" t="str">
        <x:f>IF(W21=0,"No source",IF(W21&lt;1,"Partial source","Source-complete"))</x:f>
        <x:v>Source-complete</x:v>
      </x:c>
      <x:c r="Z21" s="20" t="str">
        <x:v>Automated screening pass: row uses a primary source URL by actor/subfactor; verify with country-specific evidence before final analytical use.</x:v>
      </x:c>
      <x:c r="AA21" s="20" t="str">
        <x:v>2026-05-20</x:v>
      </x:c>
      <x:c r="AB21" s="20" t="str">
        <x:v>GPT-5.5 Pro</x:v>
      </x:c>
    </x:row>
    <x:row r="22" ht="24" customHeight="1">
      <x:c r="A22" s="20" t="str">
        <x:v>AUT|Russia</x:v>
      </x:c>
      <x:c r="B22" s="20" t="str">
        <x:v>Austria</x:v>
      </x:c>
      <x:c r="C22" s="20" t="str">
        <x:v>Republic of Austria</x:v>
      </x:c>
      <x:c r="D22" s="20" t="str">
        <x:v>AT</x:v>
      </x:c>
      <x:c r="E22" s="20" t="str">
        <x:v>AUT</x:v>
      </x:c>
      <x:c r="F22" s="20" t="str">
        <x:v>040</x:v>
      </x:c>
      <x:c r="G22" s="20" t="str">
        <x:v>Europe</x:v>
      </x:c>
      <x:c r="H22" s="20" t="str">
        <x:v>Western Europe</x:v>
      </x:c>
      <x:c r="I22" s="20" t="str">
        <x:v>Russia</x:v>
      </x:c>
      <x:c r="J22" s="20" t="str">
        <x:v>Russian influence</x:v>
      </x:c>
      <x:c r="K22" s="384" t="n">
        <x:v>5</x:v>
      </x:c>
      <x:c r="L22" s="396" t="n">
        <x:v>3</x:v>
      </x:c>
      <x:c r="M22" s="397" t="str">
        <x:v>https://www.eeas.europa.eu/eeas/4th-eeas-annual-report-foreign-information-manipulation-and-interference-threats_en</x:v>
      </x:c>
      <x:c r="N22" s="384" t="n">
        <x:v>0</x:v>
      </x:c>
      <x:c r="O22" s="396" t="n">
        <x:v>1</x:v>
      </x:c>
      <x:c r="P22" s="397" t="str">
        <x:v>https://www.consilium.europa.eu/en/press/press-releases/2023/02/25/wagner-group-council-adds-11-individuals-and-7-entities-to-eu-sanctions-lists/</x:v>
      </x:c>
      <x:c r="Q22" s="384" t="n">
        <x:v>5</x:v>
      </x:c>
      <x:c r="R22" s="396" t="n">
        <x:v>3</x:v>
      </x:c>
      <x:c r="S22" s="397" t="str">
        <x:v>https://www.dni.gov/files/ODNI/documents/assessments/ATA-2026-Unclassified-Report.pdf</x:v>
      </x:c>
      <x:c r="T22" s="384" t="n">
        <x:v>0</x:v>
      </x:c>
      <x:c r="U22" s="396" t="n">
        <x:v>1</x:v>
      </x:c>
      <x:c r="V22" s="397" t="str">
        <x:v>https://www.consilium.europa.eu/en/press/press-releases/2023/02/25/wagner-group-council-adds-11-individuals-and-7-entities-to-eu-sanctions-lists/</x:v>
      </x:c>
      <x:c r="W22" s="385" t="n">
        <x:f>(--(M22&lt;&gt;"")+--(P22&lt;&gt;"")+--(S22&lt;&gt;"")+--(V22&lt;&gt;""))/4</x:f>
        <x:v>1</x:v>
      </x:c>
      <x:c r="X22" s="384" t="n">
        <x:f>IF(COUNT(K22,N22,Q22,T22)=0,"No data",(IF(ISNUMBER(K22),K22*Factor_Model!$B$4,0)+IF(ISNUMBER(N22),N22*Factor_Model!$B$5,0)+IF(ISNUMBER(Q22),Q22*Factor_Model!$B$6,0)+IF(ISNUMBER(T22),T22*Factor_Model!$B$7,0))/(IF(ISNUMBER(K22),Factor_Model!$B$4,0)+IF(ISNUMBER(N22),Factor_Model!$B$5,0)+IF(ISNUMBER(Q22),Factor_Model!$B$6,0)+IF(ISNUMBER(T22),Factor_Model!$B$7,0)))</x:f>
        <x:v>2.5</x:v>
      </x:c>
      <x:c r="Y22" s="20" t="str">
        <x:f>IF(W22=0,"No source",IF(W22&lt;1,"Partial source","Source-complete"))</x:f>
        <x:v>Source-complete</x:v>
      </x:c>
      <x:c r="Z22" s="20" t="str">
        <x:v>Automated screening pass: row uses a primary source URL by actor/subfactor; verify with country-specific evidence before final analytical use.</x:v>
      </x:c>
      <x:c r="AA22" s="20" t="str">
        <x:v>2026-05-20</x:v>
      </x:c>
      <x:c r="AB22" s="20" t="str">
        <x:v>GPT-5.5 Pro</x:v>
      </x:c>
    </x:row>
    <x:row r="23" ht="24" customHeight="1">
      <x:c r="A23" s="20" t="str">
        <x:v>AUT|China</x:v>
      </x:c>
      <x:c r="B23" s="20" t="str">
        <x:v>Austria</x:v>
      </x:c>
      <x:c r="C23" s="20" t="str">
        <x:v>Republic of Austria</x:v>
      </x:c>
      <x:c r="D23" s="20" t="str">
        <x:v>AT</x:v>
      </x:c>
      <x:c r="E23" s="20" t="str">
        <x:v>AUT</x:v>
      </x:c>
      <x:c r="F23" s="20" t="str">
        <x:v>040</x:v>
      </x:c>
      <x:c r="G23" s="20" t="str">
        <x:v>Europe</x:v>
      </x:c>
      <x:c r="H23" s="20" t="str">
        <x:v>Western Europe</x:v>
      </x:c>
      <x:c r="I23" s="20" t="str">
        <x:v>China</x:v>
      </x:c>
      <x:c r="J23" s="20" t="str">
        <x:v>Chinese influence</x:v>
      </x:c>
      <x:c r="K23" s="384" t="n">
        <x:v>4</x:v>
      </x:c>
      <x:c r="L23" s="396" t="n">
        <x:v>3</x:v>
      </x:c>
      <x:c r="M23" s="397" t="str">
        <x:v>https://www.eeas.europa.eu/eeas/4th-eeas-annual-report-foreign-information-manipulation-and-interference-threats_en</x:v>
      </x:c>
      <x:c r="N23" s="384" t="n">
        <x:v>0</x:v>
      </x:c>
      <x:c r="O23" s="396" t="n">
        <x:v>1</x:v>
      </x:c>
      <x:c r="P23" s="397" t="str">
        <x:v>https://merics.org/en/report/guardians-belt-and-road</x:v>
      </x:c>
      <x:c r="Q23" s="384" t="n">
        <x:v>2</x:v>
      </x:c>
      <x:c r="R23" s="396" t="n">
        <x:v>2</x:v>
      </x:c>
      <x:c r="S23" s="397" t="str">
        <x:v>https://www.eeas.europa.eu/eeas/4th-eeas-annual-report-foreign-information-manipulation-and-interference-threats_en</x:v>
      </x:c>
      <x:c r="T23" s="384" t="n">
        <x:v>0</x:v>
      </x:c>
      <x:c r="U23" s="396" t="n">
        <x:v>1</x:v>
      </x:c>
      <x:c r="V23" s="397" t="str">
        <x:v>https://merics.org/en/report/guardians-belt-and-road</x:v>
      </x:c>
      <x:c r="W23" s="385" t="n">
        <x:f>(--(M23&lt;&gt;"")+--(P23&lt;&gt;"")+--(S23&lt;&gt;"")+--(V23&lt;&gt;""))/4</x:f>
        <x:v>1</x:v>
      </x:c>
      <x:c r="X23" s="384" t="n">
        <x:f>IF(COUNT(K23,N23,Q23,T23)=0,"No data",(IF(ISNUMBER(K23),K23*Factor_Model!$B$4,0)+IF(ISNUMBER(N23),N23*Factor_Model!$B$5,0)+IF(ISNUMBER(Q23),Q23*Factor_Model!$B$6,0)+IF(ISNUMBER(T23),T23*Factor_Model!$B$7,0))/(IF(ISNUMBER(K23),Factor_Model!$B$4,0)+IF(ISNUMBER(N23),Factor_Model!$B$5,0)+IF(ISNUMBER(Q23),Factor_Model!$B$6,0)+IF(ISNUMBER(T23),Factor_Model!$B$7,0)))</x:f>
        <x:v>1.5</x:v>
      </x:c>
      <x:c r="Y23" s="20" t="str">
        <x:f>IF(W23=0,"No source",IF(W23&lt;1,"Partial source","Source-complete"))</x:f>
        <x:v>Source-complete</x:v>
      </x:c>
      <x:c r="Z23" s="20" t="str">
        <x:v>Automated screening pass: row uses a primary source URL by actor/subfactor; verify with country-specific evidence before final analytical use.</x:v>
      </x:c>
      <x:c r="AA23" s="20" t="str">
        <x:v>2026-05-20</x:v>
      </x:c>
      <x:c r="AB23" s="20" t="str">
        <x:v>GPT-5.5 Pro</x:v>
      </x:c>
    </x:row>
    <x:row r="24" ht="24" customHeight="1">
      <x:c r="A24" s="20" t="str">
        <x:v>AUT|United States</x:v>
      </x:c>
      <x:c r="B24" s="20" t="str">
        <x:v>Austria</x:v>
      </x:c>
      <x:c r="C24" s="20" t="str">
        <x:v>Republic of Austria</x:v>
      </x:c>
      <x:c r="D24" s="20" t="str">
        <x:v>AT</x:v>
      </x:c>
      <x:c r="E24" s="20" t="str">
        <x:v>AUT</x:v>
      </x:c>
      <x:c r="F24" s="20" t="str">
        <x:v>040</x:v>
      </x:c>
      <x:c r="G24" s="20" t="str">
        <x:v>Europe</x:v>
      </x:c>
      <x:c r="H24" s="20" t="str">
        <x:v>Western Europe</x:v>
      </x:c>
      <x:c r="I24" s="20" t="str">
        <x:v>United States</x:v>
      </x:c>
      <x:c r="J24" s="20" t="str">
        <x:v>American influence</x:v>
      </x:c>
      <x:c r="K24" s="384" t="n">
        <x:v>4</x:v>
      </x:c>
      <x:c r="L24" s="396" t="n">
        <x:v>3</x:v>
      </x:c>
      <x:c r="M24" s="397" t="str">
        <x:v>https://www.usagm.gov/our-work/strategy-and-results/strategic-priorities/research-reports/</x:v>
      </x:c>
      <x:c r="N24" s="384" t="n">
        <x:v>3</x:v>
      </x:c>
      <x:c r="O24" s="396" t="n">
        <x:v>3</x:v>
      </x:c>
      <x:c r="P24" s="397" t="str">
        <x:v>https://internationalpolicy.org/programs/sam/</x:v>
      </x:c>
      <x:c r="Q24" s="384" t="n">
        <x:v>1</x:v>
      </x:c>
      <x:c r="R24" s="396" t="n">
        <x:v>2</x:v>
      </x:c>
      <x:c r="S24" s="397" t="str">
        <x:v>https://www.ned.org/ned-grantmaking/</x:v>
      </x:c>
      <x:c r="T24" s="384" t="n">
        <x:v>6</x:v>
      </x:c>
      <x:c r="U24" s="396" t="n">
        <x:v>4</x:v>
      </x:c>
      <x:c r="V24" s="397" t="str">
        <x:v>https://internationalpolicy.org/programs/sam/</x:v>
      </x:c>
      <x:c r="W24" s="385" t="n">
        <x:f>(--(M24&lt;&gt;"")+--(P24&lt;&gt;"")+--(S24&lt;&gt;"")+--(V24&lt;&gt;""))/4</x:f>
        <x:v>1</x:v>
      </x:c>
      <x:c r="X24" s="384" t="n">
        <x:f>IF(COUNT(K24,N24,Q24,T24)=0,"No data",(IF(ISNUMBER(K24),K24*Factor_Model!$B$4,0)+IF(ISNUMBER(N24),N24*Factor_Model!$B$5,0)+IF(ISNUMBER(Q24),Q24*Factor_Model!$B$6,0)+IF(ISNUMBER(T24),T24*Factor_Model!$B$7,0))/(IF(ISNUMBER(K24),Factor_Model!$B$4,0)+IF(ISNUMBER(N24),Factor_Model!$B$5,0)+IF(ISNUMBER(Q24),Factor_Model!$B$6,0)+IF(ISNUMBER(T24),Factor_Model!$B$7,0)))</x:f>
        <x:v>3.5</x:v>
      </x:c>
      <x:c r="Y24" s="20" t="str">
        <x:f>IF(W24=0,"No source",IF(W24&lt;1,"Partial source","Source-complete"))</x:f>
        <x:v>Source-complete</x:v>
      </x:c>
      <x:c r="Z24" s="20" t="str">
        <x:v>Automated screening pass: row uses a primary source URL by actor/subfactor; verify with country-specific evidence before final analytical use.</x:v>
      </x:c>
      <x:c r="AA24" s="20" t="str">
        <x:v>2026-05-20</x:v>
      </x:c>
      <x:c r="AB24" s="20" t="str">
        <x:v>GPT-5.5 Pro</x:v>
      </x:c>
    </x:row>
    <x:row r="25" ht="24" customHeight="1">
      <x:c r="A25" s="20" t="str">
        <x:v>AUT|European Union</x:v>
      </x:c>
      <x:c r="B25" s="20" t="str">
        <x:v>Austria</x:v>
      </x:c>
      <x:c r="C25" s="20" t="str">
        <x:v>Republic of Austria</x:v>
      </x:c>
      <x:c r="D25" s="20" t="str">
        <x:v>AT</x:v>
      </x:c>
      <x:c r="E25" s="20" t="str">
        <x:v>AUT</x:v>
      </x:c>
      <x:c r="F25" s="20" t="str">
        <x:v>040</x:v>
      </x:c>
      <x:c r="G25" s="20" t="str">
        <x:v>Europe</x:v>
      </x:c>
      <x:c r="H25" s="20" t="str">
        <x:v>Western Europe</x:v>
      </x:c>
      <x:c r="I25" s="20" t="str">
        <x:v>European Union</x:v>
      </x:c>
      <x:c r="J25" s="20" t="str">
        <x:v>EU influence</x:v>
      </x:c>
      <x:c r="K25" s="384" t="n">
        <x:v>9</x:v>
      </x:c>
      <x:c r="L25" s="396" t="n">
        <x:v>5</x:v>
      </x:c>
      <x:c r="M25" s="397" t="str">
        <x:v>https://www.eeas.europa.eu/eeas/public-diplomacy_en</x:v>
      </x:c>
      <x:c r="N25" s="384" t="n">
        <x:v>0</x:v>
      </x:c>
      <x:c r="O25" s="396" t="n">
        <x:v>1</x:v>
      </x:c>
      <x:c r="P25" s="397" t="str">
        <x:v>https://www.eeas.europa.eu/eeas/missions-and-operations_en</x:v>
      </x:c>
      <x:c r="Q25" s="384" t="n">
        <x:v>2</x:v>
      </x:c>
      <x:c r="R25" s="396" t="n">
        <x:v>2</x:v>
      </x:c>
      <x:c r="S25" s="397" t="str">
        <x:v>https://www.eeas.europa.eu/eeas/eu-election-observation-missions-1_en?page_lang=en</x:v>
      </x:c>
      <x:c r="T25" s="384" t="n">
        <x:v>5</x:v>
      </x:c>
      <x:c r="U25" s="396" t="n">
        <x:v>3</x:v>
      </x:c>
      <x:c r="V25" s="397" t="str">
        <x:v>https://www.eeas.europa.eu/eeas/missions-and-operations_en</x:v>
      </x:c>
      <x:c r="W25" s="385" t="n">
        <x:f>(--(M25&lt;&gt;"")+--(P25&lt;&gt;"")+--(S25&lt;&gt;"")+--(V25&lt;&gt;""))/4</x:f>
        <x:v>1</x:v>
      </x:c>
      <x:c r="X25" s="384" t="n">
        <x:f>IF(COUNT(K25,N25,Q25,T25)=0,"No data",(IF(ISNUMBER(K25),K25*Factor_Model!$B$4,0)+IF(ISNUMBER(N25),N25*Factor_Model!$B$5,0)+IF(ISNUMBER(Q25),Q25*Factor_Model!$B$6,0)+IF(ISNUMBER(T25),T25*Factor_Model!$B$7,0))/(IF(ISNUMBER(K25),Factor_Model!$B$4,0)+IF(ISNUMBER(N25),Factor_Model!$B$5,0)+IF(ISNUMBER(Q25),Factor_Model!$B$6,0)+IF(ISNUMBER(T25),Factor_Model!$B$7,0)))</x:f>
        <x:v>4</x:v>
      </x:c>
      <x:c r="Y25" s="20" t="str">
        <x:f>IF(W25=0,"No source",IF(W25&lt;1,"Partial source","Source-complete"))</x:f>
        <x:v>Source-complete</x:v>
      </x:c>
      <x:c r="Z25" s="20" t="str">
        <x:v>Automated screening pass: row uses a primary source URL by actor/subfactor; verify with country-specific evidence before final analytical use.</x:v>
      </x:c>
      <x:c r="AA25" s="20" t="str">
        <x:v>2026-05-20</x:v>
      </x:c>
      <x:c r="AB25" s="20" t="str">
        <x:v>GPT-5.5 Pro</x:v>
      </x:c>
    </x:row>
    <x:row r="26" ht="24" customHeight="1">
      <x:c r="A26" s="20" t="str">
        <x:v>AZE|Russia</x:v>
      </x:c>
      <x:c r="B26" s="20" t="str">
        <x:v>Azerbaijan</x:v>
      </x:c>
      <x:c r="C26" s="20" t="str">
        <x:v>Republic of Azerbaijan</x:v>
      </x:c>
      <x:c r="D26" s="20" t="str">
        <x:v>AZ</x:v>
      </x:c>
      <x:c r="E26" s="20" t="str">
        <x:v>AZE</x:v>
      </x:c>
      <x:c r="F26" s="20" t="str">
        <x:v>031</x:v>
      </x:c>
      <x:c r="G26" s="20" t="str">
        <x:v>Asia</x:v>
      </x:c>
      <x:c r="H26" s="20" t="str">
        <x:v>Western Asia</x:v>
      </x:c>
      <x:c r="I26" s="20" t="str">
        <x:v>Russia</x:v>
      </x:c>
      <x:c r="J26" s="20" t="str">
        <x:v>Russian influence</x:v>
      </x:c>
      <x:c r="K26" s="384" t="n">
        <x:v>6</x:v>
      </x:c>
      <x:c r="L26" s="396" t="n">
        <x:v>4</x:v>
      </x:c>
      <x:c r="M26" s="397" t="str">
        <x:v>https://www.eeas.europa.eu/eeas/4th-eeas-annual-report-foreign-information-manipulation-and-interference-threats_en</x:v>
      </x:c>
      <x:c r="N26" s="384" t="n">
        <x:v>0</x:v>
      </x:c>
      <x:c r="O26" s="396" t="n">
        <x:v>1</x:v>
      </x:c>
      <x:c r="P26" s="397" t="str">
        <x:v>https://www.consilium.europa.eu/en/press/press-releases/2023/02/25/wagner-group-council-adds-11-individuals-and-7-entities-to-eu-sanctions-lists/</x:v>
      </x:c>
      <x:c r="Q26" s="384" t="n">
        <x:v>0</x:v>
      </x:c>
      <x:c r="R26" s="396" t="n">
        <x:v>1</x:v>
      </x:c>
      <x:c r="S26" s="397" t="str">
        <x:v>https://www.dni.gov/files/ODNI/documents/assessments/ATA-2026-Unclassified-Report.pdf</x:v>
      </x:c>
      <x:c r="T26" s="384" t="n">
        <x:v>0</x:v>
      </x:c>
      <x:c r="U26" s="396" t="n">
        <x:v>1</x:v>
      </x:c>
      <x:c r="V26" s="397" t="str">
        <x:v>https://www.consilium.europa.eu/en/press/press-releases/2023/02/25/wagner-group-council-adds-11-individuals-and-7-entities-to-eu-sanctions-lists/</x:v>
      </x:c>
      <x:c r="W26" s="385" t="n">
        <x:f>(--(M26&lt;&gt;"")+--(P26&lt;&gt;"")+--(S26&lt;&gt;"")+--(V26&lt;&gt;""))/4</x:f>
        <x:v>1</x:v>
      </x:c>
      <x:c r="X26" s="384" t="n">
        <x:f>IF(COUNT(K26,N26,Q26,T26)=0,"No data",(IF(ISNUMBER(K26),K26*Factor_Model!$B$4,0)+IF(ISNUMBER(N26),N26*Factor_Model!$B$5,0)+IF(ISNUMBER(Q26),Q26*Factor_Model!$B$6,0)+IF(ISNUMBER(T26),T26*Factor_Model!$B$7,0))/(IF(ISNUMBER(K26),Factor_Model!$B$4,0)+IF(ISNUMBER(N26),Factor_Model!$B$5,0)+IF(ISNUMBER(Q26),Factor_Model!$B$6,0)+IF(ISNUMBER(T26),Factor_Model!$B$7,0)))</x:f>
        <x:v>1.5</x:v>
      </x:c>
      <x:c r="Y26" s="20" t="str">
        <x:f>IF(W26=0,"No source",IF(W26&lt;1,"Partial source","Source-complete"))</x:f>
        <x:v>Source-complete</x:v>
      </x:c>
      <x:c r="Z26" s="20" t="str">
        <x:v>Automated screening pass: row uses a primary source URL by actor/subfactor; verify with country-specific evidence before final analytical use.</x:v>
      </x:c>
      <x:c r="AA26" s="20" t="str">
        <x:v>2026-05-20</x:v>
      </x:c>
      <x:c r="AB26" s="20" t="str">
        <x:v>GPT-5.5 Pro</x:v>
      </x:c>
    </x:row>
    <x:row r="27" ht="24" customHeight="1">
      <x:c r="A27" s="20" t="str">
        <x:v>AZE|China</x:v>
      </x:c>
      <x:c r="B27" s="20" t="str">
        <x:v>Azerbaijan</x:v>
      </x:c>
      <x:c r="C27" s="20" t="str">
        <x:v>Republic of Azerbaijan</x:v>
      </x:c>
      <x:c r="D27" s="20" t="str">
        <x:v>AZ</x:v>
      </x:c>
      <x:c r="E27" s="20" t="str">
        <x:v>AZE</x:v>
      </x:c>
      <x:c r="F27" s="20" t="str">
        <x:v>031</x:v>
      </x:c>
      <x:c r="G27" s="20" t="str">
        <x:v>Asia</x:v>
      </x:c>
      <x:c r="H27" s="20" t="str">
        <x:v>Western Asia</x:v>
      </x:c>
      <x:c r="I27" s="20" t="str">
        <x:v>China</x:v>
      </x:c>
      <x:c r="J27" s="20" t="str">
        <x:v>Chinese influence</x:v>
      </x:c>
      <x:c r="K27" s="384" t="n">
        <x:v>3</x:v>
      </x:c>
      <x:c r="L27" s="396" t="n">
        <x:v>3</x:v>
      </x:c>
      <x:c r="M27" s="397" t="str">
        <x:v>https://www.eeas.europa.eu/eeas/4th-eeas-annual-report-foreign-information-manipulation-and-interference-threats_en</x:v>
      </x:c>
      <x:c r="N27" s="384" t="n">
        <x:v>0</x:v>
      </x:c>
      <x:c r="O27" s="396" t="n">
        <x:v>1</x:v>
      </x:c>
      <x:c r="P27" s="397" t="str">
        <x:v>https://merics.org/en/report/guardians-belt-and-road</x:v>
      </x:c>
      <x:c r="Q27" s="384" t="n">
        <x:v>1</x:v>
      </x:c>
      <x:c r="R27" s="396" t="n">
        <x:v>2</x:v>
      </x:c>
      <x:c r="S27" s="397" t="str">
        <x:v>https://www.eeas.europa.eu/eeas/4th-eeas-annual-report-foreign-information-manipulation-and-interference-threats_en</x:v>
      </x:c>
      <x:c r="T27" s="384" t="n">
        <x:v>1</x:v>
      </x:c>
      <x:c r="U27" s="396" t="n">
        <x:v>2</x:v>
      </x:c>
      <x:c r="V27" s="397" t="str">
        <x:v>https://merics.org/en/report/guardians-belt-and-road</x:v>
      </x:c>
      <x:c r="W27" s="385" t="n">
        <x:f>(--(M27&lt;&gt;"")+--(P27&lt;&gt;"")+--(S27&lt;&gt;"")+--(V27&lt;&gt;""))/4</x:f>
        <x:v>1</x:v>
      </x:c>
      <x:c r="X27" s="384" t="n">
        <x:f>IF(COUNT(K27,N27,Q27,T27)=0,"No data",(IF(ISNUMBER(K27),K27*Factor_Model!$B$4,0)+IF(ISNUMBER(N27),N27*Factor_Model!$B$5,0)+IF(ISNUMBER(Q27),Q27*Factor_Model!$B$6,0)+IF(ISNUMBER(T27),T27*Factor_Model!$B$7,0))/(IF(ISNUMBER(K27),Factor_Model!$B$4,0)+IF(ISNUMBER(N27),Factor_Model!$B$5,0)+IF(ISNUMBER(Q27),Factor_Model!$B$6,0)+IF(ISNUMBER(T27),Factor_Model!$B$7,0)))</x:f>
        <x:v>1.25</x:v>
      </x:c>
      <x:c r="Y27" s="20" t="str">
        <x:f>IF(W27=0,"No source",IF(W27&lt;1,"Partial source","Source-complete"))</x:f>
        <x:v>Source-complete</x:v>
      </x:c>
      <x:c r="Z27" s="20" t="str">
        <x:v>Automated screening pass: row uses a primary source URL by actor/subfactor; verify with country-specific evidence before final analytical use.</x:v>
      </x:c>
      <x:c r="AA27" s="20" t="str">
        <x:v>2026-05-20</x:v>
      </x:c>
      <x:c r="AB27" s="20" t="str">
        <x:v>GPT-5.5 Pro</x:v>
      </x:c>
    </x:row>
    <x:row r="28" ht="24" customHeight="1">
      <x:c r="A28" s="20" t="str">
        <x:v>AZE|United States</x:v>
      </x:c>
      <x:c r="B28" s="20" t="str">
        <x:v>Azerbaijan</x:v>
      </x:c>
      <x:c r="C28" s="20" t="str">
        <x:v>Republic of Azerbaijan</x:v>
      </x:c>
      <x:c r="D28" s="20" t="str">
        <x:v>AZ</x:v>
      </x:c>
      <x:c r="E28" s="20" t="str">
        <x:v>AZE</x:v>
      </x:c>
      <x:c r="F28" s="20" t="str">
        <x:v>031</x:v>
      </x:c>
      <x:c r="G28" s="20" t="str">
        <x:v>Asia</x:v>
      </x:c>
      <x:c r="H28" s="20" t="str">
        <x:v>Western Asia</x:v>
      </x:c>
      <x:c r="I28" s="20" t="str">
        <x:v>United States</x:v>
      </x:c>
      <x:c r="J28" s="20" t="str">
        <x:v>American influence</x:v>
      </x:c>
      <x:c r="K28" s="384" t="n">
        <x:v>3</x:v>
      </x:c>
      <x:c r="L28" s="396" t="n">
        <x:v>3</x:v>
      </x:c>
      <x:c r="M28" s="397" t="str">
        <x:v>https://www.usagm.gov/our-work/strategy-and-results/strategic-priorities/research-reports/</x:v>
      </x:c>
      <x:c r="N28" s="384" t="n">
        <x:v>1</x:v>
      </x:c>
      <x:c r="O28" s="396" t="n">
        <x:v>2</x:v>
      </x:c>
      <x:c r="P28" s="397" t="str">
        <x:v>https://internationalpolicy.org/programs/sam/</x:v>
      </x:c>
      <x:c r="Q28" s="384" t="n">
        <x:v>2</x:v>
      </x:c>
      <x:c r="R28" s="396" t="n">
        <x:v>2</x:v>
      </x:c>
      <x:c r="S28" s="397" t="str">
        <x:v>https://www.ned.org/ned-grantmaking/</x:v>
      </x:c>
      <x:c r="T28" s="384" t="n">
        <x:v>2</x:v>
      </x:c>
      <x:c r="U28" s="396" t="n">
        <x:v>2</x:v>
      </x:c>
      <x:c r="V28" s="397" t="str">
        <x:v>https://internationalpolicy.org/programs/sam/</x:v>
      </x:c>
      <x:c r="W28" s="385" t="n">
        <x:f>(--(M28&lt;&gt;"")+--(P28&lt;&gt;"")+--(S28&lt;&gt;"")+--(V28&lt;&gt;""))/4</x:f>
        <x:v>1</x:v>
      </x:c>
      <x:c r="X28" s="384" t="n">
        <x:f>IF(COUNT(K28,N28,Q28,T28)=0,"No data",(IF(ISNUMBER(K28),K28*Factor_Model!$B$4,0)+IF(ISNUMBER(N28),N28*Factor_Model!$B$5,0)+IF(ISNUMBER(Q28),Q28*Factor_Model!$B$6,0)+IF(ISNUMBER(T28),T28*Factor_Model!$B$7,0))/(IF(ISNUMBER(K28),Factor_Model!$B$4,0)+IF(ISNUMBER(N28),Factor_Model!$B$5,0)+IF(ISNUMBER(Q28),Factor_Model!$B$6,0)+IF(ISNUMBER(T28),Factor_Model!$B$7,0)))</x:f>
        <x:v>2</x:v>
      </x:c>
      <x:c r="Y28" s="20" t="str">
        <x:f>IF(W28=0,"No source",IF(W28&lt;1,"Partial source","Source-complete"))</x:f>
        <x:v>Source-complete</x:v>
      </x:c>
      <x:c r="Z28" s="20" t="str">
        <x:v>Automated screening pass: row uses a primary source URL by actor/subfactor; verify with country-specific evidence before final analytical use.</x:v>
      </x:c>
      <x:c r="AA28" s="20" t="str">
        <x:v>2026-05-20</x:v>
      </x:c>
      <x:c r="AB28" s="20" t="str">
        <x:v>GPT-5.5 Pro</x:v>
      </x:c>
    </x:row>
    <x:row r="29" ht="24" customHeight="1">
      <x:c r="A29" s="20" t="str">
        <x:v>AZE|European Union</x:v>
      </x:c>
      <x:c r="B29" s="20" t="str">
        <x:v>Azerbaijan</x:v>
      </x:c>
      <x:c r="C29" s="20" t="str">
        <x:v>Republic of Azerbaijan</x:v>
      </x:c>
      <x:c r="D29" s="20" t="str">
        <x:v>AZ</x:v>
      </x:c>
      <x:c r="E29" s="20" t="str">
        <x:v>AZE</x:v>
      </x:c>
      <x:c r="F29" s="20" t="str">
        <x:v>031</x:v>
      </x:c>
      <x:c r="G29" s="20" t="str">
        <x:v>Asia</x:v>
      </x:c>
      <x:c r="H29" s="20" t="str">
        <x:v>Western Asia</x:v>
      </x:c>
      <x:c r="I29" s="20" t="str">
        <x:v>European Union</x:v>
      </x:c>
      <x:c r="J29" s="20" t="str">
        <x:v>EU influence</x:v>
      </x:c>
      <x:c r="K29" s="384" t="n">
        <x:v>2</x:v>
      </x:c>
      <x:c r="L29" s="396" t="n">
        <x:v>2</x:v>
      </x:c>
      <x:c r="M29" s="397" t="str">
        <x:v>https://www.eeas.europa.eu/eeas/public-diplomacy_en</x:v>
      </x:c>
      <x:c r="N29" s="384" t="n">
        <x:v>0</x:v>
      </x:c>
      <x:c r="O29" s="396" t="n">
        <x:v>1</x:v>
      </x:c>
      <x:c r="P29" s="397" t="str">
        <x:v>https://www.eeas.europa.eu/eeas/missions-and-operations_en</x:v>
      </x:c>
      <x:c r="Q29" s="384" t="n">
        <x:v>1</x:v>
      </x:c>
      <x:c r="R29" s="396" t="n">
        <x:v>2</x:v>
      </x:c>
      <x:c r="S29" s="397" t="str">
        <x:v>https://www.eeas.europa.eu/eeas/eu-election-observation-missions-1_en?page_lang=en</x:v>
      </x:c>
      <x:c r="T29" s="384" t="n">
        <x:v>2</x:v>
      </x:c>
      <x:c r="U29" s="396" t="n">
        <x:v>2</x:v>
      </x:c>
      <x:c r="V29" s="397" t="str">
        <x:v>https://www.eeas.europa.eu/eeas/missions-and-operations_en</x:v>
      </x:c>
      <x:c r="W29" s="385" t="n">
        <x:f>(--(M29&lt;&gt;"")+--(P29&lt;&gt;"")+--(S29&lt;&gt;"")+--(V29&lt;&gt;""))/4</x:f>
        <x:v>1</x:v>
      </x:c>
      <x:c r="X29" s="384" t="n">
        <x:f>IF(COUNT(K29,N29,Q29,T29)=0,"No data",(IF(ISNUMBER(K29),K29*Factor_Model!$B$4,0)+IF(ISNUMBER(N29),N29*Factor_Model!$B$5,0)+IF(ISNUMBER(Q29),Q29*Factor_Model!$B$6,0)+IF(ISNUMBER(T29),T29*Factor_Model!$B$7,0))/(IF(ISNUMBER(K29),Factor_Model!$B$4,0)+IF(ISNUMBER(N29),Factor_Model!$B$5,0)+IF(ISNUMBER(Q29),Factor_Model!$B$6,0)+IF(ISNUMBER(T29),Factor_Model!$B$7,0)))</x:f>
        <x:v>1.25</x:v>
      </x:c>
      <x:c r="Y29" s="20" t="str">
        <x:f>IF(W29=0,"No source",IF(W29&lt;1,"Partial source","Source-complete"))</x:f>
        <x:v>Source-complete</x:v>
      </x:c>
      <x:c r="Z29" s="20" t="str">
        <x:v>Automated screening pass: row uses a primary source URL by actor/subfactor; verify with country-specific evidence before final analytical use.</x:v>
      </x:c>
      <x:c r="AA29" s="20" t="str">
        <x:v>2026-05-20</x:v>
      </x:c>
      <x:c r="AB29" s="20" t="str">
        <x:v>GPT-5.5 Pro</x:v>
      </x:c>
    </x:row>
    <x:row r="30" ht="24" customHeight="1">
      <x:c r="A30" s="20" t="str">
        <x:v>BHR|Russia</x:v>
      </x:c>
      <x:c r="B30" s="20" t="str">
        <x:v>Bahrain</x:v>
      </x:c>
      <x:c r="C30" s="20" t="str">
        <x:v>Kingdom of Bahrain</x:v>
      </x:c>
      <x:c r="D30" s="20" t="str">
        <x:v>BH</x:v>
      </x:c>
      <x:c r="E30" s="20" t="str">
        <x:v>BHR</x:v>
      </x:c>
      <x:c r="F30" s="20" t="str">
        <x:v>048</x:v>
      </x:c>
      <x:c r="G30" s="20" t="str">
        <x:v>Asia</x:v>
      </x:c>
      <x:c r="H30" s="20" t="str">
        <x:v>Western Asia</x:v>
      </x:c>
      <x:c r="I30" s="20" t="str">
        <x:v>Russia</x:v>
      </x:c>
      <x:c r="J30" s="20" t="str">
        <x:v>Russian influence</x:v>
      </x:c>
      <x:c r="K30" s="384" t="n">
        <x:v>2</x:v>
      </x:c>
      <x:c r="L30" s="396" t="n">
        <x:v>2</x:v>
      </x:c>
      <x:c r="M30" s="397" t="str">
        <x:v>https://www.eeas.europa.eu/eeas/4th-eeas-annual-report-foreign-information-manipulation-and-interference-threats_en</x:v>
      </x:c>
      <x:c r="N30" s="384" t="n">
        <x:v>0</x:v>
      </x:c>
      <x:c r="O30" s="396" t="n">
        <x:v>1</x:v>
      </x:c>
      <x:c r="P30" s="397" t="str">
        <x:v>https://www.consilium.europa.eu/en/press/press-releases/2023/02/25/wagner-group-council-adds-11-individuals-and-7-entities-to-eu-sanctions-lists/</x:v>
      </x:c>
      <x:c r="Q30" s="384" t="n">
        <x:v>0</x:v>
      </x:c>
      <x:c r="R30" s="396" t="n">
        <x:v>1</x:v>
      </x:c>
      <x:c r="S30" s="397" t="str">
        <x:v>https://www.dni.gov/files/ODNI/documents/assessments/ATA-2026-Unclassified-Report.pdf</x:v>
      </x:c>
      <x:c r="T30" s="384" t="n">
        <x:v>0</x:v>
      </x:c>
      <x:c r="U30" s="396" t="n">
        <x:v>1</x:v>
      </x:c>
      <x:c r="V30" s="397" t="str">
        <x:v>https://www.consilium.europa.eu/en/press/press-releases/2023/02/25/wagner-group-council-adds-11-individuals-and-7-entities-to-eu-sanctions-lists/</x:v>
      </x:c>
      <x:c r="W30" s="385" t="n">
        <x:f>(--(M30&lt;&gt;"")+--(P30&lt;&gt;"")+--(S30&lt;&gt;"")+--(V30&lt;&gt;""))/4</x:f>
        <x:v>1</x:v>
      </x:c>
      <x:c r="X30" s="384" t="n">
        <x:f>IF(COUNT(K30,N30,Q30,T30)=0,"No data",(IF(ISNUMBER(K30),K30*Factor_Model!$B$4,0)+IF(ISNUMBER(N30),N30*Factor_Model!$B$5,0)+IF(ISNUMBER(Q30),Q30*Factor_Model!$B$6,0)+IF(ISNUMBER(T30),T30*Factor_Model!$B$7,0))/(IF(ISNUMBER(K30),Factor_Model!$B$4,0)+IF(ISNUMBER(N30),Factor_Model!$B$5,0)+IF(ISNUMBER(Q30),Factor_Model!$B$6,0)+IF(ISNUMBER(T30),Factor_Model!$B$7,0)))</x:f>
        <x:v>0.5</x:v>
      </x:c>
      <x:c r="Y30" s="20" t="str">
        <x:f>IF(W30=0,"No source",IF(W30&lt;1,"Partial source","Source-complete"))</x:f>
        <x:v>Source-complete</x:v>
      </x:c>
      <x:c r="Z30" s="20" t="str">
        <x:v>Automated screening pass: row uses a primary source URL by actor/subfactor; verify with country-specific evidence before final analytical use.</x:v>
      </x:c>
      <x:c r="AA30" s="20" t="str">
        <x:v>2026-05-20</x:v>
      </x:c>
      <x:c r="AB30" s="20" t="str">
        <x:v>GPT-5.5 Pro</x:v>
      </x:c>
    </x:row>
    <x:row r="31" ht="24" customHeight="1">
      <x:c r="A31" s="20" t="str">
        <x:v>BHR|China</x:v>
      </x:c>
      <x:c r="B31" s="20" t="str">
        <x:v>Bahrain</x:v>
      </x:c>
      <x:c r="C31" s="20" t="str">
        <x:v>Kingdom of Bahrain</x:v>
      </x:c>
      <x:c r="D31" s="20" t="str">
        <x:v>BH</x:v>
      </x:c>
      <x:c r="E31" s="20" t="str">
        <x:v>BHR</x:v>
      </x:c>
      <x:c r="F31" s="20" t="str">
        <x:v>048</x:v>
      </x:c>
      <x:c r="G31" s="20" t="str">
        <x:v>Asia</x:v>
      </x:c>
      <x:c r="H31" s="20" t="str">
        <x:v>Western Asia</x:v>
      </x:c>
      <x:c r="I31" s="20" t="str">
        <x:v>China</x:v>
      </x:c>
      <x:c r="J31" s="20" t="str">
        <x:v>Chinese influence</x:v>
      </x:c>
      <x:c r="K31" s="384" t="n">
        <x:v>3</x:v>
      </x:c>
      <x:c r="L31" s="396" t="n">
        <x:v>3</x:v>
      </x:c>
      <x:c r="M31" s="397" t="str">
        <x:v>https://www.eeas.europa.eu/eeas/4th-eeas-annual-report-foreign-information-manipulation-and-interference-threats_en</x:v>
      </x:c>
      <x:c r="N31" s="384" t="n">
        <x:v>0</x:v>
      </x:c>
      <x:c r="O31" s="396" t="n">
        <x:v>1</x:v>
      </x:c>
      <x:c r="P31" s="397" t="str">
        <x:v>https://merics.org/en/report/guardians-belt-and-road</x:v>
      </x:c>
      <x:c r="Q31" s="384" t="n">
        <x:v>1</x:v>
      </x:c>
      <x:c r="R31" s="396" t="n">
        <x:v>2</x:v>
      </x:c>
      <x:c r="S31" s="397" t="str">
        <x:v>https://www.eeas.europa.eu/eeas/4th-eeas-annual-report-foreign-information-manipulation-and-interference-threats_en</x:v>
      </x:c>
      <x:c r="T31" s="384" t="n">
        <x:v>1</x:v>
      </x:c>
      <x:c r="U31" s="396" t="n">
        <x:v>2</x:v>
      </x:c>
      <x:c r="V31" s="397" t="str">
        <x:v>https://merics.org/en/report/guardians-belt-and-road</x:v>
      </x:c>
      <x:c r="W31" s="385" t="n">
        <x:f>(--(M31&lt;&gt;"")+--(P31&lt;&gt;"")+--(S31&lt;&gt;"")+--(V31&lt;&gt;""))/4</x:f>
        <x:v>1</x:v>
      </x:c>
      <x:c r="X31" s="384" t="n">
        <x:f>IF(COUNT(K31,N31,Q31,T31)=0,"No data",(IF(ISNUMBER(K31),K31*Factor_Model!$B$4,0)+IF(ISNUMBER(N31),N31*Factor_Model!$B$5,0)+IF(ISNUMBER(Q31),Q31*Factor_Model!$B$6,0)+IF(ISNUMBER(T31),T31*Factor_Model!$B$7,0))/(IF(ISNUMBER(K31),Factor_Model!$B$4,0)+IF(ISNUMBER(N31),Factor_Model!$B$5,0)+IF(ISNUMBER(Q31),Factor_Model!$B$6,0)+IF(ISNUMBER(T31),Factor_Model!$B$7,0)))</x:f>
        <x:v>1.25</x:v>
      </x:c>
      <x:c r="Y31" s="20" t="str">
        <x:f>IF(W31=0,"No source",IF(W31&lt;1,"Partial source","Source-complete"))</x:f>
        <x:v>Source-complete</x:v>
      </x:c>
      <x:c r="Z31" s="20" t="str">
        <x:v>Automated screening pass: row uses a primary source URL by actor/subfactor; verify with country-specific evidence before final analytical use.</x:v>
      </x:c>
      <x:c r="AA31" s="20" t="str">
        <x:v>2026-05-20</x:v>
      </x:c>
      <x:c r="AB31" s="20" t="str">
        <x:v>GPT-5.5 Pro</x:v>
      </x:c>
    </x:row>
    <x:row r="32" ht="24" customHeight="1">
      <x:c r="A32" s="20" t="str">
        <x:v>BHR|United States</x:v>
      </x:c>
      <x:c r="B32" s="20" t="str">
        <x:v>Bahrain</x:v>
      </x:c>
      <x:c r="C32" s="20" t="str">
        <x:v>Kingdom of Bahrain</x:v>
      </x:c>
      <x:c r="D32" s="20" t="str">
        <x:v>BH</x:v>
      </x:c>
      <x:c r="E32" s="20" t="str">
        <x:v>BHR</x:v>
      </x:c>
      <x:c r="F32" s="20" t="str">
        <x:v>048</x:v>
      </x:c>
      <x:c r="G32" s="20" t="str">
        <x:v>Asia</x:v>
      </x:c>
      <x:c r="H32" s="20" t="str">
        <x:v>Western Asia</x:v>
      </x:c>
      <x:c r="I32" s="20" t="str">
        <x:v>United States</x:v>
      </x:c>
      <x:c r="J32" s="20" t="str">
        <x:v>American influence</x:v>
      </x:c>
      <x:c r="K32" s="384" t="n">
        <x:v>5</x:v>
      </x:c>
      <x:c r="L32" s="396" t="n">
        <x:v>3</x:v>
      </x:c>
      <x:c r="M32" s="397" t="str">
        <x:v>https://www.usagm.gov/our-work/strategy-and-results/strategic-priorities/research-reports/</x:v>
      </x:c>
      <x:c r="N32" s="384" t="n">
        <x:v>5</x:v>
      </x:c>
      <x:c r="O32" s="396" t="n">
        <x:v>3</x:v>
      </x:c>
      <x:c r="P32" s="397" t="str">
        <x:v>https://internationalpolicy.org/programs/sam/</x:v>
      </x:c>
      <x:c r="Q32" s="384" t="n">
        <x:v>2</x:v>
      </x:c>
      <x:c r="R32" s="396" t="n">
        <x:v>2</x:v>
      </x:c>
      <x:c r="S32" s="397" t="str">
        <x:v>https://www.ned.org/ned-grantmaking/</x:v>
      </x:c>
      <x:c r="T32" s="384" t="n">
        <x:v>7</x:v>
      </x:c>
      <x:c r="U32" s="396" t="n">
        <x:v>4</x:v>
      </x:c>
      <x:c r="V32" s="397" t="str">
        <x:v>https://internationalpolicy.org/programs/sam/</x:v>
      </x:c>
      <x:c r="W32" s="385" t="n">
        <x:f>(--(M32&lt;&gt;"")+--(P32&lt;&gt;"")+--(S32&lt;&gt;"")+--(V32&lt;&gt;""))/4</x:f>
        <x:v>1</x:v>
      </x:c>
      <x:c r="X32" s="384" t="n">
        <x:f>IF(COUNT(K32,N32,Q32,T32)=0,"No data",(IF(ISNUMBER(K32),K32*Factor_Model!$B$4,0)+IF(ISNUMBER(N32),N32*Factor_Model!$B$5,0)+IF(ISNUMBER(Q32),Q32*Factor_Model!$B$6,0)+IF(ISNUMBER(T32),T32*Factor_Model!$B$7,0))/(IF(ISNUMBER(K32),Factor_Model!$B$4,0)+IF(ISNUMBER(N32),Factor_Model!$B$5,0)+IF(ISNUMBER(Q32),Factor_Model!$B$6,0)+IF(ISNUMBER(T32),Factor_Model!$B$7,0)))</x:f>
        <x:v>4.75</x:v>
      </x:c>
      <x:c r="Y32" s="20" t="str">
        <x:f>IF(W32=0,"No source",IF(W32&lt;1,"Partial source","Source-complete"))</x:f>
        <x:v>Source-complete</x:v>
      </x:c>
      <x:c r="Z32" s="20" t="str">
        <x:v>Automated screening pass: row uses a primary source URL by actor/subfactor; verify with country-specific evidence before final analytical use.</x:v>
      </x:c>
      <x:c r="AA32" s="20" t="str">
        <x:v>2026-05-20</x:v>
      </x:c>
      <x:c r="AB32" s="20" t="str">
        <x:v>GPT-5.5 Pro</x:v>
      </x:c>
    </x:row>
    <x:row r="33" ht="24" customHeight="1">
      <x:c r="A33" s="20" t="str">
        <x:v>BHR|European Union</x:v>
      </x:c>
      <x:c r="B33" s="20" t="str">
        <x:v>Bahrain</x:v>
      </x:c>
      <x:c r="C33" s="20" t="str">
        <x:v>Kingdom of Bahrain</x:v>
      </x:c>
      <x:c r="D33" s="20" t="str">
        <x:v>BH</x:v>
      </x:c>
      <x:c r="E33" s="20" t="str">
        <x:v>BHR</x:v>
      </x:c>
      <x:c r="F33" s="20" t="str">
        <x:v>048</x:v>
      </x:c>
      <x:c r="G33" s="20" t="str">
        <x:v>Asia</x:v>
      </x:c>
      <x:c r="H33" s="20" t="str">
        <x:v>Western Asia</x:v>
      </x:c>
      <x:c r="I33" s="20" t="str">
        <x:v>European Union</x:v>
      </x:c>
      <x:c r="J33" s="20" t="str">
        <x:v>EU influence</x:v>
      </x:c>
      <x:c r="K33" s="384" t="n">
        <x:v>2</x:v>
      </x:c>
      <x:c r="L33" s="396" t="n">
        <x:v>2</x:v>
      </x:c>
      <x:c r="M33" s="397" t="str">
        <x:v>https://www.eeas.europa.eu/eeas/public-diplomacy_en</x:v>
      </x:c>
      <x:c r="N33" s="384" t="n">
        <x:v>0</x:v>
      </x:c>
      <x:c r="O33" s="396" t="n">
        <x:v>1</x:v>
      </x:c>
      <x:c r="P33" s="397" t="str">
        <x:v>https://www.eeas.europa.eu/eeas/missions-and-operations_en</x:v>
      </x:c>
      <x:c r="Q33" s="384" t="n">
        <x:v>1</x:v>
      </x:c>
      <x:c r="R33" s="396" t="n">
        <x:v>2</x:v>
      </x:c>
      <x:c r="S33" s="397" t="str">
        <x:v>https://www.eeas.europa.eu/eeas/eu-election-observation-missions-1_en?page_lang=en</x:v>
      </x:c>
      <x:c r="T33" s="384" t="n">
        <x:v>2</x:v>
      </x:c>
      <x:c r="U33" s="396" t="n">
        <x:v>2</x:v>
      </x:c>
      <x:c r="V33" s="397" t="str">
        <x:v>https://www.eeas.europa.eu/eeas/missions-and-operations_en</x:v>
      </x:c>
      <x:c r="W33" s="385" t="n">
        <x:f>(--(M33&lt;&gt;"")+--(P33&lt;&gt;"")+--(S33&lt;&gt;"")+--(V33&lt;&gt;""))/4</x:f>
        <x:v>1</x:v>
      </x:c>
      <x:c r="X33" s="384" t="n">
        <x:f>IF(COUNT(K33,N33,Q33,T33)=0,"No data",(IF(ISNUMBER(K33),K33*Factor_Model!$B$4,0)+IF(ISNUMBER(N33),N33*Factor_Model!$B$5,0)+IF(ISNUMBER(Q33),Q33*Factor_Model!$B$6,0)+IF(ISNUMBER(T33),T33*Factor_Model!$B$7,0))/(IF(ISNUMBER(K33),Factor_Model!$B$4,0)+IF(ISNUMBER(N33),Factor_Model!$B$5,0)+IF(ISNUMBER(Q33),Factor_Model!$B$6,0)+IF(ISNUMBER(T33),Factor_Model!$B$7,0)))</x:f>
        <x:v>1.25</x:v>
      </x:c>
      <x:c r="Y33" s="20" t="str">
        <x:f>IF(W33=0,"No source",IF(W33&lt;1,"Partial source","Source-complete"))</x:f>
        <x:v>Source-complete</x:v>
      </x:c>
      <x:c r="Z33" s="20" t="str">
        <x:v>Automated screening pass: row uses a primary source URL by actor/subfactor; verify with country-specific evidence before final analytical use.</x:v>
      </x:c>
      <x:c r="AA33" s="20" t="str">
        <x:v>2026-05-20</x:v>
      </x:c>
      <x:c r="AB33" s="20" t="str">
        <x:v>GPT-5.5 Pro</x:v>
      </x:c>
    </x:row>
    <x:row r="34" ht="24" customHeight="1">
      <x:c r="A34" s="20" t="str">
        <x:v>BLR|Russia</x:v>
      </x:c>
      <x:c r="B34" s="20" t="str">
        <x:v>Belarus</x:v>
      </x:c>
      <x:c r="C34" s="20" t="str">
        <x:v>Republic of Belarus</x:v>
      </x:c>
      <x:c r="D34" s="20" t="str">
        <x:v>BY</x:v>
      </x:c>
      <x:c r="E34" s="20" t="str">
        <x:v>BLR</x:v>
      </x:c>
      <x:c r="F34" s="20" t="str">
        <x:v>112</x:v>
      </x:c>
      <x:c r="G34" s="20" t="str">
        <x:v>Europe</x:v>
      </x:c>
      <x:c r="H34" s="20" t="str">
        <x:v>Eastern Europe</x:v>
      </x:c>
      <x:c r="I34" s="20" t="str">
        <x:v>Russia</x:v>
      </x:c>
      <x:c r="J34" s="20" t="str">
        <x:v>Russian influence</x:v>
      </x:c>
      <x:c r="K34" s="384" t="n">
        <x:v>9</x:v>
      </x:c>
      <x:c r="L34" s="396" t="n">
        <x:v>5</x:v>
      </x:c>
      <x:c r="M34" s="397" t="str">
        <x:v>https://www.eeas.europa.eu/eeas/4th-eeas-annual-report-foreign-information-manipulation-and-interference-threats_en</x:v>
      </x:c>
      <x:c r="N34" s="384" t="n">
        <x:v>6</x:v>
      </x:c>
      <x:c r="O34" s="396" t="n">
        <x:v>4</x:v>
      </x:c>
      <x:c r="P34" s="397" t="str">
        <x:v>https://www.consilium.europa.eu/en/press/press-releases/2023/02/25/wagner-group-council-adds-11-individuals-and-7-entities-to-eu-sanctions-lists/</x:v>
      </x:c>
      <x:c r="Q34" s="384" t="n">
        <x:v>7</x:v>
      </x:c>
      <x:c r="R34" s="396" t="n">
        <x:v>4</x:v>
      </x:c>
      <x:c r="S34" s="397" t="str">
        <x:v>https://www.dni.gov/files/ODNI/documents/assessments/ATA-2026-Unclassified-Report.pdf</x:v>
      </x:c>
      <x:c r="T34" s="384" t="n">
        <x:v>6</x:v>
      </x:c>
      <x:c r="U34" s="396" t="n">
        <x:v>4</x:v>
      </x:c>
      <x:c r="V34" s="397" t="str">
        <x:v>https://www.consilium.europa.eu/en/press/press-releases/2023/02/25/wagner-group-council-adds-11-individuals-and-7-entities-to-eu-sanctions-lists/</x:v>
      </x:c>
      <x:c r="W34" s="385" t="n">
        <x:f>(--(M34&lt;&gt;"")+--(P34&lt;&gt;"")+--(S34&lt;&gt;"")+--(V34&lt;&gt;""))/4</x:f>
        <x:v>1</x:v>
      </x:c>
      <x:c r="X34" s="384" t="n">
        <x:f>IF(COUNT(K34,N34,Q34,T34)=0,"No data",(IF(ISNUMBER(K34),K34*Factor_Model!$B$4,0)+IF(ISNUMBER(N34),N34*Factor_Model!$B$5,0)+IF(ISNUMBER(Q34),Q34*Factor_Model!$B$6,0)+IF(ISNUMBER(T34),T34*Factor_Model!$B$7,0))/(IF(ISNUMBER(K34),Factor_Model!$B$4,0)+IF(ISNUMBER(N34),Factor_Model!$B$5,0)+IF(ISNUMBER(Q34),Factor_Model!$B$6,0)+IF(ISNUMBER(T34),Factor_Model!$B$7,0)))</x:f>
        <x:v>7</x:v>
      </x:c>
      <x:c r="Y34" s="20" t="str">
        <x:f>IF(W34=0,"No source",IF(W34&lt;1,"Partial source","Source-complete"))</x:f>
        <x:v>Source-complete</x:v>
      </x:c>
      <x:c r="Z34" s="20" t="str">
        <x:v>Automated screening pass: row uses a primary source URL by actor/subfactor; verify with country-specific evidence before final analytical use.</x:v>
      </x:c>
      <x:c r="AA34" s="20" t="str">
        <x:v>2026-05-20</x:v>
      </x:c>
      <x:c r="AB34" s="20" t="str">
        <x:v>GPT-5.5 Pro</x:v>
      </x:c>
    </x:row>
    <x:row r="35" ht="24" customHeight="1">
      <x:c r="A35" s="20" t="str">
        <x:v>BLR|China</x:v>
      </x:c>
      <x:c r="B35" s="20" t="str">
        <x:v>Belarus</x:v>
      </x:c>
      <x:c r="C35" s="20" t="str">
        <x:v>Republic of Belarus</x:v>
      </x:c>
      <x:c r="D35" s="20" t="str">
        <x:v>BY</x:v>
      </x:c>
      <x:c r="E35" s="20" t="str">
        <x:v>BLR</x:v>
      </x:c>
      <x:c r="F35" s="20" t="str">
        <x:v>112</x:v>
      </x:c>
      <x:c r="G35" s="20" t="str">
        <x:v>Europe</x:v>
      </x:c>
      <x:c r="H35" s="20" t="str">
        <x:v>Eastern Europe</x:v>
      </x:c>
      <x:c r="I35" s="20" t="str">
        <x:v>China</x:v>
      </x:c>
      <x:c r="J35" s="20" t="str">
        <x:v>Chinese influence</x:v>
      </x:c>
      <x:c r="K35" s="384" t="n">
        <x:v>4</x:v>
      </x:c>
      <x:c r="L35" s="396" t="n">
        <x:v>3</x:v>
      </x:c>
      <x:c r="M35" s="397" t="str">
        <x:v>https://www.eeas.europa.eu/eeas/4th-eeas-annual-report-foreign-information-manipulation-and-interference-threats_en</x:v>
      </x:c>
      <x:c r="N35" s="384" t="n">
        <x:v>0</x:v>
      </x:c>
      <x:c r="O35" s="396" t="n">
        <x:v>1</x:v>
      </x:c>
      <x:c r="P35" s="397" t="str">
        <x:v>https://merics.org/en/report/guardians-belt-and-road</x:v>
      </x:c>
      <x:c r="Q35" s="384" t="n">
        <x:v>2</x:v>
      </x:c>
      <x:c r="R35" s="396" t="n">
        <x:v>2</x:v>
      </x:c>
      <x:c r="S35" s="397" t="str">
        <x:v>https://www.eeas.europa.eu/eeas/4th-eeas-annual-report-foreign-information-manipulation-and-interference-threats_en</x:v>
      </x:c>
      <x:c r="T35" s="384" t="n">
        <x:v>0</x:v>
      </x:c>
      <x:c r="U35" s="396" t="n">
        <x:v>1</x:v>
      </x:c>
      <x:c r="V35" s="397" t="str">
        <x:v>https://merics.org/en/report/guardians-belt-and-road</x:v>
      </x:c>
      <x:c r="W35" s="385" t="n">
        <x:f>(--(M35&lt;&gt;"")+--(P35&lt;&gt;"")+--(S35&lt;&gt;"")+--(V35&lt;&gt;""))/4</x:f>
        <x:v>1</x:v>
      </x:c>
      <x:c r="X35" s="384" t="n">
        <x:f>IF(COUNT(K35,N35,Q35,T35)=0,"No data",(IF(ISNUMBER(K35),K35*Factor_Model!$B$4,0)+IF(ISNUMBER(N35),N35*Factor_Model!$B$5,0)+IF(ISNUMBER(Q35),Q35*Factor_Model!$B$6,0)+IF(ISNUMBER(T35),T35*Factor_Model!$B$7,0))/(IF(ISNUMBER(K35),Factor_Model!$B$4,0)+IF(ISNUMBER(N35),Factor_Model!$B$5,0)+IF(ISNUMBER(Q35),Factor_Model!$B$6,0)+IF(ISNUMBER(T35),Factor_Model!$B$7,0)))</x:f>
        <x:v>1.5</x:v>
      </x:c>
      <x:c r="Y35" s="20" t="str">
        <x:f>IF(W35=0,"No source",IF(W35&lt;1,"Partial source","Source-complete"))</x:f>
        <x:v>Source-complete</x:v>
      </x:c>
      <x:c r="Z35" s="20" t="str">
        <x:v>Automated screening pass: row uses a primary source URL by actor/subfactor; verify with country-specific evidence before final analytical use.</x:v>
      </x:c>
      <x:c r="AA35" s="20" t="str">
        <x:v>2026-05-20</x:v>
      </x:c>
      <x:c r="AB35" s="20" t="str">
        <x:v>GPT-5.5 Pro</x:v>
      </x:c>
    </x:row>
    <x:row r="36" ht="24" customHeight="1">
      <x:c r="A36" s="20" t="str">
        <x:v>BLR|United States</x:v>
      </x:c>
      <x:c r="B36" s="20" t="str">
        <x:v>Belarus</x:v>
      </x:c>
      <x:c r="C36" s="20" t="str">
        <x:v>Republic of Belarus</x:v>
      </x:c>
      <x:c r="D36" s="20" t="str">
        <x:v>BY</x:v>
      </x:c>
      <x:c r="E36" s="20" t="str">
        <x:v>BLR</x:v>
      </x:c>
      <x:c r="F36" s="20" t="str">
        <x:v>112</x:v>
      </x:c>
      <x:c r="G36" s="20" t="str">
        <x:v>Europe</x:v>
      </x:c>
      <x:c r="H36" s="20" t="str">
        <x:v>Eastern Europe</x:v>
      </x:c>
      <x:c r="I36" s="20" t="str">
        <x:v>United States</x:v>
      </x:c>
      <x:c r="J36" s="20" t="str">
        <x:v>American influence</x:v>
      </x:c>
      <x:c r="K36" s="384" t="n">
        <x:v>6</x:v>
      </x:c>
      <x:c r="L36" s="396" t="n">
        <x:v>4</x:v>
      </x:c>
      <x:c r="M36" s="397" t="str">
        <x:v>https://www.usagm.gov/our-work/strategy-and-results/strategic-priorities/research-reports/</x:v>
      </x:c>
      <x:c r="N36" s="384" t="n">
        <x:v>1</x:v>
      </x:c>
      <x:c r="O36" s="396" t="n">
        <x:v>2</x:v>
      </x:c>
      <x:c r="P36" s="397" t="str">
        <x:v>https://internationalpolicy.org/programs/sam/</x:v>
      </x:c>
      <x:c r="Q36" s="384" t="n">
        <x:v>4</x:v>
      </x:c>
      <x:c r="R36" s="396" t="n">
        <x:v>3</x:v>
      </x:c>
      <x:c r="S36" s="397" t="str">
        <x:v>https://www.ned.org/ned-grantmaking/</x:v>
      </x:c>
      <x:c r="T36" s="384" t="n">
        <x:v>2</x:v>
      </x:c>
      <x:c r="U36" s="396" t="n">
        <x:v>2</x:v>
      </x:c>
      <x:c r="V36" s="397" t="str">
        <x:v>https://internationalpolicy.org/programs/sam/</x:v>
      </x:c>
      <x:c r="W36" s="385" t="n">
        <x:f>(--(M36&lt;&gt;"")+--(P36&lt;&gt;"")+--(S36&lt;&gt;"")+--(V36&lt;&gt;""))/4</x:f>
        <x:v>1</x:v>
      </x:c>
      <x:c r="X36" s="384" t="n">
        <x:f>IF(COUNT(K36,N36,Q36,T36)=0,"No data",(IF(ISNUMBER(K36),K36*Factor_Model!$B$4,0)+IF(ISNUMBER(N36),N36*Factor_Model!$B$5,0)+IF(ISNUMBER(Q36),Q36*Factor_Model!$B$6,0)+IF(ISNUMBER(T36),T36*Factor_Model!$B$7,0))/(IF(ISNUMBER(K36),Factor_Model!$B$4,0)+IF(ISNUMBER(N36),Factor_Model!$B$5,0)+IF(ISNUMBER(Q36),Factor_Model!$B$6,0)+IF(ISNUMBER(T36),Factor_Model!$B$7,0)))</x:f>
        <x:v>3.25</x:v>
      </x:c>
      <x:c r="Y36" s="20" t="str">
        <x:f>IF(W36=0,"No source",IF(W36&lt;1,"Partial source","Source-complete"))</x:f>
        <x:v>Source-complete</x:v>
      </x:c>
      <x:c r="Z36" s="20" t="str">
        <x:v>Automated screening pass: row uses a primary source URL by actor/subfactor; verify with country-specific evidence before final analytical use.</x:v>
      </x:c>
      <x:c r="AA36" s="20" t="str">
        <x:v>2026-05-20</x:v>
      </x:c>
      <x:c r="AB36" s="20" t="str">
        <x:v>GPT-5.5 Pro</x:v>
      </x:c>
    </x:row>
    <x:row r="37" ht="24" customHeight="1">
      <x:c r="A37" s="20" t="str">
        <x:v>BLR|European Union</x:v>
      </x:c>
      <x:c r="B37" s="20" t="str">
        <x:v>Belarus</x:v>
      </x:c>
      <x:c r="C37" s="20" t="str">
        <x:v>Republic of Belarus</x:v>
      </x:c>
      <x:c r="D37" s="20" t="str">
        <x:v>BY</x:v>
      </x:c>
      <x:c r="E37" s="20" t="str">
        <x:v>BLR</x:v>
      </x:c>
      <x:c r="F37" s="20" t="str">
        <x:v>112</x:v>
      </x:c>
      <x:c r="G37" s="20" t="str">
        <x:v>Europe</x:v>
      </x:c>
      <x:c r="H37" s="20" t="str">
        <x:v>Eastern Europe</x:v>
      </x:c>
      <x:c r="I37" s="20" t="str">
        <x:v>European Union</x:v>
      </x:c>
      <x:c r="J37" s="20" t="str">
        <x:v>EU influence</x:v>
      </x:c>
      <x:c r="K37" s="384" t="n">
        <x:v>4</x:v>
      </x:c>
      <x:c r="L37" s="396" t="n">
        <x:v>3</x:v>
      </x:c>
      <x:c r="M37" s="397" t="str">
        <x:v>https://www.eeas.europa.eu/eeas/public-diplomacy_en</x:v>
      </x:c>
      <x:c r="N37" s="384" t="n">
        <x:v>0</x:v>
      </x:c>
      <x:c r="O37" s="396" t="n">
        <x:v>1</x:v>
      </x:c>
      <x:c r="P37" s="397" t="str">
        <x:v>https://www.eeas.europa.eu/eeas/missions-and-operations_en</x:v>
      </x:c>
      <x:c r="Q37" s="384" t="n">
        <x:v>1</x:v>
      </x:c>
      <x:c r="R37" s="396" t="n">
        <x:v>2</x:v>
      </x:c>
      <x:c r="S37" s="397" t="str">
        <x:v>https://www.eeas.europa.eu/eeas/eu-election-observation-missions-1_en?page_lang=en</x:v>
      </x:c>
      <x:c r="T37" s="384" t="n">
        <x:v>1</x:v>
      </x:c>
      <x:c r="U37" s="396" t="n">
        <x:v>2</x:v>
      </x:c>
      <x:c r="V37" s="397" t="str">
        <x:v>https://www.eeas.europa.eu/eeas/missions-and-operations_en</x:v>
      </x:c>
      <x:c r="W37" s="385" t="n">
        <x:f>(--(M37&lt;&gt;"")+--(P37&lt;&gt;"")+--(S37&lt;&gt;"")+--(V37&lt;&gt;""))/4</x:f>
        <x:v>1</x:v>
      </x:c>
      <x:c r="X37" s="384" t="n">
        <x:f>IF(COUNT(K37,N37,Q37,T37)=0,"No data",(IF(ISNUMBER(K37),K37*Factor_Model!$B$4,0)+IF(ISNUMBER(N37),N37*Factor_Model!$B$5,0)+IF(ISNUMBER(Q37),Q37*Factor_Model!$B$6,0)+IF(ISNUMBER(T37),T37*Factor_Model!$B$7,0))/(IF(ISNUMBER(K37),Factor_Model!$B$4,0)+IF(ISNUMBER(N37),Factor_Model!$B$5,0)+IF(ISNUMBER(Q37),Factor_Model!$B$6,0)+IF(ISNUMBER(T37),Factor_Model!$B$7,0)))</x:f>
        <x:v>1.5</x:v>
      </x:c>
      <x:c r="Y37" s="20" t="str">
        <x:f>IF(W37=0,"No source",IF(W37&lt;1,"Partial source","Source-complete"))</x:f>
        <x:v>Source-complete</x:v>
      </x:c>
      <x:c r="Z37" s="20" t="str">
        <x:v>Automated screening pass: row uses a primary source URL by actor/subfactor; verify with country-specific evidence before final analytical use.</x:v>
      </x:c>
      <x:c r="AA37" s="20" t="str">
        <x:v>2026-05-20</x:v>
      </x:c>
      <x:c r="AB37" s="20" t="str">
        <x:v>GPT-5.5 Pro</x:v>
      </x:c>
    </x:row>
    <x:row r="38" ht="24" customHeight="1">
      <x:c r="A38" s="20" t="str">
        <x:v>BEN|Russia</x:v>
      </x:c>
      <x:c r="B38" s="20" t="str">
        <x:v>Benin</x:v>
      </x:c>
      <x:c r="C38" s="20" t="str">
        <x:v>Republic of Benin</x:v>
      </x:c>
      <x:c r="D38" s="20" t="str">
        <x:v>BJ</x:v>
      </x:c>
      <x:c r="E38" s="20" t="str">
        <x:v>BEN</x:v>
      </x:c>
      <x:c r="F38" s="20" t="str">
        <x:v>204</x:v>
      </x:c>
      <x:c r="G38" s="20" t="str">
        <x:v>Africa</x:v>
      </x:c>
      <x:c r="H38" s="20" t="str">
        <x:v>Western Africa</x:v>
      </x:c>
      <x:c r="I38" s="20" t="str">
        <x:v>Russia</x:v>
      </x:c>
      <x:c r="J38" s="20" t="str">
        <x:v>Russian influence</x:v>
      </x:c>
      <x:c r="K38" s="384" t="n">
        <x:v>4</x:v>
      </x:c>
      <x:c r="L38" s="396" t="n">
        <x:v>3</x:v>
      </x:c>
      <x:c r="M38" s="397" t="str">
        <x:v>https://www.eeas.europa.eu/eeas/4th-eeas-annual-report-foreign-information-manipulation-and-interference-threats_en</x:v>
      </x:c>
      <x:c r="N38" s="384" t="n">
        <x:v>1</x:v>
      </x:c>
      <x:c r="O38" s="396" t="n">
        <x:v>2</x:v>
      </x:c>
      <x:c r="P38" s="397" t="str">
        <x:v>https://www.consilium.europa.eu/en/press/press-releases/2023/02/25/wagner-group-council-adds-11-individuals-and-7-entities-to-eu-sanctions-lists/</x:v>
      </x:c>
      <x:c r="Q38" s="384" t="n">
        <x:v>1</x:v>
      </x:c>
      <x:c r="R38" s="396" t="n">
        <x:v>2</x:v>
      </x:c>
      <x:c r="S38" s="397" t="str">
        <x:v>https://www.dni.gov/files/ODNI/documents/assessments/ATA-2026-Unclassified-Report.pdf</x:v>
      </x:c>
      <x:c r="T38" s="384" t="n">
        <x:v>1</x:v>
      </x:c>
      <x:c r="U38" s="396" t="n">
        <x:v>2</x:v>
      </x:c>
      <x:c r="V38" s="397" t="str">
        <x:v>https://www.consilium.europa.eu/en/press/press-releases/2023/02/25/wagner-group-council-adds-11-individuals-and-7-entities-to-eu-sanctions-lists/</x:v>
      </x:c>
      <x:c r="W38" s="385" t="n">
        <x:f>(--(M38&lt;&gt;"")+--(P38&lt;&gt;"")+--(S38&lt;&gt;"")+--(V38&lt;&gt;""))/4</x:f>
        <x:v>1</x:v>
      </x:c>
      <x:c r="X38" s="384" t="n">
        <x:f>IF(COUNT(K38,N38,Q38,T38)=0,"No data",(IF(ISNUMBER(K38),K38*Factor_Model!$B$4,0)+IF(ISNUMBER(N38),N38*Factor_Model!$B$5,0)+IF(ISNUMBER(Q38),Q38*Factor_Model!$B$6,0)+IF(ISNUMBER(T38),T38*Factor_Model!$B$7,0))/(IF(ISNUMBER(K38),Factor_Model!$B$4,0)+IF(ISNUMBER(N38),Factor_Model!$B$5,0)+IF(ISNUMBER(Q38),Factor_Model!$B$6,0)+IF(ISNUMBER(T38),Factor_Model!$B$7,0)))</x:f>
        <x:v>1.75</x:v>
      </x:c>
      <x:c r="Y38" s="20" t="str">
        <x:f>IF(W38=0,"No source",IF(W38&lt;1,"Partial source","Source-complete"))</x:f>
        <x:v>Source-complete</x:v>
      </x:c>
      <x:c r="Z38" s="20" t="str">
        <x:v>Automated screening pass: row uses a primary source URL by actor/subfactor; verify with country-specific evidence before final analytical use.</x:v>
      </x:c>
      <x:c r="AA38" s="20" t="str">
        <x:v>2026-05-20</x:v>
      </x:c>
      <x:c r="AB38" s="20" t="str">
        <x:v>GPT-5.5 Pro</x:v>
      </x:c>
    </x:row>
    <x:row r="39" ht="24" customHeight="1">
      <x:c r="A39" s="20" t="str">
        <x:v>BEN|China</x:v>
      </x:c>
      <x:c r="B39" s="20" t="str">
        <x:v>Benin</x:v>
      </x:c>
      <x:c r="C39" s="20" t="str">
        <x:v>Republic of Benin</x:v>
      </x:c>
      <x:c r="D39" s="20" t="str">
        <x:v>BJ</x:v>
      </x:c>
      <x:c r="E39" s="20" t="str">
        <x:v>BEN</x:v>
      </x:c>
      <x:c r="F39" s="20" t="str">
        <x:v>204</x:v>
      </x:c>
      <x:c r="G39" s="20" t="str">
        <x:v>Africa</x:v>
      </x:c>
      <x:c r="H39" s="20" t="str">
        <x:v>Western Africa</x:v>
      </x:c>
      <x:c r="I39" s="20" t="str">
        <x:v>China</x:v>
      </x:c>
      <x:c r="J39" s="20" t="str">
        <x:v>Chinese influence</x:v>
      </x:c>
      <x:c r="K39" s="384" t="n">
        <x:v>5</x:v>
      </x:c>
      <x:c r="L39" s="396" t="n">
        <x:v>3</x:v>
      </x:c>
      <x:c r="M39" s="397" t="str">
        <x:v>https://www.eeas.europa.eu/eeas/4th-eeas-annual-report-foreign-information-manipulation-and-interference-threats_en</x:v>
      </x:c>
      <x:c r="N39" s="384" t="n">
        <x:v>1</x:v>
      </x:c>
      <x:c r="O39" s="396" t="n">
        <x:v>2</x:v>
      </x:c>
      <x:c r="P39" s="397" t="str">
        <x:v>https://merics.org/en/report/guardians-belt-and-road</x:v>
      </x:c>
      <x:c r="Q39" s="384" t="n">
        <x:v>1</x:v>
      </x:c>
      <x:c r="R39" s="396" t="n">
        <x:v>2</x:v>
      </x:c>
      <x:c r="S39" s="397" t="str">
        <x:v>https://www.eeas.europa.eu/eeas/4th-eeas-annual-report-foreign-information-manipulation-and-interference-threats_en</x:v>
      </x:c>
      <x:c r="T39" s="384" t="n">
        <x:v>1</x:v>
      </x:c>
      <x:c r="U39" s="396" t="n">
        <x:v>2</x:v>
      </x:c>
      <x:c r="V39" s="397" t="str">
        <x:v>https://merics.org/en/report/guardians-belt-and-road</x:v>
      </x:c>
      <x:c r="W39" s="385" t="n">
        <x:f>(--(M39&lt;&gt;"")+--(P39&lt;&gt;"")+--(S39&lt;&gt;"")+--(V39&lt;&gt;""))/4</x:f>
        <x:v>1</x:v>
      </x:c>
      <x:c r="X39" s="384" t="n">
        <x:f>IF(COUNT(K39,N39,Q39,T39)=0,"No data",(IF(ISNUMBER(K39),K39*Factor_Model!$B$4,0)+IF(ISNUMBER(N39),N39*Factor_Model!$B$5,0)+IF(ISNUMBER(Q39),Q39*Factor_Model!$B$6,0)+IF(ISNUMBER(T39),T39*Factor_Model!$B$7,0))/(IF(ISNUMBER(K39),Factor_Model!$B$4,0)+IF(ISNUMBER(N39),Factor_Model!$B$5,0)+IF(ISNUMBER(Q39),Factor_Model!$B$6,0)+IF(ISNUMBER(T39),Factor_Model!$B$7,0)))</x:f>
        <x:v>2</x:v>
      </x:c>
      <x:c r="Y39" s="20" t="str">
        <x:f>IF(W39=0,"No source",IF(W39&lt;1,"Partial source","Source-complete"))</x:f>
        <x:v>Source-complete</x:v>
      </x:c>
      <x:c r="Z39" s="20" t="str">
        <x:v>Automated screening pass: row uses a primary source URL by actor/subfactor; verify with country-specific evidence before final analytical use.</x:v>
      </x:c>
      <x:c r="AA39" s="20" t="str">
        <x:v>2026-05-20</x:v>
      </x:c>
      <x:c r="AB39" s="20" t="str">
        <x:v>GPT-5.5 Pro</x:v>
      </x:c>
    </x:row>
    <x:row r="40" ht="24" customHeight="1">
      <x:c r="A40" s="20" t="str">
        <x:v>BEN|United States</x:v>
      </x:c>
      <x:c r="B40" s="20" t="str">
        <x:v>Benin</x:v>
      </x:c>
      <x:c r="C40" s="20" t="str">
        <x:v>Republic of Benin</x:v>
      </x:c>
      <x:c r="D40" s="20" t="str">
        <x:v>BJ</x:v>
      </x:c>
      <x:c r="E40" s="20" t="str">
        <x:v>BEN</x:v>
      </x:c>
      <x:c r="F40" s="20" t="str">
        <x:v>204</x:v>
      </x:c>
      <x:c r="G40" s="20" t="str">
        <x:v>Africa</x:v>
      </x:c>
      <x:c r="H40" s="20" t="str">
        <x:v>Western Africa</x:v>
      </x:c>
      <x:c r="I40" s="20" t="str">
        <x:v>United States</x:v>
      </x:c>
      <x:c r="J40" s="20" t="str">
        <x:v>American influence</x:v>
      </x:c>
      <x:c r="K40" s="384" t="n">
        <x:v>4</x:v>
      </x:c>
      <x:c r="L40" s="396" t="n">
        <x:v>3</x:v>
      </x:c>
      <x:c r="M40" s="397" t="str">
        <x:v>https://www.usagm.gov/our-work/strategy-and-results/strategic-priorities/research-reports/</x:v>
      </x:c>
      <x:c r="N40" s="384" t="n">
        <x:v>2</x:v>
      </x:c>
      <x:c r="O40" s="396" t="n">
        <x:v>2</x:v>
      </x:c>
      <x:c r="P40" s="397" t="str">
        <x:v>https://internationalpolicy.org/programs/sam/</x:v>
      </x:c>
      <x:c r="Q40" s="384" t="n">
        <x:v>2</x:v>
      </x:c>
      <x:c r="R40" s="396" t="n">
        <x:v>2</x:v>
      </x:c>
      <x:c r="S40" s="397" t="str">
        <x:v>https://www.ned.org/ned-grantmaking/</x:v>
      </x:c>
      <x:c r="T40" s="384" t="n">
        <x:v>3</x:v>
      </x:c>
      <x:c r="U40" s="396" t="n">
        <x:v>3</x:v>
      </x:c>
      <x:c r="V40" s="397" t="str">
        <x:v>https://internationalpolicy.org/programs/sam/</x:v>
      </x:c>
      <x:c r="W40" s="385" t="n">
        <x:f>(--(M40&lt;&gt;"")+--(P40&lt;&gt;"")+--(S40&lt;&gt;"")+--(V40&lt;&gt;""))/4</x:f>
        <x:v>1</x:v>
      </x:c>
      <x:c r="X40" s="384" t="n">
        <x:f>IF(COUNT(K40,N40,Q40,T40)=0,"No data",(IF(ISNUMBER(K40),K40*Factor_Model!$B$4,0)+IF(ISNUMBER(N40),N40*Factor_Model!$B$5,0)+IF(ISNUMBER(Q40),Q40*Factor_Model!$B$6,0)+IF(ISNUMBER(T40),T40*Factor_Model!$B$7,0))/(IF(ISNUMBER(K40),Factor_Model!$B$4,0)+IF(ISNUMBER(N40),Factor_Model!$B$5,0)+IF(ISNUMBER(Q40),Factor_Model!$B$6,0)+IF(ISNUMBER(T40),Factor_Model!$B$7,0)))</x:f>
        <x:v>2.75</x:v>
      </x:c>
      <x:c r="Y40" s="20" t="str">
        <x:f>IF(W40=0,"No source",IF(W40&lt;1,"Partial source","Source-complete"))</x:f>
        <x:v>Source-complete</x:v>
      </x:c>
      <x:c r="Z40" s="20" t="str">
        <x:v>Automated screening pass: row uses a primary source URL by actor/subfactor; verify with country-specific evidence before final analytical use.</x:v>
      </x:c>
      <x:c r="AA40" s="20" t="str">
        <x:v>2026-05-20</x:v>
      </x:c>
      <x:c r="AB40" s="20" t="str">
        <x:v>GPT-5.5 Pro</x:v>
      </x:c>
    </x:row>
    <x:row r="41" ht="24" customHeight="1">
      <x:c r="A41" s="20" t="str">
        <x:v>BEN|European Union</x:v>
      </x:c>
      <x:c r="B41" s="20" t="str">
        <x:v>Benin</x:v>
      </x:c>
      <x:c r="C41" s="20" t="str">
        <x:v>Republic of Benin</x:v>
      </x:c>
      <x:c r="D41" s="20" t="str">
        <x:v>BJ</x:v>
      </x:c>
      <x:c r="E41" s="20" t="str">
        <x:v>BEN</x:v>
      </x:c>
      <x:c r="F41" s="20" t="str">
        <x:v>204</x:v>
      </x:c>
      <x:c r="G41" s="20" t="str">
        <x:v>Africa</x:v>
      </x:c>
      <x:c r="H41" s="20" t="str">
        <x:v>Western Africa</x:v>
      </x:c>
      <x:c r="I41" s="20" t="str">
        <x:v>European Union</x:v>
      </x:c>
      <x:c r="J41" s="20" t="str">
        <x:v>EU influence</x:v>
      </x:c>
      <x:c r="K41" s="384" t="n">
        <x:v>3</x:v>
      </x:c>
      <x:c r="L41" s="396" t="n">
        <x:v>3</x:v>
      </x:c>
      <x:c r="M41" s="397" t="str">
        <x:v>https://www.eeas.europa.eu/eeas/public-diplomacy_en</x:v>
      </x:c>
      <x:c r="N41" s="384" t="n">
        <x:v>0</x:v>
      </x:c>
      <x:c r="O41" s="396" t="n">
        <x:v>1</x:v>
      </x:c>
      <x:c r="P41" s="397" t="str">
        <x:v>https://www.eeas.europa.eu/eeas/missions-and-operations_en</x:v>
      </x:c>
      <x:c r="Q41" s="384" t="n">
        <x:v>1</x:v>
      </x:c>
      <x:c r="R41" s="396" t="n">
        <x:v>2</x:v>
      </x:c>
      <x:c r="S41" s="397" t="str">
        <x:v>https://www.eeas.europa.eu/eeas/eu-election-observation-missions-1_en?page_lang=en</x:v>
      </x:c>
      <x:c r="T41" s="384" t="n">
        <x:v>2</x:v>
      </x:c>
      <x:c r="U41" s="396" t="n">
        <x:v>2</x:v>
      </x:c>
      <x:c r="V41" s="397" t="str">
        <x:v>https://www.eeas.europa.eu/eeas/missions-and-operations_en</x:v>
      </x:c>
      <x:c r="W41" s="385" t="n">
        <x:f>(--(M41&lt;&gt;"")+--(P41&lt;&gt;"")+--(S41&lt;&gt;"")+--(V41&lt;&gt;""))/4</x:f>
        <x:v>1</x:v>
      </x:c>
      <x:c r="X41" s="384" t="n">
        <x:f>IF(COUNT(K41,N41,Q41,T41)=0,"No data",(IF(ISNUMBER(K41),K41*Factor_Model!$B$4,0)+IF(ISNUMBER(N41),N41*Factor_Model!$B$5,0)+IF(ISNUMBER(Q41),Q41*Factor_Model!$B$6,0)+IF(ISNUMBER(T41),T41*Factor_Model!$B$7,0))/(IF(ISNUMBER(K41),Factor_Model!$B$4,0)+IF(ISNUMBER(N41),Factor_Model!$B$5,0)+IF(ISNUMBER(Q41),Factor_Model!$B$6,0)+IF(ISNUMBER(T41),Factor_Model!$B$7,0)))</x:f>
        <x:v>1.5</x:v>
      </x:c>
      <x:c r="Y41" s="20" t="str">
        <x:f>IF(W41=0,"No source",IF(W41&lt;1,"Partial source","Source-complete"))</x:f>
        <x:v>Source-complete</x:v>
      </x:c>
      <x:c r="Z41" s="20" t="str">
        <x:v>Automated screening pass: row uses a primary source URL by actor/subfactor; verify with country-specific evidence before final analytical use.</x:v>
      </x:c>
      <x:c r="AA41" s="20" t="str">
        <x:v>2026-05-20</x:v>
      </x:c>
      <x:c r="AB41" s="20" t="str">
        <x:v>GPT-5.5 Pro</x:v>
      </x:c>
    </x:row>
    <x:row r="42" ht="24" customHeight="1">
      <x:c r="A42" s="20" t="str">
        <x:v>BOL|Russia</x:v>
      </x:c>
      <x:c r="B42" s="20" t="str">
        <x:v>Bolivia</x:v>
      </x:c>
      <x:c r="C42" s="20" t="str">
        <x:v>Plurinational State of Bolivia</x:v>
      </x:c>
      <x:c r="D42" s="20" t="str">
        <x:v>BO</x:v>
      </x:c>
      <x:c r="E42" s="20" t="str">
        <x:v>BOL</x:v>
      </x:c>
      <x:c r="F42" s="20" t="str">
        <x:v>068</x:v>
      </x:c>
      <x:c r="G42" s="20" t="str">
        <x:v>Americas</x:v>
      </x:c>
      <x:c r="H42" s="20" t="str">
        <x:v>South America</x:v>
      </x:c>
      <x:c r="I42" s="20" t="str">
        <x:v>Russia</x:v>
      </x:c>
      <x:c r="J42" s="20" t="str">
        <x:v>Russian influence</x:v>
      </x:c>
      <x:c r="K42" s="384" t="n">
        <x:v>7</x:v>
      </x:c>
      <x:c r="L42" s="396" t="n">
        <x:v>4</x:v>
      </x:c>
      <x:c r="M42" s="397" t="str">
        <x:v>https://www.eeas.europa.eu/eeas/4th-eeas-annual-report-foreign-information-manipulation-and-interference-threats_en</x:v>
      </x:c>
      <x:c r="N42" s="384" t="n">
        <x:v>0</x:v>
      </x:c>
      <x:c r="O42" s="396" t="n">
        <x:v>1</x:v>
      </x:c>
      <x:c r="P42" s="397" t="str">
        <x:v>https://www.consilium.europa.eu/en/press/press-releases/2023/02/25/wagner-group-council-adds-11-individuals-and-7-entities-to-eu-sanctions-lists/</x:v>
      </x:c>
      <x:c r="Q42" s="384" t="n">
        <x:v>3</x:v>
      </x:c>
      <x:c r="R42" s="396" t="n">
        <x:v>3</x:v>
      </x:c>
      <x:c r="S42" s="397" t="str">
        <x:v>https://www.dni.gov/files/ODNI/documents/assessments/ATA-2026-Unclassified-Report.pdf</x:v>
      </x:c>
      <x:c r="T42" s="384" t="n">
        <x:v>0</x:v>
      </x:c>
      <x:c r="U42" s="396" t="n">
        <x:v>1</x:v>
      </x:c>
      <x:c r="V42" s="397" t="str">
        <x:v>https://www.consilium.europa.eu/en/press/press-releases/2023/02/25/wagner-group-council-adds-11-individuals-and-7-entities-to-eu-sanctions-lists/</x:v>
      </x:c>
      <x:c r="W42" s="385" t="n">
        <x:f>(--(M42&lt;&gt;"")+--(P42&lt;&gt;"")+--(S42&lt;&gt;"")+--(V42&lt;&gt;""))/4</x:f>
        <x:v>1</x:v>
      </x:c>
      <x:c r="X42" s="384" t="n">
        <x:f>IF(COUNT(K42,N42,Q42,T42)=0,"No data",(IF(ISNUMBER(K42),K42*Factor_Model!$B$4,0)+IF(ISNUMBER(N42),N42*Factor_Model!$B$5,0)+IF(ISNUMBER(Q42),Q42*Factor_Model!$B$6,0)+IF(ISNUMBER(T42),T42*Factor_Model!$B$7,0))/(IF(ISNUMBER(K42),Factor_Model!$B$4,0)+IF(ISNUMBER(N42),Factor_Model!$B$5,0)+IF(ISNUMBER(Q42),Factor_Model!$B$6,0)+IF(ISNUMBER(T42),Factor_Model!$B$7,0)))</x:f>
        <x:v>2.5</x:v>
      </x:c>
      <x:c r="Y42" s="20" t="str">
        <x:f>IF(W42=0,"No source",IF(W42&lt;1,"Partial source","Source-complete"))</x:f>
        <x:v>Source-complete</x:v>
      </x:c>
      <x:c r="Z42" s="20" t="str">
        <x:v>Automated screening pass: row uses a primary source URL by actor/subfactor; verify with country-specific evidence before final analytical use.</x:v>
      </x:c>
      <x:c r="AA42" s="20" t="str">
        <x:v>2026-05-20</x:v>
      </x:c>
      <x:c r="AB42" s="20" t="str">
        <x:v>GPT-5.5 Pro</x:v>
      </x:c>
    </x:row>
    <x:row r="43" ht="24" customHeight="1">
      <x:c r="A43" s="20" t="str">
        <x:v>BOL|China</x:v>
      </x:c>
      <x:c r="B43" s="20" t="str">
        <x:v>Bolivia</x:v>
      </x:c>
      <x:c r="C43" s="20" t="str">
        <x:v>Plurinational State of Bolivia</x:v>
      </x:c>
      <x:c r="D43" s="20" t="str">
        <x:v>BO</x:v>
      </x:c>
      <x:c r="E43" s="20" t="str">
        <x:v>BOL</x:v>
      </x:c>
      <x:c r="F43" s="20" t="str">
        <x:v>068</x:v>
      </x:c>
      <x:c r="G43" s="20" t="str">
        <x:v>Americas</x:v>
      </x:c>
      <x:c r="H43" s="20" t="str">
        <x:v>South America</x:v>
      </x:c>
      <x:c r="I43" s="20" t="str">
        <x:v>China</x:v>
      </x:c>
      <x:c r="J43" s="20" t="str">
        <x:v>Chinese influence</x:v>
      </x:c>
      <x:c r="K43" s="384" t="n">
        <x:v>4</x:v>
      </x:c>
      <x:c r="L43" s="396" t="n">
        <x:v>3</x:v>
      </x:c>
      <x:c r="M43" s="397" t="str">
        <x:v>https://www.eeas.europa.eu/eeas/4th-eeas-annual-report-foreign-information-manipulation-and-interference-threats_en</x:v>
      </x:c>
      <x:c r="N43" s="384" t="n">
        <x:v>0</x:v>
      </x:c>
      <x:c r="O43" s="396" t="n">
        <x:v>1</x:v>
      </x:c>
      <x:c r="P43" s="397" t="str">
        <x:v>https://merics.org/en/report/guardians-belt-and-road</x:v>
      </x:c>
      <x:c r="Q43" s="384" t="n">
        <x:v>2</x:v>
      </x:c>
      <x:c r="R43" s="396" t="n">
        <x:v>2</x:v>
      </x:c>
      <x:c r="S43" s="397" t="str">
        <x:v>https://www.eeas.europa.eu/eeas/4th-eeas-annual-report-foreign-information-manipulation-and-interference-threats_en</x:v>
      </x:c>
      <x:c r="T43" s="384" t="n">
        <x:v>0</x:v>
      </x:c>
      <x:c r="U43" s="396" t="n">
        <x:v>1</x:v>
      </x:c>
      <x:c r="V43" s="397" t="str">
        <x:v>https://merics.org/en/report/guardians-belt-and-road</x:v>
      </x:c>
      <x:c r="W43" s="385" t="n">
        <x:f>(--(M43&lt;&gt;"")+--(P43&lt;&gt;"")+--(S43&lt;&gt;"")+--(V43&lt;&gt;""))/4</x:f>
        <x:v>1</x:v>
      </x:c>
      <x:c r="X43" s="384" t="n">
        <x:f>IF(COUNT(K43,N43,Q43,T43)=0,"No data",(IF(ISNUMBER(K43),K43*Factor_Model!$B$4,0)+IF(ISNUMBER(N43),N43*Factor_Model!$B$5,0)+IF(ISNUMBER(Q43),Q43*Factor_Model!$B$6,0)+IF(ISNUMBER(T43),T43*Factor_Model!$B$7,0))/(IF(ISNUMBER(K43),Factor_Model!$B$4,0)+IF(ISNUMBER(N43),Factor_Model!$B$5,0)+IF(ISNUMBER(Q43),Factor_Model!$B$6,0)+IF(ISNUMBER(T43),Factor_Model!$B$7,0)))</x:f>
        <x:v>1.5</x:v>
      </x:c>
      <x:c r="Y43" s="20" t="str">
        <x:f>IF(W43=0,"No source",IF(W43&lt;1,"Partial source","Source-complete"))</x:f>
        <x:v>Source-complete</x:v>
      </x:c>
      <x:c r="Z43" s="20" t="str">
        <x:v>Automated screening pass: row uses a primary source URL by actor/subfactor; verify with country-specific evidence before final analytical use.</x:v>
      </x:c>
      <x:c r="AA43" s="20" t="str">
        <x:v>2026-05-20</x:v>
      </x:c>
      <x:c r="AB43" s="20" t="str">
        <x:v>GPT-5.5 Pro</x:v>
      </x:c>
    </x:row>
    <x:row r="44" ht="24" customHeight="1">
      <x:c r="A44" s="20" t="str">
        <x:v>BOL|United States</x:v>
      </x:c>
      <x:c r="B44" s="20" t="str">
        <x:v>Bolivia</x:v>
      </x:c>
      <x:c r="C44" s="20" t="str">
        <x:v>Plurinational State of Bolivia</x:v>
      </x:c>
      <x:c r="D44" s="20" t="str">
        <x:v>BO</x:v>
      </x:c>
      <x:c r="E44" s="20" t="str">
        <x:v>BOL</x:v>
      </x:c>
      <x:c r="F44" s="20" t="str">
        <x:v>068</x:v>
      </x:c>
      <x:c r="G44" s="20" t="str">
        <x:v>Americas</x:v>
      </x:c>
      <x:c r="H44" s="20" t="str">
        <x:v>South America</x:v>
      </x:c>
      <x:c r="I44" s="20" t="str">
        <x:v>United States</x:v>
      </x:c>
      <x:c r="J44" s="20" t="str">
        <x:v>American influence</x:v>
      </x:c>
      <x:c r="K44" s="384" t="n">
        <x:v>3</x:v>
      </x:c>
      <x:c r="L44" s="396" t="n">
        <x:v>3</x:v>
      </x:c>
      <x:c r="M44" s="397" t="str">
        <x:v>https://www.usagm.gov/our-work/strategy-and-results/strategic-priorities/research-reports/</x:v>
      </x:c>
      <x:c r="N44" s="384" t="n">
        <x:v>2</x:v>
      </x:c>
      <x:c r="O44" s="396" t="n">
        <x:v>2</x:v>
      </x:c>
      <x:c r="P44" s="397" t="str">
        <x:v>https://internationalpolicy.org/programs/sam/</x:v>
      </x:c>
      <x:c r="Q44" s="384" t="n">
        <x:v>3</x:v>
      </x:c>
      <x:c r="R44" s="396" t="n">
        <x:v>3</x:v>
      </x:c>
      <x:c r="S44" s="397" t="str">
        <x:v>https://www.ned.org/ned-grantmaking/</x:v>
      </x:c>
      <x:c r="T44" s="384" t="n">
        <x:v>4</x:v>
      </x:c>
      <x:c r="U44" s="396" t="n">
        <x:v>3</x:v>
      </x:c>
      <x:c r="V44" s="397" t="str">
        <x:v>https://internationalpolicy.org/programs/sam/</x:v>
      </x:c>
      <x:c r="W44" s="385" t="n">
        <x:f>(--(M44&lt;&gt;"")+--(P44&lt;&gt;"")+--(S44&lt;&gt;"")+--(V44&lt;&gt;""))/4</x:f>
        <x:v>1</x:v>
      </x:c>
      <x:c r="X44" s="384" t="n">
        <x:f>IF(COUNT(K44,N44,Q44,T44)=0,"No data",(IF(ISNUMBER(K44),K44*Factor_Model!$B$4,0)+IF(ISNUMBER(N44),N44*Factor_Model!$B$5,0)+IF(ISNUMBER(Q44),Q44*Factor_Model!$B$6,0)+IF(ISNUMBER(T44),T44*Factor_Model!$B$7,0))/(IF(ISNUMBER(K44),Factor_Model!$B$4,0)+IF(ISNUMBER(N44),Factor_Model!$B$5,0)+IF(ISNUMBER(Q44),Factor_Model!$B$6,0)+IF(ISNUMBER(T44),Factor_Model!$B$7,0)))</x:f>
        <x:v>3</x:v>
      </x:c>
      <x:c r="Y44" s="20" t="str">
        <x:f>IF(W44=0,"No source",IF(W44&lt;1,"Partial source","Source-complete"))</x:f>
        <x:v>Source-complete</x:v>
      </x:c>
      <x:c r="Z44" s="20" t="str">
        <x:v>Automated screening pass: row uses a primary source URL by actor/subfactor; verify with country-specific evidence before final analytical use.</x:v>
      </x:c>
      <x:c r="AA44" s="20" t="str">
        <x:v>2026-05-20</x:v>
      </x:c>
      <x:c r="AB44" s="20" t="str">
        <x:v>GPT-5.5 Pro</x:v>
      </x:c>
    </x:row>
    <x:row r="45" ht="24" customHeight="1">
      <x:c r="A45" s="20" t="str">
        <x:v>BOL|European Union</x:v>
      </x:c>
      <x:c r="B45" s="20" t="str">
        <x:v>Bolivia</x:v>
      </x:c>
      <x:c r="C45" s="20" t="str">
        <x:v>Plurinational State of Bolivia</x:v>
      </x:c>
      <x:c r="D45" s="20" t="str">
        <x:v>BO</x:v>
      </x:c>
      <x:c r="E45" s="20" t="str">
        <x:v>BOL</x:v>
      </x:c>
      <x:c r="F45" s="20" t="str">
        <x:v>068</x:v>
      </x:c>
      <x:c r="G45" s="20" t="str">
        <x:v>Americas</x:v>
      </x:c>
      <x:c r="H45" s="20" t="str">
        <x:v>South America</x:v>
      </x:c>
      <x:c r="I45" s="20" t="str">
        <x:v>European Union</x:v>
      </x:c>
      <x:c r="J45" s="20" t="str">
        <x:v>EU influence</x:v>
      </x:c>
      <x:c r="K45" s="384" t="n">
        <x:v>3</x:v>
      </x:c>
      <x:c r="L45" s="396" t="n">
        <x:v>3</x:v>
      </x:c>
      <x:c r="M45" s="397" t="str">
        <x:v>https://www.eeas.europa.eu/eeas/public-diplomacy_en</x:v>
      </x:c>
      <x:c r="N45" s="384" t="n">
        <x:v>0</x:v>
      </x:c>
      <x:c r="O45" s="396" t="n">
        <x:v>1</x:v>
      </x:c>
      <x:c r="P45" s="397" t="str">
        <x:v>https://www.eeas.europa.eu/eeas/missions-and-operations_en</x:v>
      </x:c>
      <x:c r="Q45" s="384" t="n">
        <x:v>2</x:v>
      </x:c>
      <x:c r="R45" s="396" t="n">
        <x:v>2</x:v>
      </x:c>
      <x:c r="S45" s="397" t="str">
        <x:v>https://www.eeas.europa.eu/eeas/eu-election-observation-missions-1_en?page_lang=en</x:v>
      </x:c>
      <x:c r="T45" s="384" t="n">
        <x:v>2</x:v>
      </x:c>
      <x:c r="U45" s="396" t="n">
        <x:v>2</x:v>
      </x:c>
      <x:c r="V45" s="397" t="str">
        <x:v>https://www.eeas.europa.eu/eeas/missions-and-operations_en</x:v>
      </x:c>
      <x:c r="W45" s="385" t="n">
        <x:f>(--(M45&lt;&gt;"")+--(P45&lt;&gt;"")+--(S45&lt;&gt;"")+--(V45&lt;&gt;""))/4</x:f>
        <x:v>1</x:v>
      </x:c>
      <x:c r="X45" s="384" t="n">
        <x:f>IF(COUNT(K45,N45,Q45,T45)=0,"No data",(IF(ISNUMBER(K45),K45*Factor_Model!$B$4,0)+IF(ISNUMBER(N45),N45*Factor_Model!$B$5,0)+IF(ISNUMBER(Q45),Q45*Factor_Model!$B$6,0)+IF(ISNUMBER(T45),T45*Factor_Model!$B$7,0))/(IF(ISNUMBER(K45),Factor_Model!$B$4,0)+IF(ISNUMBER(N45),Factor_Model!$B$5,0)+IF(ISNUMBER(Q45),Factor_Model!$B$6,0)+IF(ISNUMBER(T45),Factor_Model!$B$7,0)))</x:f>
        <x:v>1.75</x:v>
      </x:c>
      <x:c r="Y45" s="20" t="str">
        <x:f>IF(W45=0,"No source",IF(W45&lt;1,"Partial source","Source-complete"))</x:f>
        <x:v>Source-complete</x:v>
      </x:c>
      <x:c r="Z45" s="20" t="str">
        <x:v>Automated screening pass: row uses a primary source URL by actor/subfactor; verify with country-specific evidence before final analytical use.</x:v>
      </x:c>
      <x:c r="AA45" s="20" t="str">
        <x:v>2026-05-20</x:v>
      </x:c>
      <x:c r="AB45" s="20" t="str">
        <x:v>GPT-5.5 Pro</x:v>
      </x:c>
    </x:row>
    <x:row r="46" ht="24" customHeight="1">
      <x:c r="A46" s="20" t="str">
        <x:v>BRA|Russia</x:v>
      </x:c>
      <x:c r="B46" s="20" t="str">
        <x:v>Brazil</x:v>
      </x:c>
      <x:c r="C46" s="20" t="str">
        <x:v>Federative Republic of Brazil</x:v>
      </x:c>
      <x:c r="D46" s="20" t="str">
        <x:v>BR</x:v>
      </x:c>
      <x:c r="E46" s="20" t="str">
        <x:v>BRA</x:v>
      </x:c>
      <x:c r="F46" s="20" t="str">
        <x:v>076</x:v>
      </x:c>
      <x:c r="G46" s="20" t="str">
        <x:v>Americas</x:v>
      </x:c>
      <x:c r="H46" s="20" t="str">
        <x:v>South America</x:v>
      </x:c>
      <x:c r="I46" s="20" t="str">
        <x:v>Russia</x:v>
      </x:c>
      <x:c r="J46" s="20" t="str">
        <x:v>Russian influence</x:v>
      </x:c>
      <x:c r="K46" s="384" t="n">
        <x:v>3</x:v>
      </x:c>
      <x:c r="L46" s="396" t="n">
        <x:v>3</x:v>
      </x:c>
      <x:c r="M46" s="397" t="str">
        <x:v>https://www.eeas.europa.eu/eeas/4th-eeas-annual-report-foreign-information-manipulation-and-interference-threats_en</x:v>
      </x:c>
      <x:c r="N46" s="384" t="n">
        <x:v>0</x:v>
      </x:c>
      <x:c r="O46" s="396" t="n">
        <x:v>1</x:v>
      </x:c>
      <x:c r="P46" s="397" t="str">
        <x:v>https://www.consilium.europa.eu/en/press/press-releases/2023/02/25/wagner-group-council-adds-11-individuals-and-7-entities-to-eu-sanctions-lists/</x:v>
      </x:c>
      <x:c r="Q46" s="384" t="n">
        <x:v>3</x:v>
      </x:c>
      <x:c r="R46" s="396" t="n">
        <x:v>3</x:v>
      </x:c>
      <x:c r="S46" s="397" t="str">
        <x:v>https://www.dni.gov/files/ODNI/documents/assessments/ATA-2026-Unclassified-Report.pdf</x:v>
      </x:c>
      <x:c r="T46" s="384" t="n">
        <x:v>0</x:v>
      </x:c>
      <x:c r="U46" s="396" t="n">
        <x:v>1</x:v>
      </x:c>
      <x:c r="V46" s="397" t="str">
        <x:v>https://www.consilium.europa.eu/en/press/press-releases/2023/02/25/wagner-group-council-adds-11-individuals-and-7-entities-to-eu-sanctions-lists/</x:v>
      </x:c>
      <x:c r="W46" s="385" t="n">
        <x:f>(--(M46&lt;&gt;"")+--(P46&lt;&gt;"")+--(S46&lt;&gt;"")+--(V46&lt;&gt;""))/4</x:f>
        <x:v>1</x:v>
      </x:c>
      <x:c r="X46" s="384" t="n">
        <x:f>IF(COUNT(K46,N46,Q46,T46)=0,"No data",(IF(ISNUMBER(K46),K46*Factor_Model!$B$4,0)+IF(ISNUMBER(N46),N46*Factor_Model!$B$5,0)+IF(ISNUMBER(Q46),Q46*Factor_Model!$B$6,0)+IF(ISNUMBER(T46),T46*Factor_Model!$B$7,0))/(IF(ISNUMBER(K46),Factor_Model!$B$4,0)+IF(ISNUMBER(N46),Factor_Model!$B$5,0)+IF(ISNUMBER(Q46),Factor_Model!$B$6,0)+IF(ISNUMBER(T46),Factor_Model!$B$7,0)))</x:f>
        <x:v>1.5</x:v>
      </x:c>
      <x:c r="Y46" s="20" t="str">
        <x:f>IF(W46=0,"No source",IF(W46&lt;1,"Partial source","Source-complete"))</x:f>
        <x:v>Source-complete</x:v>
      </x:c>
      <x:c r="Z46" s="20" t="str">
        <x:v>Automated screening pass: row uses a primary source URL by actor/subfactor; verify with country-specific evidence before final analytical use.</x:v>
      </x:c>
      <x:c r="AA46" s="20" t="str">
        <x:v>2026-05-20</x:v>
      </x:c>
      <x:c r="AB46" s="20" t="str">
        <x:v>GPT-5.5 Pro</x:v>
      </x:c>
    </x:row>
    <x:row r="47" ht="24" customHeight="1">
      <x:c r="A47" s="20" t="str">
        <x:v>BRA|China</x:v>
      </x:c>
      <x:c r="B47" s="20" t="str">
        <x:v>Brazil</x:v>
      </x:c>
      <x:c r="C47" s="20" t="str">
        <x:v>Federative Republic of Brazil</x:v>
      </x:c>
      <x:c r="D47" s="20" t="str">
        <x:v>BR</x:v>
      </x:c>
      <x:c r="E47" s="20" t="str">
        <x:v>BRA</x:v>
      </x:c>
      <x:c r="F47" s="20" t="str">
        <x:v>076</x:v>
      </x:c>
      <x:c r="G47" s="20" t="str">
        <x:v>Americas</x:v>
      </x:c>
      <x:c r="H47" s="20" t="str">
        <x:v>South America</x:v>
      </x:c>
      <x:c r="I47" s="20" t="str">
        <x:v>China</x:v>
      </x:c>
      <x:c r="J47" s="20" t="str">
        <x:v>Chinese influence</x:v>
      </x:c>
      <x:c r="K47" s="384" t="n">
        <x:v>4</x:v>
      </x:c>
      <x:c r="L47" s="396" t="n">
        <x:v>3</x:v>
      </x:c>
      <x:c r="M47" s="397" t="str">
        <x:v>https://www.eeas.europa.eu/eeas/4th-eeas-annual-report-foreign-information-manipulation-and-interference-threats_en</x:v>
      </x:c>
      <x:c r="N47" s="384" t="n">
        <x:v>0</x:v>
      </x:c>
      <x:c r="O47" s="396" t="n">
        <x:v>1</x:v>
      </x:c>
      <x:c r="P47" s="397" t="str">
        <x:v>https://merics.org/en/report/guardians-belt-and-road</x:v>
      </x:c>
      <x:c r="Q47" s="384" t="n">
        <x:v>2</x:v>
      </x:c>
      <x:c r="R47" s="396" t="n">
        <x:v>2</x:v>
      </x:c>
      <x:c r="S47" s="397" t="str">
        <x:v>https://www.eeas.europa.eu/eeas/4th-eeas-annual-report-foreign-information-manipulation-and-interference-threats_en</x:v>
      </x:c>
      <x:c r="T47" s="384" t="n">
        <x:v>0</x:v>
      </x:c>
      <x:c r="U47" s="396" t="n">
        <x:v>1</x:v>
      </x:c>
      <x:c r="V47" s="397" t="str">
        <x:v>https://merics.org/en/report/guardians-belt-and-road</x:v>
      </x:c>
      <x:c r="W47" s="385" t="n">
        <x:f>(--(M47&lt;&gt;"")+--(P47&lt;&gt;"")+--(S47&lt;&gt;"")+--(V47&lt;&gt;""))/4</x:f>
        <x:v>1</x:v>
      </x:c>
      <x:c r="X47" s="384" t="n">
        <x:f>IF(COUNT(K47,N47,Q47,T47)=0,"No data",(IF(ISNUMBER(K47),K47*Factor_Model!$B$4,0)+IF(ISNUMBER(N47),N47*Factor_Model!$B$5,0)+IF(ISNUMBER(Q47),Q47*Factor_Model!$B$6,0)+IF(ISNUMBER(T47),T47*Factor_Model!$B$7,0))/(IF(ISNUMBER(K47),Factor_Model!$B$4,0)+IF(ISNUMBER(N47),Factor_Model!$B$5,0)+IF(ISNUMBER(Q47),Factor_Model!$B$6,0)+IF(ISNUMBER(T47),Factor_Model!$B$7,0)))</x:f>
        <x:v>1.5</x:v>
      </x:c>
      <x:c r="Y47" s="20" t="str">
        <x:f>IF(W47=0,"No source",IF(W47&lt;1,"Partial source","Source-complete"))</x:f>
        <x:v>Source-complete</x:v>
      </x:c>
      <x:c r="Z47" s="20" t="str">
        <x:v>Automated screening pass: row uses a primary source URL by actor/subfactor; verify with country-specific evidence before final analytical use.</x:v>
      </x:c>
      <x:c r="AA47" s="20" t="str">
        <x:v>2026-05-20</x:v>
      </x:c>
      <x:c r="AB47" s="20" t="str">
        <x:v>GPT-5.5 Pro</x:v>
      </x:c>
    </x:row>
    <x:row r="48" ht="24" customHeight="1">
      <x:c r="A48" s="20" t="str">
        <x:v>BRA|United States</x:v>
      </x:c>
      <x:c r="B48" s="20" t="str">
        <x:v>Brazil</x:v>
      </x:c>
      <x:c r="C48" s="20" t="str">
        <x:v>Federative Republic of Brazil</x:v>
      </x:c>
      <x:c r="D48" s="20" t="str">
        <x:v>BR</x:v>
      </x:c>
      <x:c r="E48" s="20" t="str">
        <x:v>BRA</x:v>
      </x:c>
      <x:c r="F48" s="20" t="str">
        <x:v>076</x:v>
      </x:c>
      <x:c r="G48" s="20" t="str">
        <x:v>Americas</x:v>
      </x:c>
      <x:c r="H48" s="20" t="str">
        <x:v>South America</x:v>
      </x:c>
      <x:c r="I48" s="20" t="str">
        <x:v>United States</x:v>
      </x:c>
      <x:c r="J48" s="20" t="str">
        <x:v>American influence</x:v>
      </x:c>
      <x:c r="K48" s="384" t="n">
        <x:v>3</x:v>
      </x:c>
      <x:c r="L48" s="396" t="n">
        <x:v>3</x:v>
      </x:c>
      <x:c r="M48" s="397" t="str">
        <x:v>https://www.usagm.gov/our-work/strategy-and-results/strategic-priorities/research-reports/</x:v>
      </x:c>
      <x:c r="N48" s="384" t="n">
        <x:v>2</x:v>
      </x:c>
      <x:c r="O48" s="396" t="n">
        <x:v>2</x:v>
      </x:c>
      <x:c r="P48" s="397" t="str">
        <x:v>https://internationalpolicy.org/programs/sam/</x:v>
      </x:c>
      <x:c r="Q48" s="384" t="n">
        <x:v>2</x:v>
      </x:c>
      <x:c r="R48" s="396" t="n">
        <x:v>2</x:v>
      </x:c>
      <x:c r="S48" s="397" t="str">
        <x:v>https://www.ned.org/ned-grantmaking/</x:v>
      </x:c>
      <x:c r="T48" s="384" t="n">
        <x:v>4</x:v>
      </x:c>
      <x:c r="U48" s="396" t="n">
        <x:v>3</x:v>
      </x:c>
      <x:c r="V48" s="397" t="str">
        <x:v>https://internationalpolicy.org/programs/sam/</x:v>
      </x:c>
      <x:c r="W48" s="385" t="n">
        <x:f>(--(M48&lt;&gt;"")+--(P48&lt;&gt;"")+--(S48&lt;&gt;"")+--(V48&lt;&gt;""))/4</x:f>
        <x:v>1</x:v>
      </x:c>
      <x:c r="X48" s="384" t="n">
        <x:f>IF(COUNT(K48,N48,Q48,T48)=0,"No data",(IF(ISNUMBER(K48),K48*Factor_Model!$B$4,0)+IF(ISNUMBER(N48),N48*Factor_Model!$B$5,0)+IF(ISNUMBER(Q48),Q48*Factor_Model!$B$6,0)+IF(ISNUMBER(T48),T48*Factor_Model!$B$7,0))/(IF(ISNUMBER(K48),Factor_Model!$B$4,0)+IF(ISNUMBER(N48),Factor_Model!$B$5,0)+IF(ISNUMBER(Q48),Factor_Model!$B$6,0)+IF(ISNUMBER(T48),Factor_Model!$B$7,0)))</x:f>
        <x:v>2.75</x:v>
      </x:c>
      <x:c r="Y48" s="20" t="str">
        <x:f>IF(W48=0,"No source",IF(W48&lt;1,"Partial source","Source-complete"))</x:f>
        <x:v>Source-complete</x:v>
      </x:c>
      <x:c r="Z48" s="20" t="str">
        <x:v>Automated screening pass: row uses a primary source URL by actor/subfactor; verify with country-specific evidence before final analytical use.</x:v>
      </x:c>
      <x:c r="AA48" s="20" t="str">
        <x:v>2026-05-20</x:v>
      </x:c>
      <x:c r="AB48" s="20" t="str">
        <x:v>GPT-5.5 Pro</x:v>
      </x:c>
    </x:row>
    <x:row r="49" ht="24" customHeight="1">
      <x:c r="A49" s="20" t="str">
        <x:v>BRA|European Union</x:v>
      </x:c>
      <x:c r="B49" s="20" t="str">
        <x:v>Brazil</x:v>
      </x:c>
      <x:c r="C49" s="20" t="str">
        <x:v>Federative Republic of Brazil</x:v>
      </x:c>
      <x:c r="D49" s="20" t="str">
        <x:v>BR</x:v>
      </x:c>
      <x:c r="E49" s="20" t="str">
        <x:v>BRA</x:v>
      </x:c>
      <x:c r="F49" s="20" t="str">
        <x:v>076</x:v>
      </x:c>
      <x:c r="G49" s="20" t="str">
        <x:v>Americas</x:v>
      </x:c>
      <x:c r="H49" s="20" t="str">
        <x:v>South America</x:v>
      </x:c>
      <x:c r="I49" s="20" t="str">
        <x:v>European Union</x:v>
      </x:c>
      <x:c r="J49" s="20" t="str">
        <x:v>EU influence</x:v>
      </x:c>
      <x:c r="K49" s="384" t="n">
        <x:v>3</x:v>
      </x:c>
      <x:c r="L49" s="396" t="n">
        <x:v>3</x:v>
      </x:c>
      <x:c r="M49" s="397" t="str">
        <x:v>https://www.eeas.europa.eu/eeas/public-diplomacy_en</x:v>
      </x:c>
      <x:c r="N49" s="384" t="n">
        <x:v>0</x:v>
      </x:c>
      <x:c r="O49" s="396" t="n">
        <x:v>1</x:v>
      </x:c>
      <x:c r="P49" s="397" t="str">
        <x:v>https://www.eeas.europa.eu/eeas/missions-and-operations_en</x:v>
      </x:c>
      <x:c r="Q49" s="384" t="n">
        <x:v>1</x:v>
      </x:c>
      <x:c r="R49" s="396" t="n">
        <x:v>2</x:v>
      </x:c>
      <x:c r="S49" s="397" t="str">
        <x:v>https://www.eeas.europa.eu/eeas/eu-election-observation-missions-1_en?page_lang=en</x:v>
      </x:c>
      <x:c r="T49" s="384" t="n">
        <x:v>2</x:v>
      </x:c>
      <x:c r="U49" s="396" t="n">
        <x:v>2</x:v>
      </x:c>
      <x:c r="V49" s="397" t="str">
        <x:v>https://www.eeas.europa.eu/eeas/missions-and-operations_en</x:v>
      </x:c>
      <x:c r="W49" s="385" t="n">
        <x:f>(--(M49&lt;&gt;"")+--(P49&lt;&gt;"")+--(S49&lt;&gt;"")+--(V49&lt;&gt;""))/4</x:f>
        <x:v>1</x:v>
      </x:c>
      <x:c r="X49" s="384" t="n">
        <x:f>IF(COUNT(K49,N49,Q49,T49)=0,"No data",(IF(ISNUMBER(K49),K49*Factor_Model!$B$4,0)+IF(ISNUMBER(N49),N49*Factor_Model!$B$5,0)+IF(ISNUMBER(Q49),Q49*Factor_Model!$B$6,0)+IF(ISNUMBER(T49),T49*Factor_Model!$B$7,0))/(IF(ISNUMBER(K49),Factor_Model!$B$4,0)+IF(ISNUMBER(N49),Factor_Model!$B$5,0)+IF(ISNUMBER(Q49),Factor_Model!$B$6,0)+IF(ISNUMBER(T49),Factor_Model!$B$7,0)))</x:f>
        <x:v>1.5</x:v>
      </x:c>
      <x:c r="Y49" s="20" t="str">
        <x:f>IF(W49=0,"No source",IF(W49&lt;1,"Partial source","Source-complete"))</x:f>
        <x:v>Source-complete</x:v>
      </x:c>
      <x:c r="Z49" s="20" t="str">
        <x:v>Automated screening pass: row uses a primary source URL by actor/subfactor; verify with country-specific evidence before final analytical use.</x:v>
      </x:c>
      <x:c r="AA49" s="20" t="str">
        <x:v>2026-05-20</x:v>
      </x:c>
      <x:c r="AB49" s="20" t="str">
        <x:v>GPT-5.5 Pro</x:v>
      </x:c>
    </x:row>
    <x:row r="50" ht="24" customHeight="1">
      <x:c r="A50" s="20" t="str">
        <x:v>BGR|Russia</x:v>
      </x:c>
      <x:c r="B50" s="20" t="str">
        <x:v>Bulgaria</x:v>
      </x:c>
      <x:c r="C50" s="20" t="str">
        <x:v>Republic of Bulgaria</x:v>
      </x:c>
      <x:c r="D50" s="20" t="str">
        <x:v>BG</x:v>
      </x:c>
      <x:c r="E50" s="20" t="str">
        <x:v>BGR</x:v>
      </x:c>
      <x:c r="F50" s="20" t="str">
        <x:v>100</x:v>
      </x:c>
      <x:c r="G50" s="20" t="str">
        <x:v>Europe</x:v>
      </x:c>
      <x:c r="H50" s="20" t="str">
        <x:v>Eastern Europe</x:v>
      </x:c>
      <x:c r="I50" s="20" t="str">
        <x:v>Russia</x:v>
      </x:c>
      <x:c r="J50" s="20" t="str">
        <x:v>Russian influence</x:v>
      </x:c>
      <x:c r="K50" s="384" t="n">
        <x:v>6</x:v>
      </x:c>
      <x:c r="L50" s="396" t="n">
        <x:v>4</x:v>
      </x:c>
      <x:c r="M50" s="397" t="str">
        <x:v>https://www.eeas.europa.eu/eeas/4th-eeas-annual-report-foreign-information-manipulation-and-interference-threats_en</x:v>
      </x:c>
      <x:c r="N50" s="384" t="n">
        <x:v>0</x:v>
      </x:c>
      <x:c r="O50" s="396" t="n">
        <x:v>1</x:v>
      </x:c>
      <x:c r="P50" s="397" t="str">
        <x:v>https://www.consilium.europa.eu/en/press/press-releases/2023/02/25/wagner-group-council-adds-11-individuals-and-7-entities-to-eu-sanctions-lists/</x:v>
      </x:c>
      <x:c r="Q50" s="384" t="n">
        <x:v>5</x:v>
      </x:c>
      <x:c r="R50" s="396" t="n">
        <x:v>3</x:v>
      </x:c>
      <x:c r="S50" s="397" t="str">
        <x:v>https://www.dni.gov/files/ODNI/documents/assessments/ATA-2026-Unclassified-Report.pdf</x:v>
      </x:c>
      <x:c r="T50" s="384" t="n">
        <x:v>0</x:v>
      </x:c>
      <x:c r="U50" s="396" t="n">
        <x:v>1</x:v>
      </x:c>
      <x:c r="V50" s="397" t="str">
        <x:v>https://www.consilium.europa.eu/en/press/press-releases/2023/02/25/wagner-group-council-adds-11-individuals-and-7-entities-to-eu-sanctions-lists/</x:v>
      </x:c>
      <x:c r="W50" s="385" t="n">
        <x:f>(--(M50&lt;&gt;"")+--(P50&lt;&gt;"")+--(S50&lt;&gt;"")+--(V50&lt;&gt;""))/4</x:f>
        <x:v>1</x:v>
      </x:c>
      <x:c r="X50" s="384" t="n">
        <x:f>IF(COUNT(K50,N50,Q50,T50)=0,"No data",(IF(ISNUMBER(K50),K50*Factor_Model!$B$4,0)+IF(ISNUMBER(N50),N50*Factor_Model!$B$5,0)+IF(ISNUMBER(Q50),Q50*Factor_Model!$B$6,0)+IF(ISNUMBER(T50),T50*Factor_Model!$B$7,0))/(IF(ISNUMBER(K50),Factor_Model!$B$4,0)+IF(ISNUMBER(N50),Factor_Model!$B$5,0)+IF(ISNUMBER(Q50),Factor_Model!$B$6,0)+IF(ISNUMBER(T50),Factor_Model!$B$7,0)))</x:f>
        <x:v>2.75</x:v>
      </x:c>
      <x:c r="Y50" s="20" t="str">
        <x:f>IF(W50=0,"No source",IF(W50&lt;1,"Partial source","Source-complete"))</x:f>
        <x:v>Source-complete</x:v>
      </x:c>
      <x:c r="Z50" s="20" t="str">
        <x:v>Automated screening pass: row uses a primary source URL by actor/subfactor; verify with country-specific evidence before final analytical use.</x:v>
      </x:c>
      <x:c r="AA50" s="20" t="str">
        <x:v>2026-05-20</x:v>
      </x:c>
      <x:c r="AB50" s="20" t="str">
        <x:v>GPT-5.5 Pro</x:v>
      </x:c>
    </x:row>
    <x:row r="51" ht="24" customHeight="1">
      <x:c r="A51" s="20" t="str">
        <x:v>BGR|China</x:v>
      </x:c>
      <x:c r="B51" s="20" t="str">
        <x:v>Bulgaria</x:v>
      </x:c>
      <x:c r="C51" s="20" t="str">
        <x:v>Republic of Bulgaria</x:v>
      </x:c>
      <x:c r="D51" s="20" t="str">
        <x:v>BG</x:v>
      </x:c>
      <x:c r="E51" s="20" t="str">
        <x:v>BGR</x:v>
      </x:c>
      <x:c r="F51" s="20" t="str">
        <x:v>100</x:v>
      </x:c>
      <x:c r="G51" s="20" t="str">
        <x:v>Europe</x:v>
      </x:c>
      <x:c r="H51" s="20" t="str">
        <x:v>Eastern Europe</x:v>
      </x:c>
      <x:c r="I51" s="20" t="str">
        <x:v>China</x:v>
      </x:c>
      <x:c r="J51" s="20" t="str">
        <x:v>Chinese influence</x:v>
      </x:c>
      <x:c r="K51" s="384" t="n">
        <x:v>4</x:v>
      </x:c>
      <x:c r="L51" s="396" t="n">
        <x:v>3</x:v>
      </x:c>
      <x:c r="M51" s="397" t="str">
        <x:v>https://www.eeas.europa.eu/eeas/4th-eeas-annual-report-foreign-information-manipulation-and-interference-threats_en</x:v>
      </x:c>
      <x:c r="N51" s="384" t="n">
        <x:v>0</x:v>
      </x:c>
      <x:c r="O51" s="396" t="n">
        <x:v>1</x:v>
      </x:c>
      <x:c r="P51" s="397" t="str">
        <x:v>https://merics.org/en/report/guardians-belt-and-road</x:v>
      </x:c>
      <x:c r="Q51" s="384" t="n">
        <x:v>2</x:v>
      </x:c>
      <x:c r="R51" s="396" t="n">
        <x:v>2</x:v>
      </x:c>
      <x:c r="S51" s="397" t="str">
        <x:v>https://www.eeas.europa.eu/eeas/4th-eeas-annual-report-foreign-information-manipulation-and-interference-threats_en</x:v>
      </x:c>
      <x:c r="T51" s="384" t="n">
        <x:v>0</x:v>
      </x:c>
      <x:c r="U51" s="396" t="n">
        <x:v>1</x:v>
      </x:c>
      <x:c r="V51" s="397" t="str">
        <x:v>https://merics.org/en/report/guardians-belt-and-road</x:v>
      </x:c>
      <x:c r="W51" s="385" t="n">
        <x:f>(--(M51&lt;&gt;"")+--(P51&lt;&gt;"")+--(S51&lt;&gt;"")+--(V51&lt;&gt;""))/4</x:f>
        <x:v>1</x:v>
      </x:c>
      <x:c r="X51" s="384" t="n">
        <x:f>IF(COUNT(K51,N51,Q51,T51)=0,"No data",(IF(ISNUMBER(K51),K51*Factor_Model!$B$4,0)+IF(ISNUMBER(N51),N51*Factor_Model!$B$5,0)+IF(ISNUMBER(Q51),Q51*Factor_Model!$B$6,0)+IF(ISNUMBER(T51),T51*Factor_Model!$B$7,0))/(IF(ISNUMBER(K51),Factor_Model!$B$4,0)+IF(ISNUMBER(N51),Factor_Model!$B$5,0)+IF(ISNUMBER(Q51),Factor_Model!$B$6,0)+IF(ISNUMBER(T51),Factor_Model!$B$7,0)))</x:f>
        <x:v>1.5</x:v>
      </x:c>
      <x:c r="Y51" s="20" t="str">
        <x:f>IF(W51=0,"No source",IF(W51&lt;1,"Partial source","Source-complete"))</x:f>
        <x:v>Source-complete</x:v>
      </x:c>
      <x:c r="Z51" s="20" t="str">
        <x:v>Automated screening pass: row uses a primary source URL by actor/subfactor; verify with country-specific evidence before final analytical use.</x:v>
      </x:c>
      <x:c r="AA51" s="20" t="str">
        <x:v>2026-05-20</x:v>
      </x:c>
      <x:c r="AB51" s="20" t="str">
        <x:v>GPT-5.5 Pro</x:v>
      </x:c>
    </x:row>
    <x:row r="52" ht="24" customHeight="1">
      <x:c r="A52" s="20" t="str">
        <x:v>BGR|United States</x:v>
      </x:c>
      <x:c r="B52" s="20" t="str">
        <x:v>Bulgaria</x:v>
      </x:c>
      <x:c r="C52" s="20" t="str">
        <x:v>Republic of Bulgaria</x:v>
      </x:c>
      <x:c r="D52" s="20" t="str">
        <x:v>BG</x:v>
      </x:c>
      <x:c r="E52" s="20" t="str">
        <x:v>BGR</x:v>
      </x:c>
      <x:c r="F52" s="20" t="str">
        <x:v>100</x:v>
      </x:c>
      <x:c r="G52" s="20" t="str">
        <x:v>Europe</x:v>
      </x:c>
      <x:c r="H52" s="20" t="str">
        <x:v>Eastern Europe</x:v>
      </x:c>
      <x:c r="I52" s="20" t="str">
        <x:v>United States</x:v>
      </x:c>
      <x:c r="J52" s="20" t="str">
        <x:v>American influence</x:v>
      </x:c>
      <x:c r="K52" s="384" t="n">
        <x:v>4</x:v>
      </x:c>
      <x:c r="L52" s="396" t="n">
        <x:v>3</x:v>
      </x:c>
      <x:c r="M52" s="397" t="str">
        <x:v>https://www.usagm.gov/our-work/strategy-and-results/strategic-priorities/research-reports/</x:v>
      </x:c>
      <x:c r="N52" s="384" t="n">
        <x:v>3</x:v>
      </x:c>
      <x:c r="O52" s="396" t="n">
        <x:v>3</x:v>
      </x:c>
      <x:c r="P52" s="397" t="str">
        <x:v>https://internationalpolicy.org/programs/sam/</x:v>
      </x:c>
      <x:c r="Q52" s="384" t="n">
        <x:v>1</x:v>
      </x:c>
      <x:c r="R52" s="396" t="n">
        <x:v>2</x:v>
      </x:c>
      <x:c r="S52" s="397" t="str">
        <x:v>https://www.ned.org/ned-grantmaking/</x:v>
      </x:c>
      <x:c r="T52" s="384" t="n">
        <x:v>6</x:v>
      </x:c>
      <x:c r="U52" s="396" t="n">
        <x:v>4</x:v>
      </x:c>
      <x:c r="V52" s="397" t="str">
        <x:v>https://internationalpolicy.org/programs/sam/</x:v>
      </x:c>
      <x:c r="W52" s="385" t="n">
        <x:f>(--(M52&lt;&gt;"")+--(P52&lt;&gt;"")+--(S52&lt;&gt;"")+--(V52&lt;&gt;""))/4</x:f>
        <x:v>1</x:v>
      </x:c>
      <x:c r="X52" s="384" t="n">
        <x:f>IF(COUNT(K52,N52,Q52,T52)=0,"No data",(IF(ISNUMBER(K52),K52*Factor_Model!$B$4,0)+IF(ISNUMBER(N52),N52*Factor_Model!$B$5,0)+IF(ISNUMBER(Q52),Q52*Factor_Model!$B$6,0)+IF(ISNUMBER(T52),T52*Factor_Model!$B$7,0))/(IF(ISNUMBER(K52),Factor_Model!$B$4,0)+IF(ISNUMBER(N52),Factor_Model!$B$5,0)+IF(ISNUMBER(Q52),Factor_Model!$B$6,0)+IF(ISNUMBER(T52),Factor_Model!$B$7,0)))</x:f>
        <x:v>3.5</x:v>
      </x:c>
      <x:c r="Y52" s="20" t="str">
        <x:f>IF(W52=0,"No source",IF(W52&lt;1,"Partial source","Source-complete"))</x:f>
        <x:v>Source-complete</x:v>
      </x:c>
      <x:c r="Z52" s="20" t="str">
        <x:v>Automated screening pass: row uses a primary source URL by actor/subfactor; verify with country-specific evidence before final analytical use.</x:v>
      </x:c>
      <x:c r="AA52" s="20" t="str">
        <x:v>2026-05-20</x:v>
      </x:c>
      <x:c r="AB52" s="20" t="str">
        <x:v>GPT-5.5 Pro</x:v>
      </x:c>
    </x:row>
    <x:row r="53" ht="24" customHeight="1">
      <x:c r="A53" s="20" t="str">
        <x:v>BGR|European Union</x:v>
      </x:c>
      <x:c r="B53" s="20" t="str">
        <x:v>Bulgaria</x:v>
      </x:c>
      <x:c r="C53" s="20" t="str">
        <x:v>Republic of Bulgaria</x:v>
      </x:c>
      <x:c r="D53" s="20" t="str">
        <x:v>BG</x:v>
      </x:c>
      <x:c r="E53" s="20" t="str">
        <x:v>BGR</x:v>
      </x:c>
      <x:c r="F53" s="20" t="str">
        <x:v>100</x:v>
      </x:c>
      <x:c r="G53" s="20" t="str">
        <x:v>Europe</x:v>
      </x:c>
      <x:c r="H53" s="20" t="str">
        <x:v>Eastern Europe</x:v>
      </x:c>
      <x:c r="I53" s="20" t="str">
        <x:v>European Union</x:v>
      </x:c>
      <x:c r="J53" s="20" t="str">
        <x:v>EU influence</x:v>
      </x:c>
      <x:c r="K53" s="384" t="n">
        <x:v>9</x:v>
      </x:c>
      <x:c r="L53" s="396" t="n">
        <x:v>5</x:v>
      </x:c>
      <x:c r="M53" s="397" t="str">
        <x:v>https://www.eeas.europa.eu/eeas/public-diplomacy_en</x:v>
      </x:c>
      <x:c r="N53" s="384" t="n">
        <x:v>0</x:v>
      </x:c>
      <x:c r="O53" s="396" t="n">
        <x:v>1</x:v>
      </x:c>
      <x:c r="P53" s="397" t="str">
        <x:v>https://www.eeas.europa.eu/eeas/missions-and-operations_en</x:v>
      </x:c>
      <x:c r="Q53" s="384" t="n">
        <x:v>2</x:v>
      </x:c>
      <x:c r="R53" s="396" t="n">
        <x:v>2</x:v>
      </x:c>
      <x:c r="S53" s="397" t="str">
        <x:v>https://www.eeas.europa.eu/eeas/eu-election-observation-missions-1_en?page_lang=en</x:v>
      </x:c>
      <x:c r="T53" s="384" t="n">
        <x:v>5</x:v>
      </x:c>
      <x:c r="U53" s="396" t="n">
        <x:v>3</x:v>
      </x:c>
      <x:c r="V53" s="397" t="str">
        <x:v>https://www.eeas.europa.eu/eeas/missions-and-operations_en</x:v>
      </x:c>
      <x:c r="W53" s="385" t="n">
        <x:f>(--(M53&lt;&gt;"")+--(P53&lt;&gt;"")+--(S53&lt;&gt;"")+--(V53&lt;&gt;""))/4</x:f>
        <x:v>1</x:v>
      </x:c>
      <x:c r="X53" s="384" t="n">
        <x:f>IF(COUNT(K53,N53,Q53,T53)=0,"No data",(IF(ISNUMBER(K53),K53*Factor_Model!$B$4,0)+IF(ISNUMBER(N53),N53*Factor_Model!$B$5,0)+IF(ISNUMBER(Q53),Q53*Factor_Model!$B$6,0)+IF(ISNUMBER(T53),T53*Factor_Model!$B$7,0))/(IF(ISNUMBER(K53),Factor_Model!$B$4,0)+IF(ISNUMBER(N53),Factor_Model!$B$5,0)+IF(ISNUMBER(Q53),Factor_Model!$B$6,0)+IF(ISNUMBER(T53),Factor_Model!$B$7,0)))</x:f>
        <x:v>4</x:v>
      </x:c>
      <x:c r="Y53" s="20" t="str">
        <x:f>IF(W53=0,"No source",IF(W53&lt;1,"Partial source","Source-complete"))</x:f>
        <x:v>Source-complete</x:v>
      </x:c>
      <x:c r="Z53" s="20" t="str">
        <x:v>Automated screening pass: row uses a primary source URL by actor/subfactor; verify with country-specific evidence before final analytical use.</x:v>
      </x:c>
      <x:c r="AA53" s="20" t="str">
        <x:v>2026-05-20</x:v>
      </x:c>
      <x:c r="AB53" s="20" t="str">
        <x:v>GPT-5.5 Pro</x:v>
      </x:c>
    </x:row>
    <x:row r="54" ht="24" customHeight="1">
      <x:c r="A54" s="20" t="str">
        <x:v>BFA|Russia</x:v>
      </x:c>
      <x:c r="B54" s="20" t="str">
        <x:v>Burkina Faso</x:v>
      </x:c>
      <x:c r="C54" s="20"/>
      <x:c r="D54" s="20" t="str">
        <x:v>BF</x:v>
      </x:c>
      <x:c r="E54" s="20" t="str">
        <x:v>BFA</x:v>
      </x:c>
      <x:c r="F54" s="20" t="str">
        <x:v>854</x:v>
      </x:c>
      <x:c r="G54" s="20" t="str">
        <x:v>Africa</x:v>
      </x:c>
      <x:c r="H54" s="20" t="str">
        <x:v>Western Africa</x:v>
      </x:c>
      <x:c r="I54" s="20" t="str">
        <x:v>Russia</x:v>
      </x:c>
      <x:c r="J54" s="20" t="str">
        <x:v>Russian influence</x:v>
      </x:c>
      <x:c r="K54" s="384" t="n">
        <x:v>7</x:v>
      </x:c>
      <x:c r="L54" s="396" t="n">
        <x:v>4</x:v>
      </x:c>
      <x:c r="M54" s="397" t="str">
        <x:v>https://www.eeas.europa.eu/eeas/4th-eeas-annual-report-foreign-information-manipulation-and-interference-threats_en</x:v>
      </x:c>
      <x:c r="N54" s="384" t="n">
        <x:v>6</x:v>
      </x:c>
      <x:c r="O54" s="396" t="n">
        <x:v>4</x:v>
      </x:c>
      <x:c r="P54" s="397" t="str">
        <x:v>https://www.consilium.europa.eu/en/press/press-releases/2023/02/25/wagner-group-council-adds-11-individuals-and-7-entities-to-eu-sanctions-lists/</x:v>
      </x:c>
      <x:c r="Q54" s="384" t="n">
        <x:v>3</x:v>
      </x:c>
      <x:c r="R54" s="396" t="n">
        <x:v>3</x:v>
      </x:c>
      <x:c r="S54" s="397" t="str">
        <x:v>https://www.dni.gov/files/ODNI/documents/assessments/ATA-2026-Unclassified-Report.pdf</x:v>
      </x:c>
      <x:c r="T54" s="384" t="n">
        <x:v>5</x:v>
      </x:c>
      <x:c r="U54" s="396" t="n">
        <x:v>3</x:v>
      </x:c>
      <x:c r="V54" s="397" t="str">
        <x:v>https://www.consilium.europa.eu/en/press/press-releases/2023/02/25/wagner-group-council-adds-11-individuals-and-7-entities-to-eu-sanctions-lists/</x:v>
      </x:c>
      <x:c r="W54" s="385" t="n">
        <x:f>(--(M54&lt;&gt;"")+--(P54&lt;&gt;"")+--(S54&lt;&gt;"")+--(V54&lt;&gt;""))/4</x:f>
        <x:v>1</x:v>
      </x:c>
      <x:c r="X54" s="384" t="n">
        <x:f>IF(COUNT(K54,N54,Q54,T54)=0,"No data",(IF(ISNUMBER(K54),K54*Factor_Model!$B$4,0)+IF(ISNUMBER(N54),N54*Factor_Model!$B$5,0)+IF(ISNUMBER(Q54),Q54*Factor_Model!$B$6,0)+IF(ISNUMBER(T54),T54*Factor_Model!$B$7,0))/(IF(ISNUMBER(K54),Factor_Model!$B$4,0)+IF(ISNUMBER(N54),Factor_Model!$B$5,0)+IF(ISNUMBER(Q54),Factor_Model!$B$6,0)+IF(ISNUMBER(T54),Factor_Model!$B$7,0)))</x:f>
        <x:v>5.25</x:v>
      </x:c>
      <x:c r="Y54" s="20" t="str">
        <x:f>IF(W54=0,"No source",IF(W54&lt;1,"Partial source","Source-complete"))</x:f>
        <x:v>Source-complete</x:v>
      </x:c>
      <x:c r="Z54" s="20" t="str">
        <x:v>Automated screening pass: row uses a primary source URL by actor/subfactor; verify with country-specific evidence before final analytical use.</x:v>
      </x:c>
      <x:c r="AA54" s="20" t="str">
        <x:v>2026-05-20</x:v>
      </x:c>
      <x:c r="AB54" s="20" t="str">
        <x:v>GPT-5.5 Pro</x:v>
      </x:c>
    </x:row>
    <x:row r="55" ht="24" customHeight="1">
      <x:c r="A55" s="20" t="str">
        <x:v>BFA|China</x:v>
      </x:c>
      <x:c r="B55" s="20" t="str">
        <x:v>Burkina Faso</x:v>
      </x:c>
      <x:c r="C55" s="20"/>
      <x:c r="D55" s="20" t="str">
        <x:v>BF</x:v>
      </x:c>
      <x:c r="E55" s="20" t="str">
        <x:v>BFA</x:v>
      </x:c>
      <x:c r="F55" s="20" t="str">
        <x:v>854</x:v>
      </x:c>
      <x:c r="G55" s="20" t="str">
        <x:v>Africa</x:v>
      </x:c>
      <x:c r="H55" s="20" t="str">
        <x:v>Western Africa</x:v>
      </x:c>
      <x:c r="I55" s="20" t="str">
        <x:v>China</x:v>
      </x:c>
      <x:c r="J55" s="20" t="str">
        <x:v>Chinese influence</x:v>
      </x:c>
      <x:c r="K55" s="384" t="n">
        <x:v>5</x:v>
      </x:c>
      <x:c r="L55" s="396" t="n">
        <x:v>3</x:v>
      </x:c>
      <x:c r="M55" s="397" t="str">
        <x:v>https://www.eeas.europa.eu/eeas/4th-eeas-annual-report-foreign-information-manipulation-and-interference-threats_en</x:v>
      </x:c>
      <x:c r="N55" s="384" t="n">
        <x:v>1</x:v>
      </x:c>
      <x:c r="O55" s="396" t="n">
        <x:v>2</x:v>
      </x:c>
      <x:c r="P55" s="397" t="str">
        <x:v>https://merics.org/en/report/guardians-belt-and-road</x:v>
      </x:c>
      <x:c r="Q55" s="384" t="n">
        <x:v>1</x:v>
      </x:c>
      <x:c r="R55" s="396" t="n">
        <x:v>2</x:v>
      </x:c>
      <x:c r="S55" s="397" t="str">
        <x:v>https://www.eeas.europa.eu/eeas/4th-eeas-annual-report-foreign-information-manipulation-and-interference-threats_en</x:v>
      </x:c>
      <x:c r="T55" s="384" t="n">
        <x:v>1</x:v>
      </x:c>
      <x:c r="U55" s="396" t="n">
        <x:v>2</x:v>
      </x:c>
      <x:c r="V55" s="397" t="str">
        <x:v>https://merics.org/en/report/guardians-belt-and-road</x:v>
      </x:c>
      <x:c r="W55" s="385" t="n">
        <x:f>(--(M55&lt;&gt;"")+--(P55&lt;&gt;"")+--(S55&lt;&gt;"")+--(V55&lt;&gt;""))/4</x:f>
        <x:v>1</x:v>
      </x:c>
      <x:c r="X55" s="384" t="n">
        <x:f>IF(COUNT(K55,N55,Q55,T55)=0,"No data",(IF(ISNUMBER(K55),K55*Factor_Model!$B$4,0)+IF(ISNUMBER(N55),N55*Factor_Model!$B$5,0)+IF(ISNUMBER(Q55),Q55*Factor_Model!$B$6,0)+IF(ISNUMBER(T55),T55*Factor_Model!$B$7,0))/(IF(ISNUMBER(K55),Factor_Model!$B$4,0)+IF(ISNUMBER(N55),Factor_Model!$B$5,0)+IF(ISNUMBER(Q55),Factor_Model!$B$6,0)+IF(ISNUMBER(T55),Factor_Model!$B$7,0)))</x:f>
        <x:v>2</x:v>
      </x:c>
      <x:c r="Y55" s="20" t="str">
        <x:f>IF(W55=0,"No source",IF(W55&lt;1,"Partial source","Source-complete"))</x:f>
        <x:v>Source-complete</x:v>
      </x:c>
      <x:c r="Z55" s="20" t="str">
        <x:v>Automated screening pass: row uses a primary source URL by actor/subfactor; verify with country-specific evidence before final analytical use.</x:v>
      </x:c>
      <x:c r="AA55" s="20" t="str">
        <x:v>2026-05-20</x:v>
      </x:c>
      <x:c r="AB55" s="20" t="str">
        <x:v>GPT-5.5 Pro</x:v>
      </x:c>
    </x:row>
    <x:row r="56" ht="24" customHeight="1">
      <x:c r="A56" s="20" t="str">
        <x:v>BFA|United States</x:v>
      </x:c>
      <x:c r="B56" s="20" t="str">
        <x:v>Burkina Faso</x:v>
      </x:c>
      <x:c r="C56" s="20"/>
      <x:c r="D56" s="20" t="str">
        <x:v>BF</x:v>
      </x:c>
      <x:c r="E56" s="20" t="str">
        <x:v>BFA</x:v>
      </x:c>
      <x:c r="F56" s="20" t="str">
        <x:v>854</x:v>
      </x:c>
      <x:c r="G56" s="20" t="str">
        <x:v>Africa</x:v>
      </x:c>
      <x:c r="H56" s="20" t="str">
        <x:v>Western Africa</x:v>
      </x:c>
      <x:c r="I56" s="20" t="str">
        <x:v>United States</x:v>
      </x:c>
      <x:c r="J56" s="20" t="str">
        <x:v>American influence</x:v>
      </x:c>
      <x:c r="K56" s="384" t="n">
        <x:v>4</x:v>
      </x:c>
      <x:c r="L56" s="396" t="n">
        <x:v>3</x:v>
      </x:c>
      <x:c r="M56" s="397" t="str">
        <x:v>https://www.usagm.gov/our-work/strategy-and-results/strategic-priorities/research-reports/</x:v>
      </x:c>
      <x:c r="N56" s="384" t="n">
        <x:v>2</x:v>
      </x:c>
      <x:c r="O56" s="396" t="n">
        <x:v>2</x:v>
      </x:c>
      <x:c r="P56" s="397" t="str">
        <x:v>https://internationalpolicy.org/programs/sam/</x:v>
      </x:c>
      <x:c r="Q56" s="384" t="n">
        <x:v>2</x:v>
      </x:c>
      <x:c r="R56" s="396" t="n">
        <x:v>2</x:v>
      </x:c>
      <x:c r="S56" s="397" t="str">
        <x:v>https://www.ned.org/ned-grantmaking/</x:v>
      </x:c>
      <x:c r="T56" s="384" t="n">
        <x:v>3</x:v>
      </x:c>
      <x:c r="U56" s="396" t="n">
        <x:v>3</x:v>
      </x:c>
      <x:c r="V56" s="397" t="str">
        <x:v>https://internationalpolicy.org/programs/sam/</x:v>
      </x:c>
      <x:c r="W56" s="385" t="n">
        <x:f>(--(M56&lt;&gt;"")+--(P56&lt;&gt;"")+--(S56&lt;&gt;"")+--(V56&lt;&gt;""))/4</x:f>
        <x:v>1</x:v>
      </x:c>
      <x:c r="X56" s="384" t="n">
        <x:f>IF(COUNT(K56,N56,Q56,T56)=0,"No data",(IF(ISNUMBER(K56),K56*Factor_Model!$B$4,0)+IF(ISNUMBER(N56),N56*Factor_Model!$B$5,0)+IF(ISNUMBER(Q56),Q56*Factor_Model!$B$6,0)+IF(ISNUMBER(T56),T56*Factor_Model!$B$7,0))/(IF(ISNUMBER(K56),Factor_Model!$B$4,0)+IF(ISNUMBER(N56),Factor_Model!$B$5,0)+IF(ISNUMBER(Q56),Factor_Model!$B$6,0)+IF(ISNUMBER(T56),Factor_Model!$B$7,0)))</x:f>
        <x:v>2.75</x:v>
      </x:c>
      <x:c r="Y56" s="20" t="str">
        <x:f>IF(W56=0,"No source",IF(W56&lt;1,"Partial source","Source-complete"))</x:f>
        <x:v>Source-complete</x:v>
      </x:c>
      <x:c r="Z56" s="20" t="str">
        <x:v>Automated screening pass: row uses a primary source URL by actor/subfactor; verify with country-specific evidence before final analytical use.</x:v>
      </x:c>
      <x:c r="AA56" s="20" t="str">
        <x:v>2026-05-20</x:v>
      </x:c>
      <x:c r="AB56" s="20" t="str">
        <x:v>GPT-5.5 Pro</x:v>
      </x:c>
    </x:row>
    <x:row r="57" ht="24" customHeight="1">
      <x:c r="A57" s="20" t="str">
        <x:v>BFA|European Union</x:v>
      </x:c>
      <x:c r="B57" s="20" t="str">
        <x:v>Burkina Faso</x:v>
      </x:c>
      <x:c r="C57" s="20"/>
      <x:c r="D57" s="20" t="str">
        <x:v>BF</x:v>
      </x:c>
      <x:c r="E57" s="20" t="str">
        <x:v>BFA</x:v>
      </x:c>
      <x:c r="F57" s="20" t="str">
        <x:v>854</x:v>
      </x:c>
      <x:c r="G57" s="20" t="str">
        <x:v>Africa</x:v>
      </x:c>
      <x:c r="H57" s="20" t="str">
        <x:v>Western Africa</x:v>
      </x:c>
      <x:c r="I57" s="20" t="str">
        <x:v>European Union</x:v>
      </x:c>
      <x:c r="J57" s="20" t="str">
        <x:v>EU influence</x:v>
      </x:c>
      <x:c r="K57" s="384" t="n">
        <x:v>3</x:v>
      </x:c>
      <x:c r="L57" s="396" t="n">
        <x:v>3</x:v>
      </x:c>
      <x:c r="M57" s="397" t="str">
        <x:v>https://www.eeas.europa.eu/eeas/public-diplomacy_en</x:v>
      </x:c>
      <x:c r="N57" s="384" t="n">
        <x:v>0</x:v>
      </x:c>
      <x:c r="O57" s="396" t="n">
        <x:v>1</x:v>
      </x:c>
      <x:c r="P57" s="397" t="str">
        <x:v>https://www.eeas.europa.eu/eeas/missions-and-operations_en</x:v>
      </x:c>
      <x:c r="Q57" s="384" t="n">
        <x:v>1</x:v>
      </x:c>
      <x:c r="R57" s="396" t="n">
        <x:v>2</x:v>
      </x:c>
      <x:c r="S57" s="397" t="str">
        <x:v>https://www.eeas.europa.eu/eeas/eu-election-observation-missions-1_en?page_lang=en</x:v>
      </x:c>
      <x:c r="T57" s="384" t="n">
        <x:v>2</x:v>
      </x:c>
      <x:c r="U57" s="396" t="n">
        <x:v>2</x:v>
      </x:c>
      <x:c r="V57" s="397" t="str">
        <x:v>https://www.eeas.europa.eu/eeas/missions-and-operations_en</x:v>
      </x:c>
      <x:c r="W57" s="385" t="n">
        <x:f>(--(M57&lt;&gt;"")+--(P57&lt;&gt;"")+--(S57&lt;&gt;"")+--(V57&lt;&gt;""))/4</x:f>
        <x:v>1</x:v>
      </x:c>
      <x:c r="X57" s="384" t="n">
        <x:f>IF(COUNT(K57,N57,Q57,T57)=0,"No data",(IF(ISNUMBER(K57),K57*Factor_Model!$B$4,0)+IF(ISNUMBER(N57),N57*Factor_Model!$B$5,0)+IF(ISNUMBER(Q57),Q57*Factor_Model!$B$6,0)+IF(ISNUMBER(T57),T57*Factor_Model!$B$7,0))/(IF(ISNUMBER(K57),Factor_Model!$B$4,0)+IF(ISNUMBER(N57),Factor_Model!$B$5,0)+IF(ISNUMBER(Q57),Factor_Model!$B$6,0)+IF(ISNUMBER(T57),Factor_Model!$B$7,0)))</x:f>
        <x:v>1.5</x:v>
      </x:c>
      <x:c r="Y57" s="20" t="str">
        <x:f>IF(W57=0,"No source",IF(W57&lt;1,"Partial source","Source-complete"))</x:f>
        <x:v>Source-complete</x:v>
      </x:c>
      <x:c r="Z57" s="20" t="str">
        <x:v>Automated screening pass: row uses a primary source URL by actor/subfactor; verify with country-specific evidence before final analytical use.</x:v>
      </x:c>
      <x:c r="AA57" s="20" t="str">
        <x:v>2026-05-20</x:v>
      </x:c>
      <x:c r="AB57" s="20" t="str">
        <x:v>GPT-5.5 Pro</x:v>
      </x:c>
    </x:row>
    <x:row r="58" ht="24" customHeight="1">
      <x:c r="A58" s="20" t="str">
        <x:v>BDI|Russia</x:v>
      </x:c>
      <x:c r="B58" s="20" t="str">
        <x:v>Burundi</x:v>
      </x:c>
      <x:c r="C58" s="20" t="str">
        <x:v>Republic of Burundi</x:v>
      </x:c>
      <x:c r="D58" s="20" t="str">
        <x:v>BI</x:v>
      </x:c>
      <x:c r="E58" s="20" t="str">
        <x:v>BDI</x:v>
      </x:c>
      <x:c r="F58" s="20" t="str">
        <x:v>108</x:v>
      </x:c>
      <x:c r="G58" s="20" t="str">
        <x:v>Africa</x:v>
      </x:c>
      <x:c r="H58" s="20" t="str">
        <x:v>Eastern Africa</x:v>
      </x:c>
      <x:c r="I58" s="20" t="str">
        <x:v>Russia</x:v>
      </x:c>
      <x:c r="J58" s="20" t="str">
        <x:v>Russian influence</x:v>
      </x:c>
      <x:c r="K58" s="384" t="n">
        <x:v>4</x:v>
      </x:c>
      <x:c r="L58" s="396" t="n">
        <x:v>3</x:v>
      </x:c>
      <x:c r="M58" s="397" t="str">
        <x:v>https://www.eeas.europa.eu/eeas/4th-eeas-annual-report-foreign-information-manipulation-and-interference-threats_en</x:v>
      </x:c>
      <x:c r="N58" s="384" t="n">
        <x:v>1</x:v>
      </x:c>
      <x:c r="O58" s="396" t="n">
        <x:v>2</x:v>
      </x:c>
      <x:c r="P58" s="397" t="str">
        <x:v>https://www.consilium.europa.eu/en/press/press-releases/2023/02/25/wagner-group-council-adds-11-individuals-and-7-entities-to-eu-sanctions-lists/</x:v>
      </x:c>
      <x:c r="Q58" s="384" t="n">
        <x:v>1</x:v>
      </x:c>
      <x:c r="R58" s="396" t="n">
        <x:v>2</x:v>
      </x:c>
      <x:c r="S58" s="397" t="str">
        <x:v>https://www.dni.gov/files/ODNI/documents/assessments/ATA-2026-Unclassified-Report.pdf</x:v>
      </x:c>
      <x:c r="T58" s="384" t="n">
        <x:v>1</x:v>
      </x:c>
      <x:c r="U58" s="396" t="n">
        <x:v>2</x:v>
      </x:c>
      <x:c r="V58" s="397" t="str">
        <x:v>https://www.consilium.europa.eu/en/press/press-releases/2023/02/25/wagner-group-council-adds-11-individuals-and-7-entities-to-eu-sanctions-lists/</x:v>
      </x:c>
      <x:c r="W58" s="385" t="n">
        <x:f>(--(M58&lt;&gt;"")+--(P58&lt;&gt;"")+--(S58&lt;&gt;"")+--(V58&lt;&gt;""))/4</x:f>
        <x:v>1</x:v>
      </x:c>
      <x:c r="X58" s="384" t="n">
        <x:f>IF(COUNT(K58,N58,Q58,T58)=0,"No data",(IF(ISNUMBER(K58),K58*Factor_Model!$B$4,0)+IF(ISNUMBER(N58),N58*Factor_Model!$B$5,0)+IF(ISNUMBER(Q58),Q58*Factor_Model!$B$6,0)+IF(ISNUMBER(T58),T58*Factor_Model!$B$7,0))/(IF(ISNUMBER(K58),Factor_Model!$B$4,0)+IF(ISNUMBER(N58),Factor_Model!$B$5,0)+IF(ISNUMBER(Q58),Factor_Model!$B$6,0)+IF(ISNUMBER(T58),Factor_Model!$B$7,0)))</x:f>
        <x:v>1.75</x:v>
      </x:c>
      <x:c r="Y58" s="20" t="str">
        <x:f>IF(W58=0,"No source",IF(W58&lt;1,"Partial source","Source-complete"))</x:f>
        <x:v>Source-complete</x:v>
      </x:c>
      <x:c r="Z58" s="20" t="str">
        <x:v>Automated screening pass: row uses a primary source URL by actor/subfactor; verify with country-specific evidence before final analytical use.</x:v>
      </x:c>
      <x:c r="AA58" s="20" t="str">
        <x:v>2026-05-20</x:v>
      </x:c>
      <x:c r="AB58" s="20" t="str">
        <x:v>GPT-5.5 Pro</x:v>
      </x:c>
    </x:row>
    <x:row r="59" ht="24" customHeight="1">
      <x:c r="A59" s="20" t="str">
        <x:v>BDI|China</x:v>
      </x:c>
      <x:c r="B59" s="20" t="str">
        <x:v>Burundi</x:v>
      </x:c>
      <x:c r="C59" s="20" t="str">
        <x:v>Republic of Burundi</x:v>
      </x:c>
      <x:c r="D59" s="20" t="str">
        <x:v>BI</x:v>
      </x:c>
      <x:c r="E59" s="20" t="str">
        <x:v>BDI</x:v>
      </x:c>
      <x:c r="F59" s="20" t="str">
        <x:v>108</x:v>
      </x:c>
      <x:c r="G59" s="20" t="str">
        <x:v>Africa</x:v>
      </x:c>
      <x:c r="H59" s="20" t="str">
        <x:v>Eastern Africa</x:v>
      </x:c>
      <x:c r="I59" s="20" t="str">
        <x:v>China</x:v>
      </x:c>
      <x:c r="J59" s="20" t="str">
        <x:v>Chinese influence</x:v>
      </x:c>
      <x:c r="K59" s="384" t="n">
        <x:v>5</x:v>
      </x:c>
      <x:c r="L59" s="396" t="n">
        <x:v>3</x:v>
      </x:c>
      <x:c r="M59" s="397" t="str">
        <x:v>https://www.eeas.europa.eu/eeas/4th-eeas-annual-report-foreign-information-manipulation-and-interference-threats_en</x:v>
      </x:c>
      <x:c r="N59" s="384" t="n">
        <x:v>1</x:v>
      </x:c>
      <x:c r="O59" s="396" t="n">
        <x:v>2</x:v>
      </x:c>
      <x:c r="P59" s="397" t="str">
        <x:v>https://merics.org/en/report/guardians-belt-and-road</x:v>
      </x:c>
      <x:c r="Q59" s="384" t="n">
        <x:v>1</x:v>
      </x:c>
      <x:c r="R59" s="396" t="n">
        <x:v>2</x:v>
      </x:c>
      <x:c r="S59" s="397" t="str">
        <x:v>https://www.eeas.europa.eu/eeas/4th-eeas-annual-report-foreign-information-manipulation-and-interference-threats_en</x:v>
      </x:c>
      <x:c r="T59" s="384" t="n">
        <x:v>1</x:v>
      </x:c>
      <x:c r="U59" s="396" t="n">
        <x:v>2</x:v>
      </x:c>
      <x:c r="V59" s="397" t="str">
        <x:v>https://merics.org/en/report/guardians-belt-and-road</x:v>
      </x:c>
      <x:c r="W59" s="385" t="n">
        <x:f>(--(M59&lt;&gt;"")+--(P59&lt;&gt;"")+--(S59&lt;&gt;"")+--(V59&lt;&gt;""))/4</x:f>
        <x:v>1</x:v>
      </x:c>
      <x:c r="X59" s="384" t="n">
        <x:f>IF(COUNT(K59,N59,Q59,T59)=0,"No data",(IF(ISNUMBER(K59),K59*Factor_Model!$B$4,0)+IF(ISNUMBER(N59),N59*Factor_Model!$B$5,0)+IF(ISNUMBER(Q59),Q59*Factor_Model!$B$6,0)+IF(ISNUMBER(T59),T59*Factor_Model!$B$7,0))/(IF(ISNUMBER(K59),Factor_Model!$B$4,0)+IF(ISNUMBER(N59),Factor_Model!$B$5,0)+IF(ISNUMBER(Q59),Factor_Model!$B$6,0)+IF(ISNUMBER(T59),Factor_Model!$B$7,0)))</x:f>
        <x:v>2</x:v>
      </x:c>
      <x:c r="Y59" s="20" t="str">
        <x:f>IF(W59=0,"No source",IF(W59&lt;1,"Partial source","Source-complete"))</x:f>
        <x:v>Source-complete</x:v>
      </x:c>
      <x:c r="Z59" s="20" t="str">
        <x:v>Automated screening pass: row uses a primary source URL by actor/subfactor; verify with country-specific evidence before final analytical use.</x:v>
      </x:c>
      <x:c r="AA59" s="20" t="str">
        <x:v>2026-05-20</x:v>
      </x:c>
      <x:c r="AB59" s="20" t="str">
        <x:v>GPT-5.5 Pro</x:v>
      </x:c>
    </x:row>
    <x:row r="60" ht="24" customHeight="1">
      <x:c r="A60" s="20" t="str">
        <x:v>BDI|United States</x:v>
      </x:c>
      <x:c r="B60" s="20" t="str">
        <x:v>Burundi</x:v>
      </x:c>
      <x:c r="C60" s="20" t="str">
        <x:v>Republic of Burundi</x:v>
      </x:c>
      <x:c r="D60" s="20" t="str">
        <x:v>BI</x:v>
      </x:c>
      <x:c r="E60" s="20" t="str">
        <x:v>BDI</x:v>
      </x:c>
      <x:c r="F60" s="20" t="str">
        <x:v>108</x:v>
      </x:c>
      <x:c r="G60" s="20" t="str">
        <x:v>Africa</x:v>
      </x:c>
      <x:c r="H60" s="20" t="str">
        <x:v>Eastern Africa</x:v>
      </x:c>
      <x:c r="I60" s="20" t="str">
        <x:v>United States</x:v>
      </x:c>
      <x:c r="J60" s="20" t="str">
        <x:v>American influence</x:v>
      </x:c>
      <x:c r="K60" s="384" t="n">
        <x:v>4</x:v>
      </x:c>
      <x:c r="L60" s="396" t="n">
        <x:v>3</x:v>
      </x:c>
      <x:c r="M60" s="397" t="str">
        <x:v>https://www.usagm.gov/our-work/strategy-and-results/strategic-priorities/research-reports/</x:v>
      </x:c>
      <x:c r="N60" s="384" t="n">
        <x:v>2</x:v>
      </x:c>
      <x:c r="O60" s="396" t="n">
        <x:v>2</x:v>
      </x:c>
      <x:c r="P60" s="397" t="str">
        <x:v>https://internationalpolicy.org/programs/sam/</x:v>
      </x:c>
      <x:c r="Q60" s="384" t="n">
        <x:v>2</x:v>
      </x:c>
      <x:c r="R60" s="396" t="n">
        <x:v>2</x:v>
      </x:c>
      <x:c r="S60" s="397" t="str">
        <x:v>https://www.ned.org/ned-grantmaking/</x:v>
      </x:c>
      <x:c r="T60" s="384" t="n">
        <x:v>3</x:v>
      </x:c>
      <x:c r="U60" s="396" t="n">
        <x:v>3</x:v>
      </x:c>
      <x:c r="V60" s="397" t="str">
        <x:v>https://internationalpolicy.org/programs/sam/</x:v>
      </x:c>
      <x:c r="W60" s="385" t="n">
        <x:f>(--(M60&lt;&gt;"")+--(P60&lt;&gt;"")+--(S60&lt;&gt;"")+--(V60&lt;&gt;""))/4</x:f>
        <x:v>1</x:v>
      </x:c>
      <x:c r="X60" s="384" t="n">
        <x:f>IF(COUNT(K60,N60,Q60,T60)=0,"No data",(IF(ISNUMBER(K60),K60*Factor_Model!$B$4,0)+IF(ISNUMBER(N60),N60*Factor_Model!$B$5,0)+IF(ISNUMBER(Q60),Q60*Factor_Model!$B$6,0)+IF(ISNUMBER(T60),T60*Factor_Model!$B$7,0))/(IF(ISNUMBER(K60),Factor_Model!$B$4,0)+IF(ISNUMBER(N60),Factor_Model!$B$5,0)+IF(ISNUMBER(Q60),Factor_Model!$B$6,0)+IF(ISNUMBER(T60),Factor_Model!$B$7,0)))</x:f>
        <x:v>2.75</x:v>
      </x:c>
      <x:c r="Y60" s="20" t="str">
        <x:f>IF(W60=0,"No source",IF(W60&lt;1,"Partial source","Source-complete"))</x:f>
        <x:v>Source-complete</x:v>
      </x:c>
      <x:c r="Z60" s="20" t="str">
        <x:v>Automated screening pass: row uses a primary source URL by actor/subfactor; verify with country-specific evidence before final analytical use.</x:v>
      </x:c>
      <x:c r="AA60" s="20" t="str">
        <x:v>2026-05-20</x:v>
      </x:c>
      <x:c r="AB60" s="20" t="str">
        <x:v>GPT-5.5 Pro</x:v>
      </x:c>
    </x:row>
    <x:row r="61" ht="24" customHeight="1">
      <x:c r="A61" s="20" t="str">
        <x:v>BDI|European Union</x:v>
      </x:c>
      <x:c r="B61" s="20" t="str">
        <x:v>Burundi</x:v>
      </x:c>
      <x:c r="C61" s="20" t="str">
        <x:v>Republic of Burundi</x:v>
      </x:c>
      <x:c r="D61" s="20" t="str">
        <x:v>BI</x:v>
      </x:c>
      <x:c r="E61" s="20" t="str">
        <x:v>BDI</x:v>
      </x:c>
      <x:c r="F61" s="20" t="str">
        <x:v>108</x:v>
      </x:c>
      <x:c r="G61" s="20" t="str">
        <x:v>Africa</x:v>
      </x:c>
      <x:c r="H61" s="20" t="str">
        <x:v>Eastern Africa</x:v>
      </x:c>
      <x:c r="I61" s="20" t="str">
        <x:v>European Union</x:v>
      </x:c>
      <x:c r="J61" s="20" t="str">
        <x:v>EU influence</x:v>
      </x:c>
      <x:c r="K61" s="384" t="n">
        <x:v>3</x:v>
      </x:c>
      <x:c r="L61" s="396" t="n">
        <x:v>3</x:v>
      </x:c>
      <x:c r="M61" s="397" t="str">
        <x:v>https://www.eeas.europa.eu/eeas/public-diplomacy_en</x:v>
      </x:c>
      <x:c r="N61" s="384" t="n">
        <x:v>0</x:v>
      </x:c>
      <x:c r="O61" s="396" t="n">
        <x:v>1</x:v>
      </x:c>
      <x:c r="P61" s="397" t="str">
        <x:v>https://www.eeas.europa.eu/eeas/missions-and-operations_en</x:v>
      </x:c>
      <x:c r="Q61" s="384" t="n">
        <x:v>1</x:v>
      </x:c>
      <x:c r="R61" s="396" t="n">
        <x:v>2</x:v>
      </x:c>
      <x:c r="S61" s="397" t="str">
        <x:v>https://www.eeas.europa.eu/eeas/eu-election-observation-missions-1_en?page_lang=en</x:v>
      </x:c>
      <x:c r="T61" s="384" t="n">
        <x:v>2</x:v>
      </x:c>
      <x:c r="U61" s="396" t="n">
        <x:v>2</x:v>
      </x:c>
      <x:c r="V61" s="397" t="str">
        <x:v>https://www.eeas.europa.eu/eeas/missions-and-operations_en</x:v>
      </x:c>
      <x:c r="W61" s="385" t="n">
        <x:f>(--(M61&lt;&gt;"")+--(P61&lt;&gt;"")+--(S61&lt;&gt;"")+--(V61&lt;&gt;""))/4</x:f>
        <x:v>1</x:v>
      </x:c>
      <x:c r="X61" s="384" t="n">
        <x:f>IF(COUNT(K61,N61,Q61,T61)=0,"No data",(IF(ISNUMBER(K61),K61*Factor_Model!$B$4,0)+IF(ISNUMBER(N61),N61*Factor_Model!$B$5,0)+IF(ISNUMBER(Q61),Q61*Factor_Model!$B$6,0)+IF(ISNUMBER(T61),T61*Factor_Model!$B$7,0))/(IF(ISNUMBER(K61),Factor_Model!$B$4,0)+IF(ISNUMBER(N61),Factor_Model!$B$5,0)+IF(ISNUMBER(Q61),Factor_Model!$B$6,0)+IF(ISNUMBER(T61),Factor_Model!$B$7,0)))</x:f>
        <x:v>1.5</x:v>
      </x:c>
      <x:c r="Y61" s="20" t="str">
        <x:f>IF(W61=0,"No source",IF(W61&lt;1,"Partial source","Source-complete"))</x:f>
        <x:v>Source-complete</x:v>
      </x:c>
      <x:c r="Z61" s="20" t="str">
        <x:v>Automated screening pass: row uses a primary source URL by actor/subfactor; verify with country-specific evidence before final analytical use.</x:v>
      </x:c>
      <x:c r="AA61" s="20" t="str">
        <x:v>2026-05-20</x:v>
      </x:c>
      <x:c r="AB61" s="20" t="str">
        <x:v>GPT-5.5 Pro</x:v>
      </x:c>
    </x:row>
    <x:row r="62" ht="24" customHeight="1">
      <x:c r="A62" s="20" t="str">
        <x:v>KHM|Russia</x:v>
      </x:c>
      <x:c r="B62" s="20" t="str">
        <x:v>Cambodia</x:v>
      </x:c>
      <x:c r="C62" s="20" t="str">
        <x:v>Kingdom of Cambodia</x:v>
      </x:c>
      <x:c r="D62" s="20" t="str">
        <x:v>KH</x:v>
      </x:c>
      <x:c r="E62" s="20" t="str">
        <x:v>KHM</x:v>
      </x:c>
      <x:c r="F62" s="20" t="str">
        <x:v>116</x:v>
      </x:c>
      <x:c r="G62" s="20" t="str">
        <x:v>Asia</x:v>
      </x:c>
      <x:c r="H62" s="20" t="str">
        <x:v>South-Eastern Asia</x:v>
      </x:c>
      <x:c r="I62" s="20" t="str">
        <x:v>Russia</x:v>
      </x:c>
      <x:c r="J62" s="20" t="str">
        <x:v>Russian influence</x:v>
      </x:c>
      <x:c r="K62" s="384" t="n">
        <x:v>2</x:v>
      </x:c>
      <x:c r="L62" s="396" t="n">
        <x:v>2</x:v>
      </x:c>
      <x:c r="M62" s="397" t="str">
        <x:v>https://www.eeas.europa.eu/eeas/4th-eeas-annual-report-foreign-information-manipulation-and-interference-threats_en</x:v>
      </x:c>
      <x:c r="N62" s="384" t="n">
        <x:v>0</x:v>
      </x:c>
      <x:c r="O62" s="396" t="n">
        <x:v>1</x:v>
      </x:c>
      <x:c r="P62" s="397" t="str">
        <x:v>https://www.consilium.europa.eu/en/press/press-releases/2023/02/25/wagner-group-council-adds-11-individuals-and-7-entities-to-eu-sanctions-lists/</x:v>
      </x:c>
      <x:c r="Q62" s="384" t="n">
        <x:v>0</x:v>
      </x:c>
      <x:c r="R62" s="396" t="n">
        <x:v>1</x:v>
      </x:c>
      <x:c r="S62" s="397" t="str">
        <x:v>https://www.dni.gov/files/ODNI/documents/assessments/ATA-2026-Unclassified-Report.pdf</x:v>
      </x:c>
      <x:c r="T62" s="384" t="n">
        <x:v>0</x:v>
      </x:c>
      <x:c r="U62" s="396" t="n">
        <x:v>1</x:v>
      </x:c>
      <x:c r="V62" s="397" t="str">
        <x:v>https://www.consilium.europa.eu/en/press/press-releases/2023/02/25/wagner-group-council-adds-11-individuals-and-7-entities-to-eu-sanctions-lists/</x:v>
      </x:c>
      <x:c r="W62" s="385" t="n">
        <x:f>(--(M62&lt;&gt;"")+--(P62&lt;&gt;"")+--(S62&lt;&gt;"")+--(V62&lt;&gt;""))/4</x:f>
        <x:v>1</x:v>
      </x:c>
      <x:c r="X62" s="384" t="n">
        <x:f>IF(COUNT(K62,N62,Q62,T62)=0,"No data",(IF(ISNUMBER(K62),K62*Factor_Model!$B$4,0)+IF(ISNUMBER(N62),N62*Factor_Model!$B$5,0)+IF(ISNUMBER(Q62),Q62*Factor_Model!$B$6,0)+IF(ISNUMBER(T62),T62*Factor_Model!$B$7,0))/(IF(ISNUMBER(K62),Factor_Model!$B$4,0)+IF(ISNUMBER(N62),Factor_Model!$B$5,0)+IF(ISNUMBER(Q62),Factor_Model!$B$6,0)+IF(ISNUMBER(T62),Factor_Model!$B$7,0)))</x:f>
        <x:v>0.5</x:v>
      </x:c>
      <x:c r="Y62" s="20" t="str">
        <x:f>IF(W62=0,"No source",IF(W62&lt;1,"Partial source","Source-complete"))</x:f>
        <x:v>Source-complete</x:v>
      </x:c>
      <x:c r="Z62" s="20" t="str">
        <x:v>Automated screening pass: row uses a primary source URL by actor/subfactor; verify with country-specific evidence before final analytical use.</x:v>
      </x:c>
      <x:c r="AA62" s="20" t="str">
        <x:v>2026-05-20</x:v>
      </x:c>
      <x:c r="AB62" s="20" t="str">
        <x:v>GPT-5.5 Pro</x:v>
      </x:c>
    </x:row>
    <x:row r="63" ht="24" customHeight="1">
      <x:c r="A63" s="20" t="str">
        <x:v>KHM|China</x:v>
      </x:c>
      <x:c r="B63" s="20" t="str">
        <x:v>Cambodia</x:v>
      </x:c>
      <x:c r="C63" s="20" t="str">
        <x:v>Kingdom of Cambodia</x:v>
      </x:c>
      <x:c r="D63" s="20" t="str">
        <x:v>KH</x:v>
      </x:c>
      <x:c r="E63" s="20" t="str">
        <x:v>KHM</x:v>
      </x:c>
      <x:c r="F63" s="20" t="str">
        <x:v>116</x:v>
      </x:c>
      <x:c r="G63" s="20" t="str">
        <x:v>Asia</x:v>
      </x:c>
      <x:c r="H63" s="20" t="str">
        <x:v>South-Eastern Asia</x:v>
      </x:c>
      <x:c r="I63" s="20" t="str">
        <x:v>China</x:v>
      </x:c>
      <x:c r="J63" s="20" t="str">
        <x:v>Chinese influence</x:v>
      </x:c>
      <x:c r="K63" s="384" t="n">
        <x:v>6</x:v>
      </x:c>
      <x:c r="L63" s="396" t="n">
        <x:v>4</x:v>
      </x:c>
      <x:c r="M63" s="397" t="str">
        <x:v>https://www.eeas.europa.eu/eeas/4th-eeas-annual-report-foreign-information-manipulation-and-interference-threats_en</x:v>
      </x:c>
      <x:c r="N63" s="384" t="n">
        <x:v>2</x:v>
      </x:c>
      <x:c r="O63" s="396" t="n">
        <x:v>2</x:v>
      </x:c>
      <x:c r="P63" s="397" t="str">
        <x:v>https://merics.org/en/report/guardians-belt-and-road</x:v>
      </x:c>
      <x:c r="Q63" s="384" t="n">
        <x:v>3</x:v>
      </x:c>
      <x:c r="R63" s="396" t="n">
        <x:v>3</x:v>
      </x:c>
      <x:c r="S63" s="397" t="str">
        <x:v>https://www.eeas.europa.eu/eeas/4th-eeas-annual-report-foreign-information-manipulation-and-interference-threats_en</x:v>
      </x:c>
      <x:c r="T63" s="384" t="n">
        <x:v>3</x:v>
      </x:c>
      <x:c r="U63" s="396" t="n">
        <x:v>3</x:v>
      </x:c>
      <x:c r="V63" s="397" t="str">
        <x:v>https://merics.org/en/report/guardians-belt-and-road</x:v>
      </x:c>
      <x:c r="W63" s="385" t="n">
        <x:f>(--(M63&lt;&gt;"")+--(P63&lt;&gt;"")+--(S63&lt;&gt;"")+--(V63&lt;&gt;""))/4</x:f>
        <x:v>1</x:v>
      </x:c>
      <x:c r="X63" s="384" t="n">
        <x:f>IF(COUNT(K63,N63,Q63,T63)=0,"No data",(IF(ISNUMBER(K63),K63*Factor_Model!$B$4,0)+IF(ISNUMBER(N63),N63*Factor_Model!$B$5,0)+IF(ISNUMBER(Q63),Q63*Factor_Model!$B$6,0)+IF(ISNUMBER(T63),T63*Factor_Model!$B$7,0))/(IF(ISNUMBER(K63),Factor_Model!$B$4,0)+IF(ISNUMBER(N63),Factor_Model!$B$5,0)+IF(ISNUMBER(Q63),Factor_Model!$B$6,0)+IF(ISNUMBER(T63),Factor_Model!$B$7,0)))</x:f>
        <x:v>3.5</x:v>
      </x:c>
      <x:c r="Y63" s="20" t="str">
        <x:f>IF(W63=0,"No source",IF(W63&lt;1,"Partial source","Source-complete"))</x:f>
        <x:v>Source-complete</x:v>
      </x:c>
      <x:c r="Z63" s="20" t="str">
        <x:v>Automated screening pass: row uses a primary source URL by actor/subfactor; verify with country-specific evidence before final analytical use.</x:v>
      </x:c>
      <x:c r="AA63" s="20" t="str">
        <x:v>2026-05-20</x:v>
      </x:c>
      <x:c r="AB63" s="20" t="str">
        <x:v>GPT-5.5 Pro</x:v>
      </x:c>
    </x:row>
    <x:row r="64" ht="24" customHeight="1">
      <x:c r="A64" s="20" t="str">
        <x:v>KHM|United States</x:v>
      </x:c>
      <x:c r="B64" s="20" t="str">
        <x:v>Cambodia</x:v>
      </x:c>
      <x:c r="C64" s="20" t="str">
        <x:v>Kingdom of Cambodia</x:v>
      </x:c>
      <x:c r="D64" s="20" t="str">
        <x:v>KH</x:v>
      </x:c>
      <x:c r="E64" s="20" t="str">
        <x:v>KHM</x:v>
      </x:c>
      <x:c r="F64" s="20" t="str">
        <x:v>116</x:v>
      </x:c>
      <x:c r="G64" s="20" t="str">
        <x:v>Asia</x:v>
      </x:c>
      <x:c r="H64" s="20" t="str">
        <x:v>South-Eastern Asia</x:v>
      </x:c>
      <x:c r="I64" s="20" t="str">
        <x:v>United States</x:v>
      </x:c>
      <x:c r="J64" s="20" t="str">
        <x:v>American influence</x:v>
      </x:c>
      <x:c r="K64" s="384" t="n">
        <x:v>3</x:v>
      </x:c>
      <x:c r="L64" s="396" t="n">
        <x:v>3</x:v>
      </x:c>
      <x:c r="M64" s="397" t="str">
        <x:v>https://www.usagm.gov/our-work/strategy-and-results/strategic-priorities/research-reports/</x:v>
      </x:c>
      <x:c r="N64" s="384" t="n">
        <x:v>1</x:v>
      </x:c>
      <x:c r="O64" s="396" t="n">
        <x:v>2</x:v>
      </x:c>
      <x:c r="P64" s="397" t="str">
        <x:v>https://internationalpolicy.org/programs/sam/</x:v>
      </x:c>
      <x:c r="Q64" s="384" t="n">
        <x:v>2</x:v>
      </x:c>
      <x:c r="R64" s="396" t="n">
        <x:v>2</x:v>
      </x:c>
      <x:c r="S64" s="397" t="str">
        <x:v>https://www.ned.org/ned-grantmaking/</x:v>
      </x:c>
      <x:c r="T64" s="384" t="n">
        <x:v>2</x:v>
      </x:c>
      <x:c r="U64" s="396" t="n">
        <x:v>2</x:v>
      </x:c>
      <x:c r="V64" s="397" t="str">
        <x:v>https://internationalpolicy.org/programs/sam/</x:v>
      </x:c>
      <x:c r="W64" s="385" t="n">
        <x:f>(--(M64&lt;&gt;"")+--(P64&lt;&gt;"")+--(S64&lt;&gt;"")+--(V64&lt;&gt;""))/4</x:f>
        <x:v>1</x:v>
      </x:c>
      <x:c r="X64" s="384" t="n">
        <x:f>IF(COUNT(K64,N64,Q64,T64)=0,"No data",(IF(ISNUMBER(K64),K64*Factor_Model!$B$4,0)+IF(ISNUMBER(N64),N64*Factor_Model!$B$5,0)+IF(ISNUMBER(Q64),Q64*Factor_Model!$B$6,0)+IF(ISNUMBER(T64),T64*Factor_Model!$B$7,0))/(IF(ISNUMBER(K64),Factor_Model!$B$4,0)+IF(ISNUMBER(N64),Factor_Model!$B$5,0)+IF(ISNUMBER(Q64),Factor_Model!$B$6,0)+IF(ISNUMBER(T64),Factor_Model!$B$7,0)))</x:f>
        <x:v>2</x:v>
      </x:c>
      <x:c r="Y64" s="20" t="str">
        <x:f>IF(W64=0,"No source",IF(W64&lt;1,"Partial source","Source-complete"))</x:f>
        <x:v>Source-complete</x:v>
      </x:c>
      <x:c r="Z64" s="20" t="str">
        <x:v>Automated screening pass: row uses a primary source URL by actor/subfactor; verify with country-specific evidence before final analytical use.</x:v>
      </x:c>
      <x:c r="AA64" s="20" t="str">
        <x:v>2026-05-20</x:v>
      </x:c>
      <x:c r="AB64" s="20" t="str">
        <x:v>GPT-5.5 Pro</x:v>
      </x:c>
    </x:row>
    <x:row r="65" ht="24" customHeight="1">
      <x:c r="A65" s="20" t="str">
        <x:v>KHM|European Union</x:v>
      </x:c>
      <x:c r="B65" s="20" t="str">
        <x:v>Cambodia</x:v>
      </x:c>
      <x:c r="C65" s="20" t="str">
        <x:v>Kingdom of Cambodia</x:v>
      </x:c>
      <x:c r="D65" s="20" t="str">
        <x:v>KH</x:v>
      </x:c>
      <x:c r="E65" s="20" t="str">
        <x:v>KHM</x:v>
      </x:c>
      <x:c r="F65" s="20" t="str">
        <x:v>116</x:v>
      </x:c>
      <x:c r="G65" s="20" t="str">
        <x:v>Asia</x:v>
      </x:c>
      <x:c r="H65" s="20" t="str">
        <x:v>South-Eastern Asia</x:v>
      </x:c>
      <x:c r="I65" s="20" t="str">
        <x:v>European Union</x:v>
      </x:c>
      <x:c r="J65" s="20" t="str">
        <x:v>EU influence</x:v>
      </x:c>
      <x:c r="K65" s="384" t="n">
        <x:v>2</x:v>
      </x:c>
      <x:c r="L65" s="396" t="n">
        <x:v>2</x:v>
      </x:c>
      <x:c r="M65" s="397" t="str">
        <x:v>https://www.eeas.europa.eu/eeas/public-diplomacy_en</x:v>
      </x:c>
      <x:c r="N65" s="384" t="n">
        <x:v>0</x:v>
      </x:c>
      <x:c r="O65" s="396" t="n">
        <x:v>1</x:v>
      </x:c>
      <x:c r="P65" s="397" t="str">
        <x:v>https://www.eeas.europa.eu/eeas/missions-and-operations_en</x:v>
      </x:c>
      <x:c r="Q65" s="384" t="n">
        <x:v>1</x:v>
      </x:c>
      <x:c r="R65" s="396" t="n">
        <x:v>2</x:v>
      </x:c>
      <x:c r="S65" s="397" t="str">
        <x:v>https://www.eeas.europa.eu/eeas/eu-election-observation-missions-1_en?page_lang=en</x:v>
      </x:c>
      <x:c r="T65" s="384" t="n">
        <x:v>2</x:v>
      </x:c>
      <x:c r="U65" s="396" t="n">
        <x:v>2</x:v>
      </x:c>
      <x:c r="V65" s="397" t="str">
        <x:v>https://www.eeas.europa.eu/eeas/missions-and-operations_en</x:v>
      </x:c>
      <x:c r="W65" s="385" t="n">
        <x:f>(--(M65&lt;&gt;"")+--(P65&lt;&gt;"")+--(S65&lt;&gt;"")+--(V65&lt;&gt;""))/4</x:f>
        <x:v>1</x:v>
      </x:c>
      <x:c r="X65" s="384" t="n">
        <x:f>IF(COUNT(K65,N65,Q65,T65)=0,"No data",(IF(ISNUMBER(K65),K65*Factor_Model!$B$4,0)+IF(ISNUMBER(N65),N65*Factor_Model!$B$5,0)+IF(ISNUMBER(Q65),Q65*Factor_Model!$B$6,0)+IF(ISNUMBER(T65),T65*Factor_Model!$B$7,0))/(IF(ISNUMBER(K65),Factor_Model!$B$4,0)+IF(ISNUMBER(N65),Factor_Model!$B$5,0)+IF(ISNUMBER(Q65),Factor_Model!$B$6,0)+IF(ISNUMBER(T65),Factor_Model!$B$7,0)))</x:f>
        <x:v>1.25</x:v>
      </x:c>
      <x:c r="Y65" s="20" t="str">
        <x:f>IF(W65=0,"No source",IF(W65&lt;1,"Partial source","Source-complete"))</x:f>
        <x:v>Source-complete</x:v>
      </x:c>
      <x:c r="Z65" s="20" t="str">
        <x:v>Automated screening pass: row uses a primary source URL by actor/subfactor; verify with country-specific evidence before final analytical use.</x:v>
      </x:c>
      <x:c r="AA65" s="20" t="str">
        <x:v>2026-05-20</x:v>
      </x:c>
      <x:c r="AB65" s="20" t="str">
        <x:v>GPT-5.5 Pro</x:v>
      </x:c>
    </x:row>
    <x:row r="66" ht="24" customHeight="1">
      <x:c r="A66" s="20" t="str">
        <x:v>CMR|Russia</x:v>
      </x:c>
      <x:c r="B66" s="20" t="str">
        <x:v>Cameroon</x:v>
      </x:c>
      <x:c r="C66" s="20" t="str">
        <x:v>Republic of Cameroon</x:v>
      </x:c>
      <x:c r="D66" s="20" t="str">
        <x:v>CM</x:v>
      </x:c>
      <x:c r="E66" s="20" t="str">
        <x:v>CMR</x:v>
      </x:c>
      <x:c r="F66" s="20" t="str">
        <x:v>120</x:v>
      </x:c>
      <x:c r="G66" s="20" t="str">
        <x:v>Africa</x:v>
      </x:c>
      <x:c r="H66" s="20" t="str">
        <x:v>Middle Africa</x:v>
      </x:c>
      <x:c r="I66" s="20" t="str">
        <x:v>Russia</x:v>
      </x:c>
      <x:c r="J66" s="20" t="str">
        <x:v>Russian influence</x:v>
      </x:c>
      <x:c r="K66" s="384" t="n">
        <x:v>4</x:v>
      </x:c>
      <x:c r="L66" s="396" t="n">
        <x:v>3</x:v>
      </x:c>
      <x:c r="M66" s="397" t="str">
        <x:v>https://www.eeas.europa.eu/eeas/4th-eeas-annual-report-foreign-information-manipulation-and-interference-threats_en</x:v>
      </x:c>
      <x:c r="N66" s="384" t="n">
        <x:v>1</x:v>
      </x:c>
      <x:c r="O66" s="396" t="n">
        <x:v>2</x:v>
      </x:c>
      <x:c r="P66" s="397" t="str">
        <x:v>https://www.consilium.europa.eu/en/press/press-releases/2023/02/25/wagner-group-council-adds-11-individuals-and-7-entities-to-eu-sanctions-lists/</x:v>
      </x:c>
      <x:c r="Q66" s="384" t="n">
        <x:v>1</x:v>
      </x:c>
      <x:c r="R66" s="396" t="n">
        <x:v>2</x:v>
      </x:c>
      <x:c r="S66" s="397" t="str">
        <x:v>https://www.dni.gov/files/ODNI/documents/assessments/ATA-2026-Unclassified-Report.pdf</x:v>
      </x:c>
      <x:c r="T66" s="384" t="n">
        <x:v>1</x:v>
      </x:c>
      <x:c r="U66" s="396" t="n">
        <x:v>2</x:v>
      </x:c>
      <x:c r="V66" s="397" t="str">
        <x:v>https://www.consilium.europa.eu/en/press/press-releases/2023/02/25/wagner-group-council-adds-11-individuals-and-7-entities-to-eu-sanctions-lists/</x:v>
      </x:c>
      <x:c r="W66" s="385" t="n">
        <x:f>(--(M66&lt;&gt;"")+--(P66&lt;&gt;"")+--(S66&lt;&gt;"")+--(V66&lt;&gt;""))/4</x:f>
        <x:v>1</x:v>
      </x:c>
      <x:c r="X66" s="384" t="n">
        <x:f>IF(COUNT(K66,N66,Q66,T66)=0,"No data",(IF(ISNUMBER(K66),K66*Factor_Model!$B$4,0)+IF(ISNUMBER(N66),N66*Factor_Model!$B$5,0)+IF(ISNUMBER(Q66),Q66*Factor_Model!$B$6,0)+IF(ISNUMBER(T66),T66*Factor_Model!$B$7,0))/(IF(ISNUMBER(K66),Factor_Model!$B$4,0)+IF(ISNUMBER(N66),Factor_Model!$B$5,0)+IF(ISNUMBER(Q66),Factor_Model!$B$6,0)+IF(ISNUMBER(T66),Factor_Model!$B$7,0)))</x:f>
        <x:v>1.75</x:v>
      </x:c>
      <x:c r="Y66" s="20" t="str">
        <x:f>IF(W66=0,"No source",IF(W66&lt;1,"Partial source","Source-complete"))</x:f>
        <x:v>Source-complete</x:v>
      </x:c>
      <x:c r="Z66" s="20" t="str">
        <x:v>Automated screening pass: row uses a primary source URL by actor/subfactor; verify with country-specific evidence before final analytical use.</x:v>
      </x:c>
      <x:c r="AA66" s="20" t="str">
        <x:v>2026-05-20</x:v>
      </x:c>
      <x:c r="AB66" s="20" t="str">
        <x:v>GPT-5.5 Pro</x:v>
      </x:c>
    </x:row>
    <x:row r="67" ht="24" customHeight="1">
      <x:c r="A67" s="20" t="str">
        <x:v>CMR|China</x:v>
      </x:c>
      <x:c r="B67" s="20" t="str">
        <x:v>Cameroon</x:v>
      </x:c>
      <x:c r="C67" s="20" t="str">
        <x:v>Republic of Cameroon</x:v>
      </x:c>
      <x:c r="D67" s="20" t="str">
        <x:v>CM</x:v>
      </x:c>
      <x:c r="E67" s="20" t="str">
        <x:v>CMR</x:v>
      </x:c>
      <x:c r="F67" s="20" t="str">
        <x:v>120</x:v>
      </x:c>
      <x:c r="G67" s="20" t="str">
        <x:v>Africa</x:v>
      </x:c>
      <x:c r="H67" s="20" t="str">
        <x:v>Middle Africa</x:v>
      </x:c>
      <x:c r="I67" s="20" t="str">
        <x:v>China</x:v>
      </x:c>
      <x:c r="J67" s="20" t="str">
        <x:v>Chinese influence</x:v>
      </x:c>
      <x:c r="K67" s="384" t="n">
        <x:v>5</x:v>
      </x:c>
      <x:c r="L67" s="396" t="n">
        <x:v>3</x:v>
      </x:c>
      <x:c r="M67" s="397" t="str">
        <x:v>https://www.eeas.europa.eu/eeas/4th-eeas-annual-report-foreign-information-manipulation-and-interference-threats_en</x:v>
      </x:c>
      <x:c r="N67" s="384" t="n">
        <x:v>1</x:v>
      </x:c>
      <x:c r="O67" s="396" t="n">
        <x:v>2</x:v>
      </x:c>
      <x:c r="P67" s="397" t="str">
        <x:v>https://merics.org/en/report/guardians-belt-and-road</x:v>
      </x:c>
      <x:c r="Q67" s="384" t="n">
        <x:v>1</x:v>
      </x:c>
      <x:c r="R67" s="396" t="n">
        <x:v>2</x:v>
      </x:c>
      <x:c r="S67" s="397" t="str">
        <x:v>https://www.eeas.europa.eu/eeas/4th-eeas-annual-report-foreign-information-manipulation-and-interference-threats_en</x:v>
      </x:c>
      <x:c r="T67" s="384" t="n">
        <x:v>1</x:v>
      </x:c>
      <x:c r="U67" s="396" t="n">
        <x:v>2</x:v>
      </x:c>
      <x:c r="V67" s="397" t="str">
        <x:v>https://merics.org/en/report/guardians-belt-and-road</x:v>
      </x:c>
      <x:c r="W67" s="385" t="n">
        <x:f>(--(M67&lt;&gt;"")+--(P67&lt;&gt;"")+--(S67&lt;&gt;"")+--(V67&lt;&gt;""))/4</x:f>
        <x:v>1</x:v>
      </x:c>
      <x:c r="X67" s="384" t="n">
        <x:f>IF(COUNT(K67,N67,Q67,T67)=0,"No data",(IF(ISNUMBER(K67),K67*Factor_Model!$B$4,0)+IF(ISNUMBER(N67),N67*Factor_Model!$B$5,0)+IF(ISNUMBER(Q67),Q67*Factor_Model!$B$6,0)+IF(ISNUMBER(T67),T67*Factor_Model!$B$7,0))/(IF(ISNUMBER(K67),Factor_Model!$B$4,0)+IF(ISNUMBER(N67),Factor_Model!$B$5,0)+IF(ISNUMBER(Q67),Factor_Model!$B$6,0)+IF(ISNUMBER(T67),Factor_Model!$B$7,0)))</x:f>
        <x:v>2</x:v>
      </x:c>
      <x:c r="Y67" s="20" t="str">
        <x:f>IF(W67=0,"No source",IF(W67&lt;1,"Partial source","Source-complete"))</x:f>
        <x:v>Source-complete</x:v>
      </x:c>
      <x:c r="Z67" s="20" t="str">
        <x:v>Automated screening pass: row uses a primary source URL by actor/subfactor; verify with country-specific evidence before final analytical use.</x:v>
      </x:c>
      <x:c r="AA67" s="20" t="str">
        <x:v>2026-05-20</x:v>
      </x:c>
      <x:c r="AB67" s="20" t="str">
        <x:v>GPT-5.5 Pro</x:v>
      </x:c>
    </x:row>
    <x:row r="68" ht="24" customHeight="1">
      <x:c r="A68" s="20" t="str">
        <x:v>CMR|United States</x:v>
      </x:c>
      <x:c r="B68" s="20" t="str">
        <x:v>Cameroon</x:v>
      </x:c>
      <x:c r="C68" s="20" t="str">
        <x:v>Republic of Cameroon</x:v>
      </x:c>
      <x:c r="D68" s="20" t="str">
        <x:v>CM</x:v>
      </x:c>
      <x:c r="E68" s="20" t="str">
        <x:v>CMR</x:v>
      </x:c>
      <x:c r="F68" s="20" t="str">
        <x:v>120</x:v>
      </x:c>
      <x:c r="G68" s="20" t="str">
        <x:v>Africa</x:v>
      </x:c>
      <x:c r="H68" s="20" t="str">
        <x:v>Middle Africa</x:v>
      </x:c>
      <x:c r="I68" s="20" t="str">
        <x:v>United States</x:v>
      </x:c>
      <x:c r="J68" s="20" t="str">
        <x:v>American influence</x:v>
      </x:c>
      <x:c r="K68" s="384" t="n">
        <x:v>4</x:v>
      </x:c>
      <x:c r="L68" s="396" t="n">
        <x:v>3</x:v>
      </x:c>
      <x:c r="M68" s="397" t="str">
        <x:v>https://www.usagm.gov/our-work/strategy-and-results/strategic-priorities/research-reports/</x:v>
      </x:c>
      <x:c r="N68" s="384" t="n">
        <x:v>2</x:v>
      </x:c>
      <x:c r="O68" s="396" t="n">
        <x:v>2</x:v>
      </x:c>
      <x:c r="P68" s="397" t="str">
        <x:v>https://internationalpolicy.org/programs/sam/</x:v>
      </x:c>
      <x:c r="Q68" s="384" t="n">
        <x:v>2</x:v>
      </x:c>
      <x:c r="R68" s="396" t="n">
        <x:v>2</x:v>
      </x:c>
      <x:c r="S68" s="397" t="str">
        <x:v>https://www.ned.org/ned-grantmaking/</x:v>
      </x:c>
      <x:c r="T68" s="384" t="n">
        <x:v>3</x:v>
      </x:c>
      <x:c r="U68" s="396" t="n">
        <x:v>3</x:v>
      </x:c>
      <x:c r="V68" s="397" t="str">
        <x:v>https://internationalpolicy.org/programs/sam/</x:v>
      </x:c>
      <x:c r="W68" s="385" t="n">
        <x:f>(--(M68&lt;&gt;"")+--(P68&lt;&gt;"")+--(S68&lt;&gt;"")+--(V68&lt;&gt;""))/4</x:f>
        <x:v>1</x:v>
      </x:c>
      <x:c r="X68" s="384" t="n">
        <x:f>IF(COUNT(K68,N68,Q68,T68)=0,"No data",(IF(ISNUMBER(K68),K68*Factor_Model!$B$4,0)+IF(ISNUMBER(N68),N68*Factor_Model!$B$5,0)+IF(ISNUMBER(Q68),Q68*Factor_Model!$B$6,0)+IF(ISNUMBER(T68),T68*Factor_Model!$B$7,0))/(IF(ISNUMBER(K68),Factor_Model!$B$4,0)+IF(ISNUMBER(N68),Factor_Model!$B$5,0)+IF(ISNUMBER(Q68),Factor_Model!$B$6,0)+IF(ISNUMBER(T68),Factor_Model!$B$7,0)))</x:f>
        <x:v>2.75</x:v>
      </x:c>
      <x:c r="Y68" s="20" t="str">
        <x:f>IF(W68=0,"No source",IF(W68&lt;1,"Partial source","Source-complete"))</x:f>
        <x:v>Source-complete</x:v>
      </x:c>
      <x:c r="Z68" s="20" t="str">
        <x:v>Automated screening pass: row uses a primary source URL by actor/subfactor; verify with country-specific evidence before final analytical use.</x:v>
      </x:c>
      <x:c r="AA68" s="20" t="str">
        <x:v>2026-05-20</x:v>
      </x:c>
      <x:c r="AB68" s="20" t="str">
        <x:v>GPT-5.5 Pro</x:v>
      </x:c>
    </x:row>
    <x:row r="69" ht="24" customHeight="1">
      <x:c r="A69" s="20" t="str">
        <x:v>CMR|European Union</x:v>
      </x:c>
      <x:c r="B69" s="20" t="str">
        <x:v>Cameroon</x:v>
      </x:c>
      <x:c r="C69" s="20" t="str">
        <x:v>Republic of Cameroon</x:v>
      </x:c>
      <x:c r="D69" s="20" t="str">
        <x:v>CM</x:v>
      </x:c>
      <x:c r="E69" s="20" t="str">
        <x:v>CMR</x:v>
      </x:c>
      <x:c r="F69" s="20" t="str">
        <x:v>120</x:v>
      </x:c>
      <x:c r="G69" s="20" t="str">
        <x:v>Africa</x:v>
      </x:c>
      <x:c r="H69" s="20" t="str">
        <x:v>Middle Africa</x:v>
      </x:c>
      <x:c r="I69" s="20" t="str">
        <x:v>European Union</x:v>
      </x:c>
      <x:c r="J69" s="20" t="str">
        <x:v>EU influence</x:v>
      </x:c>
      <x:c r="K69" s="384" t="n">
        <x:v>3</x:v>
      </x:c>
      <x:c r="L69" s="396" t="n">
        <x:v>3</x:v>
      </x:c>
      <x:c r="M69" s="397" t="str">
        <x:v>https://www.eeas.europa.eu/eeas/public-diplomacy_en</x:v>
      </x:c>
      <x:c r="N69" s="384" t="n">
        <x:v>0</x:v>
      </x:c>
      <x:c r="O69" s="396" t="n">
        <x:v>1</x:v>
      </x:c>
      <x:c r="P69" s="397" t="str">
        <x:v>https://www.eeas.europa.eu/eeas/missions-and-operations_en</x:v>
      </x:c>
      <x:c r="Q69" s="384" t="n">
        <x:v>1</x:v>
      </x:c>
      <x:c r="R69" s="396" t="n">
        <x:v>2</x:v>
      </x:c>
      <x:c r="S69" s="397" t="str">
        <x:v>https://www.eeas.europa.eu/eeas/eu-election-observation-missions-1_en?page_lang=en</x:v>
      </x:c>
      <x:c r="T69" s="384" t="n">
        <x:v>2</x:v>
      </x:c>
      <x:c r="U69" s="396" t="n">
        <x:v>2</x:v>
      </x:c>
      <x:c r="V69" s="397" t="str">
        <x:v>https://www.eeas.europa.eu/eeas/missions-and-operations_en</x:v>
      </x:c>
      <x:c r="W69" s="385" t="n">
        <x:f>(--(M69&lt;&gt;"")+--(P69&lt;&gt;"")+--(S69&lt;&gt;"")+--(V69&lt;&gt;""))/4</x:f>
        <x:v>1</x:v>
      </x:c>
      <x:c r="X69" s="384" t="n">
        <x:f>IF(COUNT(K69,N69,Q69,T69)=0,"No data",(IF(ISNUMBER(K69),K69*Factor_Model!$B$4,0)+IF(ISNUMBER(N69),N69*Factor_Model!$B$5,0)+IF(ISNUMBER(Q69),Q69*Factor_Model!$B$6,0)+IF(ISNUMBER(T69),T69*Factor_Model!$B$7,0))/(IF(ISNUMBER(K69),Factor_Model!$B$4,0)+IF(ISNUMBER(N69),Factor_Model!$B$5,0)+IF(ISNUMBER(Q69),Factor_Model!$B$6,0)+IF(ISNUMBER(T69),Factor_Model!$B$7,0)))</x:f>
        <x:v>1.5</x:v>
      </x:c>
      <x:c r="Y69" s="20" t="str">
        <x:f>IF(W69=0,"No source",IF(W69&lt;1,"Partial source","Source-complete"))</x:f>
        <x:v>Source-complete</x:v>
      </x:c>
      <x:c r="Z69" s="20" t="str">
        <x:v>Automated screening pass: row uses a primary source URL by actor/subfactor; verify with country-specific evidence before final analytical use.</x:v>
      </x:c>
      <x:c r="AA69" s="20" t="str">
        <x:v>2026-05-20</x:v>
      </x:c>
      <x:c r="AB69" s="20" t="str">
        <x:v>GPT-5.5 Pro</x:v>
      </x:c>
    </x:row>
    <x:row r="70" ht="24" customHeight="1">
      <x:c r="A70" s="20" t="str">
        <x:v>CAN|Russia</x:v>
      </x:c>
      <x:c r="B70" s="20" t="str">
        <x:v>Canada</x:v>
      </x:c>
      <x:c r="C70" s="20"/>
      <x:c r="D70" s="20" t="str">
        <x:v>CA</x:v>
      </x:c>
      <x:c r="E70" s="20" t="str">
        <x:v>CAN</x:v>
      </x:c>
      <x:c r="F70" s="20" t="str">
        <x:v>124</x:v>
      </x:c>
      <x:c r="G70" s="20" t="str">
        <x:v>Americas</x:v>
      </x:c>
      <x:c r="H70" s="20" t="str">
        <x:v>Northern America</x:v>
      </x:c>
      <x:c r="I70" s="20" t="str">
        <x:v>Russia</x:v>
      </x:c>
      <x:c r="J70" s="20" t="str">
        <x:v>Russian influence</x:v>
      </x:c>
      <x:c r="K70" s="384" t="n">
        <x:v>5</x:v>
      </x:c>
      <x:c r="L70" s="396" t="n">
        <x:v>3</x:v>
      </x:c>
      <x:c r="M70" s="397" t="str">
        <x:v>https://www.eeas.europa.eu/eeas/4th-eeas-annual-report-foreign-information-manipulation-and-interference-threats_en</x:v>
      </x:c>
      <x:c r="N70" s="384" t="n">
        <x:v>0</x:v>
      </x:c>
      <x:c r="O70" s="396" t="n">
        <x:v>1</x:v>
      </x:c>
      <x:c r="P70" s="397" t="str">
        <x:v>https://www.consilium.europa.eu/en/press/press-releases/2023/02/25/wagner-group-council-adds-11-individuals-and-7-entities-to-eu-sanctions-lists/</x:v>
      </x:c>
      <x:c r="Q70" s="384" t="n">
        <x:v>5</x:v>
      </x:c>
      <x:c r="R70" s="396" t="n">
        <x:v>3</x:v>
      </x:c>
      <x:c r="S70" s="397" t="str">
        <x:v>https://www.dni.gov/files/ODNI/documents/assessments/ATA-2026-Unclassified-Report.pdf</x:v>
      </x:c>
      <x:c r="T70" s="384" t="n">
        <x:v>0</x:v>
      </x:c>
      <x:c r="U70" s="396" t="n">
        <x:v>1</x:v>
      </x:c>
      <x:c r="V70" s="397" t="str">
        <x:v>https://www.consilium.europa.eu/en/press/press-releases/2023/02/25/wagner-group-council-adds-11-individuals-and-7-entities-to-eu-sanctions-lists/</x:v>
      </x:c>
      <x:c r="W70" s="385" t="n">
        <x:f>(--(M70&lt;&gt;"")+--(P70&lt;&gt;"")+--(S70&lt;&gt;"")+--(V70&lt;&gt;""))/4</x:f>
        <x:v>1</x:v>
      </x:c>
      <x:c r="X70" s="384" t="n">
        <x:f>IF(COUNT(K70,N70,Q70,T70)=0,"No data",(IF(ISNUMBER(K70),K70*Factor_Model!$B$4,0)+IF(ISNUMBER(N70),N70*Factor_Model!$B$5,0)+IF(ISNUMBER(Q70),Q70*Factor_Model!$B$6,0)+IF(ISNUMBER(T70),T70*Factor_Model!$B$7,0))/(IF(ISNUMBER(K70),Factor_Model!$B$4,0)+IF(ISNUMBER(N70),Factor_Model!$B$5,0)+IF(ISNUMBER(Q70),Factor_Model!$B$6,0)+IF(ISNUMBER(T70),Factor_Model!$B$7,0)))</x:f>
        <x:v>2.5</x:v>
      </x:c>
      <x:c r="Y70" s="20" t="str">
        <x:f>IF(W70=0,"No source",IF(W70&lt;1,"Partial source","Source-complete"))</x:f>
        <x:v>Source-complete</x:v>
      </x:c>
      <x:c r="Z70" s="20" t="str">
        <x:v>Automated screening pass: row uses a primary source URL by actor/subfactor; verify with country-specific evidence before final analytical use.</x:v>
      </x:c>
      <x:c r="AA70" s="20" t="str">
        <x:v>2026-05-20</x:v>
      </x:c>
      <x:c r="AB70" s="20" t="str">
        <x:v>GPT-5.5 Pro</x:v>
      </x:c>
    </x:row>
    <x:row r="71" ht="24" customHeight="1">
      <x:c r="A71" s="20" t="str">
        <x:v>CAN|China</x:v>
      </x:c>
      <x:c r="B71" s="20" t="str">
        <x:v>Canada</x:v>
      </x:c>
      <x:c r="C71" s="20"/>
      <x:c r="D71" s="20" t="str">
        <x:v>CA</x:v>
      </x:c>
      <x:c r="E71" s="20" t="str">
        <x:v>CAN</x:v>
      </x:c>
      <x:c r="F71" s="20" t="str">
        <x:v>124</x:v>
      </x:c>
      <x:c r="G71" s="20" t="str">
        <x:v>Americas</x:v>
      </x:c>
      <x:c r="H71" s="20" t="str">
        <x:v>Northern America</x:v>
      </x:c>
      <x:c r="I71" s="20" t="str">
        <x:v>China</x:v>
      </x:c>
      <x:c r="J71" s="20" t="str">
        <x:v>Chinese influence</x:v>
      </x:c>
      <x:c r="K71" s="384" t="n">
        <x:v>6</x:v>
      </x:c>
      <x:c r="L71" s="396" t="n">
        <x:v>4</x:v>
      </x:c>
      <x:c r="M71" s="397" t="str">
        <x:v>https://www.eeas.europa.eu/eeas/4th-eeas-annual-report-foreign-information-manipulation-and-interference-threats_en</x:v>
      </x:c>
      <x:c r="N71" s="384" t="n">
        <x:v>0</x:v>
      </x:c>
      <x:c r="O71" s="396" t="n">
        <x:v>1</x:v>
      </x:c>
      <x:c r="P71" s="397" t="str">
        <x:v>https://merics.org/en/report/guardians-belt-and-road</x:v>
      </x:c>
      <x:c r="Q71" s="384" t="n">
        <x:v>4</x:v>
      </x:c>
      <x:c r="R71" s="396" t="n">
        <x:v>3</x:v>
      </x:c>
      <x:c r="S71" s="397" t="str">
        <x:v>https://www.eeas.europa.eu/eeas/4th-eeas-annual-report-foreign-information-manipulation-and-interference-threats_en</x:v>
      </x:c>
      <x:c r="T71" s="384" t="n">
        <x:v>0</x:v>
      </x:c>
      <x:c r="U71" s="396" t="n">
        <x:v>1</x:v>
      </x:c>
      <x:c r="V71" s="397" t="str">
        <x:v>https://merics.org/en/report/guardians-belt-and-road</x:v>
      </x:c>
      <x:c r="W71" s="385" t="n">
        <x:f>(--(M71&lt;&gt;"")+--(P71&lt;&gt;"")+--(S71&lt;&gt;"")+--(V71&lt;&gt;""))/4</x:f>
        <x:v>1</x:v>
      </x:c>
      <x:c r="X71" s="384" t="n">
        <x:f>IF(COUNT(K71,N71,Q71,T71)=0,"No data",(IF(ISNUMBER(K71),K71*Factor_Model!$B$4,0)+IF(ISNUMBER(N71),N71*Factor_Model!$B$5,0)+IF(ISNUMBER(Q71),Q71*Factor_Model!$B$6,0)+IF(ISNUMBER(T71),T71*Factor_Model!$B$7,0))/(IF(ISNUMBER(K71),Factor_Model!$B$4,0)+IF(ISNUMBER(N71),Factor_Model!$B$5,0)+IF(ISNUMBER(Q71),Factor_Model!$B$6,0)+IF(ISNUMBER(T71),Factor_Model!$B$7,0)))</x:f>
        <x:v>2.5</x:v>
      </x:c>
      <x:c r="Y71" s="20" t="str">
        <x:f>IF(W71=0,"No source",IF(W71&lt;1,"Partial source","Source-complete"))</x:f>
        <x:v>Source-complete</x:v>
      </x:c>
      <x:c r="Z71" s="20" t="str">
        <x:v>Automated screening pass: row uses a primary source URL by actor/subfactor; verify with country-specific evidence before final analytical use.</x:v>
      </x:c>
      <x:c r="AA71" s="20" t="str">
        <x:v>2026-05-20</x:v>
      </x:c>
      <x:c r="AB71" s="20" t="str">
        <x:v>GPT-5.5 Pro</x:v>
      </x:c>
    </x:row>
    <x:row r="72" ht="24" customHeight="1">
      <x:c r="A72" s="20" t="str">
        <x:v>CAN|United States</x:v>
      </x:c>
      <x:c r="B72" s="20" t="str">
        <x:v>Canada</x:v>
      </x:c>
      <x:c r="C72" s="20"/>
      <x:c r="D72" s="20" t="str">
        <x:v>CA</x:v>
      </x:c>
      <x:c r="E72" s="20" t="str">
        <x:v>CAN</x:v>
      </x:c>
      <x:c r="F72" s="20" t="str">
        <x:v>124</x:v>
      </x:c>
      <x:c r="G72" s="20" t="str">
        <x:v>Americas</x:v>
      </x:c>
      <x:c r="H72" s="20" t="str">
        <x:v>Northern America</x:v>
      </x:c>
      <x:c r="I72" s="20" t="str">
        <x:v>United States</x:v>
      </x:c>
      <x:c r="J72" s="20" t="str">
        <x:v>American influence</x:v>
      </x:c>
      <x:c r="K72" s="384" t="n">
        <x:v>5</x:v>
      </x:c>
      <x:c r="L72" s="396" t="n">
        <x:v>3</x:v>
      </x:c>
      <x:c r="M72" s="397" t="str">
        <x:v>https://www.usagm.gov/our-work/strategy-and-results/strategic-priorities/research-reports/</x:v>
      </x:c>
      <x:c r="N72" s="384" t="n">
        <x:v>3</x:v>
      </x:c>
      <x:c r="O72" s="396" t="n">
        <x:v>3</x:v>
      </x:c>
      <x:c r="P72" s="397" t="str">
        <x:v>https://internationalpolicy.org/programs/sam/</x:v>
      </x:c>
      <x:c r="Q72" s="384" t="n">
        <x:v>1</x:v>
      </x:c>
      <x:c r="R72" s="396" t="n">
        <x:v>2</x:v>
      </x:c>
      <x:c r="S72" s="397" t="str">
        <x:v>https://www.ned.org/ned-grantmaking/</x:v>
      </x:c>
      <x:c r="T72" s="384" t="n">
        <x:v>7</x:v>
      </x:c>
      <x:c r="U72" s="396" t="n">
        <x:v>4</x:v>
      </x:c>
      <x:c r="V72" s="397" t="str">
        <x:v>https://internationalpolicy.org/programs/sam/</x:v>
      </x:c>
      <x:c r="W72" s="385" t="n">
        <x:f>(--(M72&lt;&gt;"")+--(P72&lt;&gt;"")+--(S72&lt;&gt;"")+--(V72&lt;&gt;""))/4</x:f>
        <x:v>1</x:v>
      </x:c>
      <x:c r="X72" s="384" t="n">
        <x:f>IF(COUNT(K72,N72,Q72,T72)=0,"No data",(IF(ISNUMBER(K72),K72*Factor_Model!$B$4,0)+IF(ISNUMBER(N72),N72*Factor_Model!$B$5,0)+IF(ISNUMBER(Q72),Q72*Factor_Model!$B$6,0)+IF(ISNUMBER(T72),T72*Factor_Model!$B$7,0))/(IF(ISNUMBER(K72),Factor_Model!$B$4,0)+IF(ISNUMBER(N72),Factor_Model!$B$5,0)+IF(ISNUMBER(Q72),Factor_Model!$B$6,0)+IF(ISNUMBER(T72),Factor_Model!$B$7,0)))</x:f>
        <x:v>4</x:v>
      </x:c>
      <x:c r="Y72" s="20" t="str">
        <x:f>IF(W72=0,"No source",IF(W72&lt;1,"Partial source","Source-complete"))</x:f>
        <x:v>Source-complete</x:v>
      </x:c>
      <x:c r="Z72" s="20" t="str">
        <x:v>Automated screening pass: row uses a primary source URL by actor/subfactor; verify with country-specific evidence before final analytical use.</x:v>
      </x:c>
      <x:c r="AA72" s="20" t="str">
        <x:v>2026-05-20</x:v>
      </x:c>
      <x:c r="AB72" s="20" t="str">
        <x:v>GPT-5.5 Pro</x:v>
      </x:c>
    </x:row>
    <x:row r="73" ht="24" customHeight="1">
      <x:c r="A73" s="20" t="str">
        <x:v>CAN|European Union</x:v>
      </x:c>
      <x:c r="B73" s="20" t="str">
        <x:v>Canada</x:v>
      </x:c>
      <x:c r="C73" s="20"/>
      <x:c r="D73" s="20" t="str">
        <x:v>CA</x:v>
      </x:c>
      <x:c r="E73" s="20" t="str">
        <x:v>CAN</x:v>
      </x:c>
      <x:c r="F73" s="20" t="str">
        <x:v>124</x:v>
      </x:c>
      <x:c r="G73" s="20" t="str">
        <x:v>Americas</x:v>
      </x:c>
      <x:c r="H73" s="20" t="str">
        <x:v>Northern America</x:v>
      </x:c>
      <x:c r="I73" s="20" t="str">
        <x:v>European Union</x:v>
      </x:c>
      <x:c r="J73" s="20" t="str">
        <x:v>EU influence</x:v>
      </x:c>
      <x:c r="K73" s="384" t="n">
        <x:v>3</x:v>
      </x:c>
      <x:c r="L73" s="396" t="n">
        <x:v>3</x:v>
      </x:c>
      <x:c r="M73" s="397" t="str">
        <x:v>https://www.eeas.europa.eu/eeas/public-diplomacy_en</x:v>
      </x:c>
      <x:c r="N73" s="384" t="n">
        <x:v>0</x:v>
      </x:c>
      <x:c r="O73" s="396" t="n">
        <x:v>1</x:v>
      </x:c>
      <x:c r="P73" s="397" t="str">
        <x:v>https://www.eeas.europa.eu/eeas/missions-and-operations_en</x:v>
      </x:c>
      <x:c r="Q73" s="384" t="n">
        <x:v>1</x:v>
      </x:c>
      <x:c r="R73" s="396" t="n">
        <x:v>2</x:v>
      </x:c>
      <x:c r="S73" s="397" t="str">
        <x:v>https://www.eeas.europa.eu/eeas/eu-election-observation-missions-1_en?page_lang=en</x:v>
      </x:c>
      <x:c r="T73" s="384" t="n">
        <x:v>3</x:v>
      </x:c>
      <x:c r="U73" s="396" t="n">
        <x:v>3</x:v>
      </x:c>
      <x:c r="V73" s="397" t="str">
        <x:v>https://www.eeas.europa.eu/eeas/missions-and-operations_en</x:v>
      </x:c>
      <x:c r="W73" s="385" t="n">
        <x:f>(--(M73&lt;&gt;"")+--(P73&lt;&gt;"")+--(S73&lt;&gt;"")+--(V73&lt;&gt;""))/4</x:f>
        <x:v>1</x:v>
      </x:c>
      <x:c r="X73" s="384" t="n">
        <x:f>IF(COUNT(K73,N73,Q73,T73)=0,"No data",(IF(ISNUMBER(K73),K73*Factor_Model!$B$4,0)+IF(ISNUMBER(N73),N73*Factor_Model!$B$5,0)+IF(ISNUMBER(Q73),Q73*Factor_Model!$B$6,0)+IF(ISNUMBER(T73),T73*Factor_Model!$B$7,0))/(IF(ISNUMBER(K73),Factor_Model!$B$4,0)+IF(ISNUMBER(N73),Factor_Model!$B$5,0)+IF(ISNUMBER(Q73),Factor_Model!$B$6,0)+IF(ISNUMBER(T73),Factor_Model!$B$7,0)))</x:f>
        <x:v>1.75</x:v>
      </x:c>
      <x:c r="Y73" s="20" t="str">
        <x:f>IF(W73=0,"No source",IF(W73&lt;1,"Partial source","Source-complete"))</x:f>
        <x:v>Source-complete</x:v>
      </x:c>
      <x:c r="Z73" s="20" t="str">
        <x:v>Automated screening pass: row uses a primary source URL by actor/subfactor; verify with country-specific evidence before final analytical use.</x:v>
      </x:c>
      <x:c r="AA73" s="20" t="str">
        <x:v>2026-05-20</x:v>
      </x:c>
      <x:c r="AB73" s="20" t="str">
        <x:v>GPT-5.5 Pro</x:v>
      </x:c>
    </x:row>
    <x:row r="74" ht="24" customHeight="1">
      <x:c r="A74" s="20" t="str">
        <x:v>CAF|Russia</x:v>
      </x:c>
      <x:c r="B74" s="20" t="str">
        <x:v>Central African Republic</x:v>
      </x:c>
      <x:c r="C74" s="20"/>
      <x:c r="D74" s="20" t="str">
        <x:v>CF</x:v>
      </x:c>
      <x:c r="E74" s="20" t="str">
        <x:v>CAF</x:v>
      </x:c>
      <x:c r="F74" s="20" t="str">
        <x:v>140</x:v>
      </x:c>
      <x:c r="G74" s="20" t="str">
        <x:v>Africa</x:v>
      </x:c>
      <x:c r="H74" s="20" t="str">
        <x:v>Middle Africa</x:v>
      </x:c>
      <x:c r="I74" s="20" t="str">
        <x:v>Russia</x:v>
      </x:c>
      <x:c r="J74" s="20" t="str">
        <x:v>Russian influence</x:v>
      </x:c>
      <x:c r="K74" s="384" t="n">
        <x:v>7</x:v>
      </x:c>
      <x:c r="L74" s="396" t="n">
        <x:v>4</x:v>
      </x:c>
      <x:c r="M74" s="397" t="str">
        <x:v>https://www.eeas.europa.eu/eeas/4th-eeas-annual-report-foreign-information-manipulation-and-interference-threats_en</x:v>
      </x:c>
      <x:c r="N74" s="384" t="n">
        <x:v>9</x:v>
      </x:c>
      <x:c r="O74" s="396" t="n">
        <x:v>5</x:v>
      </x:c>
      <x:c r="P74" s="397" t="str">
        <x:v>https://www.consilium.europa.eu/en/press/press-releases/2023/02/25/wagner-group-council-adds-11-individuals-and-7-entities-to-eu-sanctions-lists/</x:v>
      </x:c>
      <x:c r="Q74" s="384" t="n">
        <x:v>3</x:v>
      </x:c>
      <x:c r="R74" s="396" t="n">
        <x:v>3</x:v>
      </x:c>
      <x:c r="S74" s="397" t="str">
        <x:v>https://www.dni.gov/files/ODNI/documents/assessments/ATA-2026-Unclassified-Report.pdf</x:v>
      </x:c>
      <x:c r="T74" s="384" t="n">
        <x:v>8</x:v>
      </x:c>
      <x:c r="U74" s="396" t="n">
        <x:v>4</x:v>
      </x:c>
      <x:c r="V74" s="397" t="str">
        <x:v>https://www.consilium.europa.eu/en/press/press-releases/2023/02/25/wagner-group-council-adds-11-individuals-and-7-entities-to-eu-sanctions-lists/</x:v>
      </x:c>
      <x:c r="W74" s="385" t="n">
        <x:f>(--(M74&lt;&gt;"")+--(P74&lt;&gt;"")+--(S74&lt;&gt;"")+--(V74&lt;&gt;""))/4</x:f>
        <x:v>1</x:v>
      </x:c>
      <x:c r="X74" s="384" t="n">
        <x:f>IF(COUNT(K74,N74,Q74,T74)=0,"No data",(IF(ISNUMBER(K74),K74*Factor_Model!$B$4,0)+IF(ISNUMBER(N74),N74*Factor_Model!$B$5,0)+IF(ISNUMBER(Q74),Q74*Factor_Model!$B$6,0)+IF(ISNUMBER(T74),T74*Factor_Model!$B$7,0))/(IF(ISNUMBER(K74),Factor_Model!$B$4,0)+IF(ISNUMBER(N74),Factor_Model!$B$5,0)+IF(ISNUMBER(Q74),Factor_Model!$B$6,0)+IF(ISNUMBER(T74),Factor_Model!$B$7,0)))</x:f>
        <x:v>6.75</x:v>
      </x:c>
      <x:c r="Y74" s="20" t="str">
        <x:f>IF(W74=0,"No source",IF(W74&lt;1,"Partial source","Source-complete"))</x:f>
        <x:v>Source-complete</x:v>
      </x:c>
      <x:c r="Z74" s="20" t="str">
        <x:v>Automated screening pass: row uses a primary source URL by actor/subfactor; verify with country-specific evidence before final analytical use.</x:v>
      </x:c>
      <x:c r="AA74" s="20" t="str">
        <x:v>2026-05-20</x:v>
      </x:c>
      <x:c r="AB74" s="20" t="str">
        <x:v>GPT-5.5 Pro</x:v>
      </x:c>
    </x:row>
    <x:row r="75" ht="24" customHeight="1">
      <x:c r="A75" s="20" t="str">
        <x:v>CAF|China</x:v>
      </x:c>
      <x:c r="B75" s="20" t="str">
        <x:v>Central African Republic</x:v>
      </x:c>
      <x:c r="C75" s="20"/>
      <x:c r="D75" s="20" t="str">
        <x:v>CF</x:v>
      </x:c>
      <x:c r="E75" s="20" t="str">
        <x:v>CAF</x:v>
      </x:c>
      <x:c r="F75" s="20" t="str">
        <x:v>140</x:v>
      </x:c>
      <x:c r="G75" s="20" t="str">
        <x:v>Africa</x:v>
      </x:c>
      <x:c r="H75" s="20" t="str">
        <x:v>Middle Africa</x:v>
      </x:c>
      <x:c r="I75" s="20" t="str">
        <x:v>China</x:v>
      </x:c>
      <x:c r="J75" s="20" t="str">
        <x:v>Chinese influence</x:v>
      </x:c>
      <x:c r="K75" s="384" t="n">
        <x:v>5</x:v>
      </x:c>
      <x:c r="L75" s="396" t="n">
        <x:v>3</x:v>
      </x:c>
      <x:c r="M75" s="397" t="str">
        <x:v>https://www.eeas.europa.eu/eeas/4th-eeas-annual-report-foreign-information-manipulation-and-interference-threats_en</x:v>
      </x:c>
      <x:c r="N75" s="384" t="n">
        <x:v>1</x:v>
      </x:c>
      <x:c r="O75" s="396" t="n">
        <x:v>2</x:v>
      </x:c>
      <x:c r="P75" s="397" t="str">
        <x:v>https://merics.org/en/report/guardians-belt-and-road</x:v>
      </x:c>
      <x:c r="Q75" s="384" t="n">
        <x:v>1</x:v>
      </x:c>
      <x:c r="R75" s="396" t="n">
        <x:v>2</x:v>
      </x:c>
      <x:c r="S75" s="397" t="str">
        <x:v>https://www.eeas.europa.eu/eeas/4th-eeas-annual-report-foreign-information-manipulation-and-interference-threats_en</x:v>
      </x:c>
      <x:c r="T75" s="384" t="n">
        <x:v>1</x:v>
      </x:c>
      <x:c r="U75" s="396" t="n">
        <x:v>2</x:v>
      </x:c>
      <x:c r="V75" s="397" t="str">
        <x:v>https://merics.org/en/report/guardians-belt-and-road</x:v>
      </x:c>
      <x:c r="W75" s="385" t="n">
        <x:f>(--(M75&lt;&gt;"")+--(P75&lt;&gt;"")+--(S75&lt;&gt;"")+--(V75&lt;&gt;""))/4</x:f>
        <x:v>1</x:v>
      </x:c>
      <x:c r="X75" s="384" t="n">
        <x:f>IF(COUNT(K75,N75,Q75,T75)=0,"No data",(IF(ISNUMBER(K75),K75*Factor_Model!$B$4,0)+IF(ISNUMBER(N75),N75*Factor_Model!$B$5,0)+IF(ISNUMBER(Q75),Q75*Factor_Model!$B$6,0)+IF(ISNUMBER(T75),T75*Factor_Model!$B$7,0))/(IF(ISNUMBER(K75),Factor_Model!$B$4,0)+IF(ISNUMBER(N75),Factor_Model!$B$5,0)+IF(ISNUMBER(Q75),Factor_Model!$B$6,0)+IF(ISNUMBER(T75),Factor_Model!$B$7,0)))</x:f>
        <x:v>2</x:v>
      </x:c>
      <x:c r="Y75" s="20" t="str">
        <x:f>IF(W75=0,"No source",IF(W75&lt;1,"Partial source","Source-complete"))</x:f>
        <x:v>Source-complete</x:v>
      </x:c>
      <x:c r="Z75" s="20" t="str">
        <x:v>Automated screening pass: row uses a primary source URL by actor/subfactor; verify with country-specific evidence before final analytical use.</x:v>
      </x:c>
      <x:c r="AA75" s="20" t="str">
        <x:v>2026-05-20</x:v>
      </x:c>
      <x:c r="AB75" s="20" t="str">
        <x:v>GPT-5.5 Pro</x:v>
      </x:c>
    </x:row>
    <x:row r="76" ht="24" customHeight="1">
      <x:c r="A76" s="20" t="str">
        <x:v>CAF|United States</x:v>
      </x:c>
      <x:c r="B76" s="20" t="str">
        <x:v>Central African Republic</x:v>
      </x:c>
      <x:c r="C76" s="20"/>
      <x:c r="D76" s="20" t="str">
        <x:v>CF</x:v>
      </x:c>
      <x:c r="E76" s="20" t="str">
        <x:v>CAF</x:v>
      </x:c>
      <x:c r="F76" s="20" t="str">
        <x:v>140</x:v>
      </x:c>
      <x:c r="G76" s="20" t="str">
        <x:v>Africa</x:v>
      </x:c>
      <x:c r="H76" s="20" t="str">
        <x:v>Middle Africa</x:v>
      </x:c>
      <x:c r="I76" s="20" t="str">
        <x:v>United States</x:v>
      </x:c>
      <x:c r="J76" s="20" t="str">
        <x:v>American influence</x:v>
      </x:c>
      <x:c r="K76" s="384" t="n">
        <x:v>4</x:v>
      </x:c>
      <x:c r="L76" s="396" t="n">
        <x:v>3</x:v>
      </x:c>
      <x:c r="M76" s="397" t="str">
        <x:v>https://www.usagm.gov/our-work/strategy-and-results/strategic-priorities/research-reports/</x:v>
      </x:c>
      <x:c r="N76" s="384" t="n">
        <x:v>2</x:v>
      </x:c>
      <x:c r="O76" s="396" t="n">
        <x:v>2</x:v>
      </x:c>
      <x:c r="P76" s="397" t="str">
        <x:v>https://internationalpolicy.org/programs/sam/</x:v>
      </x:c>
      <x:c r="Q76" s="384" t="n">
        <x:v>2</x:v>
      </x:c>
      <x:c r="R76" s="396" t="n">
        <x:v>2</x:v>
      </x:c>
      <x:c r="S76" s="397" t="str">
        <x:v>https://www.ned.org/ned-grantmaking/</x:v>
      </x:c>
      <x:c r="T76" s="384" t="n">
        <x:v>3</x:v>
      </x:c>
      <x:c r="U76" s="396" t="n">
        <x:v>3</x:v>
      </x:c>
      <x:c r="V76" s="397" t="str">
        <x:v>https://internationalpolicy.org/programs/sam/</x:v>
      </x:c>
      <x:c r="W76" s="385" t="n">
        <x:f>(--(M76&lt;&gt;"")+--(P76&lt;&gt;"")+--(S76&lt;&gt;"")+--(V76&lt;&gt;""))/4</x:f>
        <x:v>1</x:v>
      </x:c>
      <x:c r="X76" s="384" t="n">
        <x:f>IF(COUNT(K76,N76,Q76,T76)=0,"No data",(IF(ISNUMBER(K76),K76*Factor_Model!$B$4,0)+IF(ISNUMBER(N76),N76*Factor_Model!$B$5,0)+IF(ISNUMBER(Q76),Q76*Factor_Model!$B$6,0)+IF(ISNUMBER(T76),T76*Factor_Model!$B$7,0))/(IF(ISNUMBER(K76),Factor_Model!$B$4,0)+IF(ISNUMBER(N76),Factor_Model!$B$5,0)+IF(ISNUMBER(Q76),Factor_Model!$B$6,0)+IF(ISNUMBER(T76),Factor_Model!$B$7,0)))</x:f>
        <x:v>2.75</x:v>
      </x:c>
      <x:c r="Y76" s="20" t="str">
        <x:f>IF(W76=0,"No source",IF(W76&lt;1,"Partial source","Source-complete"))</x:f>
        <x:v>Source-complete</x:v>
      </x:c>
      <x:c r="Z76" s="20" t="str">
        <x:v>Automated screening pass: row uses a primary source URL by actor/subfactor; verify with country-specific evidence before final analytical use.</x:v>
      </x:c>
      <x:c r="AA76" s="20" t="str">
        <x:v>2026-05-20</x:v>
      </x:c>
      <x:c r="AB76" s="20" t="str">
        <x:v>GPT-5.5 Pro</x:v>
      </x:c>
    </x:row>
    <x:row r="77" ht="24" customHeight="1">
      <x:c r="A77" s="20" t="str">
        <x:v>CAF|European Union</x:v>
      </x:c>
      <x:c r="B77" s="20" t="str">
        <x:v>Central African Republic</x:v>
      </x:c>
      <x:c r="C77" s="20"/>
      <x:c r="D77" s="20" t="str">
        <x:v>CF</x:v>
      </x:c>
      <x:c r="E77" s="20" t="str">
        <x:v>CAF</x:v>
      </x:c>
      <x:c r="F77" s="20" t="str">
        <x:v>140</x:v>
      </x:c>
      <x:c r="G77" s="20" t="str">
        <x:v>Africa</x:v>
      </x:c>
      <x:c r="H77" s="20" t="str">
        <x:v>Middle Africa</x:v>
      </x:c>
      <x:c r="I77" s="20" t="str">
        <x:v>European Union</x:v>
      </x:c>
      <x:c r="J77" s="20" t="str">
        <x:v>EU influence</x:v>
      </x:c>
      <x:c r="K77" s="384" t="n">
        <x:v>3</x:v>
      </x:c>
      <x:c r="L77" s="396" t="n">
        <x:v>3</x:v>
      </x:c>
      <x:c r="M77" s="397" t="str">
        <x:v>https://www.eeas.europa.eu/eeas/public-diplomacy_en</x:v>
      </x:c>
      <x:c r="N77" s="384" t="n">
        <x:v>1</x:v>
      </x:c>
      <x:c r="O77" s="396" t="n">
        <x:v>2</x:v>
      </x:c>
      <x:c r="P77" s="397" t="str">
        <x:v>https://www.eeas.europa.eu/eeas/missions-and-operations_en</x:v>
      </x:c>
      <x:c r="Q77" s="384" t="n">
        <x:v>1</x:v>
      </x:c>
      <x:c r="R77" s="396" t="n">
        <x:v>2</x:v>
      </x:c>
      <x:c r="S77" s="397" t="str">
        <x:v>https://www.eeas.europa.eu/eeas/eu-election-observation-missions-1_en?page_lang=en</x:v>
      </x:c>
      <x:c r="T77" s="384" t="n">
        <x:v>3</x:v>
      </x:c>
      <x:c r="U77" s="396" t="n">
        <x:v>3</x:v>
      </x:c>
      <x:c r="V77" s="397" t="str">
        <x:v>https://www.eeas.europa.eu/eeas/missions-and-operations_en</x:v>
      </x:c>
      <x:c r="W77" s="385" t="n">
        <x:f>(--(M77&lt;&gt;"")+--(P77&lt;&gt;"")+--(S77&lt;&gt;"")+--(V77&lt;&gt;""))/4</x:f>
        <x:v>1</x:v>
      </x:c>
      <x:c r="X77" s="384" t="n">
        <x:f>IF(COUNT(K77,N77,Q77,T77)=0,"No data",(IF(ISNUMBER(K77),K77*Factor_Model!$B$4,0)+IF(ISNUMBER(N77),N77*Factor_Model!$B$5,0)+IF(ISNUMBER(Q77),Q77*Factor_Model!$B$6,0)+IF(ISNUMBER(T77),T77*Factor_Model!$B$7,0))/(IF(ISNUMBER(K77),Factor_Model!$B$4,0)+IF(ISNUMBER(N77),Factor_Model!$B$5,0)+IF(ISNUMBER(Q77),Factor_Model!$B$6,0)+IF(ISNUMBER(T77),Factor_Model!$B$7,0)))</x:f>
        <x:v>2</x:v>
      </x:c>
      <x:c r="Y77" s="20" t="str">
        <x:f>IF(W77=0,"No source",IF(W77&lt;1,"Partial source","Source-complete"))</x:f>
        <x:v>Source-complete</x:v>
      </x:c>
      <x:c r="Z77" s="20" t="str">
        <x:v>Automated screening pass: row uses a primary source URL by actor/subfactor; verify with country-specific evidence before final analytical use.</x:v>
      </x:c>
      <x:c r="AA77" s="20" t="str">
        <x:v>2026-05-20</x:v>
      </x:c>
      <x:c r="AB77" s="20" t="str">
        <x:v>GPT-5.5 Pro</x:v>
      </x:c>
    </x:row>
    <x:row r="78" ht="24" customHeight="1">
      <x:c r="A78" s="20" t="str">
        <x:v>TCD|Russia</x:v>
      </x:c>
      <x:c r="B78" s="20" t="str">
        <x:v>Chad</x:v>
      </x:c>
      <x:c r="C78" s="20" t="str">
        <x:v>Republic of Chad</x:v>
      </x:c>
      <x:c r="D78" s="20" t="str">
        <x:v>TD</x:v>
      </x:c>
      <x:c r="E78" s="20" t="str">
        <x:v>TCD</x:v>
      </x:c>
      <x:c r="F78" s="20" t="str">
        <x:v>148</x:v>
      </x:c>
      <x:c r="G78" s="20" t="str">
        <x:v>Africa</x:v>
      </x:c>
      <x:c r="H78" s="20" t="str">
        <x:v>Middle Africa</x:v>
      </x:c>
      <x:c r="I78" s="20" t="str">
        <x:v>Russia</x:v>
      </x:c>
      <x:c r="J78" s="20" t="str">
        <x:v>Russian influence</x:v>
      </x:c>
      <x:c r="K78" s="384" t="n">
        <x:v>4</x:v>
      </x:c>
      <x:c r="L78" s="396" t="n">
        <x:v>3</x:v>
      </x:c>
      <x:c r="M78" s="397" t="str">
        <x:v>https://www.eeas.europa.eu/eeas/4th-eeas-annual-report-foreign-information-manipulation-and-interference-threats_en</x:v>
      </x:c>
      <x:c r="N78" s="384" t="n">
        <x:v>3</x:v>
      </x:c>
      <x:c r="O78" s="396" t="n">
        <x:v>3</x:v>
      </x:c>
      <x:c r="P78" s="397" t="str">
        <x:v>https://www.consilium.europa.eu/en/press/press-releases/2023/02/25/wagner-group-council-adds-11-individuals-and-7-entities-to-eu-sanctions-lists/</x:v>
      </x:c>
      <x:c r="Q78" s="384" t="n">
        <x:v>1</x:v>
      </x:c>
      <x:c r="R78" s="396" t="n">
        <x:v>2</x:v>
      </x:c>
      <x:c r="S78" s="397" t="str">
        <x:v>https://www.dni.gov/files/ODNI/documents/assessments/ATA-2026-Unclassified-Report.pdf</x:v>
      </x:c>
      <x:c r="T78" s="384" t="n">
        <x:v>3</x:v>
      </x:c>
      <x:c r="U78" s="396" t="n">
        <x:v>3</x:v>
      </x:c>
      <x:c r="V78" s="397" t="str">
        <x:v>https://www.consilium.europa.eu/en/press/press-releases/2023/02/25/wagner-group-council-adds-11-individuals-and-7-entities-to-eu-sanctions-lists/</x:v>
      </x:c>
      <x:c r="W78" s="385" t="n">
        <x:f>(--(M78&lt;&gt;"")+--(P78&lt;&gt;"")+--(S78&lt;&gt;"")+--(V78&lt;&gt;""))/4</x:f>
        <x:v>1</x:v>
      </x:c>
      <x:c r="X78" s="384" t="n">
        <x:f>IF(COUNT(K78,N78,Q78,T78)=0,"No data",(IF(ISNUMBER(K78),K78*Factor_Model!$B$4,0)+IF(ISNUMBER(N78),N78*Factor_Model!$B$5,0)+IF(ISNUMBER(Q78),Q78*Factor_Model!$B$6,0)+IF(ISNUMBER(T78),T78*Factor_Model!$B$7,0))/(IF(ISNUMBER(K78),Factor_Model!$B$4,0)+IF(ISNUMBER(N78),Factor_Model!$B$5,0)+IF(ISNUMBER(Q78),Factor_Model!$B$6,0)+IF(ISNUMBER(T78),Factor_Model!$B$7,0)))</x:f>
        <x:v>2.75</x:v>
      </x:c>
      <x:c r="Y78" s="20" t="str">
        <x:f>IF(W78=0,"No source",IF(W78&lt;1,"Partial source","Source-complete"))</x:f>
        <x:v>Source-complete</x:v>
      </x:c>
      <x:c r="Z78" s="20" t="str">
        <x:v>Automated screening pass: row uses a primary source URL by actor/subfactor; verify with country-specific evidence before final analytical use.</x:v>
      </x:c>
      <x:c r="AA78" s="20" t="str">
        <x:v>2026-05-20</x:v>
      </x:c>
      <x:c r="AB78" s="20" t="str">
        <x:v>GPT-5.5 Pro</x:v>
      </x:c>
    </x:row>
    <x:row r="79" ht="24" customHeight="1">
      <x:c r="A79" s="20" t="str">
        <x:v>TCD|China</x:v>
      </x:c>
      <x:c r="B79" s="20" t="str">
        <x:v>Chad</x:v>
      </x:c>
      <x:c r="C79" s="20" t="str">
        <x:v>Republic of Chad</x:v>
      </x:c>
      <x:c r="D79" s="20" t="str">
        <x:v>TD</x:v>
      </x:c>
      <x:c r="E79" s="20" t="str">
        <x:v>TCD</x:v>
      </x:c>
      <x:c r="F79" s="20" t="str">
        <x:v>148</x:v>
      </x:c>
      <x:c r="G79" s="20" t="str">
        <x:v>Africa</x:v>
      </x:c>
      <x:c r="H79" s="20" t="str">
        <x:v>Middle Africa</x:v>
      </x:c>
      <x:c r="I79" s="20" t="str">
        <x:v>China</x:v>
      </x:c>
      <x:c r="J79" s="20" t="str">
        <x:v>Chinese influence</x:v>
      </x:c>
      <x:c r="K79" s="384" t="n">
        <x:v>5</x:v>
      </x:c>
      <x:c r="L79" s="396" t="n">
        <x:v>3</x:v>
      </x:c>
      <x:c r="M79" s="397" t="str">
        <x:v>https://www.eeas.europa.eu/eeas/4th-eeas-annual-report-foreign-information-manipulation-and-interference-threats_en</x:v>
      </x:c>
      <x:c r="N79" s="384" t="n">
        <x:v>1</x:v>
      </x:c>
      <x:c r="O79" s="396" t="n">
        <x:v>2</x:v>
      </x:c>
      <x:c r="P79" s="397" t="str">
        <x:v>https://merics.org/en/report/guardians-belt-and-road</x:v>
      </x:c>
      <x:c r="Q79" s="384" t="n">
        <x:v>1</x:v>
      </x:c>
      <x:c r="R79" s="396" t="n">
        <x:v>2</x:v>
      </x:c>
      <x:c r="S79" s="397" t="str">
        <x:v>https://www.eeas.europa.eu/eeas/4th-eeas-annual-report-foreign-information-manipulation-and-interference-threats_en</x:v>
      </x:c>
      <x:c r="T79" s="384" t="n">
        <x:v>1</x:v>
      </x:c>
      <x:c r="U79" s="396" t="n">
        <x:v>2</x:v>
      </x:c>
      <x:c r="V79" s="397" t="str">
        <x:v>https://merics.org/en/report/guardians-belt-and-road</x:v>
      </x:c>
      <x:c r="W79" s="385" t="n">
        <x:f>(--(M79&lt;&gt;"")+--(P79&lt;&gt;"")+--(S79&lt;&gt;"")+--(V79&lt;&gt;""))/4</x:f>
        <x:v>1</x:v>
      </x:c>
      <x:c r="X79" s="384" t="n">
        <x:f>IF(COUNT(K79,N79,Q79,T79)=0,"No data",(IF(ISNUMBER(K79),K79*Factor_Model!$B$4,0)+IF(ISNUMBER(N79),N79*Factor_Model!$B$5,0)+IF(ISNUMBER(Q79),Q79*Factor_Model!$B$6,0)+IF(ISNUMBER(T79),T79*Factor_Model!$B$7,0))/(IF(ISNUMBER(K79),Factor_Model!$B$4,0)+IF(ISNUMBER(N79),Factor_Model!$B$5,0)+IF(ISNUMBER(Q79),Factor_Model!$B$6,0)+IF(ISNUMBER(T79),Factor_Model!$B$7,0)))</x:f>
        <x:v>2</x:v>
      </x:c>
      <x:c r="Y79" s="20" t="str">
        <x:f>IF(W79=0,"No source",IF(W79&lt;1,"Partial source","Source-complete"))</x:f>
        <x:v>Source-complete</x:v>
      </x:c>
      <x:c r="Z79" s="20" t="str">
        <x:v>Automated screening pass: row uses a primary source URL by actor/subfactor; verify with country-specific evidence before final analytical use.</x:v>
      </x:c>
      <x:c r="AA79" s="20" t="str">
        <x:v>2026-05-20</x:v>
      </x:c>
      <x:c r="AB79" s="20" t="str">
        <x:v>GPT-5.5 Pro</x:v>
      </x:c>
    </x:row>
    <x:row r="80" ht="24" customHeight="1">
      <x:c r="A80" s="20" t="str">
        <x:v>TCD|United States</x:v>
      </x:c>
      <x:c r="B80" s="20" t="str">
        <x:v>Chad</x:v>
      </x:c>
      <x:c r="C80" s="20" t="str">
        <x:v>Republic of Chad</x:v>
      </x:c>
      <x:c r="D80" s="20" t="str">
        <x:v>TD</x:v>
      </x:c>
      <x:c r="E80" s="20" t="str">
        <x:v>TCD</x:v>
      </x:c>
      <x:c r="F80" s="20" t="str">
        <x:v>148</x:v>
      </x:c>
      <x:c r="G80" s="20" t="str">
        <x:v>Africa</x:v>
      </x:c>
      <x:c r="H80" s="20" t="str">
        <x:v>Middle Africa</x:v>
      </x:c>
      <x:c r="I80" s="20" t="str">
        <x:v>United States</x:v>
      </x:c>
      <x:c r="J80" s="20" t="str">
        <x:v>American influence</x:v>
      </x:c>
      <x:c r="K80" s="384" t="n">
        <x:v>4</x:v>
      </x:c>
      <x:c r="L80" s="396" t="n">
        <x:v>3</x:v>
      </x:c>
      <x:c r="M80" s="397" t="str">
        <x:v>https://www.usagm.gov/our-work/strategy-and-results/strategic-priorities/research-reports/</x:v>
      </x:c>
      <x:c r="N80" s="384" t="n">
        <x:v>2</x:v>
      </x:c>
      <x:c r="O80" s="396" t="n">
        <x:v>2</x:v>
      </x:c>
      <x:c r="P80" s="397" t="str">
        <x:v>https://internationalpolicy.org/programs/sam/</x:v>
      </x:c>
      <x:c r="Q80" s="384" t="n">
        <x:v>2</x:v>
      </x:c>
      <x:c r="R80" s="396" t="n">
        <x:v>2</x:v>
      </x:c>
      <x:c r="S80" s="397" t="str">
        <x:v>https://www.ned.org/ned-grantmaking/</x:v>
      </x:c>
      <x:c r="T80" s="384" t="n">
        <x:v>3</x:v>
      </x:c>
      <x:c r="U80" s="396" t="n">
        <x:v>3</x:v>
      </x:c>
      <x:c r="V80" s="397" t="str">
        <x:v>https://internationalpolicy.org/programs/sam/</x:v>
      </x:c>
      <x:c r="W80" s="385" t="n">
        <x:f>(--(M80&lt;&gt;"")+--(P80&lt;&gt;"")+--(S80&lt;&gt;"")+--(V80&lt;&gt;""))/4</x:f>
        <x:v>1</x:v>
      </x:c>
      <x:c r="X80" s="384" t="n">
        <x:f>IF(COUNT(K80,N80,Q80,T80)=0,"No data",(IF(ISNUMBER(K80),K80*Factor_Model!$B$4,0)+IF(ISNUMBER(N80),N80*Factor_Model!$B$5,0)+IF(ISNUMBER(Q80),Q80*Factor_Model!$B$6,0)+IF(ISNUMBER(T80),T80*Factor_Model!$B$7,0))/(IF(ISNUMBER(K80),Factor_Model!$B$4,0)+IF(ISNUMBER(N80),Factor_Model!$B$5,0)+IF(ISNUMBER(Q80),Factor_Model!$B$6,0)+IF(ISNUMBER(T80),Factor_Model!$B$7,0)))</x:f>
        <x:v>2.75</x:v>
      </x:c>
      <x:c r="Y80" s="20" t="str">
        <x:f>IF(W80=0,"No source",IF(W80&lt;1,"Partial source","Source-complete"))</x:f>
        <x:v>Source-complete</x:v>
      </x:c>
      <x:c r="Z80" s="20" t="str">
        <x:v>Automated screening pass: row uses a primary source URL by actor/subfactor; verify with country-specific evidence before final analytical use.</x:v>
      </x:c>
      <x:c r="AA80" s="20" t="str">
        <x:v>2026-05-20</x:v>
      </x:c>
      <x:c r="AB80" s="20" t="str">
        <x:v>GPT-5.5 Pro</x:v>
      </x:c>
    </x:row>
    <x:row r="81" ht="24" customHeight="1">
      <x:c r="A81" s="20" t="str">
        <x:v>TCD|European Union</x:v>
      </x:c>
      <x:c r="B81" s="20" t="str">
        <x:v>Chad</x:v>
      </x:c>
      <x:c r="C81" s="20" t="str">
        <x:v>Republic of Chad</x:v>
      </x:c>
      <x:c r="D81" s="20" t="str">
        <x:v>TD</x:v>
      </x:c>
      <x:c r="E81" s="20" t="str">
        <x:v>TCD</x:v>
      </x:c>
      <x:c r="F81" s="20" t="str">
        <x:v>148</x:v>
      </x:c>
      <x:c r="G81" s="20" t="str">
        <x:v>Africa</x:v>
      </x:c>
      <x:c r="H81" s="20" t="str">
        <x:v>Middle Africa</x:v>
      </x:c>
      <x:c r="I81" s="20" t="str">
        <x:v>European Union</x:v>
      </x:c>
      <x:c r="J81" s="20" t="str">
        <x:v>EU influence</x:v>
      </x:c>
      <x:c r="K81" s="384" t="n">
        <x:v>3</x:v>
      </x:c>
      <x:c r="L81" s="396" t="n">
        <x:v>3</x:v>
      </x:c>
      <x:c r="M81" s="397" t="str">
        <x:v>https://www.eeas.europa.eu/eeas/public-diplomacy_en</x:v>
      </x:c>
      <x:c r="N81" s="384" t="n">
        <x:v>0</x:v>
      </x:c>
      <x:c r="O81" s="396" t="n">
        <x:v>1</x:v>
      </x:c>
      <x:c r="P81" s="397" t="str">
        <x:v>https://www.eeas.europa.eu/eeas/missions-and-operations_en</x:v>
      </x:c>
      <x:c r="Q81" s="384" t="n">
        <x:v>1</x:v>
      </x:c>
      <x:c r="R81" s="396" t="n">
        <x:v>2</x:v>
      </x:c>
      <x:c r="S81" s="397" t="str">
        <x:v>https://www.eeas.europa.eu/eeas/eu-election-observation-missions-1_en?page_lang=en</x:v>
      </x:c>
      <x:c r="T81" s="384" t="n">
        <x:v>2</x:v>
      </x:c>
      <x:c r="U81" s="396" t="n">
        <x:v>2</x:v>
      </x:c>
      <x:c r="V81" s="397" t="str">
        <x:v>https://www.eeas.europa.eu/eeas/missions-and-operations_en</x:v>
      </x:c>
      <x:c r="W81" s="385" t="n">
        <x:f>(--(M81&lt;&gt;"")+--(P81&lt;&gt;"")+--(S81&lt;&gt;"")+--(V81&lt;&gt;""))/4</x:f>
        <x:v>1</x:v>
      </x:c>
      <x:c r="X81" s="384" t="n">
        <x:f>IF(COUNT(K81,N81,Q81,T81)=0,"No data",(IF(ISNUMBER(K81),K81*Factor_Model!$B$4,0)+IF(ISNUMBER(N81),N81*Factor_Model!$B$5,0)+IF(ISNUMBER(Q81),Q81*Factor_Model!$B$6,0)+IF(ISNUMBER(T81),T81*Factor_Model!$B$7,0))/(IF(ISNUMBER(K81),Factor_Model!$B$4,0)+IF(ISNUMBER(N81),Factor_Model!$B$5,0)+IF(ISNUMBER(Q81),Factor_Model!$B$6,0)+IF(ISNUMBER(T81),Factor_Model!$B$7,0)))</x:f>
        <x:v>1.5</x:v>
      </x:c>
      <x:c r="Y81" s="20" t="str">
        <x:f>IF(W81=0,"No source",IF(W81&lt;1,"Partial source","Source-complete"))</x:f>
        <x:v>Source-complete</x:v>
      </x:c>
      <x:c r="Z81" s="20" t="str">
        <x:v>Automated screening pass: row uses a primary source URL by actor/subfactor; verify with country-specific evidence before final analytical use.</x:v>
      </x:c>
      <x:c r="AA81" s="20" t="str">
        <x:v>2026-05-20</x:v>
      </x:c>
      <x:c r="AB81" s="20" t="str">
        <x:v>GPT-5.5 Pro</x:v>
      </x:c>
    </x:row>
    <x:row r="82" ht="24" customHeight="1">
      <x:c r="A82" s="20" t="str">
        <x:v>CHL|Russia</x:v>
      </x:c>
      <x:c r="B82" s="20" t="str">
        <x:v>Chile</x:v>
      </x:c>
      <x:c r="C82" s="20" t="str">
        <x:v>Republic of Chile</x:v>
      </x:c>
      <x:c r="D82" s="20" t="str">
        <x:v>CL</x:v>
      </x:c>
      <x:c r="E82" s="20" t="str">
        <x:v>CHL</x:v>
      </x:c>
      <x:c r="F82" s="20" t="str">
        <x:v>152</x:v>
      </x:c>
      <x:c r="G82" s="20" t="str">
        <x:v>Americas</x:v>
      </x:c>
      <x:c r="H82" s="20" t="str">
        <x:v>South America</x:v>
      </x:c>
      <x:c r="I82" s="20" t="str">
        <x:v>Russia</x:v>
      </x:c>
      <x:c r="J82" s="20" t="str">
        <x:v>Russian influence</x:v>
      </x:c>
      <x:c r="K82" s="384" t="n">
        <x:v>3</x:v>
      </x:c>
      <x:c r="L82" s="396" t="n">
        <x:v>3</x:v>
      </x:c>
      <x:c r="M82" s="397" t="str">
        <x:v>https://www.eeas.europa.eu/eeas/4th-eeas-annual-report-foreign-information-manipulation-and-interference-threats_en</x:v>
      </x:c>
      <x:c r="N82" s="384" t="n">
        <x:v>0</x:v>
      </x:c>
      <x:c r="O82" s="396" t="n">
        <x:v>1</x:v>
      </x:c>
      <x:c r="P82" s="397" t="str">
        <x:v>https://www.consilium.europa.eu/en/press/press-releases/2023/02/25/wagner-group-council-adds-11-individuals-and-7-entities-to-eu-sanctions-lists/</x:v>
      </x:c>
      <x:c r="Q82" s="384" t="n">
        <x:v>2</x:v>
      </x:c>
      <x:c r="R82" s="396" t="n">
        <x:v>2</x:v>
      </x:c>
      <x:c r="S82" s="397" t="str">
        <x:v>https://www.dni.gov/files/ODNI/documents/assessments/ATA-2026-Unclassified-Report.pdf</x:v>
      </x:c>
      <x:c r="T82" s="384" t="n">
        <x:v>0</x:v>
      </x:c>
      <x:c r="U82" s="396" t="n">
        <x:v>1</x:v>
      </x:c>
      <x:c r="V82" s="397" t="str">
        <x:v>https://www.consilium.europa.eu/en/press/press-releases/2023/02/25/wagner-group-council-adds-11-individuals-and-7-entities-to-eu-sanctions-lists/</x:v>
      </x:c>
      <x:c r="W82" s="385" t="n">
        <x:f>(--(M82&lt;&gt;"")+--(P82&lt;&gt;"")+--(S82&lt;&gt;"")+--(V82&lt;&gt;""))/4</x:f>
        <x:v>1</x:v>
      </x:c>
      <x:c r="X82" s="384" t="n">
        <x:f>IF(COUNT(K82,N82,Q82,T82)=0,"No data",(IF(ISNUMBER(K82),K82*Factor_Model!$B$4,0)+IF(ISNUMBER(N82),N82*Factor_Model!$B$5,0)+IF(ISNUMBER(Q82),Q82*Factor_Model!$B$6,0)+IF(ISNUMBER(T82),T82*Factor_Model!$B$7,0))/(IF(ISNUMBER(K82),Factor_Model!$B$4,0)+IF(ISNUMBER(N82),Factor_Model!$B$5,0)+IF(ISNUMBER(Q82),Factor_Model!$B$6,0)+IF(ISNUMBER(T82),Factor_Model!$B$7,0)))</x:f>
        <x:v>1.25</x:v>
      </x:c>
      <x:c r="Y82" s="20" t="str">
        <x:f>IF(W82=0,"No source",IF(W82&lt;1,"Partial source","Source-complete"))</x:f>
        <x:v>Source-complete</x:v>
      </x:c>
      <x:c r="Z82" s="20" t="str">
        <x:v>Automated screening pass: row uses a primary source URL by actor/subfactor; verify with country-specific evidence before final analytical use.</x:v>
      </x:c>
      <x:c r="AA82" s="20" t="str">
        <x:v>2026-05-20</x:v>
      </x:c>
      <x:c r="AB82" s="20" t="str">
        <x:v>GPT-5.5 Pro</x:v>
      </x:c>
    </x:row>
    <x:row r="83" ht="24" customHeight="1">
      <x:c r="A83" s="20" t="str">
        <x:v>CHL|China</x:v>
      </x:c>
      <x:c r="B83" s="20" t="str">
        <x:v>Chile</x:v>
      </x:c>
      <x:c r="C83" s="20" t="str">
        <x:v>Republic of Chile</x:v>
      </x:c>
      <x:c r="D83" s="20" t="str">
        <x:v>CL</x:v>
      </x:c>
      <x:c r="E83" s="20" t="str">
        <x:v>CHL</x:v>
      </x:c>
      <x:c r="F83" s="20" t="str">
        <x:v>152</x:v>
      </x:c>
      <x:c r="G83" s="20" t="str">
        <x:v>Americas</x:v>
      </x:c>
      <x:c r="H83" s="20" t="str">
        <x:v>South America</x:v>
      </x:c>
      <x:c r="I83" s="20" t="str">
        <x:v>China</x:v>
      </x:c>
      <x:c r="J83" s="20" t="str">
        <x:v>Chinese influence</x:v>
      </x:c>
      <x:c r="K83" s="384" t="n">
        <x:v>4</x:v>
      </x:c>
      <x:c r="L83" s="396" t="n">
        <x:v>3</x:v>
      </x:c>
      <x:c r="M83" s="397" t="str">
        <x:v>https://www.eeas.europa.eu/eeas/4th-eeas-annual-report-foreign-information-manipulation-and-interference-threats_en</x:v>
      </x:c>
      <x:c r="N83" s="384" t="n">
        <x:v>0</x:v>
      </x:c>
      <x:c r="O83" s="396" t="n">
        <x:v>1</x:v>
      </x:c>
      <x:c r="P83" s="397" t="str">
        <x:v>https://merics.org/en/report/guardians-belt-and-road</x:v>
      </x:c>
      <x:c r="Q83" s="384" t="n">
        <x:v>2</x:v>
      </x:c>
      <x:c r="R83" s="396" t="n">
        <x:v>2</x:v>
      </x:c>
      <x:c r="S83" s="397" t="str">
        <x:v>https://www.eeas.europa.eu/eeas/4th-eeas-annual-report-foreign-information-manipulation-and-interference-threats_en</x:v>
      </x:c>
      <x:c r="T83" s="384" t="n">
        <x:v>0</x:v>
      </x:c>
      <x:c r="U83" s="396" t="n">
        <x:v>1</x:v>
      </x:c>
      <x:c r="V83" s="397" t="str">
        <x:v>https://merics.org/en/report/guardians-belt-and-road</x:v>
      </x:c>
      <x:c r="W83" s="385" t="n">
        <x:f>(--(M83&lt;&gt;"")+--(P83&lt;&gt;"")+--(S83&lt;&gt;"")+--(V83&lt;&gt;""))/4</x:f>
        <x:v>1</x:v>
      </x:c>
      <x:c r="X83" s="384" t="n">
        <x:f>IF(COUNT(K83,N83,Q83,T83)=0,"No data",(IF(ISNUMBER(K83),K83*Factor_Model!$B$4,0)+IF(ISNUMBER(N83),N83*Factor_Model!$B$5,0)+IF(ISNUMBER(Q83),Q83*Factor_Model!$B$6,0)+IF(ISNUMBER(T83),T83*Factor_Model!$B$7,0))/(IF(ISNUMBER(K83),Factor_Model!$B$4,0)+IF(ISNUMBER(N83),Factor_Model!$B$5,0)+IF(ISNUMBER(Q83),Factor_Model!$B$6,0)+IF(ISNUMBER(T83),Factor_Model!$B$7,0)))</x:f>
        <x:v>1.5</x:v>
      </x:c>
      <x:c r="Y83" s="20" t="str">
        <x:f>IF(W83=0,"No source",IF(W83&lt;1,"Partial source","Source-complete"))</x:f>
        <x:v>Source-complete</x:v>
      </x:c>
      <x:c r="Z83" s="20" t="str">
        <x:v>Automated screening pass: row uses a primary source URL by actor/subfactor; verify with country-specific evidence before final analytical use.</x:v>
      </x:c>
      <x:c r="AA83" s="20" t="str">
        <x:v>2026-05-20</x:v>
      </x:c>
      <x:c r="AB83" s="20" t="str">
        <x:v>GPT-5.5 Pro</x:v>
      </x:c>
    </x:row>
    <x:row r="84" ht="24" customHeight="1">
      <x:c r="A84" s="20" t="str">
        <x:v>CHL|United States</x:v>
      </x:c>
      <x:c r="B84" s="20" t="str">
        <x:v>Chile</x:v>
      </x:c>
      <x:c r="C84" s="20" t="str">
        <x:v>Republic of Chile</x:v>
      </x:c>
      <x:c r="D84" s="20" t="str">
        <x:v>CL</x:v>
      </x:c>
      <x:c r="E84" s="20" t="str">
        <x:v>CHL</x:v>
      </x:c>
      <x:c r="F84" s="20" t="str">
        <x:v>152</x:v>
      </x:c>
      <x:c r="G84" s="20" t="str">
        <x:v>Americas</x:v>
      </x:c>
      <x:c r="H84" s="20" t="str">
        <x:v>South America</x:v>
      </x:c>
      <x:c r="I84" s="20" t="str">
        <x:v>United States</x:v>
      </x:c>
      <x:c r="J84" s="20" t="str">
        <x:v>American influence</x:v>
      </x:c>
      <x:c r="K84" s="384" t="n">
        <x:v>3</x:v>
      </x:c>
      <x:c r="L84" s="396" t="n">
        <x:v>3</x:v>
      </x:c>
      <x:c r="M84" s="397" t="str">
        <x:v>https://www.usagm.gov/our-work/strategy-and-results/strategic-priorities/research-reports/</x:v>
      </x:c>
      <x:c r="N84" s="384" t="n">
        <x:v>2</x:v>
      </x:c>
      <x:c r="O84" s="396" t="n">
        <x:v>2</x:v>
      </x:c>
      <x:c r="P84" s="397" t="str">
        <x:v>https://internationalpolicy.org/programs/sam/</x:v>
      </x:c>
      <x:c r="Q84" s="384" t="n">
        <x:v>2</x:v>
      </x:c>
      <x:c r="R84" s="396" t="n">
        <x:v>2</x:v>
      </x:c>
      <x:c r="S84" s="397" t="str">
        <x:v>https://www.ned.org/ned-grantmaking/</x:v>
      </x:c>
      <x:c r="T84" s="384" t="n">
        <x:v>4</x:v>
      </x:c>
      <x:c r="U84" s="396" t="n">
        <x:v>3</x:v>
      </x:c>
      <x:c r="V84" s="397" t="str">
        <x:v>https://internationalpolicy.org/programs/sam/</x:v>
      </x:c>
      <x:c r="W84" s="385" t="n">
        <x:f>(--(M84&lt;&gt;"")+--(P84&lt;&gt;"")+--(S84&lt;&gt;"")+--(V84&lt;&gt;""))/4</x:f>
        <x:v>1</x:v>
      </x:c>
      <x:c r="X84" s="384" t="n">
        <x:f>IF(COUNT(K84,N84,Q84,T84)=0,"No data",(IF(ISNUMBER(K84),K84*Factor_Model!$B$4,0)+IF(ISNUMBER(N84),N84*Factor_Model!$B$5,0)+IF(ISNUMBER(Q84),Q84*Factor_Model!$B$6,0)+IF(ISNUMBER(T84),T84*Factor_Model!$B$7,0))/(IF(ISNUMBER(K84),Factor_Model!$B$4,0)+IF(ISNUMBER(N84),Factor_Model!$B$5,0)+IF(ISNUMBER(Q84),Factor_Model!$B$6,0)+IF(ISNUMBER(T84),Factor_Model!$B$7,0)))</x:f>
        <x:v>2.75</x:v>
      </x:c>
      <x:c r="Y84" s="20" t="str">
        <x:f>IF(W84=0,"No source",IF(W84&lt;1,"Partial source","Source-complete"))</x:f>
        <x:v>Source-complete</x:v>
      </x:c>
      <x:c r="Z84" s="20" t="str">
        <x:v>Automated screening pass: row uses a primary source URL by actor/subfactor; verify with country-specific evidence before final analytical use.</x:v>
      </x:c>
      <x:c r="AA84" s="20" t="str">
        <x:v>2026-05-20</x:v>
      </x:c>
      <x:c r="AB84" s="20" t="str">
        <x:v>GPT-5.5 Pro</x:v>
      </x:c>
    </x:row>
    <x:row r="85" ht="24" customHeight="1">
      <x:c r="A85" s="20" t="str">
        <x:v>CHL|European Union</x:v>
      </x:c>
      <x:c r="B85" s="20" t="str">
        <x:v>Chile</x:v>
      </x:c>
      <x:c r="C85" s="20" t="str">
        <x:v>Republic of Chile</x:v>
      </x:c>
      <x:c r="D85" s="20" t="str">
        <x:v>CL</x:v>
      </x:c>
      <x:c r="E85" s="20" t="str">
        <x:v>CHL</x:v>
      </x:c>
      <x:c r="F85" s="20" t="str">
        <x:v>152</x:v>
      </x:c>
      <x:c r="G85" s="20" t="str">
        <x:v>Americas</x:v>
      </x:c>
      <x:c r="H85" s="20" t="str">
        <x:v>South America</x:v>
      </x:c>
      <x:c r="I85" s="20" t="str">
        <x:v>European Union</x:v>
      </x:c>
      <x:c r="J85" s="20" t="str">
        <x:v>EU influence</x:v>
      </x:c>
      <x:c r="K85" s="384" t="n">
        <x:v>3</x:v>
      </x:c>
      <x:c r="L85" s="396" t="n">
        <x:v>3</x:v>
      </x:c>
      <x:c r="M85" s="397" t="str">
        <x:v>https://www.eeas.europa.eu/eeas/public-diplomacy_en</x:v>
      </x:c>
      <x:c r="N85" s="384" t="n">
        <x:v>0</x:v>
      </x:c>
      <x:c r="O85" s="396" t="n">
        <x:v>1</x:v>
      </x:c>
      <x:c r="P85" s="397" t="str">
        <x:v>https://www.eeas.europa.eu/eeas/missions-and-operations_en</x:v>
      </x:c>
      <x:c r="Q85" s="384" t="n">
        <x:v>1</x:v>
      </x:c>
      <x:c r="R85" s="396" t="n">
        <x:v>2</x:v>
      </x:c>
      <x:c r="S85" s="397" t="str">
        <x:v>https://www.eeas.europa.eu/eeas/eu-election-observation-missions-1_en?page_lang=en</x:v>
      </x:c>
      <x:c r="T85" s="384" t="n">
        <x:v>2</x:v>
      </x:c>
      <x:c r="U85" s="396" t="n">
        <x:v>2</x:v>
      </x:c>
      <x:c r="V85" s="397" t="str">
        <x:v>https://www.eeas.europa.eu/eeas/missions-and-operations_en</x:v>
      </x:c>
      <x:c r="W85" s="385" t="n">
        <x:f>(--(M85&lt;&gt;"")+--(P85&lt;&gt;"")+--(S85&lt;&gt;"")+--(V85&lt;&gt;""))/4</x:f>
        <x:v>1</x:v>
      </x:c>
      <x:c r="X85" s="384" t="n">
        <x:f>IF(COUNT(K85,N85,Q85,T85)=0,"No data",(IF(ISNUMBER(K85),K85*Factor_Model!$B$4,0)+IF(ISNUMBER(N85),N85*Factor_Model!$B$5,0)+IF(ISNUMBER(Q85),Q85*Factor_Model!$B$6,0)+IF(ISNUMBER(T85),T85*Factor_Model!$B$7,0))/(IF(ISNUMBER(K85),Factor_Model!$B$4,0)+IF(ISNUMBER(N85),Factor_Model!$B$5,0)+IF(ISNUMBER(Q85),Factor_Model!$B$6,0)+IF(ISNUMBER(T85),Factor_Model!$B$7,0)))</x:f>
        <x:v>1.5</x:v>
      </x:c>
      <x:c r="Y85" s="20" t="str">
        <x:f>IF(W85=0,"No source",IF(W85&lt;1,"Partial source","Source-complete"))</x:f>
        <x:v>Source-complete</x:v>
      </x:c>
      <x:c r="Z85" s="20" t="str">
        <x:v>Automated screening pass: row uses a primary source URL by actor/subfactor; verify with country-specific evidence before final analytical use.</x:v>
      </x:c>
      <x:c r="AA85" s="20" t="str">
        <x:v>2026-05-20</x:v>
      </x:c>
      <x:c r="AB85" s="20" t="str">
        <x:v>GPT-5.5 Pro</x:v>
      </x:c>
    </x:row>
    <x:row r="86" ht="24" customHeight="1">
      <x:c r="A86" s="20" t="str">
        <x:v>CHN|Russia</x:v>
      </x:c>
      <x:c r="B86" s="20" t="str">
        <x:v>China</x:v>
      </x:c>
      <x:c r="C86" s="20" t="str">
        <x:v>People's Republic of China</x:v>
      </x:c>
      <x:c r="D86" s="20" t="str">
        <x:v>CN</x:v>
      </x:c>
      <x:c r="E86" s="20" t="str">
        <x:v>CHN</x:v>
      </x:c>
      <x:c r="F86" s="20" t="str">
        <x:v>156</x:v>
      </x:c>
      <x:c r="G86" s="20" t="str">
        <x:v>Asia</x:v>
      </x:c>
      <x:c r="H86" s="20" t="str">
        <x:v>Eastern Asia</x:v>
      </x:c>
      <x:c r="I86" s="20" t="str">
        <x:v>Russia</x:v>
      </x:c>
      <x:c r="J86" s="20" t="str">
        <x:v>Russian influence</x:v>
      </x:c>
      <x:c r="K86" s="384" t="n">
        <x:v>4</x:v>
      </x:c>
      <x:c r="L86" s="396" t="n">
        <x:v>3</x:v>
      </x:c>
      <x:c r="M86" s="397" t="str">
        <x:v>https://www.eeas.europa.eu/eeas/4th-eeas-annual-report-foreign-information-manipulation-and-interference-threats_en</x:v>
      </x:c>
      <x:c r="N86" s="384" t="n">
        <x:v>0</x:v>
      </x:c>
      <x:c r="O86" s="396" t="n">
        <x:v>1</x:v>
      </x:c>
      <x:c r="P86" s="397" t="str">
        <x:v>https://www.consilium.europa.eu/en/press/press-releases/2023/02/25/wagner-group-council-adds-11-individuals-and-7-entities-to-eu-sanctions-lists/</x:v>
      </x:c>
      <x:c r="Q86" s="384" t="n">
        <x:v>2</x:v>
      </x:c>
      <x:c r="R86" s="396" t="n">
        <x:v>2</x:v>
      </x:c>
      <x:c r="S86" s="397" t="str">
        <x:v>https://www.dni.gov/files/ODNI/documents/assessments/ATA-2026-Unclassified-Report.pdf</x:v>
      </x:c>
      <x:c r="T86" s="384" t="n">
        <x:v>0</x:v>
      </x:c>
      <x:c r="U86" s="396" t="n">
        <x:v>1</x:v>
      </x:c>
      <x:c r="V86" s="397" t="str">
        <x:v>https://www.consilium.europa.eu/en/press/press-releases/2023/02/25/wagner-group-council-adds-11-individuals-and-7-entities-to-eu-sanctions-lists/</x:v>
      </x:c>
      <x:c r="W86" s="385" t="n">
        <x:f>(--(M86&lt;&gt;"")+--(P86&lt;&gt;"")+--(S86&lt;&gt;"")+--(V86&lt;&gt;""))/4</x:f>
        <x:v>1</x:v>
      </x:c>
      <x:c r="X86" s="384" t="n">
        <x:f>IF(COUNT(K86,N86,Q86,T86)=0,"No data",(IF(ISNUMBER(K86),K86*Factor_Model!$B$4,0)+IF(ISNUMBER(N86),N86*Factor_Model!$B$5,0)+IF(ISNUMBER(Q86),Q86*Factor_Model!$B$6,0)+IF(ISNUMBER(T86),T86*Factor_Model!$B$7,0))/(IF(ISNUMBER(K86),Factor_Model!$B$4,0)+IF(ISNUMBER(N86),Factor_Model!$B$5,0)+IF(ISNUMBER(Q86),Factor_Model!$B$6,0)+IF(ISNUMBER(T86),Factor_Model!$B$7,0)))</x:f>
        <x:v>1.5</x:v>
      </x:c>
      <x:c r="Y86" s="20" t="str">
        <x:f>IF(W86=0,"No source",IF(W86&lt;1,"Partial source","Source-complete"))</x:f>
        <x:v>Source-complete</x:v>
      </x:c>
      <x:c r="Z86" s="20" t="str">
        <x:v>Automated screening pass: row uses a primary source URL by actor/subfactor; verify with country-specific evidence before final analytical use.</x:v>
      </x:c>
      <x:c r="AA86" s="20" t="str">
        <x:v>2026-05-20</x:v>
      </x:c>
      <x:c r="AB86" s="20" t="str">
        <x:v>GPT-5.5 Pro</x:v>
      </x:c>
    </x:row>
    <x:row r="87" ht="24" customHeight="1">
      <x:c r="A87" s="20" t="str">
        <x:v>CHN|China</x:v>
      </x:c>
      <x:c r="B87" s="20" t="str">
        <x:v>China</x:v>
      </x:c>
      <x:c r="C87" s="20" t="str">
        <x:v>People's Republic of China</x:v>
      </x:c>
      <x:c r="D87" s="20" t="str">
        <x:v>CN</x:v>
      </x:c>
      <x:c r="E87" s="20" t="str">
        <x:v>CHN</x:v>
      </x:c>
      <x:c r="F87" s="20" t="str">
        <x:v>156</x:v>
      </x:c>
      <x:c r="G87" s="20" t="str">
        <x:v>Asia</x:v>
      </x:c>
      <x:c r="H87" s="20" t="str">
        <x:v>Eastern Asia</x:v>
      </x:c>
      <x:c r="I87" s="20" t="str">
        <x:v>China</x:v>
      </x:c>
      <x:c r="J87" s="20" t="str">
        <x:v>Chinese influence</x:v>
      </x:c>
      <x:c r="K87" s="384" t="n">
        <x:v>10</x:v>
      </x:c>
      <x:c r="L87" s="396" t="n">
        <x:v>5</x:v>
      </x:c>
      <x:c r="M87" s="397" t="str">
        <x:v>https://www.eeas.europa.eu/eeas/4th-eeas-annual-report-foreign-information-manipulation-and-interference-threats_en</x:v>
      </x:c>
      <x:c r="N87" s="384" t="n">
        <x:v>0</x:v>
      </x:c>
      <x:c r="O87" s="396" t="n">
        <x:v>1</x:v>
      </x:c>
      <x:c r="P87" s="397" t="str">
        <x:v>https://merics.org/en/report/guardians-belt-and-road</x:v>
      </x:c>
      <x:c r="Q87" s="384" t="n">
        <x:v>0</x:v>
      </x:c>
      <x:c r="R87" s="396" t="n">
        <x:v>1</x:v>
      </x:c>
      <x:c r="S87" s="397" t="str">
        <x:v>https://www.eeas.europa.eu/eeas/4th-eeas-annual-report-foreign-information-manipulation-and-interference-threats_en</x:v>
      </x:c>
      <x:c r="T87" s="384" t="n">
        <x:v>2</x:v>
      </x:c>
      <x:c r="U87" s="396" t="n">
        <x:v>2</x:v>
      </x:c>
      <x:c r="V87" s="397" t="str">
        <x:v>https://merics.org/en/report/guardians-belt-and-road</x:v>
      </x:c>
      <x:c r="W87" s="385" t="n">
        <x:f>(--(M87&lt;&gt;"")+--(P87&lt;&gt;"")+--(S87&lt;&gt;"")+--(V87&lt;&gt;""))/4</x:f>
        <x:v>1</x:v>
      </x:c>
      <x:c r="X87" s="384" t="n">
        <x:f>IF(COUNT(K87,N87,Q87,T87)=0,"No data",(IF(ISNUMBER(K87),K87*Factor_Model!$B$4,0)+IF(ISNUMBER(N87),N87*Factor_Model!$B$5,0)+IF(ISNUMBER(Q87),Q87*Factor_Model!$B$6,0)+IF(ISNUMBER(T87),T87*Factor_Model!$B$7,0))/(IF(ISNUMBER(K87),Factor_Model!$B$4,0)+IF(ISNUMBER(N87),Factor_Model!$B$5,0)+IF(ISNUMBER(Q87),Factor_Model!$B$6,0)+IF(ISNUMBER(T87),Factor_Model!$B$7,0)))</x:f>
        <x:v>3</x:v>
      </x:c>
      <x:c r="Y87" s="20" t="str">
        <x:f>IF(W87=0,"No source",IF(W87&lt;1,"Partial source","Source-complete"))</x:f>
        <x:v>Source-complete</x:v>
      </x:c>
      <x:c r="Z87" s="20" t="str">
        <x:v>Automated screening pass: row uses a primary source URL by actor/subfactor; verify with country-specific evidence before final analytical use.</x:v>
      </x:c>
      <x:c r="AA87" s="20" t="str">
        <x:v>2026-05-20</x:v>
      </x:c>
      <x:c r="AB87" s="20" t="str">
        <x:v>GPT-5.5 Pro</x:v>
      </x:c>
    </x:row>
    <x:row r="88" ht="24" customHeight="1">
      <x:c r="A88" s="20" t="str">
        <x:v>CHN|United States</x:v>
      </x:c>
      <x:c r="B88" s="20" t="str">
        <x:v>China</x:v>
      </x:c>
      <x:c r="C88" s="20" t="str">
        <x:v>People's Republic of China</x:v>
      </x:c>
      <x:c r="D88" s="20" t="str">
        <x:v>CN</x:v>
      </x:c>
      <x:c r="E88" s="20" t="str">
        <x:v>CHN</x:v>
      </x:c>
      <x:c r="F88" s="20" t="str">
        <x:v>156</x:v>
      </x:c>
      <x:c r="G88" s="20" t="str">
        <x:v>Asia</x:v>
      </x:c>
      <x:c r="H88" s="20" t="str">
        <x:v>Eastern Asia</x:v>
      </x:c>
      <x:c r="I88" s="20" t="str">
        <x:v>United States</x:v>
      </x:c>
      <x:c r="J88" s="20" t="str">
        <x:v>American influence</x:v>
      </x:c>
      <x:c r="K88" s="384" t="n">
        <x:v>7</x:v>
      </x:c>
      <x:c r="L88" s="396" t="n">
        <x:v>4</x:v>
      </x:c>
      <x:c r="M88" s="397" t="str">
        <x:v>https://www.usagm.gov/our-work/strategy-and-results/strategic-priorities/research-reports/</x:v>
      </x:c>
      <x:c r="N88" s="384" t="n">
        <x:v>0</x:v>
      </x:c>
      <x:c r="O88" s="396" t="n">
        <x:v>1</x:v>
      </x:c>
      <x:c r="P88" s="397" t="str">
        <x:v>https://internationalpolicy.org/programs/sam/</x:v>
      </x:c>
      <x:c r="Q88" s="384" t="n">
        <x:v>4</x:v>
      </x:c>
      <x:c r="R88" s="396" t="n">
        <x:v>3</x:v>
      </x:c>
      <x:c r="S88" s="397" t="str">
        <x:v>https://www.ned.org/ned-grantmaking/</x:v>
      </x:c>
      <x:c r="T88" s="384" t="n">
        <x:v>1</x:v>
      </x:c>
      <x:c r="U88" s="396" t="n">
        <x:v>2</x:v>
      </x:c>
      <x:c r="V88" s="397" t="str">
        <x:v>https://internationalpolicy.org/programs/sam/</x:v>
      </x:c>
      <x:c r="W88" s="385" t="n">
        <x:f>(--(M88&lt;&gt;"")+--(P88&lt;&gt;"")+--(S88&lt;&gt;"")+--(V88&lt;&gt;""))/4</x:f>
        <x:v>1</x:v>
      </x:c>
      <x:c r="X88" s="384" t="n">
        <x:f>IF(COUNT(K88,N88,Q88,T88)=0,"No data",(IF(ISNUMBER(K88),K88*Factor_Model!$B$4,0)+IF(ISNUMBER(N88),N88*Factor_Model!$B$5,0)+IF(ISNUMBER(Q88),Q88*Factor_Model!$B$6,0)+IF(ISNUMBER(T88),T88*Factor_Model!$B$7,0))/(IF(ISNUMBER(K88),Factor_Model!$B$4,0)+IF(ISNUMBER(N88),Factor_Model!$B$5,0)+IF(ISNUMBER(Q88),Factor_Model!$B$6,0)+IF(ISNUMBER(T88),Factor_Model!$B$7,0)))</x:f>
        <x:v>3</x:v>
      </x:c>
      <x:c r="Y88" s="20" t="str">
        <x:f>IF(W88=0,"No source",IF(W88&lt;1,"Partial source","Source-complete"))</x:f>
        <x:v>Source-complete</x:v>
      </x:c>
      <x:c r="Z88" s="20" t="str">
        <x:v>Automated screening pass: row uses a primary source URL by actor/subfactor; verify with country-specific evidence before final analytical use.</x:v>
      </x:c>
      <x:c r="AA88" s="20" t="str">
        <x:v>2026-05-20</x:v>
      </x:c>
      <x:c r="AB88" s="20" t="str">
        <x:v>GPT-5.5 Pro</x:v>
      </x:c>
    </x:row>
    <x:row r="89" ht="24" customHeight="1">
      <x:c r="A89" s="20" t="str">
        <x:v>CHN|European Union</x:v>
      </x:c>
      <x:c r="B89" s="20" t="str">
        <x:v>China</x:v>
      </x:c>
      <x:c r="C89" s="20" t="str">
        <x:v>People's Republic of China</x:v>
      </x:c>
      <x:c r="D89" s="20" t="str">
        <x:v>CN</x:v>
      </x:c>
      <x:c r="E89" s="20" t="str">
        <x:v>CHN</x:v>
      </x:c>
      <x:c r="F89" s="20" t="str">
        <x:v>156</x:v>
      </x:c>
      <x:c r="G89" s="20" t="str">
        <x:v>Asia</x:v>
      </x:c>
      <x:c r="H89" s="20" t="str">
        <x:v>Eastern Asia</x:v>
      </x:c>
      <x:c r="I89" s="20" t="str">
        <x:v>European Union</x:v>
      </x:c>
      <x:c r="J89" s="20" t="str">
        <x:v>EU influence</x:v>
      </x:c>
      <x:c r="K89" s="384" t="n">
        <x:v>2</x:v>
      </x:c>
      <x:c r="L89" s="396" t="n">
        <x:v>2</x:v>
      </x:c>
      <x:c r="M89" s="397" t="str">
        <x:v>https://www.eeas.europa.eu/eeas/public-diplomacy_en</x:v>
      </x:c>
      <x:c r="N89" s="384" t="n">
        <x:v>0</x:v>
      </x:c>
      <x:c r="O89" s="396" t="n">
        <x:v>1</x:v>
      </x:c>
      <x:c r="P89" s="397" t="str">
        <x:v>https://www.eeas.europa.eu/eeas/missions-and-operations_en</x:v>
      </x:c>
      <x:c r="Q89" s="384" t="n">
        <x:v>0</x:v>
      </x:c>
      <x:c r="R89" s="396" t="n">
        <x:v>1</x:v>
      </x:c>
      <x:c r="S89" s="397" t="str">
        <x:v>https://www.eeas.europa.eu/eeas/eu-election-observation-missions-1_en?page_lang=en</x:v>
      </x:c>
      <x:c r="T89" s="384" t="n">
        <x:v>1</x:v>
      </x:c>
      <x:c r="U89" s="396" t="n">
        <x:v>2</x:v>
      </x:c>
      <x:c r="V89" s="397" t="str">
        <x:v>https://www.eeas.europa.eu/eeas/missions-and-operations_en</x:v>
      </x:c>
      <x:c r="W89" s="385" t="n">
        <x:f>(--(M89&lt;&gt;"")+--(P89&lt;&gt;"")+--(S89&lt;&gt;"")+--(V89&lt;&gt;""))/4</x:f>
        <x:v>1</x:v>
      </x:c>
      <x:c r="X89" s="384" t="n">
        <x:f>IF(COUNT(K89,N89,Q89,T89)=0,"No data",(IF(ISNUMBER(K89),K89*Factor_Model!$B$4,0)+IF(ISNUMBER(N89),N89*Factor_Model!$B$5,0)+IF(ISNUMBER(Q89),Q89*Factor_Model!$B$6,0)+IF(ISNUMBER(T89),T89*Factor_Model!$B$7,0))/(IF(ISNUMBER(K89),Factor_Model!$B$4,0)+IF(ISNUMBER(N89),Factor_Model!$B$5,0)+IF(ISNUMBER(Q89),Factor_Model!$B$6,0)+IF(ISNUMBER(T89),Factor_Model!$B$7,0)))</x:f>
        <x:v>0.75</x:v>
      </x:c>
      <x:c r="Y89" s="20" t="str">
        <x:f>IF(W89=0,"No source",IF(W89&lt;1,"Partial source","Source-complete"))</x:f>
        <x:v>Source-complete</x:v>
      </x:c>
      <x:c r="Z89" s="20" t="str">
        <x:v>Automated screening pass: row uses a primary source URL by actor/subfactor; verify with country-specific evidence before final analytical use.</x:v>
      </x:c>
      <x:c r="AA89" s="20" t="str">
        <x:v>2026-05-20</x:v>
      </x:c>
      <x:c r="AB89" s="20" t="str">
        <x:v>GPT-5.5 Pro</x:v>
      </x:c>
    </x:row>
    <x:row r="90" ht="24" customHeight="1">
      <x:c r="A90" s="20" t="str">
        <x:v>COL|Russia</x:v>
      </x:c>
      <x:c r="B90" s="20" t="str">
        <x:v>Colombia</x:v>
      </x:c>
      <x:c r="C90" s="20" t="str">
        <x:v>Republic of Colombia</x:v>
      </x:c>
      <x:c r="D90" s="20" t="str">
        <x:v>CO</x:v>
      </x:c>
      <x:c r="E90" s="20" t="str">
        <x:v>COL</x:v>
      </x:c>
      <x:c r="F90" s="20" t="str">
        <x:v>170</x:v>
      </x:c>
      <x:c r="G90" s="20" t="str">
        <x:v>Americas</x:v>
      </x:c>
      <x:c r="H90" s="20" t="str">
        <x:v>South America</x:v>
      </x:c>
      <x:c r="I90" s="20" t="str">
        <x:v>Russia</x:v>
      </x:c>
      <x:c r="J90" s="20" t="str">
        <x:v>Russian influence</x:v>
      </x:c>
      <x:c r="K90" s="384" t="n">
        <x:v>3</x:v>
      </x:c>
      <x:c r="L90" s="396" t="n">
        <x:v>3</x:v>
      </x:c>
      <x:c r="M90" s="397" t="str">
        <x:v>https://www.eeas.europa.eu/eeas/4th-eeas-annual-report-foreign-information-manipulation-and-interference-threats_en</x:v>
      </x:c>
      <x:c r="N90" s="384" t="n">
        <x:v>0</x:v>
      </x:c>
      <x:c r="O90" s="396" t="n">
        <x:v>1</x:v>
      </x:c>
      <x:c r="P90" s="397" t="str">
        <x:v>https://www.consilium.europa.eu/en/press/press-releases/2023/02/25/wagner-group-council-adds-11-individuals-and-7-entities-to-eu-sanctions-lists/</x:v>
      </x:c>
      <x:c r="Q90" s="384" t="n">
        <x:v>2</x:v>
      </x:c>
      <x:c r="R90" s="396" t="n">
        <x:v>2</x:v>
      </x:c>
      <x:c r="S90" s="397" t="str">
        <x:v>https://www.dni.gov/files/ODNI/documents/assessments/ATA-2026-Unclassified-Report.pdf</x:v>
      </x:c>
      <x:c r="T90" s="384" t="n">
        <x:v>0</x:v>
      </x:c>
      <x:c r="U90" s="396" t="n">
        <x:v>1</x:v>
      </x:c>
      <x:c r="V90" s="397" t="str">
        <x:v>https://www.consilium.europa.eu/en/press/press-releases/2023/02/25/wagner-group-council-adds-11-individuals-and-7-entities-to-eu-sanctions-lists/</x:v>
      </x:c>
      <x:c r="W90" s="385" t="n">
        <x:f>(--(M90&lt;&gt;"")+--(P90&lt;&gt;"")+--(S90&lt;&gt;"")+--(V90&lt;&gt;""))/4</x:f>
        <x:v>1</x:v>
      </x:c>
      <x:c r="X90" s="384" t="n">
        <x:f>IF(COUNT(K90,N90,Q90,T90)=0,"No data",(IF(ISNUMBER(K90),K90*Factor_Model!$B$4,0)+IF(ISNUMBER(N90),N90*Factor_Model!$B$5,0)+IF(ISNUMBER(Q90),Q90*Factor_Model!$B$6,0)+IF(ISNUMBER(T90),T90*Factor_Model!$B$7,0))/(IF(ISNUMBER(K90),Factor_Model!$B$4,0)+IF(ISNUMBER(N90),Factor_Model!$B$5,0)+IF(ISNUMBER(Q90),Factor_Model!$B$6,0)+IF(ISNUMBER(T90),Factor_Model!$B$7,0)))</x:f>
        <x:v>1.25</x:v>
      </x:c>
      <x:c r="Y90" s="20" t="str">
        <x:f>IF(W90=0,"No source",IF(W90&lt;1,"Partial source","Source-complete"))</x:f>
        <x:v>Source-complete</x:v>
      </x:c>
      <x:c r="Z90" s="20" t="str">
        <x:v>Automated screening pass: row uses a primary source URL by actor/subfactor; verify with country-specific evidence before final analytical use.</x:v>
      </x:c>
      <x:c r="AA90" s="20" t="str">
        <x:v>2026-05-20</x:v>
      </x:c>
      <x:c r="AB90" s="20" t="str">
        <x:v>GPT-5.5 Pro</x:v>
      </x:c>
    </x:row>
    <x:row r="91" ht="24" customHeight="1">
      <x:c r="A91" s="20" t="str">
        <x:v>COL|China</x:v>
      </x:c>
      <x:c r="B91" s="20" t="str">
        <x:v>Colombia</x:v>
      </x:c>
      <x:c r="C91" s="20" t="str">
        <x:v>Republic of Colombia</x:v>
      </x:c>
      <x:c r="D91" s="20" t="str">
        <x:v>CO</x:v>
      </x:c>
      <x:c r="E91" s="20" t="str">
        <x:v>COL</x:v>
      </x:c>
      <x:c r="F91" s="20" t="str">
        <x:v>170</x:v>
      </x:c>
      <x:c r="G91" s="20" t="str">
        <x:v>Americas</x:v>
      </x:c>
      <x:c r="H91" s="20" t="str">
        <x:v>South America</x:v>
      </x:c>
      <x:c r="I91" s="20" t="str">
        <x:v>China</x:v>
      </x:c>
      <x:c r="J91" s="20" t="str">
        <x:v>Chinese influence</x:v>
      </x:c>
      <x:c r="K91" s="384" t="n">
        <x:v>4</x:v>
      </x:c>
      <x:c r="L91" s="396" t="n">
        <x:v>3</x:v>
      </x:c>
      <x:c r="M91" s="397" t="str">
        <x:v>https://www.eeas.europa.eu/eeas/4th-eeas-annual-report-foreign-information-manipulation-and-interference-threats_en</x:v>
      </x:c>
      <x:c r="N91" s="384" t="n">
        <x:v>0</x:v>
      </x:c>
      <x:c r="O91" s="396" t="n">
        <x:v>1</x:v>
      </x:c>
      <x:c r="P91" s="397" t="str">
        <x:v>https://merics.org/en/report/guardians-belt-and-road</x:v>
      </x:c>
      <x:c r="Q91" s="384" t="n">
        <x:v>2</x:v>
      </x:c>
      <x:c r="R91" s="396" t="n">
        <x:v>2</x:v>
      </x:c>
      <x:c r="S91" s="397" t="str">
        <x:v>https://www.eeas.europa.eu/eeas/4th-eeas-annual-report-foreign-information-manipulation-and-interference-threats_en</x:v>
      </x:c>
      <x:c r="T91" s="384" t="n">
        <x:v>0</x:v>
      </x:c>
      <x:c r="U91" s="396" t="n">
        <x:v>1</x:v>
      </x:c>
      <x:c r="V91" s="397" t="str">
        <x:v>https://merics.org/en/report/guardians-belt-and-road</x:v>
      </x:c>
      <x:c r="W91" s="385" t="n">
        <x:f>(--(M91&lt;&gt;"")+--(P91&lt;&gt;"")+--(S91&lt;&gt;"")+--(V91&lt;&gt;""))/4</x:f>
        <x:v>1</x:v>
      </x:c>
      <x:c r="X91" s="384" t="n">
        <x:f>IF(COUNT(K91,N91,Q91,T91)=0,"No data",(IF(ISNUMBER(K91),K91*Factor_Model!$B$4,0)+IF(ISNUMBER(N91),N91*Factor_Model!$B$5,0)+IF(ISNUMBER(Q91),Q91*Factor_Model!$B$6,0)+IF(ISNUMBER(T91),T91*Factor_Model!$B$7,0))/(IF(ISNUMBER(K91),Factor_Model!$B$4,0)+IF(ISNUMBER(N91),Factor_Model!$B$5,0)+IF(ISNUMBER(Q91),Factor_Model!$B$6,0)+IF(ISNUMBER(T91),Factor_Model!$B$7,0)))</x:f>
        <x:v>1.5</x:v>
      </x:c>
      <x:c r="Y91" s="20" t="str">
        <x:f>IF(W91=0,"No source",IF(W91&lt;1,"Partial source","Source-complete"))</x:f>
        <x:v>Source-complete</x:v>
      </x:c>
      <x:c r="Z91" s="20" t="str">
        <x:v>Automated screening pass: row uses a primary source URL by actor/subfactor; verify with country-specific evidence before final analytical use.</x:v>
      </x:c>
      <x:c r="AA91" s="20" t="str">
        <x:v>2026-05-20</x:v>
      </x:c>
      <x:c r="AB91" s="20" t="str">
        <x:v>GPT-5.5 Pro</x:v>
      </x:c>
    </x:row>
    <x:row r="92" ht="24" customHeight="1">
      <x:c r="A92" s="20" t="str">
        <x:v>COL|United States</x:v>
      </x:c>
      <x:c r="B92" s="20" t="str">
        <x:v>Colombia</x:v>
      </x:c>
      <x:c r="C92" s="20" t="str">
        <x:v>Republic of Colombia</x:v>
      </x:c>
      <x:c r="D92" s="20" t="str">
        <x:v>CO</x:v>
      </x:c>
      <x:c r="E92" s="20" t="str">
        <x:v>COL</x:v>
      </x:c>
      <x:c r="F92" s="20" t="str">
        <x:v>170</x:v>
      </x:c>
      <x:c r="G92" s="20" t="str">
        <x:v>Americas</x:v>
      </x:c>
      <x:c r="H92" s="20" t="str">
        <x:v>South America</x:v>
      </x:c>
      <x:c r="I92" s="20" t="str">
        <x:v>United States</x:v>
      </x:c>
      <x:c r="J92" s="20" t="str">
        <x:v>American influence</x:v>
      </x:c>
      <x:c r="K92" s="384" t="n">
        <x:v>3</x:v>
      </x:c>
      <x:c r="L92" s="396" t="n">
        <x:v>3</x:v>
      </x:c>
      <x:c r="M92" s="397" t="str">
        <x:v>https://www.usagm.gov/our-work/strategy-and-results/strategic-priorities/research-reports/</x:v>
      </x:c>
      <x:c r="N92" s="384" t="n">
        <x:v>2</x:v>
      </x:c>
      <x:c r="O92" s="396" t="n">
        <x:v>2</x:v>
      </x:c>
      <x:c r="P92" s="397" t="str">
        <x:v>https://internationalpolicy.org/programs/sam/</x:v>
      </x:c>
      <x:c r="Q92" s="384" t="n">
        <x:v>2</x:v>
      </x:c>
      <x:c r="R92" s="396" t="n">
        <x:v>2</x:v>
      </x:c>
      <x:c r="S92" s="397" t="str">
        <x:v>https://www.ned.org/ned-grantmaking/</x:v>
      </x:c>
      <x:c r="T92" s="384" t="n">
        <x:v>4</x:v>
      </x:c>
      <x:c r="U92" s="396" t="n">
        <x:v>3</x:v>
      </x:c>
      <x:c r="V92" s="397" t="str">
        <x:v>https://internationalpolicy.org/programs/sam/</x:v>
      </x:c>
      <x:c r="W92" s="385" t="n">
        <x:f>(--(M92&lt;&gt;"")+--(P92&lt;&gt;"")+--(S92&lt;&gt;"")+--(V92&lt;&gt;""))/4</x:f>
        <x:v>1</x:v>
      </x:c>
      <x:c r="X92" s="384" t="n">
        <x:f>IF(COUNT(K92,N92,Q92,T92)=0,"No data",(IF(ISNUMBER(K92),K92*Factor_Model!$B$4,0)+IF(ISNUMBER(N92),N92*Factor_Model!$B$5,0)+IF(ISNUMBER(Q92),Q92*Factor_Model!$B$6,0)+IF(ISNUMBER(T92),T92*Factor_Model!$B$7,0))/(IF(ISNUMBER(K92),Factor_Model!$B$4,0)+IF(ISNUMBER(N92),Factor_Model!$B$5,0)+IF(ISNUMBER(Q92),Factor_Model!$B$6,0)+IF(ISNUMBER(T92),Factor_Model!$B$7,0)))</x:f>
        <x:v>2.75</x:v>
      </x:c>
      <x:c r="Y92" s="20" t="str">
        <x:f>IF(W92=0,"No source",IF(W92&lt;1,"Partial source","Source-complete"))</x:f>
        <x:v>Source-complete</x:v>
      </x:c>
      <x:c r="Z92" s="20" t="str">
        <x:v>Automated screening pass: row uses a primary source URL by actor/subfactor; verify with country-specific evidence before final analytical use.</x:v>
      </x:c>
      <x:c r="AA92" s="20" t="str">
        <x:v>2026-05-20</x:v>
      </x:c>
      <x:c r="AB92" s="20" t="str">
        <x:v>GPT-5.5 Pro</x:v>
      </x:c>
    </x:row>
    <x:row r="93" ht="24" customHeight="1">
      <x:c r="A93" s="20" t="str">
        <x:v>COL|European Union</x:v>
      </x:c>
      <x:c r="B93" s="20" t="str">
        <x:v>Colombia</x:v>
      </x:c>
      <x:c r="C93" s="20" t="str">
        <x:v>Republic of Colombia</x:v>
      </x:c>
      <x:c r="D93" s="20" t="str">
        <x:v>CO</x:v>
      </x:c>
      <x:c r="E93" s="20" t="str">
        <x:v>COL</x:v>
      </x:c>
      <x:c r="F93" s="20" t="str">
        <x:v>170</x:v>
      </x:c>
      <x:c r="G93" s="20" t="str">
        <x:v>Americas</x:v>
      </x:c>
      <x:c r="H93" s="20" t="str">
        <x:v>South America</x:v>
      </x:c>
      <x:c r="I93" s="20" t="str">
        <x:v>European Union</x:v>
      </x:c>
      <x:c r="J93" s="20" t="str">
        <x:v>EU influence</x:v>
      </x:c>
      <x:c r="K93" s="384" t="n">
        <x:v>3</x:v>
      </x:c>
      <x:c r="L93" s="396" t="n">
        <x:v>3</x:v>
      </x:c>
      <x:c r="M93" s="397" t="str">
        <x:v>https://www.eeas.europa.eu/eeas/public-diplomacy_en</x:v>
      </x:c>
      <x:c r="N93" s="384" t="n">
        <x:v>0</x:v>
      </x:c>
      <x:c r="O93" s="396" t="n">
        <x:v>1</x:v>
      </x:c>
      <x:c r="P93" s="397" t="str">
        <x:v>https://www.eeas.europa.eu/eeas/missions-and-operations_en</x:v>
      </x:c>
      <x:c r="Q93" s="384" t="n">
        <x:v>2</x:v>
      </x:c>
      <x:c r="R93" s="396" t="n">
        <x:v>2</x:v>
      </x:c>
      <x:c r="S93" s="397" t="str">
        <x:v>https://www.eeas.europa.eu/eeas/eu-election-observation-missions-1_en?page_lang=en</x:v>
      </x:c>
      <x:c r="T93" s="384" t="n">
        <x:v>2</x:v>
      </x:c>
      <x:c r="U93" s="396" t="n">
        <x:v>2</x:v>
      </x:c>
      <x:c r="V93" s="397" t="str">
        <x:v>https://www.eeas.europa.eu/eeas/missions-and-operations_en</x:v>
      </x:c>
      <x:c r="W93" s="385" t="n">
        <x:f>(--(M93&lt;&gt;"")+--(P93&lt;&gt;"")+--(S93&lt;&gt;"")+--(V93&lt;&gt;""))/4</x:f>
        <x:v>1</x:v>
      </x:c>
      <x:c r="X93" s="384" t="n">
        <x:f>IF(COUNT(K93,N93,Q93,T93)=0,"No data",(IF(ISNUMBER(K93),K93*Factor_Model!$B$4,0)+IF(ISNUMBER(N93),N93*Factor_Model!$B$5,0)+IF(ISNUMBER(Q93),Q93*Factor_Model!$B$6,0)+IF(ISNUMBER(T93),T93*Factor_Model!$B$7,0))/(IF(ISNUMBER(K93),Factor_Model!$B$4,0)+IF(ISNUMBER(N93),Factor_Model!$B$5,0)+IF(ISNUMBER(Q93),Factor_Model!$B$6,0)+IF(ISNUMBER(T93),Factor_Model!$B$7,0)))</x:f>
        <x:v>1.75</x:v>
      </x:c>
      <x:c r="Y93" s="20" t="str">
        <x:f>IF(W93=0,"No source",IF(W93&lt;1,"Partial source","Source-complete"))</x:f>
        <x:v>Source-complete</x:v>
      </x:c>
      <x:c r="Z93" s="20" t="str">
        <x:v>Automated screening pass: row uses a primary source URL by actor/subfactor; verify with country-specific evidence before final analytical use.</x:v>
      </x:c>
      <x:c r="AA93" s="20" t="str">
        <x:v>2026-05-20</x:v>
      </x:c>
      <x:c r="AB93" s="20" t="str">
        <x:v>GPT-5.5 Pro</x:v>
      </x:c>
    </x:row>
    <x:row r="94" ht="24" customHeight="1">
      <x:c r="A94" s="20" t="str">
        <x:v>COK|Russia</x:v>
      </x:c>
      <x:c r="B94" s="20" t="str">
        <x:v>Cook Islands</x:v>
      </x:c>
      <x:c r="C94" s="20"/>
      <x:c r="D94" s="20" t="str">
        <x:v>CK</x:v>
      </x:c>
      <x:c r="E94" s="20" t="str">
        <x:v>COK</x:v>
      </x:c>
      <x:c r="F94" s="20" t="str">
        <x:v>184</x:v>
      </x:c>
      <x:c r="G94" s="20" t="str">
        <x:v>Oceania</x:v>
      </x:c>
      <x:c r="H94" s="20" t="str">
        <x:v>Polynesia</x:v>
      </x:c>
      <x:c r="I94" s="20" t="str">
        <x:v>Russia</x:v>
      </x:c>
      <x:c r="J94" s="20" t="str">
        <x:v>Russian influence</x:v>
      </x:c>
      <x:c r="K94" s="384" t="n">
        <x:v>2</x:v>
      </x:c>
      <x:c r="L94" s="396" t="n">
        <x:v>2</x:v>
      </x:c>
      <x:c r="M94" s="397" t="str">
        <x:v>https://www.eeas.europa.eu/eeas/4th-eeas-annual-report-foreign-information-manipulation-and-interference-threats_en</x:v>
      </x:c>
      <x:c r="N94" s="384" t="n">
        <x:v>0</x:v>
      </x:c>
      <x:c r="O94" s="396" t="n">
        <x:v>1</x:v>
      </x:c>
      <x:c r="P94" s="397" t="str">
        <x:v>https://www.consilium.europa.eu/en/press/press-releases/2023/02/25/wagner-group-council-adds-11-individuals-and-7-entities-to-eu-sanctions-lists/</x:v>
      </x:c>
      <x:c r="Q94" s="384" t="n">
        <x:v>0</x:v>
      </x:c>
      <x:c r="R94" s="396" t="n">
        <x:v>1</x:v>
      </x:c>
      <x:c r="S94" s="397" t="str">
        <x:v>https://www.dni.gov/files/ODNI/documents/assessments/ATA-2026-Unclassified-Report.pdf</x:v>
      </x:c>
      <x:c r="T94" s="384" t="n">
        <x:v>0</x:v>
      </x:c>
      <x:c r="U94" s="396" t="n">
        <x:v>1</x:v>
      </x:c>
      <x:c r="V94" s="397" t="str">
        <x:v>https://www.consilium.europa.eu/en/press/press-releases/2023/02/25/wagner-group-council-adds-11-individuals-and-7-entities-to-eu-sanctions-lists/</x:v>
      </x:c>
      <x:c r="W94" s="385" t="n">
        <x:f>(--(M94&lt;&gt;"")+--(P94&lt;&gt;"")+--(S94&lt;&gt;"")+--(V94&lt;&gt;""))/4</x:f>
        <x:v>1</x:v>
      </x:c>
      <x:c r="X94" s="384" t="n">
        <x:f>IF(COUNT(K94,N94,Q94,T94)=0,"No data",(IF(ISNUMBER(K94),K94*Factor_Model!$B$4,0)+IF(ISNUMBER(N94),N94*Factor_Model!$B$5,0)+IF(ISNUMBER(Q94),Q94*Factor_Model!$B$6,0)+IF(ISNUMBER(T94),T94*Factor_Model!$B$7,0))/(IF(ISNUMBER(K94),Factor_Model!$B$4,0)+IF(ISNUMBER(N94),Factor_Model!$B$5,0)+IF(ISNUMBER(Q94),Factor_Model!$B$6,0)+IF(ISNUMBER(T94),Factor_Model!$B$7,0)))</x:f>
        <x:v>0.5</x:v>
      </x:c>
      <x:c r="Y94" s="20" t="str">
        <x:f>IF(W94=0,"No source",IF(W94&lt;1,"Partial source","Source-complete"))</x:f>
        <x:v>Source-complete</x:v>
      </x:c>
      <x:c r="Z94" s="20" t="str">
        <x:v>Automated screening pass: row uses a primary source URL by actor/subfactor; verify with country-specific evidence before final analytical use.</x:v>
      </x:c>
      <x:c r="AA94" s="20" t="str">
        <x:v>2026-05-20</x:v>
      </x:c>
      <x:c r="AB94" s="20" t="str">
        <x:v>GPT-5.5 Pro</x:v>
      </x:c>
    </x:row>
    <x:row r="95" ht="24" customHeight="1">
      <x:c r="A95" s="20" t="str">
        <x:v>COK|China</x:v>
      </x:c>
      <x:c r="B95" s="20" t="str">
        <x:v>Cook Islands</x:v>
      </x:c>
      <x:c r="C95" s="20"/>
      <x:c r="D95" s="20" t="str">
        <x:v>CK</x:v>
      </x:c>
      <x:c r="E95" s="20" t="str">
        <x:v>COK</x:v>
      </x:c>
      <x:c r="F95" s="20" t="str">
        <x:v>184</x:v>
      </x:c>
      <x:c r="G95" s="20" t="str">
        <x:v>Oceania</x:v>
      </x:c>
      <x:c r="H95" s="20" t="str">
        <x:v>Polynesia</x:v>
      </x:c>
      <x:c r="I95" s="20" t="str">
        <x:v>China</x:v>
      </x:c>
      <x:c r="J95" s="20" t="str">
        <x:v>Chinese influence</x:v>
      </x:c>
      <x:c r="K95" s="384" t="n">
        <x:v>7</x:v>
      </x:c>
      <x:c r="L95" s="396" t="n">
        <x:v>4</x:v>
      </x:c>
      <x:c r="M95" s="397" t="str">
        <x:v>https://www.eeas.europa.eu/eeas/4th-eeas-annual-report-foreign-information-manipulation-and-interference-threats_en</x:v>
      </x:c>
      <x:c r="N95" s="384" t="n">
        <x:v>1</x:v>
      </x:c>
      <x:c r="O95" s="396" t="n">
        <x:v>2</x:v>
      </x:c>
      <x:c r="P95" s="397" t="str">
        <x:v>https://merics.org/en/report/guardians-belt-and-road</x:v>
      </x:c>
      <x:c r="Q95" s="384" t="n">
        <x:v>3</x:v>
      </x:c>
      <x:c r="R95" s="396" t="n">
        <x:v>3</x:v>
      </x:c>
      <x:c r="S95" s="397" t="str">
        <x:v>https://www.eeas.europa.eu/eeas/4th-eeas-annual-report-foreign-information-manipulation-and-interference-threats_en</x:v>
      </x:c>
      <x:c r="T95" s="384" t="n">
        <x:v>2</x:v>
      </x:c>
      <x:c r="U95" s="396" t="n">
        <x:v>2</x:v>
      </x:c>
      <x:c r="V95" s="397" t="str">
        <x:v>https://merics.org/en/report/guardians-belt-and-road</x:v>
      </x:c>
      <x:c r="W95" s="385" t="n">
        <x:f>(--(M95&lt;&gt;"")+--(P95&lt;&gt;"")+--(S95&lt;&gt;"")+--(V95&lt;&gt;""))/4</x:f>
        <x:v>1</x:v>
      </x:c>
      <x:c r="X95" s="384" t="n">
        <x:f>IF(COUNT(K95,N95,Q95,T95)=0,"No data",(IF(ISNUMBER(K95),K95*Factor_Model!$B$4,0)+IF(ISNUMBER(N95),N95*Factor_Model!$B$5,0)+IF(ISNUMBER(Q95),Q95*Factor_Model!$B$6,0)+IF(ISNUMBER(T95),T95*Factor_Model!$B$7,0))/(IF(ISNUMBER(K95),Factor_Model!$B$4,0)+IF(ISNUMBER(N95),Factor_Model!$B$5,0)+IF(ISNUMBER(Q95),Factor_Model!$B$6,0)+IF(ISNUMBER(T95),Factor_Model!$B$7,0)))</x:f>
        <x:v>3.25</x:v>
      </x:c>
      <x:c r="Y95" s="20" t="str">
        <x:f>IF(W95=0,"No source",IF(W95&lt;1,"Partial source","Source-complete"))</x:f>
        <x:v>Source-complete</x:v>
      </x:c>
      <x:c r="Z95" s="20" t="str">
        <x:v>Automated screening pass: row uses a primary source URL by actor/subfactor; verify with country-specific evidence before final analytical use.</x:v>
      </x:c>
      <x:c r="AA95" s="20" t="str">
        <x:v>2026-05-20</x:v>
      </x:c>
      <x:c r="AB95" s="20" t="str">
        <x:v>GPT-5.5 Pro</x:v>
      </x:c>
    </x:row>
    <x:row r="96" ht="24" customHeight="1">
      <x:c r="A96" s="20" t="str">
        <x:v>COK|United States</x:v>
      </x:c>
      <x:c r="B96" s="20" t="str">
        <x:v>Cook Islands</x:v>
      </x:c>
      <x:c r="C96" s="20"/>
      <x:c r="D96" s="20" t="str">
        <x:v>CK</x:v>
      </x:c>
      <x:c r="E96" s="20" t="str">
        <x:v>COK</x:v>
      </x:c>
      <x:c r="F96" s="20" t="str">
        <x:v>184</x:v>
      </x:c>
      <x:c r="G96" s="20" t="str">
        <x:v>Oceania</x:v>
      </x:c>
      <x:c r="H96" s="20" t="str">
        <x:v>Polynesia</x:v>
      </x:c>
      <x:c r="I96" s="20" t="str">
        <x:v>United States</x:v>
      </x:c>
      <x:c r="J96" s="20" t="str">
        <x:v>American influence</x:v>
      </x:c>
      <x:c r="K96" s="384" t="n">
        <x:v>3</x:v>
      </x:c>
      <x:c r="L96" s="396" t="n">
        <x:v>3</x:v>
      </x:c>
      <x:c r="M96" s="397" t="str">
        <x:v>https://www.usagm.gov/our-work/strategy-and-results/strategic-priorities/research-reports/</x:v>
      </x:c>
      <x:c r="N96" s="384" t="n">
        <x:v>1</x:v>
      </x:c>
      <x:c r="O96" s="396" t="n">
        <x:v>2</x:v>
      </x:c>
      <x:c r="P96" s="397" t="str">
        <x:v>https://internationalpolicy.org/programs/sam/</x:v>
      </x:c>
      <x:c r="Q96" s="384" t="n">
        <x:v>1</x:v>
      </x:c>
      <x:c r="R96" s="396" t="n">
        <x:v>2</x:v>
      </x:c>
      <x:c r="S96" s="397" t="str">
        <x:v>https://www.ned.org/ned-grantmaking/</x:v>
      </x:c>
      <x:c r="T96" s="384" t="n">
        <x:v>2</x:v>
      </x:c>
      <x:c r="U96" s="396" t="n">
        <x:v>2</x:v>
      </x:c>
      <x:c r="V96" s="397" t="str">
        <x:v>https://internationalpolicy.org/programs/sam/</x:v>
      </x:c>
      <x:c r="W96" s="385" t="n">
        <x:f>(--(M96&lt;&gt;"")+--(P96&lt;&gt;"")+--(S96&lt;&gt;"")+--(V96&lt;&gt;""))/4</x:f>
        <x:v>1</x:v>
      </x:c>
      <x:c r="X96" s="384" t="n">
        <x:f>IF(COUNT(K96,N96,Q96,T96)=0,"No data",(IF(ISNUMBER(K96),K96*Factor_Model!$B$4,0)+IF(ISNUMBER(N96),N96*Factor_Model!$B$5,0)+IF(ISNUMBER(Q96),Q96*Factor_Model!$B$6,0)+IF(ISNUMBER(T96),T96*Factor_Model!$B$7,0))/(IF(ISNUMBER(K96),Factor_Model!$B$4,0)+IF(ISNUMBER(N96),Factor_Model!$B$5,0)+IF(ISNUMBER(Q96),Factor_Model!$B$6,0)+IF(ISNUMBER(T96),Factor_Model!$B$7,0)))</x:f>
        <x:v>1.75</x:v>
      </x:c>
      <x:c r="Y96" s="20" t="str">
        <x:f>IF(W96=0,"No source",IF(W96&lt;1,"Partial source","Source-complete"))</x:f>
        <x:v>Source-complete</x:v>
      </x:c>
      <x:c r="Z96" s="20" t="str">
        <x:v>Automated screening pass: row uses a primary source URL by actor/subfactor; verify with country-specific evidence before final analytical use.</x:v>
      </x:c>
      <x:c r="AA96" s="20" t="str">
        <x:v>2026-05-20</x:v>
      </x:c>
      <x:c r="AB96" s="20" t="str">
        <x:v>GPT-5.5 Pro</x:v>
      </x:c>
    </x:row>
    <x:row r="97" ht="24" customHeight="1">
      <x:c r="A97" s="20" t="str">
        <x:v>COK|European Union</x:v>
      </x:c>
      <x:c r="B97" s="20" t="str">
        <x:v>Cook Islands</x:v>
      </x:c>
      <x:c r="C97" s="20"/>
      <x:c r="D97" s="20" t="str">
        <x:v>CK</x:v>
      </x:c>
      <x:c r="E97" s="20" t="str">
        <x:v>COK</x:v>
      </x:c>
      <x:c r="F97" s="20" t="str">
        <x:v>184</x:v>
      </x:c>
      <x:c r="G97" s="20" t="str">
        <x:v>Oceania</x:v>
      </x:c>
      <x:c r="H97" s="20" t="str">
        <x:v>Polynesia</x:v>
      </x:c>
      <x:c r="I97" s="20" t="str">
        <x:v>European Union</x:v>
      </x:c>
      <x:c r="J97" s="20" t="str">
        <x:v>EU influence</x:v>
      </x:c>
      <x:c r="K97" s="384" t="n">
        <x:v>2</x:v>
      </x:c>
      <x:c r="L97" s="396" t="n">
        <x:v>2</x:v>
      </x:c>
      <x:c r="M97" s="397" t="str">
        <x:v>https://www.eeas.europa.eu/eeas/public-diplomacy_en</x:v>
      </x:c>
      <x:c r="N97" s="384" t="n">
        <x:v>0</x:v>
      </x:c>
      <x:c r="O97" s="396" t="n">
        <x:v>1</x:v>
      </x:c>
      <x:c r="P97" s="397" t="str">
        <x:v>https://www.eeas.europa.eu/eeas/missions-and-operations_en</x:v>
      </x:c>
      <x:c r="Q97" s="384" t="n">
        <x:v>1</x:v>
      </x:c>
      <x:c r="R97" s="396" t="n">
        <x:v>2</x:v>
      </x:c>
      <x:c r="S97" s="397" t="str">
        <x:v>https://www.eeas.europa.eu/eeas/eu-election-observation-missions-1_en?page_lang=en</x:v>
      </x:c>
      <x:c r="T97" s="384" t="n">
        <x:v>1</x:v>
      </x:c>
      <x:c r="U97" s="396" t="n">
        <x:v>2</x:v>
      </x:c>
      <x:c r="V97" s="397" t="str">
        <x:v>https://www.eeas.europa.eu/eeas/missions-and-operations_en</x:v>
      </x:c>
      <x:c r="W97" s="385" t="n">
        <x:f>(--(M97&lt;&gt;"")+--(P97&lt;&gt;"")+--(S97&lt;&gt;"")+--(V97&lt;&gt;""))/4</x:f>
        <x:v>1</x:v>
      </x:c>
      <x:c r="X97" s="384" t="n">
        <x:f>IF(COUNT(K97,N97,Q97,T97)=0,"No data",(IF(ISNUMBER(K97),K97*Factor_Model!$B$4,0)+IF(ISNUMBER(N97),N97*Factor_Model!$B$5,0)+IF(ISNUMBER(Q97),Q97*Factor_Model!$B$6,0)+IF(ISNUMBER(T97),T97*Factor_Model!$B$7,0))/(IF(ISNUMBER(K97),Factor_Model!$B$4,0)+IF(ISNUMBER(N97),Factor_Model!$B$5,0)+IF(ISNUMBER(Q97),Factor_Model!$B$6,0)+IF(ISNUMBER(T97),Factor_Model!$B$7,0)))</x:f>
        <x:v>1</x:v>
      </x:c>
      <x:c r="Y97" s="20" t="str">
        <x:f>IF(W97=0,"No source",IF(W97&lt;1,"Partial source","Source-complete"))</x:f>
        <x:v>Source-complete</x:v>
      </x:c>
      <x:c r="Z97" s="20" t="str">
        <x:v>Automated screening pass: row uses a primary source URL by actor/subfactor; verify with country-specific evidence before final analytical use.</x:v>
      </x:c>
      <x:c r="AA97" s="20" t="str">
        <x:v>2026-05-20</x:v>
      </x:c>
      <x:c r="AB97" s="20" t="str">
        <x:v>GPT-5.5 Pro</x:v>
      </x:c>
    </x:row>
    <x:row r="98" ht="24" customHeight="1">
      <x:c r="A98" s="20" t="str">
        <x:v>CUB|Russia</x:v>
      </x:c>
      <x:c r="B98" s="20" t="str">
        <x:v>Cuba</x:v>
      </x:c>
      <x:c r="C98" s="20" t="str">
        <x:v>Republic of Cuba</x:v>
      </x:c>
      <x:c r="D98" s="20" t="str">
        <x:v>CU</x:v>
      </x:c>
      <x:c r="E98" s="20" t="str">
        <x:v>CUB</x:v>
      </x:c>
      <x:c r="F98" s="20" t="str">
        <x:v>192</x:v>
      </x:c>
      <x:c r="G98" s="20" t="str">
        <x:v>Americas</x:v>
      </x:c>
      <x:c r="H98" s="20" t="str">
        <x:v>Caribbean</x:v>
      </x:c>
      <x:c r="I98" s="20" t="str">
        <x:v>Russia</x:v>
      </x:c>
      <x:c r="J98" s="20" t="str">
        <x:v>Russian influence</x:v>
      </x:c>
      <x:c r="K98" s="384" t="n">
        <x:v>7</x:v>
      </x:c>
      <x:c r="L98" s="396" t="n">
        <x:v>4</x:v>
      </x:c>
      <x:c r="M98" s="397" t="str">
        <x:v>https://www.eeas.europa.eu/eeas/4th-eeas-annual-report-foreign-information-manipulation-and-interference-threats_en</x:v>
      </x:c>
      <x:c r="N98" s="384" t="n">
        <x:v>2</x:v>
      </x:c>
      <x:c r="O98" s="396" t="n">
        <x:v>2</x:v>
      </x:c>
      <x:c r="P98" s="397" t="str">
        <x:v>https://www.consilium.europa.eu/en/press/press-releases/2023/02/25/wagner-group-council-adds-11-individuals-and-7-entities-to-eu-sanctions-lists/</x:v>
      </x:c>
      <x:c r="Q98" s="384" t="n">
        <x:v>4</x:v>
      </x:c>
      <x:c r="R98" s="396" t="n">
        <x:v>3</x:v>
      </x:c>
      <x:c r="S98" s="397" t="str">
        <x:v>https://www.dni.gov/files/ODNI/documents/assessments/ATA-2026-Unclassified-Report.pdf</x:v>
      </x:c>
      <x:c r="T98" s="384" t="n">
        <x:v>2</x:v>
      </x:c>
      <x:c r="U98" s="396" t="n">
        <x:v>2</x:v>
      </x:c>
      <x:c r="V98" s="397" t="str">
        <x:v>https://www.consilium.europa.eu/en/press/press-releases/2023/02/25/wagner-group-council-adds-11-individuals-and-7-entities-to-eu-sanctions-lists/</x:v>
      </x:c>
      <x:c r="W98" s="385" t="n">
        <x:f>(--(M98&lt;&gt;"")+--(P98&lt;&gt;"")+--(S98&lt;&gt;"")+--(V98&lt;&gt;""))/4</x:f>
        <x:v>1</x:v>
      </x:c>
      <x:c r="X98" s="384" t="n">
        <x:f>IF(COUNT(K98,N98,Q98,T98)=0,"No data",(IF(ISNUMBER(K98),K98*Factor_Model!$B$4,0)+IF(ISNUMBER(N98),N98*Factor_Model!$B$5,0)+IF(ISNUMBER(Q98),Q98*Factor_Model!$B$6,0)+IF(ISNUMBER(T98),T98*Factor_Model!$B$7,0))/(IF(ISNUMBER(K98),Factor_Model!$B$4,0)+IF(ISNUMBER(N98),Factor_Model!$B$5,0)+IF(ISNUMBER(Q98),Factor_Model!$B$6,0)+IF(ISNUMBER(T98),Factor_Model!$B$7,0)))</x:f>
        <x:v>3.75</x:v>
      </x:c>
      <x:c r="Y98" s="20" t="str">
        <x:f>IF(W98=0,"No source",IF(W98&lt;1,"Partial source","Source-complete"))</x:f>
        <x:v>Source-complete</x:v>
      </x:c>
      <x:c r="Z98" s="20" t="str">
        <x:v>Automated screening pass: row uses a primary source URL by actor/subfactor; verify with country-specific evidence before final analytical use.</x:v>
      </x:c>
      <x:c r="AA98" s="20" t="str">
        <x:v>2026-05-20</x:v>
      </x:c>
      <x:c r="AB98" s="20" t="str">
        <x:v>GPT-5.5 Pro</x:v>
      </x:c>
    </x:row>
    <x:row r="99" ht="24" customHeight="1">
      <x:c r="A99" s="20" t="str">
        <x:v>CUB|China</x:v>
      </x:c>
      <x:c r="B99" s="20" t="str">
        <x:v>Cuba</x:v>
      </x:c>
      <x:c r="C99" s="20" t="str">
        <x:v>Republic of Cuba</x:v>
      </x:c>
      <x:c r="D99" s="20" t="str">
        <x:v>CU</x:v>
      </x:c>
      <x:c r="E99" s="20" t="str">
        <x:v>CUB</x:v>
      </x:c>
      <x:c r="F99" s="20" t="str">
        <x:v>192</x:v>
      </x:c>
      <x:c r="G99" s="20" t="str">
        <x:v>Americas</x:v>
      </x:c>
      <x:c r="H99" s="20" t="str">
        <x:v>Caribbean</x:v>
      </x:c>
      <x:c r="I99" s="20" t="str">
        <x:v>China</x:v>
      </x:c>
      <x:c r="J99" s="20" t="str">
        <x:v>Chinese influence</x:v>
      </x:c>
      <x:c r="K99" s="384" t="n">
        <x:v>5</x:v>
      </x:c>
      <x:c r="L99" s="396" t="n">
        <x:v>3</x:v>
      </x:c>
      <x:c r="M99" s="397" t="str">
        <x:v>https://www.eeas.europa.eu/eeas/4th-eeas-annual-report-foreign-information-manipulation-and-interference-threats_en</x:v>
      </x:c>
      <x:c r="N99" s="384" t="n">
        <x:v>0</x:v>
      </x:c>
      <x:c r="O99" s="396" t="n">
        <x:v>1</x:v>
      </x:c>
      <x:c r="P99" s="397" t="str">
        <x:v>https://merics.org/en/report/guardians-belt-and-road</x:v>
      </x:c>
      <x:c r="Q99" s="384" t="n">
        <x:v>2</x:v>
      </x:c>
      <x:c r="R99" s="396" t="n">
        <x:v>2</x:v>
      </x:c>
      <x:c r="S99" s="397" t="str">
        <x:v>https://www.eeas.europa.eu/eeas/4th-eeas-annual-report-foreign-information-manipulation-and-interference-threats_en</x:v>
      </x:c>
      <x:c r="T99" s="384" t="n">
        <x:v>0</x:v>
      </x:c>
      <x:c r="U99" s="396" t="n">
        <x:v>1</x:v>
      </x:c>
      <x:c r="V99" s="397" t="str">
        <x:v>https://merics.org/en/report/guardians-belt-and-road</x:v>
      </x:c>
      <x:c r="W99" s="385" t="n">
        <x:f>(--(M99&lt;&gt;"")+--(P99&lt;&gt;"")+--(S99&lt;&gt;"")+--(V99&lt;&gt;""))/4</x:f>
        <x:v>1</x:v>
      </x:c>
      <x:c r="X99" s="384" t="n">
        <x:f>IF(COUNT(K99,N99,Q99,T99)=0,"No data",(IF(ISNUMBER(K99),K99*Factor_Model!$B$4,0)+IF(ISNUMBER(N99),N99*Factor_Model!$B$5,0)+IF(ISNUMBER(Q99),Q99*Factor_Model!$B$6,0)+IF(ISNUMBER(T99),T99*Factor_Model!$B$7,0))/(IF(ISNUMBER(K99),Factor_Model!$B$4,0)+IF(ISNUMBER(N99),Factor_Model!$B$5,0)+IF(ISNUMBER(Q99),Factor_Model!$B$6,0)+IF(ISNUMBER(T99),Factor_Model!$B$7,0)))</x:f>
        <x:v>1.75</x:v>
      </x:c>
      <x:c r="Y99" s="20" t="str">
        <x:f>IF(W99=0,"No source",IF(W99&lt;1,"Partial source","Source-complete"))</x:f>
        <x:v>Source-complete</x:v>
      </x:c>
      <x:c r="Z99" s="20" t="str">
        <x:v>Automated screening pass: row uses a primary source URL by actor/subfactor; verify with country-specific evidence before final analytical use.</x:v>
      </x:c>
      <x:c r="AA99" s="20" t="str">
        <x:v>2026-05-20</x:v>
      </x:c>
      <x:c r="AB99" s="20" t="str">
        <x:v>GPT-5.5 Pro</x:v>
      </x:c>
    </x:row>
    <x:row r="100" ht="24" customHeight="1">
      <x:c r="A100" s="20" t="str">
        <x:v>CUB|United States</x:v>
      </x:c>
      <x:c r="B100" s="20" t="str">
        <x:v>Cuba</x:v>
      </x:c>
      <x:c r="C100" s="20" t="str">
        <x:v>Republic of Cuba</x:v>
      </x:c>
      <x:c r="D100" s="20" t="str">
        <x:v>CU</x:v>
      </x:c>
      <x:c r="E100" s="20" t="str">
        <x:v>CUB</x:v>
      </x:c>
      <x:c r="F100" s="20" t="str">
        <x:v>192</x:v>
      </x:c>
      <x:c r="G100" s="20" t="str">
        <x:v>Americas</x:v>
      </x:c>
      <x:c r="H100" s="20" t="str">
        <x:v>Caribbean</x:v>
      </x:c>
      <x:c r="I100" s="20" t="str">
        <x:v>United States</x:v>
      </x:c>
      <x:c r="J100" s="20" t="str">
        <x:v>American influence</x:v>
      </x:c>
      <x:c r="K100" s="384" t="n">
        <x:v>8</x:v>
      </x:c>
      <x:c r="L100" s="396" t="n">
        <x:v>4</x:v>
      </x:c>
      <x:c r="M100" s="397" t="str">
        <x:v>https://www.usagm.gov/our-work/strategy-and-results/strategic-priorities/research-reports/</x:v>
      </x:c>
      <x:c r="N100" s="384" t="n">
        <x:v>2</x:v>
      </x:c>
      <x:c r="O100" s="396" t="n">
        <x:v>2</x:v>
      </x:c>
      <x:c r="P100" s="397" t="str">
        <x:v>https://internationalpolicy.org/programs/sam/</x:v>
      </x:c>
      <x:c r="Q100" s="384" t="n">
        <x:v>5</x:v>
      </x:c>
      <x:c r="R100" s="396" t="n">
        <x:v>3</x:v>
      </x:c>
      <x:c r="S100" s="397" t="str">
        <x:v>https://www.ned.org/ned-grantmaking/</x:v>
      </x:c>
      <x:c r="T100" s="384" t="n">
        <x:v>4</x:v>
      </x:c>
      <x:c r="U100" s="396" t="n">
        <x:v>3</x:v>
      </x:c>
      <x:c r="V100" s="397" t="str">
        <x:v>https://internationalpolicy.org/programs/sam/</x:v>
      </x:c>
      <x:c r="W100" s="385" t="n">
        <x:f>(--(M100&lt;&gt;"")+--(P100&lt;&gt;"")+--(S100&lt;&gt;"")+--(V100&lt;&gt;""))/4</x:f>
        <x:v>1</x:v>
      </x:c>
      <x:c r="X100" s="384" t="n">
        <x:f>IF(COUNT(K100,N100,Q100,T100)=0,"No data",(IF(ISNUMBER(K100),K100*Factor_Model!$B$4,0)+IF(ISNUMBER(N100),N100*Factor_Model!$B$5,0)+IF(ISNUMBER(Q100),Q100*Factor_Model!$B$6,0)+IF(ISNUMBER(T100),T100*Factor_Model!$B$7,0))/(IF(ISNUMBER(K100),Factor_Model!$B$4,0)+IF(ISNUMBER(N100),Factor_Model!$B$5,0)+IF(ISNUMBER(Q100),Factor_Model!$B$6,0)+IF(ISNUMBER(T100),Factor_Model!$B$7,0)))</x:f>
        <x:v>4.75</x:v>
      </x:c>
      <x:c r="Y100" s="20" t="str">
        <x:f>IF(W100=0,"No source",IF(W100&lt;1,"Partial source","Source-complete"))</x:f>
        <x:v>Source-complete</x:v>
      </x:c>
      <x:c r="Z100" s="20" t="str">
        <x:v>Automated screening pass: row uses a primary source URL by actor/subfactor; verify with country-specific evidence before final analytical use.</x:v>
      </x:c>
      <x:c r="AA100" s="20" t="str">
        <x:v>2026-05-20</x:v>
      </x:c>
      <x:c r="AB100" s="20" t="str">
        <x:v>GPT-5.5 Pro</x:v>
      </x:c>
    </x:row>
    <x:row r="101" ht="24" customHeight="1">
      <x:c r="A101" s="20" t="str">
        <x:v>CUB|European Union</x:v>
      </x:c>
      <x:c r="B101" s="20" t="str">
        <x:v>Cuba</x:v>
      </x:c>
      <x:c r="C101" s="20" t="str">
        <x:v>Republic of Cuba</x:v>
      </x:c>
      <x:c r="D101" s="20" t="str">
        <x:v>CU</x:v>
      </x:c>
      <x:c r="E101" s="20" t="str">
        <x:v>CUB</x:v>
      </x:c>
      <x:c r="F101" s="20" t="str">
        <x:v>192</x:v>
      </x:c>
      <x:c r="G101" s="20" t="str">
        <x:v>Americas</x:v>
      </x:c>
      <x:c r="H101" s="20" t="str">
        <x:v>Caribbean</x:v>
      </x:c>
      <x:c r="I101" s="20" t="str">
        <x:v>European Union</x:v>
      </x:c>
      <x:c r="J101" s="20" t="str">
        <x:v>EU influence</x:v>
      </x:c>
      <x:c r="K101" s="384" t="n">
        <x:v>3</x:v>
      </x:c>
      <x:c r="L101" s="396" t="n">
        <x:v>3</x:v>
      </x:c>
      <x:c r="M101" s="397" t="str">
        <x:v>https://www.eeas.europa.eu/eeas/public-diplomacy_en</x:v>
      </x:c>
      <x:c r="N101" s="384" t="n">
        <x:v>0</x:v>
      </x:c>
      <x:c r="O101" s="396" t="n">
        <x:v>1</x:v>
      </x:c>
      <x:c r="P101" s="397" t="str">
        <x:v>https://www.eeas.europa.eu/eeas/missions-and-operations_en</x:v>
      </x:c>
      <x:c r="Q101" s="384" t="n">
        <x:v>1</x:v>
      </x:c>
      <x:c r="R101" s="396" t="n">
        <x:v>2</x:v>
      </x:c>
      <x:c r="S101" s="397" t="str">
        <x:v>https://www.eeas.europa.eu/eeas/eu-election-observation-missions-1_en?page_lang=en</x:v>
      </x:c>
      <x:c r="T101" s="384" t="n">
        <x:v>2</x:v>
      </x:c>
      <x:c r="U101" s="396" t="n">
        <x:v>2</x:v>
      </x:c>
      <x:c r="V101" s="397" t="str">
        <x:v>https://www.eeas.europa.eu/eeas/missions-and-operations_en</x:v>
      </x:c>
      <x:c r="W101" s="385" t="n">
        <x:f>(--(M101&lt;&gt;"")+--(P101&lt;&gt;"")+--(S101&lt;&gt;"")+--(V101&lt;&gt;""))/4</x:f>
        <x:v>1</x:v>
      </x:c>
      <x:c r="X101" s="384" t="n">
        <x:f>IF(COUNT(K101,N101,Q101,T101)=0,"No data",(IF(ISNUMBER(K101),K101*Factor_Model!$B$4,0)+IF(ISNUMBER(N101),N101*Factor_Model!$B$5,0)+IF(ISNUMBER(Q101),Q101*Factor_Model!$B$6,0)+IF(ISNUMBER(T101),T101*Factor_Model!$B$7,0))/(IF(ISNUMBER(K101),Factor_Model!$B$4,0)+IF(ISNUMBER(N101),Factor_Model!$B$5,0)+IF(ISNUMBER(Q101),Factor_Model!$B$6,0)+IF(ISNUMBER(T101),Factor_Model!$B$7,0)))</x:f>
        <x:v>1.5</x:v>
      </x:c>
      <x:c r="Y101" s="20" t="str">
        <x:f>IF(W101=0,"No source",IF(W101&lt;1,"Partial source","Source-complete"))</x:f>
        <x:v>Source-complete</x:v>
      </x:c>
      <x:c r="Z101" s="20" t="str">
        <x:v>Automated screening pass: row uses a primary source URL by actor/subfactor; verify with country-specific evidence before final analytical use.</x:v>
      </x:c>
      <x:c r="AA101" s="20" t="str">
        <x:v>2026-05-20</x:v>
      </x:c>
      <x:c r="AB101" s="20" t="str">
        <x:v>GPT-5.5 Pro</x:v>
      </x:c>
    </x:row>
    <x:row r="102" ht="24" customHeight="1">
      <x:c r="A102" s="20" t="str">
        <x:v>CYP|Russia</x:v>
      </x:c>
      <x:c r="B102" s="20" t="str">
        <x:v>Cyprus</x:v>
      </x:c>
      <x:c r="C102" s="20" t="str">
        <x:v>Republic of Cyprus</x:v>
      </x:c>
      <x:c r="D102" s="20" t="str">
        <x:v>CY</x:v>
      </x:c>
      <x:c r="E102" s="20" t="str">
        <x:v>CYP</x:v>
      </x:c>
      <x:c r="F102" s="20" t="str">
        <x:v>196</x:v>
      </x:c>
      <x:c r="G102" s="20" t="str">
        <x:v>Europe</x:v>
      </x:c>
      <x:c r="H102" s="20" t="str">
        <x:v>Southern Europe</x:v>
      </x:c>
      <x:c r="I102" s="20" t="str">
        <x:v>Russia</x:v>
      </x:c>
      <x:c r="J102" s="20" t="str">
        <x:v>Russian influence</x:v>
      </x:c>
      <x:c r="K102" s="384" t="n">
        <x:v>4</x:v>
      </x:c>
      <x:c r="L102" s="396" t="n">
        <x:v>3</x:v>
      </x:c>
      <x:c r="M102" s="397" t="str">
        <x:v>https://www.eeas.europa.eu/eeas/4th-eeas-annual-report-foreign-information-manipulation-and-interference-threats_en</x:v>
      </x:c>
      <x:c r="N102" s="384" t="n">
        <x:v>0</x:v>
      </x:c>
      <x:c r="O102" s="396" t="n">
        <x:v>1</x:v>
      </x:c>
      <x:c r="P102" s="397" t="str">
        <x:v>https://www.consilium.europa.eu/en/press/press-releases/2023/02/25/wagner-group-council-adds-11-individuals-and-7-entities-to-eu-sanctions-lists/</x:v>
      </x:c>
      <x:c r="Q102" s="384" t="n">
        <x:v>1</x:v>
      </x:c>
      <x:c r="R102" s="396" t="n">
        <x:v>2</x:v>
      </x:c>
      <x:c r="S102" s="397" t="str">
        <x:v>https://www.dni.gov/files/ODNI/documents/assessments/ATA-2026-Unclassified-Report.pdf</x:v>
      </x:c>
      <x:c r="T102" s="384" t="n">
        <x:v>0</x:v>
      </x:c>
      <x:c r="U102" s="396" t="n">
        <x:v>1</x:v>
      </x:c>
      <x:c r="V102" s="397" t="str">
        <x:v>https://www.consilium.europa.eu/en/press/press-releases/2023/02/25/wagner-group-council-adds-11-individuals-and-7-entities-to-eu-sanctions-lists/</x:v>
      </x:c>
      <x:c r="W102" s="385" t="n">
        <x:f>(--(M102&lt;&gt;"")+--(P102&lt;&gt;"")+--(S102&lt;&gt;"")+--(V102&lt;&gt;""))/4</x:f>
        <x:v>1</x:v>
      </x:c>
      <x:c r="X102" s="384" t="n">
        <x:f>IF(COUNT(K102,N102,Q102,T102)=0,"No data",(IF(ISNUMBER(K102),K102*Factor_Model!$B$4,0)+IF(ISNUMBER(N102),N102*Factor_Model!$B$5,0)+IF(ISNUMBER(Q102),Q102*Factor_Model!$B$6,0)+IF(ISNUMBER(T102),T102*Factor_Model!$B$7,0))/(IF(ISNUMBER(K102),Factor_Model!$B$4,0)+IF(ISNUMBER(N102),Factor_Model!$B$5,0)+IF(ISNUMBER(Q102),Factor_Model!$B$6,0)+IF(ISNUMBER(T102),Factor_Model!$B$7,0)))</x:f>
        <x:v>1.25</x:v>
      </x:c>
      <x:c r="Y102" s="20" t="str">
        <x:f>IF(W102=0,"No source",IF(W102&lt;1,"Partial source","Source-complete"))</x:f>
        <x:v>Source-complete</x:v>
      </x:c>
      <x:c r="Z102" s="20" t="str">
        <x:v>Automated screening pass: row uses a primary source URL by actor/subfactor; verify with country-specific evidence before final analytical use.</x:v>
      </x:c>
      <x:c r="AA102" s="20" t="str">
        <x:v>2026-05-20</x:v>
      </x:c>
      <x:c r="AB102" s="20" t="str">
        <x:v>GPT-5.5 Pro</x:v>
      </x:c>
    </x:row>
    <x:row r="103" ht="24" customHeight="1">
      <x:c r="A103" s="20" t="str">
        <x:v>CYP|China</x:v>
      </x:c>
      <x:c r="B103" s="20" t="str">
        <x:v>Cyprus</x:v>
      </x:c>
      <x:c r="C103" s="20" t="str">
        <x:v>Republic of Cyprus</x:v>
      </x:c>
      <x:c r="D103" s="20" t="str">
        <x:v>CY</x:v>
      </x:c>
      <x:c r="E103" s="20" t="str">
        <x:v>CYP</x:v>
      </x:c>
      <x:c r="F103" s="20" t="str">
        <x:v>196</x:v>
      </x:c>
      <x:c r="G103" s="20" t="str">
        <x:v>Europe</x:v>
      </x:c>
      <x:c r="H103" s="20" t="str">
        <x:v>Southern Europe</x:v>
      </x:c>
      <x:c r="I103" s="20" t="str">
        <x:v>China</x:v>
      </x:c>
      <x:c r="J103" s="20" t="str">
        <x:v>Chinese influence</x:v>
      </x:c>
      <x:c r="K103" s="384" t="n">
        <x:v>4</x:v>
      </x:c>
      <x:c r="L103" s="396" t="n">
        <x:v>3</x:v>
      </x:c>
      <x:c r="M103" s="397" t="str">
        <x:v>https://www.eeas.europa.eu/eeas/4th-eeas-annual-report-foreign-information-manipulation-and-interference-threats_en</x:v>
      </x:c>
      <x:c r="N103" s="384" t="n">
        <x:v>0</x:v>
      </x:c>
      <x:c r="O103" s="396" t="n">
        <x:v>1</x:v>
      </x:c>
      <x:c r="P103" s="397" t="str">
        <x:v>https://merics.org/en/report/guardians-belt-and-road</x:v>
      </x:c>
      <x:c r="Q103" s="384" t="n">
        <x:v>2</x:v>
      </x:c>
      <x:c r="R103" s="396" t="n">
        <x:v>2</x:v>
      </x:c>
      <x:c r="S103" s="397" t="str">
        <x:v>https://www.eeas.europa.eu/eeas/4th-eeas-annual-report-foreign-information-manipulation-and-interference-threats_en</x:v>
      </x:c>
      <x:c r="T103" s="384" t="n">
        <x:v>0</x:v>
      </x:c>
      <x:c r="U103" s="396" t="n">
        <x:v>1</x:v>
      </x:c>
      <x:c r="V103" s="397" t="str">
        <x:v>https://merics.org/en/report/guardians-belt-and-road</x:v>
      </x:c>
      <x:c r="W103" s="385" t="n">
        <x:f>(--(M103&lt;&gt;"")+--(P103&lt;&gt;"")+--(S103&lt;&gt;"")+--(V103&lt;&gt;""))/4</x:f>
        <x:v>1</x:v>
      </x:c>
      <x:c r="X103" s="384" t="n">
        <x:f>IF(COUNT(K103,N103,Q103,T103)=0,"No data",(IF(ISNUMBER(K103),K103*Factor_Model!$B$4,0)+IF(ISNUMBER(N103),N103*Factor_Model!$B$5,0)+IF(ISNUMBER(Q103),Q103*Factor_Model!$B$6,0)+IF(ISNUMBER(T103),T103*Factor_Model!$B$7,0))/(IF(ISNUMBER(K103),Factor_Model!$B$4,0)+IF(ISNUMBER(N103),Factor_Model!$B$5,0)+IF(ISNUMBER(Q103),Factor_Model!$B$6,0)+IF(ISNUMBER(T103),Factor_Model!$B$7,0)))</x:f>
        <x:v>1.5</x:v>
      </x:c>
      <x:c r="Y103" s="20" t="str">
        <x:f>IF(W103=0,"No source",IF(W103&lt;1,"Partial source","Source-complete"))</x:f>
        <x:v>Source-complete</x:v>
      </x:c>
      <x:c r="Z103" s="20" t="str">
        <x:v>Automated screening pass: row uses a primary source URL by actor/subfactor; verify with country-specific evidence before final analytical use.</x:v>
      </x:c>
      <x:c r="AA103" s="20" t="str">
        <x:v>2026-05-20</x:v>
      </x:c>
      <x:c r="AB103" s="20" t="str">
        <x:v>GPT-5.5 Pro</x:v>
      </x:c>
    </x:row>
    <x:row r="104" ht="24" customHeight="1">
      <x:c r="A104" s="20" t="str">
        <x:v>CYP|United States</x:v>
      </x:c>
      <x:c r="B104" s="20" t="str">
        <x:v>Cyprus</x:v>
      </x:c>
      <x:c r="C104" s="20" t="str">
        <x:v>Republic of Cyprus</x:v>
      </x:c>
      <x:c r="D104" s="20" t="str">
        <x:v>CY</x:v>
      </x:c>
      <x:c r="E104" s="20" t="str">
        <x:v>CYP</x:v>
      </x:c>
      <x:c r="F104" s="20" t="str">
        <x:v>196</x:v>
      </x:c>
      <x:c r="G104" s="20" t="str">
        <x:v>Europe</x:v>
      </x:c>
      <x:c r="H104" s="20" t="str">
        <x:v>Southern Europe</x:v>
      </x:c>
      <x:c r="I104" s="20" t="str">
        <x:v>United States</x:v>
      </x:c>
      <x:c r="J104" s="20" t="str">
        <x:v>American influence</x:v>
      </x:c>
      <x:c r="K104" s="384" t="n">
        <x:v>4</x:v>
      </x:c>
      <x:c r="L104" s="396" t="n">
        <x:v>3</x:v>
      </x:c>
      <x:c r="M104" s="397" t="str">
        <x:v>https://www.usagm.gov/our-work/strategy-and-results/strategic-priorities/research-reports/</x:v>
      </x:c>
      <x:c r="N104" s="384" t="n">
        <x:v>3</x:v>
      </x:c>
      <x:c r="O104" s="396" t="n">
        <x:v>3</x:v>
      </x:c>
      <x:c r="P104" s="397" t="str">
        <x:v>https://internationalpolicy.org/programs/sam/</x:v>
      </x:c>
      <x:c r="Q104" s="384" t="n">
        <x:v>1</x:v>
      </x:c>
      <x:c r="R104" s="396" t="n">
        <x:v>2</x:v>
      </x:c>
      <x:c r="S104" s="397" t="str">
        <x:v>https://www.ned.org/ned-grantmaking/</x:v>
      </x:c>
      <x:c r="T104" s="384" t="n">
        <x:v>6</x:v>
      </x:c>
      <x:c r="U104" s="396" t="n">
        <x:v>4</x:v>
      </x:c>
      <x:c r="V104" s="397" t="str">
        <x:v>https://internationalpolicy.org/programs/sam/</x:v>
      </x:c>
      <x:c r="W104" s="385" t="n">
        <x:f>(--(M104&lt;&gt;"")+--(P104&lt;&gt;"")+--(S104&lt;&gt;"")+--(V104&lt;&gt;""))/4</x:f>
        <x:v>1</x:v>
      </x:c>
      <x:c r="X104" s="384" t="n">
        <x:f>IF(COUNT(K104,N104,Q104,T104)=0,"No data",(IF(ISNUMBER(K104),K104*Factor_Model!$B$4,0)+IF(ISNUMBER(N104),N104*Factor_Model!$B$5,0)+IF(ISNUMBER(Q104),Q104*Factor_Model!$B$6,0)+IF(ISNUMBER(T104),T104*Factor_Model!$B$7,0))/(IF(ISNUMBER(K104),Factor_Model!$B$4,0)+IF(ISNUMBER(N104),Factor_Model!$B$5,0)+IF(ISNUMBER(Q104),Factor_Model!$B$6,0)+IF(ISNUMBER(T104),Factor_Model!$B$7,0)))</x:f>
        <x:v>3.5</x:v>
      </x:c>
      <x:c r="Y104" s="20" t="str">
        <x:f>IF(W104=0,"No source",IF(W104&lt;1,"Partial source","Source-complete"))</x:f>
        <x:v>Source-complete</x:v>
      </x:c>
      <x:c r="Z104" s="20" t="str">
        <x:v>Automated screening pass: row uses a primary source URL by actor/subfactor; verify with country-specific evidence before final analytical use.</x:v>
      </x:c>
      <x:c r="AA104" s="20" t="str">
        <x:v>2026-05-20</x:v>
      </x:c>
      <x:c r="AB104" s="20" t="str">
        <x:v>GPT-5.5 Pro</x:v>
      </x:c>
    </x:row>
    <x:row r="105" ht="24" customHeight="1">
      <x:c r="A105" s="20" t="str">
        <x:v>CYP|European Union</x:v>
      </x:c>
      <x:c r="B105" s="20" t="str">
        <x:v>Cyprus</x:v>
      </x:c>
      <x:c r="C105" s="20" t="str">
        <x:v>Republic of Cyprus</x:v>
      </x:c>
      <x:c r="D105" s="20" t="str">
        <x:v>CY</x:v>
      </x:c>
      <x:c r="E105" s="20" t="str">
        <x:v>CYP</x:v>
      </x:c>
      <x:c r="F105" s="20" t="str">
        <x:v>196</x:v>
      </x:c>
      <x:c r="G105" s="20" t="str">
        <x:v>Europe</x:v>
      </x:c>
      <x:c r="H105" s="20" t="str">
        <x:v>Southern Europe</x:v>
      </x:c>
      <x:c r="I105" s="20" t="str">
        <x:v>European Union</x:v>
      </x:c>
      <x:c r="J105" s="20" t="str">
        <x:v>EU influence</x:v>
      </x:c>
      <x:c r="K105" s="384" t="n">
        <x:v>9</x:v>
      </x:c>
      <x:c r="L105" s="396" t="n">
        <x:v>5</x:v>
      </x:c>
      <x:c r="M105" s="397" t="str">
        <x:v>https://www.eeas.europa.eu/eeas/public-diplomacy_en</x:v>
      </x:c>
      <x:c r="N105" s="384" t="n">
        <x:v>0</x:v>
      </x:c>
      <x:c r="O105" s="396" t="n">
        <x:v>1</x:v>
      </x:c>
      <x:c r="P105" s="397" t="str">
        <x:v>https://www.eeas.europa.eu/eeas/missions-and-operations_en</x:v>
      </x:c>
      <x:c r="Q105" s="384" t="n">
        <x:v>2</x:v>
      </x:c>
      <x:c r="R105" s="396" t="n">
        <x:v>2</x:v>
      </x:c>
      <x:c r="S105" s="397" t="str">
        <x:v>https://www.eeas.europa.eu/eeas/eu-election-observation-missions-1_en?page_lang=en</x:v>
      </x:c>
      <x:c r="T105" s="384" t="n">
        <x:v>5</x:v>
      </x:c>
      <x:c r="U105" s="396" t="n">
        <x:v>3</x:v>
      </x:c>
      <x:c r="V105" s="397" t="str">
        <x:v>https://www.eeas.europa.eu/eeas/missions-and-operations_en</x:v>
      </x:c>
      <x:c r="W105" s="385" t="n">
        <x:f>(--(M105&lt;&gt;"")+--(P105&lt;&gt;"")+--(S105&lt;&gt;"")+--(V105&lt;&gt;""))/4</x:f>
        <x:v>1</x:v>
      </x:c>
      <x:c r="X105" s="384" t="n">
        <x:f>IF(COUNT(K105,N105,Q105,T105)=0,"No data",(IF(ISNUMBER(K105),K105*Factor_Model!$B$4,0)+IF(ISNUMBER(N105),N105*Factor_Model!$B$5,0)+IF(ISNUMBER(Q105),Q105*Factor_Model!$B$6,0)+IF(ISNUMBER(T105),T105*Factor_Model!$B$7,0))/(IF(ISNUMBER(K105),Factor_Model!$B$4,0)+IF(ISNUMBER(N105),Factor_Model!$B$5,0)+IF(ISNUMBER(Q105),Factor_Model!$B$6,0)+IF(ISNUMBER(T105),Factor_Model!$B$7,0)))</x:f>
        <x:v>4</x:v>
      </x:c>
      <x:c r="Y105" s="20" t="str">
        <x:f>IF(W105=0,"No source",IF(W105&lt;1,"Partial source","Source-complete"))</x:f>
        <x:v>Source-complete</x:v>
      </x:c>
      <x:c r="Z105" s="20" t="str">
        <x:v>Automated screening pass: row uses a primary source URL by actor/subfactor; verify with country-specific evidence before final analytical use.</x:v>
      </x:c>
      <x:c r="AA105" s="20" t="str">
        <x:v>2026-05-20</x:v>
      </x:c>
      <x:c r="AB105" s="20" t="str">
        <x:v>GPT-5.5 Pro</x:v>
      </x:c>
    </x:row>
    <x:row r="106" ht="24" customHeight="1">
      <x:c r="A106" s="20" t="str">
        <x:v>CZE|Russia</x:v>
      </x:c>
      <x:c r="B106" s="20" t="str">
        <x:v>Czechia</x:v>
      </x:c>
      <x:c r="C106" s="20" t="str">
        <x:v>Czech Republic</x:v>
      </x:c>
      <x:c r="D106" s="20" t="str">
        <x:v>CZ</x:v>
      </x:c>
      <x:c r="E106" s="20" t="str">
        <x:v>CZE</x:v>
      </x:c>
      <x:c r="F106" s="20" t="str">
        <x:v>203</x:v>
      </x:c>
      <x:c r="G106" s="20" t="str">
        <x:v>Europe</x:v>
      </x:c>
      <x:c r="H106" s="20" t="str">
        <x:v>Eastern Europe</x:v>
      </x:c>
      <x:c r="I106" s="20" t="str">
        <x:v>Russia</x:v>
      </x:c>
      <x:c r="J106" s="20" t="str">
        <x:v>Russian influence</x:v>
      </x:c>
      <x:c r="K106" s="384" t="n">
        <x:v>6</x:v>
      </x:c>
      <x:c r="L106" s="396" t="n">
        <x:v>4</x:v>
      </x:c>
      <x:c r="M106" s="397" t="str">
        <x:v>https://www.eeas.europa.eu/eeas/4th-eeas-annual-report-foreign-information-manipulation-and-interference-threats_en</x:v>
      </x:c>
      <x:c r="N106" s="384" t="n">
        <x:v>0</x:v>
      </x:c>
      <x:c r="O106" s="396" t="n">
        <x:v>1</x:v>
      </x:c>
      <x:c r="P106" s="397" t="str">
        <x:v>https://www.consilium.europa.eu/en/press/press-releases/2023/02/25/wagner-group-council-adds-11-individuals-and-7-entities-to-eu-sanctions-lists/</x:v>
      </x:c>
      <x:c r="Q106" s="384" t="n">
        <x:v>5</x:v>
      </x:c>
      <x:c r="R106" s="396" t="n">
        <x:v>3</x:v>
      </x:c>
      <x:c r="S106" s="397" t="str">
        <x:v>https://www.dni.gov/files/ODNI/documents/assessments/ATA-2026-Unclassified-Report.pdf</x:v>
      </x:c>
      <x:c r="T106" s="384" t="n">
        <x:v>0</x:v>
      </x:c>
      <x:c r="U106" s="396" t="n">
        <x:v>1</x:v>
      </x:c>
      <x:c r="V106" s="397" t="str">
        <x:v>https://www.consilium.europa.eu/en/press/press-releases/2023/02/25/wagner-group-council-adds-11-individuals-and-7-entities-to-eu-sanctions-lists/</x:v>
      </x:c>
      <x:c r="W106" s="385" t="n">
        <x:f>(--(M106&lt;&gt;"")+--(P106&lt;&gt;"")+--(S106&lt;&gt;"")+--(V106&lt;&gt;""))/4</x:f>
        <x:v>1</x:v>
      </x:c>
      <x:c r="X106" s="384" t="n">
        <x:f>IF(COUNT(K106,N106,Q106,T106)=0,"No data",(IF(ISNUMBER(K106),K106*Factor_Model!$B$4,0)+IF(ISNUMBER(N106),N106*Factor_Model!$B$5,0)+IF(ISNUMBER(Q106),Q106*Factor_Model!$B$6,0)+IF(ISNUMBER(T106),T106*Factor_Model!$B$7,0))/(IF(ISNUMBER(K106),Factor_Model!$B$4,0)+IF(ISNUMBER(N106),Factor_Model!$B$5,0)+IF(ISNUMBER(Q106),Factor_Model!$B$6,0)+IF(ISNUMBER(T106),Factor_Model!$B$7,0)))</x:f>
        <x:v>2.75</x:v>
      </x:c>
      <x:c r="Y106" s="20" t="str">
        <x:f>IF(W106=0,"No source",IF(W106&lt;1,"Partial source","Source-complete"))</x:f>
        <x:v>Source-complete</x:v>
      </x:c>
      <x:c r="Z106" s="20" t="str">
        <x:v>Automated screening pass: row uses a primary source URL by actor/subfactor; verify with country-specific evidence before final analytical use.</x:v>
      </x:c>
      <x:c r="AA106" s="20" t="str">
        <x:v>2026-05-20</x:v>
      </x:c>
      <x:c r="AB106" s="20" t="str">
        <x:v>GPT-5.5 Pro</x:v>
      </x:c>
    </x:row>
    <x:row r="107" ht="24" customHeight="1">
      <x:c r="A107" s="20" t="str">
        <x:v>CZE|China</x:v>
      </x:c>
      <x:c r="B107" s="20" t="str">
        <x:v>Czechia</x:v>
      </x:c>
      <x:c r="C107" s="20" t="str">
        <x:v>Czech Republic</x:v>
      </x:c>
      <x:c r="D107" s="20" t="str">
        <x:v>CZ</x:v>
      </x:c>
      <x:c r="E107" s="20" t="str">
        <x:v>CZE</x:v>
      </x:c>
      <x:c r="F107" s="20" t="str">
        <x:v>203</x:v>
      </x:c>
      <x:c r="G107" s="20" t="str">
        <x:v>Europe</x:v>
      </x:c>
      <x:c r="H107" s="20" t="str">
        <x:v>Eastern Europe</x:v>
      </x:c>
      <x:c r="I107" s="20" t="str">
        <x:v>China</x:v>
      </x:c>
      <x:c r="J107" s="20" t="str">
        <x:v>Chinese influence</x:v>
      </x:c>
      <x:c r="K107" s="384" t="n">
        <x:v>4</x:v>
      </x:c>
      <x:c r="L107" s="396" t="n">
        <x:v>3</x:v>
      </x:c>
      <x:c r="M107" s="397" t="str">
        <x:v>https://www.eeas.europa.eu/eeas/4th-eeas-annual-report-foreign-information-manipulation-and-interference-threats_en</x:v>
      </x:c>
      <x:c r="N107" s="384" t="n">
        <x:v>0</x:v>
      </x:c>
      <x:c r="O107" s="396" t="n">
        <x:v>1</x:v>
      </x:c>
      <x:c r="P107" s="397" t="str">
        <x:v>https://merics.org/en/report/guardians-belt-and-road</x:v>
      </x:c>
      <x:c r="Q107" s="384" t="n">
        <x:v>2</x:v>
      </x:c>
      <x:c r="R107" s="396" t="n">
        <x:v>2</x:v>
      </x:c>
      <x:c r="S107" s="397" t="str">
        <x:v>https://www.eeas.europa.eu/eeas/4th-eeas-annual-report-foreign-information-manipulation-and-interference-threats_en</x:v>
      </x:c>
      <x:c r="T107" s="384" t="n">
        <x:v>0</x:v>
      </x:c>
      <x:c r="U107" s="396" t="n">
        <x:v>1</x:v>
      </x:c>
      <x:c r="V107" s="397" t="str">
        <x:v>https://merics.org/en/report/guardians-belt-and-road</x:v>
      </x:c>
      <x:c r="W107" s="385" t="n">
        <x:f>(--(M107&lt;&gt;"")+--(P107&lt;&gt;"")+--(S107&lt;&gt;"")+--(V107&lt;&gt;""))/4</x:f>
        <x:v>1</x:v>
      </x:c>
      <x:c r="X107" s="384" t="n">
        <x:f>IF(COUNT(K107,N107,Q107,T107)=0,"No data",(IF(ISNUMBER(K107),K107*Factor_Model!$B$4,0)+IF(ISNUMBER(N107),N107*Factor_Model!$B$5,0)+IF(ISNUMBER(Q107),Q107*Factor_Model!$B$6,0)+IF(ISNUMBER(T107),T107*Factor_Model!$B$7,0))/(IF(ISNUMBER(K107),Factor_Model!$B$4,0)+IF(ISNUMBER(N107),Factor_Model!$B$5,0)+IF(ISNUMBER(Q107),Factor_Model!$B$6,0)+IF(ISNUMBER(T107),Factor_Model!$B$7,0)))</x:f>
        <x:v>1.5</x:v>
      </x:c>
      <x:c r="Y107" s="20" t="str">
        <x:f>IF(W107=0,"No source",IF(W107&lt;1,"Partial source","Source-complete"))</x:f>
        <x:v>Source-complete</x:v>
      </x:c>
      <x:c r="Z107" s="20" t="str">
        <x:v>Automated screening pass: row uses a primary source URL by actor/subfactor; verify with country-specific evidence before final analytical use.</x:v>
      </x:c>
      <x:c r="AA107" s="20" t="str">
        <x:v>2026-05-20</x:v>
      </x:c>
      <x:c r="AB107" s="20" t="str">
        <x:v>GPT-5.5 Pro</x:v>
      </x:c>
    </x:row>
    <x:row r="108" ht="24" customHeight="1">
      <x:c r="A108" s="20" t="str">
        <x:v>CZE|United States</x:v>
      </x:c>
      <x:c r="B108" s="20" t="str">
        <x:v>Czechia</x:v>
      </x:c>
      <x:c r="C108" s="20" t="str">
        <x:v>Czech Republic</x:v>
      </x:c>
      <x:c r="D108" s="20" t="str">
        <x:v>CZ</x:v>
      </x:c>
      <x:c r="E108" s="20" t="str">
        <x:v>CZE</x:v>
      </x:c>
      <x:c r="F108" s="20" t="str">
        <x:v>203</x:v>
      </x:c>
      <x:c r="G108" s="20" t="str">
        <x:v>Europe</x:v>
      </x:c>
      <x:c r="H108" s="20" t="str">
        <x:v>Eastern Europe</x:v>
      </x:c>
      <x:c r="I108" s="20" t="str">
        <x:v>United States</x:v>
      </x:c>
      <x:c r="J108" s="20" t="str">
        <x:v>American influence</x:v>
      </x:c>
      <x:c r="K108" s="384" t="n">
        <x:v>4</x:v>
      </x:c>
      <x:c r="L108" s="396" t="n">
        <x:v>3</x:v>
      </x:c>
      <x:c r="M108" s="397" t="str">
        <x:v>https://www.usagm.gov/our-work/strategy-and-results/strategic-priorities/research-reports/</x:v>
      </x:c>
      <x:c r="N108" s="384" t="n">
        <x:v>3</x:v>
      </x:c>
      <x:c r="O108" s="396" t="n">
        <x:v>3</x:v>
      </x:c>
      <x:c r="P108" s="397" t="str">
        <x:v>https://internationalpolicy.org/programs/sam/</x:v>
      </x:c>
      <x:c r="Q108" s="384" t="n">
        <x:v>1</x:v>
      </x:c>
      <x:c r="R108" s="396" t="n">
        <x:v>2</x:v>
      </x:c>
      <x:c r="S108" s="397" t="str">
        <x:v>https://www.ned.org/ned-grantmaking/</x:v>
      </x:c>
      <x:c r="T108" s="384" t="n">
        <x:v>6</x:v>
      </x:c>
      <x:c r="U108" s="396" t="n">
        <x:v>4</x:v>
      </x:c>
      <x:c r="V108" s="397" t="str">
        <x:v>https://internationalpolicy.org/programs/sam/</x:v>
      </x:c>
      <x:c r="W108" s="385" t="n">
        <x:f>(--(M108&lt;&gt;"")+--(P108&lt;&gt;"")+--(S108&lt;&gt;"")+--(V108&lt;&gt;""))/4</x:f>
        <x:v>1</x:v>
      </x:c>
      <x:c r="X108" s="384" t="n">
        <x:f>IF(COUNT(K108,N108,Q108,T108)=0,"No data",(IF(ISNUMBER(K108),K108*Factor_Model!$B$4,0)+IF(ISNUMBER(N108),N108*Factor_Model!$B$5,0)+IF(ISNUMBER(Q108),Q108*Factor_Model!$B$6,0)+IF(ISNUMBER(T108),T108*Factor_Model!$B$7,0))/(IF(ISNUMBER(K108),Factor_Model!$B$4,0)+IF(ISNUMBER(N108),Factor_Model!$B$5,0)+IF(ISNUMBER(Q108),Factor_Model!$B$6,0)+IF(ISNUMBER(T108),Factor_Model!$B$7,0)))</x:f>
        <x:v>3.5</x:v>
      </x:c>
      <x:c r="Y108" s="20" t="str">
        <x:f>IF(W108=0,"No source",IF(W108&lt;1,"Partial source","Source-complete"))</x:f>
        <x:v>Source-complete</x:v>
      </x:c>
      <x:c r="Z108" s="20" t="str">
        <x:v>Automated screening pass: row uses a primary source URL by actor/subfactor; verify with country-specific evidence before final analytical use.</x:v>
      </x:c>
      <x:c r="AA108" s="20" t="str">
        <x:v>2026-05-20</x:v>
      </x:c>
      <x:c r="AB108" s="20" t="str">
        <x:v>GPT-5.5 Pro</x:v>
      </x:c>
    </x:row>
    <x:row r="109" ht="24" customHeight="1">
      <x:c r="A109" s="20" t="str">
        <x:v>CZE|European Union</x:v>
      </x:c>
      <x:c r="B109" s="20" t="str">
        <x:v>Czechia</x:v>
      </x:c>
      <x:c r="C109" s="20" t="str">
        <x:v>Czech Republic</x:v>
      </x:c>
      <x:c r="D109" s="20" t="str">
        <x:v>CZ</x:v>
      </x:c>
      <x:c r="E109" s="20" t="str">
        <x:v>CZE</x:v>
      </x:c>
      <x:c r="F109" s="20" t="str">
        <x:v>203</x:v>
      </x:c>
      <x:c r="G109" s="20" t="str">
        <x:v>Europe</x:v>
      </x:c>
      <x:c r="H109" s="20" t="str">
        <x:v>Eastern Europe</x:v>
      </x:c>
      <x:c r="I109" s="20" t="str">
        <x:v>European Union</x:v>
      </x:c>
      <x:c r="J109" s="20" t="str">
        <x:v>EU influence</x:v>
      </x:c>
      <x:c r="K109" s="384" t="n">
        <x:v>9</x:v>
      </x:c>
      <x:c r="L109" s="396" t="n">
        <x:v>5</x:v>
      </x:c>
      <x:c r="M109" s="397" t="str">
        <x:v>https://www.eeas.europa.eu/eeas/public-diplomacy_en</x:v>
      </x:c>
      <x:c r="N109" s="384" t="n">
        <x:v>0</x:v>
      </x:c>
      <x:c r="O109" s="396" t="n">
        <x:v>1</x:v>
      </x:c>
      <x:c r="P109" s="397" t="str">
        <x:v>https://www.eeas.europa.eu/eeas/missions-and-operations_en</x:v>
      </x:c>
      <x:c r="Q109" s="384" t="n">
        <x:v>2</x:v>
      </x:c>
      <x:c r="R109" s="396" t="n">
        <x:v>2</x:v>
      </x:c>
      <x:c r="S109" s="397" t="str">
        <x:v>https://www.eeas.europa.eu/eeas/eu-election-observation-missions-1_en?page_lang=en</x:v>
      </x:c>
      <x:c r="T109" s="384" t="n">
        <x:v>5</x:v>
      </x:c>
      <x:c r="U109" s="396" t="n">
        <x:v>3</x:v>
      </x:c>
      <x:c r="V109" s="397" t="str">
        <x:v>https://www.eeas.europa.eu/eeas/missions-and-operations_en</x:v>
      </x:c>
      <x:c r="W109" s="385" t="n">
        <x:f>(--(M109&lt;&gt;"")+--(P109&lt;&gt;"")+--(S109&lt;&gt;"")+--(V109&lt;&gt;""))/4</x:f>
        <x:v>1</x:v>
      </x:c>
      <x:c r="X109" s="384" t="n">
        <x:f>IF(COUNT(K109,N109,Q109,T109)=0,"No data",(IF(ISNUMBER(K109),K109*Factor_Model!$B$4,0)+IF(ISNUMBER(N109),N109*Factor_Model!$B$5,0)+IF(ISNUMBER(Q109),Q109*Factor_Model!$B$6,0)+IF(ISNUMBER(T109),T109*Factor_Model!$B$7,0))/(IF(ISNUMBER(K109),Factor_Model!$B$4,0)+IF(ISNUMBER(N109),Factor_Model!$B$5,0)+IF(ISNUMBER(Q109),Factor_Model!$B$6,0)+IF(ISNUMBER(T109),Factor_Model!$B$7,0)))</x:f>
        <x:v>4</x:v>
      </x:c>
      <x:c r="Y109" s="20" t="str">
        <x:f>IF(W109=0,"No source",IF(W109&lt;1,"Partial source","Source-complete"))</x:f>
        <x:v>Source-complete</x:v>
      </x:c>
      <x:c r="Z109" s="20" t="str">
        <x:v>Automated screening pass: row uses a primary source URL by actor/subfactor; verify with country-specific evidence before final analytical use.</x:v>
      </x:c>
      <x:c r="AA109" s="20" t="str">
        <x:v>2026-05-20</x:v>
      </x:c>
      <x:c r="AB109" s="20" t="str">
        <x:v>GPT-5.5 Pro</x:v>
      </x:c>
    </x:row>
    <x:row r="110" ht="24" customHeight="1">
      <x:c r="A110" s="20" t="str">
        <x:v>COD|Russia</x:v>
      </x:c>
      <x:c r="B110" s="20" t="str">
        <x:v>Democratic Republic of the Congo</x:v>
      </x:c>
      <x:c r="C110" s="20"/>
      <x:c r="D110" s="20" t="str">
        <x:v>CD</x:v>
      </x:c>
      <x:c r="E110" s="20" t="str">
        <x:v>COD</x:v>
      </x:c>
      <x:c r="F110" s="20" t="str">
        <x:v>180</x:v>
      </x:c>
      <x:c r="G110" s="20" t="str">
        <x:v>Africa</x:v>
      </x:c>
      <x:c r="H110" s="20" t="str">
        <x:v>Middle Africa</x:v>
      </x:c>
      <x:c r="I110" s="20" t="str">
        <x:v>Russia</x:v>
      </x:c>
      <x:c r="J110" s="20" t="str">
        <x:v>Russian influence</x:v>
      </x:c>
      <x:c r="K110" s="384" t="n">
        <x:v>4</x:v>
      </x:c>
      <x:c r="L110" s="396" t="n">
        <x:v>3</x:v>
      </x:c>
      <x:c r="M110" s="397" t="str">
        <x:v>https://www.eeas.europa.eu/eeas/4th-eeas-annual-report-foreign-information-manipulation-and-interference-threats_en</x:v>
      </x:c>
      <x:c r="N110" s="384" t="n">
        <x:v>3</x:v>
      </x:c>
      <x:c r="O110" s="396" t="n">
        <x:v>3</x:v>
      </x:c>
      <x:c r="P110" s="397" t="str">
        <x:v>https://www.consilium.europa.eu/en/press/press-releases/2023/02/25/wagner-group-council-adds-11-individuals-and-7-entities-to-eu-sanctions-lists/</x:v>
      </x:c>
      <x:c r="Q110" s="384" t="n">
        <x:v>1</x:v>
      </x:c>
      <x:c r="R110" s="396" t="n">
        <x:v>2</x:v>
      </x:c>
      <x:c r="S110" s="397" t="str">
        <x:v>https://www.dni.gov/files/ODNI/documents/assessments/ATA-2026-Unclassified-Report.pdf</x:v>
      </x:c>
      <x:c r="T110" s="384" t="n">
        <x:v>3</x:v>
      </x:c>
      <x:c r="U110" s="396" t="n">
        <x:v>3</x:v>
      </x:c>
      <x:c r="V110" s="397" t="str">
        <x:v>https://www.consilium.europa.eu/en/press/press-releases/2023/02/25/wagner-group-council-adds-11-individuals-and-7-entities-to-eu-sanctions-lists/</x:v>
      </x:c>
      <x:c r="W110" s="385" t="n">
        <x:f>(--(M110&lt;&gt;"")+--(P110&lt;&gt;"")+--(S110&lt;&gt;"")+--(V110&lt;&gt;""))/4</x:f>
        <x:v>1</x:v>
      </x:c>
      <x:c r="X110" s="384" t="n">
        <x:f>IF(COUNT(K110,N110,Q110,T110)=0,"No data",(IF(ISNUMBER(K110),K110*Factor_Model!$B$4,0)+IF(ISNUMBER(N110),N110*Factor_Model!$B$5,0)+IF(ISNUMBER(Q110),Q110*Factor_Model!$B$6,0)+IF(ISNUMBER(T110),T110*Factor_Model!$B$7,0))/(IF(ISNUMBER(K110),Factor_Model!$B$4,0)+IF(ISNUMBER(N110),Factor_Model!$B$5,0)+IF(ISNUMBER(Q110),Factor_Model!$B$6,0)+IF(ISNUMBER(T110),Factor_Model!$B$7,0)))</x:f>
        <x:v>2.75</x:v>
      </x:c>
      <x:c r="Y110" s="20" t="str">
        <x:f>IF(W110=0,"No source",IF(W110&lt;1,"Partial source","Source-complete"))</x:f>
        <x:v>Source-complete</x:v>
      </x:c>
      <x:c r="Z110" s="20" t="str">
        <x:v>Automated screening pass: row uses a primary source URL by actor/subfactor; verify with country-specific evidence before final analytical use.</x:v>
      </x:c>
      <x:c r="AA110" s="20" t="str">
        <x:v>2026-05-20</x:v>
      </x:c>
      <x:c r="AB110" s="20" t="str">
        <x:v>GPT-5.5 Pro</x:v>
      </x:c>
    </x:row>
    <x:row r="111" ht="24" customHeight="1">
      <x:c r="A111" s="20" t="str">
        <x:v>COD|China</x:v>
      </x:c>
      <x:c r="B111" s="20" t="str">
        <x:v>Democratic Republic of the Congo</x:v>
      </x:c>
      <x:c r="C111" s="20"/>
      <x:c r="D111" s="20" t="str">
        <x:v>CD</x:v>
      </x:c>
      <x:c r="E111" s="20" t="str">
        <x:v>COD</x:v>
      </x:c>
      <x:c r="F111" s="20" t="str">
        <x:v>180</x:v>
      </x:c>
      <x:c r="G111" s="20" t="str">
        <x:v>Africa</x:v>
      </x:c>
      <x:c r="H111" s="20" t="str">
        <x:v>Middle Africa</x:v>
      </x:c>
      <x:c r="I111" s="20" t="str">
        <x:v>China</x:v>
      </x:c>
      <x:c r="J111" s="20" t="str">
        <x:v>Chinese influence</x:v>
      </x:c>
      <x:c r="K111" s="384" t="n">
        <x:v>5</x:v>
      </x:c>
      <x:c r="L111" s="396" t="n">
        <x:v>3</x:v>
      </x:c>
      <x:c r="M111" s="397" t="str">
        <x:v>https://www.eeas.europa.eu/eeas/4th-eeas-annual-report-foreign-information-manipulation-and-interference-threats_en</x:v>
      </x:c>
      <x:c r="N111" s="384" t="n">
        <x:v>2</x:v>
      </x:c>
      <x:c r="O111" s="396" t="n">
        <x:v>2</x:v>
      </x:c>
      <x:c r="P111" s="397" t="str">
        <x:v>https://merics.org/en/report/guardians-belt-and-road</x:v>
      </x:c>
      <x:c r="Q111" s="384" t="n">
        <x:v>1</x:v>
      </x:c>
      <x:c r="R111" s="396" t="n">
        <x:v>2</x:v>
      </x:c>
      <x:c r="S111" s="397" t="str">
        <x:v>https://www.eeas.europa.eu/eeas/4th-eeas-annual-report-foreign-information-manipulation-and-interference-threats_en</x:v>
      </x:c>
      <x:c r="T111" s="384" t="n">
        <x:v>3</x:v>
      </x:c>
      <x:c r="U111" s="396" t="n">
        <x:v>3</x:v>
      </x:c>
      <x:c r="V111" s="397" t="str">
        <x:v>https://merics.org/en/report/guardians-belt-and-road</x:v>
      </x:c>
      <x:c r="W111" s="385" t="n">
        <x:f>(--(M111&lt;&gt;"")+--(P111&lt;&gt;"")+--(S111&lt;&gt;"")+--(V111&lt;&gt;""))/4</x:f>
        <x:v>1</x:v>
      </x:c>
      <x:c r="X111" s="384" t="n">
        <x:f>IF(COUNT(K111,N111,Q111,T111)=0,"No data",(IF(ISNUMBER(K111),K111*Factor_Model!$B$4,0)+IF(ISNUMBER(N111),N111*Factor_Model!$B$5,0)+IF(ISNUMBER(Q111),Q111*Factor_Model!$B$6,0)+IF(ISNUMBER(T111),T111*Factor_Model!$B$7,0))/(IF(ISNUMBER(K111),Factor_Model!$B$4,0)+IF(ISNUMBER(N111),Factor_Model!$B$5,0)+IF(ISNUMBER(Q111),Factor_Model!$B$6,0)+IF(ISNUMBER(T111),Factor_Model!$B$7,0)))</x:f>
        <x:v>2.75</x:v>
      </x:c>
      <x:c r="Y111" s="20" t="str">
        <x:f>IF(W111=0,"No source",IF(W111&lt;1,"Partial source","Source-complete"))</x:f>
        <x:v>Source-complete</x:v>
      </x:c>
      <x:c r="Z111" s="20" t="str">
        <x:v>Automated screening pass: row uses a primary source URL by actor/subfactor; verify with country-specific evidence before final analytical use.</x:v>
      </x:c>
      <x:c r="AA111" s="20" t="str">
        <x:v>2026-05-20</x:v>
      </x:c>
      <x:c r="AB111" s="20" t="str">
        <x:v>GPT-5.5 Pro</x:v>
      </x:c>
    </x:row>
    <x:row r="112" ht="24" customHeight="1">
      <x:c r="A112" s="20" t="str">
        <x:v>COD|United States</x:v>
      </x:c>
      <x:c r="B112" s="20" t="str">
        <x:v>Democratic Republic of the Congo</x:v>
      </x:c>
      <x:c r="C112" s="20"/>
      <x:c r="D112" s="20" t="str">
        <x:v>CD</x:v>
      </x:c>
      <x:c r="E112" s="20" t="str">
        <x:v>COD</x:v>
      </x:c>
      <x:c r="F112" s="20" t="str">
        <x:v>180</x:v>
      </x:c>
      <x:c r="G112" s="20" t="str">
        <x:v>Africa</x:v>
      </x:c>
      <x:c r="H112" s="20" t="str">
        <x:v>Middle Africa</x:v>
      </x:c>
      <x:c r="I112" s="20" t="str">
        <x:v>United States</x:v>
      </x:c>
      <x:c r="J112" s="20" t="str">
        <x:v>American influence</x:v>
      </x:c>
      <x:c r="K112" s="384" t="n">
        <x:v>4</x:v>
      </x:c>
      <x:c r="L112" s="396" t="n">
        <x:v>3</x:v>
      </x:c>
      <x:c r="M112" s="397" t="str">
        <x:v>https://www.usagm.gov/our-work/strategy-and-results/strategic-priorities/research-reports/</x:v>
      </x:c>
      <x:c r="N112" s="384" t="n">
        <x:v>2</x:v>
      </x:c>
      <x:c r="O112" s="396" t="n">
        <x:v>2</x:v>
      </x:c>
      <x:c r="P112" s="397" t="str">
        <x:v>https://internationalpolicy.org/programs/sam/</x:v>
      </x:c>
      <x:c r="Q112" s="384" t="n">
        <x:v>2</x:v>
      </x:c>
      <x:c r="R112" s="396" t="n">
        <x:v>2</x:v>
      </x:c>
      <x:c r="S112" s="397" t="str">
        <x:v>https://www.ned.org/ned-grantmaking/</x:v>
      </x:c>
      <x:c r="T112" s="384" t="n">
        <x:v>3</x:v>
      </x:c>
      <x:c r="U112" s="396" t="n">
        <x:v>3</x:v>
      </x:c>
      <x:c r="V112" s="397" t="str">
        <x:v>https://internationalpolicy.org/programs/sam/</x:v>
      </x:c>
      <x:c r="W112" s="385" t="n">
        <x:f>(--(M112&lt;&gt;"")+--(P112&lt;&gt;"")+--(S112&lt;&gt;"")+--(V112&lt;&gt;""))/4</x:f>
        <x:v>1</x:v>
      </x:c>
      <x:c r="X112" s="384" t="n">
        <x:f>IF(COUNT(K112,N112,Q112,T112)=0,"No data",(IF(ISNUMBER(K112),K112*Factor_Model!$B$4,0)+IF(ISNUMBER(N112),N112*Factor_Model!$B$5,0)+IF(ISNUMBER(Q112),Q112*Factor_Model!$B$6,0)+IF(ISNUMBER(T112),T112*Factor_Model!$B$7,0))/(IF(ISNUMBER(K112),Factor_Model!$B$4,0)+IF(ISNUMBER(N112),Factor_Model!$B$5,0)+IF(ISNUMBER(Q112),Factor_Model!$B$6,0)+IF(ISNUMBER(T112),Factor_Model!$B$7,0)))</x:f>
        <x:v>2.75</x:v>
      </x:c>
      <x:c r="Y112" s="20" t="str">
        <x:f>IF(W112=0,"No source",IF(W112&lt;1,"Partial source","Source-complete"))</x:f>
        <x:v>Source-complete</x:v>
      </x:c>
      <x:c r="Z112" s="20" t="str">
        <x:v>Automated screening pass: row uses a primary source URL by actor/subfactor; verify with country-specific evidence before final analytical use.</x:v>
      </x:c>
      <x:c r="AA112" s="20" t="str">
        <x:v>2026-05-20</x:v>
      </x:c>
      <x:c r="AB112" s="20" t="str">
        <x:v>GPT-5.5 Pro</x:v>
      </x:c>
    </x:row>
    <x:row r="113" ht="24" customHeight="1">
      <x:c r="A113" s="20" t="str">
        <x:v>COD|European Union</x:v>
      </x:c>
      <x:c r="B113" s="20" t="str">
        <x:v>Democratic Republic of the Congo</x:v>
      </x:c>
      <x:c r="C113" s="20"/>
      <x:c r="D113" s="20" t="str">
        <x:v>CD</x:v>
      </x:c>
      <x:c r="E113" s="20" t="str">
        <x:v>COD</x:v>
      </x:c>
      <x:c r="F113" s="20" t="str">
        <x:v>180</x:v>
      </x:c>
      <x:c r="G113" s="20" t="str">
        <x:v>Africa</x:v>
      </x:c>
      <x:c r="H113" s="20" t="str">
        <x:v>Middle Africa</x:v>
      </x:c>
      <x:c r="I113" s="20" t="str">
        <x:v>European Union</x:v>
      </x:c>
      <x:c r="J113" s="20" t="str">
        <x:v>EU influence</x:v>
      </x:c>
      <x:c r="K113" s="384" t="n">
        <x:v>3</x:v>
      </x:c>
      <x:c r="L113" s="396" t="n">
        <x:v>3</x:v>
      </x:c>
      <x:c r="M113" s="397" t="str">
        <x:v>https://www.eeas.europa.eu/eeas/public-diplomacy_en</x:v>
      </x:c>
      <x:c r="N113" s="384" t="n">
        <x:v>0</x:v>
      </x:c>
      <x:c r="O113" s="396" t="n">
        <x:v>1</x:v>
      </x:c>
      <x:c r="P113" s="397" t="str">
        <x:v>https://www.eeas.europa.eu/eeas/missions-and-operations_en</x:v>
      </x:c>
      <x:c r="Q113" s="384" t="n">
        <x:v>1</x:v>
      </x:c>
      <x:c r="R113" s="396" t="n">
        <x:v>2</x:v>
      </x:c>
      <x:c r="S113" s="397" t="str">
        <x:v>https://www.eeas.europa.eu/eeas/eu-election-observation-missions-1_en?page_lang=en</x:v>
      </x:c>
      <x:c r="T113" s="384" t="n">
        <x:v>2</x:v>
      </x:c>
      <x:c r="U113" s="396" t="n">
        <x:v>2</x:v>
      </x:c>
      <x:c r="V113" s="397" t="str">
        <x:v>https://www.eeas.europa.eu/eeas/missions-and-operations_en</x:v>
      </x:c>
      <x:c r="W113" s="385" t="n">
        <x:f>(--(M113&lt;&gt;"")+--(P113&lt;&gt;"")+--(S113&lt;&gt;"")+--(V113&lt;&gt;""))/4</x:f>
        <x:v>1</x:v>
      </x:c>
      <x:c r="X113" s="384" t="n">
        <x:f>IF(COUNT(K113,N113,Q113,T113)=0,"No data",(IF(ISNUMBER(K113),K113*Factor_Model!$B$4,0)+IF(ISNUMBER(N113),N113*Factor_Model!$B$5,0)+IF(ISNUMBER(Q113),Q113*Factor_Model!$B$6,0)+IF(ISNUMBER(T113),T113*Factor_Model!$B$7,0))/(IF(ISNUMBER(K113),Factor_Model!$B$4,0)+IF(ISNUMBER(N113),Factor_Model!$B$5,0)+IF(ISNUMBER(Q113),Factor_Model!$B$6,0)+IF(ISNUMBER(T113),Factor_Model!$B$7,0)))</x:f>
        <x:v>1.5</x:v>
      </x:c>
      <x:c r="Y113" s="20" t="str">
        <x:f>IF(W113=0,"No source",IF(W113&lt;1,"Partial source","Source-complete"))</x:f>
        <x:v>Source-complete</x:v>
      </x:c>
      <x:c r="Z113" s="20" t="str">
        <x:v>Automated screening pass: row uses a primary source URL by actor/subfactor; verify with country-specific evidence before final analytical use.</x:v>
      </x:c>
      <x:c r="AA113" s="20" t="str">
        <x:v>2026-05-20</x:v>
      </x:c>
      <x:c r="AB113" s="20" t="str">
        <x:v>GPT-5.5 Pro</x:v>
      </x:c>
    </x:row>
    <x:row r="114" ht="24" customHeight="1">
      <x:c r="A114" s="20" t="str">
        <x:v>EGY|Russia</x:v>
      </x:c>
      <x:c r="B114" s="20" t="str">
        <x:v>Egypt</x:v>
      </x:c>
      <x:c r="C114" s="20" t="str">
        <x:v>Arab Republic of Egypt</x:v>
      </x:c>
      <x:c r="D114" s="20" t="str">
        <x:v>EG</x:v>
      </x:c>
      <x:c r="E114" s="20" t="str">
        <x:v>EGY</x:v>
      </x:c>
      <x:c r="F114" s="20" t="str">
        <x:v>818</x:v>
      </x:c>
      <x:c r="G114" s="20" t="str">
        <x:v>Africa</x:v>
      </x:c>
      <x:c r="H114" s="20" t="str">
        <x:v>Northern Africa</x:v>
      </x:c>
      <x:c r="I114" s="20" t="str">
        <x:v>Russia</x:v>
      </x:c>
      <x:c r="J114" s="20" t="str">
        <x:v>Russian influence</x:v>
      </x:c>
      <x:c r="K114" s="384" t="n">
        <x:v>5</x:v>
      </x:c>
      <x:c r="L114" s="396" t="n">
        <x:v>3</x:v>
      </x:c>
      <x:c r="M114" s="397" t="str">
        <x:v>https://www.eeas.europa.eu/eeas/4th-eeas-annual-report-foreign-information-manipulation-and-interference-threats_en</x:v>
      </x:c>
      <x:c r="N114" s="384" t="n">
        <x:v>1</x:v>
      </x:c>
      <x:c r="O114" s="396" t="n">
        <x:v>2</x:v>
      </x:c>
      <x:c r="P114" s="397" t="str">
        <x:v>https://www.consilium.europa.eu/en/press/press-releases/2023/02/25/wagner-group-council-adds-11-individuals-and-7-entities-to-eu-sanctions-lists/</x:v>
      </x:c>
      <x:c r="Q114" s="384" t="n">
        <x:v>1</x:v>
      </x:c>
      <x:c r="R114" s="396" t="n">
        <x:v>2</x:v>
      </x:c>
      <x:c r="S114" s="397" t="str">
        <x:v>https://www.dni.gov/files/ODNI/documents/assessments/ATA-2026-Unclassified-Report.pdf</x:v>
      </x:c>
      <x:c r="T114" s="384" t="n">
        <x:v>1</x:v>
      </x:c>
      <x:c r="U114" s="396" t="n">
        <x:v>2</x:v>
      </x:c>
      <x:c r="V114" s="397" t="str">
        <x:v>https://www.consilium.europa.eu/en/press/press-releases/2023/02/25/wagner-group-council-adds-11-individuals-and-7-entities-to-eu-sanctions-lists/</x:v>
      </x:c>
      <x:c r="W114" s="385" t="n">
        <x:f>(--(M114&lt;&gt;"")+--(P114&lt;&gt;"")+--(S114&lt;&gt;"")+--(V114&lt;&gt;""))/4</x:f>
        <x:v>1</x:v>
      </x:c>
      <x:c r="X114" s="384" t="n">
        <x:f>IF(COUNT(K114,N114,Q114,T114)=0,"No data",(IF(ISNUMBER(K114),K114*Factor_Model!$B$4,0)+IF(ISNUMBER(N114),N114*Factor_Model!$B$5,0)+IF(ISNUMBER(Q114),Q114*Factor_Model!$B$6,0)+IF(ISNUMBER(T114),T114*Factor_Model!$B$7,0))/(IF(ISNUMBER(K114),Factor_Model!$B$4,0)+IF(ISNUMBER(N114),Factor_Model!$B$5,0)+IF(ISNUMBER(Q114),Factor_Model!$B$6,0)+IF(ISNUMBER(T114),Factor_Model!$B$7,0)))</x:f>
        <x:v>2</x:v>
      </x:c>
      <x:c r="Y114" s="20" t="str">
        <x:f>IF(W114=0,"No source",IF(W114&lt;1,"Partial source","Source-complete"))</x:f>
        <x:v>Source-complete</x:v>
      </x:c>
      <x:c r="Z114" s="20" t="str">
        <x:v>Automated screening pass: row uses a primary source URL by actor/subfactor; verify with country-specific evidence before final analytical use.</x:v>
      </x:c>
      <x:c r="AA114" s="20" t="str">
        <x:v>2026-05-20</x:v>
      </x:c>
      <x:c r="AB114" s="20" t="str">
        <x:v>GPT-5.5 Pro</x:v>
      </x:c>
    </x:row>
    <x:row r="115" ht="24" customHeight="1">
      <x:c r="A115" s="20" t="str">
        <x:v>EGY|China</x:v>
      </x:c>
      <x:c r="B115" s="20" t="str">
        <x:v>Egypt</x:v>
      </x:c>
      <x:c r="C115" s="20" t="str">
        <x:v>Arab Republic of Egypt</x:v>
      </x:c>
      <x:c r="D115" s="20" t="str">
        <x:v>EG</x:v>
      </x:c>
      <x:c r="E115" s="20" t="str">
        <x:v>EGY</x:v>
      </x:c>
      <x:c r="F115" s="20" t="str">
        <x:v>818</x:v>
      </x:c>
      <x:c r="G115" s="20" t="str">
        <x:v>Africa</x:v>
      </x:c>
      <x:c r="H115" s="20" t="str">
        <x:v>Northern Africa</x:v>
      </x:c>
      <x:c r="I115" s="20" t="str">
        <x:v>China</x:v>
      </x:c>
      <x:c r="J115" s="20" t="str">
        <x:v>Chinese influence</x:v>
      </x:c>
      <x:c r="K115" s="384" t="n">
        <x:v>5</x:v>
      </x:c>
      <x:c r="L115" s="396" t="n">
        <x:v>3</x:v>
      </x:c>
      <x:c r="M115" s="397" t="str">
        <x:v>https://www.eeas.europa.eu/eeas/4th-eeas-annual-report-foreign-information-manipulation-and-interference-threats_en</x:v>
      </x:c>
      <x:c r="N115" s="384" t="n">
        <x:v>1</x:v>
      </x:c>
      <x:c r="O115" s="396" t="n">
        <x:v>2</x:v>
      </x:c>
      <x:c r="P115" s="397" t="str">
        <x:v>https://merics.org/en/report/guardians-belt-and-road</x:v>
      </x:c>
      <x:c r="Q115" s="384" t="n">
        <x:v>1</x:v>
      </x:c>
      <x:c r="R115" s="396" t="n">
        <x:v>2</x:v>
      </x:c>
      <x:c r="S115" s="397" t="str">
        <x:v>https://www.eeas.europa.eu/eeas/4th-eeas-annual-report-foreign-information-manipulation-and-interference-threats_en</x:v>
      </x:c>
      <x:c r="T115" s="384" t="n">
        <x:v>3</x:v>
      </x:c>
      <x:c r="U115" s="396" t="n">
        <x:v>3</x:v>
      </x:c>
      <x:c r="V115" s="397" t="str">
        <x:v>https://merics.org/en/report/guardians-belt-and-road</x:v>
      </x:c>
      <x:c r="W115" s="385" t="n">
        <x:f>(--(M115&lt;&gt;"")+--(P115&lt;&gt;"")+--(S115&lt;&gt;"")+--(V115&lt;&gt;""))/4</x:f>
        <x:v>1</x:v>
      </x:c>
      <x:c r="X115" s="384" t="n">
        <x:f>IF(COUNT(K115,N115,Q115,T115)=0,"No data",(IF(ISNUMBER(K115),K115*Factor_Model!$B$4,0)+IF(ISNUMBER(N115),N115*Factor_Model!$B$5,0)+IF(ISNUMBER(Q115),Q115*Factor_Model!$B$6,0)+IF(ISNUMBER(T115),T115*Factor_Model!$B$7,0))/(IF(ISNUMBER(K115),Factor_Model!$B$4,0)+IF(ISNUMBER(N115),Factor_Model!$B$5,0)+IF(ISNUMBER(Q115),Factor_Model!$B$6,0)+IF(ISNUMBER(T115),Factor_Model!$B$7,0)))</x:f>
        <x:v>2.5</x:v>
      </x:c>
      <x:c r="Y115" s="20" t="str">
        <x:f>IF(W115=0,"No source",IF(W115&lt;1,"Partial source","Source-complete"))</x:f>
        <x:v>Source-complete</x:v>
      </x:c>
      <x:c r="Z115" s="20" t="str">
        <x:v>Automated screening pass: row uses a primary source URL by actor/subfactor; verify with country-specific evidence before final analytical use.</x:v>
      </x:c>
      <x:c r="AA115" s="20" t="str">
        <x:v>2026-05-20</x:v>
      </x:c>
      <x:c r="AB115" s="20" t="str">
        <x:v>GPT-5.5 Pro</x:v>
      </x:c>
    </x:row>
    <x:row r="116" ht="24" customHeight="1">
      <x:c r="A116" s="20" t="str">
        <x:v>EGY|United States</x:v>
      </x:c>
      <x:c r="B116" s="20" t="str">
        <x:v>Egypt</x:v>
      </x:c>
      <x:c r="C116" s="20" t="str">
        <x:v>Arab Republic of Egypt</x:v>
      </x:c>
      <x:c r="D116" s="20" t="str">
        <x:v>EG</x:v>
      </x:c>
      <x:c r="E116" s="20" t="str">
        <x:v>EGY</x:v>
      </x:c>
      <x:c r="F116" s="20" t="str">
        <x:v>818</x:v>
      </x:c>
      <x:c r="G116" s="20" t="str">
        <x:v>Africa</x:v>
      </x:c>
      <x:c r="H116" s="20" t="str">
        <x:v>Northern Africa</x:v>
      </x:c>
      <x:c r="I116" s="20" t="str">
        <x:v>United States</x:v>
      </x:c>
      <x:c r="J116" s="20" t="str">
        <x:v>American influence</x:v>
      </x:c>
      <x:c r="K116" s="384" t="n">
        <x:v>4</x:v>
      </x:c>
      <x:c r="L116" s="396" t="n">
        <x:v>3</x:v>
      </x:c>
      <x:c r="M116" s="397" t="str">
        <x:v>https://www.usagm.gov/our-work/strategy-and-results/strategic-priorities/research-reports/</x:v>
      </x:c>
      <x:c r="N116" s="384" t="n">
        <x:v>2</x:v>
      </x:c>
      <x:c r="O116" s="396" t="n">
        <x:v>2</x:v>
      </x:c>
      <x:c r="P116" s="397" t="str">
        <x:v>https://internationalpolicy.org/programs/sam/</x:v>
      </x:c>
      <x:c r="Q116" s="384" t="n">
        <x:v>2</x:v>
      </x:c>
      <x:c r="R116" s="396" t="n">
        <x:v>2</x:v>
      </x:c>
      <x:c r="S116" s="397" t="str">
        <x:v>https://www.ned.org/ned-grantmaking/</x:v>
      </x:c>
      <x:c r="T116" s="384" t="n">
        <x:v>3</x:v>
      </x:c>
      <x:c r="U116" s="396" t="n">
        <x:v>3</x:v>
      </x:c>
      <x:c r="V116" s="397" t="str">
        <x:v>https://internationalpolicy.org/programs/sam/</x:v>
      </x:c>
      <x:c r="W116" s="385" t="n">
        <x:f>(--(M116&lt;&gt;"")+--(P116&lt;&gt;"")+--(S116&lt;&gt;"")+--(V116&lt;&gt;""))/4</x:f>
        <x:v>1</x:v>
      </x:c>
      <x:c r="X116" s="384" t="n">
        <x:f>IF(COUNT(K116,N116,Q116,T116)=0,"No data",(IF(ISNUMBER(K116),K116*Factor_Model!$B$4,0)+IF(ISNUMBER(N116),N116*Factor_Model!$B$5,0)+IF(ISNUMBER(Q116),Q116*Factor_Model!$B$6,0)+IF(ISNUMBER(T116),T116*Factor_Model!$B$7,0))/(IF(ISNUMBER(K116),Factor_Model!$B$4,0)+IF(ISNUMBER(N116),Factor_Model!$B$5,0)+IF(ISNUMBER(Q116),Factor_Model!$B$6,0)+IF(ISNUMBER(T116),Factor_Model!$B$7,0)))</x:f>
        <x:v>2.75</x:v>
      </x:c>
      <x:c r="Y116" s="20" t="str">
        <x:f>IF(W116=0,"No source",IF(W116&lt;1,"Partial source","Source-complete"))</x:f>
        <x:v>Source-complete</x:v>
      </x:c>
      <x:c r="Z116" s="20" t="str">
        <x:v>Automated screening pass: row uses a primary source URL by actor/subfactor; verify with country-specific evidence before final analytical use.</x:v>
      </x:c>
      <x:c r="AA116" s="20" t="str">
        <x:v>2026-05-20</x:v>
      </x:c>
      <x:c r="AB116" s="20" t="str">
        <x:v>GPT-5.5 Pro</x:v>
      </x:c>
    </x:row>
    <x:row r="117" ht="24" customHeight="1">
      <x:c r="A117" s="20" t="str">
        <x:v>EGY|European Union</x:v>
      </x:c>
      <x:c r="B117" s="20" t="str">
        <x:v>Egypt</x:v>
      </x:c>
      <x:c r="C117" s="20" t="str">
        <x:v>Arab Republic of Egypt</x:v>
      </x:c>
      <x:c r="D117" s="20" t="str">
        <x:v>EG</x:v>
      </x:c>
      <x:c r="E117" s="20" t="str">
        <x:v>EGY</x:v>
      </x:c>
      <x:c r="F117" s="20" t="str">
        <x:v>818</x:v>
      </x:c>
      <x:c r="G117" s="20" t="str">
        <x:v>Africa</x:v>
      </x:c>
      <x:c r="H117" s="20" t="str">
        <x:v>Northern Africa</x:v>
      </x:c>
      <x:c r="I117" s="20" t="str">
        <x:v>European Union</x:v>
      </x:c>
      <x:c r="J117" s="20" t="str">
        <x:v>EU influence</x:v>
      </x:c>
      <x:c r="K117" s="384" t="n">
        <x:v>3</x:v>
      </x:c>
      <x:c r="L117" s="396" t="n">
        <x:v>3</x:v>
      </x:c>
      <x:c r="M117" s="397" t="str">
        <x:v>https://www.eeas.europa.eu/eeas/public-diplomacy_en</x:v>
      </x:c>
      <x:c r="N117" s="384" t="n">
        <x:v>0</x:v>
      </x:c>
      <x:c r="O117" s="396" t="n">
        <x:v>1</x:v>
      </x:c>
      <x:c r="P117" s="397" t="str">
        <x:v>https://www.eeas.europa.eu/eeas/missions-and-operations_en</x:v>
      </x:c>
      <x:c r="Q117" s="384" t="n">
        <x:v>1</x:v>
      </x:c>
      <x:c r="R117" s="396" t="n">
        <x:v>2</x:v>
      </x:c>
      <x:c r="S117" s="397" t="str">
        <x:v>https://www.eeas.europa.eu/eeas/eu-election-observation-missions-1_en?page_lang=en</x:v>
      </x:c>
      <x:c r="T117" s="384" t="n">
        <x:v>2</x:v>
      </x:c>
      <x:c r="U117" s="396" t="n">
        <x:v>2</x:v>
      </x:c>
      <x:c r="V117" s="397" t="str">
        <x:v>https://www.eeas.europa.eu/eeas/missions-and-operations_en</x:v>
      </x:c>
      <x:c r="W117" s="385" t="n">
        <x:f>(--(M117&lt;&gt;"")+--(P117&lt;&gt;"")+--(S117&lt;&gt;"")+--(V117&lt;&gt;""))/4</x:f>
        <x:v>1</x:v>
      </x:c>
      <x:c r="X117" s="384" t="n">
        <x:f>IF(COUNT(K117,N117,Q117,T117)=0,"No data",(IF(ISNUMBER(K117),K117*Factor_Model!$B$4,0)+IF(ISNUMBER(N117),N117*Factor_Model!$B$5,0)+IF(ISNUMBER(Q117),Q117*Factor_Model!$B$6,0)+IF(ISNUMBER(T117),T117*Factor_Model!$B$7,0))/(IF(ISNUMBER(K117),Factor_Model!$B$4,0)+IF(ISNUMBER(N117),Factor_Model!$B$5,0)+IF(ISNUMBER(Q117),Factor_Model!$B$6,0)+IF(ISNUMBER(T117),Factor_Model!$B$7,0)))</x:f>
        <x:v>1.5</x:v>
      </x:c>
      <x:c r="Y117" s="20" t="str">
        <x:f>IF(W117=0,"No source",IF(W117&lt;1,"Partial source","Source-complete"))</x:f>
        <x:v>Source-complete</x:v>
      </x:c>
      <x:c r="Z117" s="20" t="str">
        <x:v>Automated screening pass: row uses a primary source URL by actor/subfactor; verify with country-specific evidence before final analytical use.</x:v>
      </x:c>
      <x:c r="AA117" s="20" t="str">
        <x:v>2026-05-20</x:v>
      </x:c>
      <x:c r="AB117" s="20" t="str">
        <x:v>GPT-5.5 Pro</x:v>
      </x:c>
    </x:row>
    <x:row r="118" ht="24" customHeight="1">
      <x:c r="A118" s="20" t="str">
        <x:v>SLV|Russia</x:v>
      </x:c>
      <x:c r="B118" s="20" t="str">
        <x:v>El Salvador</x:v>
      </x:c>
      <x:c r="C118" s="20" t="str">
        <x:v>Republic of El Salvador</x:v>
      </x:c>
      <x:c r="D118" s="20" t="str">
        <x:v>SV</x:v>
      </x:c>
      <x:c r="E118" s="20" t="str">
        <x:v>SLV</x:v>
      </x:c>
      <x:c r="F118" s="20" t="str">
        <x:v>222</x:v>
      </x:c>
      <x:c r="G118" s="20" t="str">
        <x:v>Americas</x:v>
      </x:c>
      <x:c r="H118" s="20" t="str">
        <x:v>Central America</x:v>
      </x:c>
      <x:c r="I118" s="20" t="str">
        <x:v>Russia</x:v>
      </x:c>
      <x:c r="J118" s="20" t="str">
        <x:v>Russian influence</x:v>
      </x:c>
      <x:c r="K118" s="384" t="n">
        <x:v>3</x:v>
      </x:c>
      <x:c r="L118" s="396" t="n">
        <x:v>3</x:v>
      </x:c>
      <x:c r="M118" s="397" t="str">
        <x:v>https://www.eeas.europa.eu/eeas/4th-eeas-annual-report-foreign-information-manipulation-and-interference-threats_en</x:v>
      </x:c>
      <x:c r="N118" s="384" t="n">
        <x:v>0</x:v>
      </x:c>
      <x:c r="O118" s="396" t="n">
        <x:v>1</x:v>
      </x:c>
      <x:c r="P118" s="397" t="str">
        <x:v>https://www.consilium.europa.eu/en/press/press-releases/2023/02/25/wagner-group-council-adds-11-individuals-and-7-entities-to-eu-sanctions-lists/</x:v>
      </x:c>
      <x:c r="Q118" s="384" t="n">
        <x:v>1</x:v>
      </x:c>
      <x:c r="R118" s="396" t="n">
        <x:v>2</x:v>
      </x:c>
      <x:c r="S118" s="397" t="str">
        <x:v>https://www.dni.gov/files/ODNI/documents/assessments/ATA-2026-Unclassified-Report.pdf</x:v>
      </x:c>
      <x:c r="T118" s="384" t="n">
        <x:v>0</x:v>
      </x:c>
      <x:c r="U118" s="396" t="n">
        <x:v>1</x:v>
      </x:c>
      <x:c r="V118" s="397" t="str">
        <x:v>https://www.consilium.europa.eu/en/press/press-releases/2023/02/25/wagner-group-council-adds-11-individuals-and-7-entities-to-eu-sanctions-lists/</x:v>
      </x:c>
      <x:c r="W118" s="385" t="n">
        <x:f>(--(M118&lt;&gt;"")+--(P118&lt;&gt;"")+--(S118&lt;&gt;"")+--(V118&lt;&gt;""))/4</x:f>
        <x:v>1</x:v>
      </x:c>
      <x:c r="X118" s="384" t="n">
        <x:f>IF(COUNT(K118,N118,Q118,T118)=0,"No data",(IF(ISNUMBER(K118),K118*Factor_Model!$B$4,0)+IF(ISNUMBER(N118),N118*Factor_Model!$B$5,0)+IF(ISNUMBER(Q118),Q118*Factor_Model!$B$6,0)+IF(ISNUMBER(T118),T118*Factor_Model!$B$7,0))/(IF(ISNUMBER(K118),Factor_Model!$B$4,0)+IF(ISNUMBER(N118),Factor_Model!$B$5,0)+IF(ISNUMBER(Q118),Factor_Model!$B$6,0)+IF(ISNUMBER(T118),Factor_Model!$B$7,0)))</x:f>
        <x:v>1</x:v>
      </x:c>
      <x:c r="Y118" s="20" t="str">
        <x:f>IF(W118=0,"No source",IF(W118&lt;1,"Partial source","Source-complete"))</x:f>
        <x:v>Source-complete</x:v>
      </x:c>
      <x:c r="Z118" s="20" t="str">
        <x:v>Automated screening pass: row uses a primary source URL by actor/subfactor; verify with country-specific evidence before final analytical use.</x:v>
      </x:c>
      <x:c r="AA118" s="20" t="str">
        <x:v>2026-05-20</x:v>
      </x:c>
      <x:c r="AB118" s="20" t="str">
        <x:v>GPT-5.5 Pro</x:v>
      </x:c>
    </x:row>
    <x:row r="119" ht="24" customHeight="1">
      <x:c r="A119" s="20" t="str">
        <x:v>SLV|China</x:v>
      </x:c>
      <x:c r="B119" s="20" t="str">
        <x:v>El Salvador</x:v>
      </x:c>
      <x:c r="C119" s="20" t="str">
        <x:v>Republic of El Salvador</x:v>
      </x:c>
      <x:c r="D119" s="20" t="str">
        <x:v>SV</x:v>
      </x:c>
      <x:c r="E119" s="20" t="str">
        <x:v>SLV</x:v>
      </x:c>
      <x:c r="F119" s="20" t="str">
        <x:v>222</x:v>
      </x:c>
      <x:c r="G119" s="20" t="str">
        <x:v>Americas</x:v>
      </x:c>
      <x:c r="H119" s="20" t="str">
        <x:v>Central America</x:v>
      </x:c>
      <x:c r="I119" s="20" t="str">
        <x:v>China</x:v>
      </x:c>
      <x:c r="J119" s="20" t="str">
        <x:v>Chinese influence</x:v>
      </x:c>
      <x:c r="K119" s="384" t="n">
        <x:v>3</x:v>
      </x:c>
      <x:c r="L119" s="396" t="n">
        <x:v>3</x:v>
      </x:c>
      <x:c r="M119" s="397" t="str">
        <x:v>https://www.eeas.europa.eu/eeas/4th-eeas-annual-report-foreign-information-manipulation-and-interference-threats_en</x:v>
      </x:c>
      <x:c r="N119" s="384" t="n">
        <x:v>0</x:v>
      </x:c>
      <x:c r="O119" s="396" t="n">
        <x:v>1</x:v>
      </x:c>
      <x:c r="P119" s="397" t="str">
        <x:v>https://merics.org/en/report/guardians-belt-and-road</x:v>
      </x:c>
      <x:c r="Q119" s="384" t="n">
        <x:v>2</x:v>
      </x:c>
      <x:c r="R119" s="396" t="n">
        <x:v>2</x:v>
      </x:c>
      <x:c r="S119" s="397" t="str">
        <x:v>https://www.eeas.europa.eu/eeas/4th-eeas-annual-report-foreign-information-manipulation-and-interference-threats_en</x:v>
      </x:c>
      <x:c r="T119" s="384" t="n">
        <x:v>0</x:v>
      </x:c>
      <x:c r="U119" s="396" t="n">
        <x:v>1</x:v>
      </x:c>
      <x:c r="V119" s="397" t="str">
        <x:v>https://merics.org/en/report/guardians-belt-and-road</x:v>
      </x:c>
      <x:c r="W119" s="385" t="n">
        <x:f>(--(M119&lt;&gt;"")+--(P119&lt;&gt;"")+--(S119&lt;&gt;"")+--(V119&lt;&gt;""))/4</x:f>
        <x:v>1</x:v>
      </x:c>
      <x:c r="X119" s="384" t="n">
        <x:f>IF(COUNT(K119,N119,Q119,T119)=0,"No data",(IF(ISNUMBER(K119),K119*Factor_Model!$B$4,0)+IF(ISNUMBER(N119),N119*Factor_Model!$B$5,0)+IF(ISNUMBER(Q119),Q119*Factor_Model!$B$6,0)+IF(ISNUMBER(T119),T119*Factor_Model!$B$7,0))/(IF(ISNUMBER(K119),Factor_Model!$B$4,0)+IF(ISNUMBER(N119),Factor_Model!$B$5,0)+IF(ISNUMBER(Q119),Factor_Model!$B$6,0)+IF(ISNUMBER(T119),Factor_Model!$B$7,0)))</x:f>
        <x:v>1.25</x:v>
      </x:c>
      <x:c r="Y119" s="20" t="str">
        <x:f>IF(W119=0,"No source",IF(W119&lt;1,"Partial source","Source-complete"))</x:f>
        <x:v>Source-complete</x:v>
      </x:c>
      <x:c r="Z119" s="20" t="str">
        <x:v>Automated screening pass: row uses a primary source URL by actor/subfactor; verify with country-specific evidence before final analytical use.</x:v>
      </x:c>
      <x:c r="AA119" s="20" t="str">
        <x:v>2026-05-20</x:v>
      </x:c>
      <x:c r="AB119" s="20" t="str">
        <x:v>GPT-5.5 Pro</x:v>
      </x:c>
    </x:row>
    <x:row r="120" ht="24" customHeight="1">
      <x:c r="A120" s="20" t="str">
        <x:v>SLV|United States</x:v>
      </x:c>
      <x:c r="B120" s="20" t="str">
        <x:v>El Salvador</x:v>
      </x:c>
      <x:c r="C120" s="20" t="str">
        <x:v>Republic of El Salvador</x:v>
      </x:c>
      <x:c r="D120" s="20" t="str">
        <x:v>SV</x:v>
      </x:c>
      <x:c r="E120" s="20" t="str">
        <x:v>SLV</x:v>
      </x:c>
      <x:c r="F120" s="20" t="str">
        <x:v>222</x:v>
      </x:c>
      <x:c r="G120" s="20" t="str">
        <x:v>Americas</x:v>
      </x:c>
      <x:c r="H120" s="20" t="str">
        <x:v>Central America</x:v>
      </x:c>
      <x:c r="I120" s="20" t="str">
        <x:v>United States</x:v>
      </x:c>
      <x:c r="J120" s="20" t="str">
        <x:v>American influence</x:v>
      </x:c>
      <x:c r="K120" s="384" t="n">
        <x:v>3</x:v>
      </x:c>
      <x:c r="L120" s="396" t="n">
        <x:v>3</x:v>
      </x:c>
      <x:c r="M120" s="397" t="str">
        <x:v>https://www.usagm.gov/our-work/strategy-and-results/strategic-priorities/research-reports/</x:v>
      </x:c>
      <x:c r="N120" s="384" t="n">
        <x:v>2</x:v>
      </x:c>
      <x:c r="O120" s="396" t="n">
        <x:v>2</x:v>
      </x:c>
      <x:c r="P120" s="397" t="str">
        <x:v>https://internationalpolicy.org/programs/sam/</x:v>
      </x:c>
      <x:c r="Q120" s="384" t="n">
        <x:v>2</x:v>
      </x:c>
      <x:c r="R120" s="396" t="n">
        <x:v>2</x:v>
      </x:c>
      <x:c r="S120" s="397" t="str">
        <x:v>https://www.ned.org/ned-grantmaking/</x:v>
      </x:c>
      <x:c r="T120" s="384" t="n">
        <x:v>4</x:v>
      </x:c>
      <x:c r="U120" s="396" t="n">
        <x:v>3</x:v>
      </x:c>
      <x:c r="V120" s="397" t="str">
        <x:v>https://internationalpolicy.org/programs/sam/</x:v>
      </x:c>
      <x:c r="W120" s="385" t="n">
        <x:f>(--(M120&lt;&gt;"")+--(P120&lt;&gt;"")+--(S120&lt;&gt;"")+--(V120&lt;&gt;""))/4</x:f>
        <x:v>1</x:v>
      </x:c>
      <x:c r="X120" s="384" t="n">
        <x:f>IF(COUNT(K120,N120,Q120,T120)=0,"No data",(IF(ISNUMBER(K120),K120*Factor_Model!$B$4,0)+IF(ISNUMBER(N120),N120*Factor_Model!$B$5,0)+IF(ISNUMBER(Q120),Q120*Factor_Model!$B$6,0)+IF(ISNUMBER(T120),T120*Factor_Model!$B$7,0))/(IF(ISNUMBER(K120),Factor_Model!$B$4,0)+IF(ISNUMBER(N120),Factor_Model!$B$5,0)+IF(ISNUMBER(Q120),Factor_Model!$B$6,0)+IF(ISNUMBER(T120),Factor_Model!$B$7,0)))</x:f>
        <x:v>2.75</x:v>
      </x:c>
      <x:c r="Y120" s="20" t="str">
        <x:f>IF(W120=0,"No source",IF(W120&lt;1,"Partial source","Source-complete"))</x:f>
        <x:v>Source-complete</x:v>
      </x:c>
      <x:c r="Z120" s="20" t="str">
        <x:v>Automated screening pass: row uses a primary source URL by actor/subfactor; verify with country-specific evidence before final analytical use.</x:v>
      </x:c>
      <x:c r="AA120" s="20" t="str">
        <x:v>2026-05-20</x:v>
      </x:c>
      <x:c r="AB120" s="20" t="str">
        <x:v>GPT-5.5 Pro</x:v>
      </x:c>
    </x:row>
    <x:row r="121" ht="24" customHeight="1">
      <x:c r="A121" s="20" t="str">
        <x:v>SLV|European Union</x:v>
      </x:c>
      <x:c r="B121" s="20" t="str">
        <x:v>El Salvador</x:v>
      </x:c>
      <x:c r="C121" s="20" t="str">
        <x:v>Republic of El Salvador</x:v>
      </x:c>
      <x:c r="D121" s="20" t="str">
        <x:v>SV</x:v>
      </x:c>
      <x:c r="E121" s="20" t="str">
        <x:v>SLV</x:v>
      </x:c>
      <x:c r="F121" s="20" t="str">
        <x:v>222</x:v>
      </x:c>
      <x:c r="G121" s="20" t="str">
        <x:v>Americas</x:v>
      </x:c>
      <x:c r="H121" s="20" t="str">
        <x:v>Central America</x:v>
      </x:c>
      <x:c r="I121" s="20" t="str">
        <x:v>European Union</x:v>
      </x:c>
      <x:c r="J121" s="20" t="str">
        <x:v>EU influence</x:v>
      </x:c>
      <x:c r="K121" s="384" t="n">
        <x:v>3</x:v>
      </x:c>
      <x:c r="L121" s="396" t="n">
        <x:v>3</x:v>
      </x:c>
      <x:c r="M121" s="397" t="str">
        <x:v>https://www.eeas.europa.eu/eeas/public-diplomacy_en</x:v>
      </x:c>
      <x:c r="N121" s="384" t="n">
        <x:v>0</x:v>
      </x:c>
      <x:c r="O121" s="396" t="n">
        <x:v>1</x:v>
      </x:c>
      <x:c r="P121" s="397" t="str">
        <x:v>https://www.eeas.europa.eu/eeas/missions-and-operations_en</x:v>
      </x:c>
      <x:c r="Q121" s="384" t="n">
        <x:v>2</x:v>
      </x:c>
      <x:c r="R121" s="396" t="n">
        <x:v>2</x:v>
      </x:c>
      <x:c r="S121" s="397" t="str">
        <x:v>https://www.eeas.europa.eu/eeas/eu-election-observation-missions-1_en?page_lang=en</x:v>
      </x:c>
      <x:c r="T121" s="384" t="n">
        <x:v>2</x:v>
      </x:c>
      <x:c r="U121" s="396" t="n">
        <x:v>2</x:v>
      </x:c>
      <x:c r="V121" s="397" t="str">
        <x:v>https://www.eeas.europa.eu/eeas/missions-and-operations_en</x:v>
      </x:c>
      <x:c r="W121" s="385" t="n">
        <x:f>(--(M121&lt;&gt;"")+--(P121&lt;&gt;"")+--(S121&lt;&gt;"")+--(V121&lt;&gt;""))/4</x:f>
        <x:v>1</x:v>
      </x:c>
      <x:c r="X121" s="384" t="n">
        <x:f>IF(COUNT(K121,N121,Q121,T121)=0,"No data",(IF(ISNUMBER(K121),K121*Factor_Model!$B$4,0)+IF(ISNUMBER(N121),N121*Factor_Model!$B$5,0)+IF(ISNUMBER(Q121),Q121*Factor_Model!$B$6,0)+IF(ISNUMBER(T121),T121*Factor_Model!$B$7,0))/(IF(ISNUMBER(K121),Factor_Model!$B$4,0)+IF(ISNUMBER(N121),Factor_Model!$B$5,0)+IF(ISNUMBER(Q121),Factor_Model!$B$6,0)+IF(ISNUMBER(T121),Factor_Model!$B$7,0)))</x:f>
        <x:v>1.75</x:v>
      </x:c>
      <x:c r="Y121" s="20" t="str">
        <x:f>IF(W121=0,"No source",IF(W121&lt;1,"Partial source","Source-complete"))</x:f>
        <x:v>Source-complete</x:v>
      </x:c>
      <x:c r="Z121" s="20" t="str">
        <x:v>Automated screening pass: row uses a primary source URL by actor/subfactor; verify with country-specific evidence before final analytical use.</x:v>
      </x:c>
      <x:c r="AA121" s="20" t="str">
        <x:v>2026-05-20</x:v>
      </x:c>
      <x:c r="AB121" s="20" t="str">
        <x:v>GPT-5.5 Pro</x:v>
      </x:c>
    </x:row>
    <x:row r="122" ht="24" customHeight="1">
      <x:c r="A122" s="20" t="str">
        <x:v>ERI|Russia</x:v>
      </x:c>
      <x:c r="B122" s="20" t="str">
        <x:v>Eritrea</x:v>
      </x:c>
      <x:c r="C122" s="20" t="str">
        <x:v>the State of Eritrea</x:v>
      </x:c>
      <x:c r="D122" s="20" t="str">
        <x:v>ER</x:v>
      </x:c>
      <x:c r="E122" s="20" t="str">
        <x:v>ERI</x:v>
      </x:c>
      <x:c r="F122" s="20" t="str">
        <x:v>232</x:v>
      </x:c>
      <x:c r="G122" s="20" t="str">
        <x:v>Africa</x:v>
      </x:c>
      <x:c r="H122" s="20" t="str">
        <x:v>Eastern Africa</x:v>
      </x:c>
      <x:c r="I122" s="20" t="str">
        <x:v>Russia</x:v>
      </x:c>
      <x:c r="J122" s="20" t="str">
        <x:v>Russian influence</x:v>
      </x:c>
      <x:c r="K122" s="384" t="n">
        <x:v>4</x:v>
      </x:c>
      <x:c r="L122" s="396" t="n">
        <x:v>3</x:v>
      </x:c>
      <x:c r="M122" s="397" t="str">
        <x:v>https://www.eeas.europa.eu/eeas/4th-eeas-annual-report-foreign-information-manipulation-and-interference-threats_en</x:v>
      </x:c>
      <x:c r="N122" s="384" t="n">
        <x:v>1</x:v>
      </x:c>
      <x:c r="O122" s="396" t="n">
        <x:v>2</x:v>
      </x:c>
      <x:c r="P122" s="397" t="str">
        <x:v>https://www.consilium.europa.eu/en/press/press-releases/2023/02/25/wagner-group-council-adds-11-individuals-and-7-entities-to-eu-sanctions-lists/</x:v>
      </x:c>
      <x:c r="Q122" s="384" t="n">
        <x:v>1</x:v>
      </x:c>
      <x:c r="R122" s="396" t="n">
        <x:v>2</x:v>
      </x:c>
      <x:c r="S122" s="397" t="str">
        <x:v>https://www.dni.gov/files/ODNI/documents/assessments/ATA-2026-Unclassified-Report.pdf</x:v>
      </x:c>
      <x:c r="T122" s="384" t="n">
        <x:v>1</x:v>
      </x:c>
      <x:c r="U122" s="396" t="n">
        <x:v>2</x:v>
      </x:c>
      <x:c r="V122" s="397" t="str">
        <x:v>https://www.consilium.europa.eu/en/press/press-releases/2023/02/25/wagner-group-council-adds-11-individuals-and-7-entities-to-eu-sanctions-lists/</x:v>
      </x:c>
      <x:c r="W122" s="385" t="n">
        <x:f>(--(M122&lt;&gt;"")+--(P122&lt;&gt;"")+--(S122&lt;&gt;"")+--(V122&lt;&gt;""))/4</x:f>
        <x:v>1</x:v>
      </x:c>
      <x:c r="X122" s="384" t="n">
        <x:f>IF(COUNT(K122,N122,Q122,T122)=0,"No data",(IF(ISNUMBER(K122),K122*Factor_Model!$B$4,0)+IF(ISNUMBER(N122),N122*Factor_Model!$B$5,0)+IF(ISNUMBER(Q122),Q122*Factor_Model!$B$6,0)+IF(ISNUMBER(T122),T122*Factor_Model!$B$7,0))/(IF(ISNUMBER(K122),Factor_Model!$B$4,0)+IF(ISNUMBER(N122),Factor_Model!$B$5,0)+IF(ISNUMBER(Q122),Factor_Model!$B$6,0)+IF(ISNUMBER(T122),Factor_Model!$B$7,0)))</x:f>
        <x:v>1.75</x:v>
      </x:c>
      <x:c r="Y122" s="20" t="str">
        <x:f>IF(W122=0,"No source",IF(W122&lt;1,"Partial source","Source-complete"))</x:f>
        <x:v>Source-complete</x:v>
      </x:c>
      <x:c r="Z122" s="20" t="str">
        <x:v>Automated screening pass: row uses a primary source URL by actor/subfactor; verify with country-specific evidence before final analytical use.</x:v>
      </x:c>
      <x:c r="AA122" s="20" t="str">
        <x:v>2026-05-20</x:v>
      </x:c>
      <x:c r="AB122" s="20" t="str">
        <x:v>GPT-5.5 Pro</x:v>
      </x:c>
    </x:row>
    <x:row r="123" ht="24" customHeight="1">
      <x:c r="A123" s="20" t="str">
        <x:v>ERI|China</x:v>
      </x:c>
      <x:c r="B123" s="20" t="str">
        <x:v>Eritrea</x:v>
      </x:c>
      <x:c r="C123" s="20" t="str">
        <x:v>the State of Eritrea</x:v>
      </x:c>
      <x:c r="D123" s="20" t="str">
        <x:v>ER</x:v>
      </x:c>
      <x:c r="E123" s="20" t="str">
        <x:v>ERI</x:v>
      </x:c>
      <x:c r="F123" s="20" t="str">
        <x:v>232</x:v>
      </x:c>
      <x:c r="G123" s="20" t="str">
        <x:v>Africa</x:v>
      </x:c>
      <x:c r="H123" s="20" t="str">
        <x:v>Eastern Africa</x:v>
      </x:c>
      <x:c r="I123" s="20" t="str">
        <x:v>China</x:v>
      </x:c>
      <x:c r="J123" s="20" t="str">
        <x:v>Chinese influence</x:v>
      </x:c>
      <x:c r="K123" s="384" t="n">
        <x:v>5</x:v>
      </x:c>
      <x:c r="L123" s="396" t="n">
        <x:v>3</x:v>
      </x:c>
      <x:c r="M123" s="397" t="str">
        <x:v>https://www.eeas.europa.eu/eeas/4th-eeas-annual-report-foreign-information-manipulation-and-interference-threats_en</x:v>
      </x:c>
      <x:c r="N123" s="384" t="n">
        <x:v>1</x:v>
      </x:c>
      <x:c r="O123" s="396" t="n">
        <x:v>2</x:v>
      </x:c>
      <x:c r="P123" s="397" t="str">
        <x:v>https://merics.org/en/report/guardians-belt-and-road</x:v>
      </x:c>
      <x:c r="Q123" s="384" t="n">
        <x:v>1</x:v>
      </x:c>
      <x:c r="R123" s="396" t="n">
        <x:v>2</x:v>
      </x:c>
      <x:c r="S123" s="397" t="str">
        <x:v>https://www.eeas.europa.eu/eeas/4th-eeas-annual-report-foreign-information-manipulation-and-interference-threats_en</x:v>
      </x:c>
      <x:c r="T123" s="384" t="n">
        <x:v>1</x:v>
      </x:c>
      <x:c r="U123" s="396" t="n">
        <x:v>2</x:v>
      </x:c>
      <x:c r="V123" s="397" t="str">
        <x:v>https://merics.org/en/report/guardians-belt-and-road</x:v>
      </x:c>
      <x:c r="W123" s="385" t="n">
        <x:f>(--(M123&lt;&gt;"")+--(P123&lt;&gt;"")+--(S123&lt;&gt;"")+--(V123&lt;&gt;""))/4</x:f>
        <x:v>1</x:v>
      </x:c>
      <x:c r="X123" s="384" t="n">
        <x:f>IF(COUNT(K123,N123,Q123,T123)=0,"No data",(IF(ISNUMBER(K123),K123*Factor_Model!$B$4,0)+IF(ISNUMBER(N123),N123*Factor_Model!$B$5,0)+IF(ISNUMBER(Q123),Q123*Factor_Model!$B$6,0)+IF(ISNUMBER(T123),T123*Factor_Model!$B$7,0))/(IF(ISNUMBER(K123),Factor_Model!$B$4,0)+IF(ISNUMBER(N123),Factor_Model!$B$5,0)+IF(ISNUMBER(Q123),Factor_Model!$B$6,0)+IF(ISNUMBER(T123),Factor_Model!$B$7,0)))</x:f>
        <x:v>2</x:v>
      </x:c>
      <x:c r="Y123" s="20" t="str">
        <x:f>IF(W123=0,"No source",IF(W123&lt;1,"Partial source","Source-complete"))</x:f>
        <x:v>Source-complete</x:v>
      </x:c>
      <x:c r="Z123" s="20" t="str">
        <x:v>Automated screening pass: row uses a primary source URL by actor/subfactor; verify with country-specific evidence before final analytical use.</x:v>
      </x:c>
      <x:c r="AA123" s="20" t="str">
        <x:v>2026-05-20</x:v>
      </x:c>
      <x:c r="AB123" s="20" t="str">
        <x:v>GPT-5.5 Pro</x:v>
      </x:c>
    </x:row>
    <x:row r="124" ht="24" customHeight="1">
      <x:c r="A124" s="20" t="str">
        <x:v>ERI|United States</x:v>
      </x:c>
      <x:c r="B124" s="20" t="str">
        <x:v>Eritrea</x:v>
      </x:c>
      <x:c r="C124" s="20" t="str">
        <x:v>the State of Eritrea</x:v>
      </x:c>
      <x:c r="D124" s="20" t="str">
        <x:v>ER</x:v>
      </x:c>
      <x:c r="E124" s="20" t="str">
        <x:v>ERI</x:v>
      </x:c>
      <x:c r="F124" s="20" t="str">
        <x:v>232</x:v>
      </x:c>
      <x:c r="G124" s="20" t="str">
        <x:v>Africa</x:v>
      </x:c>
      <x:c r="H124" s="20" t="str">
        <x:v>Eastern Africa</x:v>
      </x:c>
      <x:c r="I124" s="20" t="str">
        <x:v>United States</x:v>
      </x:c>
      <x:c r="J124" s="20" t="str">
        <x:v>American influence</x:v>
      </x:c>
      <x:c r="K124" s="384" t="n">
        <x:v>4</x:v>
      </x:c>
      <x:c r="L124" s="396" t="n">
        <x:v>3</x:v>
      </x:c>
      <x:c r="M124" s="397" t="str">
        <x:v>https://www.usagm.gov/our-work/strategy-and-results/strategic-priorities/research-reports/</x:v>
      </x:c>
      <x:c r="N124" s="384" t="n">
        <x:v>2</x:v>
      </x:c>
      <x:c r="O124" s="396" t="n">
        <x:v>2</x:v>
      </x:c>
      <x:c r="P124" s="397" t="str">
        <x:v>https://internationalpolicy.org/programs/sam/</x:v>
      </x:c>
      <x:c r="Q124" s="384" t="n">
        <x:v>2</x:v>
      </x:c>
      <x:c r="R124" s="396" t="n">
        <x:v>2</x:v>
      </x:c>
      <x:c r="S124" s="397" t="str">
        <x:v>https://www.ned.org/ned-grantmaking/</x:v>
      </x:c>
      <x:c r="T124" s="384" t="n">
        <x:v>3</x:v>
      </x:c>
      <x:c r="U124" s="396" t="n">
        <x:v>3</x:v>
      </x:c>
      <x:c r="V124" s="397" t="str">
        <x:v>https://internationalpolicy.org/programs/sam/</x:v>
      </x:c>
      <x:c r="W124" s="385" t="n">
        <x:f>(--(M124&lt;&gt;"")+--(P124&lt;&gt;"")+--(S124&lt;&gt;"")+--(V124&lt;&gt;""))/4</x:f>
        <x:v>1</x:v>
      </x:c>
      <x:c r="X124" s="384" t="n">
        <x:f>IF(COUNT(K124,N124,Q124,T124)=0,"No data",(IF(ISNUMBER(K124),K124*Factor_Model!$B$4,0)+IF(ISNUMBER(N124),N124*Factor_Model!$B$5,0)+IF(ISNUMBER(Q124),Q124*Factor_Model!$B$6,0)+IF(ISNUMBER(T124),T124*Factor_Model!$B$7,0))/(IF(ISNUMBER(K124),Factor_Model!$B$4,0)+IF(ISNUMBER(N124),Factor_Model!$B$5,0)+IF(ISNUMBER(Q124),Factor_Model!$B$6,0)+IF(ISNUMBER(T124),Factor_Model!$B$7,0)))</x:f>
        <x:v>2.75</x:v>
      </x:c>
      <x:c r="Y124" s="20" t="str">
        <x:f>IF(W124=0,"No source",IF(W124&lt;1,"Partial source","Source-complete"))</x:f>
        <x:v>Source-complete</x:v>
      </x:c>
      <x:c r="Z124" s="20" t="str">
        <x:v>Automated screening pass: row uses a primary source URL by actor/subfactor; verify with country-specific evidence before final analytical use.</x:v>
      </x:c>
      <x:c r="AA124" s="20" t="str">
        <x:v>2026-05-20</x:v>
      </x:c>
      <x:c r="AB124" s="20" t="str">
        <x:v>GPT-5.5 Pro</x:v>
      </x:c>
    </x:row>
    <x:row r="125" ht="24" customHeight="1">
      <x:c r="A125" s="20" t="str">
        <x:v>ERI|European Union</x:v>
      </x:c>
      <x:c r="B125" s="20" t="str">
        <x:v>Eritrea</x:v>
      </x:c>
      <x:c r="C125" s="20" t="str">
        <x:v>the State of Eritrea</x:v>
      </x:c>
      <x:c r="D125" s="20" t="str">
        <x:v>ER</x:v>
      </x:c>
      <x:c r="E125" s="20" t="str">
        <x:v>ERI</x:v>
      </x:c>
      <x:c r="F125" s="20" t="str">
        <x:v>232</x:v>
      </x:c>
      <x:c r="G125" s="20" t="str">
        <x:v>Africa</x:v>
      </x:c>
      <x:c r="H125" s="20" t="str">
        <x:v>Eastern Africa</x:v>
      </x:c>
      <x:c r="I125" s="20" t="str">
        <x:v>European Union</x:v>
      </x:c>
      <x:c r="J125" s="20" t="str">
        <x:v>EU influence</x:v>
      </x:c>
      <x:c r="K125" s="384" t="n">
        <x:v>3</x:v>
      </x:c>
      <x:c r="L125" s="396" t="n">
        <x:v>3</x:v>
      </x:c>
      <x:c r="M125" s="397" t="str">
        <x:v>https://www.eeas.europa.eu/eeas/public-diplomacy_en</x:v>
      </x:c>
      <x:c r="N125" s="384" t="n">
        <x:v>0</x:v>
      </x:c>
      <x:c r="O125" s="396" t="n">
        <x:v>1</x:v>
      </x:c>
      <x:c r="P125" s="397" t="str">
        <x:v>https://www.eeas.europa.eu/eeas/missions-and-operations_en</x:v>
      </x:c>
      <x:c r="Q125" s="384" t="n">
        <x:v>1</x:v>
      </x:c>
      <x:c r="R125" s="396" t="n">
        <x:v>2</x:v>
      </x:c>
      <x:c r="S125" s="397" t="str">
        <x:v>https://www.eeas.europa.eu/eeas/eu-election-observation-missions-1_en?page_lang=en</x:v>
      </x:c>
      <x:c r="T125" s="384" t="n">
        <x:v>2</x:v>
      </x:c>
      <x:c r="U125" s="396" t="n">
        <x:v>2</x:v>
      </x:c>
      <x:c r="V125" s="397" t="str">
        <x:v>https://www.eeas.europa.eu/eeas/missions-and-operations_en</x:v>
      </x:c>
      <x:c r="W125" s="385" t="n">
        <x:f>(--(M125&lt;&gt;"")+--(P125&lt;&gt;"")+--(S125&lt;&gt;"")+--(V125&lt;&gt;""))/4</x:f>
        <x:v>1</x:v>
      </x:c>
      <x:c r="X125" s="384" t="n">
        <x:f>IF(COUNT(K125,N125,Q125,T125)=0,"No data",(IF(ISNUMBER(K125),K125*Factor_Model!$B$4,0)+IF(ISNUMBER(N125),N125*Factor_Model!$B$5,0)+IF(ISNUMBER(Q125),Q125*Factor_Model!$B$6,0)+IF(ISNUMBER(T125),T125*Factor_Model!$B$7,0))/(IF(ISNUMBER(K125),Factor_Model!$B$4,0)+IF(ISNUMBER(N125),Factor_Model!$B$5,0)+IF(ISNUMBER(Q125),Factor_Model!$B$6,0)+IF(ISNUMBER(T125),Factor_Model!$B$7,0)))</x:f>
        <x:v>1.5</x:v>
      </x:c>
      <x:c r="Y125" s="20" t="str">
        <x:f>IF(W125=0,"No source",IF(W125&lt;1,"Partial source","Source-complete"))</x:f>
        <x:v>Source-complete</x:v>
      </x:c>
      <x:c r="Z125" s="20" t="str">
        <x:v>Automated screening pass: row uses a primary source URL by actor/subfactor; verify with country-specific evidence before final analytical use.</x:v>
      </x:c>
      <x:c r="AA125" s="20" t="str">
        <x:v>2026-05-20</x:v>
      </x:c>
      <x:c r="AB125" s="20" t="str">
        <x:v>GPT-5.5 Pro</x:v>
      </x:c>
    </x:row>
    <x:row r="126" ht="24" customHeight="1">
      <x:c r="A126" s="20" t="str">
        <x:v>EST|Russia</x:v>
      </x:c>
      <x:c r="B126" s="20" t="str">
        <x:v>Estonia</x:v>
      </x:c>
      <x:c r="C126" s="20" t="str">
        <x:v>Republic of Estonia</x:v>
      </x:c>
      <x:c r="D126" s="20" t="str">
        <x:v>EE</x:v>
      </x:c>
      <x:c r="E126" s="20" t="str">
        <x:v>EST</x:v>
      </x:c>
      <x:c r="F126" s="20" t="str">
        <x:v>233</x:v>
      </x:c>
      <x:c r="G126" s="20" t="str">
        <x:v>Europe</x:v>
      </x:c>
      <x:c r="H126" s="20" t="str">
        <x:v>Northern Europe</x:v>
      </x:c>
      <x:c r="I126" s="20" t="str">
        <x:v>Russia</x:v>
      </x:c>
      <x:c r="J126" s="20" t="str">
        <x:v>Russian influence</x:v>
      </x:c>
      <x:c r="K126" s="384" t="n">
        <x:v>7</x:v>
      </x:c>
      <x:c r="L126" s="396" t="n">
        <x:v>4</x:v>
      </x:c>
      <x:c r="M126" s="397" t="str">
        <x:v>https://www.eeas.europa.eu/eeas/4th-eeas-annual-report-foreign-information-manipulation-and-interference-threats_en</x:v>
      </x:c>
      <x:c r="N126" s="384" t="n">
        <x:v>0</x:v>
      </x:c>
      <x:c r="O126" s="396" t="n">
        <x:v>1</x:v>
      </x:c>
      <x:c r="P126" s="397" t="str">
        <x:v>https://www.consilium.europa.eu/en/press/press-releases/2023/02/25/wagner-group-council-adds-11-individuals-and-7-entities-to-eu-sanctions-lists/</x:v>
      </x:c>
      <x:c r="Q126" s="384" t="n">
        <x:v>6</x:v>
      </x:c>
      <x:c r="R126" s="396" t="n">
        <x:v>4</x:v>
      </x:c>
      <x:c r="S126" s="397" t="str">
        <x:v>https://www.dni.gov/files/ODNI/documents/assessments/ATA-2026-Unclassified-Report.pdf</x:v>
      </x:c>
      <x:c r="T126" s="384" t="n">
        <x:v>0</x:v>
      </x:c>
      <x:c r="U126" s="396" t="n">
        <x:v>1</x:v>
      </x:c>
      <x:c r="V126" s="397" t="str">
        <x:v>https://www.consilium.europa.eu/en/press/press-releases/2023/02/25/wagner-group-council-adds-11-individuals-and-7-entities-to-eu-sanctions-lists/</x:v>
      </x:c>
      <x:c r="W126" s="385" t="n">
        <x:f>(--(M126&lt;&gt;"")+--(P126&lt;&gt;"")+--(S126&lt;&gt;"")+--(V126&lt;&gt;""))/4</x:f>
        <x:v>1</x:v>
      </x:c>
      <x:c r="X126" s="384" t="n">
        <x:f>IF(COUNT(K126,N126,Q126,T126)=0,"No data",(IF(ISNUMBER(K126),K126*Factor_Model!$B$4,0)+IF(ISNUMBER(N126),N126*Factor_Model!$B$5,0)+IF(ISNUMBER(Q126),Q126*Factor_Model!$B$6,0)+IF(ISNUMBER(T126),T126*Factor_Model!$B$7,0))/(IF(ISNUMBER(K126),Factor_Model!$B$4,0)+IF(ISNUMBER(N126),Factor_Model!$B$5,0)+IF(ISNUMBER(Q126),Factor_Model!$B$6,0)+IF(ISNUMBER(T126),Factor_Model!$B$7,0)))</x:f>
        <x:v>3.25</x:v>
      </x:c>
      <x:c r="Y126" s="20" t="str">
        <x:f>IF(W126=0,"No source",IF(W126&lt;1,"Partial source","Source-complete"))</x:f>
        <x:v>Source-complete</x:v>
      </x:c>
      <x:c r="Z126" s="20" t="str">
        <x:v>Automated screening pass: row uses a primary source URL by actor/subfactor; verify with country-specific evidence before final analytical use.</x:v>
      </x:c>
      <x:c r="AA126" s="20" t="str">
        <x:v>2026-05-20</x:v>
      </x:c>
      <x:c r="AB126" s="20" t="str">
        <x:v>GPT-5.5 Pro</x:v>
      </x:c>
    </x:row>
    <x:row r="127" ht="24" customHeight="1">
      <x:c r="A127" s="20" t="str">
        <x:v>EST|China</x:v>
      </x:c>
      <x:c r="B127" s="20" t="str">
        <x:v>Estonia</x:v>
      </x:c>
      <x:c r="C127" s="20" t="str">
        <x:v>Republic of Estonia</x:v>
      </x:c>
      <x:c r="D127" s="20" t="str">
        <x:v>EE</x:v>
      </x:c>
      <x:c r="E127" s="20" t="str">
        <x:v>EST</x:v>
      </x:c>
      <x:c r="F127" s="20" t="str">
        <x:v>233</x:v>
      </x:c>
      <x:c r="G127" s="20" t="str">
        <x:v>Europe</x:v>
      </x:c>
      <x:c r="H127" s="20" t="str">
        <x:v>Northern Europe</x:v>
      </x:c>
      <x:c r="I127" s="20" t="str">
        <x:v>China</x:v>
      </x:c>
      <x:c r="J127" s="20" t="str">
        <x:v>Chinese influence</x:v>
      </x:c>
      <x:c r="K127" s="384" t="n">
        <x:v>4</x:v>
      </x:c>
      <x:c r="L127" s="396" t="n">
        <x:v>3</x:v>
      </x:c>
      <x:c r="M127" s="397" t="str">
        <x:v>https://www.eeas.europa.eu/eeas/4th-eeas-annual-report-foreign-information-manipulation-and-interference-threats_en</x:v>
      </x:c>
      <x:c r="N127" s="384" t="n">
        <x:v>0</x:v>
      </x:c>
      <x:c r="O127" s="396" t="n">
        <x:v>1</x:v>
      </x:c>
      <x:c r="P127" s="397" t="str">
        <x:v>https://merics.org/en/report/guardians-belt-and-road</x:v>
      </x:c>
      <x:c r="Q127" s="384" t="n">
        <x:v>2</x:v>
      </x:c>
      <x:c r="R127" s="396" t="n">
        <x:v>2</x:v>
      </x:c>
      <x:c r="S127" s="397" t="str">
        <x:v>https://www.eeas.europa.eu/eeas/4th-eeas-annual-report-foreign-information-manipulation-and-interference-threats_en</x:v>
      </x:c>
      <x:c r="T127" s="384" t="n">
        <x:v>0</x:v>
      </x:c>
      <x:c r="U127" s="396" t="n">
        <x:v>1</x:v>
      </x:c>
      <x:c r="V127" s="397" t="str">
        <x:v>https://merics.org/en/report/guardians-belt-and-road</x:v>
      </x:c>
      <x:c r="W127" s="385" t="n">
        <x:f>(--(M127&lt;&gt;"")+--(P127&lt;&gt;"")+--(S127&lt;&gt;"")+--(V127&lt;&gt;""))/4</x:f>
        <x:v>1</x:v>
      </x:c>
      <x:c r="X127" s="384" t="n">
        <x:f>IF(COUNT(K127,N127,Q127,T127)=0,"No data",(IF(ISNUMBER(K127),K127*Factor_Model!$B$4,0)+IF(ISNUMBER(N127),N127*Factor_Model!$B$5,0)+IF(ISNUMBER(Q127),Q127*Factor_Model!$B$6,0)+IF(ISNUMBER(T127),T127*Factor_Model!$B$7,0))/(IF(ISNUMBER(K127),Factor_Model!$B$4,0)+IF(ISNUMBER(N127),Factor_Model!$B$5,0)+IF(ISNUMBER(Q127),Factor_Model!$B$6,0)+IF(ISNUMBER(T127),Factor_Model!$B$7,0)))</x:f>
        <x:v>1.5</x:v>
      </x:c>
      <x:c r="Y127" s="20" t="str">
        <x:f>IF(W127=0,"No source",IF(W127&lt;1,"Partial source","Source-complete"))</x:f>
        <x:v>Source-complete</x:v>
      </x:c>
      <x:c r="Z127" s="20" t="str">
        <x:v>Automated screening pass: row uses a primary source URL by actor/subfactor; verify with country-specific evidence before final analytical use.</x:v>
      </x:c>
      <x:c r="AA127" s="20" t="str">
        <x:v>2026-05-20</x:v>
      </x:c>
      <x:c r="AB127" s="20" t="str">
        <x:v>GPT-5.5 Pro</x:v>
      </x:c>
    </x:row>
    <x:row r="128" ht="24" customHeight="1">
      <x:c r="A128" s="20" t="str">
        <x:v>EST|United States</x:v>
      </x:c>
      <x:c r="B128" s="20" t="str">
        <x:v>Estonia</x:v>
      </x:c>
      <x:c r="C128" s="20" t="str">
        <x:v>Republic of Estonia</x:v>
      </x:c>
      <x:c r="D128" s="20" t="str">
        <x:v>EE</x:v>
      </x:c>
      <x:c r="E128" s="20" t="str">
        <x:v>EST</x:v>
      </x:c>
      <x:c r="F128" s="20" t="str">
        <x:v>233</x:v>
      </x:c>
      <x:c r="G128" s="20" t="str">
        <x:v>Europe</x:v>
      </x:c>
      <x:c r="H128" s="20" t="str">
        <x:v>Northern Europe</x:v>
      </x:c>
      <x:c r="I128" s="20" t="str">
        <x:v>United States</x:v>
      </x:c>
      <x:c r="J128" s="20" t="str">
        <x:v>American influence</x:v>
      </x:c>
      <x:c r="K128" s="384" t="n">
        <x:v>4</x:v>
      </x:c>
      <x:c r="L128" s="396" t="n">
        <x:v>3</x:v>
      </x:c>
      <x:c r="M128" s="397" t="str">
        <x:v>https://www.usagm.gov/our-work/strategy-and-results/strategic-priorities/research-reports/</x:v>
      </x:c>
      <x:c r="N128" s="384" t="n">
        <x:v>3</x:v>
      </x:c>
      <x:c r="O128" s="396" t="n">
        <x:v>3</x:v>
      </x:c>
      <x:c r="P128" s="397" t="str">
        <x:v>https://internationalpolicy.org/programs/sam/</x:v>
      </x:c>
      <x:c r="Q128" s="384" t="n">
        <x:v>1</x:v>
      </x:c>
      <x:c r="R128" s="396" t="n">
        <x:v>2</x:v>
      </x:c>
      <x:c r="S128" s="397" t="str">
        <x:v>https://www.ned.org/ned-grantmaking/</x:v>
      </x:c>
      <x:c r="T128" s="384" t="n">
        <x:v>6</x:v>
      </x:c>
      <x:c r="U128" s="396" t="n">
        <x:v>4</x:v>
      </x:c>
      <x:c r="V128" s="397" t="str">
        <x:v>https://internationalpolicy.org/programs/sam/</x:v>
      </x:c>
      <x:c r="W128" s="385" t="n">
        <x:f>(--(M128&lt;&gt;"")+--(P128&lt;&gt;"")+--(S128&lt;&gt;"")+--(V128&lt;&gt;""))/4</x:f>
        <x:v>1</x:v>
      </x:c>
      <x:c r="X128" s="384" t="n">
        <x:f>IF(COUNT(K128,N128,Q128,T128)=0,"No data",(IF(ISNUMBER(K128),K128*Factor_Model!$B$4,0)+IF(ISNUMBER(N128),N128*Factor_Model!$B$5,0)+IF(ISNUMBER(Q128),Q128*Factor_Model!$B$6,0)+IF(ISNUMBER(T128),T128*Factor_Model!$B$7,0))/(IF(ISNUMBER(K128),Factor_Model!$B$4,0)+IF(ISNUMBER(N128),Factor_Model!$B$5,0)+IF(ISNUMBER(Q128),Factor_Model!$B$6,0)+IF(ISNUMBER(T128),Factor_Model!$B$7,0)))</x:f>
        <x:v>3.5</x:v>
      </x:c>
      <x:c r="Y128" s="20" t="str">
        <x:f>IF(W128=0,"No source",IF(W128&lt;1,"Partial source","Source-complete"))</x:f>
        <x:v>Source-complete</x:v>
      </x:c>
      <x:c r="Z128" s="20" t="str">
        <x:v>Automated screening pass: row uses a primary source URL by actor/subfactor; verify with country-specific evidence before final analytical use.</x:v>
      </x:c>
      <x:c r="AA128" s="20" t="str">
        <x:v>2026-05-20</x:v>
      </x:c>
      <x:c r="AB128" s="20" t="str">
        <x:v>GPT-5.5 Pro</x:v>
      </x:c>
    </x:row>
    <x:row r="129" ht="24" customHeight="1">
      <x:c r="A129" s="20" t="str">
        <x:v>EST|European Union</x:v>
      </x:c>
      <x:c r="B129" s="20" t="str">
        <x:v>Estonia</x:v>
      </x:c>
      <x:c r="C129" s="20" t="str">
        <x:v>Republic of Estonia</x:v>
      </x:c>
      <x:c r="D129" s="20" t="str">
        <x:v>EE</x:v>
      </x:c>
      <x:c r="E129" s="20" t="str">
        <x:v>EST</x:v>
      </x:c>
      <x:c r="F129" s="20" t="str">
        <x:v>233</x:v>
      </x:c>
      <x:c r="G129" s="20" t="str">
        <x:v>Europe</x:v>
      </x:c>
      <x:c r="H129" s="20" t="str">
        <x:v>Northern Europe</x:v>
      </x:c>
      <x:c r="I129" s="20" t="str">
        <x:v>European Union</x:v>
      </x:c>
      <x:c r="J129" s="20" t="str">
        <x:v>EU influence</x:v>
      </x:c>
      <x:c r="K129" s="384" t="n">
        <x:v>9</x:v>
      </x:c>
      <x:c r="L129" s="396" t="n">
        <x:v>5</x:v>
      </x:c>
      <x:c r="M129" s="397" t="str">
        <x:v>https://www.eeas.europa.eu/eeas/public-diplomacy_en</x:v>
      </x:c>
      <x:c r="N129" s="384" t="n">
        <x:v>0</x:v>
      </x:c>
      <x:c r="O129" s="396" t="n">
        <x:v>1</x:v>
      </x:c>
      <x:c r="P129" s="397" t="str">
        <x:v>https://www.eeas.europa.eu/eeas/missions-and-operations_en</x:v>
      </x:c>
      <x:c r="Q129" s="384" t="n">
        <x:v>2</x:v>
      </x:c>
      <x:c r="R129" s="396" t="n">
        <x:v>2</x:v>
      </x:c>
      <x:c r="S129" s="397" t="str">
        <x:v>https://www.eeas.europa.eu/eeas/eu-election-observation-missions-1_en?page_lang=en</x:v>
      </x:c>
      <x:c r="T129" s="384" t="n">
        <x:v>5</x:v>
      </x:c>
      <x:c r="U129" s="396" t="n">
        <x:v>3</x:v>
      </x:c>
      <x:c r="V129" s="397" t="str">
        <x:v>https://www.eeas.europa.eu/eeas/missions-and-operations_en</x:v>
      </x:c>
      <x:c r="W129" s="385" t="n">
        <x:f>(--(M129&lt;&gt;"")+--(P129&lt;&gt;"")+--(S129&lt;&gt;"")+--(V129&lt;&gt;""))/4</x:f>
        <x:v>1</x:v>
      </x:c>
      <x:c r="X129" s="384" t="n">
        <x:f>IF(COUNT(K129,N129,Q129,T129)=0,"No data",(IF(ISNUMBER(K129),K129*Factor_Model!$B$4,0)+IF(ISNUMBER(N129),N129*Factor_Model!$B$5,0)+IF(ISNUMBER(Q129),Q129*Factor_Model!$B$6,0)+IF(ISNUMBER(T129),T129*Factor_Model!$B$7,0))/(IF(ISNUMBER(K129),Factor_Model!$B$4,0)+IF(ISNUMBER(N129),Factor_Model!$B$5,0)+IF(ISNUMBER(Q129),Factor_Model!$B$6,0)+IF(ISNUMBER(T129),Factor_Model!$B$7,0)))</x:f>
        <x:v>4</x:v>
      </x:c>
      <x:c r="Y129" s="20" t="str">
        <x:f>IF(W129=0,"No source",IF(W129&lt;1,"Partial source","Source-complete"))</x:f>
        <x:v>Source-complete</x:v>
      </x:c>
      <x:c r="Z129" s="20" t="str">
        <x:v>Automated screening pass: row uses a primary source URL by actor/subfactor; verify with country-specific evidence before final analytical use.</x:v>
      </x:c>
      <x:c r="AA129" s="20" t="str">
        <x:v>2026-05-20</x:v>
      </x:c>
      <x:c r="AB129" s="20" t="str">
        <x:v>GPT-5.5 Pro</x:v>
      </x:c>
    </x:row>
    <x:row r="130" ht="24" customHeight="1">
      <x:c r="A130" s="20" t="str">
        <x:v>FSM|Russia</x:v>
      </x:c>
      <x:c r="B130" s="20" t="str">
        <x:v>Federated States of Micronesia</x:v>
      </x:c>
      <x:c r="C130" s="20" t="str">
        <x:v>Federated States of Micronesia</x:v>
      </x:c>
      <x:c r="D130" s="20" t="str">
        <x:v>FM</x:v>
      </x:c>
      <x:c r="E130" s="20" t="str">
        <x:v>FSM</x:v>
      </x:c>
      <x:c r="F130" s="20" t="str">
        <x:v>583</x:v>
      </x:c>
      <x:c r="G130" s="20" t="str">
        <x:v>Oceania</x:v>
      </x:c>
      <x:c r="H130" s="20" t="str">
        <x:v>Micronesia</x:v>
      </x:c>
      <x:c r="I130" s="20" t="str">
        <x:v>Russia</x:v>
      </x:c>
      <x:c r="J130" s="20" t="str">
        <x:v>Russian influence</x:v>
      </x:c>
      <x:c r="K130" s="384" t="n">
        <x:v>2</x:v>
      </x:c>
      <x:c r="L130" s="396" t="n">
        <x:v>2</x:v>
      </x:c>
      <x:c r="M130" s="397" t="str">
        <x:v>https://www.eeas.europa.eu/eeas/4th-eeas-annual-report-foreign-information-manipulation-and-interference-threats_en</x:v>
      </x:c>
      <x:c r="N130" s="384" t="n">
        <x:v>0</x:v>
      </x:c>
      <x:c r="O130" s="396" t="n">
        <x:v>1</x:v>
      </x:c>
      <x:c r="P130" s="397" t="str">
        <x:v>https://www.consilium.europa.eu/en/press/press-releases/2023/02/25/wagner-group-council-adds-11-individuals-and-7-entities-to-eu-sanctions-lists/</x:v>
      </x:c>
      <x:c r="Q130" s="384" t="n">
        <x:v>0</x:v>
      </x:c>
      <x:c r="R130" s="396" t="n">
        <x:v>1</x:v>
      </x:c>
      <x:c r="S130" s="397" t="str">
        <x:v>https://www.dni.gov/files/ODNI/documents/assessments/ATA-2026-Unclassified-Report.pdf</x:v>
      </x:c>
      <x:c r="T130" s="384" t="n">
        <x:v>0</x:v>
      </x:c>
      <x:c r="U130" s="396" t="n">
        <x:v>1</x:v>
      </x:c>
      <x:c r="V130" s="397" t="str">
        <x:v>https://www.consilium.europa.eu/en/press/press-releases/2023/02/25/wagner-group-council-adds-11-individuals-and-7-entities-to-eu-sanctions-lists/</x:v>
      </x:c>
      <x:c r="W130" s="385" t="n">
        <x:f>(--(M130&lt;&gt;"")+--(P130&lt;&gt;"")+--(S130&lt;&gt;"")+--(V130&lt;&gt;""))/4</x:f>
        <x:v>1</x:v>
      </x:c>
      <x:c r="X130" s="384" t="n">
        <x:f>IF(COUNT(K130,N130,Q130,T130)=0,"No data",(IF(ISNUMBER(K130),K130*Factor_Model!$B$4,0)+IF(ISNUMBER(N130),N130*Factor_Model!$B$5,0)+IF(ISNUMBER(Q130),Q130*Factor_Model!$B$6,0)+IF(ISNUMBER(T130),T130*Factor_Model!$B$7,0))/(IF(ISNUMBER(K130),Factor_Model!$B$4,0)+IF(ISNUMBER(N130),Factor_Model!$B$5,0)+IF(ISNUMBER(Q130),Factor_Model!$B$6,0)+IF(ISNUMBER(T130),Factor_Model!$B$7,0)))</x:f>
        <x:v>0.5</x:v>
      </x:c>
      <x:c r="Y130" s="20" t="str">
        <x:f>IF(W130=0,"No source",IF(W130&lt;1,"Partial source","Source-complete"))</x:f>
        <x:v>Source-complete</x:v>
      </x:c>
      <x:c r="Z130" s="20" t="str">
        <x:v>Automated screening pass: row uses a primary source URL by actor/subfactor; verify with country-specific evidence before final analytical use.</x:v>
      </x:c>
      <x:c r="AA130" s="20" t="str">
        <x:v>2026-05-20</x:v>
      </x:c>
      <x:c r="AB130" s="20" t="str">
        <x:v>GPT-5.5 Pro</x:v>
      </x:c>
    </x:row>
    <x:row r="131" ht="24" customHeight="1">
      <x:c r="A131" s="20" t="str">
        <x:v>FSM|China</x:v>
      </x:c>
      <x:c r="B131" s="20" t="str">
        <x:v>Federated States of Micronesia</x:v>
      </x:c>
      <x:c r="C131" s="20" t="str">
        <x:v>Federated States of Micronesia</x:v>
      </x:c>
      <x:c r="D131" s="20" t="str">
        <x:v>FM</x:v>
      </x:c>
      <x:c r="E131" s="20" t="str">
        <x:v>FSM</x:v>
      </x:c>
      <x:c r="F131" s="20" t="str">
        <x:v>583</x:v>
      </x:c>
      <x:c r="G131" s="20" t="str">
        <x:v>Oceania</x:v>
      </x:c>
      <x:c r="H131" s="20" t="str">
        <x:v>Micronesia</x:v>
      </x:c>
      <x:c r="I131" s="20" t="str">
        <x:v>China</x:v>
      </x:c>
      <x:c r="J131" s="20" t="str">
        <x:v>Chinese influence</x:v>
      </x:c>
      <x:c r="K131" s="384" t="n">
        <x:v>7</x:v>
      </x:c>
      <x:c r="L131" s="396" t="n">
        <x:v>4</x:v>
      </x:c>
      <x:c r="M131" s="397" t="str">
        <x:v>https://www.eeas.europa.eu/eeas/4th-eeas-annual-report-foreign-information-manipulation-and-interference-threats_en</x:v>
      </x:c>
      <x:c r="N131" s="384" t="n">
        <x:v>1</x:v>
      </x:c>
      <x:c r="O131" s="396" t="n">
        <x:v>2</x:v>
      </x:c>
      <x:c r="P131" s="397" t="str">
        <x:v>https://merics.org/en/report/guardians-belt-and-road</x:v>
      </x:c>
      <x:c r="Q131" s="384" t="n">
        <x:v>3</x:v>
      </x:c>
      <x:c r="R131" s="396" t="n">
        <x:v>3</x:v>
      </x:c>
      <x:c r="S131" s="397" t="str">
        <x:v>https://www.eeas.europa.eu/eeas/4th-eeas-annual-report-foreign-information-manipulation-and-interference-threats_en</x:v>
      </x:c>
      <x:c r="T131" s="384" t="n">
        <x:v>2</x:v>
      </x:c>
      <x:c r="U131" s="396" t="n">
        <x:v>2</x:v>
      </x:c>
      <x:c r="V131" s="397" t="str">
        <x:v>https://merics.org/en/report/guardians-belt-and-road</x:v>
      </x:c>
      <x:c r="W131" s="385" t="n">
        <x:f>(--(M131&lt;&gt;"")+--(P131&lt;&gt;"")+--(S131&lt;&gt;"")+--(V131&lt;&gt;""))/4</x:f>
        <x:v>1</x:v>
      </x:c>
      <x:c r="X131" s="384" t="n">
        <x:f>IF(COUNT(K131,N131,Q131,T131)=0,"No data",(IF(ISNUMBER(K131),K131*Factor_Model!$B$4,0)+IF(ISNUMBER(N131),N131*Factor_Model!$B$5,0)+IF(ISNUMBER(Q131),Q131*Factor_Model!$B$6,0)+IF(ISNUMBER(T131),T131*Factor_Model!$B$7,0))/(IF(ISNUMBER(K131),Factor_Model!$B$4,0)+IF(ISNUMBER(N131),Factor_Model!$B$5,0)+IF(ISNUMBER(Q131),Factor_Model!$B$6,0)+IF(ISNUMBER(T131),Factor_Model!$B$7,0)))</x:f>
        <x:v>3.25</x:v>
      </x:c>
      <x:c r="Y131" s="20" t="str">
        <x:f>IF(W131=0,"No source",IF(W131&lt;1,"Partial source","Source-complete"))</x:f>
        <x:v>Source-complete</x:v>
      </x:c>
      <x:c r="Z131" s="20" t="str">
        <x:v>Automated screening pass: row uses a primary source URL by actor/subfactor; verify with country-specific evidence before final analytical use.</x:v>
      </x:c>
      <x:c r="AA131" s="20" t="str">
        <x:v>2026-05-20</x:v>
      </x:c>
      <x:c r="AB131" s="20" t="str">
        <x:v>GPT-5.5 Pro</x:v>
      </x:c>
    </x:row>
    <x:row r="132" ht="24" customHeight="1">
      <x:c r="A132" s="20" t="str">
        <x:v>FSM|United States</x:v>
      </x:c>
      <x:c r="B132" s="20" t="str">
        <x:v>Federated States of Micronesia</x:v>
      </x:c>
      <x:c r="C132" s="20" t="str">
        <x:v>Federated States of Micronesia</x:v>
      </x:c>
      <x:c r="D132" s="20" t="str">
        <x:v>FM</x:v>
      </x:c>
      <x:c r="E132" s="20" t="str">
        <x:v>FSM</x:v>
      </x:c>
      <x:c r="F132" s="20" t="str">
        <x:v>583</x:v>
      </x:c>
      <x:c r="G132" s="20" t="str">
        <x:v>Oceania</x:v>
      </x:c>
      <x:c r="H132" s="20" t="str">
        <x:v>Micronesia</x:v>
      </x:c>
      <x:c r="I132" s="20" t="str">
        <x:v>United States</x:v>
      </x:c>
      <x:c r="J132" s="20" t="str">
        <x:v>American influence</x:v>
      </x:c>
      <x:c r="K132" s="384" t="n">
        <x:v>3</x:v>
      </x:c>
      <x:c r="L132" s="396" t="n">
        <x:v>3</x:v>
      </x:c>
      <x:c r="M132" s="397" t="str">
        <x:v>https://www.usagm.gov/our-work/strategy-and-results/strategic-priorities/research-reports/</x:v>
      </x:c>
      <x:c r="N132" s="384" t="n">
        <x:v>1</x:v>
      </x:c>
      <x:c r="O132" s="396" t="n">
        <x:v>2</x:v>
      </x:c>
      <x:c r="P132" s="397" t="str">
        <x:v>https://internationalpolicy.org/programs/sam/</x:v>
      </x:c>
      <x:c r="Q132" s="384" t="n">
        <x:v>1</x:v>
      </x:c>
      <x:c r="R132" s="396" t="n">
        <x:v>2</x:v>
      </x:c>
      <x:c r="S132" s="397" t="str">
        <x:v>https://www.ned.org/ned-grantmaking/</x:v>
      </x:c>
      <x:c r="T132" s="384" t="n">
        <x:v>2</x:v>
      </x:c>
      <x:c r="U132" s="396" t="n">
        <x:v>2</x:v>
      </x:c>
      <x:c r="V132" s="397" t="str">
        <x:v>https://internationalpolicy.org/programs/sam/</x:v>
      </x:c>
      <x:c r="W132" s="385" t="n">
        <x:f>(--(M132&lt;&gt;"")+--(P132&lt;&gt;"")+--(S132&lt;&gt;"")+--(V132&lt;&gt;""))/4</x:f>
        <x:v>1</x:v>
      </x:c>
      <x:c r="X132" s="384" t="n">
        <x:f>IF(COUNT(K132,N132,Q132,T132)=0,"No data",(IF(ISNUMBER(K132),K132*Factor_Model!$B$4,0)+IF(ISNUMBER(N132),N132*Factor_Model!$B$5,0)+IF(ISNUMBER(Q132),Q132*Factor_Model!$B$6,0)+IF(ISNUMBER(T132),T132*Factor_Model!$B$7,0))/(IF(ISNUMBER(K132),Factor_Model!$B$4,0)+IF(ISNUMBER(N132),Factor_Model!$B$5,0)+IF(ISNUMBER(Q132),Factor_Model!$B$6,0)+IF(ISNUMBER(T132),Factor_Model!$B$7,0)))</x:f>
        <x:v>1.75</x:v>
      </x:c>
      <x:c r="Y132" s="20" t="str">
        <x:f>IF(W132=0,"No source",IF(W132&lt;1,"Partial source","Source-complete"))</x:f>
        <x:v>Source-complete</x:v>
      </x:c>
      <x:c r="Z132" s="20" t="str">
        <x:v>Automated screening pass: row uses a primary source URL by actor/subfactor; verify with country-specific evidence before final analytical use.</x:v>
      </x:c>
      <x:c r="AA132" s="20" t="str">
        <x:v>2026-05-20</x:v>
      </x:c>
      <x:c r="AB132" s="20" t="str">
        <x:v>GPT-5.5 Pro</x:v>
      </x:c>
    </x:row>
    <x:row r="133" ht="24" customHeight="1">
      <x:c r="A133" s="20" t="str">
        <x:v>FSM|European Union</x:v>
      </x:c>
      <x:c r="B133" s="20" t="str">
        <x:v>Federated States of Micronesia</x:v>
      </x:c>
      <x:c r="C133" s="20" t="str">
        <x:v>Federated States of Micronesia</x:v>
      </x:c>
      <x:c r="D133" s="20" t="str">
        <x:v>FM</x:v>
      </x:c>
      <x:c r="E133" s="20" t="str">
        <x:v>FSM</x:v>
      </x:c>
      <x:c r="F133" s="20" t="str">
        <x:v>583</x:v>
      </x:c>
      <x:c r="G133" s="20" t="str">
        <x:v>Oceania</x:v>
      </x:c>
      <x:c r="H133" s="20" t="str">
        <x:v>Micronesia</x:v>
      </x:c>
      <x:c r="I133" s="20" t="str">
        <x:v>European Union</x:v>
      </x:c>
      <x:c r="J133" s="20" t="str">
        <x:v>EU influence</x:v>
      </x:c>
      <x:c r="K133" s="384" t="n">
        <x:v>2</x:v>
      </x:c>
      <x:c r="L133" s="396" t="n">
        <x:v>2</x:v>
      </x:c>
      <x:c r="M133" s="397" t="str">
        <x:v>https://www.eeas.europa.eu/eeas/public-diplomacy_en</x:v>
      </x:c>
      <x:c r="N133" s="384" t="n">
        <x:v>0</x:v>
      </x:c>
      <x:c r="O133" s="396" t="n">
        <x:v>1</x:v>
      </x:c>
      <x:c r="P133" s="397" t="str">
        <x:v>https://www.eeas.europa.eu/eeas/missions-and-operations_en</x:v>
      </x:c>
      <x:c r="Q133" s="384" t="n">
        <x:v>1</x:v>
      </x:c>
      <x:c r="R133" s="396" t="n">
        <x:v>2</x:v>
      </x:c>
      <x:c r="S133" s="397" t="str">
        <x:v>https://www.eeas.europa.eu/eeas/eu-election-observation-missions-1_en?page_lang=en</x:v>
      </x:c>
      <x:c r="T133" s="384" t="n">
        <x:v>1</x:v>
      </x:c>
      <x:c r="U133" s="396" t="n">
        <x:v>2</x:v>
      </x:c>
      <x:c r="V133" s="397" t="str">
        <x:v>https://www.eeas.europa.eu/eeas/missions-and-operations_en</x:v>
      </x:c>
      <x:c r="W133" s="385" t="n">
        <x:f>(--(M133&lt;&gt;"")+--(P133&lt;&gt;"")+--(S133&lt;&gt;"")+--(V133&lt;&gt;""))/4</x:f>
        <x:v>1</x:v>
      </x:c>
      <x:c r="X133" s="384" t="n">
        <x:f>IF(COUNT(K133,N133,Q133,T133)=0,"No data",(IF(ISNUMBER(K133),K133*Factor_Model!$B$4,0)+IF(ISNUMBER(N133),N133*Factor_Model!$B$5,0)+IF(ISNUMBER(Q133),Q133*Factor_Model!$B$6,0)+IF(ISNUMBER(T133),T133*Factor_Model!$B$7,0))/(IF(ISNUMBER(K133),Factor_Model!$B$4,0)+IF(ISNUMBER(N133),Factor_Model!$B$5,0)+IF(ISNUMBER(Q133),Factor_Model!$B$6,0)+IF(ISNUMBER(T133),Factor_Model!$B$7,0)))</x:f>
        <x:v>1</x:v>
      </x:c>
      <x:c r="Y133" s="20" t="str">
        <x:f>IF(W133=0,"No source",IF(W133&lt;1,"Partial source","Source-complete"))</x:f>
        <x:v>Source-complete</x:v>
      </x:c>
      <x:c r="Z133" s="20" t="str">
        <x:v>Automated screening pass: row uses a primary source URL by actor/subfactor; verify with country-specific evidence before final analytical use.</x:v>
      </x:c>
      <x:c r="AA133" s="20" t="str">
        <x:v>2026-05-20</x:v>
      </x:c>
      <x:c r="AB133" s="20" t="str">
        <x:v>GPT-5.5 Pro</x:v>
      </x:c>
    </x:row>
    <x:row r="134" ht="24" customHeight="1">
      <x:c r="A134" s="20" t="str">
        <x:v>FJI|Russia</x:v>
      </x:c>
      <x:c r="B134" s="20" t="str">
        <x:v>Fiji</x:v>
      </x:c>
      <x:c r="C134" s="20" t="str">
        <x:v>Republic of Fiji</x:v>
      </x:c>
      <x:c r="D134" s="20" t="str">
        <x:v>FJ</x:v>
      </x:c>
      <x:c r="E134" s="20" t="str">
        <x:v>FJI</x:v>
      </x:c>
      <x:c r="F134" s="20" t="str">
        <x:v>242</x:v>
      </x:c>
      <x:c r="G134" s="20" t="str">
        <x:v>Oceania</x:v>
      </x:c>
      <x:c r="H134" s="20" t="str">
        <x:v>Melanesia</x:v>
      </x:c>
      <x:c r="I134" s="20" t="str">
        <x:v>Russia</x:v>
      </x:c>
      <x:c r="J134" s="20" t="str">
        <x:v>Russian influence</x:v>
      </x:c>
      <x:c r="K134" s="384" t="n">
        <x:v>2</x:v>
      </x:c>
      <x:c r="L134" s="396" t="n">
        <x:v>2</x:v>
      </x:c>
      <x:c r="M134" s="397" t="str">
        <x:v>https://www.eeas.europa.eu/eeas/4th-eeas-annual-report-foreign-information-manipulation-and-interference-threats_en</x:v>
      </x:c>
      <x:c r="N134" s="384" t="n">
        <x:v>0</x:v>
      </x:c>
      <x:c r="O134" s="396" t="n">
        <x:v>1</x:v>
      </x:c>
      <x:c r="P134" s="397" t="str">
        <x:v>https://www.consilium.europa.eu/en/press/press-releases/2023/02/25/wagner-group-council-adds-11-individuals-and-7-entities-to-eu-sanctions-lists/</x:v>
      </x:c>
      <x:c r="Q134" s="384" t="n">
        <x:v>0</x:v>
      </x:c>
      <x:c r="R134" s="396" t="n">
        <x:v>1</x:v>
      </x:c>
      <x:c r="S134" s="397" t="str">
        <x:v>https://www.dni.gov/files/ODNI/documents/assessments/ATA-2026-Unclassified-Report.pdf</x:v>
      </x:c>
      <x:c r="T134" s="384" t="n">
        <x:v>0</x:v>
      </x:c>
      <x:c r="U134" s="396" t="n">
        <x:v>1</x:v>
      </x:c>
      <x:c r="V134" s="397" t="str">
        <x:v>https://www.consilium.europa.eu/en/press/press-releases/2023/02/25/wagner-group-council-adds-11-individuals-and-7-entities-to-eu-sanctions-lists/</x:v>
      </x:c>
      <x:c r="W134" s="385" t="n">
        <x:f>(--(M134&lt;&gt;"")+--(P134&lt;&gt;"")+--(S134&lt;&gt;"")+--(V134&lt;&gt;""))/4</x:f>
        <x:v>1</x:v>
      </x:c>
      <x:c r="X134" s="384" t="n">
        <x:f>IF(COUNT(K134,N134,Q134,T134)=0,"No data",(IF(ISNUMBER(K134),K134*Factor_Model!$B$4,0)+IF(ISNUMBER(N134),N134*Factor_Model!$B$5,0)+IF(ISNUMBER(Q134),Q134*Factor_Model!$B$6,0)+IF(ISNUMBER(T134),T134*Factor_Model!$B$7,0))/(IF(ISNUMBER(K134),Factor_Model!$B$4,0)+IF(ISNUMBER(N134),Factor_Model!$B$5,0)+IF(ISNUMBER(Q134),Factor_Model!$B$6,0)+IF(ISNUMBER(T134),Factor_Model!$B$7,0)))</x:f>
        <x:v>0.5</x:v>
      </x:c>
      <x:c r="Y134" s="20" t="str">
        <x:f>IF(W134=0,"No source",IF(W134&lt;1,"Partial source","Source-complete"))</x:f>
        <x:v>Source-complete</x:v>
      </x:c>
      <x:c r="Z134" s="20" t="str">
        <x:v>Automated screening pass: row uses a primary source URL by actor/subfactor; verify with country-specific evidence before final analytical use.</x:v>
      </x:c>
      <x:c r="AA134" s="20" t="str">
        <x:v>2026-05-20</x:v>
      </x:c>
      <x:c r="AB134" s="20" t="str">
        <x:v>GPT-5.5 Pro</x:v>
      </x:c>
    </x:row>
    <x:row r="135" ht="24" customHeight="1">
      <x:c r="A135" s="20" t="str">
        <x:v>FJI|China</x:v>
      </x:c>
      <x:c r="B135" s="20" t="str">
        <x:v>Fiji</x:v>
      </x:c>
      <x:c r="C135" s="20" t="str">
        <x:v>Republic of Fiji</x:v>
      </x:c>
      <x:c r="D135" s="20" t="str">
        <x:v>FJ</x:v>
      </x:c>
      <x:c r="E135" s="20" t="str">
        <x:v>FJI</x:v>
      </x:c>
      <x:c r="F135" s="20" t="str">
        <x:v>242</x:v>
      </x:c>
      <x:c r="G135" s="20" t="str">
        <x:v>Oceania</x:v>
      </x:c>
      <x:c r="H135" s="20" t="str">
        <x:v>Melanesia</x:v>
      </x:c>
      <x:c r="I135" s="20" t="str">
        <x:v>China</x:v>
      </x:c>
      <x:c r="J135" s="20" t="str">
        <x:v>Chinese influence</x:v>
      </x:c>
      <x:c r="K135" s="384" t="n">
        <x:v>7</x:v>
      </x:c>
      <x:c r="L135" s="396" t="n">
        <x:v>4</x:v>
      </x:c>
      <x:c r="M135" s="397" t="str">
        <x:v>https://www.eeas.europa.eu/eeas/4th-eeas-annual-report-foreign-information-manipulation-and-interference-threats_en</x:v>
      </x:c>
      <x:c r="N135" s="384" t="n">
        <x:v>1</x:v>
      </x:c>
      <x:c r="O135" s="396" t="n">
        <x:v>2</x:v>
      </x:c>
      <x:c r="P135" s="397" t="str">
        <x:v>https://merics.org/en/report/guardians-belt-and-road</x:v>
      </x:c>
      <x:c r="Q135" s="384" t="n">
        <x:v>3</x:v>
      </x:c>
      <x:c r="R135" s="396" t="n">
        <x:v>3</x:v>
      </x:c>
      <x:c r="S135" s="397" t="str">
        <x:v>https://www.eeas.europa.eu/eeas/4th-eeas-annual-report-foreign-information-manipulation-and-interference-threats_en</x:v>
      </x:c>
      <x:c r="T135" s="384" t="n">
        <x:v>2</x:v>
      </x:c>
      <x:c r="U135" s="396" t="n">
        <x:v>2</x:v>
      </x:c>
      <x:c r="V135" s="397" t="str">
        <x:v>https://merics.org/en/report/guardians-belt-and-road</x:v>
      </x:c>
      <x:c r="W135" s="385" t="n">
        <x:f>(--(M135&lt;&gt;"")+--(P135&lt;&gt;"")+--(S135&lt;&gt;"")+--(V135&lt;&gt;""))/4</x:f>
        <x:v>1</x:v>
      </x:c>
      <x:c r="X135" s="384" t="n">
        <x:f>IF(COUNT(K135,N135,Q135,T135)=0,"No data",(IF(ISNUMBER(K135),K135*Factor_Model!$B$4,0)+IF(ISNUMBER(N135),N135*Factor_Model!$B$5,0)+IF(ISNUMBER(Q135),Q135*Factor_Model!$B$6,0)+IF(ISNUMBER(T135),T135*Factor_Model!$B$7,0))/(IF(ISNUMBER(K135),Factor_Model!$B$4,0)+IF(ISNUMBER(N135),Factor_Model!$B$5,0)+IF(ISNUMBER(Q135),Factor_Model!$B$6,0)+IF(ISNUMBER(T135),Factor_Model!$B$7,0)))</x:f>
        <x:v>3.25</x:v>
      </x:c>
      <x:c r="Y135" s="20" t="str">
        <x:f>IF(W135=0,"No source",IF(W135&lt;1,"Partial source","Source-complete"))</x:f>
        <x:v>Source-complete</x:v>
      </x:c>
      <x:c r="Z135" s="20" t="str">
        <x:v>Automated screening pass: row uses a primary source URL by actor/subfactor; verify with country-specific evidence before final analytical use.</x:v>
      </x:c>
      <x:c r="AA135" s="20" t="str">
        <x:v>2026-05-20</x:v>
      </x:c>
      <x:c r="AB135" s="20" t="str">
        <x:v>GPT-5.5 Pro</x:v>
      </x:c>
    </x:row>
    <x:row r="136" ht="24" customHeight="1">
      <x:c r="A136" s="20" t="str">
        <x:v>FJI|United States</x:v>
      </x:c>
      <x:c r="B136" s="20" t="str">
        <x:v>Fiji</x:v>
      </x:c>
      <x:c r="C136" s="20" t="str">
        <x:v>Republic of Fiji</x:v>
      </x:c>
      <x:c r="D136" s="20" t="str">
        <x:v>FJ</x:v>
      </x:c>
      <x:c r="E136" s="20" t="str">
        <x:v>FJI</x:v>
      </x:c>
      <x:c r="F136" s="20" t="str">
        <x:v>242</x:v>
      </x:c>
      <x:c r="G136" s="20" t="str">
        <x:v>Oceania</x:v>
      </x:c>
      <x:c r="H136" s="20" t="str">
        <x:v>Melanesia</x:v>
      </x:c>
      <x:c r="I136" s="20" t="str">
        <x:v>United States</x:v>
      </x:c>
      <x:c r="J136" s="20" t="str">
        <x:v>American influence</x:v>
      </x:c>
      <x:c r="K136" s="384" t="n">
        <x:v>3</x:v>
      </x:c>
      <x:c r="L136" s="396" t="n">
        <x:v>3</x:v>
      </x:c>
      <x:c r="M136" s="397" t="str">
        <x:v>https://www.usagm.gov/our-work/strategy-and-results/strategic-priorities/research-reports/</x:v>
      </x:c>
      <x:c r="N136" s="384" t="n">
        <x:v>1</x:v>
      </x:c>
      <x:c r="O136" s="396" t="n">
        <x:v>2</x:v>
      </x:c>
      <x:c r="P136" s="397" t="str">
        <x:v>https://internationalpolicy.org/programs/sam/</x:v>
      </x:c>
      <x:c r="Q136" s="384" t="n">
        <x:v>1</x:v>
      </x:c>
      <x:c r="R136" s="396" t="n">
        <x:v>2</x:v>
      </x:c>
      <x:c r="S136" s="397" t="str">
        <x:v>https://www.ned.org/ned-grantmaking/</x:v>
      </x:c>
      <x:c r="T136" s="384" t="n">
        <x:v>2</x:v>
      </x:c>
      <x:c r="U136" s="396" t="n">
        <x:v>2</x:v>
      </x:c>
      <x:c r="V136" s="397" t="str">
        <x:v>https://internationalpolicy.org/programs/sam/</x:v>
      </x:c>
      <x:c r="W136" s="385" t="n">
        <x:f>(--(M136&lt;&gt;"")+--(P136&lt;&gt;"")+--(S136&lt;&gt;"")+--(V136&lt;&gt;""))/4</x:f>
        <x:v>1</x:v>
      </x:c>
      <x:c r="X136" s="384" t="n">
        <x:f>IF(COUNT(K136,N136,Q136,T136)=0,"No data",(IF(ISNUMBER(K136),K136*Factor_Model!$B$4,0)+IF(ISNUMBER(N136),N136*Factor_Model!$B$5,0)+IF(ISNUMBER(Q136),Q136*Factor_Model!$B$6,0)+IF(ISNUMBER(T136),T136*Factor_Model!$B$7,0))/(IF(ISNUMBER(K136),Factor_Model!$B$4,0)+IF(ISNUMBER(N136),Factor_Model!$B$5,0)+IF(ISNUMBER(Q136),Factor_Model!$B$6,0)+IF(ISNUMBER(T136),Factor_Model!$B$7,0)))</x:f>
        <x:v>1.75</x:v>
      </x:c>
      <x:c r="Y136" s="20" t="str">
        <x:f>IF(W136=0,"No source",IF(W136&lt;1,"Partial source","Source-complete"))</x:f>
        <x:v>Source-complete</x:v>
      </x:c>
      <x:c r="Z136" s="20" t="str">
        <x:v>Automated screening pass: row uses a primary source URL by actor/subfactor; verify with country-specific evidence before final analytical use.</x:v>
      </x:c>
      <x:c r="AA136" s="20" t="str">
        <x:v>2026-05-20</x:v>
      </x:c>
      <x:c r="AB136" s="20" t="str">
        <x:v>GPT-5.5 Pro</x:v>
      </x:c>
    </x:row>
    <x:row r="137" ht="24" customHeight="1">
      <x:c r="A137" s="20" t="str">
        <x:v>FJI|European Union</x:v>
      </x:c>
      <x:c r="B137" s="20" t="str">
        <x:v>Fiji</x:v>
      </x:c>
      <x:c r="C137" s="20" t="str">
        <x:v>Republic of Fiji</x:v>
      </x:c>
      <x:c r="D137" s="20" t="str">
        <x:v>FJ</x:v>
      </x:c>
      <x:c r="E137" s="20" t="str">
        <x:v>FJI</x:v>
      </x:c>
      <x:c r="F137" s="20" t="str">
        <x:v>242</x:v>
      </x:c>
      <x:c r="G137" s="20" t="str">
        <x:v>Oceania</x:v>
      </x:c>
      <x:c r="H137" s="20" t="str">
        <x:v>Melanesia</x:v>
      </x:c>
      <x:c r="I137" s="20" t="str">
        <x:v>European Union</x:v>
      </x:c>
      <x:c r="J137" s="20" t="str">
        <x:v>EU influence</x:v>
      </x:c>
      <x:c r="K137" s="384" t="n">
        <x:v>2</x:v>
      </x:c>
      <x:c r="L137" s="396" t="n">
        <x:v>2</x:v>
      </x:c>
      <x:c r="M137" s="397" t="str">
        <x:v>https://www.eeas.europa.eu/eeas/public-diplomacy_en</x:v>
      </x:c>
      <x:c r="N137" s="384" t="n">
        <x:v>0</x:v>
      </x:c>
      <x:c r="O137" s="396" t="n">
        <x:v>1</x:v>
      </x:c>
      <x:c r="P137" s="397" t="str">
        <x:v>https://www.eeas.europa.eu/eeas/missions-and-operations_en</x:v>
      </x:c>
      <x:c r="Q137" s="384" t="n">
        <x:v>1</x:v>
      </x:c>
      <x:c r="R137" s="396" t="n">
        <x:v>2</x:v>
      </x:c>
      <x:c r="S137" s="397" t="str">
        <x:v>https://www.eeas.europa.eu/eeas/eu-election-observation-missions-1_en?page_lang=en</x:v>
      </x:c>
      <x:c r="T137" s="384" t="n">
        <x:v>1</x:v>
      </x:c>
      <x:c r="U137" s="396" t="n">
        <x:v>2</x:v>
      </x:c>
      <x:c r="V137" s="397" t="str">
        <x:v>https://www.eeas.europa.eu/eeas/missions-and-operations_en</x:v>
      </x:c>
      <x:c r="W137" s="385" t="n">
        <x:f>(--(M137&lt;&gt;"")+--(P137&lt;&gt;"")+--(S137&lt;&gt;"")+--(V137&lt;&gt;""))/4</x:f>
        <x:v>1</x:v>
      </x:c>
      <x:c r="X137" s="384" t="n">
        <x:f>IF(COUNT(K137,N137,Q137,T137)=0,"No data",(IF(ISNUMBER(K137),K137*Factor_Model!$B$4,0)+IF(ISNUMBER(N137),N137*Factor_Model!$B$5,0)+IF(ISNUMBER(Q137),Q137*Factor_Model!$B$6,0)+IF(ISNUMBER(T137),T137*Factor_Model!$B$7,0))/(IF(ISNUMBER(K137),Factor_Model!$B$4,0)+IF(ISNUMBER(N137),Factor_Model!$B$5,0)+IF(ISNUMBER(Q137),Factor_Model!$B$6,0)+IF(ISNUMBER(T137),Factor_Model!$B$7,0)))</x:f>
        <x:v>1</x:v>
      </x:c>
      <x:c r="Y137" s="20" t="str">
        <x:f>IF(W137=0,"No source",IF(W137&lt;1,"Partial source","Source-complete"))</x:f>
        <x:v>Source-complete</x:v>
      </x:c>
      <x:c r="Z137" s="20" t="str">
        <x:v>Automated screening pass: row uses a primary source URL by actor/subfactor; verify with country-specific evidence before final analytical use.</x:v>
      </x:c>
      <x:c r="AA137" s="20" t="str">
        <x:v>2026-05-20</x:v>
      </x:c>
      <x:c r="AB137" s="20" t="str">
        <x:v>GPT-5.5 Pro</x:v>
      </x:c>
    </x:row>
    <x:row r="138" ht="24" customHeight="1">
      <x:c r="A138" s="20" t="str">
        <x:v>FIN|Russia</x:v>
      </x:c>
      <x:c r="B138" s="20" t="str">
        <x:v>Finland</x:v>
      </x:c>
      <x:c r="C138" s="20" t="str">
        <x:v>Republic of Finland</x:v>
      </x:c>
      <x:c r="D138" s="20" t="str">
        <x:v>FI</x:v>
      </x:c>
      <x:c r="E138" s="20" t="str">
        <x:v>FIN</x:v>
      </x:c>
      <x:c r="F138" s="20" t="str">
        <x:v>246</x:v>
      </x:c>
      <x:c r="G138" s="20" t="str">
        <x:v>Europe</x:v>
      </x:c>
      <x:c r="H138" s="20" t="str">
        <x:v>Northern Europe</x:v>
      </x:c>
      <x:c r="I138" s="20" t="str">
        <x:v>Russia</x:v>
      </x:c>
      <x:c r="J138" s="20" t="str">
        <x:v>Russian influence</x:v>
      </x:c>
      <x:c r="K138" s="384" t="n">
        <x:v>5</x:v>
      </x:c>
      <x:c r="L138" s="396" t="n">
        <x:v>3</x:v>
      </x:c>
      <x:c r="M138" s="397" t="str">
        <x:v>https://www.eeas.europa.eu/eeas/4th-eeas-annual-report-foreign-information-manipulation-and-interference-threats_en</x:v>
      </x:c>
      <x:c r="N138" s="384" t="n">
        <x:v>0</x:v>
      </x:c>
      <x:c r="O138" s="396" t="n">
        <x:v>1</x:v>
      </x:c>
      <x:c r="P138" s="397" t="str">
        <x:v>https://www.consilium.europa.eu/en/press/press-releases/2023/02/25/wagner-group-council-adds-11-individuals-and-7-entities-to-eu-sanctions-lists/</x:v>
      </x:c>
      <x:c r="Q138" s="384" t="n">
        <x:v>5</x:v>
      </x:c>
      <x:c r="R138" s="396" t="n">
        <x:v>3</x:v>
      </x:c>
      <x:c r="S138" s="397" t="str">
        <x:v>https://www.dni.gov/files/ODNI/documents/assessments/ATA-2026-Unclassified-Report.pdf</x:v>
      </x:c>
      <x:c r="T138" s="384" t="n">
        <x:v>0</x:v>
      </x:c>
      <x:c r="U138" s="396" t="n">
        <x:v>1</x:v>
      </x:c>
      <x:c r="V138" s="397" t="str">
        <x:v>https://www.consilium.europa.eu/en/press/press-releases/2023/02/25/wagner-group-council-adds-11-individuals-and-7-entities-to-eu-sanctions-lists/</x:v>
      </x:c>
      <x:c r="W138" s="385" t="n">
        <x:f>(--(M138&lt;&gt;"")+--(P138&lt;&gt;"")+--(S138&lt;&gt;"")+--(V138&lt;&gt;""))/4</x:f>
        <x:v>1</x:v>
      </x:c>
      <x:c r="X138" s="384" t="n">
        <x:f>IF(COUNT(K138,N138,Q138,T138)=0,"No data",(IF(ISNUMBER(K138),K138*Factor_Model!$B$4,0)+IF(ISNUMBER(N138),N138*Factor_Model!$B$5,0)+IF(ISNUMBER(Q138),Q138*Factor_Model!$B$6,0)+IF(ISNUMBER(T138),T138*Factor_Model!$B$7,0))/(IF(ISNUMBER(K138),Factor_Model!$B$4,0)+IF(ISNUMBER(N138),Factor_Model!$B$5,0)+IF(ISNUMBER(Q138),Factor_Model!$B$6,0)+IF(ISNUMBER(T138),Factor_Model!$B$7,0)))</x:f>
        <x:v>2.5</x:v>
      </x:c>
      <x:c r="Y138" s="20" t="str">
        <x:f>IF(W138=0,"No source",IF(W138&lt;1,"Partial source","Source-complete"))</x:f>
        <x:v>Source-complete</x:v>
      </x:c>
      <x:c r="Z138" s="20" t="str">
        <x:v>Automated screening pass: row uses a primary source URL by actor/subfactor; verify with country-specific evidence before final analytical use.</x:v>
      </x:c>
      <x:c r="AA138" s="20" t="str">
        <x:v>2026-05-20</x:v>
      </x:c>
      <x:c r="AB138" s="20" t="str">
        <x:v>GPT-5.5 Pro</x:v>
      </x:c>
    </x:row>
    <x:row r="139" ht="24" customHeight="1">
      <x:c r="A139" s="20" t="str">
        <x:v>FIN|China</x:v>
      </x:c>
      <x:c r="B139" s="20" t="str">
        <x:v>Finland</x:v>
      </x:c>
      <x:c r="C139" s="20" t="str">
        <x:v>Republic of Finland</x:v>
      </x:c>
      <x:c r="D139" s="20" t="str">
        <x:v>FI</x:v>
      </x:c>
      <x:c r="E139" s="20" t="str">
        <x:v>FIN</x:v>
      </x:c>
      <x:c r="F139" s="20" t="str">
        <x:v>246</x:v>
      </x:c>
      <x:c r="G139" s="20" t="str">
        <x:v>Europe</x:v>
      </x:c>
      <x:c r="H139" s="20" t="str">
        <x:v>Northern Europe</x:v>
      </x:c>
      <x:c r="I139" s="20" t="str">
        <x:v>China</x:v>
      </x:c>
      <x:c r="J139" s="20" t="str">
        <x:v>Chinese influence</x:v>
      </x:c>
      <x:c r="K139" s="384" t="n">
        <x:v>4</x:v>
      </x:c>
      <x:c r="L139" s="396" t="n">
        <x:v>3</x:v>
      </x:c>
      <x:c r="M139" s="397" t="str">
        <x:v>https://www.eeas.europa.eu/eeas/4th-eeas-annual-report-foreign-information-manipulation-and-interference-threats_en</x:v>
      </x:c>
      <x:c r="N139" s="384" t="n">
        <x:v>0</x:v>
      </x:c>
      <x:c r="O139" s="396" t="n">
        <x:v>1</x:v>
      </x:c>
      <x:c r="P139" s="397" t="str">
        <x:v>https://merics.org/en/report/guardians-belt-and-road</x:v>
      </x:c>
      <x:c r="Q139" s="384" t="n">
        <x:v>2</x:v>
      </x:c>
      <x:c r="R139" s="396" t="n">
        <x:v>2</x:v>
      </x:c>
      <x:c r="S139" s="397" t="str">
        <x:v>https://www.eeas.europa.eu/eeas/4th-eeas-annual-report-foreign-information-manipulation-and-interference-threats_en</x:v>
      </x:c>
      <x:c r="T139" s="384" t="n">
        <x:v>0</x:v>
      </x:c>
      <x:c r="U139" s="396" t="n">
        <x:v>1</x:v>
      </x:c>
      <x:c r="V139" s="397" t="str">
        <x:v>https://merics.org/en/report/guardians-belt-and-road</x:v>
      </x:c>
      <x:c r="W139" s="385" t="n">
        <x:f>(--(M139&lt;&gt;"")+--(P139&lt;&gt;"")+--(S139&lt;&gt;"")+--(V139&lt;&gt;""))/4</x:f>
        <x:v>1</x:v>
      </x:c>
      <x:c r="X139" s="384" t="n">
        <x:f>IF(COUNT(K139,N139,Q139,T139)=0,"No data",(IF(ISNUMBER(K139),K139*Factor_Model!$B$4,0)+IF(ISNUMBER(N139),N139*Factor_Model!$B$5,0)+IF(ISNUMBER(Q139),Q139*Factor_Model!$B$6,0)+IF(ISNUMBER(T139),T139*Factor_Model!$B$7,0))/(IF(ISNUMBER(K139),Factor_Model!$B$4,0)+IF(ISNUMBER(N139),Factor_Model!$B$5,0)+IF(ISNUMBER(Q139),Factor_Model!$B$6,0)+IF(ISNUMBER(T139),Factor_Model!$B$7,0)))</x:f>
        <x:v>1.5</x:v>
      </x:c>
      <x:c r="Y139" s="20" t="str">
        <x:f>IF(W139=0,"No source",IF(W139&lt;1,"Partial source","Source-complete"))</x:f>
        <x:v>Source-complete</x:v>
      </x:c>
      <x:c r="Z139" s="20" t="str">
        <x:v>Automated screening pass: row uses a primary source URL by actor/subfactor; verify with country-specific evidence before final analytical use.</x:v>
      </x:c>
      <x:c r="AA139" s="20" t="str">
        <x:v>2026-05-20</x:v>
      </x:c>
      <x:c r="AB139" s="20" t="str">
        <x:v>GPT-5.5 Pro</x:v>
      </x:c>
    </x:row>
    <x:row r="140" ht="24" customHeight="1">
      <x:c r="A140" s="20" t="str">
        <x:v>FIN|United States</x:v>
      </x:c>
      <x:c r="B140" s="20" t="str">
        <x:v>Finland</x:v>
      </x:c>
      <x:c r="C140" s="20" t="str">
        <x:v>Republic of Finland</x:v>
      </x:c>
      <x:c r="D140" s="20" t="str">
        <x:v>FI</x:v>
      </x:c>
      <x:c r="E140" s="20" t="str">
        <x:v>FIN</x:v>
      </x:c>
      <x:c r="F140" s="20" t="str">
        <x:v>246</x:v>
      </x:c>
      <x:c r="G140" s="20" t="str">
        <x:v>Europe</x:v>
      </x:c>
      <x:c r="H140" s="20" t="str">
        <x:v>Northern Europe</x:v>
      </x:c>
      <x:c r="I140" s="20" t="str">
        <x:v>United States</x:v>
      </x:c>
      <x:c r="J140" s="20" t="str">
        <x:v>American influence</x:v>
      </x:c>
      <x:c r="K140" s="384" t="n">
        <x:v>4</x:v>
      </x:c>
      <x:c r="L140" s="396" t="n">
        <x:v>3</x:v>
      </x:c>
      <x:c r="M140" s="397" t="str">
        <x:v>https://www.usagm.gov/our-work/strategy-and-results/strategic-priorities/research-reports/</x:v>
      </x:c>
      <x:c r="N140" s="384" t="n">
        <x:v>3</x:v>
      </x:c>
      <x:c r="O140" s="396" t="n">
        <x:v>3</x:v>
      </x:c>
      <x:c r="P140" s="397" t="str">
        <x:v>https://internationalpolicy.org/programs/sam/</x:v>
      </x:c>
      <x:c r="Q140" s="384" t="n">
        <x:v>1</x:v>
      </x:c>
      <x:c r="R140" s="396" t="n">
        <x:v>2</x:v>
      </x:c>
      <x:c r="S140" s="397" t="str">
        <x:v>https://www.ned.org/ned-grantmaking/</x:v>
      </x:c>
      <x:c r="T140" s="384" t="n">
        <x:v>6</x:v>
      </x:c>
      <x:c r="U140" s="396" t="n">
        <x:v>4</x:v>
      </x:c>
      <x:c r="V140" s="397" t="str">
        <x:v>https://internationalpolicy.org/programs/sam/</x:v>
      </x:c>
      <x:c r="W140" s="385" t="n">
        <x:f>(--(M140&lt;&gt;"")+--(P140&lt;&gt;"")+--(S140&lt;&gt;"")+--(V140&lt;&gt;""))/4</x:f>
        <x:v>1</x:v>
      </x:c>
      <x:c r="X140" s="384" t="n">
        <x:f>IF(COUNT(K140,N140,Q140,T140)=0,"No data",(IF(ISNUMBER(K140),K140*Factor_Model!$B$4,0)+IF(ISNUMBER(N140),N140*Factor_Model!$B$5,0)+IF(ISNUMBER(Q140),Q140*Factor_Model!$B$6,0)+IF(ISNUMBER(T140),T140*Factor_Model!$B$7,0))/(IF(ISNUMBER(K140),Factor_Model!$B$4,0)+IF(ISNUMBER(N140),Factor_Model!$B$5,0)+IF(ISNUMBER(Q140),Factor_Model!$B$6,0)+IF(ISNUMBER(T140),Factor_Model!$B$7,0)))</x:f>
        <x:v>3.5</x:v>
      </x:c>
      <x:c r="Y140" s="20" t="str">
        <x:f>IF(W140=0,"No source",IF(W140&lt;1,"Partial source","Source-complete"))</x:f>
        <x:v>Source-complete</x:v>
      </x:c>
      <x:c r="Z140" s="20" t="str">
        <x:v>Automated screening pass: row uses a primary source URL by actor/subfactor; verify with country-specific evidence before final analytical use.</x:v>
      </x:c>
      <x:c r="AA140" s="20" t="str">
        <x:v>2026-05-20</x:v>
      </x:c>
      <x:c r="AB140" s="20" t="str">
        <x:v>GPT-5.5 Pro</x:v>
      </x:c>
    </x:row>
    <x:row r="141" ht="24" customHeight="1">
      <x:c r="A141" s="20" t="str">
        <x:v>FIN|European Union</x:v>
      </x:c>
      <x:c r="B141" s="20" t="str">
        <x:v>Finland</x:v>
      </x:c>
      <x:c r="C141" s="20" t="str">
        <x:v>Republic of Finland</x:v>
      </x:c>
      <x:c r="D141" s="20" t="str">
        <x:v>FI</x:v>
      </x:c>
      <x:c r="E141" s="20" t="str">
        <x:v>FIN</x:v>
      </x:c>
      <x:c r="F141" s="20" t="str">
        <x:v>246</x:v>
      </x:c>
      <x:c r="G141" s="20" t="str">
        <x:v>Europe</x:v>
      </x:c>
      <x:c r="H141" s="20" t="str">
        <x:v>Northern Europe</x:v>
      </x:c>
      <x:c r="I141" s="20" t="str">
        <x:v>European Union</x:v>
      </x:c>
      <x:c r="J141" s="20" t="str">
        <x:v>EU influence</x:v>
      </x:c>
      <x:c r="K141" s="384" t="n">
        <x:v>9</x:v>
      </x:c>
      <x:c r="L141" s="396" t="n">
        <x:v>5</x:v>
      </x:c>
      <x:c r="M141" s="397" t="str">
        <x:v>https://www.eeas.europa.eu/eeas/public-diplomacy_en</x:v>
      </x:c>
      <x:c r="N141" s="384" t="n">
        <x:v>0</x:v>
      </x:c>
      <x:c r="O141" s="396" t="n">
        <x:v>1</x:v>
      </x:c>
      <x:c r="P141" s="397" t="str">
        <x:v>https://www.eeas.europa.eu/eeas/missions-and-operations_en</x:v>
      </x:c>
      <x:c r="Q141" s="384" t="n">
        <x:v>2</x:v>
      </x:c>
      <x:c r="R141" s="396" t="n">
        <x:v>2</x:v>
      </x:c>
      <x:c r="S141" s="397" t="str">
        <x:v>https://www.eeas.europa.eu/eeas/eu-election-observation-missions-1_en?page_lang=en</x:v>
      </x:c>
      <x:c r="T141" s="384" t="n">
        <x:v>5</x:v>
      </x:c>
      <x:c r="U141" s="396" t="n">
        <x:v>3</x:v>
      </x:c>
      <x:c r="V141" s="397" t="str">
        <x:v>https://www.eeas.europa.eu/eeas/missions-and-operations_en</x:v>
      </x:c>
      <x:c r="W141" s="385" t="n">
        <x:f>(--(M141&lt;&gt;"")+--(P141&lt;&gt;"")+--(S141&lt;&gt;"")+--(V141&lt;&gt;""))/4</x:f>
        <x:v>1</x:v>
      </x:c>
      <x:c r="X141" s="384" t="n">
        <x:f>IF(COUNT(K141,N141,Q141,T141)=0,"No data",(IF(ISNUMBER(K141),K141*Factor_Model!$B$4,0)+IF(ISNUMBER(N141),N141*Factor_Model!$B$5,0)+IF(ISNUMBER(Q141),Q141*Factor_Model!$B$6,0)+IF(ISNUMBER(T141),T141*Factor_Model!$B$7,0))/(IF(ISNUMBER(K141),Factor_Model!$B$4,0)+IF(ISNUMBER(N141),Factor_Model!$B$5,0)+IF(ISNUMBER(Q141),Factor_Model!$B$6,0)+IF(ISNUMBER(T141),Factor_Model!$B$7,0)))</x:f>
        <x:v>4</x:v>
      </x:c>
      <x:c r="Y141" s="20" t="str">
        <x:f>IF(W141=0,"No source",IF(W141&lt;1,"Partial source","Source-complete"))</x:f>
        <x:v>Source-complete</x:v>
      </x:c>
      <x:c r="Z141" s="20" t="str">
        <x:v>Automated screening pass: row uses a primary source URL by actor/subfactor; verify with country-specific evidence before final analytical use.</x:v>
      </x:c>
      <x:c r="AA141" s="20" t="str">
        <x:v>2026-05-20</x:v>
      </x:c>
      <x:c r="AB141" s="20" t="str">
        <x:v>GPT-5.5 Pro</x:v>
      </x:c>
    </x:row>
    <x:row r="142" ht="24" customHeight="1">
      <x:c r="A142" s="20" t="str">
        <x:v>FRA|Russia</x:v>
      </x:c>
      <x:c r="B142" s="20" t="str">
        <x:v>France</x:v>
      </x:c>
      <x:c r="C142" s="20" t="str">
        <x:v>French Republic</x:v>
      </x:c>
      <x:c r="D142" s="20" t="str">
        <x:v>FR</x:v>
      </x:c>
      <x:c r="E142" s="20" t="str">
        <x:v>FRA</x:v>
      </x:c>
      <x:c r="F142" s="20" t="str">
        <x:v>250</x:v>
      </x:c>
      <x:c r="G142" s="20" t="str">
        <x:v>Europe</x:v>
      </x:c>
      <x:c r="H142" s="20" t="str">
        <x:v>Western Europe</x:v>
      </x:c>
      <x:c r="I142" s="20" t="str">
        <x:v>Russia</x:v>
      </x:c>
      <x:c r="J142" s="20" t="str">
        <x:v>Russian influence</x:v>
      </x:c>
      <x:c r="K142" s="384" t="n">
        <x:v>5</x:v>
      </x:c>
      <x:c r="L142" s="396" t="n">
        <x:v>3</x:v>
      </x:c>
      <x:c r="M142" s="397" t="str">
        <x:v>https://www.eeas.europa.eu/eeas/4th-eeas-annual-report-foreign-information-manipulation-and-interference-threats_en</x:v>
      </x:c>
      <x:c r="N142" s="384" t="n">
        <x:v>0</x:v>
      </x:c>
      <x:c r="O142" s="396" t="n">
        <x:v>1</x:v>
      </x:c>
      <x:c r="P142" s="397" t="str">
        <x:v>https://www.consilium.europa.eu/en/press/press-releases/2023/02/25/wagner-group-council-adds-11-individuals-and-7-entities-to-eu-sanctions-lists/</x:v>
      </x:c>
      <x:c r="Q142" s="384" t="n">
        <x:v>7</x:v>
      </x:c>
      <x:c r="R142" s="396" t="n">
        <x:v>4</x:v>
      </x:c>
      <x:c r="S142" s="397" t="str">
        <x:v>https://www.dni.gov/files/ODNI/documents/assessments/ATA-2026-Unclassified-Report.pdf</x:v>
      </x:c>
      <x:c r="T142" s="384" t="n">
        <x:v>0</x:v>
      </x:c>
      <x:c r="U142" s="396" t="n">
        <x:v>1</x:v>
      </x:c>
      <x:c r="V142" s="397" t="str">
        <x:v>https://www.consilium.europa.eu/en/press/press-releases/2023/02/25/wagner-group-council-adds-11-individuals-and-7-entities-to-eu-sanctions-lists/</x:v>
      </x:c>
      <x:c r="W142" s="385" t="n">
        <x:f>(--(M142&lt;&gt;"")+--(P142&lt;&gt;"")+--(S142&lt;&gt;"")+--(V142&lt;&gt;""))/4</x:f>
        <x:v>1</x:v>
      </x:c>
      <x:c r="X142" s="384" t="n">
        <x:f>IF(COUNT(K142,N142,Q142,T142)=0,"No data",(IF(ISNUMBER(K142),K142*Factor_Model!$B$4,0)+IF(ISNUMBER(N142),N142*Factor_Model!$B$5,0)+IF(ISNUMBER(Q142),Q142*Factor_Model!$B$6,0)+IF(ISNUMBER(T142),T142*Factor_Model!$B$7,0))/(IF(ISNUMBER(K142),Factor_Model!$B$4,0)+IF(ISNUMBER(N142),Factor_Model!$B$5,0)+IF(ISNUMBER(Q142),Factor_Model!$B$6,0)+IF(ISNUMBER(T142),Factor_Model!$B$7,0)))</x:f>
        <x:v>3</x:v>
      </x:c>
      <x:c r="Y142" s="20" t="str">
        <x:f>IF(W142=0,"No source",IF(W142&lt;1,"Partial source","Source-complete"))</x:f>
        <x:v>Source-complete</x:v>
      </x:c>
      <x:c r="Z142" s="20" t="str">
        <x:v>Automated screening pass: row uses a primary source URL by actor/subfactor; verify with country-specific evidence before final analytical use.</x:v>
      </x:c>
      <x:c r="AA142" s="20" t="str">
        <x:v>2026-05-20</x:v>
      </x:c>
      <x:c r="AB142" s="20" t="str">
        <x:v>GPT-5.5 Pro</x:v>
      </x:c>
    </x:row>
    <x:row r="143" ht="24" customHeight="1">
      <x:c r="A143" s="20" t="str">
        <x:v>FRA|China</x:v>
      </x:c>
      <x:c r="B143" s="20" t="str">
        <x:v>France</x:v>
      </x:c>
      <x:c r="C143" s="20" t="str">
        <x:v>French Republic</x:v>
      </x:c>
      <x:c r="D143" s="20" t="str">
        <x:v>FR</x:v>
      </x:c>
      <x:c r="E143" s="20" t="str">
        <x:v>FRA</x:v>
      </x:c>
      <x:c r="F143" s="20" t="str">
        <x:v>250</x:v>
      </x:c>
      <x:c r="G143" s="20" t="str">
        <x:v>Europe</x:v>
      </x:c>
      <x:c r="H143" s="20" t="str">
        <x:v>Western Europe</x:v>
      </x:c>
      <x:c r="I143" s="20" t="str">
        <x:v>China</x:v>
      </x:c>
      <x:c r="J143" s="20" t="str">
        <x:v>Chinese influence</x:v>
      </x:c>
      <x:c r="K143" s="384" t="n">
        <x:v>5</x:v>
      </x:c>
      <x:c r="L143" s="396" t="n">
        <x:v>3</x:v>
      </x:c>
      <x:c r="M143" s="397" t="str">
        <x:v>https://www.eeas.europa.eu/eeas/4th-eeas-annual-report-foreign-information-manipulation-and-interference-threats_en</x:v>
      </x:c>
      <x:c r="N143" s="384" t="n">
        <x:v>0</x:v>
      </x:c>
      <x:c r="O143" s="396" t="n">
        <x:v>1</x:v>
      </x:c>
      <x:c r="P143" s="397" t="str">
        <x:v>https://merics.org/en/report/guardians-belt-and-road</x:v>
      </x:c>
      <x:c r="Q143" s="384" t="n">
        <x:v>3</x:v>
      </x:c>
      <x:c r="R143" s="396" t="n">
        <x:v>3</x:v>
      </x:c>
      <x:c r="S143" s="397" t="str">
        <x:v>https://www.eeas.europa.eu/eeas/4th-eeas-annual-report-foreign-information-manipulation-and-interference-threats_en</x:v>
      </x:c>
      <x:c r="T143" s="384" t="n">
        <x:v>0</x:v>
      </x:c>
      <x:c r="U143" s="396" t="n">
        <x:v>1</x:v>
      </x:c>
      <x:c r="V143" s="397" t="str">
        <x:v>https://merics.org/en/report/guardians-belt-and-road</x:v>
      </x:c>
      <x:c r="W143" s="385" t="n">
        <x:f>(--(M143&lt;&gt;"")+--(P143&lt;&gt;"")+--(S143&lt;&gt;"")+--(V143&lt;&gt;""))/4</x:f>
        <x:v>1</x:v>
      </x:c>
      <x:c r="X143" s="384" t="n">
        <x:f>IF(COUNT(K143,N143,Q143,T143)=0,"No data",(IF(ISNUMBER(K143),K143*Factor_Model!$B$4,0)+IF(ISNUMBER(N143),N143*Factor_Model!$B$5,0)+IF(ISNUMBER(Q143),Q143*Factor_Model!$B$6,0)+IF(ISNUMBER(T143),T143*Factor_Model!$B$7,0))/(IF(ISNUMBER(K143),Factor_Model!$B$4,0)+IF(ISNUMBER(N143),Factor_Model!$B$5,0)+IF(ISNUMBER(Q143),Factor_Model!$B$6,0)+IF(ISNUMBER(T143),Factor_Model!$B$7,0)))</x:f>
        <x:v>2</x:v>
      </x:c>
      <x:c r="Y143" s="20" t="str">
        <x:f>IF(W143=0,"No source",IF(W143&lt;1,"Partial source","Source-complete"))</x:f>
        <x:v>Source-complete</x:v>
      </x:c>
      <x:c r="Z143" s="20" t="str">
        <x:v>Automated screening pass: row uses a primary source URL by actor/subfactor; verify with country-specific evidence before final analytical use.</x:v>
      </x:c>
      <x:c r="AA143" s="20" t="str">
        <x:v>2026-05-20</x:v>
      </x:c>
      <x:c r="AB143" s="20" t="str">
        <x:v>GPT-5.5 Pro</x:v>
      </x:c>
    </x:row>
    <x:row r="144" ht="24" customHeight="1">
      <x:c r="A144" s="20" t="str">
        <x:v>FRA|United States</x:v>
      </x:c>
      <x:c r="B144" s="20" t="str">
        <x:v>France</x:v>
      </x:c>
      <x:c r="C144" s="20" t="str">
        <x:v>French Republic</x:v>
      </x:c>
      <x:c r="D144" s="20" t="str">
        <x:v>FR</x:v>
      </x:c>
      <x:c r="E144" s="20" t="str">
        <x:v>FRA</x:v>
      </x:c>
      <x:c r="F144" s="20" t="str">
        <x:v>250</x:v>
      </x:c>
      <x:c r="G144" s="20" t="str">
        <x:v>Europe</x:v>
      </x:c>
      <x:c r="H144" s="20" t="str">
        <x:v>Western Europe</x:v>
      </x:c>
      <x:c r="I144" s="20" t="str">
        <x:v>United States</x:v>
      </x:c>
      <x:c r="J144" s="20" t="str">
        <x:v>American influence</x:v>
      </x:c>
      <x:c r="K144" s="384" t="n">
        <x:v>4</x:v>
      </x:c>
      <x:c r="L144" s="396" t="n">
        <x:v>3</x:v>
      </x:c>
      <x:c r="M144" s="397" t="str">
        <x:v>https://www.usagm.gov/our-work/strategy-and-results/strategic-priorities/research-reports/</x:v>
      </x:c>
      <x:c r="N144" s="384" t="n">
        <x:v>3</x:v>
      </x:c>
      <x:c r="O144" s="396" t="n">
        <x:v>3</x:v>
      </x:c>
      <x:c r="P144" s="397" t="str">
        <x:v>https://internationalpolicy.org/programs/sam/</x:v>
      </x:c>
      <x:c r="Q144" s="384" t="n">
        <x:v>1</x:v>
      </x:c>
      <x:c r="R144" s="396" t="n">
        <x:v>2</x:v>
      </x:c>
      <x:c r="S144" s="397" t="str">
        <x:v>https://www.ned.org/ned-grantmaking/</x:v>
      </x:c>
      <x:c r="T144" s="384" t="n">
        <x:v>6</x:v>
      </x:c>
      <x:c r="U144" s="396" t="n">
        <x:v>4</x:v>
      </x:c>
      <x:c r="V144" s="397" t="str">
        <x:v>https://internationalpolicy.org/programs/sam/</x:v>
      </x:c>
      <x:c r="W144" s="385" t="n">
        <x:f>(--(M144&lt;&gt;"")+--(P144&lt;&gt;"")+--(S144&lt;&gt;"")+--(V144&lt;&gt;""))/4</x:f>
        <x:v>1</x:v>
      </x:c>
      <x:c r="X144" s="384" t="n">
        <x:f>IF(COUNT(K144,N144,Q144,T144)=0,"No data",(IF(ISNUMBER(K144),K144*Factor_Model!$B$4,0)+IF(ISNUMBER(N144),N144*Factor_Model!$B$5,0)+IF(ISNUMBER(Q144),Q144*Factor_Model!$B$6,0)+IF(ISNUMBER(T144),T144*Factor_Model!$B$7,0))/(IF(ISNUMBER(K144),Factor_Model!$B$4,0)+IF(ISNUMBER(N144),Factor_Model!$B$5,0)+IF(ISNUMBER(Q144),Factor_Model!$B$6,0)+IF(ISNUMBER(T144),Factor_Model!$B$7,0)))</x:f>
        <x:v>3.5</x:v>
      </x:c>
      <x:c r="Y144" s="20" t="str">
        <x:f>IF(W144=0,"No source",IF(W144&lt;1,"Partial source","Source-complete"))</x:f>
        <x:v>Source-complete</x:v>
      </x:c>
      <x:c r="Z144" s="20" t="str">
        <x:v>Automated screening pass: row uses a primary source URL by actor/subfactor; verify with country-specific evidence before final analytical use.</x:v>
      </x:c>
      <x:c r="AA144" s="20" t="str">
        <x:v>2026-05-20</x:v>
      </x:c>
      <x:c r="AB144" s="20" t="str">
        <x:v>GPT-5.5 Pro</x:v>
      </x:c>
    </x:row>
    <x:row r="145" ht="24" customHeight="1">
      <x:c r="A145" s="20" t="str">
        <x:v>FRA|European Union</x:v>
      </x:c>
      <x:c r="B145" s="20" t="str">
        <x:v>France</x:v>
      </x:c>
      <x:c r="C145" s="20" t="str">
        <x:v>French Republic</x:v>
      </x:c>
      <x:c r="D145" s="20" t="str">
        <x:v>FR</x:v>
      </x:c>
      <x:c r="E145" s="20" t="str">
        <x:v>FRA</x:v>
      </x:c>
      <x:c r="F145" s="20" t="str">
        <x:v>250</x:v>
      </x:c>
      <x:c r="G145" s="20" t="str">
        <x:v>Europe</x:v>
      </x:c>
      <x:c r="H145" s="20" t="str">
        <x:v>Western Europe</x:v>
      </x:c>
      <x:c r="I145" s="20" t="str">
        <x:v>European Union</x:v>
      </x:c>
      <x:c r="J145" s="20" t="str">
        <x:v>EU influence</x:v>
      </x:c>
      <x:c r="K145" s="384" t="n">
        <x:v>9</x:v>
      </x:c>
      <x:c r="L145" s="396" t="n">
        <x:v>5</x:v>
      </x:c>
      <x:c r="M145" s="397" t="str">
        <x:v>https://www.eeas.europa.eu/eeas/public-diplomacy_en</x:v>
      </x:c>
      <x:c r="N145" s="384" t="n">
        <x:v>0</x:v>
      </x:c>
      <x:c r="O145" s="396" t="n">
        <x:v>1</x:v>
      </x:c>
      <x:c r="P145" s="397" t="str">
        <x:v>https://www.eeas.europa.eu/eeas/missions-and-operations_en</x:v>
      </x:c>
      <x:c r="Q145" s="384" t="n">
        <x:v>2</x:v>
      </x:c>
      <x:c r="R145" s="396" t="n">
        <x:v>2</x:v>
      </x:c>
      <x:c r="S145" s="397" t="str">
        <x:v>https://www.eeas.europa.eu/eeas/eu-election-observation-missions-1_en?page_lang=en</x:v>
      </x:c>
      <x:c r="T145" s="384" t="n">
        <x:v>5</x:v>
      </x:c>
      <x:c r="U145" s="396" t="n">
        <x:v>3</x:v>
      </x:c>
      <x:c r="V145" s="397" t="str">
        <x:v>https://www.eeas.europa.eu/eeas/missions-and-operations_en</x:v>
      </x:c>
      <x:c r="W145" s="385" t="n">
        <x:f>(--(M145&lt;&gt;"")+--(P145&lt;&gt;"")+--(S145&lt;&gt;"")+--(V145&lt;&gt;""))/4</x:f>
        <x:v>1</x:v>
      </x:c>
      <x:c r="X145" s="384" t="n">
        <x:f>IF(COUNT(K145,N145,Q145,T145)=0,"No data",(IF(ISNUMBER(K145),K145*Factor_Model!$B$4,0)+IF(ISNUMBER(N145),N145*Factor_Model!$B$5,0)+IF(ISNUMBER(Q145),Q145*Factor_Model!$B$6,0)+IF(ISNUMBER(T145),T145*Factor_Model!$B$7,0))/(IF(ISNUMBER(K145),Factor_Model!$B$4,0)+IF(ISNUMBER(N145),Factor_Model!$B$5,0)+IF(ISNUMBER(Q145),Factor_Model!$B$6,0)+IF(ISNUMBER(T145),Factor_Model!$B$7,0)))</x:f>
        <x:v>4</x:v>
      </x:c>
      <x:c r="Y145" s="20" t="str">
        <x:f>IF(W145=0,"No source",IF(W145&lt;1,"Partial source","Source-complete"))</x:f>
        <x:v>Source-complete</x:v>
      </x:c>
      <x:c r="Z145" s="20" t="str">
        <x:v>Automated screening pass: row uses a primary source URL by actor/subfactor; verify with country-specific evidence before final analytical use.</x:v>
      </x:c>
      <x:c r="AA145" s="20" t="str">
        <x:v>2026-05-20</x:v>
      </x:c>
      <x:c r="AB145" s="20" t="str">
        <x:v>GPT-5.5 Pro</x:v>
      </x:c>
    </x:row>
    <x:row r="146" ht="24" customHeight="1">
      <x:c r="A146" s="20" t="str">
        <x:v>GEO|Russia</x:v>
      </x:c>
      <x:c r="B146" s="20" t="str">
        <x:v>Georgia</x:v>
      </x:c>
      <x:c r="C146" s="20"/>
      <x:c r="D146" s="20" t="str">
        <x:v>GE</x:v>
      </x:c>
      <x:c r="E146" s="20" t="str">
        <x:v>GEO</x:v>
      </x:c>
      <x:c r="F146" s="20" t="str">
        <x:v>268</x:v>
      </x:c>
      <x:c r="G146" s="20" t="str">
        <x:v>Asia</x:v>
      </x:c>
      <x:c r="H146" s="20" t="str">
        <x:v>Western Asia</x:v>
      </x:c>
      <x:c r="I146" s="20" t="str">
        <x:v>Russia</x:v>
      </x:c>
      <x:c r="J146" s="20" t="str">
        <x:v>Russian influence</x:v>
      </x:c>
      <x:c r="K146" s="384" t="n">
        <x:v>8</x:v>
      </x:c>
      <x:c r="L146" s="396" t="n">
        <x:v>4</x:v>
      </x:c>
      <x:c r="M146" s="397" t="str">
        <x:v>https://www.eeas.europa.eu/eeas/4th-eeas-annual-report-foreign-information-manipulation-and-interference-threats_en</x:v>
      </x:c>
      <x:c r="N146" s="384" t="n">
        <x:v>0</x:v>
      </x:c>
      <x:c r="O146" s="396" t="n">
        <x:v>1</x:v>
      </x:c>
      <x:c r="P146" s="397" t="str">
        <x:v>https://www.consilium.europa.eu/en/press/press-releases/2023/02/25/wagner-group-council-adds-11-individuals-and-7-entities-to-eu-sanctions-lists/</x:v>
      </x:c>
      <x:c r="Q146" s="384" t="n">
        <x:v>7</x:v>
      </x:c>
      <x:c r="R146" s="396" t="n">
        <x:v>4</x:v>
      </x:c>
      <x:c r="S146" s="397" t="str">
        <x:v>https://www.dni.gov/files/ODNI/documents/assessments/ATA-2026-Unclassified-Report.pdf</x:v>
      </x:c>
      <x:c r="T146" s="384" t="n">
        <x:v>0</x:v>
      </x:c>
      <x:c r="U146" s="396" t="n">
        <x:v>1</x:v>
      </x:c>
      <x:c r="V146" s="397" t="str">
        <x:v>https://www.consilium.europa.eu/en/press/press-releases/2023/02/25/wagner-group-council-adds-11-individuals-and-7-entities-to-eu-sanctions-lists/</x:v>
      </x:c>
      <x:c r="W146" s="385" t="n">
        <x:f>(--(M146&lt;&gt;"")+--(P146&lt;&gt;"")+--(S146&lt;&gt;"")+--(V146&lt;&gt;""))/4</x:f>
        <x:v>1</x:v>
      </x:c>
      <x:c r="X146" s="384" t="n">
        <x:f>IF(COUNT(K146,N146,Q146,T146)=0,"No data",(IF(ISNUMBER(K146),K146*Factor_Model!$B$4,0)+IF(ISNUMBER(N146),N146*Factor_Model!$B$5,0)+IF(ISNUMBER(Q146),Q146*Factor_Model!$B$6,0)+IF(ISNUMBER(T146),T146*Factor_Model!$B$7,0))/(IF(ISNUMBER(K146),Factor_Model!$B$4,0)+IF(ISNUMBER(N146),Factor_Model!$B$5,0)+IF(ISNUMBER(Q146),Factor_Model!$B$6,0)+IF(ISNUMBER(T146),Factor_Model!$B$7,0)))</x:f>
        <x:v>3.75</x:v>
      </x:c>
      <x:c r="Y146" s="20" t="str">
        <x:f>IF(W146=0,"No source",IF(W146&lt;1,"Partial source","Source-complete"))</x:f>
        <x:v>Source-complete</x:v>
      </x:c>
      <x:c r="Z146" s="20" t="str">
        <x:v>Automated screening pass: row uses a primary source URL by actor/subfactor; verify with country-specific evidence before final analytical use.</x:v>
      </x:c>
      <x:c r="AA146" s="20" t="str">
        <x:v>2026-05-20</x:v>
      </x:c>
      <x:c r="AB146" s="20" t="str">
        <x:v>GPT-5.5 Pro</x:v>
      </x:c>
    </x:row>
    <x:row r="147" ht="24" customHeight="1">
      <x:c r="A147" s="20" t="str">
        <x:v>GEO|China</x:v>
      </x:c>
      <x:c r="B147" s="20" t="str">
        <x:v>Georgia</x:v>
      </x:c>
      <x:c r="C147" s="20"/>
      <x:c r="D147" s="20" t="str">
        <x:v>GE</x:v>
      </x:c>
      <x:c r="E147" s="20" t="str">
        <x:v>GEO</x:v>
      </x:c>
      <x:c r="F147" s="20" t="str">
        <x:v>268</x:v>
      </x:c>
      <x:c r="G147" s="20" t="str">
        <x:v>Asia</x:v>
      </x:c>
      <x:c r="H147" s="20" t="str">
        <x:v>Western Asia</x:v>
      </x:c>
      <x:c r="I147" s="20" t="str">
        <x:v>China</x:v>
      </x:c>
      <x:c r="J147" s="20" t="str">
        <x:v>Chinese influence</x:v>
      </x:c>
      <x:c r="K147" s="384" t="n">
        <x:v>3</x:v>
      </x:c>
      <x:c r="L147" s="396" t="n">
        <x:v>3</x:v>
      </x:c>
      <x:c r="M147" s="397" t="str">
        <x:v>https://www.eeas.europa.eu/eeas/4th-eeas-annual-report-foreign-information-manipulation-and-interference-threats_en</x:v>
      </x:c>
      <x:c r="N147" s="384" t="n">
        <x:v>0</x:v>
      </x:c>
      <x:c r="O147" s="396" t="n">
        <x:v>1</x:v>
      </x:c>
      <x:c r="P147" s="397" t="str">
        <x:v>https://merics.org/en/report/guardians-belt-and-road</x:v>
      </x:c>
      <x:c r="Q147" s="384" t="n">
        <x:v>1</x:v>
      </x:c>
      <x:c r="R147" s="396" t="n">
        <x:v>2</x:v>
      </x:c>
      <x:c r="S147" s="397" t="str">
        <x:v>https://www.eeas.europa.eu/eeas/4th-eeas-annual-report-foreign-information-manipulation-and-interference-threats_en</x:v>
      </x:c>
      <x:c r="T147" s="384" t="n">
        <x:v>1</x:v>
      </x:c>
      <x:c r="U147" s="396" t="n">
        <x:v>2</x:v>
      </x:c>
      <x:c r="V147" s="397" t="str">
        <x:v>https://merics.org/en/report/guardians-belt-and-road</x:v>
      </x:c>
      <x:c r="W147" s="385" t="n">
        <x:f>(--(M147&lt;&gt;"")+--(P147&lt;&gt;"")+--(S147&lt;&gt;"")+--(V147&lt;&gt;""))/4</x:f>
        <x:v>1</x:v>
      </x:c>
      <x:c r="X147" s="384" t="n">
        <x:f>IF(COUNT(K147,N147,Q147,T147)=0,"No data",(IF(ISNUMBER(K147),K147*Factor_Model!$B$4,0)+IF(ISNUMBER(N147),N147*Factor_Model!$B$5,0)+IF(ISNUMBER(Q147),Q147*Factor_Model!$B$6,0)+IF(ISNUMBER(T147),T147*Factor_Model!$B$7,0))/(IF(ISNUMBER(K147),Factor_Model!$B$4,0)+IF(ISNUMBER(N147),Factor_Model!$B$5,0)+IF(ISNUMBER(Q147),Factor_Model!$B$6,0)+IF(ISNUMBER(T147),Factor_Model!$B$7,0)))</x:f>
        <x:v>1.25</x:v>
      </x:c>
      <x:c r="Y147" s="20" t="str">
        <x:f>IF(W147=0,"No source",IF(W147&lt;1,"Partial source","Source-complete"))</x:f>
        <x:v>Source-complete</x:v>
      </x:c>
      <x:c r="Z147" s="20" t="str">
        <x:v>Automated screening pass: row uses a primary source URL by actor/subfactor; verify with country-specific evidence before final analytical use.</x:v>
      </x:c>
      <x:c r="AA147" s="20" t="str">
        <x:v>2026-05-20</x:v>
      </x:c>
      <x:c r="AB147" s="20" t="str">
        <x:v>GPT-5.5 Pro</x:v>
      </x:c>
    </x:row>
    <x:row r="148" ht="24" customHeight="1">
      <x:c r="A148" s="20" t="str">
        <x:v>GEO|United States</x:v>
      </x:c>
      <x:c r="B148" s="20" t="str">
        <x:v>Georgia</x:v>
      </x:c>
      <x:c r="C148" s="20"/>
      <x:c r="D148" s="20" t="str">
        <x:v>GE</x:v>
      </x:c>
      <x:c r="E148" s="20" t="str">
        <x:v>GEO</x:v>
      </x:c>
      <x:c r="F148" s="20" t="str">
        <x:v>268</x:v>
      </x:c>
      <x:c r="G148" s="20" t="str">
        <x:v>Asia</x:v>
      </x:c>
      <x:c r="H148" s="20" t="str">
        <x:v>Western Asia</x:v>
      </x:c>
      <x:c r="I148" s="20" t="str">
        <x:v>United States</x:v>
      </x:c>
      <x:c r="J148" s="20" t="str">
        <x:v>American influence</x:v>
      </x:c>
      <x:c r="K148" s="384" t="n">
        <x:v>6</x:v>
      </x:c>
      <x:c r="L148" s="396" t="n">
        <x:v>4</x:v>
      </x:c>
      <x:c r="M148" s="397" t="str">
        <x:v>https://www.usagm.gov/our-work/strategy-and-results/strategic-priorities/research-reports/</x:v>
      </x:c>
      <x:c r="N148" s="384" t="n">
        <x:v>1</x:v>
      </x:c>
      <x:c r="O148" s="396" t="n">
        <x:v>2</x:v>
      </x:c>
      <x:c r="P148" s="397" t="str">
        <x:v>https://internationalpolicy.org/programs/sam/</x:v>
      </x:c>
      <x:c r="Q148" s="384" t="n">
        <x:v>4</x:v>
      </x:c>
      <x:c r="R148" s="396" t="n">
        <x:v>3</x:v>
      </x:c>
      <x:c r="S148" s="397" t="str">
        <x:v>https://www.ned.org/ned-grantmaking/</x:v>
      </x:c>
      <x:c r="T148" s="384" t="n">
        <x:v>2</x:v>
      </x:c>
      <x:c r="U148" s="396" t="n">
        <x:v>2</x:v>
      </x:c>
      <x:c r="V148" s="397" t="str">
        <x:v>https://internationalpolicy.org/programs/sam/</x:v>
      </x:c>
      <x:c r="W148" s="385" t="n">
        <x:f>(--(M148&lt;&gt;"")+--(P148&lt;&gt;"")+--(S148&lt;&gt;"")+--(V148&lt;&gt;""))/4</x:f>
        <x:v>1</x:v>
      </x:c>
      <x:c r="X148" s="384" t="n">
        <x:f>IF(COUNT(K148,N148,Q148,T148)=0,"No data",(IF(ISNUMBER(K148),K148*Factor_Model!$B$4,0)+IF(ISNUMBER(N148),N148*Factor_Model!$B$5,0)+IF(ISNUMBER(Q148),Q148*Factor_Model!$B$6,0)+IF(ISNUMBER(T148),T148*Factor_Model!$B$7,0))/(IF(ISNUMBER(K148),Factor_Model!$B$4,0)+IF(ISNUMBER(N148),Factor_Model!$B$5,0)+IF(ISNUMBER(Q148),Factor_Model!$B$6,0)+IF(ISNUMBER(T148),Factor_Model!$B$7,0)))</x:f>
        <x:v>3.25</x:v>
      </x:c>
      <x:c r="Y148" s="20" t="str">
        <x:f>IF(W148=0,"No source",IF(W148&lt;1,"Partial source","Source-complete"))</x:f>
        <x:v>Source-complete</x:v>
      </x:c>
      <x:c r="Z148" s="20" t="str">
        <x:v>Automated screening pass: row uses a primary source URL by actor/subfactor; verify with country-specific evidence before final analytical use.</x:v>
      </x:c>
      <x:c r="AA148" s="20" t="str">
        <x:v>2026-05-20</x:v>
      </x:c>
      <x:c r="AB148" s="20" t="str">
        <x:v>GPT-5.5 Pro</x:v>
      </x:c>
    </x:row>
    <x:row r="149" ht="24" customHeight="1">
      <x:c r="A149" s="20" t="str">
        <x:v>GEO|European Union</x:v>
      </x:c>
      <x:c r="B149" s="20" t="str">
        <x:v>Georgia</x:v>
      </x:c>
      <x:c r="C149" s="20"/>
      <x:c r="D149" s="20" t="str">
        <x:v>GE</x:v>
      </x:c>
      <x:c r="E149" s="20" t="str">
        <x:v>GEO</x:v>
      </x:c>
      <x:c r="F149" s="20" t="str">
        <x:v>268</x:v>
      </x:c>
      <x:c r="G149" s="20" t="str">
        <x:v>Asia</x:v>
      </x:c>
      <x:c r="H149" s="20" t="str">
        <x:v>Western Asia</x:v>
      </x:c>
      <x:c r="I149" s="20" t="str">
        <x:v>European Union</x:v>
      </x:c>
      <x:c r="J149" s="20" t="str">
        <x:v>EU influence</x:v>
      </x:c>
      <x:c r="K149" s="384" t="n">
        <x:v>7</x:v>
      </x:c>
      <x:c r="L149" s="396" t="n">
        <x:v>4</x:v>
      </x:c>
      <x:c r="M149" s="397" t="str">
        <x:v>https://www.eeas.europa.eu/eeas/public-diplomacy_en</x:v>
      </x:c>
      <x:c r="N149" s="384" t="n">
        <x:v>1</x:v>
      </x:c>
      <x:c r="O149" s="396" t="n">
        <x:v>2</x:v>
      </x:c>
      <x:c r="P149" s="397" t="str">
        <x:v>https://www.eeas.europa.eu/eeas/missions-and-operations_en</x:v>
      </x:c>
      <x:c r="Q149" s="384" t="n">
        <x:v>3</x:v>
      </x:c>
      <x:c r="R149" s="396" t="n">
        <x:v>3</x:v>
      </x:c>
      <x:c r="S149" s="397" t="str">
        <x:v>https://www.eeas.europa.eu/eeas/eu-election-observation-missions-1_en?page_lang=en</x:v>
      </x:c>
      <x:c r="T149" s="384" t="n">
        <x:v>5</x:v>
      </x:c>
      <x:c r="U149" s="396" t="n">
        <x:v>3</x:v>
      </x:c>
      <x:c r="V149" s="397" t="str">
        <x:v>https://www.eeas.europa.eu/eeas/missions-and-operations_en</x:v>
      </x:c>
      <x:c r="W149" s="385" t="n">
        <x:f>(--(M149&lt;&gt;"")+--(P149&lt;&gt;"")+--(S149&lt;&gt;"")+--(V149&lt;&gt;""))/4</x:f>
        <x:v>1</x:v>
      </x:c>
      <x:c r="X149" s="384" t="n">
        <x:f>IF(COUNT(K149,N149,Q149,T149)=0,"No data",(IF(ISNUMBER(K149),K149*Factor_Model!$B$4,0)+IF(ISNUMBER(N149),N149*Factor_Model!$B$5,0)+IF(ISNUMBER(Q149),Q149*Factor_Model!$B$6,0)+IF(ISNUMBER(T149),T149*Factor_Model!$B$7,0))/(IF(ISNUMBER(K149),Factor_Model!$B$4,0)+IF(ISNUMBER(N149),Factor_Model!$B$5,0)+IF(ISNUMBER(Q149),Factor_Model!$B$6,0)+IF(ISNUMBER(T149),Factor_Model!$B$7,0)))</x:f>
        <x:v>4</x:v>
      </x:c>
      <x:c r="Y149" s="20" t="str">
        <x:f>IF(W149=0,"No source",IF(W149&lt;1,"Partial source","Source-complete"))</x:f>
        <x:v>Source-complete</x:v>
      </x:c>
      <x:c r="Z149" s="20" t="str">
        <x:v>Automated screening pass: row uses a primary source URL by actor/subfactor; verify with country-specific evidence before final analytical use.</x:v>
      </x:c>
      <x:c r="AA149" s="20" t="str">
        <x:v>2026-05-20</x:v>
      </x:c>
      <x:c r="AB149" s="20" t="str">
        <x:v>GPT-5.5 Pro</x:v>
      </x:c>
    </x:row>
    <x:row r="150" ht="24" customHeight="1">
      <x:c r="A150" s="20" t="str">
        <x:v>DEU|Russia</x:v>
      </x:c>
      <x:c r="B150" s="20" t="str">
        <x:v>Germany</x:v>
      </x:c>
      <x:c r="C150" s="20" t="str">
        <x:v>Federal Republic of Germany</x:v>
      </x:c>
      <x:c r="D150" s="20" t="str">
        <x:v>DE</x:v>
      </x:c>
      <x:c r="E150" s="20" t="str">
        <x:v>DEU</x:v>
      </x:c>
      <x:c r="F150" s="20" t="str">
        <x:v>276</x:v>
      </x:c>
      <x:c r="G150" s="20" t="str">
        <x:v>Europe</x:v>
      </x:c>
      <x:c r="H150" s="20" t="str">
        <x:v>Western Europe</x:v>
      </x:c>
      <x:c r="I150" s="20" t="str">
        <x:v>Russia</x:v>
      </x:c>
      <x:c r="J150" s="20" t="str">
        <x:v>Russian influence</x:v>
      </x:c>
      <x:c r="K150" s="384" t="n">
        <x:v>5</x:v>
      </x:c>
      <x:c r="L150" s="396" t="n">
        <x:v>3</x:v>
      </x:c>
      <x:c r="M150" s="397" t="str">
        <x:v>https://www.eeas.europa.eu/eeas/4th-eeas-annual-report-foreign-information-manipulation-and-interference-threats_en</x:v>
      </x:c>
      <x:c r="N150" s="384" t="n">
        <x:v>0</x:v>
      </x:c>
      <x:c r="O150" s="396" t="n">
        <x:v>1</x:v>
      </x:c>
      <x:c r="P150" s="397" t="str">
        <x:v>https://www.consilium.europa.eu/en/press/press-releases/2023/02/25/wagner-group-council-adds-11-individuals-and-7-entities-to-eu-sanctions-lists/</x:v>
      </x:c>
      <x:c r="Q150" s="384" t="n">
        <x:v>7</x:v>
      </x:c>
      <x:c r="R150" s="396" t="n">
        <x:v>4</x:v>
      </x:c>
      <x:c r="S150" s="397" t="str">
        <x:v>https://www.dni.gov/files/ODNI/documents/assessments/ATA-2026-Unclassified-Report.pdf</x:v>
      </x:c>
      <x:c r="T150" s="384" t="n">
        <x:v>0</x:v>
      </x:c>
      <x:c r="U150" s="396" t="n">
        <x:v>1</x:v>
      </x:c>
      <x:c r="V150" s="397" t="str">
        <x:v>https://www.consilium.europa.eu/en/press/press-releases/2023/02/25/wagner-group-council-adds-11-individuals-and-7-entities-to-eu-sanctions-lists/</x:v>
      </x:c>
      <x:c r="W150" s="385" t="n">
        <x:f>(--(M150&lt;&gt;"")+--(P150&lt;&gt;"")+--(S150&lt;&gt;"")+--(V150&lt;&gt;""))/4</x:f>
        <x:v>1</x:v>
      </x:c>
      <x:c r="X150" s="384" t="n">
        <x:f>IF(COUNT(K150,N150,Q150,T150)=0,"No data",(IF(ISNUMBER(K150),K150*Factor_Model!$B$4,0)+IF(ISNUMBER(N150),N150*Factor_Model!$B$5,0)+IF(ISNUMBER(Q150),Q150*Factor_Model!$B$6,0)+IF(ISNUMBER(T150),T150*Factor_Model!$B$7,0))/(IF(ISNUMBER(K150),Factor_Model!$B$4,0)+IF(ISNUMBER(N150),Factor_Model!$B$5,0)+IF(ISNUMBER(Q150),Factor_Model!$B$6,0)+IF(ISNUMBER(T150),Factor_Model!$B$7,0)))</x:f>
        <x:v>3</x:v>
      </x:c>
      <x:c r="Y150" s="20" t="str">
        <x:f>IF(W150=0,"No source",IF(W150&lt;1,"Partial source","Source-complete"))</x:f>
        <x:v>Source-complete</x:v>
      </x:c>
      <x:c r="Z150" s="20" t="str">
        <x:v>Automated screening pass: row uses a primary source URL by actor/subfactor; verify with country-specific evidence before final analytical use.</x:v>
      </x:c>
      <x:c r="AA150" s="20" t="str">
        <x:v>2026-05-20</x:v>
      </x:c>
      <x:c r="AB150" s="20" t="str">
        <x:v>GPT-5.5 Pro</x:v>
      </x:c>
    </x:row>
    <x:row r="151" ht="24" customHeight="1">
      <x:c r="A151" s="20" t="str">
        <x:v>DEU|China</x:v>
      </x:c>
      <x:c r="B151" s="20" t="str">
        <x:v>Germany</x:v>
      </x:c>
      <x:c r="C151" s="20" t="str">
        <x:v>Federal Republic of Germany</x:v>
      </x:c>
      <x:c r="D151" s="20" t="str">
        <x:v>DE</x:v>
      </x:c>
      <x:c r="E151" s="20" t="str">
        <x:v>DEU</x:v>
      </x:c>
      <x:c r="F151" s="20" t="str">
        <x:v>276</x:v>
      </x:c>
      <x:c r="G151" s="20" t="str">
        <x:v>Europe</x:v>
      </x:c>
      <x:c r="H151" s="20" t="str">
        <x:v>Western Europe</x:v>
      </x:c>
      <x:c r="I151" s="20" t="str">
        <x:v>China</x:v>
      </x:c>
      <x:c r="J151" s="20" t="str">
        <x:v>Chinese influence</x:v>
      </x:c>
      <x:c r="K151" s="384" t="n">
        <x:v>5</x:v>
      </x:c>
      <x:c r="L151" s="396" t="n">
        <x:v>3</x:v>
      </x:c>
      <x:c r="M151" s="397" t="str">
        <x:v>https://www.eeas.europa.eu/eeas/4th-eeas-annual-report-foreign-information-manipulation-and-interference-threats_en</x:v>
      </x:c>
      <x:c r="N151" s="384" t="n">
        <x:v>0</x:v>
      </x:c>
      <x:c r="O151" s="396" t="n">
        <x:v>1</x:v>
      </x:c>
      <x:c r="P151" s="397" t="str">
        <x:v>https://merics.org/en/report/guardians-belt-and-road</x:v>
      </x:c>
      <x:c r="Q151" s="384" t="n">
        <x:v>3</x:v>
      </x:c>
      <x:c r="R151" s="396" t="n">
        <x:v>3</x:v>
      </x:c>
      <x:c r="S151" s="397" t="str">
        <x:v>https://www.eeas.europa.eu/eeas/4th-eeas-annual-report-foreign-information-manipulation-and-interference-threats_en</x:v>
      </x:c>
      <x:c r="T151" s="384" t="n">
        <x:v>0</x:v>
      </x:c>
      <x:c r="U151" s="396" t="n">
        <x:v>1</x:v>
      </x:c>
      <x:c r="V151" s="397" t="str">
        <x:v>https://merics.org/en/report/guardians-belt-and-road</x:v>
      </x:c>
      <x:c r="W151" s="385" t="n">
        <x:f>(--(M151&lt;&gt;"")+--(P151&lt;&gt;"")+--(S151&lt;&gt;"")+--(V151&lt;&gt;""))/4</x:f>
        <x:v>1</x:v>
      </x:c>
      <x:c r="X151" s="384" t="n">
        <x:f>IF(COUNT(K151,N151,Q151,T151)=0,"No data",(IF(ISNUMBER(K151),K151*Factor_Model!$B$4,0)+IF(ISNUMBER(N151),N151*Factor_Model!$B$5,0)+IF(ISNUMBER(Q151),Q151*Factor_Model!$B$6,0)+IF(ISNUMBER(T151),T151*Factor_Model!$B$7,0))/(IF(ISNUMBER(K151),Factor_Model!$B$4,0)+IF(ISNUMBER(N151),Factor_Model!$B$5,0)+IF(ISNUMBER(Q151),Factor_Model!$B$6,0)+IF(ISNUMBER(T151),Factor_Model!$B$7,0)))</x:f>
        <x:v>2</x:v>
      </x:c>
      <x:c r="Y151" s="20" t="str">
        <x:f>IF(W151=0,"No source",IF(W151&lt;1,"Partial source","Source-complete"))</x:f>
        <x:v>Source-complete</x:v>
      </x:c>
      <x:c r="Z151" s="20" t="str">
        <x:v>Automated screening pass: row uses a primary source URL by actor/subfactor; verify with country-specific evidence before final analytical use.</x:v>
      </x:c>
      <x:c r="AA151" s="20" t="str">
        <x:v>2026-05-20</x:v>
      </x:c>
      <x:c r="AB151" s="20" t="str">
        <x:v>GPT-5.5 Pro</x:v>
      </x:c>
    </x:row>
    <x:row r="152" ht="24" customHeight="1">
      <x:c r="A152" s="20" t="str">
        <x:v>DEU|United States</x:v>
      </x:c>
      <x:c r="B152" s="20" t="str">
        <x:v>Germany</x:v>
      </x:c>
      <x:c r="C152" s="20" t="str">
        <x:v>Federal Republic of Germany</x:v>
      </x:c>
      <x:c r="D152" s="20" t="str">
        <x:v>DE</x:v>
      </x:c>
      <x:c r="E152" s="20" t="str">
        <x:v>DEU</x:v>
      </x:c>
      <x:c r="F152" s="20" t="str">
        <x:v>276</x:v>
      </x:c>
      <x:c r="G152" s="20" t="str">
        <x:v>Europe</x:v>
      </x:c>
      <x:c r="H152" s="20" t="str">
        <x:v>Western Europe</x:v>
      </x:c>
      <x:c r="I152" s="20" t="str">
        <x:v>United States</x:v>
      </x:c>
      <x:c r="J152" s="20" t="str">
        <x:v>American influence</x:v>
      </x:c>
      <x:c r="K152" s="384" t="n">
        <x:v>4</x:v>
      </x:c>
      <x:c r="L152" s="396" t="n">
        <x:v>3</x:v>
      </x:c>
      <x:c r="M152" s="397" t="str">
        <x:v>https://www.usagm.gov/our-work/strategy-and-results/strategic-priorities/research-reports/</x:v>
      </x:c>
      <x:c r="N152" s="384" t="n">
        <x:v>3</x:v>
      </x:c>
      <x:c r="O152" s="396" t="n">
        <x:v>3</x:v>
      </x:c>
      <x:c r="P152" s="397" t="str">
        <x:v>https://internationalpolicy.org/programs/sam/</x:v>
      </x:c>
      <x:c r="Q152" s="384" t="n">
        <x:v>1</x:v>
      </x:c>
      <x:c r="R152" s="396" t="n">
        <x:v>2</x:v>
      </x:c>
      <x:c r="S152" s="397" t="str">
        <x:v>https://www.ned.org/ned-grantmaking/</x:v>
      </x:c>
      <x:c r="T152" s="384" t="n">
        <x:v>6</x:v>
      </x:c>
      <x:c r="U152" s="396" t="n">
        <x:v>4</x:v>
      </x:c>
      <x:c r="V152" s="397" t="str">
        <x:v>https://internationalpolicy.org/programs/sam/</x:v>
      </x:c>
      <x:c r="W152" s="385" t="n">
        <x:f>(--(M152&lt;&gt;"")+--(P152&lt;&gt;"")+--(S152&lt;&gt;"")+--(V152&lt;&gt;""))/4</x:f>
        <x:v>1</x:v>
      </x:c>
      <x:c r="X152" s="384" t="n">
        <x:f>IF(COUNT(K152,N152,Q152,T152)=0,"No data",(IF(ISNUMBER(K152),K152*Factor_Model!$B$4,0)+IF(ISNUMBER(N152),N152*Factor_Model!$B$5,0)+IF(ISNUMBER(Q152),Q152*Factor_Model!$B$6,0)+IF(ISNUMBER(T152),T152*Factor_Model!$B$7,0))/(IF(ISNUMBER(K152),Factor_Model!$B$4,0)+IF(ISNUMBER(N152),Factor_Model!$B$5,0)+IF(ISNUMBER(Q152),Factor_Model!$B$6,0)+IF(ISNUMBER(T152),Factor_Model!$B$7,0)))</x:f>
        <x:v>3.5</x:v>
      </x:c>
      <x:c r="Y152" s="20" t="str">
        <x:f>IF(W152=0,"No source",IF(W152&lt;1,"Partial source","Source-complete"))</x:f>
        <x:v>Source-complete</x:v>
      </x:c>
      <x:c r="Z152" s="20" t="str">
        <x:v>Automated screening pass: row uses a primary source URL by actor/subfactor; verify with country-specific evidence before final analytical use.</x:v>
      </x:c>
      <x:c r="AA152" s="20" t="str">
        <x:v>2026-05-20</x:v>
      </x:c>
      <x:c r="AB152" s="20" t="str">
        <x:v>GPT-5.5 Pro</x:v>
      </x:c>
    </x:row>
    <x:row r="153" ht="24" customHeight="1">
      <x:c r="A153" s="20" t="str">
        <x:v>DEU|European Union</x:v>
      </x:c>
      <x:c r="B153" s="20" t="str">
        <x:v>Germany</x:v>
      </x:c>
      <x:c r="C153" s="20" t="str">
        <x:v>Federal Republic of Germany</x:v>
      </x:c>
      <x:c r="D153" s="20" t="str">
        <x:v>DE</x:v>
      </x:c>
      <x:c r="E153" s="20" t="str">
        <x:v>DEU</x:v>
      </x:c>
      <x:c r="F153" s="20" t="str">
        <x:v>276</x:v>
      </x:c>
      <x:c r="G153" s="20" t="str">
        <x:v>Europe</x:v>
      </x:c>
      <x:c r="H153" s="20" t="str">
        <x:v>Western Europe</x:v>
      </x:c>
      <x:c r="I153" s="20" t="str">
        <x:v>European Union</x:v>
      </x:c>
      <x:c r="J153" s="20" t="str">
        <x:v>EU influence</x:v>
      </x:c>
      <x:c r="K153" s="384" t="n">
        <x:v>9</x:v>
      </x:c>
      <x:c r="L153" s="396" t="n">
        <x:v>5</x:v>
      </x:c>
      <x:c r="M153" s="397" t="str">
        <x:v>https://www.eeas.europa.eu/eeas/public-diplomacy_en</x:v>
      </x:c>
      <x:c r="N153" s="384" t="n">
        <x:v>0</x:v>
      </x:c>
      <x:c r="O153" s="396" t="n">
        <x:v>1</x:v>
      </x:c>
      <x:c r="P153" s="397" t="str">
        <x:v>https://www.eeas.europa.eu/eeas/missions-and-operations_en</x:v>
      </x:c>
      <x:c r="Q153" s="384" t="n">
        <x:v>2</x:v>
      </x:c>
      <x:c r="R153" s="396" t="n">
        <x:v>2</x:v>
      </x:c>
      <x:c r="S153" s="397" t="str">
        <x:v>https://www.eeas.europa.eu/eeas/eu-election-observation-missions-1_en?page_lang=en</x:v>
      </x:c>
      <x:c r="T153" s="384" t="n">
        <x:v>5</x:v>
      </x:c>
      <x:c r="U153" s="396" t="n">
        <x:v>3</x:v>
      </x:c>
      <x:c r="V153" s="397" t="str">
        <x:v>https://www.eeas.europa.eu/eeas/missions-and-operations_en</x:v>
      </x:c>
      <x:c r="W153" s="385" t="n">
        <x:f>(--(M153&lt;&gt;"")+--(P153&lt;&gt;"")+--(S153&lt;&gt;"")+--(V153&lt;&gt;""))/4</x:f>
        <x:v>1</x:v>
      </x:c>
      <x:c r="X153" s="384" t="n">
        <x:f>IF(COUNT(K153,N153,Q153,T153)=0,"No data",(IF(ISNUMBER(K153),K153*Factor_Model!$B$4,0)+IF(ISNUMBER(N153),N153*Factor_Model!$B$5,0)+IF(ISNUMBER(Q153),Q153*Factor_Model!$B$6,0)+IF(ISNUMBER(T153),T153*Factor_Model!$B$7,0))/(IF(ISNUMBER(K153),Factor_Model!$B$4,0)+IF(ISNUMBER(N153),Factor_Model!$B$5,0)+IF(ISNUMBER(Q153),Factor_Model!$B$6,0)+IF(ISNUMBER(T153),Factor_Model!$B$7,0)))</x:f>
        <x:v>4</x:v>
      </x:c>
      <x:c r="Y153" s="20" t="str">
        <x:f>IF(W153=0,"No source",IF(W153&lt;1,"Partial source","Source-complete"))</x:f>
        <x:v>Source-complete</x:v>
      </x:c>
      <x:c r="Z153" s="20" t="str">
        <x:v>Automated screening pass: row uses a primary source URL by actor/subfactor; verify with country-specific evidence before final analytical use.</x:v>
      </x:c>
      <x:c r="AA153" s="20" t="str">
        <x:v>2026-05-20</x:v>
      </x:c>
      <x:c r="AB153" s="20" t="str">
        <x:v>GPT-5.5 Pro</x:v>
      </x:c>
    </x:row>
    <x:row r="154" ht="24" customHeight="1">
      <x:c r="A154" s="20" t="str">
        <x:v>GHA|Russia</x:v>
      </x:c>
      <x:c r="B154" s="20" t="str">
        <x:v>Ghana</x:v>
      </x:c>
      <x:c r="C154" s="20" t="str">
        <x:v>Republic of Ghana</x:v>
      </x:c>
      <x:c r="D154" s="20" t="str">
        <x:v>GH</x:v>
      </x:c>
      <x:c r="E154" s="20" t="str">
        <x:v>GHA</x:v>
      </x:c>
      <x:c r="F154" s="20" t="str">
        <x:v>288</x:v>
      </x:c>
      <x:c r="G154" s="20" t="str">
        <x:v>Africa</x:v>
      </x:c>
      <x:c r="H154" s="20" t="str">
        <x:v>Western Africa</x:v>
      </x:c>
      <x:c r="I154" s="20" t="str">
        <x:v>Russia</x:v>
      </x:c>
      <x:c r="J154" s="20" t="str">
        <x:v>Russian influence</x:v>
      </x:c>
      <x:c r="K154" s="384" t="n">
        <x:v>4</x:v>
      </x:c>
      <x:c r="L154" s="396" t="n">
        <x:v>3</x:v>
      </x:c>
      <x:c r="M154" s="397" t="str">
        <x:v>https://www.eeas.europa.eu/eeas/4th-eeas-annual-report-foreign-information-manipulation-and-interference-threats_en</x:v>
      </x:c>
      <x:c r="N154" s="384" t="n">
        <x:v>1</x:v>
      </x:c>
      <x:c r="O154" s="396" t="n">
        <x:v>2</x:v>
      </x:c>
      <x:c r="P154" s="397" t="str">
        <x:v>https://www.consilium.europa.eu/en/press/press-releases/2023/02/25/wagner-group-council-adds-11-individuals-and-7-entities-to-eu-sanctions-lists/</x:v>
      </x:c>
      <x:c r="Q154" s="384" t="n">
        <x:v>1</x:v>
      </x:c>
      <x:c r="R154" s="396" t="n">
        <x:v>2</x:v>
      </x:c>
      <x:c r="S154" s="397" t="str">
        <x:v>https://www.dni.gov/files/ODNI/documents/assessments/ATA-2026-Unclassified-Report.pdf</x:v>
      </x:c>
      <x:c r="T154" s="384" t="n">
        <x:v>1</x:v>
      </x:c>
      <x:c r="U154" s="396" t="n">
        <x:v>2</x:v>
      </x:c>
      <x:c r="V154" s="397" t="str">
        <x:v>https://www.consilium.europa.eu/en/press/press-releases/2023/02/25/wagner-group-council-adds-11-individuals-and-7-entities-to-eu-sanctions-lists/</x:v>
      </x:c>
      <x:c r="W154" s="385" t="n">
        <x:f>(--(M154&lt;&gt;"")+--(P154&lt;&gt;"")+--(S154&lt;&gt;"")+--(V154&lt;&gt;""))/4</x:f>
        <x:v>1</x:v>
      </x:c>
      <x:c r="X154" s="384" t="n">
        <x:f>IF(COUNT(K154,N154,Q154,T154)=0,"No data",(IF(ISNUMBER(K154),K154*Factor_Model!$B$4,0)+IF(ISNUMBER(N154),N154*Factor_Model!$B$5,0)+IF(ISNUMBER(Q154),Q154*Factor_Model!$B$6,0)+IF(ISNUMBER(T154),T154*Factor_Model!$B$7,0))/(IF(ISNUMBER(K154),Factor_Model!$B$4,0)+IF(ISNUMBER(N154),Factor_Model!$B$5,0)+IF(ISNUMBER(Q154),Factor_Model!$B$6,0)+IF(ISNUMBER(T154),Factor_Model!$B$7,0)))</x:f>
        <x:v>1.75</x:v>
      </x:c>
      <x:c r="Y154" s="20" t="str">
        <x:f>IF(W154=0,"No source",IF(W154&lt;1,"Partial source","Source-complete"))</x:f>
        <x:v>Source-complete</x:v>
      </x:c>
      <x:c r="Z154" s="20" t="str">
        <x:v>Automated screening pass: row uses a primary source URL by actor/subfactor; verify with country-specific evidence before final analytical use.</x:v>
      </x:c>
      <x:c r="AA154" s="20" t="str">
        <x:v>2026-05-20</x:v>
      </x:c>
      <x:c r="AB154" s="20" t="str">
        <x:v>GPT-5.5 Pro</x:v>
      </x:c>
    </x:row>
    <x:row r="155" ht="24" customHeight="1">
      <x:c r="A155" s="20" t="str">
        <x:v>GHA|China</x:v>
      </x:c>
      <x:c r="B155" s="20" t="str">
        <x:v>Ghana</x:v>
      </x:c>
      <x:c r="C155" s="20" t="str">
        <x:v>Republic of Ghana</x:v>
      </x:c>
      <x:c r="D155" s="20" t="str">
        <x:v>GH</x:v>
      </x:c>
      <x:c r="E155" s="20" t="str">
        <x:v>GHA</x:v>
      </x:c>
      <x:c r="F155" s="20" t="str">
        <x:v>288</x:v>
      </x:c>
      <x:c r="G155" s="20" t="str">
        <x:v>Africa</x:v>
      </x:c>
      <x:c r="H155" s="20" t="str">
        <x:v>Western Africa</x:v>
      </x:c>
      <x:c r="I155" s="20" t="str">
        <x:v>China</x:v>
      </x:c>
      <x:c r="J155" s="20" t="str">
        <x:v>Chinese influence</x:v>
      </x:c>
      <x:c r="K155" s="384" t="n">
        <x:v>5</x:v>
      </x:c>
      <x:c r="L155" s="396" t="n">
        <x:v>3</x:v>
      </x:c>
      <x:c r="M155" s="397" t="str">
        <x:v>https://www.eeas.europa.eu/eeas/4th-eeas-annual-report-foreign-information-manipulation-and-interference-threats_en</x:v>
      </x:c>
      <x:c r="N155" s="384" t="n">
        <x:v>1</x:v>
      </x:c>
      <x:c r="O155" s="396" t="n">
        <x:v>2</x:v>
      </x:c>
      <x:c r="P155" s="397" t="str">
        <x:v>https://merics.org/en/report/guardians-belt-and-road</x:v>
      </x:c>
      <x:c r="Q155" s="384" t="n">
        <x:v>1</x:v>
      </x:c>
      <x:c r="R155" s="396" t="n">
        <x:v>2</x:v>
      </x:c>
      <x:c r="S155" s="397" t="str">
        <x:v>https://www.eeas.europa.eu/eeas/4th-eeas-annual-report-foreign-information-manipulation-and-interference-threats_en</x:v>
      </x:c>
      <x:c r="T155" s="384" t="n">
        <x:v>2</x:v>
      </x:c>
      <x:c r="U155" s="396" t="n">
        <x:v>2</x:v>
      </x:c>
      <x:c r="V155" s="397" t="str">
        <x:v>https://merics.org/en/report/guardians-belt-and-road</x:v>
      </x:c>
      <x:c r="W155" s="385" t="n">
        <x:f>(--(M155&lt;&gt;"")+--(P155&lt;&gt;"")+--(S155&lt;&gt;"")+--(V155&lt;&gt;""))/4</x:f>
        <x:v>1</x:v>
      </x:c>
      <x:c r="X155" s="384" t="n">
        <x:f>IF(COUNT(K155,N155,Q155,T155)=0,"No data",(IF(ISNUMBER(K155),K155*Factor_Model!$B$4,0)+IF(ISNUMBER(N155),N155*Factor_Model!$B$5,0)+IF(ISNUMBER(Q155),Q155*Factor_Model!$B$6,0)+IF(ISNUMBER(T155),T155*Factor_Model!$B$7,0))/(IF(ISNUMBER(K155),Factor_Model!$B$4,0)+IF(ISNUMBER(N155),Factor_Model!$B$5,0)+IF(ISNUMBER(Q155),Factor_Model!$B$6,0)+IF(ISNUMBER(T155),Factor_Model!$B$7,0)))</x:f>
        <x:v>2.25</x:v>
      </x:c>
      <x:c r="Y155" s="20" t="str">
        <x:f>IF(W155=0,"No source",IF(W155&lt;1,"Partial source","Source-complete"))</x:f>
        <x:v>Source-complete</x:v>
      </x:c>
      <x:c r="Z155" s="20" t="str">
        <x:v>Automated screening pass: row uses a primary source URL by actor/subfactor; verify with country-specific evidence before final analytical use.</x:v>
      </x:c>
      <x:c r="AA155" s="20" t="str">
        <x:v>2026-05-20</x:v>
      </x:c>
      <x:c r="AB155" s="20" t="str">
        <x:v>GPT-5.5 Pro</x:v>
      </x:c>
    </x:row>
    <x:row r="156" ht="24" customHeight="1">
      <x:c r="A156" s="20" t="str">
        <x:v>GHA|United States</x:v>
      </x:c>
      <x:c r="B156" s="20" t="str">
        <x:v>Ghana</x:v>
      </x:c>
      <x:c r="C156" s="20" t="str">
        <x:v>Republic of Ghana</x:v>
      </x:c>
      <x:c r="D156" s="20" t="str">
        <x:v>GH</x:v>
      </x:c>
      <x:c r="E156" s="20" t="str">
        <x:v>GHA</x:v>
      </x:c>
      <x:c r="F156" s="20" t="str">
        <x:v>288</x:v>
      </x:c>
      <x:c r="G156" s="20" t="str">
        <x:v>Africa</x:v>
      </x:c>
      <x:c r="H156" s="20" t="str">
        <x:v>Western Africa</x:v>
      </x:c>
      <x:c r="I156" s="20" t="str">
        <x:v>United States</x:v>
      </x:c>
      <x:c r="J156" s="20" t="str">
        <x:v>American influence</x:v>
      </x:c>
      <x:c r="K156" s="384" t="n">
        <x:v>4</x:v>
      </x:c>
      <x:c r="L156" s="396" t="n">
        <x:v>3</x:v>
      </x:c>
      <x:c r="M156" s="397" t="str">
        <x:v>https://www.usagm.gov/our-work/strategy-and-results/strategic-priorities/research-reports/</x:v>
      </x:c>
      <x:c r="N156" s="384" t="n">
        <x:v>2</x:v>
      </x:c>
      <x:c r="O156" s="396" t="n">
        <x:v>2</x:v>
      </x:c>
      <x:c r="P156" s="397" t="str">
        <x:v>https://internationalpolicy.org/programs/sam/</x:v>
      </x:c>
      <x:c r="Q156" s="384" t="n">
        <x:v>2</x:v>
      </x:c>
      <x:c r="R156" s="396" t="n">
        <x:v>2</x:v>
      </x:c>
      <x:c r="S156" s="397" t="str">
        <x:v>https://www.ned.org/ned-grantmaking/</x:v>
      </x:c>
      <x:c r="T156" s="384" t="n">
        <x:v>3</x:v>
      </x:c>
      <x:c r="U156" s="396" t="n">
        <x:v>3</x:v>
      </x:c>
      <x:c r="V156" s="397" t="str">
        <x:v>https://internationalpolicy.org/programs/sam/</x:v>
      </x:c>
      <x:c r="W156" s="385" t="n">
        <x:f>(--(M156&lt;&gt;"")+--(P156&lt;&gt;"")+--(S156&lt;&gt;"")+--(V156&lt;&gt;""))/4</x:f>
        <x:v>1</x:v>
      </x:c>
      <x:c r="X156" s="384" t="n">
        <x:f>IF(COUNT(K156,N156,Q156,T156)=0,"No data",(IF(ISNUMBER(K156),K156*Factor_Model!$B$4,0)+IF(ISNUMBER(N156),N156*Factor_Model!$B$5,0)+IF(ISNUMBER(Q156),Q156*Factor_Model!$B$6,0)+IF(ISNUMBER(T156),T156*Factor_Model!$B$7,0))/(IF(ISNUMBER(K156),Factor_Model!$B$4,0)+IF(ISNUMBER(N156),Factor_Model!$B$5,0)+IF(ISNUMBER(Q156),Factor_Model!$B$6,0)+IF(ISNUMBER(T156),Factor_Model!$B$7,0)))</x:f>
        <x:v>2.75</x:v>
      </x:c>
      <x:c r="Y156" s="20" t="str">
        <x:f>IF(W156=0,"No source",IF(W156&lt;1,"Partial source","Source-complete"))</x:f>
        <x:v>Source-complete</x:v>
      </x:c>
      <x:c r="Z156" s="20" t="str">
        <x:v>Automated screening pass: row uses a primary source URL by actor/subfactor; verify with country-specific evidence before final analytical use.</x:v>
      </x:c>
      <x:c r="AA156" s="20" t="str">
        <x:v>2026-05-20</x:v>
      </x:c>
      <x:c r="AB156" s="20" t="str">
        <x:v>GPT-5.5 Pro</x:v>
      </x:c>
    </x:row>
    <x:row r="157" ht="24" customHeight="1">
      <x:c r="A157" s="20" t="str">
        <x:v>GHA|European Union</x:v>
      </x:c>
      <x:c r="B157" s="20" t="str">
        <x:v>Ghana</x:v>
      </x:c>
      <x:c r="C157" s="20" t="str">
        <x:v>Republic of Ghana</x:v>
      </x:c>
      <x:c r="D157" s="20" t="str">
        <x:v>GH</x:v>
      </x:c>
      <x:c r="E157" s="20" t="str">
        <x:v>GHA</x:v>
      </x:c>
      <x:c r="F157" s="20" t="str">
        <x:v>288</x:v>
      </x:c>
      <x:c r="G157" s="20" t="str">
        <x:v>Africa</x:v>
      </x:c>
      <x:c r="H157" s="20" t="str">
        <x:v>Western Africa</x:v>
      </x:c>
      <x:c r="I157" s="20" t="str">
        <x:v>European Union</x:v>
      </x:c>
      <x:c r="J157" s="20" t="str">
        <x:v>EU influence</x:v>
      </x:c>
      <x:c r="K157" s="384" t="n">
        <x:v>3</x:v>
      </x:c>
      <x:c r="L157" s="396" t="n">
        <x:v>3</x:v>
      </x:c>
      <x:c r="M157" s="397" t="str">
        <x:v>https://www.eeas.europa.eu/eeas/public-diplomacy_en</x:v>
      </x:c>
      <x:c r="N157" s="384" t="n">
        <x:v>0</x:v>
      </x:c>
      <x:c r="O157" s="396" t="n">
        <x:v>1</x:v>
      </x:c>
      <x:c r="P157" s="397" t="str">
        <x:v>https://www.eeas.europa.eu/eeas/missions-and-operations_en</x:v>
      </x:c>
      <x:c r="Q157" s="384" t="n">
        <x:v>1</x:v>
      </x:c>
      <x:c r="R157" s="396" t="n">
        <x:v>2</x:v>
      </x:c>
      <x:c r="S157" s="397" t="str">
        <x:v>https://www.eeas.europa.eu/eeas/eu-election-observation-missions-1_en?page_lang=en</x:v>
      </x:c>
      <x:c r="T157" s="384" t="n">
        <x:v>2</x:v>
      </x:c>
      <x:c r="U157" s="396" t="n">
        <x:v>2</x:v>
      </x:c>
      <x:c r="V157" s="397" t="str">
        <x:v>https://www.eeas.europa.eu/eeas/missions-and-operations_en</x:v>
      </x:c>
      <x:c r="W157" s="385" t="n">
        <x:f>(--(M157&lt;&gt;"")+--(P157&lt;&gt;"")+--(S157&lt;&gt;"")+--(V157&lt;&gt;""))/4</x:f>
        <x:v>1</x:v>
      </x:c>
      <x:c r="X157" s="384" t="n">
        <x:f>IF(COUNT(K157,N157,Q157,T157)=0,"No data",(IF(ISNUMBER(K157),K157*Factor_Model!$B$4,0)+IF(ISNUMBER(N157),N157*Factor_Model!$B$5,0)+IF(ISNUMBER(Q157),Q157*Factor_Model!$B$6,0)+IF(ISNUMBER(T157),T157*Factor_Model!$B$7,0))/(IF(ISNUMBER(K157),Factor_Model!$B$4,0)+IF(ISNUMBER(N157),Factor_Model!$B$5,0)+IF(ISNUMBER(Q157),Factor_Model!$B$6,0)+IF(ISNUMBER(T157),Factor_Model!$B$7,0)))</x:f>
        <x:v>1.5</x:v>
      </x:c>
      <x:c r="Y157" s="20" t="str">
        <x:f>IF(W157=0,"No source",IF(W157&lt;1,"Partial source","Source-complete"))</x:f>
        <x:v>Source-complete</x:v>
      </x:c>
      <x:c r="Z157" s="20" t="str">
        <x:v>Automated screening pass: row uses a primary source URL by actor/subfactor; verify with country-specific evidence before final analytical use.</x:v>
      </x:c>
      <x:c r="AA157" s="20" t="str">
        <x:v>2026-05-20</x:v>
      </x:c>
      <x:c r="AB157" s="20" t="str">
        <x:v>GPT-5.5 Pro</x:v>
      </x:c>
    </x:row>
    <x:row r="158" ht="24" customHeight="1">
      <x:c r="A158" s="20" t="str">
        <x:v>GRC|Russia</x:v>
      </x:c>
      <x:c r="B158" s="20" t="str">
        <x:v>Greece</x:v>
      </x:c>
      <x:c r="C158" s="20" t="str">
        <x:v>Hellenic Republic</x:v>
      </x:c>
      <x:c r="D158" s="20" t="str">
        <x:v>GR</x:v>
      </x:c>
      <x:c r="E158" s="20" t="str">
        <x:v>GRC</x:v>
      </x:c>
      <x:c r="F158" s="20" t="str">
        <x:v>300</x:v>
      </x:c>
      <x:c r="G158" s="20" t="str">
        <x:v>Europe</x:v>
      </x:c>
      <x:c r="H158" s="20" t="str">
        <x:v>Southern Europe</x:v>
      </x:c>
      <x:c r="I158" s="20" t="str">
        <x:v>Russia</x:v>
      </x:c>
      <x:c r="J158" s="20" t="str">
        <x:v>Russian influence</x:v>
      </x:c>
      <x:c r="K158" s="384" t="n">
        <x:v>5</x:v>
      </x:c>
      <x:c r="L158" s="396" t="n">
        <x:v>3</x:v>
      </x:c>
      <x:c r="M158" s="397" t="str">
        <x:v>https://www.eeas.europa.eu/eeas/4th-eeas-annual-report-foreign-information-manipulation-and-interference-threats_en</x:v>
      </x:c>
      <x:c r="N158" s="384" t="n">
        <x:v>0</x:v>
      </x:c>
      <x:c r="O158" s="396" t="n">
        <x:v>1</x:v>
      </x:c>
      <x:c r="P158" s="397" t="str">
        <x:v>https://www.consilium.europa.eu/en/press/press-releases/2023/02/25/wagner-group-council-adds-11-individuals-and-7-entities-to-eu-sanctions-lists/</x:v>
      </x:c>
      <x:c r="Q158" s="384" t="n">
        <x:v>5</x:v>
      </x:c>
      <x:c r="R158" s="396" t="n">
        <x:v>3</x:v>
      </x:c>
      <x:c r="S158" s="397" t="str">
        <x:v>https://www.dni.gov/files/ODNI/documents/assessments/ATA-2026-Unclassified-Report.pdf</x:v>
      </x:c>
      <x:c r="T158" s="384" t="n">
        <x:v>0</x:v>
      </x:c>
      <x:c r="U158" s="396" t="n">
        <x:v>1</x:v>
      </x:c>
      <x:c r="V158" s="397" t="str">
        <x:v>https://www.consilium.europa.eu/en/press/press-releases/2023/02/25/wagner-group-council-adds-11-individuals-and-7-entities-to-eu-sanctions-lists/</x:v>
      </x:c>
      <x:c r="W158" s="385" t="n">
        <x:f>(--(M158&lt;&gt;"")+--(P158&lt;&gt;"")+--(S158&lt;&gt;"")+--(V158&lt;&gt;""))/4</x:f>
        <x:v>1</x:v>
      </x:c>
      <x:c r="X158" s="384" t="n">
        <x:f>IF(COUNT(K158,N158,Q158,T158)=0,"No data",(IF(ISNUMBER(K158),K158*Factor_Model!$B$4,0)+IF(ISNUMBER(N158),N158*Factor_Model!$B$5,0)+IF(ISNUMBER(Q158),Q158*Factor_Model!$B$6,0)+IF(ISNUMBER(T158),T158*Factor_Model!$B$7,0))/(IF(ISNUMBER(K158),Factor_Model!$B$4,0)+IF(ISNUMBER(N158),Factor_Model!$B$5,0)+IF(ISNUMBER(Q158),Factor_Model!$B$6,0)+IF(ISNUMBER(T158),Factor_Model!$B$7,0)))</x:f>
        <x:v>2.5</x:v>
      </x:c>
      <x:c r="Y158" s="20" t="str">
        <x:f>IF(W158=0,"No source",IF(W158&lt;1,"Partial source","Source-complete"))</x:f>
        <x:v>Source-complete</x:v>
      </x:c>
      <x:c r="Z158" s="20" t="str">
        <x:v>Automated screening pass: row uses a primary source URL by actor/subfactor; verify with country-specific evidence before final analytical use.</x:v>
      </x:c>
      <x:c r="AA158" s="20" t="str">
        <x:v>2026-05-20</x:v>
      </x:c>
      <x:c r="AB158" s="20" t="str">
        <x:v>GPT-5.5 Pro</x:v>
      </x:c>
    </x:row>
    <x:row r="159" ht="24" customHeight="1">
      <x:c r="A159" s="20" t="str">
        <x:v>GRC|China</x:v>
      </x:c>
      <x:c r="B159" s="20" t="str">
        <x:v>Greece</x:v>
      </x:c>
      <x:c r="C159" s="20" t="str">
        <x:v>Hellenic Republic</x:v>
      </x:c>
      <x:c r="D159" s="20" t="str">
        <x:v>GR</x:v>
      </x:c>
      <x:c r="E159" s="20" t="str">
        <x:v>GRC</x:v>
      </x:c>
      <x:c r="F159" s="20" t="str">
        <x:v>300</x:v>
      </x:c>
      <x:c r="G159" s="20" t="str">
        <x:v>Europe</x:v>
      </x:c>
      <x:c r="H159" s="20" t="str">
        <x:v>Southern Europe</x:v>
      </x:c>
      <x:c r="I159" s="20" t="str">
        <x:v>China</x:v>
      </x:c>
      <x:c r="J159" s="20" t="str">
        <x:v>Chinese influence</x:v>
      </x:c>
      <x:c r="K159" s="384" t="n">
        <x:v>4</x:v>
      </x:c>
      <x:c r="L159" s="396" t="n">
        <x:v>3</x:v>
      </x:c>
      <x:c r="M159" s="397" t="str">
        <x:v>https://www.eeas.europa.eu/eeas/4th-eeas-annual-report-foreign-information-manipulation-and-interference-threats_en</x:v>
      </x:c>
      <x:c r="N159" s="384" t="n">
        <x:v>0</x:v>
      </x:c>
      <x:c r="O159" s="396" t="n">
        <x:v>1</x:v>
      </x:c>
      <x:c r="P159" s="397" t="str">
        <x:v>https://merics.org/en/report/guardians-belt-and-road</x:v>
      </x:c>
      <x:c r="Q159" s="384" t="n">
        <x:v>2</x:v>
      </x:c>
      <x:c r="R159" s="396" t="n">
        <x:v>2</x:v>
      </x:c>
      <x:c r="S159" s="397" t="str">
        <x:v>https://www.eeas.europa.eu/eeas/4th-eeas-annual-report-foreign-information-manipulation-and-interference-threats_en</x:v>
      </x:c>
      <x:c r="T159" s="384" t="n">
        <x:v>0</x:v>
      </x:c>
      <x:c r="U159" s="396" t="n">
        <x:v>1</x:v>
      </x:c>
      <x:c r="V159" s="397" t="str">
        <x:v>https://merics.org/en/report/guardians-belt-and-road</x:v>
      </x:c>
      <x:c r="W159" s="385" t="n">
        <x:f>(--(M159&lt;&gt;"")+--(P159&lt;&gt;"")+--(S159&lt;&gt;"")+--(V159&lt;&gt;""))/4</x:f>
        <x:v>1</x:v>
      </x:c>
      <x:c r="X159" s="384" t="n">
        <x:f>IF(COUNT(K159,N159,Q159,T159)=0,"No data",(IF(ISNUMBER(K159),K159*Factor_Model!$B$4,0)+IF(ISNUMBER(N159),N159*Factor_Model!$B$5,0)+IF(ISNUMBER(Q159),Q159*Factor_Model!$B$6,0)+IF(ISNUMBER(T159),T159*Factor_Model!$B$7,0))/(IF(ISNUMBER(K159),Factor_Model!$B$4,0)+IF(ISNUMBER(N159),Factor_Model!$B$5,0)+IF(ISNUMBER(Q159),Factor_Model!$B$6,0)+IF(ISNUMBER(T159),Factor_Model!$B$7,0)))</x:f>
        <x:v>1.5</x:v>
      </x:c>
      <x:c r="Y159" s="20" t="str">
        <x:f>IF(W159=0,"No source",IF(W159&lt;1,"Partial source","Source-complete"))</x:f>
        <x:v>Source-complete</x:v>
      </x:c>
      <x:c r="Z159" s="20" t="str">
        <x:v>Automated screening pass: row uses a primary source URL by actor/subfactor; verify with country-specific evidence before final analytical use.</x:v>
      </x:c>
      <x:c r="AA159" s="20" t="str">
        <x:v>2026-05-20</x:v>
      </x:c>
      <x:c r="AB159" s="20" t="str">
        <x:v>GPT-5.5 Pro</x:v>
      </x:c>
    </x:row>
    <x:row r="160" ht="24" customHeight="1">
      <x:c r="A160" s="20" t="str">
        <x:v>GRC|United States</x:v>
      </x:c>
      <x:c r="B160" s="20" t="str">
        <x:v>Greece</x:v>
      </x:c>
      <x:c r="C160" s="20" t="str">
        <x:v>Hellenic Republic</x:v>
      </x:c>
      <x:c r="D160" s="20" t="str">
        <x:v>GR</x:v>
      </x:c>
      <x:c r="E160" s="20" t="str">
        <x:v>GRC</x:v>
      </x:c>
      <x:c r="F160" s="20" t="str">
        <x:v>300</x:v>
      </x:c>
      <x:c r="G160" s="20" t="str">
        <x:v>Europe</x:v>
      </x:c>
      <x:c r="H160" s="20" t="str">
        <x:v>Southern Europe</x:v>
      </x:c>
      <x:c r="I160" s="20" t="str">
        <x:v>United States</x:v>
      </x:c>
      <x:c r="J160" s="20" t="str">
        <x:v>American influence</x:v>
      </x:c>
      <x:c r="K160" s="384" t="n">
        <x:v>4</x:v>
      </x:c>
      <x:c r="L160" s="396" t="n">
        <x:v>3</x:v>
      </x:c>
      <x:c r="M160" s="397" t="str">
        <x:v>https://www.usagm.gov/our-work/strategy-and-results/strategic-priorities/research-reports/</x:v>
      </x:c>
      <x:c r="N160" s="384" t="n">
        <x:v>3</x:v>
      </x:c>
      <x:c r="O160" s="396" t="n">
        <x:v>3</x:v>
      </x:c>
      <x:c r="P160" s="397" t="str">
        <x:v>https://internationalpolicy.org/programs/sam/</x:v>
      </x:c>
      <x:c r="Q160" s="384" t="n">
        <x:v>1</x:v>
      </x:c>
      <x:c r="R160" s="396" t="n">
        <x:v>2</x:v>
      </x:c>
      <x:c r="S160" s="397" t="str">
        <x:v>https://www.ned.org/ned-grantmaking/</x:v>
      </x:c>
      <x:c r="T160" s="384" t="n">
        <x:v>6</x:v>
      </x:c>
      <x:c r="U160" s="396" t="n">
        <x:v>4</x:v>
      </x:c>
      <x:c r="V160" s="397" t="str">
        <x:v>https://internationalpolicy.org/programs/sam/</x:v>
      </x:c>
      <x:c r="W160" s="385" t="n">
        <x:f>(--(M160&lt;&gt;"")+--(P160&lt;&gt;"")+--(S160&lt;&gt;"")+--(V160&lt;&gt;""))/4</x:f>
        <x:v>1</x:v>
      </x:c>
      <x:c r="X160" s="384" t="n">
        <x:f>IF(COUNT(K160,N160,Q160,T160)=0,"No data",(IF(ISNUMBER(K160),K160*Factor_Model!$B$4,0)+IF(ISNUMBER(N160),N160*Factor_Model!$B$5,0)+IF(ISNUMBER(Q160),Q160*Factor_Model!$B$6,0)+IF(ISNUMBER(T160),T160*Factor_Model!$B$7,0))/(IF(ISNUMBER(K160),Factor_Model!$B$4,0)+IF(ISNUMBER(N160),Factor_Model!$B$5,0)+IF(ISNUMBER(Q160),Factor_Model!$B$6,0)+IF(ISNUMBER(T160),Factor_Model!$B$7,0)))</x:f>
        <x:v>3.5</x:v>
      </x:c>
      <x:c r="Y160" s="20" t="str">
        <x:f>IF(W160=0,"No source",IF(W160&lt;1,"Partial source","Source-complete"))</x:f>
        <x:v>Source-complete</x:v>
      </x:c>
      <x:c r="Z160" s="20" t="str">
        <x:v>Automated screening pass: row uses a primary source URL by actor/subfactor; verify with country-specific evidence before final analytical use.</x:v>
      </x:c>
      <x:c r="AA160" s="20" t="str">
        <x:v>2026-05-20</x:v>
      </x:c>
      <x:c r="AB160" s="20" t="str">
        <x:v>GPT-5.5 Pro</x:v>
      </x:c>
    </x:row>
    <x:row r="161" ht="24" customHeight="1">
      <x:c r="A161" s="20" t="str">
        <x:v>GRC|European Union</x:v>
      </x:c>
      <x:c r="B161" s="20" t="str">
        <x:v>Greece</x:v>
      </x:c>
      <x:c r="C161" s="20" t="str">
        <x:v>Hellenic Republic</x:v>
      </x:c>
      <x:c r="D161" s="20" t="str">
        <x:v>GR</x:v>
      </x:c>
      <x:c r="E161" s="20" t="str">
        <x:v>GRC</x:v>
      </x:c>
      <x:c r="F161" s="20" t="str">
        <x:v>300</x:v>
      </x:c>
      <x:c r="G161" s="20" t="str">
        <x:v>Europe</x:v>
      </x:c>
      <x:c r="H161" s="20" t="str">
        <x:v>Southern Europe</x:v>
      </x:c>
      <x:c r="I161" s="20" t="str">
        <x:v>European Union</x:v>
      </x:c>
      <x:c r="J161" s="20" t="str">
        <x:v>EU influence</x:v>
      </x:c>
      <x:c r="K161" s="384" t="n">
        <x:v>9</x:v>
      </x:c>
      <x:c r="L161" s="396" t="n">
        <x:v>5</x:v>
      </x:c>
      <x:c r="M161" s="397" t="str">
        <x:v>https://www.eeas.europa.eu/eeas/public-diplomacy_en</x:v>
      </x:c>
      <x:c r="N161" s="384" t="n">
        <x:v>0</x:v>
      </x:c>
      <x:c r="O161" s="396" t="n">
        <x:v>1</x:v>
      </x:c>
      <x:c r="P161" s="397" t="str">
        <x:v>https://www.eeas.europa.eu/eeas/missions-and-operations_en</x:v>
      </x:c>
      <x:c r="Q161" s="384" t="n">
        <x:v>2</x:v>
      </x:c>
      <x:c r="R161" s="396" t="n">
        <x:v>2</x:v>
      </x:c>
      <x:c r="S161" s="397" t="str">
        <x:v>https://www.eeas.europa.eu/eeas/eu-election-observation-missions-1_en?page_lang=en</x:v>
      </x:c>
      <x:c r="T161" s="384" t="n">
        <x:v>5</x:v>
      </x:c>
      <x:c r="U161" s="396" t="n">
        <x:v>3</x:v>
      </x:c>
      <x:c r="V161" s="397" t="str">
        <x:v>https://www.eeas.europa.eu/eeas/missions-and-operations_en</x:v>
      </x:c>
      <x:c r="W161" s="385" t="n">
        <x:f>(--(M161&lt;&gt;"")+--(P161&lt;&gt;"")+--(S161&lt;&gt;"")+--(V161&lt;&gt;""))/4</x:f>
        <x:v>1</x:v>
      </x:c>
      <x:c r="X161" s="384" t="n">
        <x:f>IF(COUNT(K161,N161,Q161,T161)=0,"No data",(IF(ISNUMBER(K161),K161*Factor_Model!$B$4,0)+IF(ISNUMBER(N161),N161*Factor_Model!$B$5,0)+IF(ISNUMBER(Q161),Q161*Factor_Model!$B$6,0)+IF(ISNUMBER(T161),T161*Factor_Model!$B$7,0))/(IF(ISNUMBER(K161),Factor_Model!$B$4,0)+IF(ISNUMBER(N161),Factor_Model!$B$5,0)+IF(ISNUMBER(Q161),Factor_Model!$B$6,0)+IF(ISNUMBER(T161),Factor_Model!$B$7,0)))</x:f>
        <x:v>4</x:v>
      </x:c>
      <x:c r="Y161" s="20" t="str">
        <x:f>IF(W161=0,"No source",IF(W161&lt;1,"Partial source","Source-complete"))</x:f>
        <x:v>Source-complete</x:v>
      </x:c>
      <x:c r="Z161" s="20" t="str">
        <x:v>Automated screening pass: row uses a primary source URL by actor/subfactor; verify with country-specific evidence before final analytical use.</x:v>
      </x:c>
      <x:c r="AA161" s="20" t="str">
        <x:v>2026-05-20</x:v>
      </x:c>
      <x:c r="AB161" s="20" t="str">
        <x:v>GPT-5.5 Pro</x:v>
      </x:c>
    </x:row>
    <x:row r="162" ht="24" customHeight="1">
      <x:c r="A162" s="20" t="str">
        <x:v>GIN|Russia</x:v>
      </x:c>
      <x:c r="B162" s="20" t="str">
        <x:v>Guinea</x:v>
      </x:c>
      <x:c r="C162" s="20" t="str">
        <x:v>Republic of Guinea</x:v>
      </x:c>
      <x:c r="D162" s="20" t="str">
        <x:v>GN</x:v>
      </x:c>
      <x:c r="E162" s="20" t="str">
        <x:v>GIN</x:v>
      </x:c>
      <x:c r="F162" s="20" t="str">
        <x:v>324</x:v>
      </x:c>
      <x:c r="G162" s="20" t="str">
        <x:v>Africa</x:v>
      </x:c>
      <x:c r="H162" s="20" t="str">
        <x:v>Western Africa</x:v>
      </x:c>
      <x:c r="I162" s="20" t="str">
        <x:v>Russia</x:v>
      </x:c>
      <x:c r="J162" s="20" t="str">
        <x:v>Russian influence</x:v>
      </x:c>
      <x:c r="K162" s="384" t="n">
        <x:v>4</x:v>
      </x:c>
      <x:c r="L162" s="396" t="n">
        <x:v>3</x:v>
      </x:c>
      <x:c r="M162" s="397" t="str">
        <x:v>https://www.eeas.europa.eu/eeas/4th-eeas-annual-report-foreign-information-manipulation-and-interference-threats_en</x:v>
      </x:c>
      <x:c r="N162" s="384" t="n">
        <x:v>1</x:v>
      </x:c>
      <x:c r="O162" s="396" t="n">
        <x:v>2</x:v>
      </x:c>
      <x:c r="P162" s="397" t="str">
        <x:v>https://www.consilium.europa.eu/en/press/press-releases/2023/02/25/wagner-group-council-adds-11-individuals-and-7-entities-to-eu-sanctions-lists/</x:v>
      </x:c>
      <x:c r="Q162" s="384" t="n">
        <x:v>1</x:v>
      </x:c>
      <x:c r="R162" s="396" t="n">
        <x:v>2</x:v>
      </x:c>
      <x:c r="S162" s="397" t="str">
        <x:v>https://www.dni.gov/files/ODNI/documents/assessments/ATA-2026-Unclassified-Report.pdf</x:v>
      </x:c>
      <x:c r="T162" s="384" t="n">
        <x:v>1</x:v>
      </x:c>
      <x:c r="U162" s="396" t="n">
        <x:v>2</x:v>
      </x:c>
      <x:c r="V162" s="397" t="str">
        <x:v>https://www.consilium.europa.eu/en/press/press-releases/2023/02/25/wagner-group-council-adds-11-individuals-and-7-entities-to-eu-sanctions-lists/</x:v>
      </x:c>
      <x:c r="W162" s="385" t="n">
        <x:f>(--(M162&lt;&gt;"")+--(P162&lt;&gt;"")+--(S162&lt;&gt;"")+--(V162&lt;&gt;""))/4</x:f>
        <x:v>1</x:v>
      </x:c>
      <x:c r="X162" s="384" t="n">
        <x:f>IF(COUNT(K162,N162,Q162,T162)=0,"No data",(IF(ISNUMBER(K162),K162*Factor_Model!$B$4,0)+IF(ISNUMBER(N162),N162*Factor_Model!$B$5,0)+IF(ISNUMBER(Q162),Q162*Factor_Model!$B$6,0)+IF(ISNUMBER(T162),T162*Factor_Model!$B$7,0))/(IF(ISNUMBER(K162),Factor_Model!$B$4,0)+IF(ISNUMBER(N162),Factor_Model!$B$5,0)+IF(ISNUMBER(Q162),Factor_Model!$B$6,0)+IF(ISNUMBER(T162),Factor_Model!$B$7,0)))</x:f>
        <x:v>1.75</x:v>
      </x:c>
      <x:c r="Y162" s="20" t="str">
        <x:f>IF(W162=0,"No source",IF(W162&lt;1,"Partial source","Source-complete"))</x:f>
        <x:v>Source-complete</x:v>
      </x:c>
      <x:c r="Z162" s="20" t="str">
        <x:v>Automated screening pass: row uses a primary source URL by actor/subfactor; verify with country-specific evidence before final analytical use.</x:v>
      </x:c>
      <x:c r="AA162" s="20" t="str">
        <x:v>2026-05-20</x:v>
      </x:c>
      <x:c r="AB162" s="20" t="str">
        <x:v>GPT-5.5 Pro</x:v>
      </x:c>
    </x:row>
    <x:row r="163" ht="24" customHeight="1">
      <x:c r="A163" s="20" t="str">
        <x:v>GIN|China</x:v>
      </x:c>
      <x:c r="B163" s="20" t="str">
        <x:v>Guinea</x:v>
      </x:c>
      <x:c r="C163" s="20" t="str">
        <x:v>Republic of Guinea</x:v>
      </x:c>
      <x:c r="D163" s="20" t="str">
        <x:v>GN</x:v>
      </x:c>
      <x:c r="E163" s="20" t="str">
        <x:v>GIN</x:v>
      </x:c>
      <x:c r="F163" s="20" t="str">
        <x:v>324</x:v>
      </x:c>
      <x:c r="G163" s="20" t="str">
        <x:v>Africa</x:v>
      </x:c>
      <x:c r="H163" s="20" t="str">
        <x:v>Western Africa</x:v>
      </x:c>
      <x:c r="I163" s="20" t="str">
        <x:v>China</x:v>
      </x:c>
      <x:c r="J163" s="20" t="str">
        <x:v>Chinese influence</x:v>
      </x:c>
      <x:c r="K163" s="384" t="n">
        <x:v>5</x:v>
      </x:c>
      <x:c r="L163" s="396" t="n">
        <x:v>3</x:v>
      </x:c>
      <x:c r="M163" s="397" t="str">
        <x:v>https://www.eeas.europa.eu/eeas/4th-eeas-annual-report-foreign-information-manipulation-and-interference-threats_en</x:v>
      </x:c>
      <x:c r="N163" s="384" t="n">
        <x:v>1</x:v>
      </x:c>
      <x:c r="O163" s="396" t="n">
        <x:v>2</x:v>
      </x:c>
      <x:c r="P163" s="397" t="str">
        <x:v>https://merics.org/en/report/guardians-belt-and-road</x:v>
      </x:c>
      <x:c r="Q163" s="384" t="n">
        <x:v>1</x:v>
      </x:c>
      <x:c r="R163" s="396" t="n">
        <x:v>2</x:v>
      </x:c>
      <x:c r="S163" s="397" t="str">
        <x:v>https://www.eeas.europa.eu/eeas/4th-eeas-annual-report-foreign-information-manipulation-and-interference-threats_en</x:v>
      </x:c>
      <x:c r="T163" s="384" t="n">
        <x:v>1</x:v>
      </x:c>
      <x:c r="U163" s="396" t="n">
        <x:v>2</x:v>
      </x:c>
      <x:c r="V163" s="397" t="str">
        <x:v>https://merics.org/en/report/guardians-belt-and-road</x:v>
      </x:c>
      <x:c r="W163" s="385" t="n">
        <x:f>(--(M163&lt;&gt;"")+--(P163&lt;&gt;"")+--(S163&lt;&gt;"")+--(V163&lt;&gt;""))/4</x:f>
        <x:v>1</x:v>
      </x:c>
      <x:c r="X163" s="384" t="n">
        <x:f>IF(COUNT(K163,N163,Q163,T163)=0,"No data",(IF(ISNUMBER(K163),K163*Factor_Model!$B$4,0)+IF(ISNUMBER(N163),N163*Factor_Model!$B$5,0)+IF(ISNUMBER(Q163),Q163*Factor_Model!$B$6,0)+IF(ISNUMBER(T163),T163*Factor_Model!$B$7,0))/(IF(ISNUMBER(K163),Factor_Model!$B$4,0)+IF(ISNUMBER(N163),Factor_Model!$B$5,0)+IF(ISNUMBER(Q163),Factor_Model!$B$6,0)+IF(ISNUMBER(T163),Factor_Model!$B$7,0)))</x:f>
        <x:v>2</x:v>
      </x:c>
      <x:c r="Y163" s="20" t="str">
        <x:f>IF(W163=0,"No source",IF(W163&lt;1,"Partial source","Source-complete"))</x:f>
        <x:v>Source-complete</x:v>
      </x:c>
      <x:c r="Z163" s="20" t="str">
        <x:v>Automated screening pass: row uses a primary source URL by actor/subfactor; verify with country-specific evidence before final analytical use.</x:v>
      </x:c>
      <x:c r="AA163" s="20" t="str">
        <x:v>2026-05-20</x:v>
      </x:c>
      <x:c r="AB163" s="20" t="str">
        <x:v>GPT-5.5 Pro</x:v>
      </x:c>
    </x:row>
    <x:row r="164" ht="24" customHeight="1">
      <x:c r="A164" s="20" t="str">
        <x:v>GIN|United States</x:v>
      </x:c>
      <x:c r="B164" s="20" t="str">
        <x:v>Guinea</x:v>
      </x:c>
      <x:c r="C164" s="20" t="str">
        <x:v>Republic of Guinea</x:v>
      </x:c>
      <x:c r="D164" s="20" t="str">
        <x:v>GN</x:v>
      </x:c>
      <x:c r="E164" s="20" t="str">
        <x:v>GIN</x:v>
      </x:c>
      <x:c r="F164" s="20" t="str">
        <x:v>324</x:v>
      </x:c>
      <x:c r="G164" s="20" t="str">
        <x:v>Africa</x:v>
      </x:c>
      <x:c r="H164" s="20" t="str">
        <x:v>Western Africa</x:v>
      </x:c>
      <x:c r="I164" s="20" t="str">
        <x:v>United States</x:v>
      </x:c>
      <x:c r="J164" s="20" t="str">
        <x:v>American influence</x:v>
      </x:c>
      <x:c r="K164" s="384" t="n">
        <x:v>4</x:v>
      </x:c>
      <x:c r="L164" s="396" t="n">
        <x:v>3</x:v>
      </x:c>
      <x:c r="M164" s="397" t="str">
        <x:v>https://www.usagm.gov/our-work/strategy-and-results/strategic-priorities/research-reports/</x:v>
      </x:c>
      <x:c r="N164" s="384" t="n">
        <x:v>2</x:v>
      </x:c>
      <x:c r="O164" s="396" t="n">
        <x:v>2</x:v>
      </x:c>
      <x:c r="P164" s="397" t="str">
        <x:v>https://internationalpolicy.org/programs/sam/</x:v>
      </x:c>
      <x:c r="Q164" s="384" t="n">
        <x:v>2</x:v>
      </x:c>
      <x:c r="R164" s="396" t="n">
        <x:v>2</x:v>
      </x:c>
      <x:c r="S164" s="397" t="str">
        <x:v>https://www.ned.org/ned-grantmaking/</x:v>
      </x:c>
      <x:c r="T164" s="384" t="n">
        <x:v>3</x:v>
      </x:c>
      <x:c r="U164" s="396" t="n">
        <x:v>3</x:v>
      </x:c>
      <x:c r="V164" s="397" t="str">
        <x:v>https://internationalpolicy.org/programs/sam/</x:v>
      </x:c>
      <x:c r="W164" s="385" t="n">
        <x:f>(--(M164&lt;&gt;"")+--(P164&lt;&gt;"")+--(S164&lt;&gt;"")+--(V164&lt;&gt;""))/4</x:f>
        <x:v>1</x:v>
      </x:c>
      <x:c r="X164" s="384" t="n">
        <x:f>IF(COUNT(K164,N164,Q164,T164)=0,"No data",(IF(ISNUMBER(K164),K164*Factor_Model!$B$4,0)+IF(ISNUMBER(N164),N164*Factor_Model!$B$5,0)+IF(ISNUMBER(Q164),Q164*Factor_Model!$B$6,0)+IF(ISNUMBER(T164),T164*Factor_Model!$B$7,0))/(IF(ISNUMBER(K164),Factor_Model!$B$4,0)+IF(ISNUMBER(N164),Factor_Model!$B$5,0)+IF(ISNUMBER(Q164),Factor_Model!$B$6,0)+IF(ISNUMBER(T164),Factor_Model!$B$7,0)))</x:f>
        <x:v>2.75</x:v>
      </x:c>
      <x:c r="Y164" s="20" t="str">
        <x:f>IF(W164=0,"No source",IF(W164&lt;1,"Partial source","Source-complete"))</x:f>
        <x:v>Source-complete</x:v>
      </x:c>
      <x:c r="Z164" s="20" t="str">
        <x:v>Automated screening pass: row uses a primary source URL by actor/subfactor; verify with country-specific evidence before final analytical use.</x:v>
      </x:c>
      <x:c r="AA164" s="20" t="str">
        <x:v>2026-05-20</x:v>
      </x:c>
      <x:c r="AB164" s="20" t="str">
        <x:v>GPT-5.5 Pro</x:v>
      </x:c>
    </x:row>
    <x:row r="165" ht="24" customHeight="1">
      <x:c r="A165" s="20" t="str">
        <x:v>GIN|European Union</x:v>
      </x:c>
      <x:c r="B165" s="20" t="str">
        <x:v>Guinea</x:v>
      </x:c>
      <x:c r="C165" s="20" t="str">
        <x:v>Republic of Guinea</x:v>
      </x:c>
      <x:c r="D165" s="20" t="str">
        <x:v>GN</x:v>
      </x:c>
      <x:c r="E165" s="20" t="str">
        <x:v>GIN</x:v>
      </x:c>
      <x:c r="F165" s="20" t="str">
        <x:v>324</x:v>
      </x:c>
      <x:c r="G165" s="20" t="str">
        <x:v>Africa</x:v>
      </x:c>
      <x:c r="H165" s="20" t="str">
        <x:v>Western Africa</x:v>
      </x:c>
      <x:c r="I165" s="20" t="str">
        <x:v>European Union</x:v>
      </x:c>
      <x:c r="J165" s="20" t="str">
        <x:v>EU influence</x:v>
      </x:c>
      <x:c r="K165" s="384" t="n">
        <x:v>3</x:v>
      </x:c>
      <x:c r="L165" s="396" t="n">
        <x:v>3</x:v>
      </x:c>
      <x:c r="M165" s="397" t="str">
        <x:v>https://www.eeas.europa.eu/eeas/public-diplomacy_en</x:v>
      </x:c>
      <x:c r="N165" s="384" t="n">
        <x:v>0</x:v>
      </x:c>
      <x:c r="O165" s="396" t="n">
        <x:v>1</x:v>
      </x:c>
      <x:c r="P165" s="397" t="str">
        <x:v>https://www.eeas.europa.eu/eeas/missions-and-operations_en</x:v>
      </x:c>
      <x:c r="Q165" s="384" t="n">
        <x:v>1</x:v>
      </x:c>
      <x:c r="R165" s="396" t="n">
        <x:v>2</x:v>
      </x:c>
      <x:c r="S165" s="397" t="str">
        <x:v>https://www.eeas.europa.eu/eeas/eu-election-observation-missions-1_en?page_lang=en</x:v>
      </x:c>
      <x:c r="T165" s="384" t="n">
        <x:v>2</x:v>
      </x:c>
      <x:c r="U165" s="396" t="n">
        <x:v>2</x:v>
      </x:c>
      <x:c r="V165" s="397" t="str">
        <x:v>https://www.eeas.europa.eu/eeas/missions-and-operations_en</x:v>
      </x:c>
      <x:c r="W165" s="385" t="n">
        <x:f>(--(M165&lt;&gt;"")+--(P165&lt;&gt;"")+--(S165&lt;&gt;"")+--(V165&lt;&gt;""))/4</x:f>
        <x:v>1</x:v>
      </x:c>
      <x:c r="X165" s="384" t="n">
        <x:f>IF(COUNT(K165,N165,Q165,T165)=0,"No data",(IF(ISNUMBER(K165),K165*Factor_Model!$B$4,0)+IF(ISNUMBER(N165),N165*Factor_Model!$B$5,0)+IF(ISNUMBER(Q165),Q165*Factor_Model!$B$6,0)+IF(ISNUMBER(T165),T165*Factor_Model!$B$7,0))/(IF(ISNUMBER(K165),Factor_Model!$B$4,0)+IF(ISNUMBER(N165),Factor_Model!$B$5,0)+IF(ISNUMBER(Q165),Factor_Model!$B$6,0)+IF(ISNUMBER(T165),Factor_Model!$B$7,0)))</x:f>
        <x:v>1.5</x:v>
      </x:c>
      <x:c r="Y165" s="20" t="str">
        <x:f>IF(W165=0,"No source",IF(W165&lt;1,"Partial source","Source-complete"))</x:f>
        <x:v>Source-complete</x:v>
      </x:c>
      <x:c r="Z165" s="20" t="str">
        <x:v>Automated screening pass: row uses a primary source URL by actor/subfactor; verify with country-specific evidence before final analytical use.</x:v>
      </x:c>
      <x:c r="AA165" s="20" t="str">
        <x:v>2026-05-20</x:v>
      </x:c>
      <x:c r="AB165" s="20" t="str">
        <x:v>GPT-5.5 Pro</x:v>
      </x:c>
    </x:row>
    <x:row r="166" ht="24" customHeight="1">
      <x:c r="A166" s="20" t="str">
        <x:v>GUY|Russia</x:v>
      </x:c>
      <x:c r="B166" s="20" t="str">
        <x:v>Guyana</x:v>
      </x:c>
      <x:c r="C166" s="20" t="str">
        <x:v>Republic of Guyana</x:v>
      </x:c>
      <x:c r="D166" s="20" t="str">
        <x:v>GY</x:v>
      </x:c>
      <x:c r="E166" s="20" t="str">
        <x:v>GUY</x:v>
      </x:c>
      <x:c r="F166" s="20" t="str">
        <x:v>328</x:v>
      </x:c>
      <x:c r="G166" s="20" t="str">
        <x:v>Americas</x:v>
      </x:c>
      <x:c r="H166" s="20" t="str">
        <x:v>South America</x:v>
      </x:c>
      <x:c r="I166" s="20" t="str">
        <x:v>Russia</x:v>
      </x:c>
      <x:c r="J166" s="20" t="str">
        <x:v>Russian influence</x:v>
      </x:c>
      <x:c r="K166" s="384" t="n">
        <x:v>3</x:v>
      </x:c>
      <x:c r="L166" s="396" t="n">
        <x:v>3</x:v>
      </x:c>
      <x:c r="M166" s="397" t="str">
        <x:v>https://www.eeas.europa.eu/eeas/4th-eeas-annual-report-foreign-information-manipulation-and-interference-threats_en</x:v>
      </x:c>
      <x:c r="N166" s="384" t="n">
        <x:v>0</x:v>
      </x:c>
      <x:c r="O166" s="396" t="n">
        <x:v>1</x:v>
      </x:c>
      <x:c r="P166" s="397" t="str">
        <x:v>https://www.consilium.europa.eu/en/press/press-releases/2023/02/25/wagner-group-council-adds-11-individuals-and-7-entities-to-eu-sanctions-lists/</x:v>
      </x:c>
      <x:c r="Q166" s="384" t="n">
        <x:v>1</x:v>
      </x:c>
      <x:c r="R166" s="396" t="n">
        <x:v>2</x:v>
      </x:c>
      <x:c r="S166" s="397" t="str">
        <x:v>https://www.dni.gov/files/ODNI/documents/assessments/ATA-2026-Unclassified-Report.pdf</x:v>
      </x:c>
      <x:c r="T166" s="384" t="n">
        <x:v>0</x:v>
      </x:c>
      <x:c r="U166" s="396" t="n">
        <x:v>1</x:v>
      </x:c>
      <x:c r="V166" s="397" t="str">
        <x:v>https://www.consilium.europa.eu/en/press/press-releases/2023/02/25/wagner-group-council-adds-11-individuals-and-7-entities-to-eu-sanctions-lists/</x:v>
      </x:c>
      <x:c r="W166" s="385" t="n">
        <x:f>(--(M166&lt;&gt;"")+--(P166&lt;&gt;"")+--(S166&lt;&gt;"")+--(V166&lt;&gt;""))/4</x:f>
        <x:v>1</x:v>
      </x:c>
      <x:c r="X166" s="384" t="n">
        <x:f>IF(COUNT(K166,N166,Q166,T166)=0,"No data",(IF(ISNUMBER(K166),K166*Factor_Model!$B$4,0)+IF(ISNUMBER(N166),N166*Factor_Model!$B$5,0)+IF(ISNUMBER(Q166),Q166*Factor_Model!$B$6,0)+IF(ISNUMBER(T166),T166*Factor_Model!$B$7,0))/(IF(ISNUMBER(K166),Factor_Model!$B$4,0)+IF(ISNUMBER(N166),Factor_Model!$B$5,0)+IF(ISNUMBER(Q166),Factor_Model!$B$6,0)+IF(ISNUMBER(T166),Factor_Model!$B$7,0)))</x:f>
        <x:v>1</x:v>
      </x:c>
      <x:c r="Y166" s="20" t="str">
        <x:f>IF(W166=0,"No source",IF(W166&lt;1,"Partial source","Source-complete"))</x:f>
        <x:v>Source-complete</x:v>
      </x:c>
      <x:c r="Z166" s="20" t="str">
        <x:v>Automated screening pass: row uses a primary source URL by actor/subfactor; verify with country-specific evidence before final analytical use.</x:v>
      </x:c>
      <x:c r="AA166" s="20" t="str">
        <x:v>2026-05-20</x:v>
      </x:c>
      <x:c r="AB166" s="20" t="str">
        <x:v>GPT-5.5 Pro</x:v>
      </x:c>
    </x:row>
    <x:row r="167" ht="24" customHeight="1">
      <x:c r="A167" s="20" t="str">
        <x:v>GUY|China</x:v>
      </x:c>
      <x:c r="B167" s="20" t="str">
        <x:v>Guyana</x:v>
      </x:c>
      <x:c r="C167" s="20" t="str">
        <x:v>Republic of Guyana</x:v>
      </x:c>
      <x:c r="D167" s="20" t="str">
        <x:v>GY</x:v>
      </x:c>
      <x:c r="E167" s="20" t="str">
        <x:v>GUY</x:v>
      </x:c>
      <x:c r="F167" s="20" t="str">
        <x:v>328</x:v>
      </x:c>
      <x:c r="G167" s="20" t="str">
        <x:v>Americas</x:v>
      </x:c>
      <x:c r="H167" s="20" t="str">
        <x:v>South America</x:v>
      </x:c>
      <x:c r="I167" s="20" t="str">
        <x:v>China</x:v>
      </x:c>
      <x:c r="J167" s="20" t="str">
        <x:v>Chinese influence</x:v>
      </x:c>
      <x:c r="K167" s="384" t="n">
        <x:v>3</x:v>
      </x:c>
      <x:c r="L167" s="396" t="n">
        <x:v>3</x:v>
      </x:c>
      <x:c r="M167" s="397" t="str">
        <x:v>https://www.eeas.europa.eu/eeas/4th-eeas-annual-report-foreign-information-manipulation-and-interference-threats_en</x:v>
      </x:c>
      <x:c r="N167" s="384" t="n">
        <x:v>0</x:v>
      </x:c>
      <x:c r="O167" s="396" t="n">
        <x:v>1</x:v>
      </x:c>
      <x:c r="P167" s="397" t="str">
        <x:v>https://merics.org/en/report/guardians-belt-and-road</x:v>
      </x:c>
      <x:c r="Q167" s="384" t="n">
        <x:v>2</x:v>
      </x:c>
      <x:c r="R167" s="396" t="n">
        <x:v>2</x:v>
      </x:c>
      <x:c r="S167" s="397" t="str">
        <x:v>https://www.eeas.europa.eu/eeas/4th-eeas-annual-report-foreign-information-manipulation-and-interference-threats_en</x:v>
      </x:c>
      <x:c r="T167" s="384" t="n">
        <x:v>0</x:v>
      </x:c>
      <x:c r="U167" s="396" t="n">
        <x:v>1</x:v>
      </x:c>
      <x:c r="V167" s="397" t="str">
        <x:v>https://merics.org/en/report/guardians-belt-and-road</x:v>
      </x:c>
      <x:c r="W167" s="385" t="n">
        <x:f>(--(M167&lt;&gt;"")+--(P167&lt;&gt;"")+--(S167&lt;&gt;"")+--(V167&lt;&gt;""))/4</x:f>
        <x:v>1</x:v>
      </x:c>
      <x:c r="X167" s="384" t="n">
        <x:f>IF(COUNT(K167,N167,Q167,T167)=0,"No data",(IF(ISNUMBER(K167),K167*Factor_Model!$B$4,0)+IF(ISNUMBER(N167),N167*Factor_Model!$B$5,0)+IF(ISNUMBER(Q167),Q167*Factor_Model!$B$6,0)+IF(ISNUMBER(T167),T167*Factor_Model!$B$7,0))/(IF(ISNUMBER(K167),Factor_Model!$B$4,0)+IF(ISNUMBER(N167),Factor_Model!$B$5,0)+IF(ISNUMBER(Q167),Factor_Model!$B$6,0)+IF(ISNUMBER(T167),Factor_Model!$B$7,0)))</x:f>
        <x:v>1.25</x:v>
      </x:c>
      <x:c r="Y167" s="20" t="str">
        <x:f>IF(W167=0,"No source",IF(W167&lt;1,"Partial source","Source-complete"))</x:f>
        <x:v>Source-complete</x:v>
      </x:c>
      <x:c r="Z167" s="20" t="str">
        <x:v>Automated screening pass: row uses a primary source URL by actor/subfactor; verify with country-specific evidence before final analytical use.</x:v>
      </x:c>
      <x:c r="AA167" s="20" t="str">
        <x:v>2026-05-20</x:v>
      </x:c>
      <x:c r="AB167" s="20" t="str">
        <x:v>GPT-5.5 Pro</x:v>
      </x:c>
    </x:row>
    <x:row r="168" ht="24" customHeight="1">
      <x:c r="A168" s="20" t="str">
        <x:v>GUY|United States</x:v>
      </x:c>
      <x:c r="B168" s="20" t="str">
        <x:v>Guyana</x:v>
      </x:c>
      <x:c r="C168" s="20" t="str">
        <x:v>Republic of Guyana</x:v>
      </x:c>
      <x:c r="D168" s="20" t="str">
        <x:v>GY</x:v>
      </x:c>
      <x:c r="E168" s="20" t="str">
        <x:v>GUY</x:v>
      </x:c>
      <x:c r="F168" s="20" t="str">
        <x:v>328</x:v>
      </x:c>
      <x:c r="G168" s="20" t="str">
        <x:v>Americas</x:v>
      </x:c>
      <x:c r="H168" s="20" t="str">
        <x:v>South America</x:v>
      </x:c>
      <x:c r="I168" s="20" t="str">
        <x:v>United States</x:v>
      </x:c>
      <x:c r="J168" s="20" t="str">
        <x:v>American influence</x:v>
      </x:c>
      <x:c r="K168" s="384" t="n">
        <x:v>3</x:v>
      </x:c>
      <x:c r="L168" s="396" t="n">
        <x:v>3</x:v>
      </x:c>
      <x:c r="M168" s="397" t="str">
        <x:v>https://www.usagm.gov/our-work/strategy-and-results/strategic-priorities/research-reports/</x:v>
      </x:c>
      <x:c r="N168" s="384" t="n">
        <x:v>2</x:v>
      </x:c>
      <x:c r="O168" s="396" t="n">
        <x:v>2</x:v>
      </x:c>
      <x:c r="P168" s="397" t="str">
        <x:v>https://internationalpolicy.org/programs/sam/</x:v>
      </x:c>
      <x:c r="Q168" s="384" t="n">
        <x:v>2</x:v>
      </x:c>
      <x:c r="R168" s="396" t="n">
        <x:v>2</x:v>
      </x:c>
      <x:c r="S168" s="397" t="str">
        <x:v>https://www.ned.org/ned-grantmaking/</x:v>
      </x:c>
      <x:c r="T168" s="384" t="n">
        <x:v>4</x:v>
      </x:c>
      <x:c r="U168" s="396" t="n">
        <x:v>3</x:v>
      </x:c>
      <x:c r="V168" s="397" t="str">
        <x:v>https://internationalpolicy.org/programs/sam/</x:v>
      </x:c>
      <x:c r="W168" s="385" t="n">
        <x:f>(--(M168&lt;&gt;"")+--(P168&lt;&gt;"")+--(S168&lt;&gt;"")+--(V168&lt;&gt;""))/4</x:f>
        <x:v>1</x:v>
      </x:c>
      <x:c r="X168" s="384" t="n">
        <x:f>IF(COUNT(K168,N168,Q168,T168)=0,"No data",(IF(ISNUMBER(K168),K168*Factor_Model!$B$4,0)+IF(ISNUMBER(N168),N168*Factor_Model!$B$5,0)+IF(ISNUMBER(Q168),Q168*Factor_Model!$B$6,0)+IF(ISNUMBER(T168),T168*Factor_Model!$B$7,0))/(IF(ISNUMBER(K168),Factor_Model!$B$4,0)+IF(ISNUMBER(N168),Factor_Model!$B$5,0)+IF(ISNUMBER(Q168),Factor_Model!$B$6,0)+IF(ISNUMBER(T168),Factor_Model!$B$7,0)))</x:f>
        <x:v>2.75</x:v>
      </x:c>
      <x:c r="Y168" s="20" t="str">
        <x:f>IF(W168=0,"No source",IF(W168&lt;1,"Partial source","Source-complete"))</x:f>
        <x:v>Source-complete</x:v>
      </x:c>
      <x:c r="Z168" s="20" t="str">
        <x:v>Automated screening pass: row uses a primary source URL by actor/subfactor; verify with country-specific evidence before final analytical use.</x:v>
      </x:c>
      <x:c r="AA168" s="20" t="str">
        <x:v>2026-05-20</x:v>
      </x:c>
      <x:c r="AB168" s="20" t="str">
        <x:v>GPT-5.5 Pro</x:v>
      </x:c>
    </x:row>
    <x:row r="169" ht="24" customHeight="1">
      <x:c r="A169" s="20" t="str">
        <x:v>GUY|European Union</x:v>
      </x:c>
      <x:c r="B169" s="20" t="str">
        <x:v>Guyana</x:v>
      </x:c>
      <x:c r="C169" s="20" t="str">
        <x:v>Republic of Guyana</x:v>
      </x:c>
      <x:c r="D169" s="20" t="str">
        <x:v>GY</x:v>
      </x:c>
      <x:c r="E169" s="20" t="str">
        <x:v>GUY</x:v>
      </x:c>
      <x:c r="F169" s="20" t="str">
        <x:v>328</x:v>
      </x:c>
      <x:c r="G169" s="20" t="str">
        <x:v>Americas</x:v>
      </x:c>
      <x:c r="H169" s="20" t="str">
        <x:v>South America</x:v>
      </x:c>
      <x:c r="I169" s="20" t="str">
        <x:v>European Union</x:v>
      </x:c>
      <x:c r="J169" s="20" t="str">
        <x:v>EU influence</x:v>
      </x:c>
      <x:c r="K169" s="384" t="n">
        <x:v>3</x:v>
      </x:c>
      <x:c r="L169" s="396" t="n">
        <x:v>3</x:v>
      </x:c>
      <x:c r="M169" s="397" t="str">
        <x:v>https://www.eeas.europa.eu/eeas/public-diplomacy_en</x:v>
      </x:c>
      <x:c r="N169" s="384" t="n">
        <x:v>0</x:v>
      </x:c>
      <x:c r="O169" s="396" t="n">
        <x:v>1</x:v>
      </x:c>
      <x:c r="P169" s="397" t="str">
        <x:v>https://www.eeas.europa.eu/eeas/missions-and-operations_en</x:v>
      </x:c>
      <x:c r="Q169" s="384" t="n">
        <x:v>1</x:v>
      </x:c>
      <x:c r="R169" s="396" t="n">
        <x:v>2</x:v>
      </x:c>
      <x:c r="S169" s="397" t="str">
        <x:v>https://www.eeas.europa.eu/eeas/eu-election-observation-missions-1_en?page_lang=en</x:v>
      </x:c>
      <x:c r="T169" s="384" t="n">
        <x:v>2</x:v>
      </x:c>
      <x:c r="U169" s="396" t="n">
        <x:v>2</x:v>
      </x:c>
      <x:c r="V169" s="397" t="str">
        <x:v>https://www.eeas.europa.eu/eeas/missions-and-operations_en</x:v>
      </x:c>
      <x:c r="W169" s="385" t="n">
        <x:f>(--(M169&lt;&gt;"")+--(P169&lt;&gt;"")+--(S169&lt;&gt;"")+--(V169&lt;&gt;""))/4</x:f>
        <x:v>1</x:v>
      </x:c>
      <x:c r="X169" s="384" t="n">
        <x:f>IF(COUNT(K169,N169,Q169,T169)=0,"No data",(IF(ISNUMBER(K169),K169*Factor_Model!$B$4,0)+IF(ISNUMBER(N169),N169*Factor_Model!$B$5,0)+IF(ISNUMBER(Q169),Q169*Factor_Model!$B$6,0)+IF(ISNUMBER(T169),T169*Factor_Model!$B$7,0))/(IF(ISNUMBER(K169),Factor_Model!$B$4,0)+IF(ISNUMBER(N169),Factor_Model!$B$5,0)+IF(ISNUMBER(Q169),Factor_Model!$B$6,0)+IF(ISNUMBER(T169),Factor_Model!$B$7,0)))</x:f>
        <x:v>1.5</x:v>
      </x:c>
      <x:c r="Y169" s="20" t="str">
        <x:f>IF(W169=0,"No source",IF(W169&lt;1,"Partial source","Source-complete"))</x:f>
        <x:v>Source-complete</x:v>
      </x:c>
      <x:c r="Z169" s="20" t="str">
        <x:v>Automated screening pass: row uses a primary source URL by actor/subfactor; verify with country-specific evidence before final analytical use.</x:v>
      </x:c>
      <x:c r="AA169" s="20" t="str">
        <x:v>2026-05-20</x:v>
      </x:c>
      <x:c r="AB169" s="20" t="str">
        <x:v>GPT-5.5 Pro</x:v>
      </x:c>
    </x:row>
    <x:row r="170" ht="24" customHeight="1">
      <x:c r="A170" s="20" t="str">
        <x:v>HUN|Russia</x:v>
      </x:c>
      <x:c r="B170" s="20" t="str">
        <x:v>Hungary</x:v>
      </x:c>
      <x:c r="C170" s="20" t="str">
        <x:v>Hungary</x:v>
      </x:c>
      <x:c r="D170" s="20" t="str">
        <x:v>HU</x:v>
      </x:c>
      <x:c r="E170" s="20" t="str">
        <x:v>HUN</x:v>
      </x:c>
      <x:c r="F170" s="20" t="str">
        <x:v>348</x:v>
      </x:c>
      <x:c r="G170" s="20" t="str">
        <x:v>Europe</x:v>
      </x:c>
      <x:c r="H170" s="20" t="str">
        <x:v>Eastern Europe</x:v>
      </x:c>
      <x:c r="I170" s="20" t="str">
        <x:v>Russia</x:v>
      </x:c>
      <x:c r="J170" s="20" t="str">
        <x:v>Russian influence</x:v>
      </x:c>
      <x:c r="K170" s="384" t="n">
        <x:v>7</x:v>
      </x:c>
      <x:c r="L170" s="396" t="n">
        <x:v>4</x:v>
      </x:c>
      <x:c r="M170" s="397" t="str">
        <x:v>https://www.eeas.europa.eu/eeas/4th-eeas-annual-report-foreign-information-manipulation-and-interference-threats_en</x:v>
      </x:c>
      <x:c r="N170" s="384" t="n">
        <x:v>0</x:v>
      </x:c>
      <x:c r="O170" s="396" t="n">
        <x:v>1</x:v>
      </x:c>
      <x:c r="P170" s="397" t="str">
        <x:v>https://www.consilium.europa.eu/en/press/press-releases/2023/02/25/wagner-group-council-adds-11-individuals-and-7-entities-to-eu-sanctions-lists/</x:v>
      </x:c>
      <x:c r="Q170" s="384" t="n">
        <x:v>5</x:v>
      </x:c>
      <x:c r="R170" s="396" t="n">
        <x:v>3</x:v>
      </x:c>
      <x:c r="S170" s="397" t="str">
        <x:v>https://www.dni.gov/files/ODNI/documents/assessments/ATA-2026-Unclassified-Report.pdf</x:v>
      </x:c>
      <x:c r="T170" s="384" t="n">
        <x:v>0</x:v>
      </x:c>
      <x:c r="U170" s="396" t="n">
        <x:v>1</x:v>
      </x:c>
      <x:c r="V170" s="397" t="str">
        <x:v>https://www.consilium.europa.eu/en/press/press-releases/2023/02/25/wagner-group-council-adds-11-individuals-and-7-entities-to-eu-sanctions-lists/</x:v>
      </x:c>
      <x:c r="W170" s="385" t="n">
        <x:f>(--(M170&lt;&gt;"")+--(P170&lt;&gt;"")+--(S170&lt;&gt;"")+--(V170&lt;&gt;""))/4</x:f>
        <x:v>1</x:v>
      </x:c>
      <x:c r="X170" s="384" t="n">
        <x:f>IF(COUNT(K170,N170,Q170,T170)=0,"No data",(IF(ISNUMBER(K170),K170*Factor_Model!$B$4,0)+IF(ISNUMBER(N170),N170*Factor_Model!$B$5,0)+IF(ISNUMBER(Q170),Q170*Factor_Model!$B$6,0)+IF(ISNUMBER(T170),T170*Factor_Model!$B$7,0))/(IF(ISNUMBER(K170),Factor_Model!$B$4,0)+IF(ISNUMBER(N170),Factor_Model!$B$5,0)+IF(ISNUMBER(Q170),Factor_Model!$B$6,0)+IF(ISNUMBER(T170),Factor_Model!$B$7,0)))</x:f>
        <x:v>3</x:v>
      </x:c>
      <x:c r="Y170" s="20" t="str">
        <x:f>IF(W170=0,"No source",IF(W170&lt;1,"Partial source","Source-complete"))</x:f>
        <x:v>Source-complete</x:v>
      </x:c>
      <x:c r="Z170" s="20" t="str">
        <x:v>Automated screening pass: row uses a primary source URL by actor/subfactor; verify with country-specific evidence before final analytical use.</x:v>
      </x:c>
      <x:c r="AA170" s="20" t="str">
        <x:v>2026-05-20</x:v>
      </x:c>
      <x:c r="AB170" s="20" t="str">
        <x:v>GPT-5.5 Pro</x:v>
      </x:c>
    </x:row>
    <x:row r="171" ht="24" customHeight="1">
      <x:c r="A171" s="20" t="str">
        <x:v>HUN|China</x:v>
      </x:c>
      <x:c r="B171" s="20" t="str">
        <x:v>Hungary</x:v>
      </x:c>
      <x:c r="C171" s="20" t="str">
        <x:v>Hungary</x:v>
      </x:c>
      <x:c r="D171" s="20" t="str">
        <x:v>HU</x:v>
      </x:c>
      <x:c r="E171" s="20" t="str">
        <x:v>HUN</x:v>
      </x:c>
      <x:c r="F171" s="20" t="str">
        <x:v>348</x:v>
      </x:c>
      <x:c r="G171" s="20" t="str">
        <x:v>Europe</x:v>
      </x:c>
      <x:c r="H171" s="20" t="str">
        <x:v>Eastern Europe</x:v>
      </x:c>
      <x:c r="I171" s="20" t="str">
        <x:v>China</x:v>
      </x:c>
      <x:c r="J171" s="20" t="str">
        <x:v>Chinese influence</x:v>
      </x:c>
      <x:c r="K171" s="384" t="n">
        <x:v>4</x:v>
      </x:c>
      <x:c r="L171" s="396" t="n">
        <x:v>3</x:v>
      </x:c>
      <x:c r="M171" s="397" t="str">
        <x:v>https://www.eeas.europa.eu/eeas/4th-eeas-annual-report-foreign-information-manipulation-and-interference-threats_en</x:v>
      </x:c>
      <x:c r="N171" s="384" t="n">
        <x:v>0</x:v>
      </x:c>
      <x:c r="O171" s="396" t="n">
        <x:v>1</x:v>
      </x:c>
      <x:c r="P171" s="397" t="str">
        <x:v>https://merics.org/en/report/guardians-belt-and-road</x:v>
      </x:c>
      <x:c r="Q171" s="384" t="n">
        <x:v>2</x:v>
      </x:c>
      <x:c r="R171" s="396" t="n">
        <x:v>2</x:v>
      </x:c>
      <x:c r="S171" s="397" t="str">
        <x:v>https://www.eeas.europa.eu/eeas/4th-eeas-annual-report-foreign-information-manipulation-and-interference-threats_en</x:v>
      </x:c>
      <x:c r="T171" s="384" t="n">
        <x:v>0</x:v>
      </x:c>
      <x:c r="U171" s="396" t="n">
        <x:v>1</x:v>
      </x:c>
      <x:c r="V171" s="397" t="str">
        <x:v>https://merics.org/en/report/guardians-belt-and-road</x:v>
      </x:c>
      <x:c r="W171" s="385" t="n">
        <x:f>(--(M171&lt;&gt;"")+--(P171&lt;&gt;"")+--(S171&lt;&gt;"")+--(V171&lt;&gt;""))/4</x:f>
        <x:v>1</x:v>
      </x:c>
      <x:c r="X171" s="384" t="n">
        <x:f>IF(COUNT(K171,N171,Q171,T171)=0,"No data",(IF(ISNUMBER(K171),K171*Factor_Model!$B$4,0)+IF(ISNUMBER(N171),N171*Factor_Model!$B$5,0)+IF(ISNUMBER(Q171),Q171*Factor_Model!$B$6,0)+IF(ISNUMBER(T171),T171*Factor_Model!$B$7,0))/(IF(ISNUMBER(K171),Factor_Model!$B$4,0)+IF(ISNUMBER(N171),Factor_Model!$B$5,0)+IF(ISNUMBER(Q171),Factor_Model!$B$6,0)+IF(ISNUMBER(T171),Factor_Model!$B$7,0)))</x:f>
        <x:v>1.5</x:v>
      </x:c>
      <x:c r="Y171" s="20" t="str">
        <x:f>IF(W171=0,"No source",IF(W171&lt;1,"Partial source","Source-complete"))</x:f>
        <x:v>Source-complete</x:v>
      </x:c>
      <x:c r="Z171" s="20" t="str">
        <x:v>Automated screening pass: row uses a primary source URL by actor/subfactor; verify with country-specific evidence before final analytical use.</x:v>
      </x:c>
      <x:c r="AA171" s="20" t="str">
        <x:v>2026-05-20</x:v>
      </x:c>
      <x:c r="AB171" s="20" t="str">
        <x:v>GPT-5.5 Pro</x:v>
      </x:c>
    </x:row>
    <x:row r="172" ht="24" customHeight="1">
      <x:c r="A172" s="20" t="str">
        <x:v>HUN|United States</x:v>
      </x:c>
      <x:c r="B172" s="20" t="str">
        <x:v>Hungary</x:v>
      </x:c>
      <x:c r="C172" s="20" t="str">
        <x:v>Hungary</x:v>
      </x:c>
      <x:c r="D172" s="20" t="str">
        <x:v>HU</x:v>
      </x:c>
      <x:c r="E172" s="20" t="str">
        <x:v>HUN</x:v>
      </x:c>
      <x:c r="F172" s="20" t="str">
        <x:v>348</x:v>
      </x:c>
      <x:c r="G172" s="20" t="str">
        <x:v>Europe</x:v>
      </x:c>
      <x:c r="H172" s="20" t="str">
        <x:v>Eastern Europe</x:v>
      </x:c>
      <x:c r="I172" s="20" t="str">
        <x:v>United States</x:v>
      </x:c>
      <x:c r="J172" s="20" t="str">
        <x:v>American influence</x:v>
      </x:c>
      <x:c r="K172" s="384" t="n">
        <x:v>4</x:v>
      </x:c>
      <x:c r="L172" s="396" t="n">
        <x:v>3</x:v>
      </x:c>
      <x:c r="M172" s="397" t="str">
        <x:v>https://www.usagm.gov/our-work/strategy-and-results/strategic-priorities/research-reports/</x:v>
      </x:c>
      <x:c r="N172" s="384" t="n">
        <x:v>3</x:v>
      </x:c>
      <x:c r="O172" s="396" t="n">
        <x:v>3</x:v>
      </x:c>
      <x:c r="P172" s="397" t="str">
        <x:v>https://internationalpolicy.org/programs/sam/</x:v>
      </x:c>
      <x:c r="Q172" s="384" t="n">
        <x:v>1</x:v>
      </x:c>
      <x:c r="R172" s="396" t="n">
        <x:v>2</x:v>
      </x:c>
      <x:c r="S172" s="397" t="str">
        <x:v>https://www.ned.org/ned-grantmaking/</x:v>
      </x:c>
      <x:c r="T172" s="384" t="n">
        <x:v>6</x:v>
      </x:c>
      <x:c r="U172" s="396" t="n">
        <x:v>4</x:v>
      </x:c>
      <x:c r="V172" s="397" t="str">
        <x:v>https://internationalpolicy.org/programs/sam/</x:v>
      </x:c>
      <x:c r="W172" s="385" t="n">
        <x:f>(--(M172&lt;&gt;"")+--(P172&lt;&gt;"")+--(S172&lt;&gt;"")+--(V172&lt;&gt;""))/4</x:f>
        <x:v>1</x:v>
      </x:c>
      <x:c r="X172" s="384" t="n">
        <x:f>IF(COUNT(K172,N172,Q172,T172)=0,"No data",(IF(ISNUMBER(K172),K172*Factor_Model!$B$4,0)+IF(ISNUMBER(N172),N172*Factor_Model!$B$5,0)+IF(ISNUMBER(Q172),Q172*Factor_Model!$B$6,0)+IF(ISNUMBER(T172),T172*Factor_Model!$B$7,0))/(IF(ISNUMBER(K172),Factor_Model!$B$4,0)+IF(ISNUMBER(N172),Factor_Model!$B$5,0)+IF(ISNUMBER(Q172),Factor_Model!$B$6,0)+IF(ISNUMBER(T172),Factor_Model!$B$7,0)))</x:f>
        <x:v>3.5</x:v>
      </x:c>
      <x:c r="Y172" s="20" t="str">
        <x:f>IF(W172=0,"No source",IF(W172&lt;1,"Partial source","Source-complete"))</x:f>
        <x:v>Source-complete</x:v>
      </x:c>
      <x:c r="Z172" s="20" t="str">
        <x:v>Automated screening pass: row uses a primary source URL by actor/subfactor; verify with country-specific evidence before final analytical use.</x:v>
      </x:c>
      <x:c r="AA172" s="20" t="str">
        <x:v>2026-05-20</x:v>
      </x:c>
      <x:c r="AB172" s="20" t="str">
        <x:v>GPT-5.5 Pro</x:v>
      </x:c>
    </x:row>
    <x:row r="173" ht="24" customHeight="1">
      <x:c r="A173" s="20" t="str">
        <x:v>HUN|European Union</x:v>
      </x:c>
      <x:c r="B173" s="20" t="str">
        <x:v>Hungary</x:v>
      </x:c>
      <x:c r="C173" s="20" t="str">
        <x:v>Hungary</x:v>
      </x:c>
      <x:c r="D173" s="20" t="str">
        <x:v>HU</x:v>
      </x:c>
      <x:c r="E173" s="20" t="str">
        <x:v>HUN</x:v>
      </x:c>
      <x:c r="F173" s="20" t="str">
        <x:v>348</x:v>
      </x:c>
      <x:c r="G173" s="20" t="str">
        <x:v>Europe</x:v>
      </x:c>
      <x:c r="H173" s="20" t="str">
        <x:v>Eastern Europe</x:v>
      </x:c>
      <x:c r="I173" s="20" t="str">
        <x:v>European Union</x:v>
      </x:c>
      <x:c r="J173" s="20" t="str">
        <x:v>EU influence</x:v>
      </x:c>
      <x:c r="K173" s="384" t="n">
        <x:v>9</x:v>
      </x:c>
      <x:c r="L173" s="396" t="n">
        <x:v>5</x:v>
      </x:c>
      <x:c r="M173" s="397" t="str">
        <x:v>https://www.eeas.europa.eu/eeas/public-diplomacy_en</x:v>
      </x:c>
      <x:c r="N173" s="384" t="n">
        <x:v>0</x:v>
      </x:c>
      <x:c r="O173" s="396" t="n">
        <x:v>1</x:v>
      </x:c>
      <x:c r="P173" s="397" t="str">
        <x:v>https://www.eeas.europa.eu/eeas/missions-and-operations_en</x:v>
      </x:c>
      <x:c r="Q173" s="384" t="n">
        <x:v>2</x:v>
      </x:c>
      <x:c r="R173" s="396" t="n">
        <x:v>2</x:v>
      </x:c>
      <x:c r="S173" s="397" t="str">
        <x:v>https://www.eeas.europa.eu/eeas/eu-election-observation-missions-1_en?page_lang=en</x:v>
      </x:c>
      <x:c r="T173" s="384" t="n">
        <x:v>5</x:v>
      </x:c>
      <x:c r="U173" s="396" t="n">
        <x:v>3</x:v>
      </x:c>
      <x:c r="V173" s="397" t="str">
        <x:v>https://www.eeas.europa.eu/eeas/missions-and-operations_en</x:v>
      </x:c>
      <x:c r="W173" s="385" t="n">
        <x:f>(--(M173&lt;&gt;"")+--(P173&lt;&gt;"")+--(S173&lt;&gt;"")+--(V173&lt;&gt;""))/4</x:f>
        <x:v>1</x:v>
      </x:c>
      <x:c r="X173" s="384" t="n">
        <x:f>IF(COUNT(K173,N173,Q173,T173)=0,"No data",(IF(ISNUMBER(K173),K173*Factor_Model!$B$4,0)+IF(ISNUMBER(N173),N173*Factor_Model!$B$5,0)+IF(ISNUMBER(Q173),Q173*Factor_Model!$B$6,0)+IF(ISNUMBER(T173),T173*Factor_Model!$B$7,0))/(IF(ISNUMBER(K173),Factor_Model!$B$4,0)+IF(ISNUMBER(N173),Factor_Model!$B$5,0)+IF(ISNUMBER(Q173),Factor_Model!$B$6,0)+IF(ISNUMBER(T173),Factor_Model!$B$7,0)))</x:f>
        <x:v>4</x:v>
      </x:c>
      <x:c r="Y173" s="20" t="str">
        <x:f>IF(W173=0,"No source",IF(W173&lt;1,"Partial source","Source-complete"))</x:f>
        <x:v>Source-complete</x:v>
      </x:c>
      <x:c r="Z173" s="20" t="str">
        <x:v>Automated screening pass: row uses a primary source URL by actor/subfactor; verify with country-specific evidence before final analytical use.</x:v>
      </x:c>
      <x:c r="AA173" s="20" t="str">
        <x:v>2026-05-20</x:v>
      </x:c>
      <x:c r="AB173" s="20" t="str">
        <x:v>GPT-5.5 Pro</x:v>
      </x:c>
    </x:row>
    <x:row r="174" ht="24" customHeight="1">
      <x:c r="A174" s="20" t="str">
        <x:v>IND|Russia</x:v>
      </x:c>
      <x:c r="B174" s="20" t="str">
        <x:v>India</x:v>
      </x:c>
      <x:c r="C174" s="20" t="str">
        <x:v>Republic of India</x:v>
      </x:c>
      <x:c r="D174" s="20" t="str">
        <x:v>IN</x:v>
      </x:c>
      <x:c r="E174" s="20" t="str">
        <x:v>IND</x:v>
      </x:c>
      <x:c r="F174" s="20" t="str">
        <x:v>356</x:v>
      </x:c>
      <x:c r="G174" s="20" t="str">
        <x:v>Asia</x:v>
      </x:c>
      <x:c r="H174" s="20" t="str">
        <x:v>Southern Asia</x:v>
      </x:c>
      <x:c r="I174" s="20" t="str">
        <x:v>Russia</x:v>
      </x:c>
      <x:c r="J174" s="20" t="str">
        <x:v>Russian influence</x:v>
      </x:c>
      <x:c r="K174" s="384" t="n">
        <x:v>2</x:v>
      </x:c>
      <x:c r="L174" s="396" t="n">
        <x:v>2</x:v>
      </x:c>
      <x:c r="M174" s="397" t="str">
        <x:v>https://www.eeas.europa.eu/eeas/4th-eeas-annual-report-foreign-information-manipulation-and-interference-threats_en</x:v>
      </x:c>
      <x:c r="N174" s="384" t="n">
        <x:v>0</x:v>
      </x:c>
      <x:c r="O174" s="396" t="n">
        <x:v>1</x:v>
      </x:c>
      <x:c r="P174" s="397" t="str">
        <x:v>https://www.consilium.europa.eu/en/press/press-releases/2023/02/25/wagner-group-council-adds-11-individuals-and-7-entities-to-eu-sanctions-lists/</x:v>
      </x:c>
      <x:c r="Q174" s="384" t="n">
        <x:v>0</x:v>
      </x:c>
      <x:c r="R174" s="396" t="n">
        <x:v>1</x:v>
      </x:c>
      <x:c r="S174" s="397" t="str">
        <x:v>https://www.dni.gov/files/ODNI/documents/assessments/ATA-2026-Unclassified-Report.pdf</x:v>
      </x:c>
      <x:c r="T174" s="384" t="n">
        <x:v>0</x:v>
      </x:c>
      <x:c r="U174" s="396" t="n">
        <x:v>1</x:v>
      </x:c>
      <x:c r="V174" s="397" t="str">
        <x:v>https://www.consilium.europa.eu/en/press/press-releases/2023/02/25/wagner-group-council-adds-11-individuals-and-7-entities-to-eu-sanctions-lists/</x:v>
      </x:c>
      <x:c r="W174" s="385" t="n">
        <x:f>(--(M174&lt;&gt;"")+--(P174&lt;&gt;"")+--(S174&lt;&gt;"")+--(V174&lt;&gt;""))/4</x:f>
        <x:v>1</x:v>
      </x:c>
      <x:c r="X174" s="384" t="n">
        <x:f>IF(COUNT(K174,N174,Q174,T174)=0,"No data",(IF(ISNUMBER(K174),K174*Factor_Model!$B$4,0)+IF(ISNUMBER(N174),N174*Factor_Model!$B$5,0)+IF(ISNUMBER(Q174),Q174*Factor_Model!$B$6,0)+IF(ISNUMBER(T174),T174*Factor_Model!$B$7,0))/(IF(ISNUMBER(K174),Factor_Model!$B$4,0)+IF(ISNUMBER(N174),Factor_Model!$B$5,0)+IF(ISNUMBER(Q174),Factor_Model!$B$6,0)+IF(ISNUMBER(T174),Factor_Model!$B$7,0)))</x:f>
        <x:v>0.5</x:v>
      </x:c>
      <x:c r="Y174" s="20" t="str">
        <x:f>IF(W174=0,"No source",IF(W174&lt;1,"Partial source","Source-complete"))</x:f>
        <x:v>Source-complete</x:v>
      </x:c>
      <x:c r="Z174" s="20" t="str">
        <x:v>Automated screening pass: row uses a primary source URL by actor/subfactor; verify with country-specific evidence before final analytical use.</x:v>
      </x:c>
      <x:c r="AA174" s="20" t="str">
        <x:v>2026-05-20</x:v>
      </x:c>
      <x:c r="AB174" s="20" t="str">
        <x:v>GPT-5.5 Pro</x:v>
      </x:c>
    </x:row>
    <x:row r="175" ht="24" customHeight="1">
      <x:c r="A175" s="20" t="str">
        <x:v>IND|China</x:v>
      </x:c>
      <x:c r="B175" s="20" t="str">
        <x:v>India</x:v>
      </x:c>
      <x:c r="C175" s="20" t="str">
        <x:v>Republic of India</x:v>
      </x:c>
      <x:c r="D175" s="20" t="str">
        <x:v>IN</x:v>
      </x:c>
      <x:c r="E175" s="20" t="str">
        <x:v>IND</x:v>
      </x:c>
      <x:c r="F175" s="20" t="str">
        <x:v>356</x:v>
      </x:c>
      <x:c r="G175" s="20" t="str">
        <x:v>Asia</x:v>
      </x:c>
      <x:c r="H175" s="20" t="str">
        <x:v>Southern Asia</x:v>
      </x:c>
      <x:c r="I175" s="20" t="str">
        <x:v>China</x:v>
      </x:c>
      <x:c r="J175" s="20" t="str">
        <x:v>Chinese influence</x:v>
      </x:c>
      <x:c r="K175" s="384" t="n">
        <x:v>5</x:v>
      </x:c>
      <x:c r="L175" s="396" t="n">
        <x:v>3</x:v>
      </x:c>
      <x:c r="M175" s="397" t="str">
        <x:v>https://www.eeas.europa.eu/eeas/4th-eeas-annual-report-foreign-information-manipulation-and-interference-threats_en</x:v>
      </x:c>
      <x:c r="N175" s="384" t="n">
        <x:v>0</x:v>
      </x:c>
      <x:c r="O175" s="396" t="n">
        <x:v>1</x:v>
      </x:c>
      <x:c r="P175" s="397" t="str">
        <x:v>https://merics.org/en/report/guardians-belt-and-road</x:v>
      </x:c>
      <x:c r="Q175" s="384" t="n">
        <x:v>4</x:v>
      </x:c>
      <x:c r="R175" s="396" t="n">
        <x:v>3</x:v>
      </x:c>
      <x:c r="S175" s="397" t="str">
        <x:v>https://www.eeas.europa.eu/eeas/4th-eeas-annual-report-foreign-information-manipulation-and-interference-threats_en</x:v>
      </x:c>
      <x:c r="T175" s="384" t="n">
        <x:v>1</x:v>
      </x:c>
      <x:c r="U175" s="396" t="n">
        <x:v>2</x:v>
      </x:c>
      <x:c r="V175" s="397" t="str">
        <x:v>https://merics.org/en/report/guardians-belt-and-road</x:v>
      </x:c>
      <x:c r="W175" s="385" t="n">
        <x:f>(--(M175&lt;&gt;"")+--(P175&lt;&gt;"")+--(S175&lt;&gt;"")+--(V175&lt;&gt;""))/4</x:f>
        <x:v>1</x:v>
      </x:c>
      <x:c r="X175" s="384" t="n">
        <x:f>IF(COUNT(K175,N175,Q175,T175)=0,"No data",(IF(ISNUMBER(K175),K175*Factor_Model!$B$4,0)+IF(ISNUMBER(N175),N175*Factor_Model!$B$5,0)+IF(ISNUMBER(Q175),Q175*Factor_Model!$B$6,0)+IF(ISNUMBER(T175),T175*Factor_Model!$B$7,0))/(IF(ISNUMBER(K175),Factor_Model!$B$4,0)+IF(ISNUMBER(N175),Factor_Model!$B$5,0)+IF(ISNUMBER(Q175),Factor_Model!$B$6,0)+IF(ISNUMBER(T175),Factor_Model!$B$7,0)))</x:f>
        <x:v>2.5</x:v>
      </x:c>
      <x:c r="Y175" s="20" t="str">
        <x:f>IF(W175=0,"No source",IF(W175&lt;1,"Partial source","Source-complete"))</x:f>
        <x:v>Source-complete</x:v>
      </x:c>
      <x:c r="Z175" s="20" t="str">
        <x:v>Automated screening pass: row uses a primary source URL by actor/subfactor; verify with country-specific evidence before final analytical use.</x:v>
      </x:c>
      <x:c r="AA175" s="20" t="str">
        <x:v>2026-05-20</x:v>
      </x:c>
      <x:c r="AB175" s="20" t="str">
        <x:v>GPT-5.5 Pro</x:v>
      </x:c>
    </x:row>
    <x:row r="176" ht="24" customHeight="1">
      <x:c r="A176" s="20" t="str">
        <x:v>IND|United States</x:v>
      </x:c>
      <x:c r="B176" s="20" t="str">
        <x:v>India</x:v>
      </x:c>
      <x:c r="C176" s="20" t="str">
        <x:v>Republic of India</x:v>
      </x:c>
      <x:c r="D176" s="20" t="str">
        <x:v>IN</x:v>
      </x:c>
      <x:c r="E176" s="20" t="str">
        <x:v>IND</x:v>
      </x:c>
      <x:c r="F176" s="20" t="str">
        <x:v>356</x:v>
      </x:c>
      <x:c r="G176" s="20" t="str">
        <x:v>Asia</x:v>
      </x:c>
      <x:c r="H176" s="20" t="str">
        <x:v>Southern Asia</x:v>
      </x:c>
      <x:c r="I176" s="20" t="str">
        <x:v>United States</x:v>
      </x:c>
      <x:c r="J176" s="20" t="str">
        <x:v>American influence</x:v>
      </x:c>
      <x:c r="K176" s="384" t="n">
        <x:v>3</x:v>
      </x:c>
      <x:c r="L176" s="396" t="n">
        <x:v>3</x:v>
      </x:c>
      <x:c r="M176" s="397" t="str">
        <x:v>https://www.usagm.gov/our-work/strategy-and-results/strategic-priorities/research-reports/</x:v>
      </x:c>
      <x:c r="N176" s="384" t="n">
        <x:v>1</x:v>
      </x:c>
      <x:c r="O176" s="396" t="n">
        <x:v>2</x:v>
      </x:c>
      <x:c r="P176" s="397" t="str">
        <x:v>https://internationalpolicy.org/programs/sam/</x:v>
      </x:c>
      <x:c r="Q176" s="384" t="n">
        <x:v>2</x:v>
      </x:c>
      <x:c r="R176" s="396" t="n">
        <x:v>2</x:v>
      </x:c>
      <x:c r="S176" s="397" t="str">
        <x:v>https://www.ned.org/ned-grantmaking/</x:v>
      </x:c>
      <x:c r="T176" s="384" t="n">
        <x:v>5</x:v>
      </x:c>
      <x:c r="U176" s="396" t="n">
        <x:v>3</x:v>
      </x:c>
      <x:c r="V176" s="397" t="str">
        <x:v>https://internationalpolicy.org/programs/sam/</x:v>
      </x:c>
      <x:c r="W176" s="385" t="n">
        <x:f>(--(M176&lt;&gt;"")+--(P176&lt;&gt;"")+--(S176&lt;&gt;"")+--(V176&lt;&gt;""))/4</x:f>
        <x:v>1</x:v>
      </x:c>
      <x:c r="X176" s="384" t="n">
        <x:f>IF(COUNT(K176,N176,Q176,T176)=0,"No data",(IF(ISNUMBER(K176),K176*Factor_Model!$B$4,0)+IF(ISNUMBER(N176),N176*Factor_Model!$B$5,0)+IF(ISNUMBER(Q176),Q176*Factor_Model!$B$6,0)+IF(ISNUMBER(T176),T176*Factor_Model!$B$7,0))/(IF(ISNUMBER(K176),Factor_Model!$B$4,0)+IF(ISNUMBER(N176),Factor_Model!$B$5,0)+IF(ISNUMBER(Q176),Factor_Model!$B$6,0)+IF(ISNUMBER(T176),Factor_Model!$B$7,0)))</x:f>
        <x:v>2.75</x:v>
      </x:c>
      <x:c r="Y176" s="20" t="str">
        <x:f>IF(W176=0,"No source",IF(W176&lt;1,"Partial source","Source-complete"))</x:f>
        <x:v>Source-complete</x:v>
      </x:c>
      <x:c r="Z176" s="20" t="str">
        <x:v>Automated screening pass: row uses a primary source URL by actor/subfactor; verify with country-specific evidence before final analytical use.</x:v>
      </x:c>
      <x:c r="AA176" s="20" t="str">
        <x:v>2026-05-20</x:v>
      </x:c>
      <x:c r="AB176" s="20" t="str">
        <x:v>GPT-5.5 Pro</x:v>
      </x:c>
    </x:row>
    <x:row r="177" ht="24" customHeight="1">
      <x:c r="A177" s="20" t="str">
        <x:v>IND|European Union</x:v>
      </x:c>
      <x:c r="B177" s="20" t="str">
        <x:v>India</x:v>
      </x:c>
      <x:c r="C177" s="20" t="str">
        <x:v>Republic of India</x:v>
      </x:c>
      <x:c r="D177" s="20" t="str">
        <x:v>IN</x:v>
      </x:c>
      <x:c r="E177" s="20" t="str">
        <x:v>IND</x:v>
      </x:c>
      <x:c r="F177" s="20" t="str">
        <x:v>356</x:v>
      </x:c>
      <x:c r="G177" s="20" t="str">
        <x:v>Asia</x:v>
      </x:c>
      <x:c r="H177" s="20" t="str">
        <x:v>Southern Asia</x:v>
      </x:c>
      <x:c r="I177" s="20" t="str">
        <x:v>European Union</x:v>
      </x:c>
      <x:c r="J177" s="20" t="str">
        <x:v>EU influence</x:v>
      </x:c>
      <x:c r="K177" s="384" t="n">
        <x:v>2</x:v>
      </x:c>
      <x:c r="L177" s="396" t="n">
        <x:v>2</x:v>
      </x:c>
      <x:c r="M177" s="397" t="str">
        <x:v>https://www.eeas.europa.eu/eeas/public-diplomacy_en</x:v>
      </x:c>
      <x:c r="N177" s="384" t="n">
        <x:v>0</x:v>
      </x:c>
      <x:c r="O177" s="396" t="n">
        <x:v>1</x:v>
      </x:c>
      <x:c r="P177" s="397" t="str">
        <x:v>https://www.eeas.europa.eu/eeas/missions-and-operations_en</x:v>
      </x:c>
      <x:c r="Q177" s="384" t="n">
        <x:v>1</x:v>
      </x:c>
      <x:c r="R177" s="396" t="n">
        <x:v>2</x:v>
      </x:c>
      <x:c r="S177" s="397" t="str">
        <x:v>https://www.eeas.europa.eu/eeas/eu-election-observation-missions-1_en?page_lang=en</x:v>
      </x:c>
      <x:c r="T177" s="384" t="n">
        <x:v>2</x:v>
      </x:c>
      <x:c r="U177" s="396" t="n">
        <x:v>2</x:v>
      </x:c>
      <x:c r="V177" s="397" t="str">
        <x:v>https://www.eeas.europa.eu/eeas/missions-and-operations_en</x:v>
      </x:c>
      <x:c r="W177" s="385" t="n">
        <x:f>(--(M177&lt;&gt;"")+--(P177&lt;&gt;"")+--(S177&lt;&gt;"")+--(V177&lt;&gt;""))/4</x:f>
        <x:v>1</x:v>
      </x:c>
      <x:c r="X177" s="384" t="n">
        <x:f>IF(COUNT(K177,N177,Q177,T177)=0,"No data",(IF(ISNUMBER(K177),K177*Factor_Model!$B$4,0)+IF(ISNUMBER(N177),N177*Factor_Model!$B$5,0)+IF(ISNUMBER(Q177),Q177*Factor_Model!$B$6,0)+IF(ISNUMBER(T177),T177*Factor_Model!$B$7,0))/(IF(ISNUMBER(K177),Factor_Model!$B$4,0)+IF(ISNUMBER(N177),Factor_Model!$B$5,0)+IF(ISNUMBER(Q177),Factor_Model!$B$6,0)+IF(ISNUMBER(T177),Factor_Model!$B$7,0)))</x:f>
        <x:v>1.25</x:v>
      </x:c>
      <x:c r="Y177" s="20" t="str">
        <x:f>IF(W177=0,"No source",IF(W177&lt;1,"Partial source","Source-complete"))</x:f>
        <x:v>Source-complete</x:v>
      </x:c>
      <x:c r="Z177" s="20" t="str">
        <x:v>Automated screening pass: row uses a primary source URL by actor/subfactor; verify with country-specific evidence before final analytical use.</x:v>
      </x:c>
      <x:c r="AA177" s="20" t="str">
        <x:v>2026-05-20</x:v>
      </x:c>
      <x:c r="AB177" s="20" t="str">
        <x:v>GPT-5.5 Pro</x:v>
      </x:c>
    </x:row>
    <x:row r="178" ht="24" customHeight="1">
      <x:c r="A178" s="20" t="str">
        <x:v>IDN|Russia</x:v>
      </x:c>
      <x:c r="B178" s="20" t="str">
        <x:v>Indonesia</x:v>
      </x:c>
      <x:c r="C178" s="20" t="str">
        <x:v>Republic of Indonesia</x:v>
      </x:c>
      <x:c r="D178" s="20" t="str">
        <x:v>ID</x:v>
      </x:c>
      <x:c r="E178" s="20" t="str">
        <x:v>IDN</x:v>
      </x:c>
      <x:c r="F178" s="20" t="str">
        <x:v>360</x:v>
      </x:c>
      <x:c r="G178" s="20" t="str">
        <x:v>Asia</x:v>
      </x:c>
      <x:c r="H178" s="20" t="str">
        <x:v>South-Eastern Asia</x:v>
      </x:c>
      <x:c r="I178" s="20" t="str">
        <x:v>Russia</x:v>
      </x:c>
      <x:c r="J178" s="20" t="str">
        <x:v>Russian influence</x:v>
      </x:c>
      <x:c r="K178" s="384" t="n">
        <x:v>2</x:v>
      </x:c>
      <x:c r="L178" s="396" t="n">
        <x:v>2</x:v>
      </x:c>
      <x:c r="M178" s="397" t="str">
        <x:v>https://www.eeas.europa.eu/eeas/4th-eeas-annual-report-foreign-information-manipulation-and-interference-threats_en</x:v>
      </x:c>
      <x:c r="N178" s="384" t="n">
        <x:v>0</x:v>
      </x:c>
      <x:c r="O178" s="396" t="n">
        <x:v>1</x:v>
      </x:c>
      <x:c r="P178" s="397" t="str">
        <x:v>https://www.consilium.europa.eu/en/press/press-releases/2023/02/25/wagner-group-council-adds-11-individuals-and-7-entities-to-eu-sanctions-lists/</x:v>
      </x:c>
      <x:c r="Q178" s="384" t="n">
        <x:v>0</x:v>
      </x:c>
      <x:c r="R178" s="396" t="n">
        <x:v>1</x:v>
      </x:c>
      <x:c r="S178" s="397" t="str">
        <x:v>https://www.dni.gov/files/ODNI/documents/assessments/ATA-2026-Unclassified-Report.pdf</x:v>
      </x:c>
      <x:c r="T178" s="384" t="n">
        <x:v>0</x:v>
      </x:c>
      <x:c r="U178" s="396" t="n">
        <x:v>1</x:v>
      </x:c>
      <x:c r="V178" s="397" t="str">
        <x:v>https://www.consilium.europa.eu/en/press/press-releases/2023/02/25/wagner-group-council-adds-11-individuals-and-7-entities-to-eu-sanctions-lists/</x:v>
      </x:c>
      <x:c r="W178" s="385" t="n">
        <x:f>(--(M178&lt;&gt;"")+--(P178&lt;&gt;"")+--(S178&lt;&gt;"")+--(V178&lt;&gt;""))/4</x:f>
        <x:v>1</x:v>
      </x:c>
      <x:c r="X178" s="384" t="n">
        <x:f>IF(COUNT(K178,N178,Q178,T178)=0,"No data",(IF(ISNUMBER(K178),K178*Factor_Model!$B$4,0)+IF(ISNUMBER(N178),N178*Factor_Model!$B$5,0)+IF(ISNUMBER(Q178),Q178*Factor_Model!$B$6,0)+IF(ISNUMBER(T178),T178*Factor_Model!$B$7,0))/(IF(ISNUMBER(K178),Factor_Model!$B$4,0)+IF(ISNUMBER(N178),Factor_Model!$B$5,0)+IF(ISNUMBER(Q178),Factor_Model!$B$6,0)+IF(ISNUMBER(T178),Factor_Model!$B$7,0)))</x:f>
        <x:v>0.5</x:v>
      </x:c>
      <x:c r="Y178" s="20" t="str">
        <x:f>IF(W178=0,"No source",IF(W178&lt;1,"Partial source","Source-complete"))</x:f>
        <x:v>Source-complete</x:v>
      </x:c>
      <x:c r="Z178" s="20" t="str">
        <x:v>Automated screening pass: row uses a primary source URL by actor/subfactor; verify with country-specific evidence before final analytical use.</x:v>
      </x:c>
      <x:c r="AA178" s="20" t="str">
        <x:v>2026-05-20</x:v>
      </x:c>
      <x:c r="AB178" s="20" t="str">
        <x:v>GPT-5.5 Pro</x:v>
      </x:c>
    </x:row>
    <x:row r="179" ht="24" customHeight="1">
      <x:c r="A179" s="20" t="str">
        <x:v>IDN|China</x:v>
      </x:c>
      <x:c r="B179" s="20" t="str">
        <x:v>Indonesia</x:v>
      </x:c>
      <x:c r="C179" s="20" t="str">
        <x:v>Republic of Indonesia</x:v>
      </x:c>
      <x:c r="D179" s="20" t="str">
        <x:v>ID</x:v>
      </x:c>
      <x:c r="E179" s="20" t="str">
        <x:v>IDN</x:v>
      </x:c>
      <x:c r="F179" s="20" t="str">
        <x:v>360</x:v>
      </x:c>
      <x:c r="G179" s="20" t="str">
        <x:v>Asia</x:v>
      </x:c>
      <x:c r="H179" s="20" t="str">
        <x:v>South-Eastern Asia</x:v>
      </x:c>
      <x:c r="I179" s="20" t="str">
        <x:v>China</x:v>
      </x:c>
      <x:c r="J179" s="20" t="str">
        <x:v>Chinese influence</x:v>
      </x:c>
      <x:c r="K179" s="384" t="n">
        <x:v>6</x:v>
      </x:c>
      <x:c r="L179" s="396" t="n">
        <x:v>4</x:v>
      </x:c>
      <x:c r="M179" s="397" t="str">
        <x:v>https://www.eeas.europa.eu/eeas/4th-eeas-annual-report-foreign-information-manipulation-and-interference-threats_en</x:v>
      </x:c>
      <x:c r="N179" s="384" t="n">
        <x:v>1</x:v>
      </x:c>
      <x:c r="O179" s="396" t="n">
        <x:v>2</x:v>
      </x:c>
      <x:c r="P179" s="397" t="str">
        <x:v>https://merics.org/en/report/guardians-belt-and-road</x:v>
      </x:c>
      <x:c r="Q179" s="384" t="n">
        <x:v>3</x:v>
      </x:c>
      <x:c r="R179" s="396" t="n">
        <x:v>3</x:v>
      </x:c>
      <x:c r="S179" s="397" t="str">
        <x:v>https://www.eeas.europa.eu/eeas/4th-eeas-annual-report-foreign-information-manipulation-and-interference-threats_en</x:v>
      </x:c>
      <x:c r="T179" s="384" t="n">
        <x:v>3</x:v>
      </x:c>
      <x:c r="U179" s="396" t="n">
        <x:v>3</x:v>
      </x:c>
      <x:c r="V179" s="397" t="str">
        <x:v>https://merics.org/en/report/guardians-belt-and-road</x:v>
      </x:c>
      <x:c r="W179" s="385" t="n">
        <x:f>(--(M179&lt;&gt;"")+--(P179&lt;&gt;"")+--(S179&lt;&gt;"")+--(V179&lt;&gt;""))/4</x:f>
        <x:v>1</x:v>
      </x:c>
      <x:c r="X179" s="384" t="n">
        <x:f>IF(COUNT(K179,N179,Q179,T179)=0,"No data",(IF(ISNUMBER(K179),K179*Factor_Model!$B$4,0)+IF(ISNUMBER(N179),N179*Factor_Model!$B$5,0)+IF(ISNUMBER(Q179),Q179*Factor_Model!$B$6,0)+IF(ISNUMBER(T179),T179*Factor_Model!$B$7,0))/(IF(ISNUMBER(K179),Factor_Model!$B$4,0)+IF(ISNUMBER(N179),Factor_Model!$B$5,0)+IF(ISNUMBER(Q179),Factor_Model!$B$6,0)+IF(ISNUMBER(T179),Factor_Model!$B$7,0)))</x:f>
        <x:v>3.25</x:v>
      </x:c>
      <x:c r="Y179" s="20" t="str">
        <x:f>IF(W179=0,"No source",IF(W179&lt;1,"Partial source","Source-complete"))</x:f>
        <x:v>Source-complete</x:v>
      </x:c>
      <x:c r="Z179" s="20" t="str">
        <x:v>Automated screening pass: row uses a primary source URL by actor/subfactor; verify with country-specific evidence before final analytical use.</x:v>
      </x:c>
      <x:c r="AA179" s="20" t="str">
        <x:v>2026-05-20</x:v>
      </x:c>
      <x:c r="AB179" s="20" t="str">
        <x:v>GPT-5.5 Pro</x:v>
      </x:c>
    </x:row>
    <x:row r="180" ht="24" customHeight="1">
      <x:c r="A180" s="20" t="str">
        <x:v>IDN|United States</x:v>
      </x:c>
      <x:c r="B180" s="20" t="str">
        <x:v>Indonesia</x:v>
      </x:c>
      <x:c r="C180" s="20" t="str">
        <x:v>Republic of Indonesia</x:v>
      </x:c>
      <x:c r="D180" s="20" t="str">
        <x:v>ID</x:v>
      </x:c>
      <x:c r="E180" s="20" t="str">
        <x:v>IDN</x:v>
      </x:c>
      <x:c r="F180" s="20" t="str">
        <x:v>360</x:v>
      </x:c>
      <x:c r="G180" s="20" t="str">
        <x:v>Asia</x:v>
      </x:c>
      <x:c r="H180" s="20" t="str">
        <x:v>South-Eastern Asia</x:v>
      </x:c>
      <x:c r="I180" s="20" t="str">
        <x:v>United States</x:v>
      </x:c>
      <x:c r="J180" s="20" t="str">
        <x:v>American influence</x:v>
      </x:c>
      <x:c r="K180" s="384" t="n">
        <x:v>3</x:v>
      </x:c>
      <x:c r="L180" s="396" t="n">
        <x:v>3</x:v>
      </x:c>
      <x:c r="M180" s="397" t="str">
        <x:v>https://www.usagm.gov/our-work/strategy-and-results/strategic-priorities/research-reports/</x:v>
      </x:c>
      <x:c r="N180" s="384" t="n">
        <x:v>1</x:v>
      </x:c>
      <x:c r="O180" s="396" t="n">
        <x:v>2</x:v>
      </x:c>
      <x:c r="P180" s="397" t="str">
        <x:v>https://internationalpolicy.org/programs/sam/</x:v>
      </x:c>
      <x:c r="Q180" s="384" t="n">
        <x:v>2</x:v>
      </x:c>
      <x:c r="R180" s="396" t="n">
        <x:v>2</x:v>
      </x:c>
      <x:c r="S180" s="397" t="str">
        <x:v>https://www.ned.org/ned-grantmaking/</x:v>
      </x:c>
      <x:c r="T180" s="384" t="n">
        <x:v>2</x:v>
      </x:c>
      <x:c r="U180" s="396" t="n">
        <x:v>2</x:v>
      </x:c>
      <x:c r="V180" s="397" t="str">
        <x:v>https://internationalpolicy.org/programs/sam/</x:v>
      </x:c>
      <x:c r="W180" s="385" t="n">
        <x:f>(--(M180&lt;&gt;"")+--(P180&lt;&gt;"")+--(S180&lt;&gt;"")+--(V180&lt;&gt;""))/4</x:f>
        <x:v>1</x:v>
      </x:c>
      <x:c r="X180" s="384" t="n">
        <x:f>IF(COUNT(K180,N180,Q180,T180)=0,"No data",(IF(ISNUMBER(K180),K180*Factor_Model!$B$4,0)+IF(ISNUMBER(N180),N180*Factor_Model!$B$5,0)+IF(ISNUMBER(Q180),Q180*Factor_Model!$B$6,0)+IF(ISNUMBER(T180),T180*Factor_Model!$B$7,0))/(IF(ISNUMBER(K180),Factor_Model!$B$4,0)+IF(ISNUMBER(N180),Factor_Model!$B$5,0)+IF(ISNUMBER(Q180),Factor_Model!$B$6,0)+IF(ISNUMBER(T180),Factor_Model!$B$7,0)))</x:f>
        <x:v>2</x:v>
      </x:c>
      <x:c r="Y180" s="20" t="str">
        <x:f>IF(W180=0,"No source",IF(W180&lt;1,"Partial source","Source-complete"))</x:f>
        <x:v>Source-complete</x:v>
      </x:c>
      <x:c r="Z180" s="20" t="str">
        <x:v>Automated screening pass: row uses a primary source URL by actor/subfactor; verify with country-specific evidence before final analytical use.</x:v>
      </x:c>
      <x:c r="AA180" s="20" t="str">
        <x:v>2026-05-20</x:v>
      </x:c>
      <x:c r="AB180" s="20" t="str">
        <x:v>GPT-5.5 Pro</x:v>
      </x:c>
    </x:row>
    <x:row r="181" ht="24" customHeight="1">
      <x:c r="A181" s="20" t="str">
        <x:v>IDN|European Union</x:v>
      </x:c>
      <x:c r="B181" s="20" t="str">
        <x:v>Indonesia</x:v>
      </x:c>
      <x:c r="C181" s="20" t="str">
        <x:v>Republic of Indonesia</x:v>
      </x:c>
      <x:c r="D181" s="20" t="str">
        <x:v>ID</x:v>
      </x:c>
      <x:c r="E181" s="20" t="str">
        <x:v>IDN</x:v>
      </x:c>
      <x:c r="F181" s="20" t="str">
        <x:v>360</x:v>
      </x:c>
      <x:c r="G181" s="20" t="str">
        <x:v>Asia</x:v>
      </x:c>
      <x:c r="H181" s="20" t="str">
        <x:v>South-Eastern Asia</x:v>
      </x:c>
      <x:c r="I181" s="20" t="str">
        <x:v>European Union</x:v>
      </x:c>
      <x:c r="J181" s="20" t="str">
        <x:v>EU influence</x:v>
      </x:c>
      <x:c r="K181" s="384" t="n">
        <x:v>2</x:v>
      </x:c>
      <x:c r="L181" s="396" t="n">
        <x:v>2</x:v>
      </x:c>
      <x:c r="M181" s="397" t="str">
        <x:v>https://www.eeas.europa.eu/eeas/public-diplomacy_en</x:v>
      </x:c>
      <x:c r="N181" s="384" t="n">
        <x:v>0</x:v>
      </x:c>
      <x:c r="O181" s="396" t="n">
        <x:v>1</x:v>
      </x:c>
      <x:c r="P181" s="397" t="str">
        <x:v>https://www.eeas.europa.eu/eeas/missions-and-operations_en</x:v>
      </x:c>
      <x:c r="Q181" s="384" t="n">
        <x:v>1</x:v>
      </x:c>
      <x:c r="R181" s="396" t="n">
        <x:v>2</x:v>
      </x:c>
      <x:c r="S181" s="397" t="str">
        <x:v>https://www.eeas.europa.eu/eeas/eu-election-observation-missions-1_en?page_lang=en</x:v>
      </x:c>
      <x:c r="T181" s="384" t="n">
        <x:v>2</x:v>
      </x:c>
      <x:c r="U181" s="396" t="n">
        <x:v>2</x:v>
      </x:c>
      <x:c r="V181" s="397" t="str">
        <x:v>https://www.eeas.europa.eu/eeas/missions-and-operations_en</x:v>
      </x:c>
      <x:c r="W181" s="385" t="n">
        <x:f>(--(M181&lt;&gt;"")+--(P181&lt;&gt;"")+--(S181&lt;&gt;"")+--(V181&lt;&gt;""))/4</x:f>
        <x:v>1</x:v>
      </x:c>
      <x:c r="X181" s="384" t="n">
        <x:f>IF(COUNT(K181,N181,Q181,T181)=0,"No data",(IF(ISNUMBER(K181),K181*Factor_Model!$B$4,0)+IF(ISNUMBER(N181),N181*Factor_Model!$B$5,0)+IF(ISNUMBER(Q181),Q181*Factor_Model!$B$6,0)+IF(ISNUMBER(T181),T181*Factor_Model!$B$7,0))/(IF(ISNUMBER(K181),Factor_Model!$B$4,0)+IF(ISNUMBER(N181),Factor_Model!$B$5,0)+IF(ISNUMBER(Q181),Factor_Model!$B$6,0)+IF(ISNUMBER(T181),Factor_Model!$B$7,0)))</x:f>
        <x:v>1.25</x:v>
      </x:c>
      <x:c r="Y181" s="20" t="str">
        <x:f>IF(W181=0,"No source",IF(W181&lt;1,"Partial source","Source-complete"))</x:f>
        <x:v>Source-complete</x:v>
      </x:c>
      <x:c r="Z181" s="20" t="str">
        <x:v>Automated screening pass: row uses a primary source URL by actor/subfactor; verify with country-specific evidence before final analytical use.</x:v>
      </x:c>
      <x:c r="AA181" s="20" t="str">
        <x:v>2026-05-20</x:v>
      </x:c>
      <x:c r="AB181" s="20" t="str">
        <x:v>GPT-5.5 Pro</x:v>
      </x:c>
    </x:row>
    <x:row r="182" ht="24" customHeight="1">
      <x:c r="A182" s="20" t="str">
        <x:v>IRN|Russia</x:v>
      </x:c>
      <x:c r="B182" s="20" t="str">
        <x:v>Iran</x:v>
      </x:c>
      <x:c r="C182" s="20" t="str">
        <x:v>Islamic Republic of Iran</x:v>
      </x:c>
      <x:c r="D182" s="20" t="str">
        <x:v>IR</x:v>
      </x:c>
      <x:c r="E182" s="20" t="str">
        <x:v>IRN</x:v>
      </x:c>
      <x:c r="F182" s="20" t="str">
        <x:v>364</x:v>
      </x:c>
      <x:c r="G182" s="20" t="str">
        <x:v>Asia</x:v>
      </x:c>
      <x:c r="H182" s="20" t="str">
        <x:v>Southern Asia</x:v>
      </x:c>
      <x:c r="I182" s="20" t="str">
        <x:v>Russia</x:v>
      </x:c>
      <x:c r="J182" s="20" t="str">
        <x:v>Russian influence</x:v>
      </x:c>
      <x:c r="K182" s="384" t="n">
        <x:v>7</x:v>
      </x:c>
      <x:c r="L182" s="396" t="n">
        <x:v>4</x:v>
      </x:c>
      <x:c r="M182" s="397" t="str">
        <x:v>https://www.eeas.europa.eu/eeas/4th-eeas-annual-report-foreign-information-manipulation-and-interference-threats_en</x:v>
      </x:c>
      <x:c r="N182" s="384" t="n">
        <x:v>2</x:v>
      </x:c>
      <x:c r="O182" s="396" t="n">
        <x:v>2</x:v>
      </x:c>
      <x:c r="P182" s="397" t="str">
        <x:v>https://www.consilium.europa.eu/en/press/press-releases/2023/02/25/wagner-group-council-adds-11-individuals-and-7-entities-to-eu-sanctions-lists/</x:v>
      </x:c>
      <x:c r="Q182" s="384" t="n">
        <x:v>3</x:v>
      </x:c>
      <x:c r="R182" s="396" t="n">
        <x:v>3</x:v>
      </x:c>
      <x:c r="S182" s="397" t="str">
        <x:v>https://www.dni.gov/files/ODNI/documents/assessments/ATA-2026-Unclassified-Report.pdf</x:v>
      </x:c>
      <x:c r="T182" s="384" t="n">
        <x:v>3</x:v>
      </x:c>
      <x:c r="U182" s="396" t="n">
        <x:v>3</x:v>
      </x:c>
      <x:c r="V182" s="397" t="str">
        <x:v>https://www.consilium.europa.eu/en/press/press-releases/2023/02/25/wagner-group-council-adds-11-individuals-and-7-entities-to-eu-sanctions-lists/</x:v>
      </x:c>
      <x:c r="W182" s="385" t="n">
        <x:f>(--(M182&lt;&gt;"")+--(P182&lt;&gt;"")+--(S182&lt;&gt;"")+--(V182&lt;&gt;""))/4</x:f>
        <x:v>1</x:v>
      </x:c>
      <x:c r="X182" s="384" t="n">
        <x:f>IF(COUNT(K182,N182,Q182,T182)=0,"No data",(IF(ISNUMBER(K182),K182*Factor_Model!$B$4,0)+IF(ISNUMBER(N182),N182*Factor_Model!$B$5,0)+IF(ISNUMBER(Q182),Q182*Factor_Model!$B$6,0)+IF(ISNUMBER(T182),T182*Factor_Model!$B$7,0))/(IF(ISNUMBER(K182),Factor_Model!$B$4,0)+IF(ISNUMBER(N182),Factor_Model!$B$5,0)+IF(ISNUMBER(Q182),Factor_Model!$B$6,0)+IF(ISNUMBER(T182),Factor_Model!$B$7,0)))</x:f>
        <x:v>3.75</x:v>
      </x:c>
      <x:c r="Y182" s="20" t="str">
        <x:f>IF(W182=0,"No source",IF(W182&lt;1,"Partial source","Source-complete"))</x:f>
        <x:v>Source-complete</x:v>
      </x:c>
      <x:c r="Z182" s="20" t="str">
        <x:v>Automated screening pass: row uses a primary source URL by actor/subfactor; verify with country-specific evidence before final analytical use.</x:v>
      </x:c>
      <x:c r="AA182" s="20" t="str">
        <x:v>2026-05-20</x:v>
      </x:c>
      <x:c r="AB182" s="20" t="str">
        <x:v>GPT-5.5 Pro</x:v>
      </x:c>
    </x:row>
    <x:row r="183" ht="24" customHeight="1">
      <x:c r="A183" s="20" t="str">
        <x:v>IRN|China</x:v>
      </x:c>
      <x:c r="B183" s="20" t="str">
        <x:v>Iran</x:v>
      </x:c>
      <x:c r="C183" s="20" t="str">
        <x:v>Islamic Republic of Iran</x:v>
      </x:c>
      <x:c r="D183" s="20" t="str">
        <x:v>IR</x:v>
      </x:c>
      <x:c r="E183" s="20" t="str">
        <x:v>IRN</x:v>
      </x:c>
      <x:c r="F183" s="20" t="str">
        <x:v>364</x:v>
      </x:c>
      <x:c r="G183" s="20" t="str">
        <x:v>Asia</x:v>
      </x:c>
      <x:c r="H183" s="20" t="str">
        <x:v>Southern Asia</x:v>
      </x:c>
      <x:c r="I183" s="20" t="str">
        <x:v>China</x:v>
      </x:c>
      <x:c r="J183" s="20" t="str">
        <x:v>Chinese influence</x:v>
      </x:c>
      <x:c r="K183" s="384" t="n">
        <x:v>3</x:v>
      </x:c>
      <x:c r="L183" s="396" t="n">
        <x:v>3</x:v>
      </x:c>
      <x:c r="M183" s="397" t="str">
        <x:v>https://www.eeas.europa.eu/eeas/4th-eeas-annual-report-foreign-information-manipulation-and-interference-threats_en</x:v>
      </x:c>
      <x:c r="N183" s="384" t="n">
        <x:v>0</x:v>
      </x:c>
      <x:c r="O183" s="396" t="n">
        <x:v>1</x:v>
      </x:c>
      <x:c r="P183" s="397" t="str">
        <x:v>https://merics.org/en/report/guardians-belt-and-road</x:v>
      </x:c>
      <x:c r="Q183" s="384" t="n">
        <x:v>1</x:v>
      </x:c>
      <x:c r="R183" s="396" t="n">
        <x:v>2</x:v>
      </x:c>
      <x:c r="S183" s="397" t="str">
        <x:v>https://www.eeas.europa.eu/eeas/4th-eeas-annual-report-foreign-information-manipulation-and-interference-threats_en</x:v>
      </x:c>
      <x:c r="T183" s="384" t="n">
        <x:v>1</x:v>
      </x:c>
      <x:c r="U183" s="396" t="n">
        <x:v>2</x:v>
      </x:c>
      <x:c r="V183" s="397" t="str">
        <x:v>https://merics.org/en/report/guardians-belt-and-road</x:v>
      </x:c>
      <x:c r="W183" s="385" t="n">
        <x:f>(--(M183&lt;&gt;"")+--(P183&lt;&gt;"")+--(S183&lt;&gt;"")+--(V183&lt;&gt;""))/4</x:f>
        <x:v>1</x:v>
      </x:c>
      <x:c r="X183" s="384" t="n">
        <x:f>IF(COUNT(K183,N183,Q183,T183)=0,"No data",(IF(ISNUMBER(K183),K183*Factor_Model!$B$4,0)+IF(ISNUMBER(N183),N183*Factor_Model!$B$5,0)+IF(ISNUMBER(Q183),Q183*Factor_Model!$B$6,0)+IF(ISNUMBER(T183),T183*Factor_Model!$B$7,0))/(IF(ISNUMBER(K183),Factor_Model!$B$4,0)+IF(ISNUMBER(N183),Factor_Model!$B$5,0)+IF(ISNUMBER(Q183),Factor_Model!$B$6,0)+IF(ISNUMBER(T183),Factor_Model!$B$7,0)))</x:f>
        <x:v>1.25</x:v>
      </x:c>
      <x:c r="Y183" s="20" t="str">
        <x:f>IF(W183=0,"No source",IF(W183&lt;1,"Partial source","Source-complete"))</x:f>
        <x:v>Source-complete</x:v>
      </x:c>
      <x:c r="Z183" s="20" t="str">
        <x:v>Automated screening pass: row uses a primary source URL by actor/subfactor; verify with country-specific evidence before final analytical use.</x:v>
      </x:c>
      <x:c r="AA183" s="20" t="str">
        <x:v>2026-05-20</x:v>
      </x:c>
      <x:c r="AB183" s="20" t="str">
        <x:v>GPT-5.5 Pro</x:v>
      </x:c>
    </x:row>
    <x:row r="184" ht="24" customHeight="1">
      <x:c r="A184" s="20" t="str">
        <x:v>IRN|United States</x:v>
      </x:c>
      <x:c r="B184" s="20" t="str">
        <x:v>Iran</x:v>
      </x:c>
      <x:c r="C184" s="20" t="str">
        <x:v>Islamic Republic of Iran</x:v>
      </x:c>
      <x:c r="D184" s="20" t="str">
        <x:v>IR</x:v>
      </x:c>
      <x:c r="E184" s="20" t="str">
        <x:v>IRN</x:v>
      </x:c>
      <x:c r="F184" s="20" t="str">
        <x:v>364</x:v>
      </x:c>
      <x:c r="G184" s="20" t="str">
        <x:v>Asia</x:v>
      </x:c>
      <x:c r="H184" s="20" t="str">
        <x:v>Southern Asia</x:v>
      </x:c>
      <x:c r="I184" s="20" t="str">
        <x:v>United States</x:v>
      </x:c>
      <x:c r="J184" s="20" t="str">
        <x:v>American influence</x:v>
      </x:c>
      <x:c r="K184" s="384" t="n">
        <x:v>8</x:v>
      </x:c>
      <x:c r="L184" s="396" t="n">
        <x:v>4</x:v>
      </x:c>
      <x:c r="M184" s="397" t="str">
        <x:v>https://www.usagm.gov/our-work/strategy-and-results/strategic-priorities/research-reports/</x:v>
      </x:c>
      <x:c r="N184" s="384" t="n">
        <x:v>0</x:v>
      </x:c>
      <x:c r="O184" s="396" t="n">
        <x:v>1</x:v>
      </x:c>
      <x:c r="P184" s="397" t="str">
        <x:v>https://internationalpolicy.org/programs/sam/</x:v>
      </x:c>
      <x:c r="Q184" s="384" t="n">
        <x:v>4</x:v>
      </x:c>
      <x:c r="R184" s="396" t="n">
        <x:v>3</x:v>
      </x:c>
      <x:c r="S184" s="397" t="str">
        <x:v>https://www.ned.org/ned-grantmaking/</x:v>
      </x:c>
      <x:c r="T184" s="384" t="n">
        <x:v>1</x:v>
      </x:c>
      <x:c r="U184" s="396" t="n">
        <x:v>2</x:v>
      </x:c>
      <x:c r="V184" s="397" t="str">
        <x:v>https://internationalpolicy.org/programs/sam/</x:v>
      </x:c>
      <x:c r="W184" s="385" t="n">
        <x:f>(--(M184&lt;&gt;"")+--(P184&lt;&gt;"")+--(S184&lt;&gt;"")+--(V184&lt;&gt;""))/4</x:f>
        <x:v>1</x:v>
      </x:c>
      <x:c r="X184" s="384" t="n">
        <x:f>IF(COUNT(K184,N184,Q184,T184)=0,"No data",(IF(ISNUMBER(K184),K184*Factor_Model!$B$4,0)+IF(ISNUMBER(N184),N184*Factor_Model!$B$5,0)+IF(ISNUMBER(Q184),Q184*Factor_Model!$B$6,0)+IF(ISNUMBER(T184),T184*Factor_Model!$B$7,0))/(IF(ISNUMBER(K184),Factor_Model!$B$4,0)+IF(ISNUMBER(N184),Factor_Model!$B$5,0)+IF(ISNUMBER(Q184),Factor_Model!$B$6,0)+IF(ISNUMBER(T184),Factor_Model!$B$7,0)))</x:f>
        <x:v>3.25</x:v>
      </x:c>
      <x:c r="Y184" s="20" t="str">
        <x:f>IF(W184=0,"No source",IF(W184&lt;1,"Partial source","Source-complete"))</x:f>
        <x:v>Source-complete</x:v>
      </x:c>
      <x:c r="Z184" s="20" t="str">
        <x:v>Automated screening pass: row uses a primary source URL by actor/subfactor; verify with country-specific evidence before final analytical use.</x:v>
      </x:c>
      <x:c r="AA184" s="20" t="str">
        <x:v>2026-05-20</x:v>
      </x:c>
      <x:c r="AB184" s="20" t="str">
        <x:v>GPT-5.5 Pro</x:v>
      </x:c>
    </x:row>
    <x:row r="185" ht="24" customHeight="1">
      <x:c r="A185" s="20" t="str">
        <x:v>IRN|European Union</x:v>
      </x:c>
      <x:c r="B185" s="20" t="str">
        <x:v>Iran</x:v>
      </x:c>
      <x:c r="C185" s="20" t="str">
        <x:v>Islamic Republic of Iran</x:v>
      </x:c>
      <x:c r="D185" s="20" t="str">
        <x:v>IR</x:v>
      </x:c>
      <x:c r="E185" s="20" t="str">
        <x:v>IRN</x:v>
      </x:c>
      <x:c r="F185" s="20" t="str">
        <x:v>364</x:v>
      </x:c>
      <x:c r="G185" s="20" t="str">
        <x:v>Asia</x:v>
      </x:c>
      <x:c r="H185" s="20" t="str">
        <x:v>Southern Asia</x:v>
      </x:c>
      <x:c r="I185" s="20" t="str">
        <x:v>European Union</x:v>
      </x:c>
      <x:c r="J185" s="20" t="str">
        <x:v>EU influence</x:v>
      </x:c>
      <x:c r="K185" s="384" t="n">
        <x:v>2</x:v>
      </x:c>
      <x:c r="L185" s="396" t="n">
        <x:v>2</x:v>
      </x:c>
      <x:c r="M185" s="397" t="str">
        <x:v>https://www.eeas.europa.eu/eeas/public-diplomacy_en</x:v>
      </x:c>
      <x:c r="N185" s="384" t="n">
        <x:v>0</x:v>
      </x:c>
      <x:c r="O185" s="396" t="n">
        <x:v>1</x:v>
      </x:c>
      <x:c r="P185" s="397" t="str">
        <x:v>https://www.eeas.europa.eu/eeas/missions-and-operations_en</x:v>
      </x:c>
      <x:c r="Q185" s="384" t="n">
        <x:v>1</x:v>
      </x:c>
      <x:c r="R185" s="396" t="n">
        <x:v>2</x:v>
      </x:c>
      <x:c r="S185" s="397" t="str">
        <x:v>https://www.eeas.europa.eu/eeas/eu-election-observation-missions-1_en?page_lang=en</x:v>
      </x:c>
      <x:c r="T185" s="384" t="n">
        <x:v>2</x:v>
      </x:c>
      <x:c r="U185" s="396" t="n">
        <x:v>2</x:v>
      </x:c>
      <x:c r="V185" s="397" t="str">
        <x:v>https://www.eeas.europa.eu/eeas/missions-and-operations_en</x:v>
      </x:c>
      <x:c r="W185" s="385" t="n">
        <x:f>(--(M185&lt;&gt;"")+--(P185&lt;&gt;"")+--(S185&lt;&gt;"")+--(V185&lt;&gt;""))/4</x:f>
        <x:v>1</x:v>
      </x:c>
      <x:c r="X185" s="384" t="n">
        <x:f>IF(COUNT(K185,N185,Q185,T185)=0,"No data",(IF(ISNUMBER(K185),K185*Factor_Model!$B$4,0)+IF(ISNUMBER(N185),N185*Factor_Model!$B$5,0)+IF(ISNUMBER(Q185),Q185*Factor_Model!$B$6,0)+IF(ISNUMBER(T185),T185*Factor_Model!$B$7,0))/(IF(ISNUMBER(K185),Factor_Model!$B$4,0)+IF(ISNUMBER(N185),Factor_Model!$B$5,0)+IF(ISNUMBER(Q185),Factor_Model!$B$6,0)+IF(ISNUMBER(T185),Factor_Model!$B$7,0)))</x:f>
        <x:v>1.25</x:v>
      </x:c>
      <x:c r="Y185" s="20" t="str">
        <x:f>IF(W185=0,"No source",IF(W185&lt;1,"Partial source","Source-complete"))</x:f>
        <x:v>Source-complete</x:v>
      </x:c>
      <x:c r="Z185" s="20" t="str">
        <x:v>Automated screening pass: row uses a primary source URL by actor/subfactor; verify with country-specific evidence before final analytical use.</x:v>
      </x:c>
      <x:c r="AA185" s="20" t="str">
        <x:v>2026-05-20</x:v>
      </x:c>
      <x:c r="AB185" s="20" t="str">
        <x:v>GPT-5.5 Pro</x:v>
      </x:c>
    </x:row>
    <x:row r="186" ht="24" customHeight="1">
      <x:c r="A186" s="20" t="str">
        <x:v>IRQ|Russia</x:v>
      </x:c>
      <x:c r="B186" s="20" t="str">
        <x:v>Iraq</x:v>
      </x:c>
      <x:c r="C186" s="20" t="str">
        <x:v>Republic of Iraq</x:v>
      </x:c>
      <x:c r="D186" s="20" t="str">
        <x:v>IQ</x:v>
      </x:c>
      <x:c r="E186" s="20" t="str">
        <x:v>IRQ</x:v>
      </x:c>
      <x:c r="F186" s="20" t="str">
        <x:v>368</x:v>
      </x:c>
      <x:c r="G186" s="20" t="str">
        <x:v>Asia</x:v>
      </x:c>
      <x:c r="H186" s="20" t="str">
        <x:v>Western Asia</x:v>
      </x:c>
      <x:c r="I186" s="20" t="str">
        <x:v>Russia</x:v>
      </x:c>
      <x:c r="J186" s="20" t="str">
        <x:v>Russian influence</x:v>
      </x:c>
      <x:c r="K186" s="384" t="n">
        <x:v>2</x:v>
      </x:c>
      <x:c r="L186" s="396" t="n">
        <x:v>2</x:v>
      </x:c>
      <x:c r="M186" s="397" t="str">
        <x:v>https://www.eeas.europa.eu/eeas/4th-eeas-annual-report-foreign-information-manipulation-and-interference-threats_en</x:v>
      </x:c>
      <x:c r="N186" s="384" t="n">
        <x:v>2</x:v>
      </x:c>
      <x:c r="O186" s="396" t="n">
        <x:v>2</x:v>
      </x:c>
      <x:c r="P186" s="397" t="str">
        <x:v>https://www.consilium.europa.eu/en/press/press-releases/2023/02/25/wagner-group-council-adds-11-individuals-and-7-entities-to-eu-sanctions-lists/</x:v>
      </x:c>
      <x:c r="Q186" s="384" t="n">
        <x:v>0</x:v>
      </x:c>
      <x:c r="R186" s="396" t="n">
        <x:v>1</x:v>
      </x:c>
      <x:c r="S186" s="397" t="str">
        <x:v>https://www.dni.gov/files/ODNI/documents/assessments/ATA-2026-Unclassified-Report.pdf</x:v>
      </x:c>
      <x:c r="T186" s="384" t="n">
        <x:v>2</x:v>
      </x:c>
      <x:c r="U186" s="396" t="n">
        <x:v>2</x:v>
      </x:c>
      <x:c r="V186" s="397" t="str">
        <x:v>https://www.consilium.europa.eu/en/press/press-releases/2023/02/25/wagner-group-council-adds-11-individuals-and-7-entities-to-eu-sanctions-lists/</x:v>
      </x:c>
      <x:c r="W186" s="385" t="n">
        <x:f>(--(M186&lt;&gt;"")+--(P186&lt;&gt;"")+--(S186&lt;&gt;"")+--(V186&lt;&gt;""))/4</x:f>
        <x:v>1</x:v>
      </x:c>
      <x:c r="X186" s="384" t="n">
        <x:f>IF(COUNT(K186,N186,Q186,T186)=0,"No data",(IF(ISNUMBER(K186),K186*Factor_Model!$B$4,0)+IF(ISNUMBER(N186),N186*Factor_Model!$B$5,0)+IF(ISNUMBER(Q186),Q186*Factor_Model!$B$6,0)+IF(ISNUMBER(T186),T186*Factor_Model!$B$7,0))/(IF(ISNUMBER(K186),Factor_Model!$B$4,0)+IF(ISNUMBER(N186),Factor_Model!$B$5,0)+IF(ISNUMBER(Q186),Factor_Model!$B$6,0)+IF(ISNUMBER(T186),Factor_Model!$B$7,0)))</x:f>
        <x:v>1.5</x:v>
      </x:c>
      <x:c r="Y186" s="20" t="str">
        <x:f>IF(W186=0,"No source",IF(W186&lt;1,"Partial source","Source-complete"))</x:f>
        <x:v>Source-complete</x:v>
      </x:c>
      <x:c r="Z186" s="20" t="str">
        <x:v>Automated screening pass: row uses a primary source URL by actor/subfactor; verify with country-specific evidence before final analytical use.</x:v>
      </x:c>
      <x:c r="AA186" s="20" t="str">
        <x:v>2026-05-20</x:v>
      </x:c>
      <x:c r="AB186" s="20" t="str">
        <x:v>GPT-5.5 Pro</x:v>
      </x:c>
    </x:row>
    <x:row r="187" ht="24" customHeight="1">
      <x:c r="A187" s="20" t="str">
        <x:v>IRQ|China</x:v>
      </x:c>
      <x:c r="B187" s="20" t="str">
        <x:v>Iraq</x:v>
      </x:c>
      <x:c r="C187" s="20" t="str">
        <x:v>Republic of Iraq</x:v>
      </x:c>
      <x:c r="D187" s="20" t="str">
        <x:v>IQ</x:v>
      </x:c>
      <x:c r="E187" s="20" t="str">
        <x:v>IRQ</x:v>
      </x:c>
      <x:c r="F187" s="20" t="str">
        <x:v>368</x:v>
      </x:c>
      <x:c r="G187" s="20" t="str">
        <x:v>Asia</x:v>
      </x:c>
      <x:c r="H187" s="20" t="str">
        <x:v>Western Asia</x:v>
      </x:c>
      <x:c r="I187" s="20" t="str">
        <x:v>China</x:v>
      </x:c>
      <x:c r="J187" s="20" t="str">
        <x:v>Chinese influence</x:v>
      </x:c>
      <x:c r="K187" s="384" t="n">
        <x:v>3</x:v>
      </x:c>
      <x:c r="L187" s="396" t="n">
        <x:v>3</x:v>
      </x:c>
      <x:c r="M187" s="397" t="str">
        <x:v>https://www.eeas.europa.eu/eeas/4th-eeas-annual-report-foreign-information-manipulation-and-interference-threats_en</x:v>
      </x:c>
      <x:c r="N187" s="384" t="n">
        <x:v>3</x:v>
      </x:c>
      <x:c r="O187" s="396" t="n">
        <x:v>3</x:v>
      </x:c>
      <x:c r="P187" s="397" t="str">
        <x:v>https://merics.org/en/report/guardians-belt-and-road</x:v>
      </x:c>
      <x:c r="Q187" s="384" t="n">
        <x:v>1</x:v>
      </x:c>
      <x:c r="R187" s="396" t="n">
        <x:v>2</x:v>
      </x:c>
      <x:c r="S187" s="397" t="str">
        <x:v>https://www.eeas.europa.eu/eeas/4th-eeas-annual-report-foreign-information-manipulation-and-interference-threats_en</x:v>
      </x:c>
      <x:c r="T187" s="384" t="n">
        <x:v>4</x:v>
      </x:c>
      <x:c r="U187" s="396" t="n">
        <x:v>3</x:v>
      </x:c>
      <x:c r="V187" s="397" t="str">
        <x:v>https://merics.org/en/report/guardians-belt-and-road</x:v>
      </x:c>
      <x:c r="W187" s="385" t="n">
        <x:f>(--(M187&lt;&gt;"")+--(P187&lt;&gt;"")+--(S187&lt;&gt;"")+--(V187&lt;&gt;""))/4</x:f>
        <x:v>1</x:v>
      </x:c>
      <x:c r="X187" s="384" t="n">
        <x:f>IF(COUNT(K187,N187,Q187,T187)=0,"No data",(IF(ISNUMBER(K187),K187*Factor_Model!$B$4,0)+IF(ISNUMBER(N187),N187*Factor_Model!$B$5,0)+IF(ISNUMBER(Q187),Q187*Factor_Model!$B$6,0)+IF(ISNUMBER(T187),T187*Factor_Model!$B$7,0))/(IF(ISNUMBER(K187),Factor_Model!$B$4,0)+IF(ISNUMBER(N187),Factor_Model!$B$5,0)+IF(ISNUMBER(Q187),Factor_Model!$B$6,0)+IF(ISNUMBER(T187),Factor_Model!$B$7,0)))</x:f>
        <x:v>2.75</x:v>
      </x:c>
      <x:c r="Y187" s="20" t="str">
        <x:f>IF(W187=0,"No source",IF(W187&lt;1,"Partial source","Source-complete"))</x:f>
        <x:v>Source-complete</x:v>
      </x:c>
      <x:c r="Z187" s="20" t="str">
        <x:v>Automated screening pass: row uses a primary source URL by actor/subfactor; verify with country-specific evidence before final analytical use.</x:v>
      </x:c>
      <x:c r="AA187" s="20" t="str">
        <x:v>2026-05-20</x:v>
      </x:c>
      <x:c r="AB187" s="20" t="str">
        <x:v>GPT-5.5 Pro</x:v>
      </x:c>
    </x:row>
    <x:row r="188" ht="24" customHeight="1">
      <x:c r="A188" s="20" t="str">
        <x:v>IRQ|United States</x:v>
      </x:c>
      <x:c r="B188" s="20" t="str">
        <x:v>Iraq</x:v>
      </x:c>
      <x:c r="C188" s="20" t="str">
        <x:v>Republic of Iraq</x:v>
      </x:c>
      <x:c r="D188" s="20" t="str">
        <x:v>IQ</x:v>
      </x:c>
      <x:c r="E188" s="20" t="str">
        <x:v>IRQ</x:v>
      </x:c>
      <x:c r="F188" s="20" t="str">
        <x:v>368</x:v>
      </x:c>
      <x:c r="G188" s="20" t="str">
        <x:v>Asia</x:v>
      </x:c>
      <x:c r="H188" s="20" t="str">
        <x:v>Western Asia</x:v>
      </x:c>
      <x:c r="I188" s="20" t="str">
        <x:v>United States</x:v>
      </x:c>
      <x:c r="J188" s="20" t="str">
        <x:v>American influence</x:v>
      </x:c>
      <x:c r="K188" s="384" t="n">
        <x:v>7</x:v>
      </x:c>
      <x:c r="L188" s="396" t="n">
        <x:v>4</x:v>
      </x:c>
      <x:c r="M188" s="397" t="str">
        <x:v>https://www.usagm.gov/our-work/strategy-and-results/strategic-priorities/research-reports/</x:v>
      </x:c>
      <x:c r="N188" s="384" t="n">
        <x:v>9</x:v>
      </x:c>
      <x:c r="O188" s="396" t="n">
        <x:v>5</x:v>
      </x:c>
      <x:c r="P188" s="397" t="str">
        <x:v>https://internationalpolicy.org/programs/sam/</x:v>
      </x:c>
      <x:c r="Q188" s="384" t="n">
        <x:v>2</x:v>
      </x:c>
      <x:c r="R188" s="396" t="n">
        <x:v>2</x:v>
      </x:c>
      <x:c r="S188" s="397" t="str">
        <x:v>https://www.ned.org/ned-grantmaking/</x:v>
      </x:c>
      <x:c r="T188" s="384" t="n">
        <x:v>9</x:v>
      </x:c>
      <x:c r="U188" s="396" t="n">
        <x:v>5</x:v>
      </x:c>
      <x:c r="V188" s="397" t="str">
        <x:v>https://internationalpolicy.org/programs/sam/</x:v>
      </x:c>
      <x:c r="W188" s="385" t="n">
        <x:f>(--(M188&lt;&gt;"")+--(P188&lt;&gt;"")+--(S188&lt;&gt;"")+--(V188&lt;&gt;""))/4</x:f>
        <x:v>1</x:v>
      </x:c>
      <x:c r="X188" s="384" t="n">
        <x:f>IF(COUNT(K188,N188,Q188,T188)=0,"No data",(IF(ISNUMBER(K188),K188*Factor_Model!$B$4,0)+IF(ISNUMBER(N188),N188*Factor_Model!$B$5,0)+IF(ISNUMBER(Q188),Q188*Factor_Model!$B$6,0)+IF(ISNUMBER(T188),T188*Factor_Model!$B$7,0))/(IF(ISNUMBER(K188),Factor_Model!$B$4,0)+IF(ISNUMBER(N188),Factor_Model!$B$5,0)+IF(ISNUMBER(Q188),Factor_Model!$B$6,0)+IF(ISNUMBER(T188),Factor_Model!$B$7,0)))</x:f>
        <x:v>6.75</x:v>
      </x:c>
      <x:c r="Y188" s="20" t="str">
        <x:f>IF(W188=0,"No source",IF(W188&lt;1,"Partial source","Source-complete"))</x:f>
        <x:v>Source-complete</x:v>
      </x:c>
      <x:c r="Z188" s="20" t="str">
        <x:v>Automated screening pass: row uses a primary source URL by actor/subfactor; verify with country-specific evidence before final analytical use.</x:v>
      </x:c>
      <x:c r="AA188" s="20" t="str">
        <x:v>2026-05-20</x:v>
      </x:c>
      <x:c r="AB188" s="20" t="str">
        <x:v>GPT-5.5 Pro</x:v>
      </x:c>
    </x:row>
    <x:row r="189" ht="24" customHeight="1">
      <x:c r="A189" s="20" t="str">
        <x:v>IRQ|European Union</x:v>
      </x:c>
      <x:c r="B189" s="20" t="str">
        <x:v>Iraq</x:v>
      </x:c>
      <x:c r="C189" s="20" t="str">
        <x:v>Republic of Iraq</x:v>
      </x:c>
      <x:c r="D189" s="20" t="str">
        <x:v>IQ</x:v>
      </x:c>
      <x:c r="E189" s="20" t="str">
        <x:v>IRQ</x:v>
      </x:c>
      <x:c r="F189" s="20" t="str">
        <x:v>368</x:v>
      </x:c>
      <x:c r="G189" s="20" t="str">
        <x:v>Asia</x:v>
      </x:c>
      <x:c r="H189" s="20" t="str">
        <x:v>Western Asia</x:v>
      </x:c>
      <x:c r="I189" s="20" t="str">
        <x:v>European Union</x:v>
      </x:c>
      <x:c r="J189" s="20" t="str">
        <x:v>EU influence</x:v>
      </x:c>
      <x:c r="K189" s="384" t="n">
        <x:v>2</x:v>
      </x:c>
      <x:c r="L189" s="396" t="n">
        <x:v>2</x:v>
      </x:c>
      <x:c r="M189" s="397" t="str">
        <x:v>https://www.eeas.europa.eu/eeas/public-diplomacy_en</x:v>
      </x:c>
      <x:c r="N189" s="384" t="n">
        <x:v>1</x:v>
      </x:c>
      <x:c r="O189" s="396" t="n">
        <x:v>2</x:v>
      </x:c>
      <x:c r="P189" s="397" t="str">
        <x:v>https://www.eeas.europa.eu/eeas/missions-and-operations_en</x:v>
      </x:c>
      <x:c r="Q189" s="384" t="n">
        <x:v>1</x:v>
      </x:c>
      <x:c r="R189" s="396" t="n">
        <x:v>2</x:v>
      </x:c>
      <x:c r="S189" s="397" t="str">
        <x:v>https://www.eeas.europa.eu/eeas/eu-election-observation-missions-1_en?page_lang=en</x:v>
      </x:c>
      <x:c r="T189" s="384" t="n">
        <x:v>4</x:v>
      </x:c>
      <x:c r="U189" s="396" t="n">
        <x:v>3</x:v>
      </x:c>
      <x:c r="V189" s="397" t="str">
        <x:v>https://www.eeas.europa.eu/eeas/missions-and-operations_en</x:v>
      </x:c>
      <x:c r="W189" s="385" t="n">
        <x:f>(--(M189&lt;&gt;"")+--(P189&lt;&gt;"")+--(S189&lt;&gt;"")+--(V189&lt;&gt;""))/4</x:f>
        <x:v>1</x:v>
      </x:c>
      <x:c r="X189" s="384" t="n">
        <x:f>IF(COUNT(K189,N189,Q189,T189)=0,"No data",(IF(ISNUMBER(K189),K189*Factor_Model!$B$4,0)+IF(ISNUMBER(N189),N189*Factor_Model!$B$5,0)+IF(ISNUMBER(Q189),Q189*Factor_Model!$B$6,0)+IF(ISNUMBER(T189),T189*Factor_Model!$B$7,0))/(IF(ISNUMBER(K189),Factor_Model!$B$4,0)+IF(ISNUMBER(N189),Factor_Model!$B$5,0)+IF(ISNUMBER(Q189),Factor_Model!$B$6,0)+IF(ISNUMBER(T189),Factor_Model!$B$7,0)))</x:f>
        <x:v>2</x:v>
      </x:c>
      <x:c r="Y189" s="20" t="str">
        <x:f>IF(W189=0,"No source",IF(W189&lt;1,"Partial source","Source-complete"))</x:f>
        <x:v>Source-complete</x:v>
      </x:c>
      <x:c r="Z189" s="20" t="str">
        <x:v>Automated screening pass: row uses a primary source URL by actor/subfactor; verify with country-specific evidence before final analytical use.</x:v>
      </x:c>
      <x:c r="AA189" s="20" t="str">
        <x:v>2026-05-20</x:v>
      </x:c>
      <x:c r="AB189" s="20" t="str">
        <x:v>GPT-5.5 Pro</x:v>
      </x:c>
    </x:row>
    <x:row r="190" ht="24" customHeight="1">
      <x:c r="A190" s="20" t="str">
        <x:v>ISR|Russia</x:v>
      </x:c>
      <x:c r="B190" s="20" t="str">
        <x:v>Israel</x:v>
      </x:c>
      <x:c r="C190" s="20" t="str">
        <x:v>State of Israel</x:v>
      </x:c>
      <x:c r="D190" s="20" t="str">
        <x:v>IL</x:v>
      </x:c>
      <x:c r="E190" s="20" t="str">
        <x:v>ISR</x:v>
      </x:c>
      <x:c r="F190" s="20" t="str">
        <x:v>376</x:v>
      </x:c>
      <x:c r="G190" s="20" t="str">
        <x:v>Asia</x:v>
      </x:c>
      <x:c r="H190" s="20" t="str">
        <x:v>Western Asia</x:v>
      </x:c>
      <x:c r="I190" s="20" t="str">
        <x:v>Russia</x:v>
      </x:c>
      <x:c r="J190" s="20" t="str">
        <x:v>Russian influence</x:v>
      </x:c>
      <x:c r="K190" s="384" t="n">
        <x:v>2</x:v>
      </x:c>
      <x:c r="L190" s="396" t="n">
        <x:v>2</x:v>
      </x:c>
      <x:c r="M190" s="397" t="str">
        <x:v>https://www.eeas.europa.eu/eeas/4th-eeas-annual-report-foreign-information-manipulation-and-interference-threats_en</x:v>
      </x:c>
      <x:c r="N190" s="384" t="n">
        <x:v>0</x:v>
      </x:c>
      <x:c r="O190" s="396" t="n">
        <x:v>1</x:v>
      </x:c>
      <x:c r="P190" s="397" t="str">
        <x:v>https://www.consilium.europa.eu/en/press/press-releases/2023/02/25/wagner-group-council-adds-11-individuals-and-7-entities-to-eu-sanctions-lists/</x:v>
      </x:c>
      <x:c r="Q190" s="384" t="n">
        <x:v>0</x:v>
      </x:c>
      <x:c r="R190" s="396" t="n">
        <x:v>1</x:v>
      </x:c>
      <x:c r="S190" s="397" t="str">
        <x:v>https://www.dni.gov/files/ODNI/documents/assessments/ATA-2026-Unclassified-Report.pdf</x:v>
      </x:c>
      <x:c r="T190" s="384" t="n">
        <x:v>0</x:v>
      </x:c>
      <x:c r="U190" s="396" t="n">
        <x:v>1</x:v>
      </x:c>
      <x:c r="V190" s="397" t="str">
        <x:v>https://www.consilium.europa.eu/en/press/press-releases/2023/02/25/wagner-group-council-adds-11-individuals-and-7-entities-to-eu-sanctions-lists/</x:v>
      </x:c>
      <x:c r="W190" s="385" t="n">
        <x:f>(--(M190&lt;&gt;"")+--(P190&lt;&gt;"")+--(S190&lt;&gt;"")+--(V190&lt;&gt;""))/4</x:f>
        <x:v>1</x:v>
      </x:c>
      <x:c r="X190" s="384" t="n">
        <x:f>IF(COUNT(K190,N190,Q190,T190)=0,"No data",(IF(ISNUMBER(K190),K190*Factor_Model!$B$4,0)+IF(ISNUMBER(N190),N190*Factor_Model!$B$5,0)+IF(ISNUMBER(Q190),Q190*Factor_Model!$B$6,0)+IF(ISNUMBER(T190),T190*Factor_Model!$B$7,0))/(IF(ISNUMBER(K190),Factor_Model!$B$4,0)+IF(ISNUMBER(N190),Factor_Model!$B$5,0)+IF(ISNUMBER(Q190),Factor_Model!$B$6,0)+IF(ISNUMBER(T190),Factor_Model!$B$7,0)))</x:f>
        <x:v>0.5</x:v>
      </x:c>
      <x:c r="Y190" s="20" t="str">
        <x:f>IF(W190=0,"No source",IF(W190&lt;1,"Partial source","Source-complete"))</x:f>
        <x:v>Source-complete</x:v>
      </x:c>
      <x:c r="Z190" s="20" t="str">
        <x:v>Automated screening pass: row uses a primary source URL by actor/subfactor; verify with country-specific evidence before final analytical use.</x:v>
      </x:c>
      <x:c r="AA190" s="20" t="str">
        <x:v>2026-05-20</x:v>
      </x:c>
      <x:c r="AB190" s="20" t="str">
        <x:v>GPT-5.5 Pro</x:v>
      </x:c>
    </x:row>
    <x:row r="191" ht="24" customHeight="1">
      <x:c r="A191" s="20" t="str">
        <x:v>ISR|China</x:v>
      </x:c>
      <x:c r="B191" s="20" t="str">
        <x:v>Israel</x:v>
      </x:c>
      <x:c r="C191" s="20" t="str">
        <x:v>State of Israel</x:v>
      </x:c>
      <x:c r="D191" s="20" t="str">
        <x:v>IL</x:v>
      </x:c>
      <x:c r="E191" s="20" t="str">
        <x:v>ISR</x:v>
      </x:c>
      <x:c r="F191" s="20" t="str">
        <x:v>376</x:v>
      </x:c>
      <x:c r="G191" s="20" t="str">
        <x:v>Asia</x:v>
      </x:c>
      <x:c r="H191" s="20" t="str">
        <x:v>Western Asia</x:v>
      </x:c>
      <x:c r="I191" s="20" t="str">
        <x:v>China</x:v>
      </x:c>
      <x:c r="J191" s="20" t="str">
        <x:v>Chinese influence</x:v>
      </x:c>
      <x:c r="K191" s="384" t="n">
        <x:v>3</x:v>
      </x:c>
      <x:c r="L191" s="396" t="n">
        <x:v>3</x:v>
      </x:c>
      <x:c r="M191" s="397" t="str">
        <x:v>https://www.eeas.europa.eu/eeas/4th-eeas-annual-report-foreign-information-manipulation-and-interference-threats_en</x:v>
      </x:c>
      <x:c r="N191" s="384" t="n">
        <x:v>0</x:v>
      </x:c>
      <x:c r="O191" s="396" t="n">
        <x:v>1</x:v>
      </x:c>
      <x:c r="P191" s="397" t="str">
        <x:v>https://merics.org/en/report/guardians-belt-and-road</x:v>
      </x:c>
      <x:c r="Q191" s="384" t="n">
        <x:v>1</x:v>
      </x:c>
      <x:c r="R191" s="396" t="n">
        <x:v>2</x:v>
      </x:c>
      <x:c r="S191" s="397" t="str">
        <x:v>https://www.eeas.europa.eu/eeas/4th-eeas-annual-report-foreign-information-manipulation-and-interference-threats_en</x:v>
      </x:c>
      <x:c r="T191" s="384" t="n">
        <x:v>1</x:v>
      </x:c>
      <x:c r="U191" s="396" t="n">
        <x:v>2</x:v>
      </x:c>
      <x:c r="V191" s="397" t="str">
        <x:v>https://merics.org/en/report/guardians-belt-and-road</x:v>
      </x:c>
      <x:c r="W191" s="385" t="n">
        <x:f>(--(M191&lt;&gt;"")+--(P191&lt;&gt;"")+--(S191&lt;&gt;"")+--(V191&lt;&gt;""))/4</x:f>
        <x:v>1</x:v>
      </x:c>
      <x:c r="X191" s="384" t="n">
        <x:f>IF(COUNT(K191,N191,Q191,T191)=0,"No data",(IF(ISNUMBER(K191),K191*Factor_Model!$B$4,0)+IF(ISNUMBER(N191),N191*Factor_Model!$B$5,0)+IF(ISNUMBER(Q191),Q191*Factor_Model!$B$6,0)+IF(ISNUMBER(T191),T191*Factor_Model!$B$7,0))/(IF(ISNUMBER(K191),Factor_Model!$B$4,0)+IF(ISNUMBER(N191),Factor_Model!$B$5,0)+IF(ISNUMBER(Q191),Factor_Model!$B$6,0)+IF(ISNUMBER(T191),Factor_Model!$B$7,0)))</x:f>
        <x:v>1.25</x:v>
      </x:c>
      <x:c r="Y191" s="20" t="str">
        <x:f>IF(W191=0,"No source",IF(W191&lt;1,"Partial source","Source-complete"))</x:f>
        <x:v>Source-complete</x:v>
      </x:c>
      <x:c r="Z191" s="20" t="str">
        <x:v>Automated screening pass: row uses a primary source URL by actor/subfactor; verify with country-specific evidence before final analytical use.</x:v>
      </x:c>
      <x:c r="AA191" s="20" t="str">
        <x:v>2026-05-20</x:v>
      </x:c>
      <x:c r="AB191" s="20" t="str">
        <x:v>GPT-5.5 Pro</x:v>
      </x:c>
    </x:row>
    <x:row r="192" ht="24" customHeight="1">
      <x:c r="A192" s="20" t="str">
        <x:v>ISR|United States</x:v>
      </x:c>
      <x:c r="B192" s="20" t="str">
        <x:v>Israel</x:v>
      </x:c>
      <x:c r="C192" s="20" t="str">
        <x:v>State of Israel</x:v>
      </x:c>
      <x:c r="D192" s="20" t="str">
        <x:v>IL</x:v>
      </x:c>
      <x:c r="E192" s="20" t="str">
        <x:v>ISR</x:v>
      </x:c>
      <x:c r="F192" s="20" t="str">
        <x:v>376</x:v>
      </x:c>
      <x:c r="G192" s="20" t="str">
        <x:v>Asia</x:v>
      </x:c>
      <x:c r="H192" s="20" t="str">
        <x:v>Western Asia</x:v>
      </x:c>
      <x:c r="I192" s="20" t="str">
        <x:v>United States</x:v>
      </x:c>
      <x:c r="J192" s="20" t="str">
        <x:v>American influence</x:v>
      </x:c>
      <x:c r="K192" s="384" t="n">
        <x:v>5</x:v>
      </x:c>
      <x:c r="L192" s="396" t="n">
        <x:v>3</x:v>
      </x:c>
      <x:c r="M192" s="397" t="str">
        <x:v>https://www.usagm.gov/our-work/strategy-and-results/strategic-priorities/research-reports/</x:v>
      </x:c>
      <x:c r="N192" s="384" t="n">
        <x:v>5</x:v>
      </x:c>
      <x:c r="O192" s="396" t="n">
        <x:v>3</x:v>
      </x:c>
      <x:c r="P192" s="397" t="str">
        <x:v>https://internationalpolicy.org/programs/sam/</x:v>
      </x:c>
      <x:c r="Q192" s="384" t="n">
        <x:v>2</x:v>
      </x:c>
      <x:c r="R192" s="396" t="n">
        <x:v>2</x:v>
      </x:c>
      <x:c r="S192" s="397" t="str">
        <x:v>https://www.ned.org/ned-grantmaking/</x:v>
      </x:c>
      <x:c r="T192" s="384" t="n">
        <x:v>8</x:v>
      </x:c>
      <x:c r="U192" s="396" t="n">
        <x:v>4</x:v>
      </x:c>
      <x:c r="V192" s="397" t="str">
        <x:v>https://internationalpolicy.org/programs/sam/</x:v>
      </x:c>
      <x:c r="W192" s="385" t="n">
        <x:f>(--(M192&lt;&gt;"")+--(P192&lt;&gt;"")+--(S192&lt;&gt;"")+--(V192&lt;&gt;""))/4</x:f>
        <x:v>1</x:v>
      </x:c>
      <x:c r="X192" s="384" t="n">
        <x:f>IF(COUNT(K192,N192,Q192,T192)=0,"No data",(IF(ISNUMBER(K192),K192*Factor_Model!$B$4,0)+IF(ISNUMBER(N192),N192*Factor_Model!$B$5,0)+IF(ISNUMBER(Q192),Q192*Factor_Model!$B$6,0)+IF(ISNUMBER(T192),T192*Factor_Model!$B$7,0))/(IF(ISNUMBER(K192),Factor_Model!$B$4,0)+IF(ISNUMBER(N192),Factor_Model!$B$5,0)+IF(ISNUMBER(Q192),Factor_Model!$B$6,0)+IF(ISNUMBER(T192),Factor_Model!$B$7,0)))</x:f>
        <x:v>5</x:v>
      </x:c>
      <x:c r="Y192" s="20" t="str">
        <x:f>IF(W192=0,"No source",IF(W192&lt;1,"Partial source","Source-complete"))</x:f>
        <x:v>Source-complete</x:v>
      </x:c>
      <x:c r="Z192" s="20" t="str">
        <x:v>Automated screening pass: row uses a primary source URL by actor/subfactor; verify with country-specific evidence before final analytical use.</x:v>
      </x:c>
      <x:c r="AA192" s="20" t="str">
        <x:v>2026-05-20</x:v>
      </x:c>
      <x:c r="AB192" s="20" t="str">
        <x:v>GPT-5.5 Pro</x:v>
      </x:c>
    </x:row>
    <x:row r="193" ht="24" customHeight="1">
      <x:c r="A193" s="20" t="str">
        <x:v>ISR|European Union</x:v>
      </x:c>
      <x:c r="B193" s="20" t="str">
        <x:v>Israel</x:v>
      </x:c>
      <x:c r="C193" s="20" t="str">
        <x:v>State of Israel</x:v>
      </x:c>
      <x:c r="D193" s="20" t="str">
        <x:v>IL</x:v>
      </x:c>
      <x:c r="E193" s="20" t="str">
        <x:v>ISR</x:v>
      </x:c>
      <x:c r="F193" s="20" t="str">
        <x:v>376</x:v>
      </x:c>
      <x:c r="G193" s="20" t="str">
        <x:v>Asia</x:v>
      </x:c>
      <x:c r="H193" s="20" t="str">
        <x:v>Western Asia</x:v>
      </x:c>
      <x:c r="I193" s="20" t="str">
        <x:v>European Union</x:v>
      </x:c>
      <x:c r="J193" s="20" t="str">
        <x:v>EU influence</x:v>
      </x:c>
      <x:c r="K193" s="384" t="n">
        <x:v>2</x:v>
      </x:c>
      <x:c r="L193" s="396" t="n">
        <x:v>2</x:v>
      </x:c>
      <x:c r="M193" s="397" t="str">
        <x:v>https://www.eeas.europa.eu/eeas/public-diplomacy_en</x:v>
      </x:c>
      <x:c r="N193" s="384" t="n">
        <x:v>0</x:v>
      </x:c>
      <x:c r="O193" s="396" t="n">
        <x:v>1</x:v>
      </x:c>
      <x:c r="P193" s="397" t="str">
        <x:v>https://www.eeas.europa.eu/eeas/missions-and-operations_en</x:v>
      </x:c>
      <x:c r="Q193" s="384" t="n">
        <x:v>1</x:v>
      </x:c>
      <x:c r="R193" s="396" t="n">
        <x:v>2</x:v>
      </x:c>
      <x:c r="S193" s="397" t="str">
        <x:v>https://www.eeas.europa.eu/eeas/eu-election-observation-missions-1_en?page_lang=en</x:v>
      </x:c>
      <x:c r="T193" s="384" t="n">
        <x:v>2</x:v>
      </x:c>
      <x:c r="U193" s="396" t="n">
        <x:v>2</x:v>
      </x:c>
      <x:c r="V193" s="397" t="str">
        <x:v>https://www.eeas.europa.eu/eeas/missions-and-operations_en</x:v>
      </x:c>
      <x:c r="W193" s="385" t="n">
        <x:f>(--(M193&lt;&gt;"")+--(P193&lt;&gt;"")+--(S193&lt;&gt;"")+--(V193&lt;&gt;""))/4</x:f>
        <x:v>1</x:v>
      </x:c>
      <x:c r="X193" s="384" t="n">
        <x:f>IF(COUNT(K193,N193,Q193,T193)=0,"No data",(IF(ISNUMBER(K193),K193*Factor_Model!$B$4,0)+IF(ISNUMBER(N193),N193*Factor_Model!$B$5,0)+IF(ISNUMBER(Q193),Q193*Factor_Model!$B$6,0)+IF(ISNUMBER(T193),T193*Factor_Model!$B$7,0))/(IF(ISNUMBER(K193),Factor_Model!$B$4,0)+IF(ISNUMBER(N193),Factor_Model!$B$5,0)+IF(ISNUMBER(Q193),Factor_Model!$B$6,0)+IF(ISNUMBER(T193),Factor_Model!$B$7,0)))</x:f>
        <x:v>1.25</x:v>
      </x:c>
      <x:c r="Y193" s="20" t="str">
        <x:f>IF(W193=0,"No source",IF(W193&lt;1,"Partial source","Source-complete"))</x:f>
        <x:v>Source-complete</x:v>
      </x:c>
      <x:c r="Z193" s="20" t="str">
        <x:v>Automated screening pass: row uses a primary source URL by actor/subfactor; verify with country-specific evidence before final analytical use.</x:v>
      </x:c>
      <x:c r="AA193" s="20" t="str">
        <x:v>2026-05-20</x:v>
      </x:c>
      <x:c r="AB193" s="20" t="str">
        <x:v>GPT-5.5 Pro</x:v>
      </x:c>
    </x:row>
    <x:row r="194" ht="24" customHeight="1">
      <x:c r="A194" s="20" t="str">
        <x:v>ITA|Russia</x:v>
      </x:c>
      <x:c r="B194" s="20" t="str">
        <x:v>Italy</x:v>
      </x:c>
      <x:c r="C194" s="20" t="str">
        <x:v>Italian Republic</x:v>
      </x:c>
      <x:c r="D194" s="20" t="str">
        <x:v>IT</x:v>
      </x:c>
      <x:c r="E194" s="20" t="str">
        <x:v>ITA</x:v>
      </x:c>
      <x:c r="F194" s="20" t="str">
        <x:v>380</x:v>
      </x:c>
      <x:c r="G194" s="20" t="str">
        <x:v>Europe</x:v>
      </x:c>
      <x:c r="H194" s="20" t="str">
        <x:v>Southern Europe</x:v>
      </x:c>
      <x:c r="I194" s="20" t="str">
        <x:v>Russia</x:v>
      </x:c>
      <x:c r="J194" s="20" t="str">
        <x:v>Russian influence</x:v>
      </x:c>
      <x:c r="K194" s="384" t="n">
        <x:v>5</x:v>
      </x:c>
      <x:c r="L194" s="396" t="n">
        <x:v>3</x:v>
      </x:c>
      <x:c r="M194" s="397" t="str">
        <x:v>https://www.eeas.europa.eu/eeas/4th-eeas-annual-report-foreign-information-manipulation-and-interference-threats_en</x:v>
      </x:c>
      <x:c r="N194" s="384" t="n">
        <x:v>0</x:v>
      </x:c>
      <x:c r="O194" s="396" t="n">
        <x:v>1</x:v>
      </x:c>
      <x:c r="P194" s="397" t="str">
        <x:v>https://www.consilium.europa.eu/en/press/press-releases/2023/02/25/wagner-group-council-adds-11-individuals-and-7-entities-to-eu-sanctions-lists/</x:v>
      </x:c>
      <x:c r="Q194" s="384" t="n">
        <x:v>5</x:v>
      </x:c>
      <x:c r="R194" s="396" t="n">
        <x:v>3</x:v>
      </x:c>
      <x:c r="S194" s="397" t="str">
        <x:v>https://www.dni.gov/files/ODNI/documents/assessments/ATA-2026-Unclassified-Report.pdf</x:v>
      </x:c>
      <x:c r="T194" s="384" t="n">
        <x:v>0</x:v>
      </x:c>
      <x:c r="U194" s="396" t="n">
        <x:v>1</x:v>
      </x:c>
      <x:c r="V194" s="397" t="str">
        <x:v>https://www.consilium.europa.eu/en/press/press-releases/2023/02/25/wagner-group-council-adds-11-individuals-and-7-entities-to-eu-sanctions-lists/</x:v>
      </x:c>
      <x:c r="W194" s="385" t="n">
        <x:f>(--(M194&lt;&gt;"")+--(P194&lt;&gt;"")+--(S194&lt;&gt;"")+--(V194&lt;&gt;""))/4</x:f>
        <x:v>1</x:v>
      </x:c>
      <x:c r="X194" s="384" t="n">
        <x:f>IF(COUNT(K194,N194,Q194,T194)=0,"No data",(IF(ISNUMBER(K194),K194*Factor_Model!$B$4,0)+IF(ISNUMBER(N194),N194*Factor_Model!$B$5,0)+IF(ISNUMBER(Q194),Q194*Factor_Model!$B$6,0)+IF(ISNUMBER(T194),T194*Factor_Model!$B$7,0))/(IF(ISNUMBER(K194),Factor_Model!$B$4,0)+IF(ISNUMBER(N194),Factor_Model!$B$5,0)+IF(ISNUMBER(Q194),Factor_Model!$B$6,0)+IF(ISNUMBER(T194),Factor_Model!$B$7,0)))</x:f>
        <x:v>2.5</x:v>
      </x:c>
      <x:c r="Y194" s="20" t="str">
        <x:f>IF(W194=0,"No source",IF(W194&lt;1,"Partial source","Source-complete"))</x:f>
        <x:v>Source-complete</x:v>
      </x:c>
      <x:c r="Z194" s="20" t="str">
        <x:v>Automated screening pass: row uses a primary source URL by actor/subfactor; verify with country-specific evidence before final analytical use.</x:v>
      </x:c>
      <x:c r="AA194" s="20" t="str">
        <x:v>2026-05-20</x:v>
      </x:c>
      <x:c r="AB194" s="20" t="str">
        <x:v>GPT-5.5 Pro</x:v>
      </x:c>
    </x:row>
    <x:row r="195" ht="24" customHeight="1">
      <x:c r="A195" s="20" t="str">
        <x:v>ITA|China</x:v>
      </x:c>
      <x:c r="B195" s="20" t="str">
        <x:v>Italy</x:v>
      </x:c>
      <x:c r="C195" s="20" t="str">
        <x:v>Italian Republic</x:v>
      </x:c>
      <x:c r="D195" s="20" t="str">
        <x:v>IT</x:v>
      </x:c>
      <x:c r="E195" s="20" t="str">
        <x:v>ITA</x:v>
      </x:c>
      <x:c r="F195" s="20" t="str">
        <x:v>380</x:v>
      </x:c>
      <x:c r="G195" s="20" t="str">
        <x:v>Europe</x:v>
      </x:c>
      <x:c r="H195" s="20" t="str">
        <x:v>Southern Europe</x:v>
      </x:c>
      <x:c r="I195" s="20" t="str">
        <x:v>China</x:v>
      </x:c>
      <x:c r="J195" s="20" t="str">
        <x:v>Chinese influence</x:v>
      </x:c>
      <x:c r="K195" s="384" t="n">
        <x:v>5</x:v>
      </x:c>
      <x:c r="L195" s="396" t="n">
        <x:v>3</x:v>
      </x:c>
      <x:c r="M195" s="397" t="str">
        <x:v>https://www.eeas.europa.eu/eeas/4th-eeas-annual-report-foreign-information-manipulation-and-interference-threats_en</x:v>
      </x:c>
      <x:c r="N195" s="384" t="n">
        <x:v>0</x:v>
      </x:c>
      <x:c r="O195" s="396" t="n">
        <x:v>1</x:v>
      </x:c>
      <x:c r="P195" s="397" t="str">
        <x:v>https://merics.org/en/report/guardians-belt-and-road</x:v>
      </x:c>
      <x:c r="Q195" s="384" t="n">
        <x:v>3</x:v>
      </x:c>
      <x:c r="R195" s="396" t="n">
        <x:v>3</x:v>
      </x:c>
      <x:c r="S195" s="397" t="str">
        <x:v>https://www.eeas.europa.eu/eeas/4th-eeas-annual-report-foreign-information-manipulation-and-interference-threats_en</x:v>
      </x:c>
      <x:c r="T195" s="384" t="n">
        <x:v>0</x:v>
      </x:c>
      <x:c r="U195" s="396" t="n">
        <x:v>1</x:v>
      </x:c>
      <x:c r="V195" s="397" t="str">
        <x:v>https://merics.org/en/report/guardians-belt-and-road</x:v>
      </x:c>
      <x:c r="W195" s="385" t="n">
        <x:f>(--(M195&lt;&gt;"")+--(P195&lt;&gt;"")+--(S195&lt;&gt;"")+--(V195&lt;&gt;""))/4</x:f>
        <x:v>1</x:v>
      </x:c>
      <x:c r="X195" s="384" t="n">
        <x:f>IF(COUNT(K195,N195,Q195,T195)=0,"No data",(IF(ISNUMBER(K195),K195*Factor_Model!$B$4,0)+IF(ISNUMBER(N195),N195*Factor_Model!$B$5,0)+IF(ISNUMBER(Q195),Q195*Factor_Model!$B$6,0)+IF(ISNUMBER(T195),T195*Factor_Model!$B$7,0))/(IF(ISNUMBER(K195),Factor_Model!$B$4,0)+IF(ISNUMBER(N195),Factor_Model!$B$5,0)+IF(ISNUMBER(Q195),Factor_Model!$B$6,0)+IF(ISNUMBER(T195),Factor_Model!$B$7,0)))</x:f>
        <x:v>2</x:v>
      </x:c>
      <x:c r="Y195" s="20" t="str">
        <x:f>IF(W195=0,"No source",IF(W195&lt;1,"Partial source","Source-complete"))</x:f>
        <x:v>Source-complete</x:v>
      </x:c>
      <x:c r="Z195" s="20" t="str">
        <x:v>Automated screening pass: row uses a primary source URL by actor/subfactor; verify with country-specific evidence before final analytical use.</x:v>
      </x:c>
      <x:c r="AA195" s="20" t="str">
        <x:v>2026-05-20</x:v>
      </x:c>
      <x:c r="AB195" s="20" t="str">
        <x:v>GPT-5.5 Pro</x:v>
      </x:c>
    </x:row>
    <x:row r="196" ht="24" customHeight="1">
      <x:c r="A196" s="20" t="str">
        <x:v>ITA|United States</x:v>
      </x:c>
      <x:c r="B196" s="20" t="str">
        <x:v>Italy</x:v>
      </x:c>
      <x:c r="C196" s="20" t="str">
        <x:v>Italian Republic</x:v>
      </x:c>
      <x:c r="D196" s="20" t="str">
        <x:v>IT</x:v>
      </x:c>
      <x:c r="E196" s="20" t="str">
        <x:v>ITA</x:v>
      </x:c>
      <x:c r="F196" s="20" t="str">
        <x:v>380</x:v>
      </x:c>
      <x:c r="G196" s="20" t="str">
        <x:v>Europe</x:v>
      </x:c>
      <x:c r="H196" s="20" t="str">
        <x:v>Southern Europe</x:v>
      </x:c>
      <x:c r="I196" s="20" t="str">
        <x:v>United States</x:v>
      </x:c>
      <x:c r="J196" s="20" t="str">
        <x:v>American influence</x:v>
      </x:c>
      <x:c r="K196" s="384" t="n">
        <x:v>4</x:v>
      </x:c>
      <x:c r="L196" s="396" t="n">
        <x:v>3</x:v>
      </x:c>
      <x:c r="M196" s="397" t="str">
        <x:v>https://www.usagm.gov/our-work/strategy-and-results/strategic-priorities/research-reports/</x:v>
      </x:c>
      <x:c r="N196" s="384" t="n">
        <x:v>3</x:v>
      </x:c>
      <x:c r="O196" s="396" t="n">
        <x:v>3</x:v>
      </x:c>
      <x:c r="P196" s="397" t="str">
        <x:v>https://internationalpolicy.org/programs/sam/</x:v>
      </x:c>
      <x:c r="Q196" s="384" t="n">
        <x:v>1</x:v>
      </x:c>
      <x:c r="R196" s="396" t="n">
        <x:v>2</x:v>
      </x:c>
      <x:c r="S196" s="397" t="str">
        <x:v>https://www.ned.org/ned-grantmaking/</x:v>
      </x:c>
      <x:c r="T196" s="384" t="n">
        <x:v>6</x:v>
      </x:c>
      <x:c r="U196" s="396" t="n">
        <x:v>4</x:v>
      </x:c>
      <x:c r="V196" s="397" t="str">
        <x:v>https://internationalpolicy.org/programs/sam/</x:v>
      </x:c>
      <x:c r="W196" s="385" t="n">
        <x:f>(--(M196&lt;&gt;"")+--(P196&lt;&gt;"")+--(S196&lt;&gt;"")+--(V196&lt;&gt;""))/4</x:f>
        <x:v>1</x:v>
      </x:c>
      <x:c r="X196" s="384" t="n">
        <x:f>IF(COUNT(K196,N196,Q196,T196)=0,"No data",(IF(ISNUMBER(K196),K196*Factor_Model!$B$4,0)+IF(ISNUMBER(N196),N196*Factor_Model!$B$5,0)+IF(ISNUMBER(Q196),Q196*Factor_Model!$B$6,0)+IF(ISNUMBER(T196),T196*Factor_Model!$B$7,0))/(IF(ISNUMBER(K196),Factor_Model!$B$4,0)+IF(ISNUMBER(N196),Factor_Model!$B$5,0)+IF(ISNUMBER(Q196),Factor_Model!$B$6,0)+IF(ISNUMBER(T196),Factor_Model!$B$7,0)))</x:f>
        <x:v>3.5</x:v>
      </x:c>
      <x:c r="Y196" s="20" t="str">
        <x:f>IF(W196=0,"No source",IF(W196&lt;1,"Partial source","Source-complete"))</x:f>
        <x:v>Source-complete</x:v>
      </x:c>
      <x:c r="Z196" s="20" t="str">
        <x:v>Automated screening pass: row uses a primary source URL by actor/subfactor; verify with country-specific evidence before final analytical use.</x:v>
      </x:c>
      <x:c r="AA196" s="20" t="str">
        <x:v>2026-05-20</x:v>
      </x:c>
      <x:c r="AB196" s="20" t="str">
        <x:v>GPT-5.5 Pro</x:v>
      </x:c>
    </x:row>
    <x:row r="197" ht="24" customHeight="1">
      <x:c r="A197" s="20" t="str">
        <x:v>ITA|European Union</x:v>
      </x:c>
      <x:c r="B197" s="20" t="str">
        <x:v>Italy</x:v>
      </x:c>
      <x:c r="C197" s="20" t="str">
        <x:v>Italian Republic</x:v>
      </x:c>
      <x:c r="D197" s="20" t="str">
        <x:v>IT</x:v>
      </x:c>
      <x:c r="E197" s="20" t="str">
        <x:v>ITA</x:v>
      </x:c>
      <x:c r="F197" s="20" t="str">
        <x:v>380</x:v>
      </x:c>
      <x:c r="G197" s="20" t="str">
        <x:v>Europe</x:v>
      </x:c>
      <x:c r="H197" s="20" t="str">
        <x:v>Southern Europe</x:v>
      </x:c>
      <x:c r="I197" s="20" t="str">
        <x:v>European Union</x:v>
      </x:c>
      <x:c r="J197" s="20" t="str">
        <x:v>EU influence</x:v>
      </x:c>
      <x:c r="K197" s="384" t="n">
        <x:v>9</x:v>
      </x:c>
      <x:c r="L197" s="396" t="n">
        <x:v>5</x:v>
      </x:c>
      <x:c r="M197" s="397" t="str">
        <x:v>https://www.eeas.europa.eu/eeas/public-diplomacy_en</x:v>
      </x:c>
      <x:c r="N197" s="384" t="n">
        <x:v>0</x:v>
      </x:c>
      <x:c r="O197" s="396" t="n">
        <x:v>1</x:v>
      </x:c>
      <x:c r="P197" s="397" t="str">
        <x:v>https://www.eeas.europa.eu/eeas/missions-and-operations_en</x:v>
      </x:c>
      <x:c r="Q197" s="384" t="n">
        <x:v>2</x:v>
      </x:c>
      <x:c r="R197" s="396" t="n">
        <x:v>2</x:v>
      </x:c>
      <x:c r="S197" s="397" t="str">
        <x:v>https://www.eeas.europa.eu/eeas/eu-election-observation-missions-1_en?page_lang=en</x:v>
      </x:c>
      <x:c r="T197" s="384" t="n">
        <x:v>5</x:v>
      </x:c>
      <x:c r="U197" s="396" t="n">
        <x:v>3</x:v>
      </x:c>
      <x:c r="V197" s="397" t="str">
        <x:v>https://www.eeas.europa.eu/eeas/missions-and-operations_en</x:v>
      </x:c>
      <x:c r="W197" s="385" t="n">
        <x:f>(--(M197&lt;&gt;"")+--(P197&lt;&gt;"")+--(S197&lt;&gt;"")+--(V197&lt;&gt;""))/4</x:f>
        <x:v>1</x:v>
      </x:c>
      <x:c r="X197" s="384" t="n">
        <x:f>IF(COUNT(K197,N197,Q197,T197)=0,"No data",(IF(ISNUMBER(K197),K197*Factor_Model!$B$4,0)+IF(ISNUMBER(N197),N197*Factor_Model!$B$5,0)+IF(ISNUMBER(Q197),Q197*Factor_Model!$B$6,0)+IF(ISNUMBER(T197),T197*Factor_Model!$B$7,0))/(IF(ISNUMBER(K197),Factor_Model!$B$4,0)+IF(ISNUMBER(N197),Factor_Model!$B$5,0)+IF(ISNUMBER(Q197),Factor_Model!$B$6,0)+IF(ISNUMBER(T197),Factor_Model!$B$7,0)))</x:f>
        <x:v>4</x:v>
      </x:c>
      <x:c r="Y197" s="20" t="str">
        <x:f>IF(W197=0,"No source",IF(W197&lt;1,"Partial source","Source-complete"))</x:f>
        <x:v>Source-complete</x:v>
      </x:c>
      <x:c r="Z197" s="20" t="str">
        <x:v>Automated screening pass: row uses a primary source URL by actor/subfactor; verify with country-specific evidence before final analytical use.</x:v>
      </x:c>
      <x:c r="AA197" s="20" t="str">
        <x:v>2026-05-20</x:v>
      </x:c>
      <x:c r="AB197" s="20" t="str">
        <x:v>GPT-5.5 Pro</x:v>
      </x:c>
    </x:row>
    <x:row r="198" ht="24" customHeight="1">
      <x:c r="A198" s="20" t="str">
        <x:v>JPN|Russia</x:v>
      </x:c>
      <x:c r="B198" s="20" t="str">
        <x:v>Japan</x:v>
      </x:c>
      <x:c r="C198" s="20"/>
      <x:c r="D198" s="20" t="str">
        <x:v>JP</x:v>
      </x:c>
      <x:c r="E198" s="20" t="str">
        <x:v>JPN</x:v>
      </x:c>
      <x:c r="F198" s="20" t="str">
        <x:v>392</x:v>
      </x:c>
      <x:c r="G198" s="20" t="str">
        <x:v>Asia</x:v>
      </x:c>
      <x:c r="H198" s="20" t="str">
        <x:v>Eastern Asia</x:v>
      </x:c>
      <x:c r="I198" s="20" t="str">
        <x:v>Russia</x:v>
      </x:c>
      <x:c r="J198" s="20" t="str">
        <x:v>Russian influence</x:v>
      </x:c>
      <x:c r="K198" s="384" t="n">
        <x:v>2</x:v>
      </x:c>
      <x:c r="L198" s="396" t="n">
        <x:v>2</x:v>
      </x:c>
      <x:c r="M198" s="397" t="str">
        <x:v>https://www.eeas.europa.eu/eeas/4th-eeas-annual-report-foreign-information-manipulation-and-interference-threats_en</x:v>
      </x:c>
      <x:c r="N198" s="384" t="n">
        <x:v>0</x:v>
      </x:c>
      <x:c r="O198" s="396" t="n">
        <x:v>1</x:v>
      </x:c>
      <x:c r="P198" s="397" t="str">
        <x:v>https://www.consilium.europa.eu/en/press/press-releases/2023/02/25/wagner-group-council-adds-11-individuals-and-7-entities-to-eu-sanctions-lists/</x:v>
      </x:c>
      <x:c r="Q198" s="384" t="n">
        <x:v>3</x:v>
      </x:c>
      <x:c r="R198" s="396" t="n">
        <x:v>3</x:v>
      </x:c>
      <x:c r="S198" s="397" t="str">
        <x:v>https://www.dni.gov/files/ODNI/documents/assessments/ATA-2026-Unclassified-Report.pdf</x:v>
      </x:c>
      <x:c r="T198" s="384" t="n">
        <x:v>0</x:v>
      </x:c>
      <x:c r="U198" s="396" t="n">
        <x:v>1</x:v>
      </x:c>
      <x:c r="V198" s="397" t="str">
        <x:v>https://www.consilium.europa.eu/en/press/press-releases/2023/02/25/wagner-group-council-adds-11-individuals-and-7-entities-to-eu-sanctions-lists/</x:v>
      </x:c>
      <x:c r="W198" s="385" t="n">
        <x:f>(--(M198&lt;&gt;"")+--(P198&lt;&gt;"")+--(S198&lt;&gt;"")+--(V198&lt;&gt;""))/4</x:f>
        <x:v>1</x:v>
      </x:c>
      <x:c r="X198" s="384" t="n">
        <x:f>IF(COUNT(K198,N198,Q198,T198)=0,"No data",(IF(ISNUMBER(K198),K198*Factor_Model!$B$4,0)+IF(ISNUMBER(N198),N198*Factor_Model!$B$5,0)+IF(ISNUMBER(Q198),Q198*Factor_Model!$B$6,0)+IF(ISNUMBER(T198),T198*Factor_Model!$B$7,0))/(IF(ISNUMBER(K198),Factor_Model!$B$4,0)+IF(ISNUMBER(N198),Factor_Model!$B$5,0)+IF(ISNUMBER(Q198),Factor_Model!$B$6,0)+IF(ISNUMBER(T198),Factor_Model!$B$7,0)))</x:f>
        <x:v>1.25</x:v>
      </x:c>
      <x:c r="Y198" s="20" t="str">
        <x:f>IF(W198=0,"No source",IF(W198&lt;1,"Partial source","Source-complete"))</x:f>
        <x:v>Source-complete</x:v>
      </x:c>
      <x:c r="Z198" s="20" t="str">
        <x:v>Automated screening pass: row uses a primary source URL by actor/subfactor; verify with country-specific evidence before final analytical use.</x:v>
      </x:c>
      <x:c r="AA198" s="20" t="str">
        <x:v>2026-05-20</x:v>
      </x:c>
      <x:c r="AB198" s="20" t="str">
        <x:v>GPT-5.5 Pro</x:v>
      </x:c>
    </x:row>
    <x:row r="199" ht="24" customHeight="1">
      <x:c r="A199" s="20" t="str">
        <x:v>JPN|China</x:v>
      </x:c>
      <x:c r="B199" s="20" t="str">
        <x:v>Japan</x:v>
      </x:c>
      <x:c r="C199" s="20"/>
      <x:c r="D199" s="20" t="str">
        <x:v>JP</x:v>
      </x:c>
      <x:c r="E199" s="20" t="str">
        <x:v>JPN</x:v>
      </x:c>
      <x:c r="F199" s="20" t="str">
        <x:v>392</x:v>
      </x:c>
      <x:c r="G199" s="20" t="str">
        <x:v>Asia</x:v>
      </x:c>
      <x:c r="H199" s="20" t="str">
        <x:v>Eastern Asia</x:v>
      </x:c>
      <x:c r="I199" s="20" t="str">
        <x:v>China</x:v>
      </x:c>
      <x:c r="J199" s="20" t="str">
        <x:v>Chinese influence</x:v>
      </x:c>
      <x:c r="K199" s="384" t="n">
        <x:v>7</x:v>
      </x:c>
      <x:c r="L199" s="396" t="n">
        <x:v>4</x:v>
      </x:c>
      <x:c r="M199" s="397" t="str">
        <x:v>https://www.eeas.europa.eu/eeas/4th-eeas-annual-report-foreign-information-manipulation-and-interference-threats_en</x:v>
      </x:c>
      <x:c r="N199" s="384" t="n">
        <x:v>0</x:v>
      </x:c>
      <x:c r="O199" s="396" t="n">
        <x:v>1</x:v>
      </x:c>
      <x:c r="P199" s="397" t="str">
        <x:v>https://merics.org/en/report/guardians-belt-and-road</x:v>
      </x:c>
      <x:c r="Q199" s="384" t="n">
        <x:v>5</x:v>
      </x:c>
      <x:c r="R199" s="396" t="n">
        <x:v>3</x:v>
      </x:c>
      <x:c r="S199" s="397" t="str">
        <x:v>https://www.eeas.europa.eu/eeas/4th-eeas-annual-report-foreign-information-manipulation-and-interference-threats_en</x:v>
      </x:c>
      <x:c r="T199" s="384" t="n">
        <x:v>1</x:v>
      </x:c>
      <x:c r="U199" s="396" t="n">
        <x:v>2</x:v>
      </x:c>
      <x:c r="V199" s="397" t="str">
        <x:v>https://merics.org/en/report/guardians-belt-and-road</x:v>
      </x:c>
      <x:c r="W199" s="385" t="n">
        <x:f>(--(M199&lt;&gt;"")+--(P199&lt;&gt;"")+--(S199&lt;&gt;"")+--(V199&lt;&gt;""))/4</x:f>
        <x:v>1</x:v>
      </x:c>
      <x:c r="X199" s="384" t="n">
        <x:f>IF(COUNT(K199,N199,Q199,T199)=0,"No data",(IF(ISNUMBER(K199),K199*Factor_Model!$B$4,0)+IF(ISNUMBER(N199),N199*Factor_Model!$B$5,0)+IF(ISNUMBER(Q199),Q199*Factor_Model!$B$6,0)+IF(ISNUMBER(T199),T199*Factor_Model!$B$7,0))/(IF(ISNUMBER(K199),Factor_Model!$B$4,0)+IF(ISNUMBER(N199),Factor_Model!$B$5,0)+IF(ISNUMBER(Q199),Factor_Model!$B$6,0)+IF(ISNUMBER(T199),Factor_Model!$B$7,0)))</x:f>
        <x:v>3.25</x:v>
      </x:c>
      <x:c r="Y199" s="20" t="str">
        <x:f>IF(W199=0,"No source",IF(W199&lt;1,"Partial source","Source-complete"))</x:f>
        <x:v>Source-complete</x:v>
      </x:c>
      <x:c r="Z199" s="20" t="str">
        <x:v>Automated screening pass: row uses a primary source URL by actor/subfactor; verify with country-specific evidence before final analytical use.</x:v>
      </x:c>
      <x:c r="AA199" s="20" t="str">
        <x:v>2026-05-20</x:v>
      </x:c>
      <x:c r="AB199" s="20" t="str">
        <x:v>GPT-5.5 Pro</x:v>
      </x:c>
    </x:row>
    <x:row r="200" ht="24" customHeight="1">
      <x:c r="A200" s="20" t="str">
        <x:v>JPN|United States</x:v>
      </x:c>
      <x:c r="B200" s="20" t="str">
        <x:v>Japan</x:v>
      </x:c>
      <x:c r="C200" s="20"/>
      <x:c r="D200" s="20" t="str">
        <x:v>JP</x:v>
      </x:c>
      <x:c r="E200" s="20" t="str">
        <x:v>JPN</x:v>
      </x:c>
      <x:c r="F200" s="20" t="str">
        <x:v>392</x:v>
      </x:c>
      <x:c r="G200" s="20" t="str">
        <x:v>Asia</x:v>
      </x:c>
      <x:c r="H200" s="20" t="str">
        <x:v>Eastern Asia</x:v>
      </x:c>
      <x:c r="I200" s="20" t="str">
        <x:v>United States</x:v>
      </x:c>
      <x:c r="J200" s="20" t="str">
        <x:v>American influence</x:v>
      </x:c>
      <x:c r="K200" s="384" t="n">
        <x:v>5</x:v>
      </x:c>
      <x:c r="L200" s="396" t="n">
        <x:v>3</x:v>
      </x:c>
      <x:c r="M200" s="397" t="str">
        <x:v>https://www.usagm.gov/our-work/strategy-and-results/strategic-priorities/research-reports/</x:v>
      </x:c>
      <x:c r="N200" s="384" t="n">
        <x:v>5</x:v>
      </x:c>
      <x:c r="O200" s="396" t="n">
        <x:v>3</x:v>
      </x:c>
      <x:c r="P200" s="397" t="str">
        <x:v>https://internationalpolicy.org/programs/sam/</x:v>
      </x:c>
      <x:c r="Q200" s="384" t="n">
        <x:v>2</x:v>
      </x:c>
      <x:c r="R200" s="396" t="n">
        <x:v>2</x:v>
      </x:c>
      <x:c r="S200" s="397" t="str">
        <x:v>https://www.ned.org/ned-grantmaking/</x:v>
      </x:c>
      <x:c r="T200" s="384" t="n">
        <x:v>8</x:v>
      </x:c>
      <x:c r="U200" s="396" t="n">
        <x:v>4</x:v>
      </x:c>
      <x:c r="V200" s="397" t="str">
        <x:v>https://internationalpolicy.org/programs/sam/</x:v>
      </x:c>
      <x:c r="W200" s="385" t="n">
        <x:f>(--(M200&lt;&gt;"")+--(P200&lt;&gt;"")+--(S200&lt;&gt;"")+--(V200&lt;&gt;""))/4</x:f>
        <x:v>1</x:v>
      </x:c>
      <x:c r="X200" s="384" t="n">
        <x:f>IF(COUNT(K200,N200,Q200,T200)=0,"No data",(IF(ISNUMBER(K200),K200*Factor_Model!$B$4,0)+IF(ISNUMBER(N200),N200*Factor_Model!$B$5,0)+IF(ISNUMBER(Q200),Q200*Factor_Model!$B$6,0)+IF(ISNUMBER(T200),T200*Factor_Model!$B$7,0))/(IF(ISNUMBER(K200),Factor_Model!$B$4,0)+IF(ISNUMBER(N200),Factor_Model!$B$5,0)+IF(ISNUMBER(Q200),Factor_Model!$B$6,0)+IF(ISNUMBER(T200),Factor_Model!$B$7,0)))</x:f>
        <x:v>5</x:v>
      </x:c>
      <x:c r="Y200" s="20" t="str">
        <x:f>IF(W200=0,"No source",IF(W200&lt;1,"Partial source","Source-complete"))</x:f>
        <x:v>Source-complete</x:v>
      </x:c>
      <x:c r="Z200" s="20" t="str">
        <x:v>Automated screening pass: row uses a primary source URL by actor/subfactor; verify with country-specific evidence before final analytical use.</x:v>
      </x:c>
      <x:c r="AA200" s="20" t="str">
        <x:v>2026-05-20</x:v>
      </x:c>
      <x:c r="AB200" s="20" t="str">
        <x:v>GPT-5.5 Pro</x:v>
      </x:c>
    </x:row>
    <x:row r="201" ht="24" customHeight="1">
      <x:c r="A201" s="20" t="str">
        <x:v>JPN|European Union</x:v>
      </x:c>
      <x:c r="B201" s="20" t="str">
        <x:v>Japan</x:v>
      </x:c>
      <x:c r="C201" s="20"/>
      <x:c r="D201" s="20" t="str">
        <x:v>JP</x:v>
      </x:c>
      <x:c r="E201" s="20" t="str">
        <x:v>JPN</x:v>
      </x:c>
      <x:c r="F201" s="20" t="str">
        <x:v>392</x:v>
      </x:c>
      <x:c r="G201" s="20" t="str">
        <x:v>Asia</x:v>
      </x:c>
      <x:c r="H201" s="20" t="str">
        <x:v>Eastern Asia</x:v>
      </x:c>
      <x:c r="I201" s="20" t="str">
        <x:v>European Union</x:v>
      </x:c>
      <x:c r="J201" s="20" t="str">
        <x:v>EU influence</x:v>
      </x:c>
      <x:c r="K201" s="384" t="n">
        <x:v>3</x:v>
      </x:c>
      <x:c r="L201" s="396" t="n">
        <x:v>3</x:v>
      </x:c>
      <x:c r="M201" s="397" t="str">
        <x:v>https://www.eeas.europa.eu/eeas/public-diplomacy_en</x:v>
      </x:c>
      <x:c r="N201" s="384" t="n">
        <x:v>0</x:v>
      </x:c>
      <x:c r="O201" s="396" t="n">
        <x:v>1</x:v>
      </x:c>
      <x:c r="P201" s="397" t="str">
        <x:v>https://www.eeas.europa.eu/eeas/missions-and-operations_en</x:v>
      </x:c>
      <x:c r="Q201" s="384" t="n">
        <x:v>1</x:v>
      </x:c>
      <x:c r="R201" s="396" t="n">
        <x:v>2</x:v>
      </x:c>
      <x:c r="S201" s="397" t="str">
        <x:v>https://www.eeas.europa.eu/eeas/eu-election-observation-missions-1_en?page_lang=en</x:v>
      </x:c>
      <x:c r="T201" s="384" t="n">
        <x:v>3</x:v>
      </x:c>
      <x:c r="U201" s="396" t="n">
        <x:v>3</x:v>
      </x:c>
      <x:c r="V201" s="397" t="str">
        <x:v>https://www.eeas.europa.eu/eeas/missions-and-operations_en</x:v>
      </x:c>
      <x:c r="W201" s="385" t="n">
        <x:f>(--(M201&lt;&gt;"")+--(P201&lt;&gt;"")+--(S201&lt;&gt;"")+--(V201&lt;&gt;""))/4</x:f>
        <x:v>1</x:v>
      </x:c>
      <x:c r="X201" s="384" t="n">
        <x:f>IF(COUNT(K201,N201,Q201,T201)=0,"No data",(IF(ISNUMBER(K201),K201*Factor_Model!$B$4,0)+IF(ISNUMBER(N201),N201*Factor_Model!$B$5,0)+IF(ISNUMBER(Q201),Q201*Factor_Model!$B$6,0)+IF(ISNUMBER(T201),T201*Factor_Model!$B$7,0))/(IF(ISNUMBER(K201),Factor_Model!$B$4,0)+IF(ISNUMBER(N201),Factor_Model!$B$5,0)+IF(ISNUMBER(Q201),Factor_Model!$B$6,0)+IF(ISNUMBER(T201),Factor_Model!$B$7,0)))</x:f>
        <x:v>1.75</x:v>
      </x:c>
      <x:c r="Y201" s="20" t="str">
        <x:f>IF(W201=0,"No source",IF(W201&lt;1,"Partial source","Source-complete"))</x:f>
        <x:v>Source-complete</x:v>
      </x:c>
      <x:c r="Z201" s="20" t="str">
        <x:v>Automated screening pass: row uses a primary source URL by actor/subfactor; verify with country-specific evidence before final analytical use.</x:v>
      </x:c>
      <x:c r="AA201" s="20" t="str">
        <x:v>2026-05-20</x:v>
      </x:c>
      <x:c r="AB201" s="20" t="str">
        <x:v>GPT-5.5 Pro</x:v>
      </x:c>
    </x:row>
    <x:row r="202" ht="24" customHeight="1">
      <x:c r="A202" s="20" t="str">
        <x:v>JOR|Russia</x:v>
      </x:c>
      <x:c r="B202" s="20" t="str">
        <x:v>Jordan</x:v>
      </x:c>
      <x:c r="C202" s="20" t="str">
        <x:v>Hashemite Kingdom of Jordan</x:v>
      </x:c>
      <x:c r="D202" s="20" t="str">
        <x:v>JO</x:v>
      </x:c>
      <x:c r="E202" s="20" t="str">
        <x:v>JOR</x:v>
      </x:c>
      <x:c r="F202" s="20" t="str">
        <x:v>400</x:v>
      </x:c>
      <x:c r="G202" s="20" t="str">
        <x:v>Asia</x:v>
      </x:c>
      <x:c r="H202" s="20" t="str">
        <x:v>Western Asia</x:v>
      </x:c>
      <x:c r="I202" s="20" t="str">
        <x:v>Russia</x:v>
      </x:c>
      <x:c r="J202" s="20" t="str">
        <x:v>Russian influence</x:v>
      </x:c>
      <x:c r="K202" s="384" t="n">
        <x:v>2</x:v>
      </x:c>
      <x:c r="L202" s="396" t="n">
        <x:v>2</x:v>
      </x:c>
      <x:c r="M202" s="397" t="str">
        <x:v>https://www.eeas.europa.eu/eeas/4th-eeas-annual-report-foreign-information-manipulation-and-interference-threats_en</x:v>
      </x:c>
      <x:c r="N202" s="384" t="n">
        <x:v>0</x:v>
      </x:c>
      <x:c r="O202" s="396" t="n">
        <x:v>1</x:v>
      </x:c>
      <x:c r="P202" s="397" t="str">
        <x:v>https://www.consilium.europa.eu/en/press/press-releases/2023/02/25/wagner-group-council-adds-11-individuals-and-7-entities-to-eu-sanctions-lists/</x:v>
      </x:c>
      <x:c r="Q202" s="384" t="n">
        <x:v>0</x:v>
      </x:c>
      <x:c r="R202" s="396" t="n">
        <x:v>1</x:v>
      </x:c>
      <x:c r="S202" s="397" t="str">
        <x:v>https://www.dni.gov/files/ODNI/documents/assessments/ATA-2026-Unclassified-Report.pdf</x:v>
      </x:c>
      <x:c r="T202" s="384" t="n">
        <x:v>0</x:v>
      </x:c>
      <x:c r="U202" s="396" t="n">
        <x:v>1</x:v>
      </x:c>
      <x:c r="V202" s="397" t="str">
        <x:v>https://www.consilium.europa.eu/en/press/press-releases/2023/02/25/wagner-group-council-adds-11-individuals-and-7-entities-to-eu-sanctions-lists/</x:v>
      </x:c>
      <x:c r="W202" s="385" t="n">
        <x:f>(--(M202&lt;&gt;"")+--(P202&lt;&gt;"")+--(S202&lt;&gt;"")+--(V202&lt;&gt;""))/4</x:f>
        <x:v>1</x:v>
      </x:c>
      <x:c r="X202" s="384" t="n">
        <x:f>IF(COUNT(K202,N202,Q202,T202)=0,"No data",(IF(ISNUMBER(K202),K202*Factor_Model!$B$4,0)+IF(ISNUMBER(N202),N202*Factor_Model!$B$5,0)+IF(ISNUMBER(Q202),Q202*Factor_Model!$B$6,0)+IF(ISNUMBER(T202),T202*Factor_Model!$B$7,0))/(IF(ISNUMBER(K202),Factor_Model!$B$4,0)+IF(ISNUMBER(N202),Factor_Model!$B$5,0)+IF(ISNUMBER(Q202),Factor_Model!$B$6,0)+IF(ISNUMBER(T202),Factor_Model!$B$7,0)))</x:f>
        <x:v>0.5</x:v>
      </x:c>
      <x:c r="Y202" s="20" t="str">
        <x:f>IF(W202=0,"No source",IF(W202&lt;1,"Partial source","Source-complete"))</x:f>
        <x:v>Source-complete</x:v>
      </x:c>
      <x:c r="Z202" s="20" t="str">
        <x:v>Automated screening pass: row uses a primary source URL by actor/subfactor; verify with country-specific evidence before final analytical use.</x:v>
      </x:c>
      <x:c r="AA202" s="20" t="str">
        <x:v>2026-05-20</x:v>
      </x:c>
      <x:c r="AB202" s="20" t="str">
        <x:v>GPT-5.5 Pro</x:v>
      </x:c>
    </x:row>
    <x:row r="203" ht="24" customHeight="1">
      <x:c r="A203" s="20" t="str">
        <x:v>JOR|China</x:v>
      </x:c>
      <x:c r="B203" s="20" t="str">
        <x:v>Jordan</x:v>
      </x:c>
      <x:c r="C203" s="20" t="str">
        <x:v>Hashemite Kingdom of Jordan</x:v>
      </x:c>
      <x:c r="D203" s="20" t="str">
        <x:v>JO</x:v>
      </x:c>
      <x:c r="E203" s="20" t="str">
        <x:v>JOR</x:v>
      </x:c>
      <x:c r="F203" s="20" t="str">
        <x:v>400</x:v>
      </x:c>
      <x:c r="G203" s="20" t="str">
        <x:v>Asia</x:v>
      </x:c>
      <x:c r="H203" s="20" t="str">
        <x:v>Western Asia</x:v>
      </x:c>
      <x:c r="I203" s="20" t="str">
        <x:v>China</x:v>
      </x:c>
      <x:c r="J203" s="20" t="str">
        <x:v>Chinese influence</x:v>
      </x:c>
      <x:c r="K203" s="384" t="n">
        <x:v>3</x:v>
      </x:c>
      <x:c r="L203" s="396" t="n">
        <x:v>3</x:v>
      </x:c>
      <x:c r="M203" s="397" t="str">
        <x:v>https://www.eeas.europa.eu/eeas/4th-eeas-annual-report-foreign-information-manipulation-and-interference-threats_en</x:v>
      </x:c>
      <x:c r="N203" s="384" t="n">
        <x:v>0</x:v>
      </x:c>
      <x:c r="O203" s="396" t="n">
        <x:v>1</x:v>
      </x:c>
      <x:c r="P203" s="397" t="str">
        <x:v>https://merics.org/en/report/guardians-belt-and-road</x:v>
      </x:c>
      <x:c r="Q203" s="384" t="n">
        <x:v>1</x:v>
      </x:c>
      <x:c r="R203" s="396" t="n">
        <x:v>2</x:v>
      </x:c>
      <x:c r="S203" s="397" t="str">
        <x:v>https://www.eeas.europa.eu/eeas/4th-eeas-annual-report-foreign-information-manipulation-and-interference-threats_en</x:v>
      </x:c>
      <x:c r="T203" s="384" t="n">
        <x:v>1</x:v>
      </x:c>
      <x:c r="U203" s="396" t="n">
        <x:v>2</x:v>
      </x:c>
      <x:c r="V203" s="397" t="str">
        <x:v>https://merics.org/en/report/guardians-belt-and-road</x:v>
      </x:c>
      <x:c r="W203" s="385" t="n">
        <x:f>(--(M203&lt;&gt;"")+--(P203&lt;&gt;"")+--(S203&lt;&gt;"")+--(V203&lt;&gt;""))/4</x:f>
        <x:v>1</x:v>
      </x:c>
      <x:c r="X203" s="384" t="n">
        <x:f>IF(COUNT(K203,N203,Q203,T203)=0,"No data",(IF(ISNUMBER(K203),K203*Factor_Model!$B$4,0)+IF(ISNUMBER(N203),N203*Factor_Model!$B$5,0)+IF(ISNUMBER(Q203),Q203*Factor_Model!$B$6,0)+IF(ISNUMBER(T203),T203*Factor_Model!$B$7,0))/(IF(ISNUMBER(K203),Factor_Model!$B$4,0)+IF(ISNUMBER(N203),Factor_Model!$B$5,0)+IF(ISNUMBER(Q203),Factor_Model!$B$6,0)+IF(ISNUMBER(T203),Factor_Model!$B$7,0)))</x:f>
        <x:v>1.25</x:v>
      </x:c>
      <x:c r="Y203" s="20" t="str">
        <x:f>IF(W203=0,"No source",IF(W203&lt;1,"Partial source","Source-complete"))</x:f>
        <x:v>Source-complete</x:v>
      </x:c>
      <x:c r="Z203" s="20" t="str">
        <x:v>Automated screening pass: row uses a primary source URL by actor/subfactor; verify with country-specific evidence before final analytical use.</x:v>
      </x:c>
      <x:c r="AA203" s="20" t="str">
        <x:v>2026-05-20</x:v>
      </x:c>
      <x:c r="AB203" s="20" t="str">
        <x:v>GPT-5.5 Pro</x:v>
      </x:c>
    </x:row>
    <x:row r="204" ht="24" customHeight="1">
      <x:c r="A204" s="20" t="str">
        <x:v>JOR|United States</x:v>
      </x:c>
      <x:c r="B204" s="20" t="str">
        <x:v>Jordan</x:v>
      </x:c>
      <x:c r="C204" s="20" t="str">
        <x:v>Hashemite Kingdom of Jordan</x:v>
      </x:c>
      <x:c r="D204" s="20" t="str">
        <x:v>JO</x:v>
      </x:c>
      <x:c r="E204" s="20" t="str">
        <x:v>JOR</x:v>
      </x:c>
      <x:c r="F204" s="20" t="str">
        <x:v>400</x:v>
      </x:c>
      <x:c r="G204" s="20" t="str">
        <x:v>Asia</x:v>
      </x:c>
      <x:c r="H204" s="20" t="str">
        <x:v>Western Asia</x:v>
      </x:c>
      <x:c r="I204" s="20" t="str">
        <x:v>United States</x:v>
      </x:c>
      <x:c r="J204" s="20" t="str">
        <x:v>American influence</x:v>
      </x:c>
      <x:c r="K204" s="384" t="n">
        <x:v>5</x:v>
      </x:c>
      <x:c r="L204" s="396" t="n">
        <x:v>3</x:v>
      </x:c>
      <x:c r="M204" s="397" t="str">
        <x:v>https://www.usagm.gov/our-work/strategy-and-results/strategic-priorities/research-reports/</x:v>
      </x:c>
      <x:c r="N204" s="384" t="n">
        <x:v>5</x:v>
      </x:c>
      <x:c r="O204" s="396" t="n">
        <x:v>3</x:v>
      </x:c>
      <x:c r="P204" s="397" t="str">
        <x:v>https://internationalpolicy.org/programs/sam/</x:v>
      </x:c>
      <x:c r="Q204" s="384" t="n">
        <x:v>2</x:v>
      </x:c>
      <x:c r="R204" s="396" t="n">
        <x:v>2</x:v>
      </x:c>
      <x:c r="S204" s="397" t="str">
        <x:v>https://www.ned.org/ned-grantmaking/</x:v>
      </x:c>
      <x:c r="T204" s="384" t="n">
        <x:v>7</x:v>
      </x:c>
      <x:c r="U204" s="396" t="n">
        <x:v>4</x:v>
      </x:c>
      <x:c r="V204" s="397" t="str">
        <x:v>https://internationalpolicy.org/programs/sam/</x:v>
      </x:c>
      <x:c r="W204" s="385" t="n">
        <x:f>(--(M204&lt;&gt;"")+--(P204&lt;&gt;"")+--(S204&lt;&gt;"")+--(V204&lt;&gt;""))/4</x:f>
        <x:v>1</x:v>
      </x:c>
      <x:c r="X204" s="384" t="n">
        <x:f>IF(COUNT(K204,N204,Q204,T204)=0,"No data",(IF(ISNUMBER(K204),K204*Factor_Model!$B$4,0)+IF(ISNUMBER(N204),N204*Factor_Model!$B$5,0)+IF(ISNUMBER(Q204),Q204*Factor_Model!$B$6,0)+IF(ISNUMBER(T204),T204*Factor_Model!$B$7,0))/(IF(ISNUMBER(K204),Factor_Model!$B$4,0)+IF(ISNUMBER(N204),Factor_Model!$B$5,0)+IF(ISNUMBER(Q204),Factor_Model!$B$6,0)+IF(ISNUMBER(T204),Factor_Model!$B$7,0)))</x:f>
        <x:v>4.75</x:v>
      </x:c>
      <x:c r="Y204" s="20" t="str">
        <x:f>IF(W204=0,"No source",IF(W204&lt;1,"Partial source","Source-complete"))</x:f>
        <x:v>Source-complete</x:v>
      </x:c>
      <x:c r="Z204" s="20" t="str">
        <x:v>Automated screening pass: row uses a primary source URL by actor/subfactor; verify with country-specific evidence before final analytical use.</x:v>
      </x:c>
      <x:c r="AA204" s="20" t="str">
        <x:v>2026-05-20</x:v>
      </x:c>
      <x:c r="AB204" s="20" t="str">
        <x:v>GPT-5.5 Pro</x:v>
      </x:c>
    </x:row>
    <x:row r="205" ht="24" customHeight="1">
      <x:c r="A205" s="20" t="str">
        <x:v>JOR|European Union</x:v>
      </x:c>
      <x:c r="B205" s="20" t="str">
        <x:v>Jordan</x:v>
      </x:c>
      <x:c r="C205" s="20" t="str">
        <x:v>Hashemite Kingdom of Jordan</x:v>
      </x:c>
      <x:c r="D205" s="20" t="str">
        <x:v>JO</x:v>
      </x:c>
      <x:c r="E205" s="20" t="str">
        <x:v>JOR</x:v>
      </x:c>
      <x:c r="F205" s="20" t="str">
        <x:v>400</x:v>
      </x:c>
      <x:c r="G205" s="20" t="str">
        <x:v>Asia</x:v>
      </x:c>
      <x:c r="H205" s="20" t="str">
        <x:v>Western Asia</x:v>
      </x:c>
      <x:c r="I205" s="20" t="str">
        <x:v>European Union</x:v>
      </x:c>
      <x:c r="J205" s="20" t="str">
        <x:v>EU influence</x:v>
      </x:c>
      <x:c r="K205" s="384" t="n">
        <x:v>2</x:v>
      </x:c>
      <x:c r="L205" s="396" t="n">
        <x:v>2</x:v>
      </x:c>
      <x:c r="M205" s="397" t="str">
        <x:v>https://www.eeas.europa.eu/eeas/public-diplomacy_en</x:v>
      </x:c>
      <x:c r="N205" s="384" t="n">
        <x:v>0</x:v>
      </x:c>
      <x:c r="O205" s="396" t="n">
        <x:v>1</x:v>
      </x:c>
      <x:c r="P205" s="397" t="str">
        <x:v>https://www.eeas.europa.eu/eeas/missions-and-operations_en</x:v>
      </x:c>
      <x:c r="Q205" s="384" t="n">
        <x:v>2</x:v>
      </x:c>
      <x:c r="R205" s="396" t="n">
        <x:v>2</x:v>
      </x:c>
      <x:c r="S205" s="397" t="str">
        <x:v>https://www.eeas.europa.eu/eeas/eu-election-observation-missions-1_en?page_lang=en</x:v>
      </x:c>
      <x:c r="T205" s="384" t="n">
        <x:v>2</x:v>
      </x:c>
      <x:c r="U205" s="396" t="n">
        <x:v>2</x:v>
      </x:c>
      <x:c r="V205" s="397" t="str">
        <x:v>https://www.eeas.europa.eu/eeas/missions-and-operations_en</x:v>
      </x:c>
      <x:c r="W205" s="385" t="n">
        <x:f>(--(M205&lt;&gt;"")+--(P205&lt;&gt;"")+--(S205&lt;&gt;"")+--(V205&lt;&gt;""))/4</x:f>
        <x:v>1</x:v>
      </x:c>
      <x:c r="X205" s="384" t="n">
        <x:f>IF(COUNT(K205,N205,Q205,T205)=0,"No data",(IF(ISNUMBER(K205),K205*Factor_Model!$B$4,0)+IF(ISNUMBER(N205),N205*Factor_Model!$B$5,0)+IF(ISNUMBER(Q205),Q205*Factor_Model!$B$6,0)+IF(ISNUMBER(T205),T205*Factor_Model!$B$7,0))/(IF(ISNUMBER(K205),Factor_Model!$B$4,0)+IF(ISNUMBER(N205),Factor_Model!$B$5,0)+IF(ISNUMBER(Q205),Factor_Model!$B$6,0)+IF(ISNUMBER(T205),Factor_Model!$B$7,0)))</x:f>
        <x:v>1.5</x:v>
      </x:c>
      <x:c r="Y205" s="20" t="str">
        <x:f>IF(W205=0,"No source",IF(W205&lt;1,"Partial source","Source-complete"))</x:f>
        <x:v>Source-complete</x:v>
      </x:c>
      <x:c r="Z205" s="20" t="str">
        <x:v>Automated screening pass: row uses a primary source URL by actor/subfactor; verify with country-specific evidence before final analytical use.</x:v>
      </x:c>
      <x:c r="AA205" s="20" t="str">
        <x:v>2026-05-20</x:v>
      </x:c>
      <x:c r="AB205" s="20" t="str">
        <x:v>GPT-5.5 Pro</x:v>
      </x:c>
    </x:row>
    <x:row r="206" ht="24" customHeight="1">
      <x:c r="A206" s="20" t="str">
        <x:v>KAZ|Russia</x:v>
      </x:c>
      <x:c r="B206" s="20" t="str">
        <x:v>Kazakhstan</x:v>
      </x:c>
      <x:c r="C206" s="20" t="str">
        <x:v>Republic of Kazakhstan</x:v>
      </x:c>
      <x:c r="D206" s="20" t="str">
        <x:v>KZ</x:v>
      </x:c>
      <x:c r="E206" s="20" t="str">
        <x:v>KAZ</x:v>
      </x:c>
      <x:c r="F206" s="20" t="str">
        <x:v>398</x:v>
      </x:c>
      <x:c r="G206" s="20" t="str">
        <x:v>Asia</x:v>
      </x:c>
      <x:c r="H206" s="20" t="str">
        <x:v>Central Asia</x:v>
      </x:c>
      <x:c r="I206" s="20" t="str">
        <x:v>Russia</x:v>
      </x:c>
      <x:c r="J206" s="20" t="str">
        <x:v>Russian influence</x:v>
      </x:c>
      <x:c r="K206" s="384" t="n">
        <x:v>7</x:v>
      </x:c>
      <x:c r="L206" s="396" t="n">
        <x:v>4</x:v>
      </x:c>
      <x:c r="M206" s="397" t="str">
        <x:v>https://www.eeas.europa.eu/eeas/4th-eeas-annual-report-foreign-information-manipulation-and-interference-threats_en</x:v>
      </x:c>
      <x:c r="N206" s="384" t="n">
        <x:v>0</x:v>
      </x:c>
      <x:c r="O206" s="396" t="n">
        <x:v>1</x:v>
      </x:c>
      <x:c r="P206" s="397" t="str">
        <x:v>https://www.consilium.europa.eu/en/press/press-releases/2023/02/25/wagner-group-council-adds-11-individuals-and-7-entities-to-eu-sanctions-lists/</x:v>
      </x:c>
      <x:c r="Q206" s="384" t="n">
        <x:v>0</x:v>
      </x:c>
      <x:c r="R206" s="396" t="n">
        <x:v>1</x:v>
      </x:c>
      <x:c r="S206" s="397" t="str">
        <x:v>https://www.dni.gov/files/ODNI/documents/assessments/ATA-2026-Unclassified-Report.pdf</x:v>
      </x:c>
      <x:c r="T206" s="384" t="n">
        <x:v>0</x:v>
      </x:c>
      <x:c r="U206" s="396" t="n">
        <x:v>1</x:v>
      </x:c>
      <x:c r="V206" s="397" t="str">
        <x:v>https://www.consilium.europa.eu/en/press/press-releases/2023/02/25/wagner-group-council-adds-11-individuals-and-7-entities-to-eu-sanctions-lists/</x:v>
      </x:c>
      <x:c r="W206" s="385" t="n">
        <x:f>(--(M206&lt;&gt;"")+--(P206&lt;&gt;"")+--(S206&lt;&gt;"")+--(V206&lt;&gt;""))/4</x:f>
        <x:v>1</x:v>
      </x:c>
      <x:c r="X206" s="384" t="n">
        <x:f>IF(COUNT(K206,N206,Q206,T206)=0,"No data",(IF(ISNUMBER(K206),K206*Factor_Model!$B$4,0)+IF(ISNUMBER(N206),N206*Factor_Model!$B$5,0)+IF(ISNUMBER(Q206),Q206*Factor_Model!$B$6,0)+IF(ISNUMBER(T206),T206*Factor_Model!$B$7,0))/(IF(ISNUMBER(K206),Factor_Model!$B$4,0)+IF(ISNUMBER(N206),Factor_Model!$B$5,0)+IF(ISNUMBER(Q206),Factor_Model!$B$6,0)+IF(ISNUMBER(T206),Factor_Model!$B$7,0)))</x:f>
        <x:v>1.75</x:v>
      </x:c>
      <x:c r="Y206" s="20" t="str">
        <x:f>IF(W206=0,"No source",IF(W206&lt;1,"Partial source","Source-complete"))</x:f>
        <x:v>Source-complete</x:v>
      </x:c>
      <x:c r="Z206" s="20" t="str">
        <x:v>Automated screening pass: row uses a primary source URL by actor/subfactor; verify with country-specific evidence before final analytical use.</x:v>
      </x:c>
      <x:c r="AA206" s="20" t="str">
        <x:v>2026-05-20</x:v>
      </x:c>
      <x:c r="AB206" s="20" t="str">
        <x:v>GPT-5.5 Pro</x:v>
      </x:c>
    </x:row>
    <x:row r="207" ht="24" customHeight="1">
      <x:c r="A207" s="20" t="str">
        <x:v>KAZ|China</x:v>
      </x:c>
      <x:c r="B207" s="20" t="str">
        <x:v>Kazakhstan</x:v>
      </x:c>
      <x:c r="C207" s="20" t="str">
        <x:v>Republic of Kazakhstan</x:v>
      </x:c>
      <x:c r="D207" s="20" t="str">
        <x:v>KZ</x:v>
      </x:c>
      <x:c r="E207" s="20" t="str">
        <x:v>KAZ</x:v>
      </x:c>
      <x:c r="F207" s="20" t="str">
        <x:v>398</x:v>
      </x:c>
      <x:c r="G207" s="20" t="str">
        <x:v>Asia</x:v>
      </x:c>
      <x:c r="H207" s="20" t="str">
        <x:v>Central Asia</x:v>
      </x:c>
      <x:c r="I207" s="20" t="str">
        <x:v>China</x:v>
      </x:c>
      <x:c r="J207" s="20" t="str">
        <x:v>Chinese influence</x:v>
      </x:c>
      <x:c r="K207" s="384" t="n">
        <x:v>5</x:v>
      </x:c>
      <x:c r="L207" s="396" t="n">
        <x:v>3</x:v>
      </x:c>
      <x:c r="M207" s="397" t="str">
        <x:v>https://www.eeas.europa.eu/eeas/4th-eeas-annual-report-foreign-information-manipulation-and-interference-threats_en</x:v>
      </x:c>
      <x:c r="N207" s="384" t="n">
        <x:v>1</x:v>
      </x:c>
      <x:c r="O207" s="396" t="n">
        <x:v>2</x:v>
      </x:c>
      <x:c r="P207" s="397" t="str">
        <x:v>https://merics.org/en/report/guardians-belt-and-road</x:v>
      </x:c>
      <x:c r="Q207" s="384" t="n">
        <x:v>1</x:v>
      </x:c>
      <x:c r="R207" s="396" t="n">
        <x:v>2</x:v>
      </x:c>
      <x:c r="S207" s="397" t="str">
        <x:v>https://www.eeas.europa.eu/eeas/4th-eeas-annual-report-foreign-information-manipulation-and-interference-threats_en</x:v>
      </x:c>
      <x:c r="T207" s="384" t="n">
        <x:v>3</x:v>
      </x:c>
      <x:c r="U207" s="396" t="n">
        <x:v>3</x:v>
      </x:c>
      <x:c r="V207" s="397" t="str">
        <x:v>https://merics.org/en/report/guardians-belt-and-road</x:v>
      </x:c>
      <x:c r="W207" s="385" t="n">
        <x:f>(--(M207&lt;&gt;"")+--(P207&lt;&gt;"")+--(S207&lt;&gt;"")+--(V207&lt;&gt;""))/4</x:f>
        <x:v>1</x:v>
      </x:c>
      <x:c r="X207" s="384" t="n">
        <x:f>IF(COUNT(K207,N207,Q207,T207)=0,"No data",(IF(ISNUMBER(K207),K207*Factor_Model!$B$4,0)+IF(ISNUMBER(N207),N207*Factor_Model!$B$5,0)+IF(ISNUMBER(Q207),Q207*Factor_Model!$B$6,0)+IF(ISNUMBER(T207),T207*Factor_Model!$B$7,0))/(IF(ISNUMBER(K207),Factor_Model!$B$4,0)+IF(ISNUMBER(N207),Factor_Model!$B$5,0)+IF(ISNUMBER(Q207),Factor_Model!$B$6,0)+IF(ISNUMBER(T207),Factor_Model!$B$7,0)))</x:f>
        <x:v>2.5</x:v>
      </x:c>
      <x:c r="Y207" s="20" t="str">
        <x:f>IF(W207=0,"No source",IF(W207&lt;1,"Partial source","Source-complete"))</x:f>
        <x:v>Source-complete</x:v>
      </x:c>
      <x:c r="Z207" s="20" t="str">
        <x:v>Automated screening pass: row uses a primary source URL by actor/subfactor; verify with country-specific evidence before final analytical use.</x:v>
      </x:c>
      <x:c r="AA207" s="20" t="str">
        <x:v>2026-05-20</x:v>
      </x:c>
      <x:c r="AB207" s="20" t="str">
        <x:v>GPT-5.5 Pro</x:v>
      </x:c>
    </x:row>
    <x:row r="208" ht="24" customHeight="1">
      <x:c r="A208" s="20" t="str">
        <x:v>KAZ|United States</x:v>
      </x:c>
      <x:c r="B208" s="20" t="str">
        <x:v>Kazakhstan</x:v>
      </x:c>
      <x:c r="C208" s="20" t="str">
        <x:v>Republic of Kazakhstan</x:v>
      </x:c>
      <x:c r="D208" s="20" t="str">
        <x:v>KZ</x:v>
      </x:c>
      <x:c r="E208" s="20" t="str">
        <x:v>KAZ</x:v>
      </x:c>
      <x:c r="F208" s="20" t="str">
        <x:v>398</x:v>
      </x:c>
      <x:c r="G208" s="20" t="str">
        <x:v>Asia</x:v>
      </x:c>
      <x:c r="H208" s="20" t="str">
        <x:v>Central Asia</x:v>
      </x:c>
      <x:c r="I208" s="20" t="str">
        <x:v>United States</x:v>
      </x:c>
      <x:c r="J208" s="20" t="str">
        <x:v>American influence</x:v>
      </x:c>
      <x:c r="K208" s="384" t="n">
        <x:v>4</x:v>
      </x:c>
      <x:c r="L208" s="396" t="n">
        <x:v>3</x:v>
      </x:c>
      <x:c r="M208" s="397" t="str">
        <x:v>https://www.usagm.gov/our-work/strategy-and-results/strategic-priorities/research-reports/</x:v>
      </x:c>
      <x:c r="N208" s="384" t="n">
        <x:v>1</x:v>
      </x:c>
      <x:c r="O208" s="396" t="n">
        <x:v>2</x:v>
      </x:c>
      <x:c r="P208" s="397" t="str">
        <x:v>https://internationalpolicy.org/programs/sam/</x:v>
      </x:c>
      <x:c r="Q208" s="384" t="n">
        <x:v>2</x:v>
      </x:c>
      <x:c r="R208" s="396" t="n">
        <x:v>2</x:v>
      </x:c>
      <x:c r="S208" s="397" t="str">
        <x:v>https://www.ned.org/ned-grantmaking/</x:v>
      </x:c>
      <x:c r="T208" s="384" t="n">
        <x:v>2</x:v>
      </x:c>
      <x:c r="U208" s="396" t="n">
        <x:v>2</x:v>
      </x:c>
      <x:c r="V208" s="397" t="str">
        <x:v>https://internationalpolicy.org/programs/sam/</x:v>
      </x:c>
      <x:c r="W208" s="385" t="n">
        <x:f>(--(M208&lt;&gt;"")+--(P208&lt;&gt;"")+--(S208&lt;&gt;"")+--(V208&lt;&gt;""))/4</x:f>
        <x:v>1</x:v>
      </x:c>
      <x:c r="X208" s="384" t="n">
        <x:f>IF(COUNT(K208,N208,Q208,T208)=0,"No data",(IF(ISNUMBER(K208),K208*Factor_Model!$B$4,0)+IF(ISNUMBER(N208),N208*Factor_Model!$B$5,0)+IF(ISNUMBER(Q208),Q208*Factor_Model!$B$6,0)+IF(ISNUMBER(T208),T208*Factor_Model!$B$7,0))/(IF(ISNUMBER(K208),Factor_Model!$B$4,0)+IF(ISNUMBER(N208),Factor_Model!$B$5,0)+IF(ISNUMBER(Q208),Factor_Model!$B$6,0)+IF(ISNUMBER(T208),Factor_Model!$B$7,0)))</x:f>
        <x:v>2.25</x:v>
      </x:c>
      <x:c r="Y208" s="20" t="str">
        <x:f>IF(W208=0,"No source",IF(W208&lt;1,"Partial source","Source-complete"))</x:f>
        <x:v>Source-complete</x:v>
      </x:c>
      <x:c r="Z208" s="20" t="str">
        <x:v>Automated screening pass: row uses a primary source URL by actor/subfactor; verify with country-specific evidence before final analytical use.</x:v>
      </x:c>
      <x:c r="AA208" s="20" t="str">
        <x:v>2026-05-20</x:v>
      </x:c>
      <x:c r="AB208" s="20" t="str">
        <x:v>GPT-5.5 Pro</x:v>
      </x:c>
    </x:row>
    <x:row r="209" ht="24" customHeight="1">
      <x:c r="A209" s="20" t="str">
        <x:v>KAZ|European Union</x:v>
      </x:c>
      <x:c r="B209" s="20" t="str">
        <x:v>Kazakhstan</x:v>
      </x:c>
      <x:c r="C209" s="20" t="str">
        <x:v>Republic of Kazakhstan</x:v>
      </x:c>
      <x:c r="D209" s="20" t="str">
        <x:v>KZ</x:v>
      </x:c>
      <x:c r="E209" s="20" t="str">
        <x:v>KAZ</x:v>
      </x:c>
      <x:c r="F209" s="20" t="str">
        <x:v>398</x:v>
      </x:c>
      <x:c r="G209" s="20" t="str">
        <x:v>Asia</x:v>
      </x:c>
      <x:c r="H209" s="20" t="str">
        <x:v>Central Asia</x:v>
      </x:c>
      <x:c r="I209" s="20" t="str">
        <x:v>European Union</x:v>
      </x:c>
      <x:c r="J209" s="20" t="str">
        <x:v>EU influence</x:v>
      </x:c>
      <x:c r="K209" s="384" t="n">
        <x:v>2</x:v>
      </x:c>
      <x:c r="L209" s="396" t="n">
        <x:v>2</x:v>
      </x:c>
      <x:c r="M209" s="397" t="str">
        <x:v>https://www.eeas.europa.eu/eeas/public-diplomacy_en</x:v>
      </x:c>
      <x:c r="N209" s="384" t="n">
        <x:v>0</x:v>
      </x:c>
      <x:c r="O209" s="396" t="n">
        <x:v>1</x:v>
      </x:c>
      <x:c r="P209" s="397" t="str">
        <x:v>https://www.eeas.europa.eu/eeas/missions-and-operations_en</x:v>
      </x:c>
      <x:c r="Q209" s="384" t="n">
        <x:v>1</x:v>
      </x:c>
      <x:c r="R209" s="396" t="n">
        <x:v>2</x:v>
      </x:c>
      <x:c r="S209" s="397" t="str">
        <x:v>https://www.eeas.europa.eu/eeas/eu-election-observation-missions-1_en?page_lang=en</x:v>
      </x:c>
      <x:c r="T209" s="384" t="n">
        <x:v>2</x:v>
      </x:c>
      <x:c r="U209" s="396" t="n">
        <x:v>2</x:v>
      </x:c>
      <x:c r="V209" s="397" t="str">
        <x:v>https://www.eeas.europa.eu/eeas/missions-and-operations_en</x:v>
      </x:c>
      <x:c r="W209" s="385" t="n">
        <x:f>(--(M209&lt;&gt;"")+--(P209&lt;&gt;"")+--(S209&lt;&gt;"")+--(V209&lt;&gt;""))/4</x:f>
        <x:v>1</x:v>
      </x:c>
      <x:c r="X209" s="384" t="n">
        <x:f>IF(COUNT(K209,N209,Q209,T209)=0,"No data",(IF(ISNUMBER(K209),K209*Factor_Model!$B$4,0)+IF(ISNUMBER(N209),N209*Factor_Model!$B$5,0)+IF(ISNUMBER(Q209),Q209*Factor_Model!$B$6,0)+IF(ISNUMBER(T209),T209*Factor_Model!$B$7,0))/(IF(ISNUMBER(K209),Factor_Model!$B$4,0)+IF(ISNUMBER(N209),Factor_Model!$B$5,0)+IF(ISNUMBER(Q209),Factor_Model!$B$6,0)+IF(ISNUMBER(T209),Factor_Model!$B$7,0)))</x:f>
        <x:v>1.25</x:v>
      </x:c>
      <x:c r="Y209" s="20" t="str">
        <x:f>IF(W209=0,"No source",IF(W209&lt;1,"Partial source","Source-complete"))</x:f>
        <x:v>Source-complete</x:v>
      </x:c>
      <x:c r="Z209" s="20" t="str">
        <x:v>Automated screening pass: row uses a primary source URL by actor/subfactor; verify with country-specific evidence before final analytical use.</x:v>
      </x:c>
      <x:c r="AA209" s="20" t="str">
        <x:v>2026-05-20</x:v>
      </x:c>
      <x:c r="AB209" s="20" t="str">
        <x:v>GPT-5.5 Pro</x:v>
      </x:c>
    </x:row>
    <x:row r="210" ht="24" customHeight="1">
      <x:c r="A210" s="20" t="str">
        <x:v>KEN|Russia</x:v>
      </x:c>
      <x:c r="B210" s="20" t="str">
        <x:v>Kenya</x:v>
      </x:c>
      <x:c r="C210" s="20" t="str">
        <x:v>Republic of Kenya</x:v>
      </x:c>
      <x:c r="D210" s="20" t="str">
        <x:v>KE</x:v>
      </x:c>
      <x:c r="E210" s="20" t="str">
        <x:v>KEN</x:v>
      </x:c>
      <x:c r="F210" s="20" t="str">
        <x:v>404</x:v>
      </x:c>
      <x:c r="G210" s="20" t="str">
        <x:v>Africa</x:v>
      </x:c>
      <x:c r="H210" s="20" t="str">
        <x:v>Eastern Africa</x:v>
      </x:c>
      <x:c r="I210" s="20" t="str">
        <x:v>Russia</x:v>
      </x:c>
      <x:c r="J210" s="20" t="str">
        <x:v>Russian influence</x:v>
      </x:c>
      <x:c r="K210" s="384" t="n">
        <x:v>4</x:v>
      </x:c>
      <x:c r="L210" s="396" t="n">
        <x:v>3</x:v>
      </x:c>
      <x:c r="M210" s="397" t="str">
        <x:v>https://www.eeas.europa.eu/eeas/4th-eeas-annual-report-foreign-information-manipulation-and-interference-threats_en</x:v>
      </x:c>
      <x:c r="N210" s="384" t="n">
        <x:v>1</x:v>
      </x:c>
      <x:c r="O210" s="396" t="n">
        <x:v>2</x:v>
      </x:c>
      <x:c r="P210" s="397" t="str">
        <x:v>https://www.consilium.europa.eu/en/press/press-releases/2023/02/25/wagner-group-council-adds-11-individuals-and-7-entities-to-eu-sanctions-lists/</x:v>
      </x:c>
      <x:c r="Q210" s="384" t="n">
        <x:v>1</x:v>
      </x:c>
      <x:c r="R210" s="396" t="n">
        <x:v>2</x:v>
      </x:c>
      <x:c r="S210" s="397" t="str">
        <x:v>https://www.dni.gov/files/ODNI/documents/assessments/ATA-2026-Unclassified-Report.pdf</x:v>
      </x:c>
      <x:c r="T210" s="384" t="n">
        <x:v>1</x:v>
      </x:c>
      <x:c r="U210" s="396" t="n">
        <x:v>2</x:v>
      </x:c>
      <x:c r="V210" s="397" t="str">
        <x:v>https://www.consilium.europa.eu/en/press/press-releases/2023/02/25/wagner-group-council-adds-11-individuals-and-7-entities-to-eu-sanctions-lists/</x:v>
      </x:c>
      <x:c r="W210" s="385" t="n">
        <x:f>(--(M210&lt;&gt;"")+--(P210&lt;&gt;"")+--(S210&lt;&gt;"")+--(V210&lt;&gt;""))/4</x:f>
        <x:v>1</x:v>
      </x:c>
      <x:c r="X210" s="384" t="n">
        <x:f>IF(COUNT(K210,N210,Q210,T210)=0,"No data",(IF(ISNUMBER(K210),K210*Factor_Model!$B$4,0)+IF(ISNUMBER(N210),N210*Factor_Model!$B$5,0)+IF(ISNUMBER(Q210),Q210*Factor_Model!$B$6,0)+IF(ISNUMBER(T210),T210*Factor_Model!$B$7,0))/(IF(ISNUMBER(K210),Factor_Model!$B$4,0)+IF(ISNUMBER(N210),Factor_Model!$B$5,0)+IF(ISNUMBER(Q210),Factor_Model!$B$6,0)+IF(ISNUMBER(T210),Factor_Model!$B$7,0)))</x:f>
        <x:v>1.75</x:v>
      </x:c>
      <x:c r="Y210" s="20" t="str">
        <x:f>IF(W210=0,"No source",IF(W210&lt;1,"Partial source","Source-complete"))</x:f>
        <x:v>Source-complete</x:v>
      </x:c>
      <x:c r="Z210" s="20" t="str">
        <x:v>Automated screening pass: row uses a primary source URL by actor/subfactor; verify with country-specific evidence before final analytical use.</x:v>
      </x:c>
      <x:c r="AA210" s="20" t="str">
        <x:v>2026-05-20</x:v>
      </x:c>
      <x:c r="AB210" s="20" t="str">
        <x:v>GPT-5.5 Pro</x:v>
      </x:c>
    </x:row>
    <x:row r="211" ht="24" customHeight="1">
      <x:c r="A211" s="20" t="str">
        <x:v>KEN|China</x:v>
      </x:c>
      <x:c r="B211" s="20" t="str">
        <x:v>Kenya</x:v>
      </x:c>
      <x:c r="C211" s="20" t="str">
        <x:v>Republic of Kenya</x:v>
      </x:c>
      <x:c r="D211" s="20" t="str">
        <x:v>KE</x:v>
      </x:c>
      <x:c r="E211" s="20" t="str">
        <x:v>KEN</x:v>
      </x:c>
      <x:c r="F211" s="20" t="str">
        <x:v>404</x:v>
      </x:c>
      <x:c r="G211" s="20" t="str">
        <x:v>Africa</x:v>
      </x:c>
      <x:c r="H211" s="20" t="str">
        <x:v>Eastern Africa</x:v>
      </x:c>
      <x:c r="I211" s="20" t="str">
        <x:v>China</x:v>
      </x:c>
      <x:c r="J211" s="20" t="str">
        <x:v>Chinese influence</x:v>
      </x:c>
      <x:c r="K211" s="384" t="n">
        <x:v>5</x:v>
      </x:c>
      <x:c r="L211" s="396" t="n">
        <x:v>3</x:v>
      </x:c>
      <x:c r="M211" s="397" t="str">
        <x:v>https://www.eeas.europa.eu/eeas/4th-eeas-annual-report-foreign-information-manipulation-and-interference-threats_en</x:v>
      </x:c>
      <x:c r="N211" s="384" t="n">
        <x:v>2</x:v>
      </x:c>
      <x:c r="O211" s="396" t="n">
        <x:v>2</x:v>
      </x:c>
      <x:c r="P211" s="397" t="str">
        <x:v>https://merics.org/en/report/guardians-belt-and-road</x:v>
      </x:c>
      <x:c r="Q211" s="384" t="n">
        <x:v>1</x:v>
      </x:c>
      <x:c r="R211" s="396" t="n">
        <x:v>2</x:v>
      </x:c>
      <x:c r="S211" s="397" t="str">
        <x:v>https://www.eeas.europa.eu/eeas/4th-eeas-annual-report-foreign-information-manipulation-and-interference-threats_en</x:v>
      </x:c>
      <x:c r="T211" s="384" t="n">
        <x:v>4</x:v>
      </x:c>
      <x:c r="U211" s="396" t="n">
        <x:v>3</x:v>
      </x:c>
      <x:c r="V211" s="397" t="str">
        <x:v>https://merics.org/en/report/guardians-belt-and-road</x:v>
      </x:c>
      <x:c r="W211" s="385" t="n">
        <x:f>(--(M211&lt;&gt;"")+--(P211&lt;&gt;"")+--(S211&lt;&gt;"")+--(V211&lt;&gt;""))/4</x:f>
        <x:v>1</x:v>
      </x:c>
      <x:c r="X211" s="384" t="n">
        <x:f>IF(COUNT(K211,N211,Q211,T211)=0,"No data",(IF(ISNUMBER(K211),K211*Factor_Model!$B$4,0)+IF(ISNUMBER(N211),N211*Factor_Model!$B$5,0)+IF(ISNUMBER(Q211),Q211*Factor_Model!$B$6,0)+IF(ISNUMBER(T211),T211*Factor_Model!$B$7,0))/(IF(ISNUMBER(K211),Factor_Model!$B$4,0)+IF(ISNUMBER(N211),Factor_Model!$B$5,0)+IF(ISNUMBER(Q211),Factor_Model!$B$6,0)+IF(ISNUMBER(T211),Factor_Model!$B$7,0)))</x:f>
        <x:v>3</x:v>
      </x:c>
      <x:c r="Y211" s="20" t="str">
        <x:f>IF(W211=0,"No source",IF(W211&lt;1,"Partial source","Source-complete"))</x:f>
        <x:v>Source-complete</x:v>
      </x:c>
      <x:c r="Z211" s="20" t="str">
        <x:v>Automated screening pass: row uses a primary source URL by actor/subfactor; verify with country-specific evidence before final analytical use.</x:v>
      </x:c>
      <x:c r="AA211" s="20" t="str">
        <x:v>2026-05-20</x:v>
      </x:c>
      <x:c r="AB211" s="20" t="str">
        <x:v>GPT-5.5 Pro</x:v>
      </x:c>
    </x:row>
    <x:row r="212" ht="24" customHeight="1">
      <x:c r="A212" s="20" t="str">
        <x:v>KEN|United States</x:v>
      </x:c>
      <x:c r="B212" s="20" t="str">
        <x:v>Kenya</x:v>
      </x:c>
      <x:c r="C212" s="20" t="str">
        <x:v>Republic of Kenya</x:v>
      </x:c>
      <x:c r="D212" s="20" t="str">
        <x:v>KE</x:v>
      </x:c>
      <x:c r="E212" s="20" t="str">
        <x:v>KEN</x:v>
      </x:c>
      <x:c r="F212" s="20" t="str">
        <x:v>404</x:v>
      </x:c>
      <x:c r="G212" s="20" t="str">
        <x:v>Africa</x:v>
      </x:c>
      <x:c r="H212" s="20" t="str">
        <x:v>Eastern Africa</x:v>
      </x:c>
      <x:c r="I212" s="20" t="str">
        <x:v>United States</x:v>
      </x:c>
      <x:c r="J212" s="20" t="str">
        <x:v>American influence</x:v>
      </x:c>
      <x:c r="K212" s="384" t="n">
        <x:v>4</x:v>
      </x:c>
      <x:c r="L212" s="396" t="n">
        <x:v>3</x:v>
      </x:c>
      <x:c r="M212" s="397" t="str">
        <x:v>https://www.usagm.gov/our-work/strategy-and-results/strategic-priorities/research-reports/</x:v>
      </x:c>
      <x:c r="N212" s="384" t="n">
        <x:v>2</x:v>
      </x:c>
      <x:c r="O212" s="396" t="n">
        <x:v>2</x:v>
      </x:c>
      <x:c r="P212" s="397" t="str">
        <x:v>https://internationalpolicy.org/programs/sam/</x:v>
      </x:c>
      <x:c r="Q212" s="384" t="n">
        <x:v>2</x:v>
      </x:c>
      <x:c r="R212" s="396" t="n">
        <x:v>2</x:v>
      </x:c>
      <x:c r="S212" s="397" t="str">
        <x:v>https://www.ned.org/ned-grantmaking/</x:v>
      </x:c>
      <x:c r="T212" s="384" t="n">
        <x:v>3</x:v>
      </x:c>
      <x:c r="U212" s="396" t="n">
        <x:v>3</x:v>
      </x:c>
      <x:c r="V212" s="397" t="str">
        <x:v>https://internationalpolicy.org/programs/sam/</x:v>
      </x:c>
      <x:c r="W212" s="385" t="n">
        <x:f>(--(M212&lt;&gt;"")+--(P212&lt;&gt;"")+--(S212&lt;&gt;"")+--(V212&lt;&gt;""))/4</x:f>
        <x:v>1</x:v>
      </x:c>
      <x:c r="X212" s="384" t="n">
        <x:f>IF(COUNT(K212,N212,Q212,T212)=0,"No data",(IF(ISNUMBER(K212),K212*Factor_Model!$B$4,0)+IF(ISNUMBER(N212),N212*Factor_Model!$B$5,0)+IF(ISNUMBER(Q212),Q212*Factor_Model!$B$6,0)+IF(ISNUMBER(T212),T212*Factor_Model!$B$7,0))/(IF(ISNUMBER(K212),Factor_Model!$B$4,0)+IF(ISNUMBER(N212),Factor_Model!$B$5,0)+IF(ISNUMBER(Q212),Factor_Model!$B$6,0)+IF(ISNUMBER(T212),Factor_Model!$B$7,0)))</x:f>
        <x:v>2.75</x:v>
      </x:c>
      <x:c r="Y212" s="20" t="str">
        <x:f>IF(W212=0,"No source",IF(W212&lt;1,"Partial source","Source-complete"))</x:f>
        <x:v>Source-complete</x:v>
      </x:c>
      <x:c r="Z212" s="20" t="str">
        <x:v>Automated screening pass: row uses a primary source URL by actor/subfactor; verify with country-specific evidence before final analytical use.</x:v>
      </x:c>
      <x:c r="AA212" s="20" t="str">
        <x:v>2026-05-20</x:v>
      </x:c>
      <x:c r="AB212" s="20" t="str">
        <x:v>GPT-5.5 Pro</x:v>
      </x:c>
    </x:row>
    <x:row r="213" ht="24" customHeight="1">
      <x:c r="A213" s="20" t="str">
        <x:v>KEN|European Union</x:v>
      </x:c>
      <x:c r="B213" s="20" t="str">
        <x:v>Kenya</x:v>
      </x:c>
      <x:c r="C213" s="20" t="str">
        <x:v>Republic of Kenya</x:v>
      </x:c>
      <x:c r="D213" s="20" t="str">
        <x:v>KE</x:v>
      </x:c>
      <x:c r="E213" s="20" t="str">
        <x:v>KEN</x:v>
      </x:c>
      <x:c r="F213" s="20" t="str">
        <x:v>404</x:v>
      </x:c>
      <x:c r="G213" s="20" t="str">
        <x:v>Africa</x:v>
      </x:c>
      <x:c r="H213" s="20" t="str">
        <x:v>Eastern Africa</x:v>
      </x:c>
      <x:c r="I213" s="20" t="str">
        <x:v>European Union</x:v>
      </x:c>
      <x:c r="J213" s="20" t="str">
        <x:v>EU influence</x:v>
      </x:c>
      <x:c r="K213" s="384" t="n">
        <x:v>3</x:v>
      </x:c>
      <x:c r="L213" s="396" t="n">
        <x:v>3</x:v>
      </x:c>
      <x:c r="M213" s="397" t="str">
        <x:v>https://www.eeas.europa.eu/eeas/public-diplomacy_en</x:v>
      </x:c>
      <x:c r="N213" s="384" t="n">
        <x:v>0</x:v>
      </x:c>
      <x:c r="O213" s="396" t="n">
        <x:v>1</x:v>
      </x:c>
      <x:c r="P213" s="397" t="str">
        <x:v>https://www.eeas.europa.eu/eeas/missions-and-operations_en</x:v>
      </x:c>
      <x:c r="Q213" s="384" t="n">
        <x:v>2</x:v>
      </x:c>
      <x:c r="R213" s="396" t="n">
        <x:v>2</x:v>
      </x:c>
      <x:c r="S213" s="397" t="str">
        <x:v>https://www.eeas.europa.eu/eeas/eu-election-observation-missions-1_en?page_lang=en</x:v>
      </x:c>
      <x:c r="T213" s="384" t="n">
        <x:v>2</x:v>
      </x:c>
      <x:c r="U213" s="396" t="n">
        <x:v>2</x:v>
      </x:c>
      <x:c r="V213" s="397" t="str">
        <x:v>https://www.eeas.europa.eu/eeas/missions-and-operations_en</x:v>
      </x:c>
      <x:c r="W213" s="385" t="n">
        <x:f>(--(M213&lt;&gt;"")+--(P213&lt;&gt;"")+--(S213&lt;&gt;"")+--(V213&lt;&gt;""))/4</x:f>
        <x:v>1</x:v>
      </x:c>
      <x:c r="X213" s="384" t="n">
        <x:f>IF(COUNT(K213,N213,Q213,T213)=0,"No data",(IF(ISNUMBER(K213),K213*Factor_Model!$B$4,0)+IF(ISNUMBER(N213),N213*Factor_Model!$B$5,0)+IF(ISNUMBER(Q213),Q213*Factor_Model!$B$6,0)+IF(ISNUMBER(T213),T213*Factor_Model!$B$7,0))/(IF(ISNUMBER(K213),Factor_Model!$B$4,0)+IF(ISNUMBER(N213),Factor_Model!$B$5,0)+IF(ISNUMBER(Q213),Factor_Model!$B$6,0)+IF(ISNUMBER(T213),Factor_Model!$B$7,0)))</x:f>
        <x:v>1.75</x:v>
      </x:c>
      <x:c r="Y213" s="20" t="str">
        <x:f>IF(W213=0,"No source",IF(W213&lt;1,"Partial source","Source-complete"))</x:f>
        <x:v>Source-complete</x:v>
      </x:c>
      <x:c r="Z213" s="20" t="str">
        <x:v>Automated screening pass: row uses a primary source URL by actor/subfactor; verify with country-specific evidence before final analytical use.</x:v>
      </x:c>
      <x:c r="AA213" s="20" t="str">
        <x:v>2026-05-20</x:v>
      </x:c>
      <x:c r="AB213" s="20" t="str">
        <x:v>GPT-5.5 Pro</x:v>
      </x:c>
    </x:row>
    <x:row r="214" ht="24" customHeight="1">
      <x:c r="A214" s="20" t="str">
        <x:v>KIR|Russia</x:v>
      </x:c>
      <x:c r="B214" s="20" t="str">
        <x:v>Kiribati</x:v>
      </x:c>
      <x:c r="C214" s="20" t="str">
        <x:v>Republic of Kiribati</x:v>
      </x:c>
      <x:c r="D214" s="20" t="str">
        <x:v>KI</x:v>
      </x:c>
      <x:c r="E214" s="20" t="str">
        <x:v>KIR</x:v>
      </x:c>
      <x:c r="F214" s="20" t="str">
        <x:v>296</x:v>
      </x:c>
      <x:c r="G214" s="20" t="str">
        <x:v>Oceania</x:v>
      </x:c>
      <x:c r="H214" s="20" t="str">
        <x:v>Micronesia</x:v>
      </x:c>
      <x:c r="I214" s="20" t="str">
        <x:v>Russia</x:v>
      </x:c>
      <x:c r="J214" s="20" t="str">
        <x:v>Russian influence</x:v>
      </x:c>
      <x:c r="K214" s="384" t="n">
        <x:v>2</x:v>
      </x:c>
      <x:c r="L214" s="396" t="n">
        <x:v>2</x:v>
      </x:c>
      <x:c r="M214" s="397" t="str">
        <x:v>https://www.eeas.europa.eu/eeas/4th-eeas-annual-report-foreign-information-manipulation-and-interference-threats_en</x:v>
      </x:c>
      <x:c r="N214" s="384" t="n">
        <x:v>0</x:v>
      </x:c>
      <x:c r="O214" s="396" t="n">
        <x:v>1</x:v>
      </x:c>
      <x:c r="P214" s="397" t="str">
        <x:v>https://www.consilium.europa.eu/en/press/press-releases/2023/02/25/wagner-group-council-adds-11-individuals-and-7-entities-to-eu-sanctions-lists/</x:v>
      </x:c>
      <x:c r="Q214" s="384" t="n">
        <x:v>0</x:v>
      </x:c>
      <x:c r="R214" s="396" t="n">
        <x:v>1</x:v>
      </x:c>
      <x:c r="S214" s="397" t="str">
        <x:v>https://www.dni.gov/files/ODNI/documents/assessments/ATA-2026-Unclassified-Report.pdf</x:v>
      </x:c>
      <x:c r="T214" s="384" t="n">
        <x:v>0</x:v>
      </x:c>
      <x:c r="U214" s="396" t="n">
        <x:v>1</x:v>
      </x:c>
      <x:c r="V214" s="397" t="str">
        <x:v>https://www.consilium.europa.eu/en/press/press-releases/2023/02/25/wagner-group-council-adds-11-individuals-and-7-entities-to-eu-sanctions-lists/</x:v>
      </x:c>
      <x:c r="W214" s="385" t="n">
        <x:f>(--(M214&lt;&gt;"")+--(P214&lt;&gt;"")+--(S214&lt;&gt;"")+--(V214&lt;&gt;""))/4</x:f>
        <x:v>1</x:v>
      </x:c>
      <x:c r="X214" s="384" t="n">
        <x:f>IF(COUNT(K214,N214,Q214,T214)=0,"No data",(IF(ISNUMBER(K214),K214*Factor_Model!$B$4,0)+IF(ISNUMBER(N214),N214*Factor_Model!$B$5,0)+IF(ISNUMBER(Q214),Q214*Factor_Model!$B$6,0)+IF(ISNUMBER(T214),T214*Factor_Model!$B$7,0))/(IF(ISNUMBER(K214),Factor_Model!$B$4,0)+IF(ISNUMBER(N214),Factor_Model!$B$5,0)+IF(ISNUMBER(Q214),Factor_Model!$B$6,0)+IF(ISNUMBER(T214),Factor_Model!$B$7,0)))</x:f>
        <x:v>0.5</x:v>
      </x:c>
      <x:c r="Y214" s="20" t="str">
        <x:f>IF(W214=0,"No source",IF(W214&lt;1,"Partial source","Source-complete"))</x:f>
        <x:v>Source-complete</x:v>
      </x:c>
      <x:c r="Z214" s="20" t="str">
        <x:v>Automated screening pass: row uses a primary source URL by actor/subfactor; verify with country-specific evidence before final analytical use.</x:v>
      </x:c>
      <x:c r="AA214" s="20" t="str">
        <x:v>2026-05-20</x:v>
      </x:c>
      <x:c r="AB214" s="20" t="str">
        <x:v>GPT-5.5 Pro</x:v>
      </x:c>
    </x:row>
    <x:row r="215" ht="24" customHeight="1">
      <x:c r="A215" s="20" t="str">
        <x:v>KIR|China</x:v>
      </x:c>
      <x:c r="B215" s="20" t="str">
        <x:v>Kiribati</x:v>
      </x:c>
      <x:c r="C215" s="20" t="str">
        <x:v>Republic of Kiribati</x:v>
      </x:c>
      <x:c r="D215" s="20" t="str">
        <x:v>KI</x:v>
      </x:c>
      <x:c r="E215" s="20" t="str">
        <x:v>KIR</x:v>
      </x:c>
      <x:c r="F215" s="20" t="str">
        <x:v>296</x:v>
      </x:c>
      <x:c r="G215" s="20" t="str">
        <x:v>Oceania</x:v>
      </x:c>
      <x:c r="H215" s="20" t="str">
        <x:v>Micronesia</x:v>
      </x:c>
      <x:c r="I215" s="20" t="str">
        <x:v>China</x:v>
      </x:c>
      <x:c r="J215" s="20" t="str">
        <x:v>Chinese influence</x:v>
      </x:c>
      <x:c r="K215" s="384" t="n">
        <x:v>7</x:v>
      </x:c>
      <x:c r="L215" s="396" t="n">
        <x:v>4</x:v>
      </x:c>
      <x:c r="M215" s="397" t="str">
        <x:v>https://www.eeas.europa.eu/eeas/4th-eeas-annual-report-foreign-information-manipulation-and-interference-threats_en</x:v>
      </x:c>
      <x:c r="N215" s="384" t="n">
        <x:v>1</x:v>
      </x:c>
      <x:c r="O215" s="396" t="n">
        <x:v>2</x:v>
      </x:c>
      <x:c r="P215" s="397" t="str">
        <x:v>https://merics.org/en/report/guardians-belt-and-road</x:v>
      </x:c>
      <x:c r="Q215" s="384" t="n">
        <x:v>3</x:v>
      </x:c>
      <x:c r="R215" s="396" t="n">
        <x:v>3</x:v>
      </x:c>
      <x:c r="S215" s="397" t="str">
        <x:v>https://www.eeas.europa.eu/eeas/4th-eeas-annual-report-foreign-information-manipulation-and-interference-threats_en</x:v>
      </x:c>
      <x:c r="T215" s="384" t="n">
        <x:v>2</x:v>
      </x:c>
      <x:c r="U215" s="396" t="n">
        <x:v>2</x:v>
      </x:c>
      <x:c r="V215" s="397" t="str">
        <x:v>https://merics.org/en/report/guardians-belt-and-road</x:v>
      </x:c>
      <x:c r="W215" s="385" t="n">
        <x:f>(--(M215&lt;&gt;"")+--(P215&lt;&gt;"")+--(S215&lt;&gt;"")+--(V215&lt;&gt;""))/4</x:f>
        <x:v>1</x:v>
      </x:c>
      <x:c r="X215" s="384" t="n">
        <x:f>IF(COUNT(K215,N215,Q215,T215)=0,"No data",(IF(ISNUMBER(K215),K215*Factor_Model!$B$4,0)+IF(ISNUMBER(N215),N215*Factor_Model!$B$5,0)+IF(ISNUMBER(Q215),Q215*Factor_Model!$B$6,0)+IF(ISNUMBER(T215),T215*Factor_Model!$B$7,0))/(IF(ISNUMBER(K215),Factor_Model!$B$4,0)+IF(ISNUMBER(N215),Factor_Model!$B$5,0)+IF(ISNUMBER(Q215),Factor_Model!$B$6,0)+IF(ISNUMBER(T215),Factor_Model!$B$7,0)))</x:f>
        <x:v>3.25</x:v>
      </x:c>
      <x:c r="Y215" s="20" t="str">
        <x:f>IF(W215=0,"No source",IF(W215&lt;1,"Partial source","Source-complete"))</x:f>
        <x:v>Source-complete</x:v>
      </x:c>
      <x:c r="Z215" s="20" t="str">
        <x:v>Automated screening pass: row uses a primary source URL by actor/subfactor; verify with country-specific evidence before final analytical use.</x:v>
      </x:c>
      <x:c r="AA215" s="20" t="str">
        <x:v>2026-05-20</x:v>
      </x:c>
      <x:c r="AB215" s="20" t="str">
        <x:v>GPT-5.5 Pro</x:v>
      </x:c>
    </x:row>
    <x:row r="216" ht="24" customHeight="1">
      <x:c r="A216" s="20" t="str">
        <x:v>KIR|United States</x:v>
      </x:c>
      <x:c r="B216" s="20" t="str">
        <x:v>Kiribati</x:v>
      </x:c>
      <x:c r="C216" s="20" t="str">
        <x:v>Republic of Kiribati</x:v>
      </x:c>
      <x:c r="D216" s="20" t="str">
        <x:v>KI</x:v>
      </x:c>
      <x:c r="E216" s="20" t="str">
        <x:v>KIR</x:v>
      </x:c>
      <x:c r="F216" s="20" t="str">
        <x:v>296</x:v>
      </x:c>
      <x:c r="G216" s="20" t="str">
        <x:v>Oceania</x:v>
      </x:c>
      <x:c r="H216" s="20" t="str">
        <x:v>Micronesia</x:v>
      </x:c>
      <x:c r="I216" s="20" t="str">
        <x:v>United States</x:v>
      </x:c>
      <x:c r="J216" s="20" t="str">
        <x:v>American influence</x:v>
      </x:c>
      <x:c r="K216" s="384" t="n">
        <x:v>3</x:v>
      </x:c>
      <x:c r="L216" s="396" t="n">
        <x:v>3</x:v>
      </x:c>
      <x:c r="M216" s="397" t="str">
        <x:v>https://www.usagm.gov/our-work/strategy-and-results/strategic-priorities/research-reports/</x:v>
      </x:c>
      <x:c r="N216" s="384" t="n">
        <x:v>1</x:v>
      </x:c>
      <x:c r="O216" s="396" t="n">
        <x:v>2</x:v>
      </x:c>
      <x:c r="P216" s="397" t="str">
        <x:v>https://internationalpolicy.org/programs/sam/</x:v>
      </x:c>
      <x:c r="Q216" s="384" t="n">
        <x:v>1</x:v>
      </x:c>
      <x:c r="R216" s="396" t="n">
        <x:v>2</x:v>
      </x:c>
      <x:c r="S216" s="397" t="str">
        <x:v>https://www.ned.org/ned-grantmaking/</x:v>
      </x:c>
      <x:c r="T216" s="384" t="n">
        <x:v>2</x:v>
      </x:c>
      <x:c r="U216" s="396" t="n">
        <x:v>2</x:v>
      </x:c>
      <x:c r="V216" s="397" t="str">
        <x:v>https://internationalpolicy.org/programs/sam/</x:v>
      </x:c>
      <x:c r="W216" s="385" t="n">
        <x:f>(--(M216&lt;&gt;"")+--(P216&lt;&gt;"")+--(S216&lt;&gt;"")+--(V216&lt;&gt;""))/4</x:f>
        <x:v>1</x:v>
      </x:c>
      <x:c r="X216" s="384" t="n">
        <x:f>IF(COUNT(K216,N216,Q216,T216)=0,"No data",(IF(ISNUMBER(K216),K216*Factor_Model!$B$4,0)+IF(ISNUMBER(N216),N216*Factor_Model!$B$5,0)+IF(ISNUMBER(Q216),Q216*Factor_Model!$B$6,0)+IF(ISNUMBER(T216),T216*Factor_Model!$B$7,0))/(IF(ISNUMBER(K216),Factor_Model!$B$4,0)+IF(ISNUMBER(N216),Factor_Model!$B$5,0)+IF(ISNUMBER(Q216),Factor_Model!$B$6,0)+IF(ISNUMBER(T216),Factor_Model!$B$7,0)))</x:f>
        <x:v>1.75</x:v>
      </x:c>
      <x:c r="Y216" s="20" t="str">
        <x:f>IF(W216=0,"No source",IF(W216&lt;1,"Partial source","Source-complete"))</x:f>
        <x:v>Source-complete</x:v>
      </x:c>
      <x:c r="Z216" s="20" t="str">
        <x:v>Automated screening pass: row uses a primary source URL by actor/subfactor; verify with country-specific evidence before final analytical use.</x:v>
      </x:c>
      <x:c r="AA216" s="20" t="str">
        <x:v>2026-05-20</x:v>
      </x:c>
      <x:c r="AB216" s="20" t="str">
        <x:v>GPT-5.5 Pro</x:v>
      </x:c>
    </x:row>
    <x:row r="217" ht="24" customHeight="1">
      <x:c r="A217" s="20" t="str">
        <x:v>KIR|European Union</x:v>
      </x:c>
      <x:c r="B217" s="20" t="str">
        <x:v>Kiribati</x:v>
      </x:c>
      <x:c r="C217" s="20" t="str">
        <x:v>Republic of Kiribati</x:v>
      </x:c>
      <x:c r="D217" s="20" t="str">
        <x:v>KI</x:v>
      </x:c>
      <x:c r="E217" s="20" t="str">
        <x:v>KIR</x:v>
      </x:c>
      <x:c r="F217" s="20" t="str">
        <x:v>296</x:v>
      </x:c>
      <x:c r="G217" s="20" t="str">
        <x:v>Oceania</x:v>
      </x:c>
      <x:c r="H217" s="20" t="str">
        <x:v>Micronesia</x:v>
      </x:c>
      <x:c r="I217" s="20" t="str">
        <x:v>European Union</x:v>
      </x:c>
      <x:c r="J217" s="20" t="str">
        <x:v>EU influence</x:v>
      </x:c>
      <x:c r="K217" s="384" t="n">
        <x:v>2</x:v>
      </x:c>
      <x:c r="L217" s="396" t="n">
        <x:v>2</x:v>
      </x:c>
      <x:c r="M217" s="397" t="str">
        <x:v>https://www.eeas.europa.eu/eeas/public-diplomacy_en</x:v>
      </x:c>
      <x:c r="N217" s="384" t="n">
        <x:v>0</x:v>
      </x:c>
      <x:c r="O217" s="396" t="n">
        <x:v>1</x:v>
      </x:c>
      <x:c r="P217" s="397" t="str">
        <x:v>https://www.eeas.europa.eu/eeas/missions-and-operations_en</x:v>
      </x:c>
      <x:c r="Q217" s="384" t="n">
        <x:v>1</x:v>
      </x:c>
      <x:c r="R217" s="396" t="n">
        <x:v>2</x:v>
      </x:c>
      <x:c r="S217" s="397" t="str">
        <x:v>https://www.eeas.europa.eu/eeas/eu-election-observation-missions-1_en?page_lang=en</x:v>
      </x:c>
      <x:c r="T217" s="384" t="n">
        <x:v>1</x:v>
      </x:c>
      <x:c r="U217" s="396" t="n">
        <x:v>2</x:v>
      </x:c>
      <x:c r="V217" s="397" t="str">
        <x:v>https://www.eeas.europa.eu/eeas/missions-and-operations_en</x:v>
      </x:c>
      <x:c r="W217" s="385" t="n">
        <x:f>(--(M217&lt;&gt;"")+--(P217&lt;&gt;"")+--(S217&lt;&gt;"")+--(V217&lt;&gt;""))/4</x:f>
        <x:v>1</x:v>
      </x:c>
      <x:c r="X217" s="384" t="n">
        <x:f>IF(COUNT(K217,N217,Q217,T217)=0,"No data",(IF(ISNUMBER(K217),K217*Factor_Model!$B$4,0)+IF(ISNUMBER(N217),N217*Factor_Model!$B$5,0)+IF(ISNUMBER(Q217),Q217*Factor_Model!$B$6,0)+IF(ISNUMBER(T217),T217*Factor_Model!$B$7,0))/(IF(ISNUMBER(K217),Factor_Model!$B$4,0)+IF(ISNUMBER(N217),Factor_Model!$B$5,0)+IF(ISNUMBER(Q217),Factor_Model!$B$6,0)+IF(ISNUMBER(T217),Factor_Model!$B$7,0)))</x:f>
        <x:v>1</x:v>
      </x:c>
      <x:c r="Y217" s="20" t="str">
        <x:f>IF(W217=0,"No source",IF(W217&lt;1,"Partial source","Source-complete"))</x:f>
        <x:v>Source-complete</x:v>
      </x:c>
      <x:c r="Z217" s="20" t="str">
        <x:v>Automated screening pass: row uses a primary source URL by actor/subfactor; verify with country-specific evidence before final analytical use.</x:v>
      </x:c>
      <x:c r="AA217" s="20" t="str">
        <x:v>2026-05-20</x:v>
      </x:c>
      <x:c r="AB217" s="20" t="str">
        <x:v>GPT-5.5 Pro</x:v>
      </x:c>
    </x:row>
    <x:row r="218" ht="24" customHeight="1">
      <x:c r="A218" s="20" t="str">
        <x:v>KWT|Russia</x:v>
      </x:c>
      <x:c r="B218" s="20" t="str">
        <x:v>Kuwait</x:v>
      </x:c>
      <x:c r="C218" s="20" t="str">
        <x:v>State of Kuwait</x:v>
      </x:c>
      <x:c r="D218" s="20" t="str">
        <x:v>KW</x:v>
      </x:c>
      <x:c r="E218" s="20" t="str">
        <x:v>KWT</x:v>
      </x:c>
      <x:c r="F218" s="20" t="str">
        <x:v>414</x:v>
      </x:c>
      <x:c r="G218" s="20" t="str">
        <x:v>Asia</x:v>
      </x:c>
      <x:c r="H218" s="20" t="str">
        <x:v>Western Asia</x:v>
      </x:c>
      <x:c r="I218" s="20" t="str">
        <x:v>Russia</x:v>
      </x:c>
      <x:c r="J218" s="20" t="str">
        <x:v>Russian influence</x:v>
      </x:c>
      <x:c r="K218" s="384" t="n">
        <x:v>2</x:v>
      </x:c>
      <x:c r="L218" s="396" t="n">
        <x:v>2</x:v>
      </x:c>
      <x:c r="M218" s="397" t="str">
        <x:v>https://www.eeas.europa.eu/eeas/4th-eeas-annual-report-foreign-information-manipulation-and-interference-threats_en</x:v>
      </x:c>
      <x:c r="N218" s="384" t="n">
        <x:v>0</x:v>
      </x:c>
      <x:c r="O218" s="396" t="n">
        <x:v>1</x:v>
      </x:c>
      <x:c r="P218" s="397" t="str">
        <x:v>https://www.consilium.europa.eu/en/press/press-releases/2023/02/25/wagner-group-council-adds-11-individuals-and-7-entities-to-eu-sanctions-lists/</x:v>
      </x:c>
      <x:c r="Q218" s="384" t="n">
        <x:v>0</x:v>
      </x:c>
      <x:c r="R218" s="396" t="n">
        <x:v>1</x:v>
      </x:c>
      <x:c r="S218" s="397" t="str">
        <x:v>https://www.dni.gov/files/ODNI/documents/assessments/ATA-2026-Unclassified-Report.pdf</x:v>
      </x:c>
      <x:c r="T218" s="384" t="n">
        <x:v>0</x:v>
      </x:c>
      <x:c r="U218" s="396" t="n">
        <x:v>1</x:v>
      </x:c>
      <x:c r="V218" s="397" t="str">
        <x:v>https://www.consilium.europa.eu/en/press/press-releases/2023/02/25/wagner-group-council-adds-11-individuals-and-7-entities-to-eu-sanctions-lists/</x:v>
      </x:c>
      <x:c r="W218" s="385" t="n">
        <x:f>(--(M218&lt;&gt;"")+--(P218&lt;&gt;"")+--(S218&lt;&gt;"")+--(V218&lt;&gt;""))/4</x:f>
        <x:v>1</x:v>
      </x:c>
      <x:c r="X218" s="384" t="n">
        <x:f>IF(COUNT(K218,N218,Q218,T218)=0,"No data",(IF(ISNUMBER(K218),K218*Factor_Model!$B$4,0)+IF(ISNUMBER(N218),N218*Factor_Model!$B$5,0)+IF(ISNUMBER(Q218),Q218*Factor_Model!$B$6,0)+IF(ISNUMBER(T218),T218*Factor_Model!$B$7,0))/(IF(ISNUMBER(K218),Factor_Model!$B$4,0)+IF(ISNUMBER(N218),Factor_Model!$B$5,0)+IF(ISNUMBER(Q218),Factor_Model!$B$6,0)+IF(ISNUMBER(T218),Factor_Model!$B$7,0)))</x:f>
        <x:v>0.5</x:v>
      </x:c>
      <x:c r="Y218" s="20" t="str">
        <x:f>IF(W218=0,"No source",IF(W218&lt;1,"Partial source","Source-complete"))</x:f>
        <x:v>Source-complete</x:v>
      </x:c>
      <x:c r="Z218" s="20" t="str">
        <x:v>Automated screening pass: row uses a primary source URL by actor/subfactor; verify with country-specific evidence before final analytical use.</x:v>
      </x:c>
      <x:c r="AA218" s="20" t="str">
        <x:v>2026-05-20</x:v>
      </x:c>
      <x:c r="AB218" s="20" t="str">
        <x:v>GPT-5.5 Pro</x:v>
      </x:c>
    </x:row>
    <x:row r="219" ht="24" customHeight="1">
      <x:c r="A219" s="20" t="str">
        <x:v>KWT|China</x:v>
      </x:c>
      <x:c r="B219" s="20" t="str">
        <x:v>Kuwait</x:v>
      </x:c>
      <x:c r="C219" s="20" t="str">
        <x:v>State of Kuwait</x:v>
      </x:c>
      <x:c r="D219" s="20" t="str">
        <x:v>KW</x:v>
      </x:c>
      <x:c r="E219" s="20" t="str">
        <x:v>KWT</x:v>
      </x:c>
      <x:c r="F219" s="20" t="str">
        <x:v>414</x:v>
      </x:c>
      <x:c r="G219" s="20" t="str">
        <x:v>Asia</x:v>
      </x:c>
      <x:c r="H219" s="20" t="str">
        <x:v>Western Asia</x:v>
      </x:c>
      <x:c r="I219" s="20" t="str">
        <x:v>China</x:v>
      </x:c>
      <x:c r="J219" s="20" t="str">
        <x:v>Chinese influence</x:v>
      </x:c>
      <x:c r="K219" s="384" t="n">
        <x:v>3</x:v>
      </x:c>
      <x:c r="L219" s="396" t="n">
        <x:v>3</x:v>
      </x:c>
      <x:c r="M219" s="397" t="str">
        <x:v>https://www.eeas.europa.eu/eeas/4th-eeas-annual-report-foreign-information-manipulation-and-interference-threats_en</x:v>
      </x:c>
      <x:c r="N219" s="384" t="n">
        <x:v>0</x:v>
      </x:c>
      <x:c r="O219" s="396" t="n">
        <x:v>1</x:v>
      </x:c>
      <x:c r="P219" s="397" t="str">
        <x:v>https://merics.org/en/report/guardians-belt-and-road</x:v>
      </x:c>
      <x:c r="Q219" s="384" t="n">
        <x:v>1</x:v>
      </x:c>
      <x:c r="R219" s="396" t="n">
        <x:v>2</x:v>
      </x:c>
      <x:c r="S219" s="397" t="str">
        <x:v>https://www.eeas.europa.eu/eeas/4th-eeas-annual-report-foreign-information-manipulation-and-interference-threats_en</x:v>
      </x:c>
      <x:c r="T219" s="384" t="n">
        <x:v>1</x:v>
      </x:c>
      <x:c r="U219" s="396" t="n">
        <x:v>2</x:v>
      </x:c>
      <x:c r="V219" s="397" t="str">
        <x:v>https://merics.org/en/report/guardians-belt-and-road</x:v>
      </x:c>
      <x:c r="W219" s="385" t="n">
        <x:f>(--(M219&lt;&gt;"")+--(P219&lt;&gt;"")+--(S219&lt;&gt;"")+--(V219&lt;&gt;""))/4</x:f>
        <x:v>1</x:v>
      </x:c>
      <x:c r="X219" s="384" t="n">
        <x:f>IF(COUNT(K219,N219,Q219,T219)=0,"No data",(IF(ISNUMBER(K219),K219*Factor_Model!$B$4,0)+IF(ISNUMBER(N219),N219*Factor_Model!$B$5,0)+IF(ISNUMBER(Q219),Q219*Factor_Model!$B$6,0)+IF(ISNUMBER(T219),T219*Factor_Model!$B$7,0))/(IF(ISNUMBER(K219),Factor_Model!$B$4,0)+IF(ISNUMBER(N219),Factor_Model!$B$5,0)+IF(ISNUMBER(Q219),Factor_Model!$B$6,0)+IF(ISNUMBER(T219),Factor_Model!$B$7,0)))</x:f>
        <x:v>1.25</x:v>
      </x:c>
      <x:c r="Y219" s="20" t="str">
        <x:f>IF(W219=0,"No source",IF(W219&lt;1,"Partial source","Source-complete"))</x:f>
        <x:v>Source-complete</x:v>
      </x:c>
      <x:c r="Z219" s="20" t="str">
        <x:v>Automated screening pass: row uses a primary source URL by actor/subfactor; verify with country-specific evidence before final analytical use.</x:v>
      </x:c>
      <x:c r="AA219" s="20" t="str">
        <x:v>2026-05-20</x:v>
      </x:c>
      <x:c r="AB219" s="20" t="str">
        <x:v>GPT-5.5 Pro</x:v>
      </x:c>
    </x:row>
    <x:row r="220" ht="24" customHeight="1">
      <x:c r="A220" s="20" t="str">
        <x:v>KWT|United States</x:v>
      </x:c>
      <x:c r="B220" s="20" t="str">
        <x:v>Kuwait</x:v>
      </x:c>
      <x:c r="C220" s="20" t="str">
        <x:v>State of Kuwait</x:v>
      </x:c>
      <x:c r="D220" s="20" t="str">
        <x:v>KW</x:v>
      </x:c>
      <x:c r="E220" s="20" t="str">
        <x:v>KWT</x:v>
      </x:c>
      <x:c r="F220" s="20" t="str">
        <x:v>414</x:v>
      </x:c>
      <x:c r="G220" s="20" t="str">
        <x:v>Asia</x:v>
      </x:c>
      <x:c r="H220" s="20" t="str">
        <x:v>Western Asia</x:v>
      </x:c>
      <x:c r="I220" s="20" t="str">
        <x:v>United States</x:v>
      </x:c>
      <x:c r="J220" s="20" t="str">
        <x:v>American influence</x:v>
      </x:c>
      <x:c r="K220" s="384" t="n">
        <x:v>5</x:v>
      </x:c>
      <x:c r="L220" s="396" t="n">
        <x:v>3</x:v>
      </x:c>
      <x:c r="M220" s="397" t="str">
        <x:v>https://www.usagm.gov/our-work/strategy-and-results/strategic-priorities/research-reports/</x:v>
      </x:c>
      <x:c r="N220" s="384" t="n">
        <x:v>5</x:v>
      </x:c>
      <x:c r="O220" s="396" t="n">
        <x:v>3</x:v>
      </x:c>
      <x:c r="P220" s="397" t="str">
        <x:v>https://internationalpolicy.org/programs/sam/</x:v>
      </x:c>
      <x:c r="Q220" s="384" t="n">
        <x:v>2</x:v>
      </x:c>
      <x:c r="R220" s="396" t="n">
        <x:v>2</x:v>
      </x:c>
      <x:c r="S220" s="397" t="str">
        <x:v>https://www.ned.org/ned-grantmaking/</x:v>
      </x:c>
      <x:c r="T220" s="384" t="n">
        <x:v>7</x:v>
      </x:c>
      <x:c r="U220" s="396" t="n">
        <x:v>4</x:v>
      </x:c>
      <x:c r="V220" s="397" t="str">
        <x:v>https://internationalpolicy.org/programs/sam/</x:v>
      </x:c>
      <x:c r="W220" s="385" t="n">
        <x:f>(--(M220&lt;&gt;"")+--(P220&lt;&gt;"")+--(S220&lt;&gt;"")+--(V220&lt;&gt;""))/4</x:f>
        <x:v>1</x:v>
      </x:c>
      <x:c r="X220" s="384" t="n">
        <x:f>IF(COUNT(K220,N220,Q220,T220)=0,"No data",(IF(ISNUMBER(K220),K220*Factor_Model!$B$4,0)+IF(ISNUMBER(N220),N220*Factor_Model!$B$5,0)+IF(ISNUMBER(Q220),Q220*Factor_Model!$B$6,0)+IF(ISNUMBER(T220),T220*Factor_Model!$B$7,0))/(IF(ISNUMBER(K220),Factor_Model!$B$4,0)+IF(ISNUMBER(N220),Factor_Model!$B$5,0)+IF(ISNUMBER(Q220),Factor_Model!$B$6,0)+IF(ISNUMBER(T220),Factor_Model!$B$7,0)))</x:f>
        <x:v>4.75</x:v>
      </x:c>
      <x:c r="Y220" s="20" t="str">
        <x:f>IF(W220=0,"No source",IF(W220&lt;1,"Partial source","Source-complete"))</x:f>
        <x:v>Source-complete</x:v>
      </x:c>
      <x:c r="Z220" s="20" t="str">
        <x:v>Automated screening pass: row uses a primary source URL by actor/subfactor; verify with country-specific evidence before final analytical use.</x:v>
      </x:c>
      <x:c r="AA220" s="20" t="str">
        <x:v>2026-05-20</x:v>
      </x:c>
      <x:c r="AB220" s="20" t="str">
        <x:v>GPT-5.5 Pro</x:v>
      </x:c>
    </x:row>
    <x:row r="221" ht="24" customHeight="1">
      <x:c r="A221" s="20" t="str">
        <x:v>KWT|European Union</x:v>
      </x:c>
      <x:c r="B221" s="20" t="str">
        <x:v>Kuwait</x:v>
      </x:c>
      <x:c r="C221" s="20" t="str">
        <x:v>State of Kuwait</x:v>
      </x:c>
      <x:c r="D221" s="20" t="str">
        <x:v>KW</x:v>
      </x:c>
      <x:c r="E221" s="20" t="str">
        <x:v>KWT</x:v>
      </x:c>
      <x:c r="F221" s="20" t="str">
        <x:v>414</x:v>
      </x:c>
      <x:c r="G221" s="20" t="str">
        <x:v>Asia</x:v>
      </x:c>
      <x:c r="H221" s="20" t="str">
        <x:v>Western Asia</x:v>
      </x:c>
      <x:c r="I221" s="20" t="str">
        <x:v>European Union</x:v>
      </x:c>
      <x:c r="J221" s="20" t="str">
        <x:v>EU influence</x:v>
      </x:c>
      <x:c r="K221" s="384" t="n">
        <x:v>2</x:v>
      </x:c>
      <x:c r="L221" s="396" t="n">
        <x:v>2</x:v>
      </x:c>
      <x:c r="M221" s="397" t="str">
        <x:v>https://www.eeas.europa.eu/eeas/public-diplomacy_en</x:v>
      </x:c>
      <x:c r="N221" s="384" t="n">
        <x:v>0</x:v>
      </x:c>
      <x:c r="O221" s="396" t="n">
        <x:v>1</x:v>
      </x:c>
      <x:c r="P221" s="397" t="str">
        <x:v>https://www.eeas.europa.eu/eeas/missions-and-operations_en</x:v>
      </x:c>
      <x:c r="Q221" s="384" t="n">
        <x:v>1</x:v>
      </x:c>
      <x:c r="R221" s="396" t="n">
        <x:v>2</x:v>
      </x:c>
      <x:c r="S221" s="397" t="str">
        <x:v>https://www.eeas.europa.eu/eeas/eu-election-observation-missions-1_en?page_lang=en</x:v>
      </x:c>
      <x:c r="T221" s="384" t="n">
        <x:v>2</x:v>
      </x:c>
      <x:c r="U221" s="396" t="n">
        <x:v>2</x:v>
      </x:c>
      <x:c r="V221" s="397" t="str">
        <x:v>https://www.eeas.europa.eu/eeas/missions-and-operations_en</x:v>
      </x:c>
      <x:c r="W221" s="385" t="n">
        <x:f>(--(M221&lt;&gt;"")+--(P221&lt;&gt;"")+--(S221&lt;&gt;"")+--(V221&lt;&gt;""))/4</x:f>
        <x:v>1</x:v>
      </x:c>
      <x:c r="X221" s="384" t="n">
        <x:f>IF(COUNT(K221,N221,Q221,T221)=0,"No data",(IF(ISNUMBER(K221),K221*Factor_Model!$B$4,0)+IF(ISNUMBER(N221),N221*Factor_Model!$B$5,0)+IF(ISNUMBER(Q221),Q221*Factor_Model!$B$6,0)+IF(ISNUMBER(T221),T221*Factor_Model!$B$7,0))/(IF(ISNUMBER(K221),Factor_Model!$B$4,0)+IF(ISNUMBER(N221),Factor_Model!$B$5,0)+IF(ISNUMBER(Q221),Factor_Model!$B$6,0)+IF(ISNUMBER(T221),Factor_Model!$B$7,0)))</x:f>
        <x:v>1.25</x:v>
      </x:c>
      <x:c r="Y221" s="20" t="str">
        <x:f>IF(W221=0,"No source",IF(W221&lt;1,"Partial source","Source-complete"))</x:f>
        <x:v>Source-complete</x:v>
      </x:c>
      <x:c r="Z221" s="20" t="str">
        <x:v>Automated screening pass: row uses a primary source URL by actor/subfactor; verify with country-specific evidence before final analytical use.</x:v>
      </x:c>
      <x:c r="AA221" s="20" t="str">
        <x:v>2026-05-20</x:v>
      </x:c>
      <x:c r="AB221" s="20" t="str">
        <x:v>GPT-5.5 Pro</x:v>
      </x:c>
    </x:row>
    <x:row r="222" ht="24" customHeight="1">
      <x:c r="A222" s="20" t="str">
        <x:v>KGZ|Russia</x:v>
      </x:c>
      <x:c r="B222" s="20" t="str">
        <x:v>Kyrgyzstan</x:v>
      </x:c>
      <x:c r="C222" s="20" t="str">
        <x:v>Kyrgyz Republic</x:v>
      </x:c>
      <x:c r="D222" s="20" t="str">
        <x:v>KG</x:v>
      </x:c>
      <x:c r="E222" s="20" t="str">
        <x:v>KGZ</x:v>
      </x:c>
      <x:c r="F222" s="20" t="str">
        <x:v>417</x:v>
      </x:c>
      <x:c r="G222" s="20" t="str">
        <x:v>Asia</x:v>
      </x:c>
      <x:c r="H222" s="20" t="str">
        <x:v>Central Asia</x:v>
      </x:c>
      <x:c r="I222" s="20" t="str">
        <x:v>Russia</x:v>
      </x:c>
      <x:c r="J222" s="20" t="str">
        <x:v>Russian influence</x:v>
      </x:c>
      <x:c r="K222" s="384" t="n">
        <x:v>7</x:v>
      </x:c>
      <x:c r="L222" s="396" t="n">
        <x:v>4</x:v>
      </x:c>
      <x:c r="M222" s="397" t="str">
        <x:v>https://www.eeas.europa.eu/eeas/4th-eeas-annual-report-foreign-information-manipulation-and-interference-threats_en</x:v>
      </x:c>
      <x:c r="N222" s="384" t="n">
        <x:v>0</x:v>
      </x:c>
      <x:c r="O222" s="396" t="n">
        <x:v>1</x:v>
      </x:c>
      <x:c r="P222" s="397" t="str">
        <x:v>https://www.consilium.europa.eu/en/press/press-releases/2023/02/25/wagner-group-council-adds-11-individuals-and-7-entities-to-eu-sanctions-lists/</x:v>
      </x:c>
      <x:c r="Q222" s="384" t="n">
        <x:v>0</x:v>
      </x:c>
      <x:c r="R222" s="396" t="n">
        <x:v>1</x:v>
      </x:c>
      <x:c r="S222" s="397" t="str">
        <x:v>https://www.dni.gov/files/ODNI/documents/assessments/ATA-2026-Unclassified-Report.pdf</x:v>
      </x:c>
      <x:c r="T222" s="384" t="n">
        <x:v>0</x:v>
      </x:c>
      <x:c r="U222" s="396" t="n">
        <x:v>1</x:v>
      </x:c>
      <x:c r="V222" s="397" t="str">
        <x:v>https://www.consilium.europa.eu/en/press/press-releases/2023/02/25/wagner-group-council-adds-11-individuals-and-7-entities-to-eu-sanctions-lists/</x:v>
      </x:c>
      <x:c r="W222" s="385" t="n">
        <x:f>(--(M222&lt;&gt;"")+--(P222&lt;&gt;"")+--(S222&lt;&gt;"")+--(V222&lt;&gt;""))/4</x:f>
        <x:v>1</x:v>
      </x:c>
      <x:c r="X222" s="384" t="n">
        <x:f>IF(COUNT(K222,N222,Q222,T222)=0,"No data",(IF(ISNUMBER(K222),K222*Factor_Model!$B$4,0)+IF(ISNUMBER(N222),N222*Factor_Model!$B$5,0)+IF(ISNUMBER(Q222),Q222*Factor_Model!$B$6,0)+IF(ISNUMBER(T222),T222*Factor_Model!$B$7,0))/(IF(ISNUMBER(K222),Factor_Model!$B$4,0)+IF(ISNUMBER(N222),Factor_Model!$B$5,0)+IF(ISNUMBER(Q222),Factor_Model!$B$6,0)+IF(ISNUMBER(T222),Factor_Model!$B$7,0)))</x:f>
        <x:v>1.75</x:v>
      </x:c>
      <x:c r="Y222" s="20" t="str">
        <x:f>IF(W222=0,"No source",IF(W222&lt;1,"Partial source","Source-complete"))</x:f>
        <x:v>Source-complete</x:v>
      </x:c>
      <x:c r="Z222" s="20" t="str">
        <x:v>Automated screening pass: row uses a primary source URL by actor/subfactor; verify with country-specific evidence before final analytical use.</x:v>
      </x:c>
      <x:c r="AA222" s="20" t="str">
        <x:v>2026-05-20</x:v>
      </x:c>
      <x:c r="AB222" s="20" t="str">
        <x:v>GPT-5.5 Pro</x:v>
      </x:c>
    </x:row>
    <x:row r="223" ht="24" customHeight="1">
      <x:c r="A223" s="20" t="str">
        <x:v>KGZ|China</x:v>
      </x:c>
      <x:c r="B223" s="20" t="str">
        <x:v>Kyrgyzstan</x:v>
      </x:c>
      <x:c r="C223" s="20" t="str">
        <x:v>Kyrgyz Republic</x:v>
      </x:c>
      <x:c r="D223" s="20" t="str">
        <x:v>KG</x:v>
      </x:c>
      <x:c r="E223" s="20" t="str">
        <x:v>KGZ</x:v>
      </x:c>
      <x:c r="F223" s="20" t="str">
        <x:v>417</x:v>
      </x:c>
      <x:c r="G223" s="20" t="str">
        <x:v>Asia</x:v>
      </x:c>
      <x:c r="H223" s="20" t="str">
        <x:v>Central Asia</x:v>
      </x:c>
      <x:c r="I223" s="20" t="str">
        <x:v>China</x:v>
      </x:c>
      <x:c r="J223" s="20" t="str">
        <x:v>Chinese influence</x:v>
      </x:c>
      <x:c r="K223" s="384" t="n">
        <x:v>5</x:v>
      </x:c>
      <x:c r="L223" s="396" t="n">
        <x:v>3</x:v>
      </x:c>
      <x:c r="M223" s="397" t="str">
        <x:v>https://www.eeas.europa.eu/eeas/4th-eeas-annual-report-foreign-information-manipulation-and-interference-threats_en</x:v>
      </x:c>
      <x:c r="N223" s="384" t="n">
        <x:v>1</x:v>
      </x:c>
      <x:c r="O223" s="396" t="n">
        <x:v>2</x:v>
      </x:c>
      <x:c r="P223" s="397" t="str">
        <x:v>https://merics.org/en/report/guardians-belt-and-road</x:v>
      </x:c>
      <x:c r="Q223" s="384" t="n">
        <x:v>1</x:v>
      </x:c>
      <x:c r="R223" s="396" t="n">
        <x:v>2</x:v>
      </x:c>
      <x:c r="S223" s="397" t="str">
        <x:v>https://www.eeas.europa.eu/eeas/4th-eeas-annual-report-foreign-information-manipulation-and-interference-threats_en</x:v>
      </x:c>
      <x:c r="T223" s="384" t="n">
        <x:v>3</x:v>
      </x:c>
      <x:c r="U223" s="396" t="n">
        <x:v>3</x:v>
      </x:c>
      <x:c r="V223" s="397" t="str">
        <x:v>https://merics.org/en/report/guardians-belt-and-road</x:v>
      </x:c>
      <x:c r="W223" s="385" t="n">
        <x:f>(--(M223&lt;&gt;"")+--(P223&lt;&gt;"")+--(S223&lt;&gt;"")+--(V223&lt;&gt;""))/4</x:f>
        <x:v>1</x:v>
      </x:c>
      <x:c r="X223" s="384" t="n">
        <x:f>IF(COUNT(K223,N223,Q223,T223)=0,"No data",(IF(ISNUMBER(K223),K223*Factor_Model!$B$4,0)+IF(ISNUMBER(N223),N223*Factor_Model!$B$5,0)+IF(ISNUMBER(Q223),Q223*Factor_Model!$B$6,0)+IF(ISNUMBER(T223),T223*Factor_Model!$B$7,0))/(IF(ISNUMBER(K223),Factor_Model!$B$4,0)+IF(ISNUMBER(N223),Factor_Model!$B$5,0)+IF(ISNUMBER(Q223),Factor_Model!$B$6,0)+IF(ISNUMBER(T223),Factor_Model!$B$7,0)))</x:f>
        <x:v>2.5</x:v>
      </x:c>
      <x:c r="Y223" s="20" t="str">
        <x:f>IF(W223=0,"No source",IF(W223&lt;1,"Partial source","Source-complete"))</x:f>
        <x:v>Source-complete</x:v>
      </x:c>
      <x:c r="Z223" s="20" t="str">
        <x:v>Automated screening pass: row uses a primary source URL by actor/subfactor; verify with country-specific evidence before final analytical use.</x:v>
      </x:c>
      <x:c r="AA223" s="20" t="str">
        <x:v>2026-05-20</x:v>
      </x:c>
      <x:c r="AB223" s="20" t="str">
        <x:v>GPT-5.5 Pro</x:v>
      </x:c>
    </x:row>
    <x:row r="224" ht="24" customHeight="1">
      <x:c r="A224" s="20" t="str">
        <x:v>KGZ|United States</x:v>
      </x:c>
      <x:c r="B224" s="20" t="str">
        <x:v>Kyrgyzstan</x:v>
      </x:c>
      <x:c r="C224" s="20" t="str">
        <x:v>Kyrgyz Republic</x:v>
      </x:c>
      <x:c r="D224" s="20" t="str">
        <x:v>KG</x:v>
      </x:c>
      <x:c r="E224" s="20" t="str">
        <x:v>KGZ</x:v>
      </x:c>
      <x:c r="F224" s="20" t="str">
        <x:v>417</x:v>
      </x:c>
      <x:c r="G224" s="20" t="str">
        <x:v>Asia</x:v>
      </x:c>
      <x:c r="H224" s="20" t="str">
        <x:v>Central Asia</x:v>
      </x:c>
      <x:c r="I224" s="20" t="str">
        <x:v>United States</x:v>
      </x:c>
      <x:c r="J224" s="20" t="str">
        <x:v>American influence</x:v>
      </x:c>
      <x:c r="K224" s="384" t="n">
        <x:v>4</x:v>
      </x:c>
      <x:c r="L224" s="396" t="n">
        <x:v>3</x:v>
      </x:c>
      <x:c r="M224" s="397" t="str">
        <x:v>https://www.usagm.gov/our-work/strategy-and-results/strategic-priorities/research-reports/</x:v>
      </x:c>
      <x:c r="N224" s="384" t="n">
        <x:v>1</x:v>
      </x:c>
      <x:c r="O224" s="396" t="n">
        <x:v>2</x:v>
      </x:c>
      <x:c r="P224" s="397" t="str">
        <x:v>https://internationalpolicy.org/programs/sam/</x:v>
      </x:c>
      <x:c r="Q224" s="384" t="n">
        <x:v>2</x:v>
      </x:c>
      <x:c r="R224" s="396" t="n">
        <x:v>2</x:v>
      </x:c>
      <x:c r="S224" s="397" t="str">
        <x:v>https://www.ned.org/ned-grantmaking/</x:v>
      </x:c>
      <x:c r="T224" s="384" t="n">
        <x:v>2</x:v>
      </x:c>
      <x:c r="U224" s="396" t="n">
        <x:v>2</x:v>
      </x:c>
      <x:c r="V224" s="397" t="str">
        <x:v>https://internationalpolicy.org/programs/sam/</x:v>
      </x:c>
      <x:c r="W224" s="385" t="n">
        <x:f>(--(M224&lt;&gt;"")+--(P224&lt;&gt;"")+--(S224&lt;&gt;"")+--(V224&lt;&gt;""))/4</x:f>
        <x:v>1</x:v>
      </x:c>
      <x:c r="X224" s="384" t="n">
        <x:f>IF(COUNT(K224,N224,Q224,T224)=0,"No data",(IF(ISNUMBER(K224),K224*Factor_Model!$B$4,0)+IF(ISNUMBER(N224),N224*Factor_Model!$B$5,0)+IF(ISNUMBER(Q224),Q224*Factor_Model!$B$6,0)+IF(ISNUMBER(T224),T224*Factor_Model!$B$7,0))/(IF(ISNUMBER(K224),Factor_Model!$B$4,0)+IF(ISNUMBER(N224),Factor_Model!$B$5,0)+IF(ISNUMBER(Q224),Factor_Model!$B$6,0)+IF(ISNUMBER(T224),Factor_Model!$B$7,0)))</x:f>
        <x:v>2.25</x:v>
      </x:c>
      <x:c r="Y224" s="20" t="str">
        <x:f>IF(W224=0,"No source",IF(W224&lt;1,"Partial source","Source-complete"))</x:f>
        <x:v>Source-complete</x:v>
      </x:c>
      <x:c r="Z224" s="20" t="str">
        <x:v>Automated screening pass: row uses a primary source URL by actor/subfactor; verify with country-specific evidence before final analytical use.</x:v>
      </x:c>
      <x:c r="AA224" s="20" t="str">
        <x:v>2026-05-20</x:v>
      </x:c>
      <x:c r="AB224" s="20" t="str">
        <x:v>GPT-5.5 Pro</x:v>
      </x:c>
    </x:row>
    <x:row r="225" ht="24" customHeight="1">
      <x:c r="A225" s="20" t="str">
        <x:v>KGZ|European Union</x:v>
      </x:c>
      <x:c r="B225" s="20" t="str">
        <x:v>Kyrgyzstan</x:v>
      </x:c>
      <x:c r="C225" s="20" t="str">
        <x:v>Kyrgyz Republic</x:v>
      </x:c>
      <x:c r="D225" s="20" t="str">
        <x:v>KG</x:v>
      </x:c>
      <x:c r="E225" s="20" t="str">
        <x:v>KGZ</x:v>
      </x:c>
      <x:c r="F225" s="20" t="str">
        <x:v>417</x:v>
      </x:c>
      <x:c r="G225" s="20" t="str">
        <x:v>Asia</x:v>
      </x:c>
      <x:c r="H225" s="20" t="str">
        <x:v>Central Asia</x:v>
      </x:c>
      <x:c r="I225" s="20" t="str">
        <x:v>European Union</x:v>
      </x:c>
      <x:c r="J225" s="20" t="str">
        <x:v>EU influence</x:v>
      </x:c>
      <x:c r="K225" s="384" t="n">
        <x:v>2</x:v>
      </x:c>
      <x:c r="L225" s="396" t="n">
        <x:v>2</x:v>
      </x:c>
      <x:c r="M225" s="397" t="str">
        <x:v>https://www.eeas.europa.eu/eeas/public-diplomacy_en</x:v>
      </x:c>
      <x:c r="N225" s="384" t="n">
        <x:v>0</x:v>
      </x:c>
      <x:c r="O225" s="396" t="n">
        <x:v>1</x:v>
      </x:c>
      <x:c r="P225" s="397" t="str">
        <x:v>https://www.eeas.europa.eu/eeas/missions-and-operations_en</x:v>
      </x:c>
      <x:c r="Q225" s="384" t="n">
        <x:v>1</x:v>
      </x:c>
      <x:c r="R225" s="396" t="n">
        <x:v>2</x:v>
      </x:c>
      <x:c r="S225" s="397" t="str">
        <x:v>https://www.eeas.europa.eu/eeas/eu-election-observation-missions-1_en?page_lang=en</x:v>
      </x:c>
      <x:c r="T225" s="384" t="n">
        <x:v>2</x:v>
      </x:c>
      <x:c r="U225" s="396" t="n">
        <x:v>2</x:v>
      </x:c>
      <x:c r="V225" s="397" t="str">
        <x:v>https://www.eeas.europa.eu/eeas/missions-and-operations_en</x:v>
      </x:c>
      <x:c r="W225" s="385" t="n">
        <x:f>(--(M225&lt;&gt;"")+--(P225&lt;&gt;"")+--(S225&lt;&gt;"")+--(V225&lt;&gt;""))/4</x:f>
        <x:v>1</x:v>
      </x:c>
      <x:c r="X225" s="384" t="n">
        <x:f>IF(COUNT(K225,N225,Q225,T225)=0,"No data",(IF(ISNUMBER(K225),K225*Factor_Model!$B$4,0)+IF(ISNUMBER(N225),N225*Factor_Model!$B$5,0)+IF(ISNUMBER(Q225),Q225*Factor_Model!$B$6,0)+IF(ISNUMBER(T225),T225*Factor_Model!$B$7,0))/(IF(ISNUMBER(K225),Factor_Model!$B$4,0)+IF(ISNUMBER(N225),Factor_Model!$B$5,0)+IF(ISNUMBER(Q225),Factor_Model!$B$6,0)+IF(ISNUMBER(T225),Factor_Model!$B$7,0)))</x:f>
        <x:v>1.25</x:v>
      </x:c>
      <x:c r="Y225" s="20" t="str">
        <x:f>IF(W225=0,"No source",IF(W225&lt;1,"Partial source","Source-complete"))</x:f>
        <x:v>Source-complete</x:v>
      </x:c>
      <x:c r="Z225" s="20" t="str">
        <x:v>Automated screening pass: row uses a primary source URL by actor/subfactor; verify with country-specific evidence before final analytical use.</x:v>
      </x:c>
      <x:c r="AA225" s="20" t="str">
        <x:v>2026-05-20</x:v>
      </x:c>
      <x:c r="AB225" s="20" t="str">
        <x:v>GPT-5.5 Pro</x:v>
      </x:c>
    </x:row>
    <x:row r="226" ht="24" customHeight="1">
      <x:c r="A226" s="20" t="str">
        <x:v>LVA|Russia</x:v>
      </x:c>
      <x:c r="B226" s="20" t="str">
        <x:v>Latvia</x:v>
      </x:c>
      <x:c r="C226" s="20" t="str">
        <x:v>Republic of Latvia</x:v>
      </x:c>
      <x:c r="D226" s="20" t="str">
        <x:v>LV</x:v>
      </x:c>
      <x:c r="E226" s="20" t="str">
        <x:v>LVA</x:v>
      </x:c>
      <x:c r="F226" s="20" t="str">
        <x:v>428</x:v>
      </x:c>
      <x:c r="G226" s="20" t="str">
        <x:v>Europe</x:v>
      </x:c>
      <x:c r="H226" s="20" t="str">
        <x:v>Northern Europe</x:v>
      </x:c>
      <x:c r="I226" s="20" t="str">
        <x:v>Russia</x:v>
      </x:c>
      <x:c r="J226" s="20" t="str">
        <x:v>Russian influence</x:v>
      </x:c>
      <x:c r="K226" s="384" t="n">
        <x:v>7</x:v>
      </x:c>
      <x:c r="L226" s="396" t="n">
        <x:v>4</x:v>
      </x:c>
      <x:c r="M226" s="397" t="str">
        <x:v>https://www.eeas.europa.eu/eeas/4th-eeas-annual-report-foreign-information-manipulation-and-interference-threats_en</x:v>
      </x:c>
      <x:c r="N226" s="384" t="n">
        <x:v>0</x:v>
      </x:c>
      <x:c r="O226" s="396" t="n">
        <x:v>1</x:v>
      </x:c>
      <x:c r="P226" s="397" t="str">
        <x:v>https://www.consilium.europa.eu/en/press/press-releases/2023/02/25/wagner-group-council-adds-11-individuals-and-7-entities-to-eu-sanctions-lists/</x:v>
      </x:c>
      <x:c r="Q226" s="384" t="n">
        <x:v>6</x:v>
      </x:c>
      <x:c r="R226" s="396" t="n">
        <x:v>4</x:v>
      </x:c>
      <x:c r="S226" s="397" t="str">
        <x:v>https://www.dni.gov/files/ODNI/documents/assessments/ATA-2026-Unclassified-Report.pdf</x:v>
      </x:c>
      <x:c r="T226" s="384" t="n">
        <x:v>0</x:v>
      </x:c>
      <x:c r="U226" s="396" t="n">
        <x:v>1</x:v>
      </x:c>
      <x:c r="V226" s="397" t="str">
        <x:v>https://www.consilium.europa.eu/en/press/press-releases/2023/02/25/wagner-group-council-adds-11-individuals-and-7-entities-to-eu-sanctions-lists/</x:v>
      </x:c>
      <x:c r="W226" s="385" t="n">
        <x:f>(--(M226&lt;&gt;"")+--(P226&lt;&gt;"")+--(S226&lt;&gt;"")+--(V226&lt;&gt;""))/4</x:f>
        <x:v>1</x:v>
      </x:c>
      <x:c r="X226" s="384" t="n">
        <x:f>IF(COUNT(K226,N226,Q226,T226)=0,"No data",(IF(ISNUMBER(K226),K226*Factor_Model!$B$4,0)+IF(ISNUMBER(N226),N226*Factor_Model!$B$5,0)+IF(ISNUMBER(Q226),Q226*Factor_Model!$B$6,0)+IF(ISNUMBER(T226),T226*Factor_Model!$B$7,0))/(IF(ISNUMBER(K226),Factor_Model!$B$4,0)+IF(ISNUMBER(N226),Factor_Model!$B$5,0)+IF(ISNUMBER(Q226),Factor_Model!$B$6,0)+IF(ISNUMBER(T226),Factor_Model!$B$7,0)))</x:f>
        <x:v>3.25</x:v>
      </x:c>
      <x:c r="Y226" s="20" t="str">
        <x:f>IF(W226=0,"No source",IF(W226&lt;1,"Partial source","Source-complete"))</x:f>
        <x:v>Source-complete</x:v>
      </x:c>
      <x:c r="Z226" s="20" t="str">
        <x:v>Automated screening pass: row uses a primary source URL by actor/subfactor; verify with country-specific evidence before final analytical use.</x:v>
      </x:c>
      <x:c r="AA226" s="20" t="str">
        <x:v>2026-05-20</x:v>
      </x:c>
      <x:c r="AB226" s="20" t="str">
        <x:v>GPT-5.5 Pro</x:v>
      </x:c>
    </x:row>
    <x:row r="227" ht="24" customHeight="1">
      <x:c r="A227" s="20" t="str">
        <x:v>LVA|China</x:v>
      </x:c>
      <x:c r="B227" s="20" t="str">
        <x:v>Latvia</x:v>
      </x:c>
      <x:c r="C227" s="20" t="str">
        <x:v>Republic of Latvia</x:v>
      </x:c>
      <x:c r="D227" s="20" t="str">
        <x:v>LV</x:v>
      </x:c>
      <x:c r="E227" s="20" t="str">
        <x:v>LVA</x:v>
      </x:c>
      <x:c r="F227" s="20" t="str">
        <x:v>428</x:v>
      </x:c>
      <x:c r="G227" s="20" t="str">
        <x:v>Europe</x:v>
      </x:c>
      <x:c r="H227" s="20" t="str">
        <x:v>Northern Europe</x:v>
      </x:c>
      <x:c r="I227" s="20" t="str">
        <x:v>China</x:v>
      </x:c>
      <x:c r="J227" s="20" t="str">
        <x:v>Chinese influence</x:v>
      </x:c>
      <x:c r="K227" s="384" t="n">
        <x:v>4</x:v>
      </x:c>
      <x:c r="L227" s="396" t="n">
        <x:v>3</x:v>
      </x:c>
      <x:c r="M227" s="397" t="str">
        <x:v>https://www.eeas.europa.eu/eeas/4th-eeas-annual-report-foreign-information-manipulation-and-interference-threats_en</x:v>
      </x:c>
      <x:c r="N227" s="384" t="n">
        <x:v>0</x:v>
      </x:c>
      <x:c r="O227" s="396" t="n">
        <x:v>1</x:v>
      </x:c>
      <x:c r="P227" s="397" t="str">
        <x:v>https://merics.org/en/report/guardians-belt-and-road</x:v>
      </x:c>
      <x:c r="Q227" s="384" t="n">
        <x:v>2</x:v>
      </x:c>
      <x:c r="R227" s="396" t="n">
        <x:v>2</x:v>
      </x:c>
      <x:c r="S227" s="397" t="str">
        <x:v>https://www.eeas.europa.eu/eeas/4th-eeas-annual-report-foreign-information-manipulation-and-interference-threats_en</x:v>
      </x:c>
      <x:c r="T227" s="384" t="n">
        <x:v>0</x:v>
      </x:c>
      <x:c r="U227" s="396" t="n">
        <x:v>1</x:v>
      </x:c>
      <x:c r="V227" s="397" t="str">
        <x:v>https://merics.org/en/report/guardians-belt-and-road</x:v>
      </x:c>
      <x:c r="W227" s="385" t="n">
        <x:f>(--(M227&lt;&gt;"")+--(P227&lt;&gt;"")+--(S227&lt;&gt;"")+--(V227&lt;&gt;""))/4</x:f>
        <x:v>1</x:v>
      </x:c>
      <x:c r="X227" s="384" t="n">
        <x:f>IF(COUNT(K227,N227,Q227,T227)=0,"No data",(IF(ISNUMBER(K227),K227*Factor_Model!$B$4,0)+IF(ISNUMBER(N227),N227*Factor_Model!$B$5,0)+IF(ISNUMBER(Q227),Q227*Factor_Model!$B$6,0)+IF(ISNUMBER(T227),T227*Factor_Model!$B$7,0))/(IF(ISNUMBER(K227),Factor_Model!$B$4,0)+IF(ISNUMBER(N227),Factor_Model!$B$5,0)+IF(ISNUMBER(Q227),Factor_Model!$B$6,0)+IF(ISNUMBER(T227),Factor_Model!$B$7,0)))</x:f>
        <x:v>1.5</x:v>
      </x:c>
      <x:c r="Y227" s="20" t="str">
        <x:f>IF(W227=0,"No source",IF(W227&lt;1,"Partial source","Source-complete"))</x:f>
        <x:v>Source-complete</x:v>
      </x:c>
      <x:c r="Z227" s="20" t="str">
        <x:v>Automated screening pass: row uses a primary source URL by actor/subfactor; verify with country-specific evidence before final analytical use.</x:v>
      </x:c>
      <x:c r="AA227" s="20" t="str">
        <x:v>2026-05-20</x:v>
      </x:c>
      <x:c r="AB227" s="20" t="str">
        <x:v>GPT-5.5 Pro</x:v>
      </x:c>
    </x:row>
    <x:row r="228" ht="24" customHeight="1">
      <x:c r="A228" s="20" t="str">
        <x:v>LVA|United States</x:v>
      </x:c>
      <x:c r="B228" s="20" t="str">
        <x:v>Latvia</x:v>
      </x:c>
      <x:c r="C228" s="20" t="str">
        <x:v>Republic of Latvia</x:v>
      </x:c>
      <x:c r="D228" s="20" t="str">
        <x:v>LV</x:v>
      </x:c>
      <x:c r="E228" s="20" t="str">
        <x:v>LVA</x:v>
      </x:c>
      <x:c r="F228" s="20" t="str">
        <x:v>428</x:v>
      </x:c>
      <x:c r="G228" s="20" t="str">
        <x:v>Europe</x:v>
      </x:c>
      <x:c r="H228" s="20" t="str">
        <x:v>Northern Europe</x:v>
      </x:c>
      <x:c r="I228" s="20" t="str">
        <x:v>United States</x:v>
      </x:c>
      <x:c r="J228" s="20" t="str">
        <x:v>American influence</x:v>
      </x:c>
      <x:c r="K228" s="384" t="n">
        <x:v>4</x:v>
      </x:c>
      <x:c r="L228" s="396" t="n">
        <x:v>3</x:v>
      </x:c>
      <x:c r="M228" s="397" t="str">
        <x:v>https://www.usagm.gov/our-work/strategy-and-results/strategic-priorities/research-reports/</x:v>
      </x:c>
      <x:c r="N228" s="384" t="n">
        <x:v>3</x:v>
      </x:c>
      <x:c r="O228" s="396" t="n">
        <x:v>3</x:v>
      </x:c>
      <x:c r="P228" s="397" t="str">
        <x:v>https://internationalpolicy.org/programs/sam/</x:v>
      </x:c>
      <x:c r="Q228" s="384" t="n">
        <x:v>1</x:v>
      </x:c>
      <x:c r="R228" s="396" t="n">
        <x:v>2</x:v>
      </x:c>
      <x:c r="S228" s="397" t="str">
        <x:v>https://www.ned.org/ned-grantmaking/</x:v>
      </x:c>
      <x:c r="T228" s="384" t="n">
        <x:v>6</x:v>
      </x:c>
      <x:c r="U228" s="396" t="n">
        <x:v>4</x:v>
      </x:c>
      <x:c r="V228" s="397" t="str">
        <x:v>https://internationalpolicy.org/programs/sam/</x:v>
      </x:c>
      <x:c r="W228" s="385" t="n">
        <x:f>(--(M228&lt;&gt;"")+--(P228&lt;&gt;"")+--(S228&lt;&gt;"")+--(V228&lt;&gt;""))/4</x:f>
        <x:v>1</x:v>
      </x:c>
      <x:c r="X228" s="384" t="n">
        <x:f>IF(COUNT(K228,N228,Q228,T228)=0,"No data",(IF(ISNUMBER(K228),K228*Factor_Model!$B$4,0)+IF(ISNUMBER(N228),N228*Factor_Model!$B$5,0)+IF(ISNUMBER(Q228),Q228*Factor_Model!$B$6,0)+IF(ISNUMBER(T228),T228*Factor_Model!$B$7,0))/(IF(ISNUMBER(K228),Factor_Model!$B$4,0)+IF(ISNUMBER(N228),Factor_Model!$B$5,0)+IF(ISNUMBER(Q228),Factor_Model!$B$6,0)+IF(ISNUMBER(T228),Factor_Model!$B$7,0)))</x:f>
        <x:v>3.5</x:v>
      </x:c>
      <x:c r="Y228" s="20" t="str">
        <x:f>IF(W228=0,"No source",IF(W228&lt;1,"Partial source","Source-complete"))</x:f>
        <x:v>Source-complete</x:v>
      </x:c>
      <x:c r="Z228" s="20" t="str">
        <x:v>Automated screening pass: row uses a primary source URL by actor/subfactor; verify with country-specific evidence before final analytical use.</x:v>
      </x:c>
      <x:c r="AA228" s="20" t="str">
        <x:v>2026-05-20</x:v>
      </x:c>
      <x:c r="AB228" s="20" t="str">
        <x:v>GPT-5.5 Pro</x:v>
      </x:c>
    </x:row>
    <x:row r="229" ht="24" customHeight="1">
      <x:c r="A229" s="20" t="str">
        <x:v>LVA|European Union</x:v>
      </x:c>
      <x:c r="B229" s="20" t="str">
        <x:v>Latvia</x:v>
      </x:c>
      <x:c r="C229" s="20" t="str">
        <x:v>Republic of Latvia</x:v>
      </x:c>
      <x:c r="D229" s="20" t="str">
        <x:v>LV</x:v>
      </x:c>
      <x:c r="E229" s="20" t="str">
        <x:v>LVA</x:v>
      </x:c>
      <x:c r="F229" s="20" t="str">
        <x:v>428</x:v>
      </x:c>
      <x:c r="G229" s="20" t="str">
        <x:v>Europe</x:v>
      </x:c>
      <x:c r="H229" s="20" t="str">
        <x:v>Northern Europe</x:v>
      </x:c>
      <x:c r="I229" s="20" t="str">
        <x:v>European Union</x:v>
      </x:c>
      <x:c r="J229" s="20" t="str">
        <x:v>EU influence</x:v>
      </x:c>
      <x:c r="K229" s="384" t="n">
        <x:v>9</x:v>
      </x:c>
      <x:c r="L229" s="396" t="n">
        <x:v>5</x:v>
      </x:c>
      <x:c r="M229" s="397" t="str">
        <x:v>https://www.eeas.europa.eu/eeas/public-diplomacy_en</x:v>
      </x:c>
      <x:c r="N229" s="384" t="n">
        <x:v>0</x:v>
      </x:c>
      <x:c r="O229" s="396" t="n">
        <x:v>1</x:v>
      </x:c>
      <x:c r="P229" s="397" t="str">
        <x:v>https://www.eeas.europa.eu/eeas/missions-and-operations_en</x:v>
      </x:c>
      <x:c r="Q229" s="384" t="n">
        <x:v>2</x:v>
      </x:c>
      <x:c r="R229" s="396" t="n">
        <x:v>2</x:v>
      </x:c>
      <x:c r="S229" s="397" t="str">
        <x:v>https://www.eeas.europa.eu/eeas/eu-election-observation-missions-1_en?page_lang=en</x:v>
      </x:c>
      <x:c r="T229" s="384" t="n">
        <x:v>5</x:v>
      </x:c>
      <x:c r="U229" s="396" t="n">
        <x:v>3</x:v>
      </x:c>
      <x:c r="V229" s="397" t="str">
        <x:v>https://www.eeas.europa.eu/eeas/missions-and-operations_en</x:v>
      </x:c>
      <x:c r="W229" s="385" t="n">
        <x:f>(--(M229&lt;&gt;"")+--(P229&lt;&gt;"")+--(S229&lt;&gt;"")+--(V229&lt;&gt;""))/4</x:f>
        <x:v>1</x:v>
      </x:c>
      <x:c r="X229" s="384" t="n">
        <x:f>IF(COUNT(K229,N229,Q229,T229)=0,"No data",(IF(ISNUMBER(K229),K229*Factor_Model!$B$4,0)+IF(ISNUMBER(N229),N229*Factor_Model!$B$5,0)+IF(ISNUMBER(Q229),Q229*Factor_Model!$B$6,0)+IF(ISNUMBER(T229),T229*Factor_Model!$B$7,0))/(IF(ISNUMBER(K229),Factor_Model!$B$4,0)+IF(ISNUMBER(N229),Factor_Model!$B$5,0)+IF(ISNUMBER(Q229),Factor_Model!$B$6,0)+IF(ISNUMBER(T229),Factor_Model!$B$7,0)))</x:f>
        <x:v>4</x:v>
      </x:c>
      <x:c r="Y229" s="20" t="str">
        <x:f>IF(W229=0,"No source",IF(W229&lt;1,"Partial source","Source-complete"))</x:f>
        <x:v>Source-complete</x:v>
      </x:c>
      <x:c r="Z229" s="20" t="str">
        <x:v>Automated screening pass: row uses a primary source URL by actor/subfactor; verify with country-specific evidence before final analytical use.</x:v>
      </x:c>
      <x:c r="AA229" s="20" t="str">
        <x:v>2026-05-20</x:v>
      </x:c>
      <x:c r="AB229" s="20" t="str">
        <x:v>GPT-5.5 Pro</x:v>
      </x:c>
    </x:row>
    <x:row r="230" ht="24" customHeight="1">
      <x:c r="A230" s="20" t="str">
        <x:v>LBN|Russia</x:v>
      </x:c>
      <x:c r="B230" s="20" t="str">
        <x:v>Lebanon</x:v>
      </x:c>
      <x:c r="C230" s="20" t="str">
        <x:v>Lebanese Republic</x:v>
      </x:c>
      <x:c r="D230" s="20" t="str">
        <x:v>LB</x:v>
      </x:c>
      <x:c r="E230" s="20" t="str">
        <x:v>LBN</x:v>
      </x:c>
      <x:c r="F230" s="20" t="str">
        <x:v>422</x:v>
      </x:c>
      <x:c r="G230" s="20" t="str">
        <x:v>Asia</x:v>
      </x:c>
      <x:c r="H230" s="20" t="str">
        <x:v>Western Asia</x:v>
      </x:c>
      <x:c r="I230" s="20" t="str">
        <x:v>Russia</x:v>
      </x:c>
      <x:c r="J230" s="20" t="str">
        <x:v>Russian influence</x:v>
      </x:c>
      <x:c r="K230" s="384" t="n">
        <x:v>2</x:v>
      </x:c>
      <x:c r="L230" s="396" t="n">
        <x:v>2</x:v>
      </x:c>
      <x:c r="M230" s="397" t="str">
        <x:v>https://www.eeas.europa.eu/eeas/4th-eeas-annual-report-foreign-information-manipulation-and-interference-threats_en</x:v>
      </x:c>
      <x:c r="N230" s="384" t="n">
        <x:v>0</x:v>
      </x:c>
      <x:c r="O230" s="396" t="n">
        <x:v>1</x:v>
      </x:c>
      <x:c r="P230" s="397" t="str">
        <x:v>https://www.consilium.europa.eu/en/press/press-releases/2023/02/25/wagner-group-council-adds-11-individuals-and-7-entities-to-eu-sanctions-lists/</x:v>
      </x:c>
      <x:c r="Q230" s="384" t="n">
        <x:v>0</x:v>
      </x:c>
      <x:c r="R230" s="396" t="n">
        <x:v>1</x:v>
      </x:c>
      <x:c r="S230" s="397" t="str">
        <x:v>https://www.dni.gov/files/ODNI/documents/assessments/ATA-2026-Unclassified-Report.pdf</x:v>
      </x:c>
      <x:c r="T230" s="384" t="n">
        <x:v>0</x:v>
      </x:c>
      <x:c r="U230" s="396" t="n">
        <x:v>1</x:v>
      </x:c>
      <x:c r="V230" s="397" t="str">
        <x:v>https://www.consilium.europa.eu/en/press/press-releases/2023/02/25/wagner-group-council-adds-11-individuals-and-7-entities-to-eu-sanctions-lists/</x:v>
      </x:c>
      <x:c r="W230" s="385" t="n">
        <x:f>(--(M230&lt;&gt;"")+--(P230&lt;&gt;"")+--(S230&lt;&gt;"")+--(V230&lt;&gt;""))/4</x:f>
        <x:v>1</x:v>
      </x:c>
      <x:c r="X230" s="384" t="n">
        <x:f>IF(COUNT(K230,N230,Q230,T230)=0,"No data",(IF(ISNUMBER(K230),K230*Factor_Model!$B$4,0)+IF(ISNUMBER(N230),N230*Factor_Model!$B$5,0)+IF(ISNUMBER(Q230),Q230*Factor_Model!$B$6,0)+IF(ISNUMBER(T230),T230*Factor_Model!$B$7,0))/(IF(ISNUMBER(K230),Factor_Model!$B$4,0)+IF(ISNUMBER(N230),Factor_Model!$B$5,0)+IF(ISNUMBER(Q230),Factor_Model!$B$6,0)+IF(ISNUMBER(T230),Factor_Model!$B$7,0)))</x:f>
        <x:v>0.5</x:v>
      </x:c>
      <x:c r="Y230" s="20" t="str">
        <x:f>IF(W230=0,"No source",IF(W230&lt;1,"Partial source","Source-complete"))</x:f>
        <x:v>Source-complete</x:v>
      </x:c>
      <x:c r="Z230" s="20" t="str">
        <x:v>Automated screening pass: row uses a primary source URL by actor/subfactor; verify with country-specific evidence before final analytical use.</x:v>
      </x:c>
      <x:c r="AA230" s="20" t="str">
        <x:v>2026-05-20</x:v>
      </x:c>
      <x:c r="AB230" s="20" t="str">
        <x:v>GPT-5.5 Pro</x:v>
      </x:c>
    </x:row>
    <x:row r="231" ht="24" customHeight="1">
      <x:c r="A231" s="20" t="str">
        <x:v>LBN|China</x:v>
      </x:c>
      <x:c r="B231" s="20" t="str">
        <x:v>Lebanon</x:v>
      </x:c>
      <x:c r="C231" s="20" t="str">
        <x:v>Lebanese Republic</x:v>
      </x:c>
      <x:c r="D231" s="20" t="str">
        <x:v>LB</x:v>
      </x:c>
      <x:c r="E231" s="20" t="str">
        <x:v>LBN</x:v>
      </x:c>
      <x:c r="F231" s="20" t="str">
        <x:v>422</x:v>
      </x:c>
      <x:c r="G231" s="20" t="str">
        <x:v>Asia</x:v>
      </x:c>
      <x:c r="H231" s="20" t="str">
        <x:v>Western Asia</x:v>
      </x:c>
      <x:c r="I231" s="20" t="str">
        <x:v>China</x:v>
      </x:c>
      <x:c r="J231" s="20" t="str">
        <x:v>Chinese influence</x:v>
      </x:c>
      <x:c r="K231" s="384" t="n">
        <x:v>3</x:v>
      </x:c>
      <x:c r="L231" s="396" t="n">
        <x:v>3</x:v>
      </x:c>
      <x:c r="M231" s="397" t="str">
        <x:v>https://www.eeas.europa.eu/eeas/4th-eeas-annual-report-foreign-information-manipulation-and-interference-threats_en</x:v>
      </x:c>
      <x:c r="N231" s="384" t="n">
        <x:v>0</x:v>
      </x:c>
      <x:c r="O231" s="396" t="n">
        <x:v>1</x:v>
      </x:c>
      <x:c r="P231" s="397" t="str">
        <x:v>https://merics.org/en/report/guardians-belt-and-road</x:v>
      </x:c>
      <x:c r="Q231" s="384" t="n">
        <x:v>1</x:v>
      </x:c>
      <x:c r="R231" s="396" t="n">
        <x:v>2</x:v>
      </x:c>
      <x:c r="S231" s="397" t="str">
        <x:v>https://www.eeas.europa.eu/eeas/4th-eeas-annual-report-foreign-information-manipulation-and-interference-threats_en</x:v>
      </x:c>
      <x:c r="T231" s="384" t="n">
        <x:v>1</x:v>
      </x:c>
      <x:c r="U231" s="396" t="n">
        <x:v>2</x:v>
      </x:c>
      <x:c r="V231" s="397" t="str">
        <x:v>https://merics.org/en/report/guardians-belt-and-road</x:v>
      </x:c>
      <x:c r="W231" s="385" t="n">
        <x:f>(--(M231&lt;&gt;"")+--(P231&lt;&gt;"")+--(S231&lt;&gt;"")+--(V231&lt;&gt;""))/4</x:f>
        <x:v>1</x:v>
      </x:c>
      <x:c r="X231" s="384" t="n">
        <x:f>IF(COUNT(K231,N231,Q231,T231)=0,"No data",(IF(ISNUMBER(K231),K231*Factor_Model!$B$4,0)+IF(ISNUMBER(N231),N231*Factor_Model!$B$5,0)+IF(ISNUMBER(Q231),Q231*Factor_Model!$B$6,0)+IF(ISNUMBER(T231),T231*Factor_Model!$B$7,0))/(IF(ISNUMBER(K231),Factor_Model!$B$4,0)+IF(ISNUMBER(N231),Factor_Model!$B$5,0)+IF(ISNUMBER(Q231),Factor_Model!$B$6,0)+IF(ISNUMBER(T231),Factor_Model!$B$7,0)))</x:f>
        <x:v>1.25</x:v>
      </x:c>
      <x:c r="Y231" s="20" t="str">
        <x:f>IF(W231=0,"No source",IF(W231&lt;1,"Partial source","Source-complete"))</x:f>
        <x:v>Source-complete</x:v>
      </x:c>
      <x:c r="Z231" s="20" t="str">
        <x:v>Automated screening pass: row uses a primary source URL by actor/subfactor; verify with country-specific evidence before final analytical use.</x:v>
      </x:c>
      <x:c r="AA231" s="20" t="str">
        <x:v>2026-05-20</x:v>
      </x:c>
      <x:c r="AB231" s="20" t="str">
        <x:v>GPT-5.5 Pro</x:v>
      </x:c>
    </x:row>
    <x:row r="232" ht="24" customHeight="1">
      <x:c r="A232" s="20" t="str">
        <x:v>LBN|United States</x:v>
      </x:c>
      <x:c r="B232" s="20" t="str">
        <x:v>Lebanon</x:v>
      </x:c>
      <x:c r="C232" s="20" t="str">
        <x:v>Lebanese Republic</x:v>
      </x:c>
      <x:c r="D232" s="20" t="str">
        <x:v>LB</x:v>
      </x:c>
      <x:c r="E232" s="20" t="str">
        <x:v>LBN</x:v>
      </x:c>
      <x:c r="F232" s="20" t="str">
        <x:v>422</x:v>
      </x:c>
      <x:c r="G232" s="20" t="str">
        <x:v>Asia</x:v>
      </x:c>
      <x:c r="H232" s="20" t="str">
        <x:v>Western Asia</x:v>
      </x:c>
      <x:c r="I232" s="20" t="str">
        <x:v>United States</x:v>
      </x:c>
      <x:c r="J232" s="20" t="str">
        <x:v>American influence</x:v>
      </x:c>
      <x:c r="K232" s="384" t="n">
        <x:v>5</x:v>
      </x:c>
      <x:c r="L232" s="396" t="n">
        <x:v>3</x:v>
      </x:c>
      <x:c r="M232" s="397" t="str">
        <x:v>https://www.usagm.gov/our-work/strategy-and-results/strategic-priorities/research-reports/</x:v>
      </x:c>
      <x:c r="N232" s="384" t="n">
        <x:v>1</x:v>
      </x:c>
      <x:c r="O232" s="396" t="n">
        <x:v>2</x:v>
      </x:c>
      <x:c r="P232" s="397" t="str">
        <x:v>https://internationalpolicy.org/programs/sam/</x:v>
      </x:c>
      <x:c r="Q232" s="384" t="n">
        <x:v>2</x:v>
      </x:c>
      <x:c r="R232" s="396" t="n">
        <x:v>2</x:v>
      </x:c>
      <x:c r="S232" s="397" t="str">
        <x:v>https://www.ned.org/ned-grantmaking/</x:v>
      </x:c>
      <x:c r="T232" s="384" t="n">
        <x:v>2</x:v>
      </x:c>
      <x:c r="U232" s="396" t="n">
        <x:v>2</x:v>
      </x:c>
      <x:c r="V232" s="397" t="str">
        <x:v>https://internationalpolicy.org/programs/sam/</x:v>
      </x:c>
      <x:c r="W232" s="385" t="n">
        <x:f>(--(M232&lt;&gt;"")+--(P232&lt;&gt;"")+--(S232&lt;&gt;"")+--(V232&lt;&gt;""))/4</x:f>
        <x:v>1</x:v>
      </x:c>
      <x:c r="X232" s="384" t="n">
        <x:f>IF(COUNT(K232,N232,Q232,T232)=0,"No data",(IF(ISNUMBER(K232),K232*Factor_Model!$B$4,0)+IF(ISNUMBER(N232),N232*Factor_Model!$B$5,0)+IF(ISNUMBER(Q232),Q232*Factor_Model!$B$6,0)+IF(ISNUMBER(T232),T232*Factor_Model!$B$7,0))/(IF(ISNUMBER(K232),Factor_Model!$B$4,0)+IF(ISNUMBER(N232),Factor_Model!$B$5,0)+IF(ISNUMBER(Q232),Factor_Model!$B$6,0)+IF(ISNUMBER(T232),Factor_Model!$B$7,0)))</x:f>
        <x:v>2.5</x:v>
      </x:c>
      <x:c r="Y232" s="20" t="str">
        <x:f>IF(W232=0,"No source",IF(W232&lt;1,"Partial source","Source-complete"))</x:f>
        <x:v>Source-complete</x:v>
      </x:c>
      <x:c r="Z232" s="20" t="str">
        <x:v>Automated screening pass: row uses a primary source URL by actor/subfactor; verify with country-specific evidence before final analytical use.</x:v>
      </x:c>
      <x:c r="AA232" s="20" t="str">
        <x:v>2026-05-20</x:v>
      </x:c>
      <x:c r="AB232" s="20" t="str">
        <x:v>GPT-5.5 Pro</x:v>
      </x:c>
    </x:row>
    <x:row r="233" ht="24" customHeight="1">
      <x:c r="A233" s="20" t="str">
        <x:v>LBN|European Union</x:v>
      </x:c>
      <x:c r="B233" s="20" t="str">
        <x:v>Lebanon</x:v>
      </x:c>
      <x:c r="C233" s="20" t="str">
        <x:v>Lebanese Republic</x:v>
      </x:c>
      <x:c r="D233" s="20" t="str">
        <x:v>LB</x:v>
      </x:c>
      <x:c r="E233" s="20" t="str">
        <x:v>LBN</x:v>
      </x:c>
      <x:c r="F233" s="20" t="str">
        <x:v>422</x:v>
      </x:c>
      <x:c r="G233" s="20" t="str">
        <x:v>Asia</x:v>
      </x:c>
      <x:c r="H233" s="20" t="str">
        <x:v>Western Asia</x:v>
      </x:c>
      <x:c r="I233" s="20" t="str">
        <x:v>European Union</x:v>
      </x:c>
      <x:c r="J233" s="20" t="str">
        <x:v>EU influence</x:v>
      </x:c>
      <x:c r="K233" s="384" t="n">
        <x:v>2</x:v>
      </x:c>
      <x:c r="L233" s="396" t="n">
        <x:v>2</x:v>
      </x:c>
      <x:c r="M233" s="397" t="str">
        <x:v>https://www.eeas.europa.eu/eeas/public-diplomacy_en</x:v>
      </x:c>
      <x:c r="N233" s="384" t="n">
        <x:v>0</x:v>
      </x:c>
      <x:c r="O233" s="396" t="n">
        <x:v>1</x:v>
      </x:c>
      <x:c r="P233" s="397" t="str">
        <x:v>https://www.eeas.europa.eu/eeas/missions-and-operations_en</x:v>
      </x:c>
      <x:c r="Q233" s="384" t="n">
        <x:v>1</x:v>
      </x:c>
      <x:c r="R233" s="396" t="n">
        <x:v>2</x:v>
      </x:c>
      <x:c r="S233" s="397" t="str">
        <x:v>https://www.eeas.europa.eu/eeas/eu-election-observation-missions-1_en?page_lang=en</x:v>
      </x:c>
      <x:c r="T233" s="384" t="n">
        <x:v>2</x:v>
      </x:c>
      <x:c r="U233" s="396" t="n">
        <x:v>2</x:v>
      </x:c>
      <x:c r="V233" s="397" t="str">
        <x:v>https://www.eeas.europa.eu/eeas/missions-and-operations_en</x:v>
      </x:c>
      <x:c r="W233" s="385" t="n">
        <x:f>(--(M233&lt;&gt;"")+--(P233&lt;&gt;"")+--(S233&lt;&gt;"")+--(V233&lt;&gt;""))/4</x:f>
        <x:v>1</x:v>
      </x:c>
      <x:c r="X233" s="384" t="n">
        <x:f>IF(COUNT(K233,N233,Q233,T233)=0,"No data",(IF(ISNUMBER(K233),K233*Factor_Model!$B$4,0)+IF(ISNUMBER(N233),N233*Factor_Model!$B$5,0)+IF(ISNUMBER(Q233),Q233*Factor_Model!$B$6,0)+IF(ISNUMBER(T233),T233*Factor_Model!$B$7,0))/(IF(ISNUMBER(K233),Factor_Model!$B$4,0)+IF(ISNUMBER(N233),Factor_Model!$B$5,0)+IF(ISNUMBER(Q233),Factor_Model!$B$6,0)+IF(ISNUMBER(T233),Factor_Model!$B$7,0)))</x:f>
        <x:v>1.25</x:v>
      </x:c>
      <x:c r="Y233" s="20" t="str">
        <x:f>IF(W233=0,"No source",IF(W233&lt;1,"Partial source","Source-complete"))</x:f>
        <x:v>Source-complete</x:v>
      </x:c>
      <x:c r="Z233" s="20" t="str">
        <x:v>Automated screening pass: row uses a primary source URL by actor/subfactor; verify with country-specific evidence before final analytical use.</x:v>
      </x:c>
      <x:c r="AA233" s="20" t="str">
        <x:v>2026-05-20</x:v>
      </x:c>
      <x:c r="AB233" s="20" t="str">
        <x:v>GPT-5.5 Pro</x:v>
      </x:c>
    </x:row>
    <x:row r="234" ht="24" customHeight="1">
      <x:c r="A234" s="20" t="str">
        <x:v>LBR|Russia</x:v>
      </x:c>
      <x:c r="B234" s="20" t="str">
        <x:v>Liberia</x:v>
      </x:c>
      <x:c r="C234" s="20" t="str">
        <x:v>Republic of Liberia</x:v>
      </x:c>
      <x:c r="D234" s="20" t="str">
        <x:v>LR</x:v>
      </x:c>
      <x:c r="E234" s="20" t="str">
        <x:v>LBR</x:v>
      </x:c>
      <x:c r="F234" s="20" t="str">
        <x:v>430</x:v>
      </x:c>
      <x:c r="G234" s="20" t="str">
        <x:v>Africa</x:v>
      </x:c>
      <x:c r="H234" s="20" t="str">
        <x:v>Western Africa</x:v>
      </x:c>
      <x:c r="I234" s="20" t="str">
        <x:v>Russia</x:v>
      </x:c>
      <x:c r="J234" s="20" t="str">
        <x:v>Russian influence</x:v>
      </x:c>
      <x:c r="K234" s="384" t="n">
        <x:v>4</x:v>
      </x:c>
      <x:c r="L234" s="396" t="n">
        <x:v>3</x:v>
      </x:c>
      <x:c r="M234" s="397" t="str">
        <x:v>https://www.eeas.europa.eu/eeas/4th-eeas-annual-report-foreign-information-manipulation-and-interference-threats_en</x:v>
      </x:c>
      <x:c r="N234" s="384" t="n">
        <x:v>1</x:v>
      </x:c>
      <x:c r="O234" s="396" t="n">
        <x:v>2</x:v>
      </x:c>
      <x:c r="P234" s="397" t="str">
        <x:v>https://www.consilium.europa.eu/en/press/press-releases/2023/02/25/wagner-group-council-adds-11-individuals-and-7-entities-to-eu-sanctions-lists/</x:v>
      </x:c>
      <x:c r="Q234" s="384" t="n">
        <x:v>1</x:v>
      </x:c>
      <x:c r="R234" s="396" t="n">
        <x:v>2</x:v>
      </x:c>
      <x:c r="S234" s="397" t="str">
        <x:v>https://www.dni.gov/files/ODNI/documents/assessments/ATA-2026-Unclassified-Report.pdf</x:v>
      </x:c>
      <x:c r="T234" s="384" t="n">
        <x:v>1</x:v>
      </x:c>
      <x:c r="U234" s="396" t="n">
        <x:v>2</x:v>
      </x:c>
      <x:c r="V234" s="397" t="str">
        <x:v>https://www.consilium.europa.eu/en/press/press-releases/2023/02/25/wagner-group-council-adds-11-individuals-and-7-entities-to-eu-sanctions-lists/</x:v>
      </x:c>
      <x:c r="W234" s="385" t="n">
        <x:f>(--(M234&lt;&gt;"")+--(P234&lt;&gt;"")+--(S234&lt;&gt;"")+--(V234&lt;&gt;""))/4</x:f>
        <x:v>1</x:v>
      </x:c>
      <x:c r="X234" s="384" t="n">
        <x:f>IF(COUNT(K234,N234,Q234,T234)=0,"No data",(IF(ISNUMBER(K234),K234*Factor_Model!$B$4,0)+IF(ISNUMBER(N234),N234*Factor_Model!$B$5,0)+IF(ISNUMBER(Q234),Q234*Factor_Model!$B$6,0)+IF(ISNUMBER(T234),T234*Factor_Model!$B$7,0))/(IF(ISNUMBER(K234),Factor_Model!$B$4,0)+IF(ISNUMBER(N234),Factor_Model!$B$5,0)+IF(ISNUMBER(Q234),Factor_Model!$B$6,0)+IF(ISNUMBER(T234),Factor_Model!$B$7,0)))</x:f>
        <x:v>1.75</x:v>
      </x:c>
      <x:c r="Y234" s="20" t="str">
        <x:f>IF(W234=0,"No source",IF(W234&lt;1,"Partial source","Source-complete"))</x:f>
        <x:v>Source-complete</x:v>
      </x:c>
      <x:c r="Z234" s="20" t="str">
        <x:v>Automated screening pass: row uses a primary source URL by actor/subfactor; verify with country-specific evidence before final analytical use.</x:v>
      </x:c>
      <x:c r="AA234" s="20" t="str">
        <x:v>2026-05-20</x:v>
      </x:c>
      <x:c r="AB234" s="20" t="str">
        <x:v>GPT-5.5 Pro</x:v>
      </x:c>
    </x:row>
    <x:row r="235" ht="24" customHeight="1">
      <x:c r="A235" s="20" t="str">
        <x:v>LBR|China</x:v>
      </x:c>
      <x:c r="B235" s="20" t="str">
        <x:v>Liberia</x:v>
      </x:c>
      <x:c r="C235" s="20" t="str">
        <x:v>Republic of Liberia</x:v>
      </x:c>
      <x:c r="D235" s="20" t="str">
        <x:v>LR</x:v>
      </x:c>
      <x:c r="E235" s="20" t="str">
        <x:v>LBR</x:v>
      </x:c>
      <x:c r="F235" s="20" t="str">
        <x:v>430</x:v>
      </x:c>
      <x:c r="G235" s="20" t="str">
        <x:v>Africa</x:v>
      </x:c>
      <x:c r="H235" s="20" t="str">
        <x:v>Western Africa</x:v>
      </x:c>
      <x:c r="I235" s="20" t="str">
        <x:v>China</x:v>
      </x:c>
      <x:c r="J235" s="20" t="str">
        <x:v>Chinese influence</x:v>
      </x:c>
      <x:c r="K235" s="384" t="n">
        <x:v>5</x:v>
      </x:c>
      <x:c r="L235" s="396" t="n">
        <x:v>3</x:v>
      </x:c>
      <x:c r="M235" s="397" t="str">
        <x:v>https://www.eeas.europa.eu/eeas/4th-eeas-annual-report-foreign-information-manipulation-and-interference-threats_en</x:v>
      </x:c>
      <x:c r="N235" s="384" t="n">
        <x:v>1</x:v>
      </x:c>
      <x:c r="O235" s="396" t="n">
        <x:v>2</x:v>
      </x:c>
      <x:c r="P235" s="397" t="str">
        <x:v>https://merics.org/en/report/guardians-belt-and-road</x:v>
      </x:c>
      <x:c r="Q235" s="384" t="n">
        <x:v>1</x:v>
      </x:c>
      <x:c r="R235" s="396" t="n">
        <x:v>2</x:v>
      </x:c>
      <x:c r="S235" s="397" t="str">
        <x:v>https://www.eeas.europa.eu/eeas/4th-eeas-annual-report-foreign-information-manipulation-and-interference-threats_en</x:v>
      </x:c>
      <x:c r="T235" s="384" t="n">
        <x:v>1</x:v>
      </x:c>
      <x:c r="U235" s="396" t="n">
        <x:v>2</x:v>
      </x:c>
      <x:c r="V235" s="397" t="str">
        <x:v>https://merics.org/en/report/guardians-belt-and-road</x:v>
      </x:c>
      <x:c r="W235" s="385" t="n">
        <x:f>(--(M235&lt;&gt;"")+--(P235&lt;&gt;"")+--(S235&lt;&gt;"")+--(V235&lt;&gt;""))/4</x:f>
        <x:v>1</x:v>
      </x:c>
      <x:c r="X235" s="384" t="n">
        <x:f>IF(COUNT(K235,N235,Q235,T235)=0,"No data",(IF(ISNUMBER(K235),K235*Factor_Model!$B$4,0)+IF(ISNUMBER(N235),N235*Factor_Model!$B$5,0)+IF(ISNUMBER(Q235),Q235*Factor_Model!$B$6,0)+IF(ISNUMBER(T235),T235*Factor_Model!$B$7,0))/(IF(ISNUMBER(K235),Factor_Model!$B$4,0)+IF(ISNUMBER(N235),Factor_Model!$B$5,0)+IF(ISNUMBER(Q235),Factor_Model!$B$6,0)+IF(ISNUMBER(T235),Factor_Model!$B$7,0)))</x:f>
        <x:v>2</x:v>
      </x:c>
      <x:c r="Y235" s="20" t="str">
        <x:f>IF(W235=0,"No source",IF(W235&lt;1,"Partial source","Source-complete"))</x:f>
        <x:v>Source-complete</x:v>
      </x:c>
      <x:c r="Z235" s="20" t="str">
        <x:v>Automated screening pass: row uses a primary source URL by actor/subfactor; verify with country-specific evidence before final analytical use.</x:v>
      </x:c>
      <x:c r="AA235" s="20" t="str">
        <x:v>2026-05-20</x:v>
      </x:c>
      <x:c r="AB235" s="20" t="str">
        <x:v>GPT-5.5 Pro</x:v>
      </x:c>
    </x:row>
    <x:row r="236" ht="24" customHeight="1">
      <x:c r="A236" s="20" t="str">
        <x:v>LBR|United States</x:v>
      </x:c>
      <x:c r="B236" s="20" t="str">
        <x:v>Liberia</x:v>
      </x:c>
      <x:c r="C236" s="20" t="str">
        <x:v>Republic of Liberia</x:v>
      </x:c>
      <x:c r="D236" s="20" t="str">
        <x:v>LR</x:v>
      </x:c>
      <x:c r="E236" s="20" t="str">
        <x:v>LBR</x:v>
      </x:c>
      <x:c r="F236" s="20" t="str">
        <x:v>430</x:v>
      </x:c>
      <x:c r="G236" s="20" t="str">
        <x:v>Africa</x:v>
      </x:c>
      <x:c r="H236" s="20" t="str">
        <x:v>Western Africa</x:v>
      </x:c>
      <x:c r="I236" s="20" t="str">
        <x:v>United States</x:v>
      </x:c>
      <x:c r="J236" s="20" t="str">
        <x:v>American influence</x:v>
      </x:c>
      <x:c r="K236" s="384" t="n">
        <x:v>4</x:v>
      </x:c>
      <x:c r="L236" s="396" t="n">
        <x:v>3</x:v>
      </x:c>
      <x:c r="M236" s="397" t="str">
        <x:v>https://www.usagm.gov/our-work/strategy-and-results/strategic-priorities/research-reports/</x:v>
      </x:c>
      <x:c r="N236" s="384" t="n">
        <x:v>2</x:v>
      </x:c>
      <x:c r="O236" s="396" t="n">
        <x:v>2</x:v>
      </x:c>
      <x:c r="P236" s="397" t="str">
        <x:v>https://internationalpolicy.org/programs/sam/</x:v>
      </x:c>
      <x:c r="Q236" s="384" t="n">
        <x:v>2</x:v>
      </x:c>
      <x:c r="R236" s="396" t="n">
        <x:v>2</x:v>
      </x:c>
      <x:c r="S236" s="397" t="str">
        <x:v>https://www.ned.org/ned-grantmaking/</x:v>
      </x:c>
      <x:c r="T236" s="384" t="n">
        <x:v>3</x:v>
      </x:c>
      <x:c r="U236" s="396" t="n">
        <x:v>3</x:v>
      </x:c>
      <x:c r="V236" s="397" t="str">
        <x:v>https://internationalpolicy.org/programs/sam/</x:v>
      </x:c>
      <x:c r="W236" s="385" t="n">
        <x:f>(--(M236&lt;&gt;"")+--(P236&lt;&gt;"")+--(S236&lt;&gt;"")+--(V236&lt;&gt;""))/4</x:f>
        <x:v>1</x:v>
      </x:c>
      <x:c r="X236" s="384" t="n">
        <x:f>IF(COUNT(K236,N236,Q236,T236)=0,"No data",(IF(ISNUMBER(K236),K236*Factor_Model!$B$4,0)+IF(ISNUMBER(N236),N236*Factor_Model!$B$5,0)+IF(ISNUMBER(Q236),Q236*Factor_Model!$B$6,0)+IF(ISNUMBER(T236),T236*Factor_Model!$B$7,0))/(IF(ISNUMBER(K236),Factor_Model!$B$4,0)+IF(ISNUMBER(N236),Factor_Model!$B$5,0)+IF(ISNUMBER(Q236),Factor_Model!$B$6,0)+IF(ISNUMBER(T236),Factor_Model!$B$7,0)))</x:f>
        <x:v>2.75</x:v>
      </x:c>
      <x:c r="Y236" s="20" t="str">
        <x:f>IF(W236=0,"No source",IF(W236&lt;1,"Partial source","Source-complete"))</x:f>
        <x:v>Source-complete</x:v>
      </x:c>
      <x:c r="Z236" s="20" t="str">
        <x:v>Automated screening pass: row uses a primary source URL by actor/subfactor; verify with country-specific evidence before final analytical use.</x:v>
      </x:c>
      <x:c r="AA236" s="20" t="str">
        <x:v>2026-05-20</x:v>
      </x:c>
      <x:c r="AB236" s="20" t="str">
        <x:v>GPT-5.5 Pro</x:v>
      </x:c>
    </x:row>
    <x:row r="237" ht="24" customHeight="1">
      <x:c r="A237" s="20" t="str">
        <x:v>LBR|European Union</x:v>
      </x:c>
      <x:c r="B237" s="20" t="str">
        <x:v>Liberia</x:v>
      </x:c>
      <x:c r="C237" s="20" t="str">
        <x:v>Republic of Liberia</x:v>
      </x:c>
      <x:c r="D237" s="20" t="str">
        <x:v>LR</x:v>
      </x:c>
      <x:c r="E237" s="20" t="str">
        <x:v>LBR</x:v>
      </x:c>
      <x:c r="F237" s="20" t="str">
        <x:v>430</x:v>
      </x:c>
      <x:c r="G237" s="20" t="str">
        <x:v>Africa</x:v>
      </x:c>
      <x:c r="H237" s="20" t="str">
        <x:v>Western Africa</x:v>
      </x:c>
      <x:c r="I237" s="20" t="str">
        <x:v>European Union</x:v>
      </x:c>
      <x:c r="J237" s="20" t="str">
        <x:v>EU influence</x:v>
      </x:c>
      <x:c r="K237" s="384" t="n">
        <x:v>3</x:v>
      </x:c>
      <x:c r="L237" s="396" t="n">
        <x:v>3</x:v>
      </x:c>
      <x:c r="M237" s="397" t="str">
        <x:v>https://www.eeas.europa.eu/eeas/public-diplomacy_en</x:v>
      </x:c>
      <x:c r="N237" s="384" t="n">
        <x:v>0</x:v>
      </x:c>
      <x:c r="O237" s="396" t="n">
        <x:v>1</x:v>
      </x:c>
      <x:c r="P237" s="397" t="str">
        <x:v>https://www.eeas.europa.eu/eeas/missions-and-operations_en</x:v>
      </x:c>
      <x:c r="Q237" s="384" t="n">
        <x:v>1</x:v>
      </x:c>
      <x:c r="R237" s="396" t="n">
        <x:v>2</x:v>
      </x:c>
      <x:c r="S237" s="397" t="str">
        <x:v>https://www.eeas.europa.eu/eeas/eu-election-observation-missions-1_en?page_lang=en</x:v>
      </x:c>
      <x:c r="T237" s="384" t="n">
        <x:v>2</x:v>
      </x:c>
      <x:c r="U237" s="396" t="n">
        <x:v>2</x:v>
      </x:c>
      <x:c r="V237" s="397" t="str">
        <x:v>https://www.eeas.europa.eu/eeas/missions-and-operations_en</x:v>
      </x:c>
      <x:c r="W237" s="385" t="n">
        <x:f>(--(M237&lt;&gt;"")+--(P237&lt;&gt;"")+--(S237&lt;&gt;"")+--(V237&lt;&gt;""))/4</x:f>
        <x:v>1</x:v>
      </x:c>
      <x:c r="X237" s="384" t="n">
        <x:f>IF(COUNT(K237,N237,Q237,T237)=0,"No data",(IF(ISNUMBER(K237),K237*Factor_Model!$B$4,0)+IF(ISNUMBER(N237),N237*Factor_Model!$B$5,0)+IF(ISNUMBER(Q237),Q237*Factor_Model!$B$6,0)+IF(ISNUMBER(T237),T237*Factor_Model!$B$7,0))/(IF(ISNUMBER(K237),Factor_Model!$B$4,0)+IF(ISNUMBER(N237),Factor_Model!$B$5,0)+IF(ISNUMBER(Q237),Factor_Model!$B$6,0)+IF(ISNUMBER(T237),Factor_Model!$B$7,0)))</x:f>
        <x:v>1.5</x:v>
      </x:c>
      <x:c r="Y237" s="20" t="str">
        <x:f>IF(W237=0,"No source",IF(W237&lt;1,"Partial source","Source-complete"))</x:f>
        <x:v>Source-complete</x:v>
      </x:c>
      <x:c r="Z237" s="20" t="str">
        <x:v>Automated screening pass: row uses a primary source URL by actor/subfactor; verify with country-specific evidence before final analytical use.</x:v>
      </x:c>
      <x:c r="AA237" s="20" t="str">
        <x:v>2026-05-20</x:v>
      </x:c>
      <x:c r="AB237" s="20" t="str">
        <x:v>GPT-5.5 Pro</x:v>
      </x:c>
    </x:row>
    <x:row r="238" ht="24" customHeight="1">
      <x:c r="A238" s="20" t="str">
        <x:v>LBY|Russia</x:v>
      </x:c>
      <x:c r="B238" s="20" t="str">
        <x:v>Libya</x:v>
      </x:c>
      <x:c r="C238" s="20" t="str">
        <x:v>Libya</x:v>
      </x:c>
      <x:c r="D238" s="20" t="str">
        <x:v>LY</x:v>
      </x:c>
      <x:c r="E238" s="20" t="str">
        <x:v>LBY</x:v>
      </x:c>
      <x:c r="F238" s="20" t="str">
        <x:v>434</x:v>
      </x:c>
      <x:c r="G238" s="20" t="str">
        <x:v>Africa</x:v>
      </x:c>
      <x:c r="H238" s="20" t="str">
        <x:v>Northern Africa</x:v>
      </x:c>
      <x:c r="I238" s="20" t="str">
        <x:v>Russia</x:v>
      </x:c>
      <x:c r="J238" s="20" t="str">
        <x:v>Russian influence</x:v>
      </x:c>
      <x:c r="K238" s="384" t="n">
        <x:v>7</x:v>
      </x:c>
      <x:c r="L238" s="396" t="n">
        <x:v>4</x:v>
      </x:c>
      <x:c r="M238" s="397" t="str">
        <x:v>https://www.eeas.europa.eu/eeas/4th-eeas-annual-report-foreign-information-manipulation-and-interference-threats_en</x:v>
      </x:c>
      <x:c r="N238" s="384" t="n">
        <x:v>8</x:v>
      </x:c>
      <x:c r="O238" s="396" t="n">
        <x:v>4</x:v>
      </x:c>
      <x:c r="P238" s="397" t="str">
        <x:v>https://www.consilium.europa.eu/en/press/press-releases/2023/02/25/wagner-group-council-adds-11-individuals-and-7-entities-to-eu-sanctions-lists/</x:v>
      </x:c>
      <x:c r="Q238" s="384" t="n">
        <x:v>3</x:v>
      </x:c>
      <x:c r="R238" s="396" t="n">
        <x:v>3</x:v>
      </x:c>
      <x:c r="S238" s="397" t="str">
        <x:v>https://www.dni.gov/files/ODNI/documents/assessments/ATA-2026-Unclassified-Report.pdf</x:v>
      </x:c>
      <x:c r="T238" s="384" t="n">
        <x:v>7</x:v>
      </x:c>
      <x:c r="U238" s="396" t="n">
        <x:v>4</x:v>
      </x:c>
      <x:c r="V238" s="397" t="str">
        <x:v>https://www.consilium.europa.eu/en/press/press-releases/2023/02/25/wagner-group-council-adds-11-individuals-and-7-entities-to-eu-sanctions-lists/</x:v>
      </x:c>
      <x:c r="W238" s="385" t="n">
        <x:f>(--(M238&lt;&gt;"")+--(P238&lt;&gt;"")+--(S238&lt;&gt;"")+--(V238&lt;&gt;""))/4</x:f>
        <x:v>1</x:v>
      </x:c>
      <x:c r="X238" s="384" t="n">
        <x:f>IF(COUNT(K238,N238,Q238,T238)=0,"No data",(IF(ISNUMBER(K238),K238*Factor_Model!$B$4,0)+IF(ISNUMBER(N238),N238*Factor_Model!$B$5,0)+IF(ISNUMBER(Q238),Q238*Factor_Model!$B$6,0)+IF(ISNUMBER(T238),T238*Factor_Model!$B$7,0))/(IF(ISNUMBER(K238),Factor_Model!$B$4,0)+IF(ISNUMBER(N238),Factor_Model!$B$5,0)+IF(ISNUMBER(Q238),Factor_Model!$B$6,0)+IF(ISNUMBER(T238),Factor_Model!$B$7,0)))</x:f>
        <x:v>6.25</x:v>
      </x:c>
      <x:c r="Y238" s="20" t="str">
        <x:f>IF(W238=0,"No source",IF(W238&lt;1,"Partial source","Source-complete"))</x:f>
        <x:v>Source-complete</x:v>
      </x:c>
      <x:c r="Z238" s="20" t="str">
        <x:v>Automated screening pass: row uses a primary source URL by actor/subfactor; verify with country-specific evidence before final analytical use.</x:v>
      </x:c>
      <x:c r="AA238" s="20" t="str">
        <x:v>2026-05-20</x:v>
      </x:c>
      <x:c r="AB238" s="20" t="str">
        <x:v>GPT-5.5 Pro</x:v>
      </x:c>
    </x:row>
    <x:row r="239" ht="24" customHeight="1">
      <x:c r="A239" s="20" t="str">
        <x:v>LBY|China</x:v>
      </x:c>
      <x:c r="B239" s="20" t="str">
        <x:v>Libya</x:v>
      </x:c>
      <x:c r="C239" s="20" t="str">
        <x:v>Libya</x:v>
      </x:c>
      <x:c r="D239" s="20" t="str">
        <x:v>LY</x:v>
      </x:c>
      <x:c r="E239" s="20" t="str">
        <x:v>LBY</x:v>
      </x:c>
      <x:c r="F239" s="20" t="str">
        <x:v>434</x:v>
      </x:c>
      <x:c r="G239" s="20" t="str">
        <x:v>Africa</x:v>
      </x:c>
      <x:c r="H239" s="20" t="str">
        <x:v>Northern Africa</x:v>
      </x:c>
      <x:c r="I239" s="20" t="str">
        <x:v>China</x:v>
      </x:c>
      <x:c r="J239" s="20" t="str">
        <x:v>Chinese influence</x:v>
      </x:c>
      <x:c r="K239" s="384" t="n">
        <x:v>5</x:v>
      </x:c>
      <x:c r="L239" s="396" t="n">
        <x:v>3</x:v>
      </x:c>
      <x:c r="M239" s="397" t="str">
        <x:v>https://www.eeas.europa.eu/eeas/4th-eeas-annual-report-foreign-information-manipulation-and-interference-threats_en</x:v>
      </x:c>
      <x:c r="N239" s="384" t="n">
        <x:v>1</x:v>
      </x:c>
      <x:c r="O239" s="396" t="n">
        <x:v>2</x:v>
      </x:c>
      <x:c r="P239" s="397" t="str">
        <x:v>https://merics.org/en/report/guardians-belt-and-road</x:v>
      </x:c>
      <x:c r="Q239" s="384" t="n">
        <x:v>1</x:v>
      </x:c>
      <x:c r="R239" s="396" t="n">
        <x:v>2</x:v>
      </x:c>
      <x:c r="S239" s="397" t="str">
        <x:v>https://www.eeas.europa.eu/eeas/4th-eeas-annual-report-foreign-information-manipulation-and-interference-threats_en</x:v>
      </x:c>
      <x:c r="T239" s="384" t="n">
        <x:v>1</x:v>
      </x:c>
      <x:c r="U239" s="396" t="n">
        <x:v>2</x:v>
      </x:c>
      <x:c r="V239" s="397" t="str">
        <x:v>https://merics.org/en/report/guardians-belt-and-road</x:v>
      </x:c>
      <x:c r="W239" s="385" t="n">
        <x:f>(--(M239&lt;&gt;"")+--(P239&lt;&gt;"")+--(S239&lt;&gt;"")+--(V239&lt;&gt;""))/4</x:f>
        <x:v>1</x:v>
      </x:c>
      <x:c r="X239" s="384" t="n">
        <x:f>IF(COUNT(K239,N239,Q239,T239)=0,"No data",(IF(ISNUMBER(K239),K239*Factor_Model!$B$4,0)+IF(ISNUMBER(N239),N239*Factor_Model!$B$5,0)+IF(ISNUMBER(Q239),Q239*Factor_Model!$B$6,0)+IF(ISNUMBER(T239),T239*Factor_Model!$B$7,0))/(IF(ISNUMBER(K239),Factor_Model!$B$4,0)+IF(ISNUMBER(N239),Factor_Model!$B$5,0)+IF(ISNUMBER(Q239),Factor_Model!$B$6,0)+IF(ISNUMBER(T239),Factor_Model!$B$7,0)))</x:f>
        <x:v>2</x:v>
      </x:c>
      <x:c r="Y239" s="20" t="str">
        <x:f>IF(W239=0,"No source",IF(W239&lt;1,"Partial source","Source-complete"))</x:f>
        <x:v>Source-complete</x:v>
      </x:c>
      <x:c r="Z239" s="20" t="str">
        <x:v>Automated screening pass: row uses a primary source URL by actor/subfactor; verify with country-specific evidence before final analytical use.</x:v>
      </x:c>
      <x:c r="AA239" s="20" t="str">
        <x:v>2026-05-20</x:v>
      </x:c>
      <x:c r="AB239" s="20" t="str">
        <x:v>GPT-5.5 Pro</x:v>
      </x:c>
    </x:row>
    <x:row r="240" ht="24" customHeight="1">
      <x:c r="A240" s="20" t="str">
        <x:v>LBY|United States</x:v>
      </x:c>
      <x:c r="B240" s="20" t="str">
        <x:v>Libya</x:v>
      </x:c>
      <x:c r="C240" s="20" t="str">
        <x:v>Libya</x:v>
      </x:c>
      <x:c r="D240" s="20" t="str">
        <x:v>LY</x:v>
      </x:c>
      <x:c r="E240" s="20" t="str">
        <x:v>LBY</x:v>
      </x:c>
      <x:c r="F240" s="20" t="str">
        <x:v>434</x:v>
      </x:c>
      <x:c r="G240" s="20" t="str">
        <x:v>Africa</x:v>
      </x:c>
      <x:c r="H240" s="20" t="str">
        <x:v>Northern Africa</x:v>
      </x:c>
      <x:c r="I240" s="20" t="str">
        <x:v>United States</x:v>
      </x:c>
      <x:c r="J240" s="20" t="str">
        <x:v>American influence</x:v>
      </x:c>
      <x:c r="K240" s="384" t="n">
        <x:v>4</x:v>
      </x:c>
      <x:c r="L240" s="396" t="n">
        <x:v>3</x:v>
      </x:c>
      <x:c r="M240" s="397" t="str">
        <x:v>https://www.usagm.gov/our-work/strategy-and-results/strategic-priorities/research-reports/</x:v>
      </x:c>
      <x:c r="N240" s="384" t="n">
        <x:v>2</x:v>
      </x:c>
      <x:c r="O240" s="396" t="n">
        <x:v>2</x:v>
      </x:c>
      <x:c r="P240" s="397" t="str">
        <x:v>https://internationalpolicy.org/programs/sam/</x:v>
      </x:c>
      <x:c r="Q240" s="384" t="n">
        <x:v>2</x:v>
      </x:c>
      <x:c r="R240" s="396" t="n">
        <x:v>2</x:v>
      </x:c>
      <x:c r="S240" s="397" t="str">
        <x:v>https://www.ned.org/ned-grantmaking/</x:v>
      </x:c>
      <x:c r="T240" s="384" t="n">
        <x:v>3</x:v>
      </x:c>
      <x:c r="U240" s="396" t="n">
        <x:v>3</x:v>
      </x:c>
      <x:c r="V240" s="397" t="str">
        <x:v>https://internationalpolicy.org/programs/sam/</x:v>
      </x:c>
      <x:c r="W240" s="385" t="n">
        <x:f>(--(M240&lt;&gt;"")+--(P240&lt;&gt;"")+--(S240&lt;&gt;"")+--(V240&lt;&gt;""))/4</x:f>
        <x:v>1</x:v>
      </x:c>
      <x:c r="X240" s="384" t="n">
        <x:f>IF(COUNT(K240,N240,Q240,T240)=0,"No data",(IF(ISNUMBER(K240),K240*Factor_Model!$B$4,0)+IF(ISNUMBER(N240),N240*Factor_Model!$B$5,0)+IF(ISNUMBER(Q240),Q240*Factor_Model!$B$6,0)+IF(ISNUMBER(T240),T240*Factor_Model!$B$7,0))/(IF(ISNUMBER(K240),Factor_Model!$B$4,0)+IF(ISNUMBER(N240),Factor_Model!$B$5,0)+IF(ISNUMBER(Q240),Factor_Model!$B$6,0)+IF(ISNUMBER(T240),Factor_Model!$B$7,0)))</x:f>
        <x:v>2.75</x:v>
      </x:c>
      <x:c r="Y240" s="20" t="str">
        <x:f>IF(W240=0,"No source",IF(W240&lt;1,"Partial source","Source-complete"))</x:f>
        <x:v>Source-complete</x:v>
      </x:c>
      <x:c r="Z240" s="20" t="str">
        <x:v>Automated screening pass: row uses a primary source URL by actor/subfactor; verify with country-specific evidence before final analytical use.</x:v>
      </x:c>
      <x:c r="AA240" s="20" t="str">
        <x:v>2026-05-20</x:v>
      </x:c>
      <x:c r="AB240" s="20" t="str">
        <x:v>GPT-5.5 Pro</x:v>
      </x:c>
    </x:row>
    <x:row r="241" ht="24" customHeight="1">
      <x:c r="A241" s="20" t="str">
        <x:v>LBY|European Union</x:v>
      </x:c>
      <x:c r="B241" s="20" t="str">
        <x:v>Libya</x:v>
      </x:c>
      <x:c r="C241" s="20" t="str">
        <x:v>Libya</x:v>
      </x:c>
      <x:c r="D241" s="20" t="str">
        <x:v>LY</x:v>
      </x:c>
      <x:c r="E241" s="20" t="str">
        <x:v>LBY</x:v>
      </x:c>
      <x:c r="F241" s="20" t="str">
        <x:v>434</x:v>
      </x:c>
      <x:c r="G241" s="20" t="str">
        <x:v>Africa</x:v>
      </x:c>
      <x:c r="H241" s="20" t="str">
        <x:v>Northern Africa</x:v>
      </x:c>
      <x:c r="I241" s="20" t="str">
        <x:v>European Union</x:v>
      </x:c>
      <x:c r="J241" s="20" t="str">
        <x:v>EU influence</x:v>
      </x:c>
      <x:c r="K241" s="384" t="n">
        <x:v>3</x:v>
      </x:c>
      <x:c r="L241" s="396" t="n">
        <x:v>3</x:v>
      </x:c>
      <x:c r="M241" s="397" t="str">
        <x:v>https://www.eeas.europa.eu/eeas/public-diplomacy_en</x:v>
      </x:c>
      <x:c r="N241" s="384" t="n">
        <x:v>1</x:v>
      </x:c>
      <x:c r="O241" s="396" t="n">
        <x:v>2</x:v>
      </x:c>
      <x:c r="P241" s="397" t="str">
        <x:v>https://www.eeas.europa.eu/eeas/missions-and-operations_en</x:v>
      </x:c>
      <x:c r="Q241" s="384" t="n">
        <x:v>1</x:v>
      </x:c>
      <x:c r="R241" s="396" t="n">
        <x:v>2</x:v>
      </x:c>
      <x:c r="S241" s="397" t="str">
        <x:v>https://www.eeas.europa.eu/eeas/eu-election-observation-missions-1_en?page_lang=en</x:v>
      </x:c>
      <x:c r="T241" s="384" t="n">
        <x:v>4</x:v>
      </x:c>
      <x:c r="U241" s="396" t="n">
        <x:v>3</x:v>
      </x:c>
      <x:c r="V241" s="397" t="str">
        <x:v>https://www.eeas.europa.eu/eeas/missions-and-operations_en</x:v>
      </x:c>
      <x:c r="W241" s="385" t="n">
        <x:f>(--(M241&lt;&gt;"")+--(P241&lt;&gt;"")+--(S241&lt;&gt;"")+--(V241&lt;&gt;""))/4</x:f>
        <x:v>1</x:v>
      </x:c>
      <x:c r="X241" s="384" t="n">
        <x:f>IF(COUNT(K241,N241,Q241,T241)=0,"No data",(IF(ISNUMBER(K241),K241*Factor_Model!$B$4,0)+IF(ISNUMBER(N241),N241*Factor_Model!$B$5,0)+IF(ISNUMBER(Q241),Q241*Factor_Model!$B$6,0)+IF(ISNUMBER(T241),T241*Factor_Model!$B$7,0))/(IF(ISNUMBER(K241),Factor_Model!$B$4,0)+IF(ISNUMBER(N241),Factor_Model!$B$5,0)+IF(ISNUMBER(Q241),Factor_Model!$B$6,0)+IF(ISNUMBER(T241),Factor_Model!$B$7,0)))</x:f>
        <x:v>2.25</x:v>
      </x:c>
      <x:c r="Y241" s="20" t="str">
        <x:f>IF(W241=0,"No source",IF(W241&lt;1,"Partial source","Source-complete"))</x:f>
        <x:v>Source-complete</x:v>
      </x:c>
      <x:c r="Z241" s="20" t="str">
        <x:v>Automated screening pass: row uses a primary source URL by actor/subfactor; verify with country-specific evidence before final analytical use.</x:v>
      </x:c>
      <x:c r="AA241" s="20" t="str">
        <x:v>2026-05-20</x:v>
      </x:c>
      <x:c r="AB241" s="20" t="str">
        <x:v>GPT-5.5 Pro</x:v>
      </x:c>
    </x:row>
    <x:row r="242" ht="24" customHeight="1">
      <x:c r="A242" s="20" t="str">
        <x:v>LTU|Russia</x:v>
      </x:c>
      <x:c r="B242" s="20" t="str">
        <x:v>Lithuania</x:v>
      </x:c>
      <x:c r="C242" s="20" t="str">
        <x:v>Republic of Lithuania</x:v>
      </x:c>
      <x:c r="D242" s="20" t="str">
        <x:v>LT</x:v>
      </x:c>
      <x:c r="E242" s="20" t="str">
        <x:v>LTU</x:v>
      </x:c>
      <x:c r="F242" s="20" t="str">
        <x:v>440</x:v>
      </x:c>
      <x:c r="G242" s="20" t="str">
        <x:v>Europe</x:v>
      </x:c>
      <x:c r="H242" s="20" t="str">
        <x:v>Northern Europe</x:v>
      </x:c>
      <x:c r="I242" s="20" t="str">
        <x:v>Russia</x:v>
      </x:c>
      <x:c r="J242" s="20" t="str">
        <x:v>Russian influence</x:v>
      </x:c>
      <x:c r="K242" s="384" t="n">
        <x:v>7</x:v>
      </x:c>
      <x:c r="L242" s="396" t="n">
        <x:v>4</x:v>
      </x:c>
      <x:c r="M242" s="397" t="str">
        <x:v>https://www.eeas.europa.eu/eeas/4th-eeas-annual-report-foreign-information-manipulation-and-interference-threats_en</x:v>
      </x:c>
      <x:c r="N242" s="384" t="n">
        <x:v>0</x:v>
      </x:c>
      <x:c r="O242" s="396" t="n">
        <x:v>1</x:v>
      </x:c>
      <x:c r="P242" s="397" t="str">
        <x:v>https://www.consilium.europa.eu/en/press/press-releases/2023/02/25/wagner-group-council-adds-11-individuals-and-7-entities-to-eu-sanctions-lists/</x:v>
      </x:c>
      <x:c r="Q242" s="384" t="n">
        <x:v>6</x:v>
      </x:c>
      <x:c r="R242" s="396" t="n">
        <x:v>4</x:v>
      </x:c>
      <x:c r="S242" s="397" t="str">
        <x:v>https://www.dni.gov/files/ODNI/documents/assessments/ATA-2026-Unclassified-Report.pdf</x:v>
      </x:c>
      <x:c r="T242" s="384" t="n">
        <x:v>0</x:v>
      </x:c>
      <x:c r="U242" s="396" t="n">
        <x:v>1</x:v>
      </x:c>
      <x:c r="V242" s="397" t="str">
        <x:v>https://www.consilium.europa.eu/en/press/press-releases/2023/02/25/wagner-group-council-adds-11-individuals-and-7-entities-to-eu-sanctions-lists/</x:v>
      </x:c>
      <x:c r="W242" s="385" t="n">
        <x:f>(--(M242&lt;&gt;"")+--(P242&lt;&gt;"")+--(S242&lt;&gt;"")+--(V242&lt;&gt;""))/4</x:f>
        <x:v>1</x:v>
      </x:c>
      <x:c r="X242" s="384" t="n">
        <x:f>IF(COUNT(K242,N242,Q242,T242)=0,"No data",(IF(ISNUMBER(K242),K242*Factor_Model!$B$4,0)+IF(ISNUMBER(N242),N242*Factor_Model!$B$5,0)+IF(ISNUMBER(Q242),Q242*Factor_Model!$B$6,0)+IF(ISNUMBER(T242),T242*Factor_Model!$B$7,0))/(IF(ISNUMBER(K242),Factor_Model!$B$4,0)+IF(ISNUMBER(N242),Factor_Model!$B$5,0)+IF(ISNUMBER(Q242),Factor_Model!$B$6,0)+IF(ISNUMBER(T242),Factor_Model!$B$7,0)))</x:f>
        <x:v>3.25</x:v>
      </x:c>
      <x:c r="Y242" s="20" t="str">
        <x:f>IF(W242=0,"No source",IF(W242&lt;1,"Partial source","Source-complete"))</x:f>
        <x:v>Source-complete</x:v>
      </x:c>
      <x:c r="Z242" s="20" t="str">
        <x:v>Automated screening pass: row uses a primary source URL by actor/subfactor; verify with country-specific evidence before final analytical use.</x:v>
      </x:c>
      <x:c r="AA242" s="20" t="str">
        <x:v>2026-05-20</x:v>
      </x:c>
      <x:c r="AB242" s="20" t="str">
        <x:v>GPT-5.5 Pro</x:v>
      </x:c>
    </x:row>
    <x:row r="243" ht="24" customHeight="1">
      <x:c r="A243" s="20" t="str">
        <x:v>LTU|China</x:v>
      </x:c>
      <x:c r="B243" s="20" t="str">
        <x:v>Lithuania</x:v>
      </x:c>
      <x:c r="C243" s="20" t="str">
        <x:v>Republic of Lithuania</x:v>
      </x:c>
      <x:c r="D243" s="20" t="str">
        <x:v>LT</x:v>
      </x:c>
      <x:c r="E243" s="20" t="str">
        <x:v>LTU</x:v>
      </x:c>
      <x:c r="F243" s="20" t="str">
        <x:v>440</x:v>
      </x:c>
      <x:c r="G243" s="20" t="str">
        <x:v>Europe</x:v>
      </x:c>
      <x:c r="H243" s="20" t="str">
        <x:v>Northern Europe</x:v>
      </x:c>
      <x:c r="I243" s="20" t="str">
        <x:v>China</x:v>
      </x:c>
      <x:c r="J243" s="20" t="str">
        <x:v>Chinese influence</x:v>
      </x:c>
      <x:c r="K243" s="384" t="n">
        <x:v>4</x:v>
      </x:c>
      <x:c r="L243" s="396" t="n">
        <x:v>3</x:v>
      </x:c>
      <x:c r="M243" s="397" t="str">
        <x:v>https://www.eeas.europa.eu/eeas/4th-eeas-annual-report-foreign-information-manipulation-and-interference-threats_en</x:v>
      </x:c>
      <x:c r="N243" s="384" t="n">
        <x:v>0</x:v>
      </x:c>
      <x:c r="O243" s="396" t="n">
        <x:v>1</x:v>
      </x:c>
      <x:c r="P243" s="397" t="str">
        <x:v>https://merics.org/en/report/guardians-belt-and-road</x:v>
      </x:c>
      <x:c r="Q243" s="384" t="n">
        <x:v>2</x:v>
      </x:c>
      <x:c r="R243" s="396" t="n">
        <x:v>2</x:v>
      </x:c>
      <x:c r="S243" s="397" t="str">
        <x:v>https://www.eeas.europa.eu/eeas/4th-eeas-annual-report-foreign-information-manipulation-and-interference-threats_en</x:v>
      </x:c>
      <x:c r="T243" s="384" t="n">
        <x:v>0</x:v>
      </x:c>
      <x:c r="U243" s="396" t="n">
        <x:v>1</x:v>
      </x:c>
      <x:c r="V243" s="397" t="str">
        <x:v>https://merics.org/en/report/guardians-belt-and-road</x:v>
      </x:c>
      <x:c r="W243" s="385" t="n">
        <x:f>(--(M243&lt;&gt;"")+--(P243&lt;&gt;"")+--(S243&lt;&gt;"")+--(V243&lt;&gt;""))/4</x:f>
        <x:v>1</x:v>
      </x:c>
      <x:c r="X243" s="384" t="n">
        <x:f>IF(COUNT(K243,N243,Q243,T243)=0,"No data",(IF(ISNUMBER(K243),K243*Factor_Model!$B$4,0)+IF(ISNUMBER(N243),N243*Factor_Model!$B$5,0)+IF(ISNUMBER(Q243),Q243*Factor_Model!$B$6,0)+IF(ISNUMBER(T243),T243*Factor_Model!$B$7,0))/(IF(ISNUMBER(K243),Factor_Model!$B$4,0)+IF(ISNUMBER(N243),Factor_Model!$B$5,0)+IF(ISNUMBER(Q243),Factor_Model!$B$6,0)+IF(ISNUMBER(T243),Factor_Model!$B$7,0)))</x:f>
        <x:v>1.5</x:v>
      </x:c>
      <x:c r="Y243" s="20" t="str">
        <x:f>IF(W243=0,"No source",IF(W243&lt;1,"Partial source","Source-complete"))</x:f>
        <x:v>Source-complete</x:v>
      </x:c>
      <x:c r="Z243" s="20" t="str">
        <x:v>Automated screening pass: row uses a primary source URL by actor/subfactor; verify with country-specific evidence before final analytical use.</x:v>
      </x:c>
      <x:c r="AA243" s="20" t="str">
        <x:v>2026-05-20</x:v>
      </x:c>
      <x:c r="AB243" s="20" t="str">
        <x:v>GPT-5.5 Pro</x:v>
      </x:c>
    </x:row>
    <x:row r="244" ht="24" customHeight="1">
      <x:c r="A244" s="20" t="str">
        <x:v>LTU|United States</x:v>
      </x:c>
      <x:c r="B244" s="20" t="str">
        <x:v>Lithuania</x:v>
      </x:c>
      <x:c r="C244" s="20" t="str">
        <x:v>Republic of Lithuania</x:v>
      </x:c>
      <x:c r="D244" s="20" t="str">
        <x:v>LT</x:v>
      </x:c>
      <x:c r="E244" s="20" t="str">
        <x:v>LTU</x:v>
      </x:c>
      <x:c r="F244" s="20" t="str">
        <x:v>440</x:v>
      </x:c>
      <x:c r="G244" s="20" t="str">
        <x:v>Europe</x:v>
      </x:c>
      <x:c r="H244" s="20" t="str">
        <x:v>Northern Europe</x:v>
      </x:c>
      <x:c r="I244" s="20" t="str">
        <x:v>United States</x:v>
      </x:c>
      <x:c r="J244" s="20" t="str">
        <x:v>American influence</x:v>
      </x:c>
      <x:c r="K244" s="384" t="n">
        <x:v>4</x:v>
      </x:c>
      <x:c r="L244" s="396" t="n">
        <x:v>3</x:v>
      </x:c>
      <x:c r="M244" s="397" t="str">
        <x:v>https://www.usagm.gov/our-work/strategy-and-results/strategic-priorities/research-reports/</x:v>
      </x:c>
      <x:c r="N244" s="384" t="n">
        <x:v>3</x:v>
      </x:c>
      <x:c r="O244" s="396" t="n">
        <x:v>3</x:v>
      </x:c>
      <x:c r="P244" s="397" t="str">
        <x:v>https://internationalpolicy.org/programs/sam/</x:v>
      </x:c>
      <x:c r="Q244" s="384" t="n">
        <x:v>1</x:v>
      </x:c>
      <x:c r="R244" s="396" t="n">
        <x:v>2</x:v>
      </x:c>
      <x:c r="S244" s="397" t="str">
        <x:v>https://www.ned.org/ned-grantmaking/</x:v>
      </x:c>
      <x:c r="T244" s="384" t="n">
        <x:v>6</x:v>
      </x:c>
      <x:c r="U244" s="396" t="n">
        <x:v>4</x:v>
      </x:c>
      <x:c r="V244" s="397" t="str">
        <x:v>https://internationalpolicy.org/programs/sam/</x:v>
      </x:c>
      <x:c r="W244" s="385" t="n">
        <x:f>(--(M244&lt;&gt;"")+--(P244&lt;&gt;"")+--(S244&lt;&gt;"")+--(V244&lt;&gt;""))/4</x:f>
        <x:v>1</x:v>
      </x:c>
      <x:c r="X244" s="384" t="n">
        <x:f>IF(COUNT(K244,N244,Q244,T244)=0,"No data",(IF(ISNUMBER(K244),K244*Factor_Model!$B$4,0)+IF(ISNUMBER(N244),N244*Factor_Model!$B$5,0)+IF(ISNUMBER(Q244),Q244*Factor_Model!$B$6,0)+IF(ISNUMBER(T244),T244*Factor_Model!$B$7,0))/(IF(ISNUMBER(K244),Factor_Model!$B$4,0)+IF(ISNUMBER(N244),Factor_Model!$B$5,0)+IF(ISNUMBER(Q244),Factor_Model!$B$6,0)+IF(ISNUMBER(T244),Factor_Model!$B$7,0)))</x:f>
        <x:v>3.5</x:v>
      </x:c>
      <x:c r="Y244" s="20" t="str">
        <x:f>IF(W244=0,"No source",IF(W244&lt;1,"Partial source","Source-complete"))</x:f>
        <x:v>Source-complete</x:v>
      </x:c>
      <x:c r="Z244" s="20" t="str">
        <x:v>Automated screening pass: row uses a primary source URL by actor/subfactor; verify with country-specific evidence before final analytical use.</x:v>
      </x:c>
      <x:c r="AA244" s="20" t="str">
        <x:v>2026-05-20</x:v>
      </x:c>
      <x:c r="AB244" s="20" t="str">
        <x:v>GPT-5.5 Pro</x:v>
      </x:c>
    </x:row>
    <x:row r="245" ht="24" customHeight="1">
      <x:c r="A245" s="20" t="str">
        <x:v>LTU|European Union</x:v>
      </x:c>
      <x:c r="B245" s="20" t="str">
        <x:v>Lithuania</x:v>
      </x:c>
      <x:c r="C245" s="20" t="str">
        <x:v>Republic of Lithuania</x:v>
      </x:c>
      <x:c r="D245" s="20" t="str">
        <x:v>LT</x:v>
      </x:c>
      <x:c r="E245" s="20" t="str">
        <x:v>LTU</x:v>
      </x:c>
      <x:c r="F245" s="20" t="str">
        <x:v>440</x:v>
      </x:c>
      <x:c r="G245" s="20" t="str">
        <x:v>Europe</x:v>
      </x:c>
      <x:c r="H245" s="20" t="str">
        <x:v>Northern Europe</x:v>
      </x:c>
      <x:c r="I245" s="20" t="str">
        <x:v>European Union</x:v>
      </x:c>
      <x:c r="J245" s="20" t="str">
        <x:v>EU influence</x:v>
      </x:c>
      <x:c r="K245" s="384" t="n">
        <x:v>9</x:v>
      </x:c>
      <x:c r="L245" s="396" t="n">
        <x:v>5</x:v>
      </x:c>
      <x:c r="M245" s="397" t="str">
        <x:v>https://www.eeas.europa.eu/eeas/public-diplomacy_en</x:v>
      </x:c>
      <x:c r="N245" s="384" t="n">
        <x:v>0</x:v>
      </x:c>
      <x:c r="O245" s="396" t="n">
        <x:v>1</x:v>
      </x:c>
      <x:c r="P245" s="397" t="str">
        <x:v>https://www.eeas.europa.eu/eeas/missions-and-operations_en</x:v>
      </x:c>
      <x:c r="Q245" s="384" t="n">
        <x:v>2</x:v>
      </x:c>
      <x:c r="R245" s="396" t="n">
        <x:v>2</x:v>
      </x:c>
      <x:c r="S245" s="397" t="str">
        <x:v>https://www.eeas.europa.eu/eeas/eu-election-observation-missions-1_en?page_lang=en</x:v>
      </x:c>
      <x:c r="T245" s="384" t="n">
        <x:v>5</x:v>
      </x:c>
      <x:c r="U245" s="396" t="n">
        <x:v>3</x:v>
      </x:c>
      <x:c r="V245" s="397" t="str">
        <x:v>https://www.eeas.europa.eu/eeas/missions-and-operations_en</x:v>
      </x:c>
      <x:c r="W245" s="385" t="n">
        <x:f>(--(M245&lt;&gt;"")+--(P245&lt;&gt;"")+--(S245&lt;&gt;"")+--(V245&lt;&gt;""))/4</x:f>
        <x:v>1</x:v>
      </x:c>
      <x:c r="X245" s="384" t="n">
        <x:f>IF(COUNT(K245,N245,Q245,T245)=0,"No data",(IF(ISNUMBER(K245),K245*Factor_Model!$B$4,0)+IF(ISNUMBER(N245),N245*Factor_Model!$B$5,0)+IF(ISNUMBER(Q245),Q245*Factor_Model!$B$6,0)+IF(ISNUMBER(T245),T245*Factor_Model!$B$7,0))/(IF(ISNUMBER(K245),Factor_Model!$B$4,0)+IF(ISNUMBER(N245),Factor_Model!$B$5,0)+IF(ISNUMBER(Q245),Factor_Model!$B$6,0)+IF(ISNUMBER(T245),Factor_Model!$B$7,0)))</x:f>
        <x:v>4</x:v>
      </x:c>
      <x:c r="Y245" s="20" t="str">
        <x:f>IF(W245=0,"No source",IF(W245&lt;1,"Partial source","Source-complete"))</x:f>
        <x:v>Source-complete</x:v>
      </x:c>
      <x:c r="Z245" s="20" t="str">
        <x:v>Automated screening pass: row uses a primary source URL by actor/subfactor; verify with country-specific evidence before final analytical use.</x:v>
      </x:c>
      <x:c r="AA245" s="20" t="str">
        <x:v>2026-05-20</x:v>
      </x:c>
      <x:c r="AB245" s="20" t="str">
        <x:v>GPT-5.5 Pro</x:v>
      </x:c>
    </x:row>
    <x:row r="246" ht="24" customHeight="1">
      <x:c r="A246" s="20" t="str">
        <x:v>MDG|Russia</x:v>
      </x:c>
      <x:c r="B246" s="20" t="str">
        <x:v>Madagascar</x:v>
      </x:c>
      <x:c r="C246" s="20" t="str">
        <x:v>Republic of Madagascar</x:v>
      </x:c>
      <x:c r="D246" s="20" t="str">
        <x:v>MG</x:v>
      </x:c>
      <x:c r="E246" s="20" t="str">
        <x:v>MDG</x:v>
      </x:c>
      <x:c r="F246" s="20" t="str">
        <x:v>450</x:v>
      </x:c>
      <x:c r="G246" s="20" t="str">
        <x:v>Africa</x:v>
      </x:c>
      <x:c r="H246" s="20" t="str">
        <x:v>Eastern Africa</x:v>
      </x:c>
      <x:c r="I246" s="20" t="str">
        <x:v>Russia</x:v>
      </x:c>
      <x:c r="J246" s="20" t="str">
        <x:v>Russian influence</x:v>
      </x:c>
      <x:c r="K246" s="384" t="n">
        <x:v>4</x:v>
      </x:c>
      <x:c r="L246" s="396" t="n">
        <x:v>3</x:v>
      </x:c>
      <x:c r="M246" s="397" t="str">
        <x:v>https://www.eeas.europa.eu/eeas/4th-eeas-annual-report-foreign-information-manipulation-and-interference-threats_en</x:v>
      </x:c>
      <x:c r="N246" s="384" t="n">
        <x:v>4</x:v>
      </x:c>
      <x:c r="O246" s="396" t="n">
        <x:v>3</x:v>
      </x:c>
      <x:c r="P246" s="397" t="str">
        <x:v>https://www.consilium.europa.eu/en/press/press-releases/2023/02/25/wagner-group-council-adds-11-individuals-and-7-entities-to-eu-sanctions-lists/</x:v>
      </x:c>
      <x:c r="Q246" s="384" t="n">
        <x:v>1</x:v>
      </x:c>
      <x:c r="R246" s="396" t="n">
        <x:v>2</x:v>
      </x:c>
      <x:c r="S246" s="397" t="str">
        <x:v>https://www.dni.gov/files/ODNI/documents/assessments/ATA-2026-Unclassified-Report.pdf</x:v>
      </x:c>
      <x:c r="T246" s="384" t="n">
        <x:v>4</x:v>
      </x:c>
      <x:c r="U246" s="396" t="n">
        <x:v>3</x:v>
      </x:c>
      <x:c r="V246" s="397" t="str">
        <x:v>https://www.consilium.europa.eu/en/press/press-releases/2023/02/25/wagner-group-council-adds-11-individuals-and-7-entities-to-eu-sanctions-lists/</x:v>
      </x:c>
      <x:c r="W246" s="385" t="n">
        <x:f>(--(M246&lt;&gt;"")+--(P246&lt;&gt;"")+--(S246&lt;&gt;"")+--(V246&lt;&gt;""))/4</x:f>
        <x:v>1</x:v>
      </x:c>
      <x:c r="X246" s="384" t="n">
        <x:f>IF(COUNT(K246,N246,Q246,T246)=0,"No data",(IF(ISNUMBER(K246),K246*Factor_Model!$B$4,0)+IF(ISNUMBER(N246),N246*Factor_Model!$B$5,0)+IF(ISNUMBER(Q246),Q246*Factor_Model!$B$6,0)+IF(ISNUMBER(T246),T246*Factor_Model!$B$7,0))/(IF(ISNUMBER(K246),Factor_Model!$B$4,0)+IF(ISNUMBER(N246),Factor_Model!$B$5,0)+IF(ISNUMBER(Q246),Factor_Model!$B$6,0)+IF(ISNUMBER(T246),Factor_Model!$B$7,0)))</x:f>
        <x:v>3.25</x:v>
      </x:c>
      <x:c r="Y246" s="20" t="str">
        <x:f>IF(W246=0,"No source",IF(W246&lt;1,"Partial source","Source-complete"))</x:f>
        <x:v>Source-complete</x:v>
      </x:c>
      <x:c r="Z246" s="20" t="str">
        <x:v>Automated screening pass: row uses a primary source URL by actor/subfactor; verify with country-specific evidence before final analytical use.</x:v>
      </x:c>
      <x:c r="AA246" s="20" t="str">
        <x:v>2026-05-20</x:v>
      </x:c>
      <x:c r="AB246" s="20" t="str">
        <x:v>GPT-5.5 Pro</x:v>
      </x:c>
    </x:row>
    <x:row r="247" ht="24" customHeight="1">
      <x:c r="A247" s="20" t="str">
        <x:v>MDG|China</x:v>
      </x:c>
      <x:c r="B247" s="20" t="str">
        <x:v>Madagascar</x:v>
      </x:c>
      <x:c r="C247" s="20" t="str">
        <x:v>Republic of Madagascar</x:v>
      </x:c>
      <x:c r="D247" s="20" t="str">
        <x:v>MG</x:v>
      </x:c>
      <x:c r="E247" s="20" t="str">
        <x:v>MDG</x:v>
      </x:c>
      <x:c r="F247" s="20" t="str">
        <x:v>450</x:v>
      </x:c>
      <x:c r="G247" s="20" t="str">
        <x:v>Africa</x:v>
      </x:c>
      <x:c r="H247" s="20" t="str">
        <x:v>Eastern Africa</x:v>
      </x:c>
      <x:c r="I247" s="20" t="str">
        <x:v>China</x:v>
      </x:c>
      <x:c r="J247" s="20" t="str">
        <x:v>Chinese influence</x:v>
      </x:c>
      <x:c r="K247" s="384" t="n">
        <x:v>5</x:v>
      </x:c>
      <x:c r="L247" s="396" t="n">
        <x:v>3</x:v>
      </x:c>
      <x:c r="M247" s="397" t="str">
        <x:v>https://www.eeas.europa.eu/eeas/4th-eeas-annual-report-foreign-information-manipulation-and-interference-threats_en</x:v>
      </x:c>
      <x:c r="N247" s="384" t="n">
        <x:v>1</x:v>
      </x:c>
      <x:c r="O247" s="396" t="n">
        <x:v>2</x:v>
      </x:c>
      <x:c r="P247" s="397" t="str">
        <x:v>https://merics.org/en/report/guardians-belt-and-road</x:v>
      </x:c>
      <x:c r="Q247" s="384" t="n">
        <x:v>1</x:v>
      </x:c>
      <x:c r="R247" s="396" t="n">
        <x:v>2</x:v>
      </x:c>
      <x:c r="S247" s="397" t="str">
        <x:v>https://www.eeas.europa.eu/eeas/4th-eeas-annual-report-foreign-information-manipulation-and-interference-threats_en</x:v>
      </x:c>
      <x:c r="T247" s="384" t="n">
        <x:v>1</x:v>
      </x:c>
      <x:c r="U247" s="396" t="n">
        <x:v>2</x:v>
      </x:c>
      <x:c r="V247" s="397" t="str">
        <x:v>https://merics.org/en/report/guardians-belt-and-road</x:v>
      </x:c>
      <x:c r="W247" s="385" t="n">
        <x:f>(--(M247&lt;&gt;"")+--(P247&lt;&gt;"")+--(S247&lt;&gt;"")+--(V247&lt;&gt;""))/4</x:f>
        <x:v>1</x:v>
      </x:c>
      <x:c r="X247" s="384" t="n">
        <x:f>IF(COUNT(K247,N247,Q247,T247)=0,"No data",(IF(ISNUMBER(K247),K247*Factor_Model!$B$4,0)+IF(ISNUMBER(N247),N247*Factor_Model!$B$5,0)+IF(ISNUMBER(Q247),Q247*Factor_Model!$B$6,0)+IF(ISNUMBER(T247),T247*Factor_Model!$B$7,0))/(IF(ISNUMBER(K247),Factor_Model!$B$4,0)+IF(ISNUMBER(N247),Factor_Model!$B$5,0)+IF(ISNUMBER(Q247),Factor_Model!$B$6,0)+IF(ISNUMBER(T247),Factor_Model!$B$7,0)))</x:f>
        <x:v>2</x:v>
      </x:c>
      <x:c r="Y247" s="20" t="str">
        <x:f>IF(W247=0,"No source",IF(W247&lt;1,"Partial source","Source-complete"))</x:f>
        <x:v>Source-complete</x:v>
      </x:c>
      <x:c r="Z247" s="20" t="str">
        <x:v>Automated screening pass: row uses a primary source URL by actor/subfactor; verify with country-specific evidence before final analytical use.</x:v>
      </x:c>
      <x:c r="AA247" s="20" t="str">
        <x:v>2026-05-20</x:v>
      </x:c>
      <x:c r="AB247" s="20" t="str">
        <x:v>GPT-5.5 Pro</x:v>
      </x:c>
    </x:row>
    <x:row r="248" ht="24" customHeight="1">
      <x:c r="A248" s="20" t="str">
        <x:v>MDG|United States</x:v>
      </x:c>
      <x:c r="B248" s="20" t="str">
        <x:v>Madagascar</x:v>
      </x:c>
      <x:c r="C248" s="20" t="str">
        <x:v>Republic of Madagascar</x:v>
      </x:c>
      <x:c r="D248" s="20" t="str">
        <x:v>MG</x:v>
      </x:c>
      <x:c r="E248" s="20" t="str">
        <x:v>MDG</x:v>
      </x:c>
      <x:c r="F248" s="20" t="str">
        <x:v>450</x:v>
      </x:c>
      <x:c r="G248" s="20" t="str">
        <x:v>Africa</x:v>
      </x:c>
      <x:c r="H248" s="20" t="str">
        <x:v>Eastern Africa</x:v>
      </x:c>
      <x:c r="I248" s="20" t="str">
        <x:v>United States</x:v>
      </x:c>
      <x:c r="J248" s="20" t="str">
        <x:v>American influence</x:v>
      </x:c>
      <x:c r="K248" s="384" t="n">
        <x:v>4</x:v>
      </x:c>
      <x:c r="L248" s="396" t="n">
        <x:v>3</x:v>
      </x:c>
      <x:c r="M248" s="397" t="str">
        <x:v>https://www.usagm.gov/our-work/strategy-and-results/strategic-priorities/research-reports/</x:v>
      </x:c>
      <x:c r="N248" s="384" t="n">
        <x:v>2</x:v>
      </x:c>
      <x:c r="O248" s="396" t="n">
        <x:v>2</x:v>
      </x:c>
      <x:c r="P248" s="397" t="str">
        <x:v>https://internationalpolicy.org/programs/sam/</x:v>
      </x:c>
      <x:c r="Q248" s="384" t="n">
        <x:v>2</x:v>
      </x:c>
      <x:c r="R248" s="396" t="n">
        <x:v>2</x:v>
      </x:c>
      <x:c r="S248" s="397" t="str">
        <x:v>https://www.ned.org/ned-grantmaking/</x:v>
      </x:c>
      <x:c r="T248" s="384" t="n">
        <x:v>3</x:v>
      </x:c>
      <x:c r="U248" s="396" t="n">
        <x:v>3</x:v>
      </x:c>
      <x:c r="V248" s="397" t="str">
        <x:v>https://internationalpolicy.org/programs/sam/</x:v>
      </x:c>
      <x:c r="W248" s="385" t="n">
        <x:f>(--(M248&lt;&gt;"")+--(P248&lt;&gt;"")+--(S248&lt;&gt;"")+--(V248&lt;&gt;""))/4</x:f>
        <x:v>1</x:v>
      </x:c>
      <x:c r="X248" s="384" t="n">
        <x:f>IF(COUNT(K248,N248,Q248,T248)=0,"No data",(IF(ISNUMBER(K248),K248*Factor_Model!$B$4,0)+IF(ISNUMBER(N248),N248*Factor_Model!$B$5,0)+IF(ISNUMBER(Q248),Q248*Factor_Model!$B$6,0)+IF(ISNUMBER(T248),T248*Factor_Model!$B$7,0))/(IF(ISNUMBER(K248),Factor_Model!$B$4,0)+IF(ISNUMBER(N248),Factor_Model!$B$5,0)+IF(ISNUMBER(Q248),Factor_Model!$B$6,0)+IF(ISNUMBER(T248),Factor_Model!$B$7,0)))</x:f>
        <x:v>2.75</x:v>
      </x:c>
      <x:c r="Y248" s="20" t="str">
        <x:f>IF(W248=0,"No source",IF(W248&lt;1,"Partial source","Source-complete"))</x:f>
        <x:v>Source-complete</x:v>
      </x:c>
      <x:c r="Z248" s="20" t="str">
        <x:v>Automated screening pass: row uses a primary source URL by actor/subfactor; verify with country-specific evidence before final analytical use.</x:v>
      </x:c>
      <x:c r="AA248" s="20" t="str">
        <x:v>2026-05-20</x:v>
      </x:c>
      <x:c r="AB248" s="20" t="str">
        <x:v>GPT-5.5 Pro</x:v>
      </x:c>
    </x:row>
    <x:row r="249" ht="24" customHeight="1">
      <x:c r="A249" s="20" t="str">
        <x:v>MDG|European Union</x:v>
      </x:c>
      <x:c r="B249" s="20" t="str">
        <x:v>Madagascar</x:v>
      </x:c>
      <x:c r="C249" s="20" t="str">
        <x:v>Republic of Madagascar</x:v>
      </x:c>
      <x:c r="D249" s="20" t="str">
        <x:v>MG</x:v>
      </x:c>
      <x:c r="E249" s="20" t="str">
        <x:v>MDG</x:v>
      </x:c>
      <x:c r="F249" s="20" t="str">
        <x:v>450</x:v>
      </x:c>
      <x:c r="G249" s="20" t="str">
        <x:v>Africa</x:v>
      </x:c>
      <x:c r="H249" s="20" t="str">
        <x:v>Eastern Africa</x:v>
      </x:c>
      <x:c r="I249" s="20" t="str">
        <x:v>European Union</x:v>
      </x:c>
      <x:c r="J249" s="20" t="str">
        <x:v>EU influence</x:v>
      </x:c>
      <x:c r="K249" s="384" t="n">
        <x:v>3</x:v>
      </x:c>
      <x:c r="L249" s="396" t="n">
        <x:v>3</x:v>
      </x:c>
      <x:c r="M249" s="397" t="str">
        <x:v>https://www.eeas.europa.eu/eeas/public-diplomacy_en</x:v>
      </x:c>
      <x:c r="N249" s="384" t="n">
        <x:v>0</x:v>
      </x:c>
      <x:c r="O249" s="396" t="n">
        <x:v>1</x:v>
      </x:c>
      <x:c r="P249" s="397" t="str">
        <x:v>https://www.eeas.europa.eu/eeas/missions-and-operations_en</x:v>
      </x:c>
      <x:c r="Q249" s="384" t="n">
        <x:v>1</x:v>
      </x:c>
      <x:c r="R249" s="396" t="n">
        <x:v>2</x:v>
      </x:c>
      <x:c r="S249" s="397" t="str">
        <x:v>https://www.eeas.europa.eu/eeas/eu-election-observation-missions-1_en?page_lang=en</x:v>
      </x:c>
      <x:c r="T249" s="384" t="n">
        <x:v>2</x:v>
      </x:c>
      <x:c r="U249" s="396" t="n">
        <x:v>2</x:v>
      </x:c>
      <x:c r="V249" s="397" t="str">
        <x:v>https://www.eeas.europa.eu/eeas/missions-and-operations_en</x:v>
      </x:c>
      <x:c r="W249" s="385" t="n">
        <x:f>(--(M249&lt;&gt;"")+--(P249&lt;&gt;"")+--(S249&lt;&gt;"")+--(V249&lt;&gt;""))/4</x:f>
        <x:v>1</x:v>
      </x:c>
      <x:c r="X249" s="384" t="n">
        <x:f>IF(COUNT(K249,N249,Q249,T249)=0,"No data",(IF(ISNUMBER(K249),K249*Factor_Model!$B$4,0)+IF(ISNUMBER(N249),N249*Factor_Model!$B$5,0)+IF(ISNUMBER(Q249),Q249*Factor_Model!$B$6,0)+IF(ISNUMBER(T249),T249*Factor_Model!$B$7,0))/(IF(ISNUMBER(K249),Factor_Model!$B$4,0)+IF(ISNUMBER(N249),Factor_Model!$B$5,0)+IF(ISNUMBER(Q249),Factor_Model!$B$6,0)+IF(ISNUMBER(T249),Factor_Model!$B$7,0)))</x:f>
        <x:v>1.5</x:v>
      </x:c>
      <x:c r="Y249" s="20" t="str">
        <x:f>IF(W249=0,"No source",IF(W249&lt;1,"Partial source","Source-complete"))</x:f>
        <x:v>Source-complete</x:v>
      </x:c>
      <x:c r="Z249" s="20" t="str">
        <x:v>Automated screening pass: row uses a primary source URL by actor/subfactor; verify with country-specific evidence before final analytical use.</x:v>
      </x:c>
      <x:c r="AA249" s="20" t="str">
        <x:v>2026-05-20</x:v>
      </x:c>
      <x:c r="AB249" s="20" t="str">
        <x:v>GPT-5.5 Pro</x:v>
      </x:c>
    </x:row>
    <x:row r="250" ht="24" customHeight="1">
      <x:c r="A250" s="20" t="str">
        <x:v>MYS|Russia</x:v>
      </x:c>
      <x:c r="B250" s="20" t="str">
        <x:v>Malaysia</x:v>
      </x:c>
      <x:c r="C250" s="20"/>
      <x:c r="D250" s="20" t="str">
        <x:v>MY</x:v>
      </x:c>
      <x:c r="E250" s="20" t="str">
        <x:v>MYS</x:v>
      </x:c>
      <x:c r="F250" s="20" t="str">
        <x:v>458</x:v>
      </x:c>
      <x:c r="G250" s="20" t="str">
        <x:v>Asia</x:v>
      </x:c>
      <x:c r="H250" s="20" t="str">
        <x:v>South-Eastern Asia</x:v>
      </x:c>
      <x:c r="I250" s="20" t="str">
        <x:v>Russia</x:v>
      </x:c>
      <x:c r="J250" s="20" t="str">
        <x:v>Russian influence</x:v>
      </x:c>
      <x:c r="K250" s="384" t="n">
        <x:v>2</x:v>
      </x:c>
      <x:c r="L250" s="396" t="n">
        <x:v>2</x:v>
      </x:c>
      <x:c r="M250" s="397" t="str">
        <x:v>https://www.eeas.europa.eu/eeas/4th-eeas-annual-report-foreign-information-manipulation-and-interference-threats_en</x:v>
      </x:c>
      <x:c r="N250" s="384" t="n">
        <x:v>0</x:v>
      </x:c>
      <x:c r="O250" s="396" t="n">
        <x:v>1</x:v>
      </x:c>
      <x:c r="P250" s="397" t="str">
        <x:v>https://www.consilium.europa.eu/en/press/press-releases/2023/02/25/wagner-group-council-adds-11-individuals-and-7-entities-to-eu-sanctions-lists/</x:v>
      </x:c>
      <x:c r="Q250" s="384" t="n">
        <x:v>0</x:v>
      </x:c>
      <x:c r="R250" s="396" t="n">
        <x:v>1</x:v>
      </x:c>
      <x:c r="S250" s="397" t="str">
        <x:v>https://www.dni.gov/files/ODNI/documents/assessments/ATA-2026-Unclassified-Report.pdf</x:v>
      </x:c>
      <x:c r="T250" s="384" t="n">
        <x:v>0</x:v>
      </x:c>
      <x:c r="U250" s="396" t="n">
        <x:v>1</x:v>
      </x:c>
      <x:c r="V250" s="397" t="str">
        <x:v>https://www.consilium.europa.eu/en/press/press-releases/2023/02/25/wagner-group-council-adds-11-individuals-and-7-entities-to-eu-sanctions-lists/</x:v>
      </x:c>
      <x:c r="W250" s="385" t="n">
        <x:f>(--(M250&lt;&gt;"")+--(P250&lt;&gt;"")+--(S250&lt;&gt;"")+--(V250&lt;&gt;""))/4</x:f>
        <x:v>1</x:v>
      </x:c>
      <x:c r="X250" s="384" t="n">
        <x:f>IF(COUNT(K250,N250,Q250,T250)=0,"No data",(IF(ISNUMBER(K250),K250*Factor_Model!$B$4,0)+IF(ISNUMBER(N250),N250*Factor_Model!$B$5,0)+IF(ISNUMBER(Q250),Q250*Factor_Model!$B$6,0)+IF(ISNUMBER(T250),T250*Factor_Model!$B$7,0))/(IF(ISNUMBER(K250),Factor_Model!$B$4,0)+IF(ISNUMBER(N250),Factor_Model!$B$5,0)+IF(ISNUMBER(Q250),Factor_Model!$B$6,0)+IF(ISNUMBER(T250),Factor_Model!$B$7,0)))</x:f>
        <x:v>0.5</x:v>
      </x:c>
      <x:c r="Y250" s="20" t="str">
        <x:f>IF(W250=0,"No source",IF(W250&lt;1,"Partial source","Source-complete"))</x:f>
        <x:v>Source-complete</x:v>
      </x:c>
      <x:c r="Z250" s="20" t="str">
        <x:v>Automated screening pass: row uses a primary source URL by actor/subfactor; verify with country-specific evidence before final analytical use.</x:v>
      </x:c>
      <x:c r="AA250" s="20" t="str">
        <x:v>2026-05-20</x:v>
      </x:c>
      <x:c r="AB250" s="20" t="str">
        <x:v>GPT-5.5 Pro</x:v>
      </x:c>
    </x:row>
    <x:row r="251" ht="24" customHeight="1">
      <x:c r="A251" s="20" t="str">
        <x:v>MYS|China</x:v>
      </x:c>
      <x:c r="B251" s="20" t="str">
        <x:v>Malaysia</x:v>
      </x:c>
      <x:c r="C251" s="20"/>
      <x:c r="D251" s="20" t="str">
        <x:v>MY</x:v>
      </x:c>
      <x:c r="E251" s="20" t="str">
        <x:v>MYS</x:v>
      </x:c>
      <x:c r="F251" s="20" t="str">
        <x:v>458</x:v>
      </x:c>
      <x:c r="G251" s="20" t="str">
        <x:v>Asia</x:v>
      </x:c>
      <x:c r="H251" s="20" t="str">
        <x:v>South-Eastern Asia</x:v>
      </x:c>
      <x:c r="I251" s="20" t="str">
        <x:v>China</x:v>
      </x:c>
      <x:c r="J251" s="20" t="str">
        <x:v>Chinese influence</x:v>
      </x:c>
      <x:c r="K251" s="384" t="n">
        <x:v>6</x:v>
      </x:c>
      <x:c r="L251" s="396" t="n">
        <x:v>4</x:v>
      </x:c>
      <x:c r="M251" s="397" t="str">
        <x:v>https://www.eeas.europa.eu/eeas/4th-eeas-annual-report-foreign-information-manipulation-and-interference-threats_en</x:v>
      </x:c>
      <x:c r="N251" s="384" t="n">
        <x:v>1</x:v>
      </x:c>
      <x:c r="O251" s="396" t="n">
        <x:v>2</x:v>
      </x:c>
      <x:c r="P251" s="397" t="str">
        <x:v>https://merics.org/en/report/guardians-belt-and-road</x:v>
      </x:c>
      <x:c r="Q251" s="384" t="n">
        <x:v>3</x:v>
      </x:c>
      <x:c r="R251" s="396" t="n">
        <x:v>3</x:v>
      </x:c>
      <x:c r="S251" s="397" t="str">
        <x:v>https://www.eeas.europa.eu/eeas/4th-eeas-annual-report-foreign-information-manipulation-and-interference-threats_en</x:v>
      </x:c>
      <x:c r="T251" s="384" t="n">
        <x:v>3</x:v>
      </x:c>
      <x:c r="U251" s="396" t="n">
        <x:v>3</x:v>
      </x:c>
      <x:c r="V251" s="397" t="str">
        <x:v>https://merics.org/en/report/guardians-belt-and-road</x:v>
      </x:c>
      <x:c r="W251" s="385" t="n">
        <x:f>(--(M251&lt;&gt;"")+--(P251&lt;&gt;"")+--(S251&lt;&gt;"")+--(V251&lt;&gt;""))/4</x:f>
        <x:v>1</x:v>
      </x:c>
      <x:c r="X251" s="384" t="n">
        <x:f>IF(COUNT(K251,N251,Q251,T251)=0,"No data",(IF(ISNUMBER(K251),K251*Factor_Model!$B$4,0)+IF(ISNUMBER(N251),N251*Factor_Model!$B$5,0)+IF(ISNUMBER(Q251),Q251*Factor_Model!$B$6,0)+IF(ISNUMBER(T251),T251*Factor_Model!$B$7,0))/(IF(ISNUMBER(K251),Factor_Model!$B$4,0)+IF(ISNUMBER(N251),Factor_Model!$B$5,0)+IF(ISNUMBER(Q251),Factor_Model!$B$6,0)+IF(ISNUMBER(T251),Factor_Model!$B$7,0)))</x:f>
        <x:v>3.25</x:v>
      </x:c>
      <x:c r="Y251" s="20" t="str">
        <x:f>IF(W251=0,"No source",IF(W251&lt;1,"Partial source","Source-complete"))</x:f>
        <x:v>Source-complete</x:v>
      </x:c>
      <x:c r="Z251" s="20" t="str">
        <x:v>Automated screening pass: row uses a primary source URL by actor/subfactor; verify with country-specific evidence before final analytical use.</x:v>
      </x:c>
      <x:c r="AA251" s="20" t="str">
        <x:v>2026-05-20</x:v>
      </x:c>
      <x:c r="AB251" s="20" t="str">
        <x:v>GPT-5.5 Pro</x:v>
      </x:c>
    </x:row>
    <x:row r="252" ht="24" customHeight="1">
      <x:c r="A252" s="20" t="str">
        <x:v>MYS|United States</x:v>
      </x:c>
      <x:c r="B252" s="20" t="str">
        <x:v>Malaysia</x:v>
      </x:c>
      <x:c r="C252" s="20"/>
      <x:c r="D252" s="20" t="str">
        <x:v>MY</x:v>
      </x:c>
      <x:c r="E252" s="20" t="str">
        <x:v>MYS</x:v>
      </x:c>
      <x:c r="F252" s="20" t="str">
        <x:v>458</x:v>
      </x:c>
      <x:c r="G252" s="20" t="str">
        <x:v>Asia</x:v>
      </x:c>
      <x:c r="H252" s="20" t="str">
        <x:v>South-Eastern Asia</x:v>
      </x:c>
      <x:c r="I252" s="20" t="str">
        <x:v>United States</x:v>
      </x:c>
      <x:c r="J252" s="20" t="str">
        <x:v>American influence</x:v>
      </x:c>
      <x:c r="K252" s="384" t="n">
        <x:v>3</x:v>
      </x:c>
      <x:c r="L252" s="396" t="n">
        <x:v>3</x:v>
      </x:c>
      <x:c r="M252" s="397" t="str">
        <x:v>https://www.usagm.gov/our-work/strategy-and-results/strategic-priorities/research-reports/</x:v>
      </x:c>
      <x:c r="N252" s="384" t="n">
        <x:v>1</x:v>
      </x:c>
      <x:c r="O252" s="396" t="n">
        <x:v>2</x:v>
      </x:c>
      <x:c r="P252" s="397" t="str">
        <x:v>https://internationalpolicy.org/programs/sam/</x:v>
      </x:c>
      <x:c r="Q252" s="384" t="n">
        <x:v>2</x:v>
      </x:c>
      <x:c r="R252" s="396" t="n">
        <x:v>2</x:v>
      </x:c>
      <x:c r="S252" s="397" t="str">
        <x:v>https://www.ned.org/ned-grantmaking/</x:v>
      </x:c>
      <x:c r="T252" s="384" t="n">
        <x:v>2</x:v>
      </x:c>
      <x:c r="U252" s="396" t="n">
        <x:v>2</x:v>
      </x:c>
      <x:c r="V252" s="397" t="str">
        <x:v>https://internationalpolicy.org/programs/sam/</x:v>
      </x:c>
      <x:c r="W252" s="385" t="n">
        <x:f>(--(M252&lt;&gt;"")+--(P252&lt;&gt;"")+--(S252&lt;&gt;"")+--(V252&lt;&gt;""))/4</x:f>
        <x:v>1</x:v>
      </x:c>
      <x:c r="X252" s="384" t="n">
        <x:f>IF(COUNT(K252,N252,Q252,T252)=0,"No data",(IF(ISNUMBER(K252),K252*Factor_Model!$B$4,0)+IF(ISNUMBER(N252),N252*Factor_Model!$B$5,0)+IF(ISNUMBER(Q252),Q252*Factor_Model!$B$6,0)+IF(ISNUMBER(T252),T252*Factor_Model!$B$7,0))/(IF(ISNUMBER(K252),Factor_Model!$B$4,0)+IF(ISNUMBER(N252),Factor_Model!$B$5,0)+IF(ISNUMBER(Q252),Factor_Model!$B$6,0)+IF(ISNUMBER(T252),Factor_Model!$B$7,0)))</x:f>
        <x:v>2</x:v>
      </x:c>
      <x:c r="Y252" s="20" t="str">
        <x:f>IF(W252=0,"No source",IF(W252&lt;1,"Partial source","Source-complete"))</x:f>
        <x:v>Source-complete</x:v>
      </x:c>
      <x:c r="Z252" s="20" t="str">
        <x:v>Automated screening pass: row uses a primary source URL by actor/subfactor; verify with country-specific evidence before final analytical use.</x:v>
      </x:c>
      <x:c r="AA252" s="20" t="str">
        <x:v>2026-05-20</x:v>
      </x:c>
      <x:c r="AB252" s="20" t="str">
        <x:v>GPT-5.5 Pro</x:v>
      </x:c>
    </x:row>
    <x:row r="253" ht="24" customHeight="1">
      <x:c r="A253" s="20" t="str">
        <x:v>MYS|European Union</x:v>
      </x:c>
      <x:c r="B253" s="20" t="str">
        <x:v>Malaysia</x:v>
      </x:c>
      <x:c r="C253" s="20"/>
      <x:c r="D253" s="20" t="str">
        <x:v>MY</x:v>
      </x:c>
      <x:c r="E253" s="20" t="str">
        <x:v>MYS</x:v>
      </x:c>
      <x:c r="F253" s="20" t="str">
        <x:v>458</x:v>
      </x:c>
      <x:c r="G253" s="20" t="str">
        <x:v>Asia</x:v>
      </x:c>
      <x:c r="H253" s="20" t="str">
        <x:v>South-Eastern Asia</x:v>
      </x:c>
      <x:c r="I253" s="20" t="str">
        <x:v>European Union</x:v>
      </x:c>
      <x:c r="J253" s="20" t="str">
        <x:v>EU influence</x:v>
      </x:c>
      <x:c r="K253" s="384" t="n">
        <x:v>2</x:v>
      </x:c>
      <x:c r="L253" s="396" t="n">
        <x:v>2</x:v>
      </x:c>
      <x:c r="M253" s="397" t="str">
        <x:v>https://www.eeas.europa.eu/eeas/public-diplomacy_en</x:v>
      </x:c>
      <x:c r="N253" s="384" t="n">
        <x:v>0</x:v>
      </x:c>
      <x:c r="O253" s="396" t="n">
        <x:v>1</x:v>
      </x:c>
      <x:c r="P253" s="397" t="str">
        <x:v>https://www.eeas.europa.eu/eeas/missions-and-operations_en</x:v>
      </x:c>
      <x:c r="Q253" s="384" t="n">
        <x:v>2</x:v>
      </x:c>
      <x:c r="R253" s="396" t="n">
        <x:v>2</x:v>
      </x:c>
      <x:c r="S253" s="397" t="str">
        <x:v>https://www.eeas.europa.eu/eeas/eu-election-observation-missions-1_en?page_lang=en</x:v>
      </x:c>
      <x:c r="T253" s="384" t="n">
        <x:v>2</x:v>
      </x:c>
      <x:c r="U253" s="396" t="n">
        <x:v>2</x:v>
      </x:c>
      <x:c r="V253" s="397" t="str">
        <x:v>https://www.eeas.europa.eu/eeas/missions-and-operations_en</x:v>
      </x:c>
      <x:c r="W253" s="385" t="n">
        <x:f>(--(M253&lt;&gt;"")+--(P253&lt;&gt;"")+--(S253&lt;&gt;"")+--(V253&lt;&gt;""))/4</x:f>
        <x:v>1</x:v>
      </x:c>
      <x:c r="X253" s="384" t="n">
        <x:f>IF(COUNT(K253,N253,Q253,T253)=0,"No data",(IF(ISNUMBER(K253),K253*Factor_Model!$B$4,0)+IF(ISNUMBER(N253),N253*Factor_Model!$B$5,0)+IF(ISNUMBER(Q253),Q253*Factor_Model!$B$6,0)+IF(ISNUMBER(T253),T253*Factor_Model!$B$7,0))/(IF(ISNUMBER(K253),Factor_Model!$B$4,0)+IF(ISNUMBER(N253),Factor_Model!$B$5,0)+IF(ISNUMBER(Q253),Factor_Model!$B$6,0)+IF(ISNUMBER(T253),Factor_Model!$B$7,0)))</x:f>
        <x:v>1.5</x:v>
      </x:c>
      <x:c r="Y253" s="20" t="str">
        <x:f>IF(W253=0,"No source",IF(W253&lt;1,"Partial source","Source-complete"))</x:f>
        <x:v>Source-complete</x:v>
      </x:c>
      <x:c r="Z253" s="20" t="str">
        <x:v>Automated screening pass: row uses a primary source URL by actor/subfactor; verify with country-specific evidence before final analytical use.</x:v>
      </x:c>
      <x:c r="AA253" s="20" t="str">
        <x:v>2026-05-20</x:v>
      </x:c>
      <x:c r="AB253" s="20" t="str">
        <x:v>GPT-5.5 Pro</x:v>
      </x:c>
    </x:row>
    <x:row r="254" ht="24" customHeight="1">
      <x:c r="A254" s="20" t="str">
        <x:v>MLI|Russia</x:v>
      </x:c>
      <x:c r="B254" s="20" t="str">
        <x:v>Mali</x:v>
      </x:c>
      <x:c r="C254" s="20" t="str">
        <x:v>Republic of Mali</x:v>
      </x:c>
      <x:c r="D254" s="20" t="str">
        <x:v>ML</x:v>
      </x:c>
      <x:c r="E254" s="20" t="str">
        <x:v>MLI</x:v>
      </x:c>
      <x:c r="F254" s="20" t="str">
        <x:v>466</x:v>
      </x:c>
      <x:c r="G254" s="20" t="str">
        <x:v>Africa</x:v>
      </x:c>
      <x:c r="H254" s="20" t="str">
        <x:v>Western Africa</x:v>
      </x:c>
      <x:c r="I254" s="20" t="str">
        <x:v>Russia</x:v>
      </x:c>
      <x:c r="J254" s="20" t="str">
        <x:v>Russian influence</x:v>
      </x:c>
      <x:c r="K254" s="384" t="n">
        <x:v>7</x:v>
      </x:c>
      <x:c r="L254" s="396" t="n">
        <x:v>4</x:v>
      </x:c>
      <x:c r="M254" s="397" t="str">
        <x:v>https://www.eeas.europa.eu/eeas/4th-eeas-annual-report-foreign-information-manipulation-and-interference-threats_en</x:v>
      </x:c>
      <x:c r="N254" s="384" t="n">
        <x:v>8</x:v>
      </x:c>
      <x:c r="O254" s="396" t="n">
        <x:v>4</x:v>
      </x:c>
      <x:c r="P254" s="397" t="str">
        <x:v>https://www.consilium.europa.eu/en/press/press-releases/2023/02/25/wagner-group-council-adds-11-individuals-and-7-entities-to-eu-sanctions-lists/</x:v>
      </x:c>
      <x:c r="Q254" s="384" t="n">
        <x:v>3</x:v>
      </x:c>
      <x:c r="R254" s="396" t="n">
        <x:v>3</x:v>
      </x:c>
      <x:c r="S254" s="397" t="str">
        <x:v>https://www.dni.gov/files/ODNI/documents/assessments/ATA-2026-Unclassified-Report.pdf</x:v>
      </x:c>
      <x:c r="T254" s="384" t="n">
        <x:v>8</x:v>
      </x:c>
      <x:c r="U254" s="396" t="n">
        <x:v>4</x:v>
      </x:c>
      <x:c r="V254" s="397" t="str">
        <x:v>https://www.consilium.europa.eu/en/press/press-releases/2023/02/25/wagner-group-council-adds-11-individuals-and-7-entities-to-eu-sanctions-lists/</x:v>
      </x:c>
      <x:c r="W254" s="385" t="n">
        <x:f>(--(M254&lt;&gt;"")+--(P254&lt;&gt;"")+--(S254&lt;&gt;"")+--(V254&lt;&gt;""))/4</x:f>
        <x:v>1</x:v>
      </x:c>
      <x:c r="X254" s="384" t="n">
        <x:f>IF(COUNT(K254,N254,Q254,T254)=0,"No data",(IF(ISNUMBER(K254),K254*Factor_Model!$B$4,0)+IF(ISNUMBER(N254),N254*Factor_Model!$B$5,0)+IF(ISNUMBER(Q254),Q254*Factor_Model!$B$6,0)+IF(ISNUMBER(T254),T254*Factor_Model!$B$7,0))/(IF(ISNUMBER(K254),Factor_Model!$B$4,0)+IF(ISNUMBER(N254),Factor_Model!$B$5,0)+IF(ISNUMBER(Q254),Factor_Model!$B$6,0)+IF(ISNUMBER(T254),Factor_Model!$B$7,0)))</x:f>
        <x:v>6.5</x:v>
      </x:c>
      <x:c r="Y254" s="20" t="str">
        <x:f>IF(W254=0,"No source",IF(W254&lt;1,"Partial source","Source-complete"))</x:f>
        <x:v>Source-complete</x:v>
      </x:c>
      <x:c r="Z254" s="20" t="str">
        <x:v>Automated screening pass: row uses a primary source URL by actor/subfactor; verify with country-specific evidence before final analytical use.</x:v>
      </x:c>
      <x:c r="AA254" s="20" t="str">
        <x:v>2026-05-20</x:v>
      </x:c>
      <x:c r="AB254" s="20" t="str">
        <x:v>GPT-5.5 Pro</x:v>
      </x:c>
    </x:row>
    <x:row r="255" ht="24" customHeight="1">
      <x:c r="A255" s="20" t="str">
        <x:v>MLI|China</x:v>
      </x:c>
      <x:c r="B255" s="20" t="str">
        <x:v>Mali</x:v>
      </x:c>
      <x:c r="C255" s="20" t="str">
        <x:v>Republic of Mali</x:v>
      </x:c>
      <x:c r="D255" s="20" t="str">
        <x:v>ML</x:v>
      </x:c>
      <x:c r="E255" s="20" t="str">
        <x:v>MLI</x:v>
      </x:c>
      <x:c r="F255" s="20" t="str">
        <x:v>466</x:v>
      </x:c>
      <x:c r="G255" s="20" t="str">
        <x:v>Africa</x:v>
      </x:c>
      <x:c r="H255" s="20" t="str">
        <x:v>Western Africa</x:v>
      </x:c>
      <x:c r="I255" s="20" t="str">
        <x:v>China</x:v>
      </x:c>
      <x:c r="J255" s="20" t="str">
        <x:v>Chinese influence</x:v>
      </x:c>
      <x:c r="K255" s="384" t="n">
        <x:v>5</x:v>
      </x:c>
      <x:c r="L255" s="396" t="n">
        <x:v>3</x:v>
      </x:c>
      <x:c r="M255" s="397" t="str">
        <x:v>https://www.eeas.europa.eu/eeas/4th-eeas-annual-report-foreign-information-manipulation-and-interference-threats_en</x:v>
      </x:c>
      <x:c r="N255" s="384" t="n">
        <x:v>1</x:v>
      </x:c>
      <x:c r="O255" s="396" t="n">
        <x:v>2</x:v>
      </x:c>
      <x:c r="P255" s="397" t="str">
        <x:v>https://merics.org/en/report/guardians-belt-and-road</x:v>
      </x:c>
      <x:c r="Q255" s="384" t="n">
        <x:v>1</x:v>
      </x:c>
      <x:c r="R255" s="396" t="n">
        <x:v>2</x:v>
      </x:c>
      <x:c r="S255" s="397" t="str">
        <x:v>https://www.eeas.europa.eu/eeas/4th-eeas-annual-report-foreign-information-manipulation-and-interference-threats_en</x:v>
      </x:c>
      <x:c r="T255" s="384" t="n">
        <x:v>1</x:v>
      </x:c>
      <x:c r="U255" s="396" t="n">
        <x:v>2</x:v>
      </x:c>
      <x:c r="V255" s="397" t="str">
        <x:v>https://merics.org/en/report/guardians-belt-and-road</x:v>
      </x:c>
      <x:c r="W255" s="385" t="n">
        <x:f>(--(M255&lt;&gt;"")+--(P255&lt;&gt;"")+--(S255&lt;&gt;"")+--(V255&lt;&gt;""))/4</x:f>
        <x:v>1</x:v>
      </x:c>
      <x:c r="X255" s="384" t="n">
        <x:f>IF(COUNT(K255,N255,Q255,T255)=0,"No data",(IF(ISNUMBER(K255),K255*Factor_Model!$B$4,0)+IF(ISNUMBER(N255),N255*Factor_Model!$B$5,0)+IF(ISNUMBER(Q255),Q255*Factor_Model!$B$6,0)+IF(ISNUMBER(T255),T255*Factor_Model!$B$7,0))/(IF(ISNUMBER(K255),Factor_Model!$B$4,0)+IF(ISNUMBER(N255),Factor_Model!$B$5,0)+IF(ISNUMBER(Q255),Factor_Model!$B$6,0)+IF(ISNUMBER(T255),Factor_Model!$B$7,0)))</x:f>
        <x:v>2</x:v>
      </x:c>
      <x:c r="Y255" s="20" t="str">
        <x:f>IF(W255=0,"No source",IF(W255&lt;1,"Partial source","Source-complete"))</x:f>
        <x:v>Source-complete</x:v>
      </x:c>
      <x:c r="Z255" s="20" t="str">
        <x:v>Automated screening pass: row uses a primary source URL by actor/subfactor; verify with country-specific evidence before final analytical use.</x:v>
      </x:c>
      <x:c r="AA255" s="20" t="str">
        <x:v>2026-05-20</x:v>
      </x:c>
      <x:c r="AB255" s="20" t="str">
        <x:v>GPT-5.5 Pro</x:v>
      </x:c>
    </x:row>
    <x:row r="256" ht="24" customHeight="1">
      <x:c r="A256" s="20" t="str">
        <x:v>MLI|United States</x:v>
      </x:c>
      <x:c r="B256" s="20" t="str">
        <x:v>Mali</x:v>
      </x:c>
      <x:c r="C256" s="20" t="str">
        <x:v>Republic of Mali</x:v>
      </x:c>
      <x:c r="D256" s="20" t="str">
        <x:v>ML</x:v>
      </x:c>
      <x:c r="E256" s="20" t="str">
        <x:v>MLI</x:v>
      </x:c>
      <x:c r="F256" s="20" t="str">
        <x:v>466</x:v>
      </x:c>
      <x:c r="G256" s="20" t="str">
        <x:v>Africa</x:v>
      </x:c>
      <x:c r="H256" s="20" t="str">
        <x:v>Western Africa</x:v>
      </x:c>
      <x:c r="I256" s="20" t="str">
        <x:v>United States</x:v>
      </x:c>
      <x:c r="J256" s="20" t="str">
        <x:v>American influence</x:v>
      </x:c>
      <x:c r="K256" s="384" t="n">
        <x:v>4</x:v>
      </x:c>
      <x:c r="L256" s="396" t="n">
        <x:v>3</x:v>
      </x:c>
      <x:c r="M256" s="397" t="str">
        <x:v>https://www.usagm.gov/our-work/strategy-and-results/strategic-priorities/research-reports/</x:v>
      </x:c>
      <x:c r="N256" s="384" t="n">
        <x:v>2</x:v>
      </x:c>
      <x:c r="O256" s="396" t="n">
        <x:v>2</x:v>
      </x:c>
      <x:c r="P256" s="397" t="str">
        <x:v>https://internationalpolicy.org/programs/sam/</x:v>
      </x:c>
      <x:c r="Q256" s="384" t="n">
        <x:v>2</x:v>
      </x:c>
      <x:c r="R256" s="396" t="n">
        <x:v>2</x:v>
      </x:c>
      <x:c r="S256" s="397" t="str">
        <x:v>https://www.ned.org/ned-grantmaking/</x:v>
      </x:c>
      <x:c r="T256" s="384" t="n">
        <x:v>3</x:v>
      </x:c>
      <x:c r="U256" s="396" t="n">
        <x:v>3</x:v>
      </x:c>
      <x:c r="V256" s="397" t="str">
        <x:v>https://internationalpolicy.org/programs/sam/</x:v>
      </x:c>
      <x:c r="W256" s="385" t="n">
        <x:f>(--(M256&lt;&gt;"")+--(P256&lt;&gt;"")+--(S256&lt;&gt;"")+--(V256&lt;&gt;""))/4</x:f>
        <x:v>1</x:v>
      </x:c>
      <x:c r="X256" s="384" t="n">
        <x:f>IF(COUNT(K256,N256,Q256,T256)=0,"No data",(IF(ISNUMBER(K256),K256*Factor_Model!$B$4,0)+IF(ISNUMBER(N256),N256*Factor_Model!$B$5,0)+IF(ISNUMBER(Q256),Q256*Factor_Model!$B$6,0)+IF(ISNUMBER(T256),T256*Factor_Model!$B$7,0))/(IF(ISNUMBER(K256),Factor_Model!$B$4,0)+IF(ISNUMBER(N256),Factor_Model!$B$5,0)+IF(ISNUMBER(Q256),Factor_Model!$B$6,0)+IF(ISNUMBER(T256),Factor_Model!$B$7,0)))</x:f>
        <x:v>2.75</x:v>
      </x:c>
      <x:c r="Y256" s="20" t="str">
        <x:f>IF(W256=0,"No source",IF(W256&lt;1,"Partial source","Source-complete"))</x:f>
        <x:v>Source-complete</x:v>
      </x:c>
      <x:c r="Z256" s="20" t="str">
        <x:v>Automated screening pass: row uses a primary source URL by actor/subfactor; verify with country-specific evidence before final analytical use.</x:v>
      </x:c>
      <x:c r="AA256" s="20" t="str">
        <x:v>2026-05-20</x:v>
      </x:c>
      <x:c r="AB256" s="20" t="str">
        <x:v>GPT-5.5 Pro</x:v>
      </x:c>
    </x:row>
    <x:row r="257" ht="24" customHeight="1">
      <x:c r="A257" s="20" t="str">
        <x:v>MLI|European Union</x:v>
      </x:c>
      <x:c r="B257" s="20" t="str">
        <x:v>Mali</x:v>
      </x:c>
      <x:c r="C257" s="20" t="str">
        <x:v>Republic of Mali</x:v>
      </x:c>
      <x:c r="D257" s="20" t="str">
        <x:v>ML</x:v>
      </x:c>
      <x:c r="E257" s="20" t="str">
        <x:v>MLI</x:v>
      </x:c>
      <x:c r="F257" s="20" t="str">
        <x:v>466</x:v>
      </x:c>
      <x:c r="G257" s="20" t="str">
        <x:v>Africa</x:v>
      </x:c>
      <x:c r="H257" s="20" t="str">
        <x:v>Western Africa</x:v>
      </x:c>
      <x:c r="I257" s="20" t="str">
        <x:v>European Union</x:v>
      </x:c>
      <x:c r="J257" s="20" t="str">
        <x:v>EU influence</x:v>
      </x:c>
      <x:c r="K257" s="384" t="n">
        <x:v>3</x:v>
      </x:c>
      <x:c r="L257" s="396" t="n">
        <x:v>3</x:v>
      </x:c>
      <x:c r="M257" s="397" t="str">
        <x:v>https://www.eeas.europa.eu/eeas/public-diplomacy_en</x:v>
      </x:c>
      <x:c r="N257" s="384" t="n">
        <x:v>1</x:v>
      </x:c>
      <x:c r="O257" s="396" t="n">
        <x:v>2</x:v>
      </x:c>
      <x:c r="P257" s="397" t="str">
        <x:v>https://www.eeas.europa.eu/eeas/missions-and-operations_en</x:v>
      </x:c>
      <x:c r="Q257" s="384" t="n">
        <x:v>1</x:v>
      </x:c>
      <x:c r="R257" s="396" t="n">
        <x:v>2</x:v>
      </x:c>
      <x:c r="S257" s="397" t="str">
        <x:v>https://www.eeas.europa.eu/eeas/eu-election-observation-missions-1_en?page_lang=en</x:v>
      </x:c>
      <x:c r="T257" s="384" t="n">
        <x:v>3</x:v>
      </x:c>
      <x:c r="U257" s="396" t="n">
        <x:v>3</x:v>
      </x:c>
      <x:c r="V257" s="397" t="str">
        <x:v>https://www.eeas.europa.eu/eeas/missions-and-operations_en</x:v>
      </x:c>
      <x:c r="W257" s="385" t="n">
        <x:f>(--(M257&lt;&gt;"")+--(P257&lt;&gt;"")+--(S257&lt;&gt;"")+--(V257&lt;&gt;""))/4</x:f>
        <x:v>1</x:v>
      </x:c>
      <x:c r="X257" s="384" t="n">
        <x:f>IF(COUNT(K257,N257,Q257,T257)=0,"No data",(IF(ISNUMBER(K257),K257*Factor_Model!$B$4,0)+IF(ISNUMBER(N257),N257*Factor_Model!$B$5,0)+IF(ISNUMBER(Q257),Q257*Factor_Model!$B$6,0)+IF(ISNUMBER(T257),T257*Factor_Model!$B$7,0))/(IF(ISNUMBER(K257),Factor_Model!$B$4,0)+IF(ISNUMBER(N257),Factor_Model!$B$5,0)+IF(ISNUMBER(Q257),Factor_Model!$B$6,0)+IF(ISNUMBER(T257),Factor_Model!$B$7,0)))</x:f>
        <x:v>2</x:v>
      </x:c>
      <x:c r="Y257" s="20" t="str">
        <x:f>IF(W257=0,"No source",IF(W257&lt;1,"Partial source","Source-complete"))</x:f>
        <x:v>Source-complete</x:v>
      </x:c>
      <x:c r="Z257" s="20" t="str">
        <x:v>Automated screening pass: row uses a primary source URL by actor/subfactor; verify with country-specific evidence before final analytical use.</x:v>
      </x:c>
      <x:c r="AA257" s="20" t="str">
        <x:v>2026-05-20</x:v>
      </x:c>
      <x:c r="AB257" s="20" t="str">
        <x:v>GPT-5.5 Pro</x:v>
      </x:c>
    </x:row>
    <x:row r="258" ht="24" customHeight="1">
      <x:c r="A258" s="20" t="str">
        <x:v>MHL|Russia</x:v>
      </x:c>
      <x:c r="B258" s="20" t="str">
        <x:v>Marshall Islands</x:v>
      </x:c>
      <x:c r="C258" s="20" t="str">
        <x:v>Republic of the Marshall Islands</x:v>
      </x:c>
      <x:c r="D258" s="20" t="str">
        <x:v>MH</x:v>
      </x:c>
      <x:c r="E258" s="20" t="str">
        <x:v>MHL</x:v>
      </x:c>
      <x:c r="F258" s="20" t="str">
        <x:v>584</x:v>
      </x:c>
      <x:c r="G258" s="20" t="str">
        <x:v>Oceania</x:v>
      </x:c>
      <x:c r="H258" s="20" t="str">
        <x:v>Micronesia</x:v>
      </x:c>
      <x:c r="I258" s="20" t="str">
        <x:v>Russia</x:v>
      </x:c>
      <x:c r="J258" s="20" t="str">
        <x:v>Russian influence</x:v>
      </x:c>
      <x:c r="K258" s="384" t="n">
        <x:v>2</x:v>
      </x:c>
      <x:c r="L258" s="396" t="n">
        <x:v>2</x:v>
      </x:c>
      <x:c r="M258" s="397" t="str">
        <x:v>https://www.eeas.europa.eu/eeas/4th-eeas-annual-report-foreign-information-manipulation-and-interference-threats_en</x:v>
      </x:c>
      <x:c r="N258" s="384" t="n">
        <x:v>0</x:v>
      </x:c>
      <x:c r="O258" s="396" t="n">
        <x:v>1</x:v>
      </x:c>
      <x:c r="P258" s="397" t="str">
        <x:v>https://www.consilium.europa.eu/en/press/press-releases/2023/02/25/wagner-group-council-adds-11-individuals-and-7-entities-to-eu-sanctions-lists/</x:v>
      </x:c>
      <x:c r="Q258" s="384" t="n">
        <x:v>0</x:v>
      </x:c>
      <x:c r="R258" s="396" t="n">
        <x:v>1</x:v>
      </x:c>
      <x:c r="S258" s="397" t="str">
        <x:v>https://www.dni.gov/files/ODNI/documents/assessments/ATA-2026-Unclassified-Report.pdf</x:v>
      </x:c>
      <x:c r="T258" s="384" t="n">
        <x:v>0</x:v>
      </x:c>
      <x:c r="U258" s="396" t="n">
        <x:v>1</x:v>
      </x:c>
      <x:c r="V258" s="397" t="str">
        <x:v>https://www.consilium.europa.eu/en/press/press-releases/2023/02/25/wagner-group-council-adds-11-individuals-and-7-entities-to-eu-sanctions-lists/</x:v>
      </x:c>
      <x:c r="W258" s="385" t="n">
        <x:f>(--(M258&lt;&gt;"")+--(P258&lt;&gt;"")+--(S258&lt;&gt;"")+--(V258&lt;&gt;""))/4</x:f>
        <x:v>1</x:v>
      </x:c>
      <x:c r="X258" s="384" t="n">
        <x:f>IF(COUNT(K258,N258,Q258,T258)=0,"No data",(IF(ISNUMBER(K258),K258*Factor_Model!$B$4,0)+IF(ISNUMBER(N258),N258*Factor_Model!$B$5,0)+IF(ISNUMBER(Q258),Q258*Factor_Model!$B$6,0)+IF(ISNUMBER(T258),T258*Factor_Model!$B$7,0))/(IF(ISNUMBER(K258),Factor_Model!$B$4,0)+IF(ISNUMBER(N258),Factor_Model!$B$5,0)+IF(ISNUMBER(Q258),Factor_Model!$B$6,0)+IF(ISNUMBER(T258),Factor_Model!$B$7,0)))</x:f>
        <x:v>0.5</x:v>
      </x:c>
      <x:c r="Y258" s="20" t="str">
        <x:f>IF(W258=0,"No source",IF(W258&lt;1,"Partial source","Source-complete"))</x:f>
        <x:v>Source-complete</x:v>
      </x:c>
      <x:c r="Z258" s="20" t="str">
        <x:v>Automated screening pass: row uses a primary source URL by actor/subfactor; verify with country-specific evidence before final analytical use.</x:v>
      </x:c>
      <x:c r="AA258" s="20" t="str">
        <x:v>2026-05-20</x:v>
      </x:c>
      <x:c r="AB258" s="20" t="str">
        <x:v>GPT-5.5 Pro</x:v>
      </x:c>
    </x:row>
    <x:row r="259" ht="24" customHeight="1">
      <x:c r="A259" s="20" t="str">
        <x:v>MHL|China</x:v>
      </x:c>
      <x:c r="B259" s="20" t="str">
        <x:v>Marshall Islands</x:v>
      </x:c>
      <x:c r="C259" s="20" t="str">
        <x:v>Republic of the Marshall Islands</x:v>
      </x:c>
      <x:c r="D259" s="20" t="str">
        <x:v>MH</x:v>
      </x:c>
      <x:c r="E259" s="20" t="str">
        <x:v>MHL</x:v>
      </x:c>
      <x:c r="F259" s="20" t="str">
        <x:v>584</x:v>
      </x:c>
      <x:c r="G259" s="20" t="str">
        <x:v>Oceania</x:v>
      </x:c>
      <x:c r="H259" s="20" t="str">
        <x:v>Micronesia</x:v>
      </x:c>
      <x:c r="I259" s="20" t="str">
        <x:v>China</x:v>
      </x:c>
      <x:c r="J259" s="20" t="str">
        <x:v>Chinese influence</x:v>
      </x:c>
      <x:c r="K259" s="384" t="n">
        <x:v>7</x:v>
      </x:c>
      <x:c r="L259" s="396" t="n">
        <x:v>4</x:v>
      </x:c>
      <x:c r="M259" s="397" t="str">
        <x:v>https://www.eeas.europa.eu/eeas/4th-eeas-annual-report-foreign-information-manipulation-and-interference-threats_en</x:v>
      </x:c>
      <x:c r="N259" s="384" t="n">
        <x:v>1</x:v>
      </x:c>
      <x:c r="O259" s="396" t="n">
        <x:v>2</x:v>
      </x:c>
      <x:c r="P259" s="397" t="str">
        <x:v>https://merics.org/en/report/guardians-belt-and-road</x:v>
      </x:c>
      <x:c r="Q259" s="384" t="n">
        <x:v>3</x:v>
      </x:c>
      <x:c r="R259" s="396" t="n">
        <x:v>3</x:v>
      </x:c>
      <x:c r="S259" s="397" t="str">
        <x:v>https://www.eeas.europa.eu/eeas/4th-eeas-annual-report-foreign-information-manipulation-and-interference-threats_en</x:v>
      </x:c>
      <x:c r="T259" s="384" t="n">
        <x:v>2</x:v>
      </x:c>
      <x:c r="U259" s="396" t="n">
        <x:v>2</x:v>
      </x:c>
      <x:c r="V259" s="397" t="str">
        <x:v>https://merics.org/en/report/guardians-belt-and-road</x:v>
      </x:c>
      <x:c r="W259" s="385" t="n">
        <x:f>(--(M259&lt;&gt;"")+--(P259&lt;&gt;"")+--(S259&lt;&gt;"")+--(V259&lt;&gt;""))/4</x:f>
        <x:v>1</x:v>
      </x:c>
      <x:c r="X259" s="384" t="n">
        <x:f>IF(COUNT(K259,N259,Q259,T259)=0,"No data",(IF(ISNUMBER(K259),K259*Factor_Model!$B$4,0)+IF(ISNUMBER(N259),N259*Factor_Model!$B$5,0)+IF(ISNUMBER(Q259),Q259*Factor_Model!$B$6,0)+IF(ISNUMBER(T259),T259*Factor_Model!$B$7,0))/(IF(ISNUMBER(K259),Factor_Model!$B$4,0)+IF(ISNUMBER(N259),Factor_Model!$B$5,0)+IF(ISNUMBER(Q259),Factor_Model!$B$6,0)+IF(ISNUMBER(T259),Factor_Model!$B$7,0)))</x:f>
        <x:v>3.25</x:v>
      </x:c>
      <x:c r="Y259" s="20" t="str">
        <x:f>IF(W259=0,"No source",IF(W259&lt;1,"Partial source","Source-complete"))</x:f>
        <x:v>Source-complete</x:v>
      </x:c>
      <x:c r="Z259" s="20" t="str">
        <x:v>Automated screening pass: row uses a primary source URL by actor/subfactor; verify with country-specific evidence before final analytical use.</x:v>
      </x:c>
      <x:c r="AA259" s="20" t="str">
        <x:v>2026-05-20</x:v>
      </x:c>
      <x:c r="AB259" s="20" t="str">
        <x:v>GPT-5.5 Pro</x:v>
      </x:c>
    </x:row>
    <x:row r="260" ht="24" customHeight="1">
      <x:c r="A260" s="20" t="str">
        <x:v>MHL|United States</x:v>
      </x:c>
      <x:c r="B260" s="20" t="str">
        <x:v>Marshall Islands</x:v>
      </x:c>
      <x:c r="C260" s="20" t="str">
        <x:v>Republic of the Marshall Islands</x:v>
      </x:c>
      <x:c r="D260" s="20" t="str">
        <x:v>MH</x:v>
      </x:c>
      <x:c r="E260" s="20" t="str">
        <x:v>MHL</x:v>
      </x:c>
      <x:c r="F260" s="20" t="str">
        <x:v>584</x:v>
      </x:c>
      <x:c r="G260" s="20" t="str">
        <x:v>Oceania</x:v>
      </x:c>
      <x:c r="H260" s="20" t="str">
        <x:v>Micronesia</x:v>
      </x:c>
      <x:c r="I260" s="20" t="str">
        <x:v>United States</x:v>
      </x:c>
      <x:c r="J260" s="20" t="str">
        <x:v>American influence</x:v>
      </x:c>
      <x:c r="K260" s="384" t="n">
        <x:v>3</x:v>
      </x:c>
      <x:c r="L260" s="396" t="n">
        <x:v>3</x:v>
      </x:c>
      <x:c r="M260" s="397" t="str">
        <x:v>https://www.usagm.gov/our-work/strategy-and-results/strategic-priorities/research-reports/</x:v>
      </x:c>
      <x:c r="N260" s="384" t="n">
        <x:v>1</x:v>
      </x:c>
      <x:c r="O260" s="396" t="n">
        <x:v>2</x:v>
      </x:c>
      <x:c r="P260" s="397" t="str">
        <x:v>https://internationalpolicy.org/programs/sam/</x:v>
      </x:c>
      <x:c r="Q260" s="384" t="n">
        <x:v>1</x:v>
      </x:c>
      <x:c r="R260" s="396" t="n">
        <x:v>2</x:v>
      </x:c>
      <x:c r="S260" s="397" t="str">
        <x:v>https://www.ned.org/ned-grantmaking/</x:v>
      </x:c>
      <x:c r="T260" s="384" t="n">
        <x:v>2</x:v>
      </x:c>
      <x:c r="U260" s="396" t="n">
        <x:v>2</x:v>
      </x:c>
      <x:c r="V260" s="397" t="str">
        <x:v>https://internationalpolicy.org/programs/sam/</x:v>
      </x:c>
      <x:c r="W260" s="385" t="n">
        <x:f>(--(M260&lt;&gt;"")+--(P260&lt;&gt;"")+--(S260&lt;&gt;"")+--(V260&lt;&gt;""))/4</x:f>
        <x:v>1</x:v>
      </x:c>
      <x:c r="X260" s="384" t="n">
        <x:f>IF(COUNT(K260,N260,Q260,T260)=0,"No data",(IF(ISNUMBER(K260),K260*Factor_Model!$B$4,0)+IF(ISNUMBER(N260),N260*Factor_Model!$B$5,0)+IF(ISNUMBER(Q260),Q260*Factor_Model!$B$6,0)+IF(ISNUMBER(T260),T260*Factor_Model!$B$7,0))/(IF(ISNUMBER(K260),Factor_Model!$B$4,0)+IF(ISNUMBER(N260),Factor_Model!$B$5,0)+IF(ISNUMBER(Q260),Factor_Model!$B$6,0)+IF(ISNUMBER(T260),Factor_Model!$B$7,0)))</x:f>
        <x:v>1.75</x:v>
      </x:c>
      <x:c r="Y260" s="20" t="str">
        <x:f>IF(W260=0,"No source",IF(W260&lt;1,"Partial source","Source-complete"))</x:f>
        <x:v>Source-complete</x:v>
      </x:c>
      <x:c r="Z260" s="20" t="str">
        <x:v>Automated screening pass: row uses a primary source URL by actor/subfactor; verify with country-specific evidence before final analytical use.</x:v>
      </x:c>
      <x:c r="AA260" s="20" t="str">
        <x:v>2026-05-20</x:v>
      </x:c>
      <x:c r="AB260" s="20" t="str">
        <x:v>GPT-5.5 Pro</x:v>
      </x:c>
    </x:row>
    <x:row r="261" ht="24" customHeight="1">
      <x:c r="A261" s="20" t="str">
        <x:v>MHL|European Union</x:v>
      </x:c>
      <x:c r="B261" s="20" t="str">
        <x:v>Marshall Islands</x:v>
      </x:c>
      <x:c r="C261" s="20" t="str">
        <x:v>Republic of the Marshall Islands</x:v>
      </x:c>
      <x:c r="D261" s="20" t="str">
        <x:v>MH</x:v>
      </x:c>
      <x:c r="E261" s="20" t="str">
        <x:v>MHL</x:v>
      </x:c>
      <x:c r="F261" s="20" t="str">
        <x:v>584</x:v>
      </x:c>
      <x:c r="G261" s="20" t="str">
        <x:v>Oceania</x:v>
      </x:c>
      <x:c r="H261" s="20" t="str">
        <x:v>Micronesia</x:v>
      </x:c>
      <x:c r="I261" s="20" t="str">
        <x:v>European Union</x:v>
      </x:c>
      <x:c r="J261" s="20" t="str">
        <x:v>EU influence</x:v>
      </x:c>
      <x:c r="K261" s="384" t="n">
        <x:v>2</x:v>
      </x:c>
      <x:c r="L261" s="396" t="n">
        <x:v>2</x:v>
      </x:c>
      <x:c r="M261" s="397" t="str">
        <x:v>https://www.eeas.europa.eu/eeas/public-diplomacy_en</x:v>
      </x:c>
      <x:c r="N261" s="384" t="n">
        <x:v>0</x:v>
      </x:c>
      <x:c r="O261" s="396" t="n">
        <x:v>1</x:v>
      </x:c>
      <x:c r="P261" s="397" t="str">
        <x:v>https://www.eeas.europa.eu/eeas/missions-and-operations_en</x:v>
      </x:c>
      <x:c r="Q261" s="384" t="n">
        <x:v>1</x:v>
      </x:c>
      <x:c r="R261" s="396" t="n">
        <x:v>2</x:v>
      </x:c>
      <x:c r="S261" s="397" t="str">
        <x:v>https://www.eeas.europa.eu/eeas/eu-election-observation-missions-1_en?page_lang=en</x:v>
      </x:c>
      <x:c r="T261" s="384" t="n">
        <x:v>1</x:v>
      </x:c>
      <x:c r="U261" s="396" t="n">
        <x:v>2</x:v>
      </x:c>
      <x:c r="V261" s="397" t="str">
        <x:v>https://www.eeas.europa.eu/eeas/missions-and-operations_en</x:v>
      </x:c>
      <x:c r="W261" s="385" t="n">
        <x:f>(--(M261&lt;&gt;"")+--(P261&lt;&gt;"")+--(S261&lt;&gt;"")+--(V261&lt;&gt;""))/4</x:f>
        <x:v>1</x:v>
      </x:c>
      <x:c r="X261" s="384" t="n">
        <x:f>IF(COUNT(K261,N261,Q261,T261)=0,"No data",(IF(ISNUMBER(K261),K261*Factor_Model!$B$4,0)+IF(ISNUMBER(N261),N261*Factor_Model!$B$5,0)+IF(ISNUMBER(Q261),Q261*Factor_Model!$B$6,0)+IF(ISNUMBER(T261),T261*Factor_Model!$B$7,0))/(IF(ISNUMBER(K261),Factor_Model!$B$4,0)+IF(ISNUMBER(N261),Factor_Model!$B$5,0)+IF(ISNUMBER(Q261),Factor_Model!$B$6,0)+IF(ISNUMBER(T261),Factor_Model!$B$7,0)))</x:f>
        <x:v>1</x:v>
      </x:c>
      <x:c r="Y261" s="20" t="str">
        <x:f>IF(W261=0,"No source",IF(W261&lt;1,"Partial source","Source-complete"))</x:f>
        <x:v>Source-complete</x:v>
      </x:c>
      <x:c r="Z261" s="20" t="str">
        <x:v>Automated screening pass: row uses a primary source URL by actor/subfactor; verify with country-specific evidence before final analytical use.</x:v>
      </x:c>
      <x:c r="AA261" s="20" t="str">
        <x:v>2026-05-20</x:v>
      </x:c>
      <x:c r="AB261" s="20" t="str">
        <x:v>GPT-5.5 Pro</x:v>
      </x:c>
    </x:row>
    <x:row r="262" ht="24" customHeight="1">
      <x:c r="A262" s="20" t="str">
        <x:v>MRT|Russia</x:v>
      </x:c>
      <x:c r="B262" s="20" t="str">
        <x:v>Mauritania</x:v>
      </x:c>
      <x:c r="C262" s="20" t="str">
        <x:v>Islamic Republic of Mauritania</x:v>
      </x:c>
      <x:c r="D262" s="20" t="str">
        <x:v>MR</x:v>
      </x:c>
      <x:c r="E262" s="20" t="str">
        <x:v>MRT</x:v>
      </x:c>
      <x:c r="F262" s="20" t="str">
        <x:v>478</x:v>
      </x:c>
      <x:c r="G262" s="20" t="str">
        <x:v>Africa</x:v>
      </x:c>
      <x:c r="H262" s="20" t="str">
        <x:v>Western Africa</x:v>
      </x:c>
      <x:c r="I262" s="20" t="str">
        <x:v>Russia</x:v>
      </x:c>
      <x:c r="J262" s="20" t="str">
        <x:v>Russian influence</x:v>
      </x:c>
      <x:c r="K262" s="384" t="n">
        <x:v>4</x:v>
      </x:c>
      <x:c r="L262" s="396" t="n">
        <x:v>3</x:v>
      </x:c>
      <x:c r="M262" s="397" t="str">
        <x:v>https://www.eeas.europa.eu/eeas/4th-eeas-annual-report-foreign-information-manipulation-and-interference-threats_en</x:v>
      </x:c>
      <x:c r="N262" s="384" t="n">
        <x:v>1</x:v>
      </x:c>
      <x:c r="O262" s="396" t="n">
        <x:v>2</x:v>
      </x:c>
      <x:c r="P262" s="397" t="str">
        <x:v>https://www.consilium.europa.eu/en/press/press-releases/2023/02/25/wagner-group-council-adds-11-individuals-and-7-entities-to-eu-sanctions-lists/</x:v>
      </x:c>
      <x:c r="Q262" s="384" t="n">
        <x:v>1</x:v>
      </x:c>
      <x:c r="R262" s="396" t="n">
        <x:v>2</x:v>
      </x:c>
      <x:c r="S262" s="397" t="str">
        <x:v>https://www.dni.gov/files/ODNI/documents/assessments/ATA-2026-Unclassified-Report.pdf</x:v>
      </x:c>
      <x:c r="T262" s="384" t="n">
        <x:v>1</x:v>
      </x:c>
      <x:c r="U262" s="396" t="n">
        <x:v>2</x:v>
      </x:c>
      <x:c r="V262" s="397" t="str">
        <x:v>https://www.consilium.europa.eu/en/press/press-releases/2023/02/25/wagner-group-council-adds-11-individuals-and-7-entities-to-eu-sanctions-lists/</x:v>
      </x:c>
      <x:c r="W262" s="385" t="n">
        <x:f>(--(M262&lt;&gt;"")+--(P262&lt;&gt;"")+--(S262&lt;&gt;"")+--(V262&lt;&gt;""))/4</x:f>
        <x:v>1</x:v>
      </x:c>
      <x:c r="X262" s="384" t="n">
        <x:f>IF(COUNT(K262,N262,Q262,T262)=0,"No data",(IF(ISNUMBER(K262),K262*Factor_Model!$B$4,0)+IF(ISNUMBER(N262),N262*Factor_Model!$B$5,0)+IF(ISNUMBER(Q262),Q262*Factor_Model!$B$6,0)+IF(ISNUMBER(T262),T262*Factor_Model!$B$7,0))/(IF(ISNUMBER(K262),Factor_Model!$B$4,0)+IF(ISNUMBER(N262),Factor_Model!$B$5,0)+IF(ISNUMBER(Q262),Factor_Model!$B$6,0)+IF(ISNUMBER(T262),Factor_Model!$B$7,0)))</x:f>
        <x:v>1.75</x:v>
      </x:c>
      <x:c r="Y262" s="20" t="str">
        <x:f>IF(W262=0,"No source",IF(W262&lt;1,"Partial source","Source-complete"))</x:f>
        <x:v>Source-complete</x:v>
      </x:c>
      <x:c r="Z262" s="20" t="str">
        <x:v>Automated screening pass: row uses a primary source URL by actor/subfactor; verify with country-specific evidence before final analytical use.</x:v>
      </x:c>
      <x:c r="AA262" s="20" t="str">
        <x:v>2026-05-20</x:v>
      </x:c>
      <x:c r="AB262" s="20" t="str">
        <x:v>GPT-5.5 Pro</x:v>
      </x:c>
    </x:row>
    <x:row r="263" ht="24" customHeight="1">
      <x:c r="A263" s="20" t="str">
        <x:v>MRT|China</x:v>
      </x:c>
      <x:c r="B263" s="20" t="str">
        <x:v>Mauritania</x:v>
      </x:c>
      <x:c r="C263" s="20" t="str">
        <x:v>Islamic Republic of Mauritania</x:v>
      </x:c>
      <x:c r="D263" s="20" t="str">
        <x:v>MR</x:v>
      </x:c>
      <x:c r="E263" s="20" t="str">
        <x:v>MRT</x:v>
      </x:c>
      <x:c r="F263" s="20" t="str">
        <x:v>478</x:v>
      </x:c>
      <x:c r="G263" s="20" t="str">
        <x:v>Africa</x:v>
      </x:c>
      <x:c r="H263" s="20" t="str">
        <x:v>Western Africa</x:v>
      </x:c>
      <x:c r="I263" s="20" t="str">
        <x:v>China</x:v>
      </x:c>
      <x:c r="J263" s="20" t="str">
        <x:v>Chinese influence</x:v>
      </x:c>
      <x:c r="K263" s="384" t="n">
        <x:v>5</x:v>
      </x:c>
      <x:c r="L263" s="396" t="n">
        <x:v>3</x:v>
      </x:c>
      <x:c r="M263" s="397" t="str">
        <x:v>https://www.eeas.europa.eu/eeas/4th-eeas-annual-report-foreign-information-manipulation-and-interference-threats_en</x:v>
      </x:c>
      <x:c r="N263" s="384" t="n">
        <x:v>1</x:v>
      </x:c>
      <x:c r="O263" s="396" t="n">
        <x:v>2</x:v>
      </x:c>
      <x:c r="P263" s="397" t="str">
        <x:v>https://merics.org/en/report/guardians-belt-and-road</x:v>
      </x:c>
      <x:c r="Q263" s="384" t="n">
        <x:v>1</x:v>
      </x:c>
      <x:c r="R263" s="396" t="n">
        <x:v>2</x:v>
      </x:c>
      <x:c r="S263" s="397" t="str">
        <x:v>https://www.eeas.europa.eu/eeas/4th-eeas-annual-report-foreign-information-manipulation-and-interference-threats_en</x:v>
      </x:c>
      <x:c r="T263" s="384" t="n">
        <x:v>1</x:v>
      </x:c>
      <x:c r="U263" s="396" t="n">
        <x:v>2</x:v>
      </x:c>
      <x:c r="V263" s="397" t="str">
        <x:v>https://merics.org/en/report/guardians-belt-and-road</x:v>
      </x:c>
      <x:c r="W263" s="385" t="n">
        <x:f>(--(M263&lt;&gt;"")+--(P263&lt;&gt;"")+--(S263&lt;&gt;"")+--(V263&lt;&gt;""))/4</x:f>
        <x:v>1</x:v>
      </x:c>
      <x:c r="X263" s="384" t="n">
        <x:f>IF(COUNT(K263,N263,Q263,T263)=0,"No data",(IF(ISNUMBER(K263),K263*Factor_Model!$B$4,0)+IF(ISNUMBER(N263),N263*Factor_Model!$B$5,0)+IF(ISNUMBER(Q263),Q263*Factor_Model!$B$6,0)+IF(ISNUMBER(T263),T263*Factor_Model!$B$7,0))/(IF(ISNUMBER(K263),Factor_Model!$B$4,0)+IF(ISNUMBER(N263),Factor_Model!$B$5,0)+IF(ISNUMBER(Q263),Factor_Model!$B$6,0)+IF(ISNUMBER(T263),Factor_Model!$B$7,0)))</x:f>
        <x:v>2</x:v>
      </x:c>
      <x:c r="Y263" s="20" t="str">
        <x:f>IF(W263=0,"No source",IF(W263&lt;1,"Partial source","Source-complete"))</x:f>
        <x:v>Source-complete</x:v>
      </x:c>
      <x:c r="Z263" s="20" t="str">
        <x:v>Automated screening pass: row uses a primary source URL by actor/subfactor; verify with country-specific evidence before final analytical use.</x:v>
      </x:c>
      <x:c r="AA263" s="20" t="str">
        <x:v>2026-05-20</x:v>
      </x:c>
      <x:c r="AB263" s="20" t="str">
        <x:v>GPT-5.5 Pro</x:v>
      </x:c>
    </x:row>
    <x:row r="264" ht="24" customHeight="1">
      <x:c r="A264" s="20" t="str">
        <x:v>MRT|United States</x:v>
      </x:c>
      <x:c r="B264" s="20" t="str">
        <x:v>Mauritania</x:v>
      </x:c>
      <x:c r="C264" s="20" t="str">
        <x:v>Islamic Republic of Mauritania</x:v>
      </x:c>
      <x:c r="D264" s="20" t="str">
        <x:v>MR</x:v>
      </x:c>
      <x:c r="E264" s="20" t="str">
        <x:v>MRT</x:v>
      </x:c>
      <x:c r="F264" s="20" t="str">
        <x:v>478</x:v>
      </x:c>
      <x:c r="G264" s="20" t="str">
        <x:v>Africa</x:v>
      </x:c>
      <x:c r="H264" s="20" t="str">
        <x:v>Western Africa</x:v>
      </x:c>
      <x:c r="I264" s="20" t="str">
        <x:v>United States</x:v>
      </x:c>
      <x:c r="J264" s="20" t="str">
        <x:v>American influence</x:v>
      </x:c>
      <x:c r="K264" s="384" t="n">
        <x:v>4</x:v>
      </x:c>
      <x:c r="L264" s="396" t="n">
        <x:v>3</x:v>
      </x:c>
      <x:c r="M264" s="397" t="str">
        <x:v>https://www.usagm.gov/our-work/strategy-and-results/strategic-priorities/research-reports/</x:v>
      </x:c>
      <x:c r="N264" s="384" t="n">
        <x:v>2</x:v>
      </x:c>
      <x:c r="O264" s="396" t="n">
        <x:v>2</x:v>
      </x:c>
      <x:c r="P264" s="397" t="str">
        <x:v>https://internationalpolicy.org/programs/sam/</x:v>
      </x:c>
      <x:c r="Q264" s="384" t="n">
        <x:v>2</x:v>
      </x:c>
      <x:c r="R264" s="396" t="n">
        <x:v>2</x:v>
      </x:c>
      <x:c r="S264" s="397" t="str">
        <x:v>https://www.ned.org/ned-grantmaking/</x:v>
      </x:c>
      <x:c r="T264" s="384" t="n">
        <x:v>3</x:v>
      </x:c>
      <x:c r="U264" s="396" t="n">
        <x:v>3</x:v>
      </x:c>
      <x:c r="V264" s="397" t="str">
        <x:v>https://internationalpolicy.org/programs/sam/</x:v>
      </x:c>
      <x:c r="W264" s="385" t="n">
        <x:f>(--(M264&lt;&gt;"")+--(P264&lt;&gt;"")+--(S264&lt;&gt;"")+--(V264&lt;&gt;""))/4</x:f>
        <x:v>1</x:v>
      </x:c>
      <x:c r="X264" s="384" t="n">
        <x:f>IF(COUNT(K264,N264,Q264,T264)=0,"No data",(IF(ISNUMBER(K264),K264*Factor_Model!$B$4,0)+IF(ISNUMBER(N264),N264*Factor_Model!$B$5,0)+IF(ISNUMBER(Q264),Q264*Factor_Model!$B$6,0)+IF(ISNUMBER(T264),T264*Factor_Model!$B$7,0))/(IF(ISNUMBER(K264),Factor_Model!$B$4,0)+IF(ISNUMBER(N264),Factor_Model!$B$5,0)+IF(ISNUMBER(Q264),Factor_Model!$B$6,0)+IF(ISNUMBER(T264),Factor_Model!$B$7,0)))</x:f>
        <x:v>2.75</x:v>
      </x:c>
      <x:c r="Y264" s="20" t="str">
        <x:f>IF(W264=0,"No source",IF(W264&lt;1,"Partial source","Source-complete"))</x:f>
        <x:v>Source-complete</x:v>
      </x:c>
      <x:c r="Z264" s="20" t="str">
        <x:v>Automated screening pass: row uses a primary source URL by actor/subfactor; verify with country-specific evidence before final analytical use.</x:v>
      </x:c>
      <x:c r="AA264" s="20" t="str">
        <x:v>2026-05-20</x:v>
      </x:c>
      <x:c r="AB264" s="20" t="str">
        <x:v>GPT-5.5 Pro</x:v>
      </x:c>
    </x:row>
    <x:row r="265" ht="24" customHeight="1">
      <x:c r="A265" s="20" t="str">
        <x:v>MRT|European Union</x:v>
      </x:c>
      <x:c r="B265" s="20" t="str">
        <x:v>Mauritania</x:v>
      </x:c>
      <x:c r="C265" s="20" t="str">
        <x:v>Islamic Republic of Mauritania</x:v>
      </x:c>
      <x:c r="D265" s="20" t="str">
        <x:v>MR</x:v>
      </x:c>
      <x:c r="E265" s="20" t="str">
        <x:v>MRT</x:v>
      </x:c>
      <x:c r="F265" s="20" t="str">
        <x:v>478</x:v>
      </x:c>
      <x:c r="G265" s="20" t="str">
        <x:v>Africa</x:v>
      </x:c>
      <x:c r="H265" s="20" t="str">
        <x:v>Western Africa</x:v>
      </x:c>
      <x:c r="I265" s="20" t="str">
        <x:v>European Union</x:v>
      </x:c>
      <x:c r="J265" s="20" t="str">
        <x:v>EU influence</x:v>
      </x:c>
      <x:c r="K265" s="384" t="n">
        <x:v>3</x:v>
      </x:c>
      <x:c r="L265" s="396" t="n">
        <x:v>3</x:v>
      </x:c>
      <x:c r="M265" s="397" t="str">
        <x:v>https://www.eeas.europa.eu/eeas/public-diplomacy_en</x:v>
      </x:c>
      <x:c r="N265" s="384" t="n">
        <x:v>0</x:v>
      </x:c>
      <x:c r="O265" s="396" t="n">
        <x:v>1</x:v>
      </x:c>
      <x:c r="P265" s="397" t="str">
        <x:v>https://www.eeas.europa.eu/eeas/missions-and-operations_en</x:v>
      </x:c>
      <x:c r="Q265" s="384" t="n">
        <x:v>1</x:v>
      </x:c>
      <x:c r="R265" s="396" t="n">
        <x:v>2</x:v>
      </x:c>
      <x:c r="S265" s="397" t="str">
        <x:v>https://www.eeas.europa.eu/eeas/eu-election-observation-missions-1_en?page_lang=en</x:v>
      </x:c>
      <x:c r="T265" s="384" t="n">
        <x:v>2</x:v>
      </x:c>
      <x:c r="U265" s="396" t="n">
        <x:v>2</x:v>
      </x:c>
      <x:c r="V265" s="397" t="str">
        <x:v>https://www.eeas.europa.eu/eeas/missions-and-operations_en</x:v>
      </x:c>
      <x:c r="W265" s="385" t="n">
        <x:f>(--(M265&lt;&gt;"")+--(P265&lt;&gt;"")+--(S265&lt;&gt;"")+--(V265&lt;&gt;""))/4</x:f>
        <x:v>1</x:v>
      </x:c>
      <x:c r="X265" s="384" t="n">
        <x:f>IF(COUNT(K265,N265,Q265,T265)=0,"No data",(IF(ISNUMBER(K265),K265*Factor_Model!$B$4,0)+IF(ISNUMBER(N265),N265*Factor_Model!$B$5,0)+IF(ISNUMBER(Q265),Q265*Factor_Model!$B$6,0)+IF(ISNUMBER(T265),T265*Factor_Model!$B$7,0))/(IF(ISNUMBER(K265),Factor_Model!$B$4,0)+IF(ISNUMBER(N265),Factor_Model!$B$5,0)+IF(ISNUMBER(Q265),Factor_Model!$B$6,0)+IF(ISNUMBER(T265),Factor_Model!$B$7,0)))</x:f>
        <x:v>1.5</x:v>
      </x:c>
      <x:c r="Y265" s="20" t="str">
        <x:f>IF(W265=0,"No source",IF(W265&lt;1,"Partial source","Source-complete"))</x:f>
        <x:v>Source-complete</x:v>
      </x:c>
      <x:c r="Z265" s="20" t="str">
        <x:v>Automated screening pass: row uses a primary source URL by actor/subfactor; verify with country-specific evidence before final analytical use.</x:v>
      </x:c>
      <x:c r="AA265" s="20" t="str">
        <x:v>2026-05-20</x:v>
      </x:c>
      <x:c r="AB265" s="20" t="str">
        <x:v>GPT-5.5 Pro</x:v>
      </x:c>
    </x:row>
    <x:row r="266" ht="24" customHeight="1">
      <x:c r="A266" s="20" t="str">
        <x:v>MDA|Russia</x:v>
      </x:c>
      <x:c r="B266" s="20" t="str">
        <x:v>Moldova</x:v>
      </x:c>
      <x:c r="C266" s="20" t="str">
        <x:v>Republic of Moldova</x:v>
      </x:c>
      <x:c r="D266" s="20" t="str">
        <x:v>MD</x:v>
      </x:c>
      <x:c r="E266" s="20" t="str">
        <x:v>MDA</x:v>
      </x:c>
      <x:c r="F266" s="20" t="str">
        <x:v>498</x:v>
      </x:c>
      <x:c r="G266" s="20" t="str">
        <x:v>Europe</x:v>
      </x:c>
      <x:c r="H266" s="20" t="str">
        <x:v>Eastern Europe</x:v>
      </x:c>
      <x:c r="I266" s="20" t="str">
        <x:v>Russia</x:v>
      </x:c>
      <x:c r="J266" s="20" t="str">
        <x:v>Russian influence</x:v>
      </x:c>
      <x:c r="K266" s="384" t="n">
        <x:v>8</x:v>
      </x:c>
      <x:c r="L266" s="396" t="n">
        <x:v>4</x:v>
      </x:c>
      <x:c r="M266" s="397" t="str">
        <x:v>https://www.eeas.europa.eu/eeas/4th-eeas-annual-report-foreign-information-manipulation-and-interference-threats_en</x:v>
      </x:c>
      <x:c r="N266" s="384" t="n">
        <x:v>0</x:v>
      </x:c>
      <x:c r="O266" s="396" t="n">
        <x:v>1</x:v>
      </x:c>
      <x:c r="P266" s="397" t="str">
        <x:v>https://www.consilium.europa.eu/en/press/press-releases/2023/02/25/wagner-group-council-adds-11-individuals-and-7-entities-to-eu-sanctions-lists/</x:v>
      </x:c>
      <x:c r="Q266" s="384" t="n">
        <x:v>8</x:v>
      </x:c>
      <x:c r="R266" s="396" t="n">
        <x:v>4</x:v>
      </x:c>
      <x:c r="S266" s="397" t="str">
        <x:v>https://www.dni.gov/files/ODNI/documents/assessments/ATA-2026-Unclassified-Report.pdf</x:v>
      </x:c>
      <x:c r="T266" s="384" t="n">
        <x:v>0</x:v>
      </x:c>
      <x:c r="U266" s="396" t="n">
        <x:v>1</x:v>
      </x:c>
      <x:c r="V266" s="397" t="str">
        <x:v>https://www.consilium.europa.eu/en/press/press-releases/2023/02/25/wagner-group-council-adds-11-individuals-and-7-entities-to-eu-sanctions-lists/</x:v>
      </x:c>
      <x:c r="W266" s="385" t="n">
        <x:f>(--(M266&lt;&gt;"")+--(P266&lt;&gt;"")+--(S266&lt;&gt;"")+--(V266&lt;&gt;""))/4</x:f>
        <x:v>1</x:v>
      </x:c>
      <x:c r="X266" s="384" t="n">
        <x:f>IF(COUNT(K266,N266,Q266,T266)=0,"No data",(IF(ISNUMBER(K266),K266*Factor_Model!$B$4,0)+IF(ISNUMBER(N266),N266*Factor_Model!$B$5,0)+IF(ISNUMBER(Q266),Q266*Factor_Model!$B$6,0)+IF(ISNUMBER(T266),T266*Factor_Model!$B$7,0))/(IF(ISNUMBER(K266),Factor_Model!$B$4,0)+IF(ISNUMBER(N266),Factor_Model!$B$5,0)+IF(ISNUMBER(Q266),Factor_Model!$B$6,0)+IF(ISNUMBER(T266),Factor_Model!$B$7,0)))</x:f>
        <x:v>4</x:v>
      </x:c>
      <x:c r="Y266" s="20" t="str">
        <x:f>IF(W266=0,"No source",IF(W266&lt;1,"Partial source","Source-complete"))</x:f>
        <x:v>Source-complete</x:v>
      </x:c>
      <x:c r="Z266" s="20" t="str">
        <x:v>Automated screening pass: row uses a primary source URL by actor/subfactor; verify with country-specific evidence before final analytical use.</x:v>
      </x:c>
      <x:c r="AA266" s="20" t="str">
        <x:v>2026-05-20</x:v>
      </x:c>
      <x:c r="AB266" s="20" t="str">
        <x:v>GPT-5.5 Pro</x:v>
      </x:c>
    </x:row>
    <x:row r="267" ht="24" customHeight="1">
      <x:c r="A267" s="20" t="str">
        <x:v>MDA|China</x:v>
      </x:c>
      <x:c r="B267" s="20" t="str">
        <x:v>Moldova</x:v>
      </x:c>
      <x:c r="C267" s="20" t="str">
        <x:v>Republic of Moldova</x:v>
      </x:c>
      <x:c r="D267" s="20" t="str">
        <x:v>MD</x:v>
      </x:c>
      <x:c r="E267" s="20" t="str">
        <x:v>MDA</x:v>
      </x:c>
      <x:c r="F267" s="20" t="str">
        <x:v>498</x:v>
      </x:c>
      <x:c r="G267" s="20" t="str">
        <x:v>Europe</x:v>
      </x:c>
      <x:c r="H267" s="20" t="str">
        <x:v>Eastern Europe</x:v>
      </x:c>
      <x:c r="I267" s="20" t="str">
        <x:v>China</x:v>
      </x:c>
      <x:c r="J267" s="20" t="str">
        <x:v>Chinese influence</x:v>
      </x:c>
      <x:c r="K267" s="384" t="n">
        <x:v>4</x:v>
      </x:c>
      <x:c r="L267" s="396" t="n">
        <x:v>3</x:v>
      </x:c>
      <x:c r="M267" s="397" t="str">
        <x:v>https://www.eeas.europa.eu/eeas/4th-eeas-annual-report-foreign-information-manipulation-and-interference-threats_en</x:v>
      </x:c>
      <x:c r="N267" s="384" t="n">
        <x:v>0</x:v>
      </x:c>
      <x:c r="O267" s="396" t="n">
        <x:v>1</x:v>
      </x:c>
      <x:c r="P267" s="397" t="str">
        <x:v>https://merics.org/en/report/guardians-belt-and-road</x:v>
      </x:c>
      <x:c r="Q267" s="384" t="n">
        <x:v>2</x:v>
      </x:c>
      <x:c r="R267" s="396" t="n">
        <x:v>2</x:v>
      </x:c>
      <x:c r="S267" s="397" t="str">
        <x:v>https://www.eeas.europa.eu/eeas/4th-eeas-annual-report-foreign-information-manipulation-and-interference-threats_en</x:v>
      </x:c>
      <x:c r="T267" s="384" t="n">
        <x:v>0</x:v>
      </x:c>
      <x:c r="U267" s="396" t="n">
        <x:v>1</x:v>
      </x:c>
      <x:c r="V267" s="397" t="str">
        <x:v>https://merics.org/en/report/guardians-belt-and-road</x:v>
      </x:c>
      <x:c r="W267" s="385" t="n">
        <x:f>(--(M267&lt;&gt;"")+--(P267&lt;&gt;"")+--(S267&lt;&gt;"")+--(V267&lt;&gt;""))/4</x:f>
        <x:v>1</x:v>
      </x:c>
      <x:c r="X267" s="384" t="n">
        <x:f>IF(COUNT(K267,N267,Q267,T267)=0,"No data",(IF(ISNUMBER(K267),K267*Factor_Model!$B$4,0)+IF(ISNUMBER(N267),N267*Factor_Model!$B$5,0)+IF(ISNUMBER(Q267),Q267*Factor_Model!$B$6,0)+IF(ISNUMBER(T267),T267*Factor_Model!$B$7,0))/(IF(ISNUMBER(K267),Factor_Model!$B$4,0)+IF(ISNUMBER(N267),Factor_Model!$B$5,0)+IF(ISNUMBER(Q267),Factor_Model!$B$6,0)+IF(ISNUMBER(T267),Factor_Model!$B$7,0)))</x:f>
        <x:v>1.5</x:v>
      </x:c>
      <x:c r="Y267" s="20" t="str">
        <x:f>IF(W267=0,"No source",IF(W267&lt;1,"Partial source","Source-complete"))</x:f>
        <x:v>Source-complete</x:v>
      </x:c>
      <x:c r="Z267" s="20" t="str">
        <x:v>Automated screening pass: row uses a primary source URL by actor/subfactor; verify with country-specific evidence before final analytical use.</x:v>
      </x:c>
      <x:c r="AA267" s="20" t="str">
        <x:v>2026-05-20</x:v>
      </x:c>
      <x:c r="AB267" s="20" t="str">
        <x:v>GPT-5.5 Pro</x:v>
      </x:c>
    </x:row>
    <x:row r="268" ht="24" customHeight="1">
      <x:c r="A268" s="20" t="str">
        <x:v>MDA|United States</x:v>
      </x:c>
      <x:c r="B268" s="20" t="str">
        <x:v>Moldova</x:v>
      </x:c>
      <x:c r="C268" s="20" t="str">
        <x:v>Republic of Moldova</x:v>
      </x:c>
      <x:c r="D268" s="20" t="str">
        <x:v>MD</x:v>
      </x:c>
      <x:c r="E268" s="20" t="str">
        <x:v>MDA</x:v>
      </x:c>
      <x:c r="F268" s="20" t="str">
        <x:v>498</x:v>
      </x:c>
      <x:c r="G268" s="20" t="str">
        <x:v>Europe</x:v>
      </x:c>
      <x:c r="H268" s="20" t="str">
        <x:v>Eastern Europe</x:v>
      </x:c>
      <x:c r="I268" s="20" t="str">
        <x:v>United States</x:v>
      </x:c>
      <x:c r="J268" s="20" t="str">
        <x:v>American influence</x:v>
      </x:c>
      <x:c r="K268" s="384" t="n">
        <x:v>6</x:v>
      </x:c>
      <x:c r="L268" s="396" t="n">
        <x:v>4</x:v>
      </x:c>
      <x:c r="M268" s="397" t="str">
        <x:v>https://www.usagm.gov/our-work/strategy-and-results/strategic-priorities/research-reports/</x:v>
      </x:c>
      <x:c r="N268" s="384" t="n">
        <x:v>1</x:v>
      </x:c>
      <x:c r="O268" s="396" t="n">
        <x:v>2</x:v>
      </x:c>
      <x:c r="P268" s="397" t="str">
        <x:v>https://internationalpolicy.org/programs/sam/</x:v>
      </x:c>
      <x:c r="Q268" s="384" t="n">
        <x:v>4</x:v>
      </x:c>
      <x:c r="R268" s="396" t="n">
        <x:v>3</x:v>
      </x:c>
      <x:c r="S268" s="397" t="str">
        <x:v>https://www.ned.org/ned-grantmaking/</x:v>
      </x:c>
      <x:c r="T268" s="384" t="n">
        <x:v>2</x:v>
      </x:c>
      <x:c r="U268" s="396" t="n">
        <x:v>2</x:v>
      </x:c>
      <x:c r="V268" s="397" t="str">
        <x:v>https://internationalpolicy.org/programs/sam/</x:v>
      </x:c>
      <x:c r="W268" s="385" t="n">
        <x:f>(--(M268&lt;&gt;"")+--(P268&lt;&gt;"")+--(S268&lt;&gt;"")+--(V268&lt;&gt;""))/4</x:f>
        <x:v>1</x:v>
      </x:c>
      <x:c r="X268" s="384" t="n">
        <x:f>IF(COUNT(K268,N268,Q268,T268)=0,"No data",(IF(ISNUMBER(K268),K268*Factor_Model!$B$4,0)+IF(ISNUMBER(N268),N268*Factor_Model!$B$5,0)+IF(ISNUMBER(Q268),Q268*Factor_Model!$B$6,0)+IF(ISNUMBER(T268),T268*Factor_Model!$B$7,0))/(IF(ISNUMBER(K268),Factor_Model!$B$4,0)+IF(ISNUMBER(N268),Factor_Model!$B$5,0)+IF(ISNUMBER(Q268),Factor_Model!$B$6,0)+IF(ISNUMBER(T268),Factor_Model!$B$7,0)))</x:f>
        <x:v>3.25</x:v>
      </x:c>
      <x:c r="Y268" s="20" t="str">
        <x:f>IF(W268=0,"No source",IF(W268&lt;1,"Partial source","Source-complete"))</x:f>
        <x:v>Source-complete</x:v>
      </x:c>
      <x:c r="Z268" s="20" t="str">
        <x:v>Automated screening pass: row uses a primary source URL by actor/subfactor; verify with country-specific evidence before final analytical use.</x:v>
      </x:c>
      <x:c r="AA268" s="20" t="str">
        <x:v>2026-05-20</x:v>
      </x:c>
      <x:c r="AB268" s="20" t="str">
        <x:v>GPT-5.5 Pro</x:v>
      </x:c>
    </x:row>
    <x:row r="269" ht="24" customHeight="1">
      <x:c r="A269" s="20" t="str">
        <x:v>MDA|European Union</x:v>
      </x:c>
      <x:c r="B269" s="20" t="str">
        <x:v>Moldova</x:v>
      </x:c>
      <x:c r="C269" s="20" t="str">
        <x:v>Republic of Moldova</x:v>
      </x:c>
      <x:c r="D269" s="20" t="str">
        <x:v>MD</x:v>
      </x:c>
      <x:c r="E269" s="20" t="str">
        <x:v>MDA</x:v>
      </x:c>
      <x:c r="F269" s="20" t="str">
        <x:v>498</x:v>
      </x:c>
      <x:c r="G269" s="20" t="str">
        <x:v>Europe</x:v>
      </x:c>
      <x:c r="H269" s="20" t="str">
        <x:v>Eastern Europe</x:v>
      </x:c>
      <x:c r="I269" s="20" t="str">
        <x:v>European Union</x:v>
      </x:c>
      <x:c r="J269" s="20" t="str">
        <x:v>EU influence</x:v>
      </x:c>
      <x:c r="K269" s="384" t="n">
        <x:v>7</x:v>
      </x:c>
      <x:c r="L269" s="396" t="n">
        <x:v>4</x:v>
      </x:c>
      <x:c r="M269" s="397" t="str">
        <x:v>https://www.eeas.europa.eu/eeas/public-diplomacy_en</x:v>
      </x:c>
      <x:c r="N269" s="384" t="n">
        <x:v>1</x:v>
      </x:c>
      <x:c r="O269" s="396" t="n">
        <x:v>2</x:v>
      </x:c>
      <x:c r="P269" s="397" t="str">
        <x:v>https://www.eeas.europa.eu/eeas/missions-and-operations_en</x:v>
      </x:c>
      <x:c r="Q269" s="384" t="n">
        <x:v>3</x:v>
      </x:c>
      <x:c r="R269" s="396" t="n">
        <x:v>3</x:v>
      </x:c>
      <x:c r="S269" s="397" t="str">
        <x:v>https://www.eeas.europa.eu/eeas/eu-election-observation-missions-1_en?page_lang=en</x:v>
      </x:c>
      <x:c r="T269" s="384" t="n">
        <x:v>6</x:v>
      </x:c>
      <x:c r="U269" s="396" t="n">
        <x:v>4</x:v>
      </x:c>
      <x:c r="V269" s="397" t="str">
        <x:v>https://www.eeas.europa.eu/eeas/missions-and-operations_en</x:v>
      </x:c>
      <x:c r="W269" s="385" t="n">
        <x:f>(--(M269&lt;&gt;"")+--(P269&lt;&gt;"")+--(S269&lt;&gt;"")+--(V269&lt;&gt;""))/4</x:f>
        <x:v>1</x:v>
      </x:c>
      <x:c r="X269" s="384" t="n">
        <x:f>IF(COUNT(K269,N269,Q269,T269)=0,"No data",(IF(ISNUMBER(K269),K269*Factor_Model!$B$4,0)+IF(ISNUMBER(N269),N269*Factor_Model!$B$5,0)+IF(ISNUMBER(Q269),Q269*Factor_Model!$B$6,0)+IF(ISNUMBER(T269),T269*Factor_Model!$B$7,0))/(IF(ISNUMBER(K269),Factor_Model!$B$4,0)+IF(ISNUMBER(N269),Factor_Model!$B$5,0)+IF(ISNUMBER(Q269),Factor_Model!$B$6,0)+IF(ISNUMBER(T269),Factor_Model!$B$7,0)))</x:f>
        <x:v>4.25</x:v>
      </x:c>
      <x:c r="Y269" s="20" t="str">
        <x:f>IF(W269=0,"No source",IF(W269&lt;1,"Partial source","Source-complete"))</x:f>
        <x:v>Source-complete</x:v>
      </x:c>
      <x:c r="Z269" s="20" t="str">
        <x:v>Automated screening pass: row uses a primary source URL by actor/subfactor; verify with country-specific evidence before final analytical use.</x:v>
      </x:c>
      <x:c r="AA269" s="20" t="str">
        <x:v>2026-05-20</x:v>
      </x:c>
      <x:c r="AB269" s="20" t="str">
        <x:v>GPT-5.5 Pro</x:v>
      </x:c>
    </x:row>
    <x:row r="270" ht="24" customHeight="1">
      <x:c r="A270" s="20" t="str">
        <x:v>MNG|Russia</x:v>
      </x:c>
      <x:c r="B270" s="20" t="str">
        <x:v>Mongolia</x:v>
      </x:c>
      <x:c r="C270" s="20"/>
      <x:c r="D270" s="20" t="str">
        <x:v>MN</x:v>
      </x:c>
      <x:c r="E270" s="20" t="str">
        <x:v>MNG</x:v>
      </x:c>
      <x:c r="F270" s="20" t="str">
        <x:v>496</x:v>
      </x:c>
      <x:c r="G270" s="20" t="str">
        <x:v>Asia</x:v>
      </x:c>
      <x:c r="H270" s="20" t="str">
        <x:v>Eastern Asia</x:v>
      </x:c>
      <x:c r="I270" s="20" t="str">
        <x:v>Russia</x:v>
      </x:c>
      <x:c r="J270" s="20" t="str">
        <x:v>Russian influence</x:v>
      </x:c>
      <x:c r="K270" s="384" t="n">
        <x:v>2</x:v>
      </x:c>
      <x:c r="L270" s="396" t="n">
        <x:v>2</x:v>
      </x:c>
      <x:c r="M270" s="397" t="str">
        <x:v>https://www.eeas.europa.eu/eeas/4th-eeas-annual-report-foreign-information-manipulation-and-interference-threats_en</x:v>
      </x:c>
      <x:c r="N270" s="384" t="n">
        <x:v>0</x:v>
      </x:c>
      <x:c r="O270" s="396" t="n">
        <x:v>1</x:v>
      </x:c>
      <x:c r="P270" s="397" t="str">
        <x:v>https://www.consilium.europa.eu/en/press/press-releases/2023/02/25/wagner-group-council-adds-11-individuals-and-7-entities-to-eu-sanctions-lists/</x:v>
      </x:c>
      <x:c r="Q270" s="384" t="n">
        <x:v>0</x:v>
      </x:c>
      <x:c r="R270" s="396" t="n">
        <x:v>1</x:v>
      </x:c>
      <x:c r="S270" s="397" t="str">
        <x:v>https://www.dni.gov/files/ODNI/documents/assessments/ATA-2026-Unclassified-Report.pdf</x:v>
      </x:c>
      <x:c r="T270" s="384" t="n">
        <x:v>0</x:v>
      </x:c>
      <x:c r="U270" s="396" t="n">
        <x:v>1</x:v>
      </x:c>
      <x:c r="V270" s="397" t="str">
        <x:v>https://www.consilium.europa.eu/en/press/press-releases/2023/02/25/wagner-group-council-adds-11-individuals-and-7-entities-to-eu-sanctions-lists/</x:v>
      </x:c>
      <x:c r="W270" s="385" t="n">
        <x:f>(--(M270&lt;&gt;"")+--(P270&lt;&gt;"")+--(S270&lt;&gt;"")+--(V270&lt;&gt;""))/4</x:f>
        <x:v>1</x:v>
      </x:c>
      <x:c r="X270" s="384" t="n">
        <x:f>IF(COUNT(K270,N270,Q270,T270)=0,"No data",(IF(ISNUMBER(K270),K270*Factor_Model!$B$4,0)+IF(ISNUMBER(N270),N270*Factor_Model!$B$5,0)+IF(ISNUMBER(Q270),Q270*Factor_Model!$B$6,0)+IF(ISNUMBER(T270),T270*Factor_Model!$B$7,0))/(IF(ISNUMBER(K270),Factor_Model!$B$4,0)+IF(ISNUMBER(N270),Factor_Model!$B$5,0)+IF(ISNUMBER(Q270),Factor_Model!$B$6,0)+IF(ISNUMBER(T270),Factor_Model!$B$7,0)))</x:f>
        <x:v>0.5</x:v>
      </x:c>
      <x:c r="Y270" s="20" t="str">
        <x:f>IF(W270=0,"No source",IF(W270&lt;1,"Partial source","Source-complete"))</x:f>
        <x:v>Source-complete</x:v>
      </x:c>
      <x:c r="Z270" s="20" t="str">
        <x:v>Automated screening pass: row uses a primary source URL by actor/subfactor; verify with country-specific evidence before final analytical use.</x:v>
      </x:c>
      <x:c r="AA270" s="20" t="str">
        <x:v>2026-05-20</x:v>
      </x:c>
      <x:c r="AB270" s="20" t="str">
        <x:v>GPT-5.5 Pro</x:v>
      </x:c>
    </x:row>
    <x:row r="271" ht="24" customHeight="1">
      <x:c r="A271" s="20" t="str">
        <x:v>MNG|China</x:v>
      </x:c>
      <x:c r="B271" s="20" t="str">
        <x:v>Mongolia</x:v>
      </x:c>
      <x:c r="C271" s="20"/>
      <x:c r="D271" s="20" t="str">
        <x:v>MN</x:v>
      </x:c>
      <x:c r="E271" s="20" t="str">
        <x:v>MNG</x:v>
      </x:c>
      <x:c r="F271" s="20" t="str">
        <x:v>496</x:v>
      </x:c>
      <x:c r="G271" s="20" t="str">
        <x:v>Asia</x:v>
      </x:c>
      <x:c r="H271" s="20" t="str">
        <x:v>Eastern Asia</x:v>
      </x:c>
      <x:c r="I271" s="20" t="str">
        <x:v>China</x:v>
      </x:c>
      <x:c r="J271" s="20" t="str">
        <x:v>Chinese influence</x:v>
      </x:c>
      <x:c r="K271" s="384" t="n">
        <x:v>3</x:v>
      </x:c>
      <x:c r="L271" s="396" t="n">
        <x:v>3</x:v>
      </x:c>
      <x:c r="M271" s="397" t="str">
        <x:v>https://www.eeas.europa.eu/eeas/4th-eeas-annual-report-foreign-information-manipulation-and-interference-threats_en</x:v>
      </x:c>
      <x:c r="N271" s="384" t="n">
        <x:v>0</x:v>
      </x:c>
      <x:c r="O271" s="396" t="n">
        <x:v>1</x:v>
      </x:c>
      <x:c r="P271" s="397" t="str">
        <x:v>https://merics.org/en/report/guardians-belt-and-road</x:v>
      </x:c>
      <x:c r="Q271" s="384" t="n">
        <x:v>1</x:v>
      </x:c>
      <x:c r="R271" s="396" t="n">
        <x:v>2</x:v>
      </x:c>
      <x:c r="S271" s="397" t="str">
        <x:v>https://www.eeas.europa.eu/eeas/4th-eeas-annual-report-foreign-information-manipulation-and-interference-threats_en</x:v>
      </x:c>
      <x:c r="T271" s="384" t="n">
        <x:v>1</x:v>
      </x:c>
      <x:c r="U271" s="396" t="n">
        <x:v>2</x:v>
      </x:c>
      <x:c r="V271" s="397" t="str">
        <x:v>https://merics.org/en/report/guardians-belt-and-road</x:v>
      </x:c>
      <x:c r="W271" s="385" t="n">
        <x:f>(--(M271&lt;&gt;"")+--(P271&lt;&gt;"")+--(S271&lt;&gt;"")+--(V271&lt;&gt;""))/4</x:f>
        <x:v>1</x:v>
      </x:c>
      <x:c r="X271" s="384" t="n">
        <x:f>IF(COUNT(K271,N271,Q271,T271)=0,"No data",(IF(ISNUMBER(K271),K271*Factor_Model!$B$4,0)+IF(ISNUMBER(N271),N271*Factor_Model!$B$5,0)+IF(ISNUMBER(Q271),Q271*Factor_Model!$B$6,0)+IF(ISNUMBER(T271),T271*Factor_Model!$B$7,0))/(IF(ISNUMBER(K271),Factor_Model!$B$4,0)+IF(ISNUMBER(N271),Factor_Model!$B$5,0)+IF(ISNUMBER(Q271),Factor_Model!$B$6,0)+IF(ISNUMBER(T271),Factor_Model!$B$7,0)))</x:f>
        <x:v>1.25</x:v>
      </x:c>
      <x:c r="Y271" s="20" t="str">
        <x:f>IF(W271=0,"No source",IF(W271&lt;1,"Partial source","Source-complete"))</x:f>
        <x:v>Source-complete</x:v>
      </x:c>
      <x:c r="Z271" s="20" t="str">
        <x:v>Automated screening pass: row uses a primary source URL by actor/subfactor; verify with country-specific evidence before final analytical use.</x:v>
      </x:c>
      <x:c r="AA271" s="20" t="str">
        <x:v>2026-05-20</x:v>
      </x:c>
      <x:c r="AB271" s="20" t="str">
        <x:v>GPT-5.5 Pro</x:v>
      </x:c>
    </x:row>
    <x:row r="272" ht="24" customHeight="1">
      <x:c r="A272" s="20" t="str">
        <x:v>MNG|United States</x:v>
      </x:c>
      <x:c r="B272" s="20" t="str">
        <x:v>Mongolia</x:v>
      </x:c>
      <x:c r="C272" s="20"/>
      <x:c r="D272" s="20" t="str">
        <x:v>MN</x:v>
      </x:c>
      <x:c r="E272" s="20" t="str">
        <x:v>MNG</x:v>
      </x:c>
      <x:c r="F272" s="20" t="str">
        <x:v>496</x:v>
      </x:c>
      <x:c r="G272" s="20" t="str">
        <x:v>Asia</x:v>
      </x:c>
      <x:c r="H272" s="20" t="str">
        <x:v>Eastern Asia</x:v>
      </x:c>
      <x:c r="I272" s="20" t="str">
        <x:v>United States</x:v>
      </x:c>
      <x:c r="J272" s="20" t="str">
        <x:v>American influence</x:v>
      </x:c>
      <x:c r="K272" s="384" t="n">
        <x:v>3</x:v>
      </x:c>
      <x:c r="L272" s="396" t="n">
        <x:v>3</x:v>
      </x:c>
      <x:c r="M272" s="397" t="str">
        <x:v>https://www.usagm.gov/our-work/strategy-and-results/strategic-priorities/research-reports/</x:v>
      </x:c>
      <x:c r="N272" s="384" t="n">
        <x:v>1</x:v>
      </x:c>
      <x:c r="O272" s="396" t="n">
        <x:v>2</x:v>
      </x:c>
      <x:c r="P272" s="397" t="str">
        <x:v>https://internationalpolicy.org/programs/sam/</x:v>
      </x:c>
      <x:c r="Q272" s="384" t="n">
        <x:v>2</x:v>
      </x:c>
      <x:c r="R272" s="396" t="n">
        <x:v>2</x:v>
      </x:c>
      <x:c r="S272" s="397" t="str">
        <x:v>https://www.ned.org/ned-grantmaking/</x:v>
      </x:c>
      <x:c r="T272" s="384" t="n">
        <x:v>2</x:v>
      </x:c>
      <x:c r="U272" s="396" t="n">
        <x:v>2</x:v>
      </x:c>
      <x:c r="V272" s="397" t="str">
        <x:v>https://internationalpolicy.org/programs/sam/</x:v>
      </x:c>
      <x:c r="W272" s="385" t="n">
        <x:f>(--(M272&lt;&gt;"")+--(P272&lt;&gt;"")+--(S272&lt;&gt;"")+--(V272&lt;&gt;""))/4</x:f>
        <x:v>1</x:v>
      </x:c>
      <x:c r="X272" s="384" t="n">
        <x:f>IF(COUNT(K272,N272,Q272,T272)=0,"No data",(IF(ISNUMBER(K272),K272*Factor_Model!$B$4,0)+IF(ISNUMBER(N272),N272*Factor_Model!$B$5,0)+IF(ISNUMBER(Q272),Q272*Factor_Model!$B$6,0)+IF(ISNUMBER(T272),T272*Factor_Model!$B$7,0))/(IF(ISNUMBER(K272),Factor_Model!$B$4,0)+IF(ISNUMBER(N272),Factor_Model!$B$5,0)+IF(ISNUMBER(Q272),Factor_Model!$B$6,0)+IF(ISNUMBER(T272),Factor_Model!$B$7,0)))</x:f>
        <x:v>2</x:v>
      </x:c>
      <x:c r="Y272" s="20" t="str">
        <x:f>IF(W272=0,"No source",IF(W272&lt;1,"Partial source","Source-complete"))</x:f>
        <x:v>Source-complete</x:v>
      </x:c>
      <x:c r="Z272" s="20" t="str">
        <x:v>Automated screening pass: row uses a primary source URL by actor/subfactor; verify with country-specific evidence before final analytical use.</x:v>
      </x:c>
      <x:c r="AA272" s="20" t="str">
        <x:v>2026-05-20</x:v>
      </x:c>
      <x:c r="AB272" s="20" t="str">
        <x:v>GPT-5.5 Pro</x:v>
      </x:c>
    </x:row>
    <x:row r="273" ht="24" customHeight="1">
      <x:c r="A273" s="20" t="str">
        <x:v>MNG|European Union</x:v>
      </x:c>
      <x:c r="B273" s="20" t="str">
        <x:v>Mongolia</x:v>
      </x:c>
      <x:c r="C273" s="20"/>
      <x:c r="D273" s="20" t="str">
        <x:v>MN</x:v>
      </x:c>
      <x:c r="E273" s="20" t="str">
        <x:v>MNG</x:v>
      </x:c>
      <x:c r="F273" s="20" t="str">
        <x:v>496</x:v>
      </x:c>
      <x:c r="G273" s="20" t="str">
        <x:v>Asia</x:v>
      </x:c>
      <x:c r="H273" s="20" t="str">
        <x:v>Eastern Asia</x:v>
      </x:c>
      <x:c r="I273" s="20" t="str">
        <x:v>European Union</x:v>
      </x:c>
      <x:c r="J273" s="20" t="str">
        <x:v>EU influence</x:v>
      </x:c>
      <x:c r="K273" s="384" t="n">
        <x:v>2</x:v>
      </x:c>
      <x:c r="L273" s="396" t="n">
        <x:v>2</x:v>
      </x:c>
      <x:c r="M273" s="397" t="str">
        <x:v>https://www.eeas.europa.eu/eeas/public-diplomacy_en</x:v>
      </x:c>
      <x:c r="N273" s="384" t="n">
        <x:v>0</x:v>
      </x:c>
      <x:c r="O273" s="396" t="n">
        <x:v>1</x:v>
      </x:c>
      <x:c r="P273" s="397" t="str">
        <x:v>https://www.eeas.europa.eu/eeas/missions-and-operations_en</x:v>
      </x:c>
      <x:c r="Q273" s="384" t="n">
        <x:v>1</x:v>
      </x:c>
      <x:c r="R273" s="396" t="n">
        <x:v>2</x:v>
      </x:c>
      <x:c r="S273" s="397" t="str">
        <x:v>https://www.eeas.europa.eu/eeas/eu-election-observation-missions-1_en?page_lang=en</x:v>
      </x:c>
      <x:c r="T273" s="384" t="n">
        <x:v>2</x:v>
      </x:c>
      <x:c r="U273" s="396" t="n">
        <x:v>2</x:v>
      </x:c>
      <x:c r="V273" s="397" t="str">
        <x:v>https://www.eeas.europa.eu/eeas/missions-and-operations_en</x:v>
      </x:c>
      <x:c r="W273" s="385" t="n">
        <x:f>(--(M273&lt;&gt;"")+--(P273&lt;&gt;"")+--(S273&lt;&gt;"")+--(V273&lt;&gt;""))/4</x:f>
        <x:v>1</x:v>
      </x:c>
      <x:c r="X273" s="384" t="n">
        <x:f>IF(COUNT(K273,N273,Q273,T273)=0,"No data",(IF(ISNUMBER(K273),K273*Factor_Model!$B$4,0)+IF(ISNUMBER(N273),N273*Factor_Model!$B$5,0)+IF(ISNUMBER(Q273),Q273*Factor_Model!$B$6,0)+IF(ISNUMBER(T273),T273*Factor_Model!$B$7,0))/(IF(ISNUMBER(K273),Factor_Model!$B$4,0)+IF(ISNUMBER(N273),Factor_Model!$B$5,0)+IF(ISNUMBER(Q273),Factor_Model!$B$6,0)+IF(ISNUMBER(T273),Factor_Model!$B$7,0)))</x:f>
        <x:v>1.25</x:v>
      </x:c>
      <x:c r="Y273" s="20" t="str">
        <x:f>IF(W273=0,"No source",IF(W273&lt;1,"Partial source","Source-complete"))</x:f>
        <x:v>Source-complete</x:v>
      </x:c>
      <x:c r="Z273" s="20" t="str">
        <x:v>Automated screening pass: row uses a primary source URL by actor/subfactor; verify with country-specific evidence before final analytical use.</x:v>
      </x:c>
      <x:c r="AA273" s="20" t="str">
        <x:v>2026-05-20</x:v>
      </x:c>
      <x:c r="AB273" s="20" t="str">
        <x:v>GPT-5.5 Pro</x:v>
      </x:c>
    </x:row>
    <x:row r="274" ht="24" customHeight="1">
      <x:c r="A274" s="20" t="str">
        <x:v>MAR|Russia</x:v>
      </x:c>
      <x:c r="B274" s="20" t="str">
        <x:v>Morocco</x:v>
      </x:c>
      <x:c r="C274" s="20" t="str">
        <x:v>Kingdom of Morocco</x:v>
      </x:c>
      <x:c r="D274" s="20" t="str">
        <x:v>MA</x:v>
      </x:c>
      <x:c r="E274" s="20" t="str">
        <x:v>MAR</x:v>
      </x:c>
      <x:c r="F274" s="20" t="str">
        <x:v>504</x:v>
      </x:c>
      <x:c r="G274" s="20" t="str">
        <x:v>Africa</x:v>
      </x:c>
      <x:c r="H274" s="20" t="str">
        <x:v>Northern Africa</x:v>
      </x:c>
      <x:c r="I274" s="20" t="str">
        <x:v>Russia</x:v>
      </x:c>
      <x:c r="J274" s="20" t="str">
        <x:v>Russian influence</x:v>
      </x:c>
      <x:c r="K274" s="384" t="n">
        <x:v>5</x:v>
      </x:c>
      <x:c r="L274" s="396" t="n">
        <x:v>3</x:v>
      </x:c>
      <x:c r="M274" s="397" t="str">
        <x:v>https://www.eeas.europa.eu/eeas/4th-eeas-annual-report-foreign-information-manipulation-and-interference-threats_en</x:v>
      </x:c>
      <x:c r="N274" s="384" t="n">
        <x:v>1</x:v>
      </x:c>
      <x:c r="O274" s="396" t="n">
        <x:v>2</x:v>
      </x:c>
      <x:c r="P274" s="397" t="str">
        <x:v>https://www.consilium.europa.eu/en/press/press-releases/2023/02/25/wagner-group-council-adds-11-individuals-and-7-entities-to-eu-sanctions-lists/</x:v>
      </x:c>
      <x:c r="Q274" s="384" t="n">
        <x:v>1</x:v>
      </x:c>
      <x:c r="R274" s="396" t="n">
        <x:v>2</x:v>
      </x:c>
      <x:c r="S274" s="397" t="str">
        <x:v>https://www.dni.gov/files/ODNI/documents/assessments/ATA-2026-Unclassified-Report.pdf</x:v>
      </x:c>
      <x:c r="T274" s="384" t="n">
        <x:v>1</x:v>
      </x:c>
      <x:c r="U274" s="396" t="n">
        <x:v>2</x:v>
      </x:c>
      <x:c r="V274" s="397" t="str">
        <x:v>https://www.consilium.europa.eu/en/press/press-releases/2023/02/25/wagner-group-council-adds-11-individuals-and-7-entities-to-eu-sanctions-lists/</x:v>
      </x:c>
      <x:c r="W274" s="385" t="n">
        <x:f>(--(M274&lt;&gt;"")+--(P274&lt;&gt;"")+--(S274&lt;&gt;"")+--(V274&lt;&gt;""))/4</x:f>
        <x:v>1</x:v>
      </x:c>
      <x:c r="X274" s="384" t="n">
        <x:f>IF(COUNT(K274,N274,Q274,T274)=0,"No data",(IF(ISNUMBER(K274),K274*Factor_Model!$B$4,0)+IF(ISNUMBER(N274),N274*Factor_Model!$B$5,0)+IF(ISNUMBER(Q274),Q274*Factor_Model!$B$6,0)+IF(ISNUMBER(T274),T274*Factor_Model!$B$7,0))/(IF(ISNUMBER(K274),Factor_Model!$B$4,0)+IF(ISNUMBER(N274),Factor_Model!$B$5,0)+IF(ISNUMBER(Q274),Factor_Model!$B$6,0)+IF(ISNUMBER(T274),Factor_Model!$B$7,0)))</x:f>
        <x:v>2</x:v>
      </x:c>
      <x:c r="Y274" s="20" t="str">
        <x:f>IF(W274=0,"No source",IF(W274&lt;1,"Partial source","Source-complete"))</x:f>
        <x:v>Source-complete</x:v>
      </x:c>
      <x:c r="Z274" s="20" t="str">
        <x:v>Automated screening pass: row uses a primary source URL by actor/subfactor; verify with country-specific evidence before final analytical use.</x:v>
      </x:c>
      <x:c r="AA274" s="20" t="str">
        <x:v>2026-05-20</x:v>
      </x:c>
      <x:c r="AB274" s="20" t="str">
        <x:v>GPT-5.5 Pro</x:v>
      </x:c>
    </x:row>
    <x:row r="275" ht="24" customHeight="1">
      <x:c r="A275" s="20" t="str">
        <x:v>MAR|China</x:v>
      </x:c>
      <x:c r="B275" s="20" t="str">
        <x:v>Morocco</x:v>
      </x:c>
      <x:c r="C275" s="20" t="str">
        <x:v>Kingdom of Morocco</x:v>
      </x:c>
      <x:c r="D275" s="20" t="str">
        <x:v>MA</x:v>
      </x:c>
      <x:c r="E275" s="20" t="str">
        <x:v>MAR</x:v>
      </x:c>
      <x:c r="F275" s="20" t="str">
        <x:v>504</x:v>
      </x:c>
      <x:c r="G275" s="20" t="str">
        <x:v>Africa</x:v>
      </x:c>
      <x:c r="H275" s="20" t="str">
        <x:v>Northern Africa</x:v>
      </x:c>
      <x:c r="I275" s="20" t="str">
        <x:v>China</x:v>
      </x:c>
      <x:c r="J275" s="20" t="str">
        <x:v>Chinese influence</x:v>
      </x:c>
      <x:c r="K275" s="384" t="n">
        <x:v>5</x:v>
      </x:c>
      <x:c r="L275" s="396" t="n">
        <x:v>3</x:v>
      </x:c>
      <x:c r="M275" s="397" t="str">
        <x:v>https://www.eeas.europa.eu/eeas/4th-eeas-annual-report-foreign-information-manipulation-and-interference-threats_en</x:v>
      </x:c>
      <x:c r="N275" s="384" t="n">
        <x:v>1</x:v>
      </x:c>
      <x:c r="O275" s="396" t="n">
        <x:v>2</x:v>
      </x:c>
      <x:c r="P275" s="397" t="str">
        <x:v>https://merics.org/en/report/guardians-belt-and-road</x:v>
      </x:c>
      <x:c r="Q275" s="384" t="n">
        <x:v>1</x:v>
      </x:c>
      <x:c r="R275" s="396" t="n">
        <x:v>2</x:v>
      </x:c>
      <x:c r="S275" s="397" t="str">
        <x:v>https://www.eeas.europa.eu/eeas/4th-eeas-annual-report-foreign-information-manipulation-and-interference-threats_en</x:v>
      </x:c>
      <x:c r="T275" s="384" t="n">
        <x:v>1</x:v>
      </x:c>
      <x:c r="U275" s="396" t="n">
        <x:v>2</x:v>
      </x:c>
      <x:c r="V275" s="397" t="str">
        <x:v>https://merics.org/en/report/guardians-belt-and-road</x:v>
      </x:c>
      <x:c r="W275" s="385" t="n">
        <x:f>(--(M275&lt;&gt;"")+--(P275&lt;&gt;"")+--(S275&lt;&gt;"")+--(V275&lt;&gt;""))/4</x:f>
        <x:v>1</x:v>
      </x:c>
      <x:c r="X275" s="384" t="n">
        <x:f>IF(COUNT(K275,N275,Q275,T275)=0,"No data",(IF(ISNUMBER(K275),K275*Factor_Model!$B$4,0)+IF(ISNUMBER(N275),N275*Factor_Model!$B$5,0)+IF(ISNUMBER(Q275),Q275*Factor_Model!$B$6,0)+IF(ISNUMBER(T275),T275*Factor_Model!$B$7,0))/(IF(ISNUMBER(K275),Factor_Model!$B$4,0)+IF(ISNUMBER(N275),Factor_Model!$B$5,0)+IF(ISNUMBER(Q275),Factor_Model!$B$6,0)+IF(ISNUMBER(T275),Factor_Model!$B$7,0)))</x:f>
        <x:v>2</x:v>
      </x:c>
      <x:c r="Y275" s="20" t="str">
        <x:f>IF(W275=0,"No source",IF(W275&lt;1,"Partial source","Source-complete"))</x:f>
        <x:v>Source-complete</x:v>
      </x:c>
      <x:c r="Z275" s="20" t="str">
        <x:v>Automated screening pass: row uses a primary source URL by actor/subfactor; verify with country-specific evidence before final analytical use.</x:v>
      </x:c>
      <x:c r="AA275" s="20" t="str">
        <x:v>2026-05-20</x:v>
      </x:c>
      <x:c r="AB275" s="20" t="str">
        <x:v>GPT-5.5 Pro</x:v>
      </x:c>
    </x:row>
    <x:row r="276" ht="24" customHeight="1">
      <x:c r="A276" s="20" t="str">
        <x:v>MAR|United States</x:v>
      </x:c>
      <x:c r="B276" s="20" t="str">
        <x:v>Morocco</x:v>
      </x:c>
      <x:c r="C276" s="20" t="str">
        <x:v>Kingdom of Morocco</x:v>
      </x:c>
      <x:c r="D276" s="20" t="str">
        <x:v>MA</x:v>
      </x:c>
      <x:c r="E276" s="20" t="str">
        <x:v>MAR</x:v>
      </x:c>
      <x:c r="F276" s="20" t="str">
        <x:v>504</x:v>
      </x:c>
      <x:c r="G276" s="20" t="str">
        <x:v>Africa</x:v>
      </x:c>
      <x:c r="H276" s="20" t="str">
        <x:v>Northern Africa</x:v>
      </x:c>
      <x:c r="I276" s="20" t="str">
        <x:v>United States</x:v>
      </x:c>
      <x:c r="J276" s="20" t="str">
        <x:v>American influence</x:v>
      </x:c>
      <x:c r="K276" s="384" t="n">
        <x:v>4</x:v>
      </x:c>
      <x:c r="L276" s="396" t="n">
        <x:v>3</x:v>
      </x:c>
      <x:c r="M276" s="397" t="str">
        <x:v>https://www.usagm.gov/our-work/strategy-and-results/strategic-priorities/research-reports/</x:v>
      </x:c>
      <x:c r="N276" s="384" t="n">
        <x:v>2</x:v>
      </x:c>
      <x:c r="O276" s="396" t="n">
        <x:v>2</x:v>
      </x:c>
      <x:c r="P276" s="397" t="str">
        <x:v>https://internationalpolicy.org/programs/sam/</x:v>
      </x:c>
      <x:c r="Q276" s="384" t="n">
        <x:v>2</x:v>
      </x:c>
      <x:c r="R276" s="396" t="n">
        <x:v>2</x:v>
      </x:c>
      <x:c r="S276" s="397" t="str">
        <x:v>https://www.ned.org/ned-grantmaking/</x:v>
      </x:c>
      <x:c r="T276" s="384" t="n">
        <x:v>3</x:v>
      </x:c>
      <x:c r="U276" s="396" t="n">
        <x:v>3</x:v>
      </x:c>
      <x:c r="V276" s="397" t="str">
        <x:v>https://internationalpolicy.org/programs/sam/</x:v>
      </x:c>
      <x:c r="W276" s="385" t="n">
        <x:f>(--(M276&lt;&gt;"")+--(P276&lt;&gt;"")+--(S276&lt;&gt;"")+--(V276&lt;&gt;""))/4</x:f>
        <x:v>1</x:v>
      </x:c>
      <x:c r="X276" s="384" t="n">
        <x:f>IF(COUNT(K276,N276,Q276,T276)=0,"No data",(IF(ISNUMBER(K276),K276*Factor_Model!$B$4,0)+IF(ISNUMBER(N276),N276*Factor_Model!$B$5,0)+IF(ISNUMBER(Q276),Q276*Factor_Model!$B$6,0)+IF(ISNUMBER(T276),T276*Factor_Model!$B$7,0))/(IF(ISNUMBER(K276),Factor_Model!$B$4,0)+IF(ISNUMBER(N276),Factor_Model!$B$5,0)+IF(ISNUMBER(Q276),Factor_Model!$B$6,0)+IF(ISNUMBER(T276),Factor_Model!$B$7,0)))</x:f>
        <x:v>2.75</x:v>
      </x:c>
      <x:c r="Y276" s="20" t="str">
        <x:f>IF(W276=0,"No source",IF(W276&lt;1,"Partial source","Source-complete"))</x:f>
        <x:v>Source-complete</x:v>
      </x:c>
      <x:c r="Z276" s="20" t="str">
        <x:v>Automated screening pass: row uses a primary source URL by actor/subfactor; verify with country-specific evidence before final analytical use.</x:v>
      </x:c>
      <x:c r="AA276" s="20" t="str">
        <x:v>2026-05-20</x:v>
      </x:c>
      <x:c r="AB276" s="20" t="str">
        <x:v>GPT-5.5 Pro</x:v>
      </x:c>
    </x:row>
    <x:row r="277" ht="24" customHeight="1">
      <x:c r="A277" s="20" t="str">
        <x:v>MAR|European Union</x:v>
      </x:c>
      <x:c r="B277" s="20" t="str">
        <x:v>Morocco</x:v>
      </x:c>
      <x:c r="C277" s="20" t="str">
        <x:v>Kingdom of Morocco</x:v>
      </x:c>
      <x:c r="D277" s="20" t="str">
        <x:v>MA</x:v>
      </x:c>
      <x:c r="E277" s="20" t="str">
        <x:v>MAR</x:v>
      </x:c>
      <x:c r="F277" s="20" t="str">
        <x:v>504</x:v>
      </x:c>
      <x:c r="G277" s="20" t="str">
        <x:v>Africa</x:v>
      </x:c>
      <x:c r="H277" s="20" t="str">
        <x:v>Northern Africa</x:v>
      </x:c>
      <x:c r="I277" s="20" t="str">
        <x:v>European Union</x:v>
      </x:c>
      <x:c r="J277" s="20" t="str">
        <x:v>EU influence</x:v>
      </x:c>
      <x:c r="K277" s="384" t="n">
        <x:v>3</x:v>
      </x:c>
      <x:c r="L277" s="396" t="n">
        <x:v>3</x:v>
      </x:c>
      <x:c r="M277" s="397" t="str">
        <x:v>https://www.eeas.europa.eu/eeas/public-diplomacy_en</x:v>
      </x:c>
      <x:c r="N277" s="384" t="n">
        <x:v>0</x:v>
      </x:c>
      <x:c r="O277" s="396" t="n">
        <x:v>1</x:v>
      </x:c>
      <x:c r="P277" s="397" t="str">
        <x:v>https://www.eeas.europa.eu/eeas/missions-and-operations_en</x:v>
      </x:c>
      <x:c r="Q277" s="384" t="n">
        <x:v>1</x:v>
      </x:c>
      <x:c r="R277" s="396" t="n">
        <x:v>2</x:v>
      </x:c>
      <x:c r="S277" s="397" t="str">
        <x:v>https://www.eeas.europa.eu/eeas/eu-election-observation-missions-1_en?page_lang=en</x:v>
      </x:c>
      <x:c r="T277" s="384" t="n">
        <x:v>2</x:v>
      </x:c>
      <x:c r="U277" s="396" t="n">
        <x:v>2</x:v>
      </x:c>
      <x:c r="V277" s="397" t="str">
        <x:v>https://www.eeas.europa.eu/eeas/missions-and-operations_en</x:v>
      </x:c>
      <x:c r="W277" s="385" t="n">
        <x:f>(--(M277&lt;&gt;"")+--(P277&lt;&gt;"")+--(S277&lt;&gt;"")+--(V277&lt;&gt;""))/4</x:f>
        <x:v>1</x:v>
      </x:c>
      <x:c r="X277" s="384" t="n">
        <x:f>IF(COUNT(K277,N277,Q277,T277)=0,"No data",(IF(ISNUMBER(K277),K277*Factor_Model!$B$4,0)+IF(ISNUMBER(N277),N277*Factor_Model!$B$5,0)+IF(ISNUMBER(Q277),Q277*Factor_Model!$B$6,0)+IF(ISNUMBER(T277),T277*Factor_Model!$B$7,0))/(IF(ISNUMBER(K277),Factor_Model!$B$4,0)+IF(ISNUMBER(N277),Factor_Model!$B$5,0)+IF(ISNUMBER(Q277),Factor_Model!$B$6,0)+IF(ISNUMBER(T277),Factor_Model!$B$7,0)))</x:f>
        <x:v>1.5</x:v>
      </x:c>
      <x:c r="Y277" s="20" t="str">
        <x:f>IF(W277=0,"No source",IF(W277&lt;1,"Partial source","Source-complete"))</x:f>
        <x:v>Source-complete</x:v>
      </x:c>
      <x:c r="Z277" s="20" t="str">
        <x:v>Automated screening pass: row uses a primary source URL by actor/subfactor; verify with country-specific evidence before final analytical use.</x:v>
      </x:c>
      <x:c r="AA277" s="20" t="str">
        <x:v>2026-05-20</x:v>
      </x:c>
      <x:c r="AB277" s="20" t="str">
        <x:v>GPT-5.5 Pro</x:v>
      </x:c>
    </x:row>
    <x:row r="278" ht="24" customHeight="1">
      <x:c r="A278" s="20" t="str">
        <x:v>MOZ|Russia</x:v>
      </x:c>
      <x:c r="B278" s="20" t="str">
        <x:v>Mozambique</x:v>
      </x:c>
      <x:c r="C278" s="20" t="str">
        <x:v>Republic of Mozambique</x:v>
      </x:c>
      <x:c r="D278" s="20" t="str">
        <x:v>MZ</x:v>
      </x:c>
      <x:c r="E278" s="20" t="str">
        <x:v>MOZ</x:v>
      </x:c>
      <x:c r="F278" s="20" t="str">
        <x:v>508</x:v>
      </x:c>
      <x:c r="G278" s="20" t="str">
        <x:v>Africa</x:v>
      </x:c>
      <x:c r="H278" s="20" t="str">
        <x:v>Eastern Africa</x:v>
      </x:c>
      <x:c r="I278" s="20" t="str">
        <x:v>Russia</x:v>
      </x:c>
      <x:c r="J278" s="20" t="str">
        <x:v>Russian influence</x:v>
      </x:c>
      <x:c r="K278" s="384" t="n">
        <x:v>4</x:v>
      </x:c>
      <x:c r="L278" s="396" t="n">
        <x:v>3</x:v>
      </x:c>
      <x:c r="M278" s="397" t="str">
        <x:v>https://www.eeas.europa.eu/eeas/4th-eeas-annual-report-foreign-information-manipulation-and-interference-threats_en</x:v>
      </x:c>
      <x:c r="N278" s="384" t="n">
        <x:v>5</x:v>
      </x:c>
      <x:c r="O278" s="396" t="n">
        <x:v>3</x:v>
      </x:c>
      <x:c r="P278" s="397" t="str">
        <x:v>https://www.consilium.europa.eu/en/press/press-releases/2023/02/25/wagner-group-council-adds-11-individuals-and-7-entities-to-eu-sanctions-lists/</x:v>
      </x:c>
      <x:c r="Q278" s="384" t="n">
        <x:v>1</x:v>
      </x:c>
      <x:c r="R278" s="396" t="n">
        <x:v>2</x:v>
      </x:c>
      <x:c r="S278" s="397" t="str">
        <x:v>https://www.dni.gov/files/ODNI/documents/assessments/ATA-2026-Unclassified-Report.pdf</x:v>
      </x:c>
      <x:c r="T278" s="384" t="n">
        <x:v>5</x:v>
      </x:c>
      <x:c r="U278" s="396" t="n">
        <x:v>3</x:v>
      </x:c>
      <x:c r="V278" s="397" t="str">
        <x:v>https://www.consilium.europa.eu/en/press/press-releases/2023/02/25/wagner-group-council-adds-11-individuals-and-7-entities-to-eu-sanctions-lists/</x:v>
      </x:c>
      <x:c r="W278" s="385" t="n">
        <x:f>(--(M278&lt;&gt;"")+--(P278&lt;&gt;"")+--(S278&lt;&gt;"")+--(V278&lt;&gt;""))/4</x:f>
        <x:v>1</x:v>
      </x:c>
      <x:c r="X278" s="384" t="n">
        <x:f>IF(COUNT(K278,N278,Q278,T278)=0,"No data",(IF(ISNUMBER(K278),K278*Factor_Model!$B$4,0)+IF(ISNUMBER(N278),N278*Factor_Model!$B$5,0)+IF(ISNUMBER(Q278),Q278*Factor_Model!$B$6,0)+IF(ISNUMBER(T278),T278*Factor_Model!$B$7,0))/(IF(ISNUMBER(K278),Factor_Model!$B$4,0)+IF(ISNUMBER(N278),Factor_Model!$B$5,0)+IF(ISNUMBER(Q278),Factor_Model!$B$6,0)+IF(ISNUMBER(T278),Factor_Model!$B$7,0)))</x:f>
        <x:v>3.75</x:v>
      </x:c>
      <x:c r="Y278" s="20" t="str">
        <x:f>IF(W278=0,"No source",IF(W278&lt;1,"Partial source","Source-complete"))</x:f>
        <x:v>Source-complete</x:v>
      </x:c>
      <x:c r="Z278" s="20" t="str">
        <x:v>Automated screening pass: row uses a primary source URL by actor/subfactor; verify with country-specific evidence before final analytical use.</x:v>
      </x:c>
      <x:c r="AA278" s="20" t="str">
        <x:v>2026-05-20</x:v>
      </x:c>
      <x:c r="AB278" s="20" t="str">
        <x:v>GPT-5.5 Pro</x:v>
      </x:c>
    </x:row>
    <x:row r="279" ht="24" customHeight="1">
      <x:c r="A279" s="20" t="str">
        <x:v>MOZ|China</x:v>
      </x:c>
      <x:c r="B279" s="20" t="str">
        <x:v>Mozambique</x:v>
      </x:c>
      <x:c r="C279" s="20" t="str">
        <x:v>Republic of Mozambique</x:v>
      </x:c>
      <x:c r="D279" s="20" t="str">
        <x:v>MZ</x:v>
      </x:c>
      <x:c r="E279" s="20" t="str">
        <x:v>MOZ</x:v>
      </x:c>
      <x:c r="F279" s="20" t="str">
        <x:v>508</x:v>
      </x:c>
      <x:c r="G279" s="20" t="str">
        <x:v>Africa</x:v>
      </x:c>
      <x:c r="H279" s="20" t="str">
        <x:v>Eastern Africa</x:v>
      </x:c>
      <x:c r="I279" s="20" t="str">
        <x:v>China</x:v>
      </x:c>
      <x:c r="J279" s="20" t="str">
        <x:v>Chinese influence</x:v>
      </x:c>
      <x:c r="K279" s="384" t="n">
        <x:v>5</x:v>
      </x:c>
      <x:c r="L279" s="396" t="n">
        <x:v>3</x:v>
      </x:c>
      <x:c r="M279" s="397" t="str">
        <x:v>https://www.eeas.europa.eu/eeas/4th-eeas-annual-report-foreign-information-manipulation-and-interference-threats_en</x:v>
      </x:c>
      <x:c r="N279" s="384" t="n">
        <x:v>2</x:v>
      </x:c>
      <x:c r="O279" s="396" t="n">
        <x:v>2</x:v>
      </x:c>
      <x:c r="P279" s="397" t="str">
        <x:v>https://merics.org/en/report/guardians-belt-and-road</x:v>
      </x:c>
      <x:c r="Q279" s="384" t="n">
        <x:v>1</x:v>
      </x:c>
      <x:c r="R279" s="396" t="n">
        <x:v>2</x:v>
      </x:c>
      <x:c r="S279" s="397" t="str">
        <x:v>https://www.eeas.europa.eu/eeas/4th-eeas-annual-report-foreign-information-manipulation-and-interference-threats_en</x:v>
      </x:c>
      <x:c r="T279" s="384" t="n">
        <x:v>3</x:v>
      </x:c>
      <x:c r="U279" s="396" t="n">
        <x:v>3</x:v>
      </x:c>
      <x:c r="V279" s="397" t="str">
        <x:v>https://merics.org/en/report/guardians-belt-and-road</x:v>
      </x:c>
      <x:c r="W279" s="385" t="n">
        <x:f>(--(M279&lt;&gt;"")+--(P279&lt;&gt;"")+--(S279&lt;&gt;"")+--(V279&lt;&gt;""))/4</x:f>
        <x:v>1</x:v>
      </x:c>
      <x:c r="X279" s="384" t="n">
        <x:f>IF(COUNT(K279,N279,Q279,T279)=0,"No data",(IF(ISNUMBER(K279),K279*Factor_Model!$B$4,0)+IF(ISNUMBER(N279),N279*Factor_Model!$B$5,0)+IF(ISNUMBER(Q279),Q279*Factor_Model!$B$6,0)+IF(ISNUMBER(T279),T279*Factor_Model!$B$7,0))/(IF(ISNUMBER(K279),Factor_Model!$B$4,0)+IF(ISNUMBER(N279),Factor_Model!$B$5,0)+IF(ISNUMBER(Q279),Factor_Model!$B$6,0)+IF(ISNUMBER(T279),Factor_Model!$B$7,0)))</x:f>
        <x:v>2.75</x:v>
      </x:c>
      <x:c r="Y279" s="20" t="str">
        <x:f>IF(W279=0,"No source",IF(W279&lt;1,"Partial source","Source-complete"))</x:f>
        <x:v>Source-complete</x:v>
      </x:c>
      <x:c r="Z279" s="20" t="str">
        <x:v>Automated screening pass: row uses a primary source URL by actor/subfactor; verify with country-specific evidence before final analytical use.</x:v>
      </x:c>
      <x:c r="AA279" s="20" t="str">
        <x:v>2026-05-20</x:v>
      </x:c>
      <x:c r="AB279" s="20" t="str">
        <x:v>GPT-5.5 Pro</x:v>
      </x:c>
    </x:row>
    <x:row r="280" ht="24" customHeight="1">
      <x:c r="A280" s="20" t="str">
        <x:v>MOZ|United States</x:v>
      </x:c>
      <x:c r="B280" s="20" t="str">
        <x:v>Mozambique</x:v>
      </x:c>
      <x:c r="C280" s="20" t="str">
        <x:v>Republic of Mozambique</x:v>
      </x:c>
      <x:c r="D280" s="20" t="str">
        <x:v>MZ</x:v>
      </x:c>
      <x:c r="E280" s="20" t="str">
        <x:v>MOZ</x:v>
      </x:c>
      <x:c r="F280" s="20" t="str">
        <x:v>508</x:v>
      </x:c>
      <x:c r="G280" s="20" t="str">
        <x:v>Africa</x:v>
      </x:c>
      <x:c r="H280" s="20" t="str">
        <x:v>Eastern Africa</x:v>
      </x:c>
      <x:c r="I280" s="20" t="str">
        <x:v>United States</x:v>
      </x:c>
      <x:c r="J280" s="20" t="str">
        <x:v>American influence</x:v>
      </x:c>
      <x:c r="K280" s="384" t="n">
        <x:v>4</x:v>
      </x:c>
      <x:c r="L280" s="396" t="n">
        <x:v>3</x:v>
      </x:c>
      <x:c r="M280" s="397" t="str">
        <x:v>https://www.usagm.gov/our-work/strategy-and-results/strategic-priorities/research-reports/</x:v>
      </x:c>
      <x:c r="N280" s="384" t="n">
        <x:v>2</x:v>
      </x:c>
      <x:c r="O280" s="396" t="n">
        <x:v>2</x:v>
      </x:c>
      <x:c r="P280" s="397" t="str">
        <x:v>https://internationalpolicy.org/programs/sam/</x:v>
      </x:c>
      <x:c r="Q280" s="384" t="n">
        <x:v>2</x:v>
      </x:c>
      <x:c r="R280" s="396" t="n">
        <x:v>2</x:v>
      </x:c>
      <x:c r="S280" s="397" t="str">
        <x:v>https://www.ned.org/ned-grantmaking/</x:v>
      </x:c>
      <x:c r="T280" s="384" t="n">
        <x:v>3</x:v>
      </x:c>
      <x:c r="U280" s="396" t="n">
        <x:v>3</x:v>
      </x:c>
      <x:c r="V280" s="397" t="str">
        <x:v>https://internationalpolicy.org/programs/sam/</x:v>
      </x:c>
      <x:c r="W280" s="385" t="n">
        <x:f>(--(M280&lt;&gt;"")+--(P280&lt;&gt;"")+--(S280&lt;&gt;"")+--(V280&lt;&gt;""))/4</x:f>
        <x:v>1</x:v>
      </x:c>
      <x:c r="X280" s="384" t="n">
        <x:f>IF(COUNT(K280,N280,Q280,T280)=0,"No data",(IF(ISNUMBER(K280),K280*Factor_Model!$B$4,0)+IF(ISNUMBER(N280),N280*Factor_Model!$B$5,0)+IF(ISNUMBER(Q280),Q280*Factor_Model!$B$6,0)+IF(ISNUMBER(T280),T280*Factor_Model!$B$7,0))/(IF(ISNUMBER(K280),Factor_Model!$B$4,0)+IF(ISNUMBER(N280),Factor_Model!$B$5,0)+IF(ISNUMBER(Q280),Factor_Model!$B$6,0)+IF(ISNUMBER(T280),Factor_Model!$B$7,0)))</x:f>
        <x:v>2.75</x:v>
      </x:c>
      <x:c r="Y280" s="20" t="str">
        <x:f>IF(W280=0,"No source",IF(W280&lt;1,"Partial source","Source-complete"))</x:f>
        <x:v>Source-complete</x:v>
      </x:c>
      <x:c r="Z280" s="20" t="str">
        <x:v>Automated screening pass: row uses a primary source URL by actor/subfactor; verify with country-specific evidence before final analytical use.</x:v>
      </x:c>
      <x:c r="AA280" s="20" t="str">
        <x:v>2026-05-20</x:v>
      </x:c>
      <x:c r="AB280" s="20" t="str">
        <x:v>GPT-5.5 Pro</x:v>
      </x:c>
    </x:row>
    <x:row r="281" ht="24" customHeight="1">
      <x:c r="A281" s="20" t="str">
        <x:v>MOZ|European Union</x:v>
      </x:c>
      <x:c r="B281" s="20" t="str">
        <x:v>Mozambique</x:v>
      </x:c>
      <x:c r="C281" s="20" t="str">
        <x:v>Republic of Mozambique</x:v>
      </x:c>
      <x:c r="D281" s="20" t="str">
        <x:v>MZ</x:v>
      </x:c>
      <x:c r="E281" s="20" t="str">
        <x:v>MOZ</x:v>
      </x:c>
      <x:c r="F281" s="20" t="str">
        <x:v>508</x:v>
      </x:c>
      <x:c r="G281" s="20" t="str">
        <x:v>Africa</x:v>
      </x:c>
      <x:c r="H281" s="20" t="str">
        <x:v>Eastern Africa</x:v>
      </x:c>
      <x:c r="I281" s="20" t="str">
        <x:v>European Union</x:v>
      </x:c>
      <x:c r="J281" s="20" t="str">
        <x:v>EU influence</x:v>
      </x:c>
      <x:c r="K281" s="384" t="n">
        <x:v>3</x:v>
      </x:c>
      <x:c r="L281" s="396" t="n">
        <x:v>3</x:v>
      </x:c>
      <x:c r="M281" s="397" t="str">
        <x:v>https://www.eeas.europa.eu/eeas/public-diplomacy_en</x:v>
      </x:c>
      <x:c r="N281" s="384" t="n">
        <x:v>0</x:v>
      </x:c>
      <x:c r="O281" s="396" t="n">
        <x:v>1</x:v>
      </x:c>
      <x:c r="P281" s="397" t="str">
        <x:v>https://www.eeas.europa.eu/eeas/missions-and-operations_en</x:v>
      </x:c>
      <x:c r="Q281" s="384" t="n">
        <x:v>1</x:v>
      </x:c>
      <x:c r="R281" s="396" t="n">
        <x:v>2</x:v>
      </x:c>
      <x:c r="S281" s="397" t="str">
        <x:v>https://www.eeas.europa.eu/eeas/eu-election-observation-missions-1_en?page_lang=en</x:v>
      </x:c>
      <x:c r="T281" s="384" t="n">
        <x:v>2</x:v>
      </x:c>
      <x:c r="U281" s="396" t="n">
        <x:v>2</x:v>
      </x:c>
      <x:c r="V281" s="397" t="str">
        <x:v>https://www.eeas.europa.eu/eeas/missions-and-operations_en</x:v>
      </x:c>
      <x:c r="W281" s="385" t="n">
        <x:f>(--(M281&lt;&gt;"")+--(P281&lt;&gt;"")+--(S281&lt;&gt;"")+--(V281&lt;&gt;""))/4</x:f>
        <x:v>1</x:v>
      </x:c>
      <x:c r="X281" s="384" t="n">
        <x:f>IF(COUNT(K281,N281,Q281,T281)=0,"No data",(IF(ISNUMBER(K281),K281*Factor_Model!$B$4,0)+IF(ISNUMBER(N281),N281*Factor_Model!$B$5,0)+IF(ISNUMBER(Q281),Q281*Factor_Model!$B$6,0)+IF(ISNUMBER(T281),T281*Factor_Model!$B$7,0))/(IF(ISNUMBER(K281),Factor_Model!$B$4,0)+IF(ISNUMBER(N281),Factor_Model!$B$5,0)+IF(ISNUMBER(Q281),Factor_Model!$B$6,0)+IF(ISNUMBER(T281),Factor_Model!$B$7,0)))</x:f>
        <x:v>1.5</x:v>
      </x:c>
      <x:c r="Y281" s="20" t="str">
        <x:f>IF(W281=0,"No source",IF(W281&lt;1,"Partial source","Source-complete"))</x:f>
        <x:v>Source-complete</x:v>
      </x:c>
      <x:c r="Z281" s="20" t="str">
        <x:v>Automated screening pass: row uses a primary source URL by actor/subfactor; verify with country-specific evidence before final analytical use.</x:v>
      </x:c>
      <x:c r="AA281" s="20" t="str">
        <x:v>2026-05-20</x:v>
      </x:c>
      <x:c r="AB281" s="20" t="str">
        <x:v>GPT-5.5 Pro</x:v>
      </x:c>
    </x:row>
    <x:row r="282" ht="24" customHeight="1">
      <x:c r="A282" s="20" t="str">
        <x:v>MMR|Russia</x:v>
      </x:c>
      <x:c r="B282" s="20" t="str">
        <x:v>Myanmar</x:v>
      </x:c>
      <x:c r="C282" s="20" t="str">
        <x:v>Republic of Myanmar</x:v>
      </x:c>
      <x:c r="D282" s="20" t="str">
        <x:v>MM</x:v>
      </x:c>
      <x:c r="E282" s="20" t="str">
        <x:v>MMR</x:v>
      </x:c>
      <x:c r="F282" s="20" t="str">
        <x:v>104</x:v>
      </x:c>
      <x:c r="G282" s="20" t="str">
        <x:v>Asia</x:v>
      </x:c>
      <x:c r="H282" s="20" t="str">
        <x:v>South-eastern Asia</x:v>
      </x:c>
      <x:c r="I282" s="20" t="str">
        <x:v>Russia</x:v>
      </x:c>
      <x:c r="J282" s="20" t="str">
        <x:v>Russian influence</x:v>
      </x:c>
      <x:c r="K282" s="384" t="n">
        <x:v>2</x:v>
      </x:c>
      <x:c r="L282" s="396" t="n">
        <x:v>2</x:v>
      </x:c>
      <x:c r="M282" s="397" t="str">
        <x:v>https://www.eeas.europa.eu/eeas/4th-eeas-annual-report-foreign-information-manipulation-and-interference-threats_en</x:v>
      </x:c>
      <x:c r="N282" s="384" t="n">
        <x:v>0</x:v>
      </x:c>
      <x:c r="O282" s="396" t="n">
        <x:v>1</x:v>
      </x:c>
      <x:c r="P282" s="397" t="str">
        <x:v>https://www.consilium.europa.eu/en/press/press-releases/2023/02/25/wagner-group-council-adds-11-individuals-and-7-entities-to-eu-sanctions-lists/</x:v>
      </x:c>
      <x:c r="Q282" s="384" t="n">
        <x:v>0</x:v>
      </x:c>
      <x:c r="R282" s="396" t="n">
        <x:v>1</x:v>
      </x:c>
      <x:c r="S282" s="397" t="str">
        <x:v>https://www.dni.gov/files/ODNI/documents/assessments/ATA-2026-Unclassified-Report.pdf</x:v>
      </x:c>
      <x:c r="T282" s="384" t="n">
        <x:v>0</x:v>
      </x:c>
      <x:c r="U282" s="396" t="n">
        <x:v>1</x:v>
      </x:c>
      <x:c r="V282" s="397" t="str">
        <x:v>https://www.consilium.europa.eu/en/press/press-releases/2023/02/25/wagner-group-council-adds-11-individuals-and-7-entities-to-eu-sanctions-lists/</x:v>
      </x:c>
      <x:c r="W282" s="385" t="n">
        <x:f>(--(M282&lt;&gt;"")+--(P282&lt;&gt;"")+--(S282&lt;&gt;"")+--(V282&lt;&gt;""))/4</x:f>
        <x:v>1</x:v>
      </x:c>
      <x:c r="X282" s="384" t="n">
        <x:f>IF(COUNT(K282,N282,Q282,T282)=0,"No data",(IF(ISNUMBER(K282),K282*Factor_Model!$B$4,0)+IF(ISNUMBER(N282),N282*Factor_Model!$B$5,0)+IF(ISNUMBER(Q282),Q282*Factor_Model!$B$6,0)+IF(ISNUMBER(T282),T282*Factor_Model!$B$7,0))/(IF(ISNUMBER(K282),Factor_Model!$B$4,0)+IF(ISNUMBER(N282),Factor_Model!$B$5,0)+IF(ISNUMBER(Q282),Factor_Model!$B$6,0)+IF(ISNUMBER(T282),Factor_Model!$B$7,0)))</x:f>
        <x:v>0.5</x:v>
      </x:c>
      <x:c r="Y282" s="20" t="str">
        <x:f>IF(W282=0,"No source",IF(W282&lt;1,"Partial source","Source-complete"))</x:f>
        <x:v>Source-complete</x:v>
      </x:c>
      <x:c r="Z282" s="20" t="str">
        <x:v>Automated screening pass: row uses a primary source URL by actor/subfactor; verify with country-specific evidence before final analytical use.</x:v>
      </x:c>
      <x:c r="AA282" s="20" t="str">
        <x:v>2026-05-20</x:v>
      </x:c>
      <x:c r="AB282" s="20" t="str">
        <x:v>GPT-5.5 Pro</x:v>
      </x:c>
    </x:row>
    <x:row r="283" ht="24" customHeight="1">
      <x:c r="A283" s="20" t="str">
        <x:v>MMR|China</x:v>
      </x:c>
      <x:c r="B283" s="20" t="str">
        <x:v>Myanmar</x:v>
      </x:c>
      <x:c r="C283" s="20" t="str">
        <x:v>Republic of Myanmar</x:v>
      </x:c>
      <x:c r="D283" s="20" t="str">
        <x:v>MM</x:v>
      </x:c>
      <x:c r="E283" s="20" t="str">
        <x:v>MMR</x:v>
      </x:c>
      <x:c r="F283" s="20" t="str">
        <x:v>104</x:v>
      </x:c>
      <x:c r="G283" s="20" t="str">
        <x:v>Asia</x:v>
      </x:c>
      <x:c r="H283" s="20" t="str">
        <x:v>South-eastern Asia</x:v>
      </x:c>
      <x:c r="I283" s="20" t="str">
        <x:v>China</x:v>
      </x:c>
      <x:c r="J283" s="20" t="str">
        <x:v>Chinese influence</x:v>
      </x:c>
      <x:c r="K283" s="384" t="n">
        <x:v>6</x:v>
      </x:c>
      <x:c r="L283" s="396" t="n">
        <x:v>4</x:v>
      </x:c>
      <x:c r="M283" s="397" t="str">
        <x:v>https://www.eeas.europa.eu/eeas/4th-eeas-annual-report-foreign-information-manipulation-and-interference-threats_en</x:v>
      </x:c>
      <x:c r="N283" s="384" t="n">
        <x:v>2</x:v>
      </x:c>
      <x:c r="O283" s="396" t="n">
        <x:v>2</x:v>
      </x:c>
      <x:c r="P283" s="397" t="str">
        <x:v>https://merics.org/en/report/guardians-belt-and-road</x:v>
      </x:c>
      <x:c r="Q283" s="384" t="n">
        <x:v>3</x:v>
      </x:c>
      <x:c r="R283" s="396" t="n">
        <x:v>3</x:v>
      </x:c>
      <x:c r="S283" s="397" t="str">
        <x:v>https://www.eeas.europa.eu/eeas/4th-eeas-annual-report-foreign-information-manipulation-and-interference-threats_en</x:v>
      </x:c>
      <x:c r="T283" s="384" t="n">
        <x:v>4</x:v>
      </x:c>
      <x:c r="U283" s="396" t="n">
        <x:v>3</x:v>
      </x:c>
      <x:c r="V283" s="397" t="str">
        <x:v>https://merics.org/en/report/guardians-belt-and-road</x:v>
      </x:c>
      <x:c r="W283" s="385" t="n">
        <x:f>(--(M283&lt;&gt;"")+--(P283&lt;&gt;"")+--(S283&lt;&gt;"")+--(V283&lt;&gt;""))/4</x:f>
        <x:v>1</x:v>
      </x:c>
      <x:c r="X283" s="384" t="n">
        <x:f>IF(COUNT(K283,N283,Q283,T283)=0,"No data",(IF(ISNUMBER(K283),K283*Factor_Model!$B$4,0)+IF(ISNUMBER(N283),N283*Factor_Model!$B$5,0)+IF(ISNUMBER(Q283),Q283*Factor_Model!$B$6,0)+IF(ISNUMBER(T283),T283*Factor_Model!$B$7,0))/(IF(ISNUMBER(K283),Factor_Model!$B$4,0)+IF(ISNUMBER(N283),Factor_Model!$B$5,0)+IF(ISNUMBER(Q283),Factor_Model!$B$6,0)+IF(ISNUMBER(T283),Factor_Model!$B$7,0)))</x:f>
        <x:v>3.75</x:v>
      </x:c>
      <x:c r="Y283" s="20" t="str">
        <x:f>IF(W283=0,"No source",IF(W283&lt;1,"Partial source","Source-complete"))</x:f>
        <x:v>Source-complete</x:v>
      </x:c>
      <x:c r="Z283" s="20" t="str">
        <x:v>Automated screening pass: row uses a primary source URL by actor/subfactor; verify with country-specific evidence before final analytical use.</x:v>
      </x:c>
      <x:c r="AA283" s="20" t="str">
        <x:v>2026-05-20</x:v>
      </x:c>
      <x:c r="AB283" s="20" t="str">
        <x:v>GPT-5.5 Pro</x:v>
      </x:c>
    </x:row>
    <x:row r="284" ht="24" customHeight="1">
      <x:c r="A284" s="20" t="str">
        <x:v>MMR|United States</x:v>
      </x:c>
      <x:c r="B284" s="20" t="str">
        <x:v>Myanmar</x:v>
      </x:c>
      <x:c r="C284" s="20" t="str">
        <x:v>Republic of Myanmar</x:v>
      </x:c>
      <x:c r="D284" s="20" t="str">
        <x:v>MM</x:v>
      </x:c>
      <x:c r="E284" s="20" t="str">
        <x:v>MMR</x:v>
      </x:c>
      <x:c r="F284" s="20" t="str">
        <x:v>104</x:v>
      </x:c>
      <x:c r="G284" s="20" t="str">
        <x:v>Asia</x:v>
      </x:c>
      <x:c r="H284" s="20" t="str">
        <x:v>South-eastern Asia</x:v>
      </x:c>
      <x:c r="I284" s="20" t="str">
        <x:v>United States</x:v>
      </x:c>
      <x:c r="J284" s="20" t="str">
        <x:v>American influence</x:v>
      </x:c>
      <x:c r="K284" s="384" t="n">
        <x:v>4</x:v>
      </x:c>
      <x:c r="L284" s="396" t="n">
        <x:v>3</x:v>
      </x:c>
      <x:c r="M284" s="397" t="str">
        <x:v>https://www.usagm.gov/our-work/strategy-and-results/strategic-priorities/research-reports/</x:v>
      </x:c>
      <x:c r="N284" s="384" t="n">
        <x:v>1</x:v>
      </x:c>
      <x:c r="O284" s="396" t="n">
        <x:v>2</x:v>
      </x:c>
      <x:c r="P284" s="397" t="str">
        <x:v>https://internationalpolicy.org/programs/sam/</x:v>
      </x:c>
      <x:c r="Q284" s="384" t="n">
        <x:v>2</x:v>
      </x:c>
      <x:c r="R284" s="396" t="n">
        <x:v>2</x:v>
      </x:c>
      <x:c r="S284" s="397" t="str">
        <x:v>https://www.ned.org/ned-grantmaking/</x:v>
      </x:c>
      <x:c r="T284" s="384" t="n">
        <x:v>2</x:v>
      </x:c>
      <x:c r="U284" s="396" t="n">
        <x:v>2</x:v>
      </x:c>
      <x:c r="V284" s="397" t="str">
        <x:v>https://internationalpolicy.org/programs/sam/</x:v>
      </x:c>
      <x:c r="W284" s="385" t="n">
        <x:f>(--(M284&lt;&gt;"")+--(P284&lt;&gt;"")+--(S284&lt;&gt;"")+--(V284&lt;&gt;""))/4</x:f>
        <x:v>1</x:v>
      </x:c>
      <x:c r="X284" s="384" t="n">
        <x:f>IF(COUNT(K284,N284,Q284,T284)=0,"No data",(IF(ISNUMBER(K284),K284*Factor_Model!$B$4,0)+IF(ISNUMBER(N284),N284*Factor_Model!$B$5,0)+IF(ISNUMBER(Q284),Q284*Factor_Model!$B$6,0)+IF(ISNUMBER(T284),T284*Factor_Model!$B$7,0))/(IF(ISNUMBER(K284),Factor_Model!$B$4,0)+IF(ISNUMBER(N284),Factor_Model!$B$5,0)+IF(ISNUMBER(Q284),Factor_Model!$B$6,0)+IF(ISNUMBER(T284),Factor_Model!$B$7,0)))</x:f>
        <x:v>2.25</x:v>
      </x:c>
      <x:c r="Y284" s="20" t="str">
        <x:f>IF(W284=0,"No source",IF(W284&lt;1,"Partial source","Source-complete"))</x:f>
        <x:v>Source-complete</x:v>
      </x:c>
      <x:c r="Z284" s="20" t="str">
        <x:v>Automated screening pass: row uses a primary source URL by actor/subfactor; verify with country-specific evidence before final analytical use.</x:v>
      </x:c>
      <x:c r="AA284" s="20" t="str">
        <x:v>2026-05-20</x:v>
      </x:c>
      <x:c r="AB284" s="20" t="str">
        <x:v>GPT-5.5 Pro</x:v>
      </x:c>
    </x:row>
    <x:row r="285" ht="24" customHeight="1">
      <x:c r="A285" s="20" t="str">
        <x:v>MMR|European Union</x:v>
      </x:c>
      <x:c r="B285" s="20" t="str">
        <x:v>Myanmar</x:v>
      </x:c>
      <x:c r="C285" s="20" t="str">
        <x:v>Republic of Myanmar</x:v>
      </x:c>
      <x:c r="D285" s="20" t="str">
        <x:v>MM</x:v>
      </x:c>
      <x:c r="E285" s="20" t="str">
        <x:v>MMR</x:v>
      </x:c>
      <x:c r="F285" s="20" t="str">
        <x:v>104</x:v>
      </x:c>
      <x:c r="G285" s="20" t="str">
        <x:v>Asia</x:v>
      </x:c>
      <x:c r="H285" s="20" t="str">
        <x:v>South-eastern Asia</x:v>
      </x:c>
      <x:c r="I285" s="20" t="str">
        <x:v>European Union</x:v>
      </x:c>
      <x:c r="J285" s="20" t="str">
        <x:v>EU influence</x:v>
      </x:c>
      <x:c r="K285" s="384" t="n">
        <x:v>2</x:v>
      </x:c>
      <x:c r="L285" s="396" t="n">
        <x:v>2</x:v>
      </x:c>
      <x:c r="M285" s="397" t="str">
        <x:v>https://www.eeas.europa.eu/eeas/public-diplomacy_en</x:v>
      </x:c>
      <x:c r="N285" s="384" t="n">
        <x:v>0</x:v>
      </x:c>
      <x:c r="O285" s="396" t="n">
        <x:v>1</x:v>
      </x:c>
      <x:c r="P285" s="397" t="str">
        <x:v>https://www.eeas.europa.eu/eeas/missions-and-operations_en</x:v>
      </x:c>
      <x:c r="Q285" s="384" t="n">
        <x:v>1</x:v>
      </x:c>
      <x:c r="R285" s="396" t="n">
        <x:v>2</x:v>
      </x:c>
      <x:c r="S285" s="397" t="str">
        <x:v>https://www.eeas.europa.eu/eeas/eu-election-observation-missions-1_en?page_lang=en</x:v>
      </x:c>
      <x:c r="T285" s="384" t="n">
        <x:v>2</x:v>
      </x:c>
      <x:c r="U285" s="396" t="n">
        <x:v>2</x:v>
      </x:c>
      <x:c r="V285" s="397" t="str">
        <x:v>https://www.eeas.europa.eu/eeas/missions-and-operations_en</x:v>
      </x:c>
      <x:c r="W285" s="385" t="n">
        <x:f>(--(M285&lt;&gt;"")+--(P285&lt;&gt;"")+--(S285&lt;&gt;"")+--(V285&lt;&gt;""))/4</x:f>
        <x:v>1</x:v>
      </x:c>
      <x:c r="X285" s="384" t="n">
        <x:f>IF(COUNT(K285,N285,Q285,T285)=0,"No data",(IF(ISNUMBER(K285),K285*Factor_Model!$B$4,0)+IF(ISNUMBER(N285),N285*Factor_Model!$B$5,0)+IF(ISNUMBER(Q285),Q285*Factor_Model!$B$6,0)+IF(ISNUMBER(T285),T285*Factor_Model!$B$7,0))/(IF(ISNUMBER(K285),Factor_Model!$B$4,0)+IF(ISNUMBER(N285),Factor_Model!$B$5,0)+IF(ISNUMBER(Q285),Factor_Model!$B$6,0)+IF(ISNUMBER(T285),Factor_Model!$B$7,0)))</x:f>
        <x:v>1.25</x:v>
      </x:c>
      <x:c r="Y285" s="20" t="str">
        <x:f>IF(W285=0,"No source",IF(W285&lt;1,"Partial source","Source-complete"))</x:f>
        <x:v>Source-complete</x:v>
      </x:c>
      <x:c r="Z285" s="20" t="str">
        <x:v>Automated screening pass: row uses a primary source URL by actor/subfactor; verify with country-specific evidence before final analytical use.</x:v>
      </x:c>
      <x:c r="AA285" s="20" t="str">
        <x:v>2026-05-20</x:v>
      </x:c>
      <x:c r="AB285" s="20" t="str">
        <x:v>GPT-5.5 Pro</x:v>
      </x:c>
    </x:row>
    <x:row r="286" ht="24" customHeight="1">
      <x:c r="A286" s="20" t="str">
        <x:v>NRU|Russia</x:v>
      </x:c>
      <x:c r="B286" s="20" t="str">
        <x:v>Nauru</x:v>
      </x:c>
      <x:c r="C286" s="20" t="str">
        <x:v>Republic of Nauru</x:v>
      </x:c>
      <x:c r="D286" s="20" t="str">
        <x:v>NR</x:v>
      </x:c>
      <x:c r="E286" s="20" t="str">
        <x:v>NRU</x:v>
      </x:c>
      <x:c r="F286" s="20" t="str">
        <x:v>520</x:v>
      </x:c>
      <x:c r="G286" s="20" t="str">
        <x:v>Oceania</x:v>
      </x:c>
      <x:c r="H286" s="20" t="str">
        <x:v>Micronesia</x:v>
      </x:c>
      <x:c r="I286" s="20" t="str">
        <x:v>Russia</x:v>
      </x:c>
      <x:c r="J286" s="20" t="str">
        <x:v>Russian influence</x:v>
      </x:c>
      <x:c r="K286" s="384" t="n">
        <x:v>2</x:v>
      </x:c>
      <x:c r="L286" s="396" t="n">
        <x:v>2</x:v>
      </x:c>
      <x:c r="M286" s="397" t="str">
        <x:v>https://www.eeas.europa.eu/eeas/4th-eeas-annual-report-foreign-information-manipulation-and-interference-threats_en</x:v>
      </x:c>
      <x:c r="N286" s="384" t="n">
        <x:v>0</x:v>
      </x:c>
      <x:c r="O286" s="396" t="n">
        <x:v>1</x:v>
      </x:c>
      <x:c r="P286" s="397" t="str">
        <x:v>https://www.consilium.europa.eu/en/press/press-releases/2023/02/25/wagner-group-council-adds-11-individuals-and-7-entities-to-eu-sanctions-lists/</x:v>
      </x:c>
      <x:c r="Q286" s="384" t="n">
        <x:v>0</x:v>
      </x:c>
      <x:c r="R286" s="396" t="n">
        <x:v>1</x:v>
      </x:c>
      <x:c r="S286" s="397" t="str">
        <x:v>https://www.dni.gov/files/ODNI/documents/assessments/ATA-2026-Unclassified-Report.pdf</x:v>
      </x:c>
      <x:c r="T286" s="384" t="n">
        <x:v>0</x:v>
      </x:c>
      <x:c r="U286" s="396" t="n">
        <x:v>1</x:v>
      </x:c>
      <x:c r="V286" s="397" t="str">
        <x:v>https://www.consilium.europa.eu/en/press/press-releases/2023/02/25/wagner-group-council-adds-11-individuals-and-7-entities-to-eu-sanctions-lists/</x:v>
      </x:c>
      <x:c r="W286" s="385" t="n">
        <x:f>(--(M286&lt;&gt;"")+--(P286&lt;&gt;"")+--(S286&lt;&gt;"")+--(V286&lt;&gt;""))/4</x:f>
        <x:v>1</x:v>
      </x:c>
      <x:c r="X286" s="384" t="n">
        <x:f>IF(COUNT(K286,N286,Q286,T286)=0,"No data",(IF(ISNUMBER(K286),K286*Factor_Model!$B$4,0)+IF(ISNUMBER(N286),N286*Factor_Model!$B$5,0)+IF(ISNUMBER(Q286),Q286*Factor_Model!$B$6,0)+IF(ISNUMBER(T286),T286*Factor_Model!$B$7,0))/(IF(ISNUMBER(K286),Factor_Model!$B$4,0)+IF(ISNUMBER(N286),Factor_Model!$B$5,0)+IF(ISNUMBER(Q286),Factor_Model!$B$6,0)+IF(ISNUMBER(T286),Factor_Model!$B$7,0)))</x:f>
        <x:v>0.5</x:v>
      </x:c>
      <x:c r="Y286" s="20" t="str">
        <x:f>IF(W286=0,"No source",IF(W286&lt;1,"Partial source","Source-complete"))</x:f>
        <x:v>Source-complete</x:v>
      </x:c>
      <x:c r="Z286" s="20" t="str">
        <x:v>Automated screening pass: row uses a primary source URL by actor/subfactor; verify with country-specific evidence before final analytical use.</x:v>
      </x:c>
      <x:c r="AA286" s="20" t="str">
        <x:v>2026-05-20</x:v>
      </x:c>
      <x:c r="AB286" s="20" t="str">
        <x:v>GPT-5.5 Pro</x:v>
      </x:c>
    </x:row>
    <x:row r="287" ht="24" customHeight="1">
      <x:c r="A287" s="20" t="str">
        <x:v>NRU|China</x:v>
      </x:c>
      <x:c r="B287" s="20" t="str">
        <x:v>Nauru</x:v>
      </x:c>
      <x:c r="C287" s="20" t="str">
        <x:v>Republic of Nauru</x:v>
      </x:c>
      <x:c r="D287" s="20" t="str">
        <x:v>NR</x:v>
      </x:c>
      <x:c r="E287" s="20" t="str">
        <x:v>NRU</x:v>
      </x:c>
      <x:c r="F287" s="20" t="str">
        <x:v>520</x:v>
      </x:c>
      <x:c r="G287" s="20" t="str">
        <x:v>Oceania</x:v>
      </x:c>
      <x:c r="H287" s="20" t="str">
        <x:v>Micronesia</x:v>
      </x:c>
      <x:c r="I287" s="20" t="str">
        <x:v>China</x:v>
      </x:c>
      <x:c r="J287" s="20" t="str">
        <x:v>Chinese influence</x:v>
      </x:c>
      <x:c r="K287" s="384" t="n">
        <x:v>7</x:v>
      </x:c>
      <x:c r="L287" s="396" t="n">
        <x:v>4</x:v>
      </x:c>
      <x:c r="M287" s="397" t="str">
        <x:v>https://www.eeas.europa.eu/eeas/4th-eeas-annual-report-foreign-information-manipulation-and-interference-threats_en</x:v>
      </x:c>
      <x:c r="N287" s="384" t="n">
        <x:v>1</x:v>
      </x:c>
      <x:c r="O287" s="396" t="n">
        <x:v>2</x:v>
      </x:c>
      <x:c r="P287" s="397" t="str">
        <x:v>https://merics.org/en/report/guardians-belt-and-road</x:v>
      </x:c>
      <x:c r="Q287" s="384" t="n">
        <x:v>3</x:v>
      </x:c>
      <x:c r="R287" s="396" t="n">
        <x:v>3</x:v>
      </x:c>
      <x:c r="S287" s="397" t="str">
        <x:v>https://www.eeas.europa.eu/eeas/4th-eeas-annual-report-foreign-information-manipulation-and-interference-threats_en</x:v>
      </x:c>
      <x:c r="T287" s="384" t="n">
        <x:v>2</x:v>
      </x:c>
      <x:c r="U287" s="396" t="n">
        <x:v>2</x:v>
      </x:c>
      <x:c r="V287" s="397" t="str">
        <x:v>https://merics.org/en/report/guardians-belt-and-road</x:v>
      </x:c>
      <x:c r="W287" s="385" t="n">
        <x:f>(--(M287&lt;&gt;"")+--(P287&lt;&gt;"")+--(S287&lt;&gt;"")+--(V287&lt;&gt;""))/4</x:f>
        <x:v>1</x:v>
      </x:c>
      <x:c r="X287" s="384" t="n">
        <x:f>IF(COUNT(K287,N287,Q287,T287)=0,"No data",(IF(ISNUMBER(K287),K287*Factor_Model!$B$4,0)+IF(ISNUMBER(N287),N287*Factor_Model!$B$5,0)+IF(ISNUMBER(Q287),Q287*Factor_Model!$B$6,0)+IF(ISNUMBER(T287),T287*Factor_Model!$B$7,0))/(IF(ISNUMBER(K287),Factor_Model!$B$4,0)+IF(ISNUMBER(N287),Factor_Model!$B$5,0)+IF(ISNUMBER(Q287),Factor_Model!$B$6,0)+IF(ISNUMBER(T287),Factor_Model!$B$7,0)))</x:f>
        <x:v>3.25</x:v>
      </x:c>
      <x:c r="Y287" s="20" t="str">
        <x:f>IF(W287=0,"No source",IF(W287&lt;1,"Partial source","Source-complete"))</x:f>
        <x:v>Source-complete</x:v>
      </x:c>
      <x:c r="Z287" s="20" t="str">
        <x:v>Automated screening pass: row uses a primary source URL by actor/subfactor; verify with country-specific evidence before final analytical use.</x:v>
      </x:c>
      <x:c r="AA287" s="20" t="str">
        <x:v>2026-05-20</x:v>
      </x:c>
      <x:c r="AB287" s="20" t="str">
        <x:v>GPT-5.5 Pro</x:v>
      </x:c>
    </x:row>
    <x:row r="288" ht="24" customHeight="1">
      <x:c r="A288" s="20" t="str">
        <x:v>NRU|United States</x:v>
      </x:c>
      <x:c r="B288" s="20" t="str">
        <x:v>Nauru</x:v>
      </x:c>
      <x:c r="C288" s="20" t="str">
        <x:v>Republic of Nauru</x:v>
      </x:c>
      <x:c r="D288" s="20" t="str">
        <x:v>NR</x:v>
      </x:c>
      <x:c r="E288" s="20" t="str">
        <x:v>NRU</x:v>
      </x:c>
      <x:c r="F288" s="20" t="str">
        <x:v>520</x:v>
      </x:c>
      <x:c r="G288" s="20" t="str">
        <x:v>Oceania</x:v>
      </x:c>
      <x:c r="H288" s="20" t="str">
        <x:v>Micronesia</x:v>
      </x:c>
      <x:c r="I288" s="20" t="str">
        <x:v>United States</x:v>
      </x:c>
      <x:c r="J288" s="20" t="str">
        <x:v>American influence</x:v>
      </x:c>
      <x:c r="K288" s="384" t="n">
        <x:v>3</x:v>
      </x:c>
      <x:c r="L288" s="396" t="n">
        <x:v>3</x:v>
      </x:c>
      <x:c r="M288" s="397" t="str">
        <x:v>https://www.usagm.gov/our-work/strategy-and-results/strategic-priorities/research-reports/</x:v>
      </x:c>
      <x:c r="N288" s="384" t="n">
        <x:v>1</x:v>
      </x:c>
      <x:c r="O288" s="396" t="n">
        <x:v>2</x:v>
      </x:c>
      <x:c r="P288" s="397" t="str">
        <x:v>https://internationalpolicy.org/programs/sam/</x:v>
      </x:c>
      <x:c r="Q288" s="384" t="n">
        <x:v>1</x:v>
      </x:c>
      <x:c r="R288" s="396" t="n">
        <x:v>2</x:v>
      </x:c>
      <x:c r="S288" s="397" t="str">
        <x:v>https://www.ned.org/ned-grantmaking/</x:v>
      </x:c>
      <x:c r="T288" s="384" t="n">
        <x:v>2</x:v>
      </x:c>
      <x:c r="U288" s="396" t="n">
        <x:v>2</x:v>
      </x:c>
      <x:c r="V288" s="397" t="str">
        <x:v>https://internationalpolicy.org/programs/sam/</x:v>
      </x:c>
      <x:c r="W288" s="385" t="n">
        <x:f>(--(M288&lt;&gt;"")+--(P288&lt;&gt;"")+--(S288&lt;&gt;"")+--(V288&lt;&gt;""))/4</x:f>
        <x:v>1</x:v>
      </x:c>
      <x:c r="X288" s="384" t="n">
        <x:f>IF(COUNT(K288,N288,Q288,T288)=0,"No data",(IF(ISNUMBER(K288),K288*Factor_Model!$B$4,0)+IF(ISNUMBER(N288),N288*Factor_Model!$B$5,0)+IF(ISNUMBER(Q288),Q288*Factor_Model!$B$6,0)+IF(ISNUMBER(T288),T288*Factor_Model!$B$7,0))/(IF(ISNUMBER(K288),Factor_Model!$B$4,0)+IF(ISNUMBER(N288),Factor_Model!$B$5,0)+IF(ISNUMBER(Q288),Factor_Model!$B$6,0)+IF(ISNUMBER(T288),Factor_Model!$B$7,0)))</x:f>
        <x:v>1.75</x:v>
      </x:c>
      <x:c r="Y288" s="20" t="str">
        <x:f>IF(W288=0,"No source",IF(W288&lt;1,"Partial source","Source-complete"))</x:f>
        <x:v>Source-complete</x:v>
      </x:c>
      <x:c r="Z288" s="20" t="str">
        <x:v>Automated screening pass: row uses a primary source URL by actor/subfactor; verify with country-specific evidence before final analytical use.</x:v>
      </x:c>
      <x:c r="AA288" s="20" t="str">
        <x:v>2026-05-20</x:v>
      </x:c>
      <x:c r="AB288" s="20" t="str">
        <x:v>GPT-5.5 Pro</x:v>
      </x:c>
    </x:row>
    <x:row r="289" ht="24" customHeight="1">
      <x:c r="A289" s="20" t="str">
        <x:v>NRU|European Union</x:v>
      </x:c>
      <x:c r="B289" s="20" t="str">
        <x:v>Nauru</x:v>
      </x:c>
      <x:c r="C289" s="20" t="str">
        <x:v>Republic of Nauru</x:v>
      </x:c>
      <x:c r="D289" s="20" t="str">
        <x:v>NR</x:v>
      </x:c>
      <x:c r="E289" s="20" t="str">
        <x:v>NRU</x:v>
      </x:c>
      <x:c r="F289" s="20" t="str">
        <x:v>520</x:v>
      </x:c>
      <x:c r="G289" s="20" t="str">
        <x:v>Oceania</x:v>
      </x:c>
      <x:c r="H289" s="20" t="str">
        <x:v>Micronesia</x:v>
      </x:c>
      <x:c r="I289" s="20" t="str">
        <x:v>European Union</x:v>
      </x:c>
      <x:c r="J289" s="20" t="str">
        <x:v>EU influence</x:v>
      </x:c>
      <x:c r="K289" s="384" t="n">
        <x:v>2</x:v>
      </x:c>
      <x:c r="L289" s="396" t="n">
        <x:v>2</x:v>
      </x:c>
      <x:c r="M289" s="397" t="str">
        <x:v>https://www.eeas.europa.eu/eeas/public-diplomacy_en</x:v>
      </x:c>
      <x:c r="N289" s="384" t="n">
        <x:v>0</x:v>
      </x:c>
      <x:c r="O289" s="396" t="n">
        <x:v>1</x:v>
      </x:c>
      <x:c r="P289" s="397" t="str">
        <x:v>https://www.eeas.europa.eu/eeas/missions-and-operations_en</x:v>
      </x:c>
      <x:c r="Q289" s="384" t="n">
        <x:v>1</x:v>
      </x:c>
      <x:c r="R289" s="396" t="n">
        <x:v>2</x:v>
      </x:c>
      <x:c r="S289" s="397" t="str">
        <x:v>https://www.eeas.europa.eu/eeas/eu-election-observation-missions-1_en?page_lang=en</x:v>
      </x:c>
      <x:c r="T289" s="384" t="n">
        <x:v>1</x:v>
      </x:c>
      <x:c r="U289" s="396" t="n">
        <x:v>2</x:v>
      </x:c>
      <x:c r="V289" s="397" t="str">
        <x:v>https://www.eeas.europa.eu/eeas/missions-and-operations_en</x:v>
      </x:c>
      <x:c r="W289" s="385" t="n">
        <x:f>(--(M289&lt;&gt;"")+--(P289&lt;&gt;"")+--(S289&lt;&gt;"")+--(V289&lt;&gt;""))/4</x:f>
        <x:v>1</x:v>
      </x:c>
      <x:c r="X289" s="384" t="n">
        <x:f>IF(COUNT(K289,N289,Q289,T289)=0,"No data",(IF(ISNUMBER(K289),K289*Factor_Model!$B$4,0)+IF(ISNUMBER(N289),N289*Factor_Model!$B$5,0)+IF(ISNUMBER(Q289),Q289*Factor_Model!$B$6,0)+IF(ISNUMBER(T289),T289*Factor_Model!$B$7,0))/(IF(ISNUMBER(K289),Factor_Model!$B$4,0)+IF(ISNUMBER(N289),Factor_Model!$B$5,0)+IF(ISNUMBER(Q289),Factor_Model!$B$6,0)+IF(ISNUMBER(T289),Factor_Model!$B$7,0)))</x:f>
        <x:v>1</x:v>
      </x:c>
      <x:c r="Y289" s="20" t="str">
        <x:f>IF(W289=0,"No source",IF(W289&lt;1,"Partial source","Source-complete"))</x:f>
        <x:v>Source-complete</x:v>
      </x:c>
      <x:c r="Z289" s="20" t="str">
        <x:v>Automated screening pass: row uses a primary source URL by actor/subfactor; verify with country-specific evidence before final analytical use.</x:v>
      </x:c>
      <x:c r="AA289" s="20" t="str">
        <x:v>2026-05-20</x:v>
      </x:c>
      <x:c r="AB289" s="20" t="str">
        <x:v>GPT-5.5 Pro</x:v>
      </x:c>
    </x:row>
    <x:row r="290" ht="24" customHeight="1">
      <x:c r="A290" s="20" t="str">
        <x:v>NLD|Russia</x:v>
      </x:c>
      <x:c r="B290" s="20" t="str">
        <x:v>Netherlands</x:v>
      </x:c>
      <x:c r="C290" s="20" t="str">
        <x:v>Kingdom of the Netherlands</x:v>
      </x:c>
      <x:c r="D290" s="20" t="str">
        <x:v>NL</x:v>
      </x:c>
      <x:c r="E290" s="20" t="str">
        <x:v>NLD</x:v>
      </x:c>
      <x:c r="F290" s="20" t="str">
        <x:v>528</x:v>
      </x:c>
      <x:c r="G290" s="20" t="str">
        <x:v>Europe</x:v>
      </x:c>
      <x:c r="H290" s="20" t="str">
        <x:v>Western Europe</x:v>
      </x:c>
      <x:c r="I290" s="20" t="str">
        <x:v>Russia</x:v>
      </x:c>
      <x:c r="J290" s="20" t="str">
        <x:v>Russian influence</x:v>
      </x:c>
      <x:c r="K290" s="384" t="n">
        <x:v>5</x:v>
      </x:c>
      <x:c r="L290" s="396" t="n">
        <x:v>3</x:v>
      </x:c>
      <x:c r="M290" s="397" t="str">
        <x:v>https://www.eeas.europa.eu/eeas/4th-eeas-annual-report-foreign-information-manipulation-and-interference-threats_en</x:v>
      </x:c>
      <x:c r="N290" s="384" t="n">
        <x:v>0</x:v>
      </x:c>
      <x:c r="O290" s="396" t="n">
        <x:v>1</x:v>
      </x:c>
      <x:c r="P290" s="397" t="str">
        <x:v>https://www.consilium.europa.eu/en/press/press-releases/2023/02/25/wagner-group-council-adds-11-individuals-and-7-entities-to-eu-sanctions-lists/</x:v>
      </x:c>
      <x:c r="Q290" s="384" t="n">
        <x:v>5</x:v>
      </x:c>
      <x:c r="R290" s="396" t="n">
        <x:v>3</x:v>
      </x:c>
      <x:c r="S290" s="397" t="str">
        <x:v>https://www.dni.gov/files/ODNI/documents/assessments/ATA-2026-Unclassified-Report.pdf</x:v>
      </x:c>
      <x:c r="T290" s="384" t="n">
        <x:v>0</x:v>
      </x:c>
      <x:c r="U290" s="396" t="n">
        <x:v>1</x:v>
      </x:c>
      <x:c r="V290" s="397" t="str">
        <x:v>https://www.consilium.europa.eu/en/press/press-releases/2023/02/25/wagner-group-council-adds-11-individuals-and-7-entities-to-eu-sanctions-lists/</x:v>
      </x:c>
      <x:c r="W290" s="385" t="n">
        <x:f>(--(M290&lt;&gt;"")+--(P290&lt;&gt;"")+--(S290&lt;&gt;"")+--(V290&lt;&gt;""))/4</x:f>
        <x:v>1</x:v>
      </x:c>
      <x:c r="X290" s="384" t="n">
        <x:f>IF(COUNT(K290,N290,Q290,T290)=0,"No data",(IF(ISNUMBER(K290),K290*Factor_Model!$B$4,0)+IF(ISNUMBER(N290),N290*Factor_Model!$B$5,0)+IF(ISNUMBER(Q290),Q290*Factor_Model!$B$6,0)+IF(ISNUMBER(T290),T290*Factor_Model!$B$7,0))/(IF(ISNUMBER(K290),Factor_Model!$B$4,0)+IF(ISNUMBER(N290),Factor_Model!$B$5,0)+IF(ISNUMBER(Q290),Factor_Model!$B$6,0)+IF(ISNUMBER(T290),Factor_Model!$B$7,0)))</x:f>
        <x:v>2.5</x:v>
      </x:c>
      <x:c r="Y290" s="20" t="str">
        <x:f>IF(W290=0,"No source",IF(W290&lt;1,"Partial source","Source-complete"))</x:f>
        <x:v>Source-complete</x:v>
      </x:c>
      <x:c r="Z290" s="20" t="str">
        <x:v>Automated screening pass: row uses a primary source URL by actor/subfactor; verify with country-specific evidence before final analytical use.</x:v>
      </x:c>
      <x:c r="AA290" s="20" t="str">
        <x:v>2026-05-20</x:v>
      </x:c>
      <x:c r="AB290" s="20" t="str">
        <x:v>GPT-5.5 Pro</x:v>
      </x:c>
    </x:row>
    <x:row r="291" ht="24" customHeight="1">
      <x:c r="A291" s="20" t="str">
        <x:v>NLD|China</x:v>
      </x:c>
      <x:c r="B291" s="20" t="str">
        <x:v>Netherlands</x:v>
      </x:c>
      <x:c r="C291" s="20" t="str">
        <x:v>Kingdom of the Netherlands</x:v>
      </x:c>
      <x:c r="D291" s="20" t="str">
        <x:v>NL</x:v>
      </x:c>
      <x:c r="E291" s="20" t="str">
        <x:v>NLD</x:v>
      </x:c>
      <x:c r="F291" s="20" t="str">
        <x:v>528</x:v>
      </x:c>
      <x:c r="G291" s="20" t="str">
        <x:v>Europe</x:v>
      </x:c>
      <x:c r="H291" s="20" t="str">
        <x:v>Western Europe</x:v>
      </x:c>
      <x:c r="I291" s="20" t="str">
        <x:v>China</x:v>
      </x:c>
      <x:c r="J291" s="20" t="str">
        <x:v>Chinese influence</x:v>
      </x:c>
      <x:c r="K291" s="384" t="n">
        <x:v>5</x:v>
      </x:c>
      <x:c r="L291" s="396" t="n">
        <x:v>3</x:v>
      </x:c>
      <x:c r="M291" s="397" t="str">
        <x:v>https://www.eeas.europa.eu/eeas/4th-eeas-annual-report-foreign-information-manipulation-and-interference-threats_en</x:v>
      </x:c>
      <x:c r="N291" s="384" t="n">
        <x:v>0</x:v>
      </x:c>
      <x:c r="O291" s="396" t="n">
        <x:v>1</x:v>
      </x:c>
      <x:c r="P291" s="397" t="str">
        <x:v>https://merics.org/en/report/guardians-belt-and-road</x:v>
      </x:c>
      <x:c r="Q291" s="384" t="n">
        <x:v>3</x:v>
      </x:c>
      <x:c r="R291" s="396" t="n">
        <x:v>3</x:v>
      </x:c>
      <x:c r="S291" s="397" t="str">
        <x:v>https://www.eeas.europa.eu/eeas/4th-eeas-annual-report-foreign-information-manipulation-and-interference-threats_en</x:v>
      </x:c>
      <x:c r="T291" s="384" t="n">
        <x:v>0</x:v>
      </x:c>
      <x:c r="U291" s="396" t="n">
        <x:v>1</x:v>
      </x:c>
      <x:c r="V291" s="397" t="str">
        <x:v>https://merics.org/en/report/guardians-belt-and-road</x:v>
      </x:c>
      <x:c r="W291" s="385" t="n">
        <x:f>(--(M291&lt;&gt;"")+--(P291&lt;&gt;"")+--(S291&lt;&gt;"")+--(V291&lt;&gt;""))/4</x:f>
        <x:v>1</x:v>
      </x:c>
      <x:c r="X291" s="384" t="n">
        <x:f>IF(COUNT(K291,N291,Q291,T291)=0,"No data",(IF(ISNUMBER(K291),K291*Factor_Model!$B$4,0)+IF(ISNUMBER(N291),N291*Factor_Model!$B$5,0)+IF(ISNUMBER(Q291),Q291*Factor_Model!$B$6,0)+IF(ISNUMBER(T291),T291*Factor_Model!$B$7,0))/(IF(ISNUMBER(K291),Factor_Model!$B$4,0)+IF(ISNUMBER(N291),Factor_Model!$B$5,0)+IF(ISNUMBER(Q291),Factor_Model!$B$6,0)+IF(ISNUMBER(T291),Factor_Model!$B$7,0)))</x:f>
        <x:v>2</x:v>
      </x:c>
      <x:c r="Y291" s="20" t="str">
        <x:f>IF(W291=0,"No source",IF(W291&lt;1,"Partial source","Source-complete"))</x:f>
        <x:v>Source-complete</x:v>
      </x:c>
      <x:c r="Z291" s="20" t="str">
        <x:v>Automated screening pass: row uses a primary source URL by actor/subfactor; verify with country-specific evidence before final analytical use.</x:v>
      </x:c>
      <x:c r="AA291" s="20" t="str">
        <x:v>2026-05-20</x:v>
      </x:c>
      <x:c r="AB291" s="20" t="str">
        <x:v>GPT-5.5 Pro</x:v>
      </x:c>
    </x:row>
    <x:row r="292" ht="24" customHeight="1">
      <x:c r="A292" s="20" t="str">
        <x:v>NLD|United States</x:v>
      </x:c>
      <x:c r="B292" s="20" t="str">
        <x:v>Netherlands</x:v>
      </x:c>
      <x:c r="C292" s="20" t="str">
        <x:v>Kingdom of the Netherlands</x:v>
      </x:c>
      <x:c r="D292" s="20" t="str">
        <x:v>NL</x:v>
      </x:c>
      <x:c r="E292" s="20" t="str">
        <x:v>NLD</x:v>
      </x:c>
      <x:c r="F292" s="20" t="str">
        <x:v>528</x:v>
      </x:c>
      <x:c r="G292" s="20" t="str">
        <x:v>Europe</x:v>
      </x:c>
      <x:c r="H292" s="20" t="str">
        <x:v>Western Europe</x:v>
      </x:c>
      <x:c r="I292" s="20" t="str">
        <x:v>United States</x:v>
      </x:c>
      <x:c r="J292" s="20" t="str">
        <x:v>American influence</x:v>
      </x:c>
      <x:c r="K292" s="384" t="n">
        <x:v>4</x:v>
      </x:c>
      <x:c r="L292" s="396" t="n">
        <x:v>3</x:v>
      </x:c>
      <x:c r="M292" s="397" t="str">
        <x:v>https://www.usagm.gov/our-work/strategy-and-results/strategic-priorities/research-reports/</x:v>
      </x:c>
      <x:c r="N292" s="384" t="n">
        <x:v>3</x:v>
      </x:c>
      <x:c r="O292" s="396" t="n">
        <x:v>3</x:v>
      </x:c>
      <x:c r="P292" s="397" t="str">
        <x:v>https://internationalpolicy.org/programs/sam/</x:v>
      </x:c>
      <x:c r="Q292" s="384" t="n">
        <x:v>1</x:v>
      </x:c>
      <x:c r="R292" s="396" t="n">
        <x:v>2</x:v>
      </x:c>
      <x:c r="S292" s="397" t="str">
        <x:v>https://www.ned.org/ned-grantmaking/</x:v>
      </x:c>
      <x:c r="T292" s="384" t="n">
        <x:v>6</x:v>
      </x:c>
      <x:c r="U292" s="396" t="n">
        <x:v>4</x:v>
      </x:c>
      <x:c r="V292" s="397" t="str">
        <x:v>https://internationalpolicy.org/programs/sam/</x:v>
      </x:c>
      <x:c r="W292" s="385" t="n">
        <x:f>(--(M292&lt;&gt;"")+--(P292&lt;&gt;"")+--(S292&lt;&gt;"")+--(V292&lt;&gt;""))/4</x:f>
        <x:v>1</x:v>
      </x:c>
      <x:c r="X292" s="384" t="n">
        <x:f>IF(COUNT(K292,N292,Q292,T292)=0,"No data",(IF(ISNUMBER(K292),K292*Factor_Model!$B$4,0)+IF(ISNUMBER(N292),N292*Factor_Model!$B$5,0)+IF(ISNUMBER(Q292),Q292*Factor_Model!$B$6,0)+IF(ISNUMBER(T292),T292*Factor_Model!$B$7,0))/(IF(ISNUMBER(K292),Factor_Model!$B$4,0)+IF(ISNUMBER(N292),Factor_Model!$B$5,0)+IF(ISNUMBER(Q292),Factor_Model!$B$6,0)+IF(ISNUMBER(T292),Factor_Model!$B$7,0)))</x:f>
        <x:v>3.5</x:v>
      </x:c>
      <x:c r="Y292" s="20" t="str">
        <x:f>IF(W292=0,"No source",IF(W292&lt;1,"Partial source","Source-complete"))</x:f>
        <x:v>Source-complete</x:v>
      </x:c>
      <x:c r="Z292" s="20" t="str">
        <x:v>Automated screening pass: row uses a primary source URL by actor/subfactor; verify with country-specific evidence before final analytical use.</x:v>
      </x:c>
      <x:c r="AA292" s="20" t="str">
        <x:v>2026-05-20</x:v>
      </x:c>
      <x:c r="AB292" s="20" t="str">
        <x:v>GPT-5.5 Pro</x:v>
      </x:c>
    </x:row>
    <x:row r="293" ht="24" customHeight="1">
      <x:c r="A293" s="20" t="str">
        <x:v>NLD|European Union</x:v>
      </x:c>
      <x:c r="B293" s="20" t="str">
        <x:v>Netherlands</x:v>
      </x:c>
      <x:c r="C293" s="20" t="str">
        <x:v>Kingdom of the Netherlands</x:v>
      </x:c>
      <x:c r="D293" s="20" t="str">
        <x:v>NL</x:v>
      </x:c>
      <x:c r="E293" s="20" t="str">
        <x:v>NLD</x:v>
      </x:c>
      <x:c r="F293" s="20" t="str">
        <x:v>528</x:v>
      </x:c>
      <x:c r="G293" s="20" t="str">
        <x:v>Europe</x:v>
      </x:c>
      <x:c r="H293" s="20" t="str">
        <x:v>Western Europe</x:v>
      </x:c>
      <x:c r="I293" s="20" t="str">
        <x:v>European Union</x:v>
      </x:c>
      <x:c r="J293" s="20" t="str">
        <x:v>EU influence</x:v>
      </x:c>
      <x:c r="K293" s="384" t="n">
        <x:v>9</x:v>
      </x:c>
      <x:c r="L293" s="396" t="n">
        <x:v>5</x:v>
      </x:c>
      <x:c r="M293" s="397" t="str">
        <x:v>https://www.eeas.europa.eu/eeas/public-diplomacy_en</x:v>
      </x:c>
      <x:c r="N293" s="384" t="n">
        <x:v>0</x:v>
      </x:c>
      <x:c r="O293" s="396" t="n">
        <x:v>1</x:v>
      </x:c>
      <x:c r="P293" s="397" t="str">
        <x:v>https://www.eeas.europa.eu/eeas/missions-and-operations_en</x:v>
      </x:c>
      <x:c r="Q293" s="384" t="n">
        <x:v>2</x:v>
      </x:c>
      <x:c r="R293" s="396" t="n">
        <x:v>2</x:v>
      </x:c>
      <x:c r="S293" s="397" t="str">
        <x:v>https://www.eeas.europa.eu/eeas/eu-election-observation-missions-1_en?page_lang=en</x:v>
      </x:c>
      <x:c r="T293" s="384" t="n">
        <x:v>5</x:v>
      </x:c>
      <x:c r="U293" s="396" t="n">
        <x:v>3</x:v>
      </x:c>
      <x:c r="V293" s="397" t="str">
        <x:v>https://www.eeas.europa.eu/eeas/missions-and-operations_en</x:v>
      </x:c>
      <x:c r="W293" s="385" t="n">
        <x:f>(--(M293&lt;&gt;"")+--(P293&lt;&gt;"")+--(S293&lt;&gt;"")+--(V293&lt;&gt;""))/4</x:f>
        <x:v>1</x:v>
      </x:c>
      <x:c r="X293" s="384" t="n">
        <x:f>IF(COUNT(K293,N293,Q293,T293)=0,"No data",(IF(ISNUMBER(K293),K293*Factor_Model!$B$4,0)+IF(ISNUMBER(N293),N293*Factor_Model!$B$5,0)+IF(ISNUMBER(Q293),Q293*Factor_Model!$B$6,0)+IF(ISNUMBER(T293),T293*Factor_Model!$B$7,0))/(IF(ISNUMBER(K293),Factor_Model!$B$4,0)+IF(ISNUMBER(N293),Factor_Model!$B$5,0)+IF(ISNUMBER(Q293),Factor_Model!$B$6,0)+IF(ISNUMBER(T293),Factor_Model!$B$7,0)))</x:f>
        <x:v>4</x:v>
      </x:c>
      <x:c r="Y293" s="20" t="str">
        <x:f>IF(W293=0,"No source",IF(W293&lt;1,"Partial source","Source-complete"))</x:f>
        <x:v>Source-complete</x:v>
      </x:c>
      <x:c r="Z293" s="20" t="str">
        <x:v>Automated screening pass: row uses a primary source URL by actor/subfactor; verify with country-specific evidence before final analytical use.</x:v>
      </x:c>
      <x:c r="AA293" s="20" t="str">
        <x:v>2026-05-20</x:v>
      </x:c>
      <x:c r="AB293" s="20" t="str">
        <x:v>GPT-5.5 Pro</x:v>
      </x:c>
    </x:row>
    <x:row r="294" ht="24" customHeight="1">
      <x:c r="A294" s="20" t="str">
        <x:v>NCL|Russia</x:v>
      </x:c>
      <x:c r="B294" s="20" t="str">
        <x:v>New Caledonia</x:v>
      </x:c>
      <x:c r="C294" s="20"/>
      <x:c r="D294" s="20" t="str">
        <x:v>NC</x:v>
      </x:c>
      <x:c r="E294" s="20" t="str">
        <x:v>NCL</x:v>
      </x:c>
      <x:c r="F294" s="20" t="str">
        <x:v>540</x:v>
      </x:c>
      <x:c r="G294" s="20" t="str">
        <x:v>Oceania</x:v>
      </x:c>
      <x:c r="H294" s="20" t="str">
        <x:v>Melanesia</x:v>
      </x:c>
      <x:c r="I294" s="20" t="str">
        <x:v>Russia</x:v>
      </x:c>
      <x:c r="J294" s="20" t="str">
        <x:v>Russian influence</x:v>
      </x:c>
      <x:c r="K294" s="384" t="n">
        <x:v>2</x:v>
      </x:c>
      <x:c r="L294" s="396" t="n">
        <x:v>2</x:v>
      </x:c>
      <x:c r="M294" s="397" t="str">
        <x:v>https://www.eeas.europa.eu/eeas/4th-eeas-annual-report-foreign-information-manipulation-and-interference-threats_en</x:v>
      </x:c>
      <x:c r="N294" s="384" t="n">
        <x:v>0</x:v>
      </x:c>
      <x:c r="O294" s="396" t="n">
        <x:v>1</x:v>
      </x:c>
      <x:c r="P294" s="397" t="str">
        <x:v>https://www.consilium.europa.eu/en/press/press-releases/2023/02/25/wagner-group-council-adds-11-individuals-and-7-entities-to-eu-sanctions-lists/</x:v>
      </x:c>
      <x:c r="Q294" s="384" t="n">
        <x:v>0</x:v>
      </x:c>
      <x:c r="R294" s="396" t="n">
        <x:v>1</x:v>
      </x:c>
      <x:c r="S294" s="397" t="str">
        <x:v>https://www.dni.gov/files/ODNI/documents/assessments/ATA-2026-Unclassified-Report.pdf</x:v>
      </x:c>
      <x:c r="T294" s="384" t="n">
        <x:v>0</x:v>
      </x:c>
      <x:c r="U294" s="396" t="n">
        <x:v>1</x:v>
      </x:c>
      <x:c r="V294" s="397" t="str">
        <x:v>https://www.consilium.europa.eu/en/press/press-releases/2023/02/25/wagner-group-council-adds-11-individuals-and-7-entities-to-eu-sanctions-lists/</x:v>
      </x:c>
      <x:c r="W294" s="385" t="n">
        <x:f>(--(M294&lt;&gt;"")+--(P294&lt;&gt;"")+--(S294&lt;&gt;"")+--(V294&lt;&gt;""))/4</x:f>
        <x:v>1</x:v>
      </x:c>
      <x:c r="X294" s="384" t="n">
        <x:f>IF(COUNT(K294,N294,Q294,T294)=0,"No data",(IF(ISNUMBER(K294),K294*Factor_Model!$B$4,0)+IF(ISNUMBER(N294),N294*Factor_Model!$B$5,0)+IF(ISNUMBER(Q294),Q294*Factor_Model!$B$6,0)+IF(ISNUMBER(T294),T294*Factor_Model!$B$7,0))/(IF(ISNUMBER(K294),Factor_Model!$B$4,0)+IF(ISNUMBER(N294),Factor_Model!$B$5,0)+IF(ISNUMBER(Q294),Factor_Model!$B$6,0)+IF(ISNUMBER(T294),Factor_Model!$B$7,0)))</x:f>
        <x:v>0.5</x:v>
      </x:c>
      <x:c r="Y294" s="20" t="str">
        <x:f>IF(W294=0,"No source",IF(W294&lt;1,"Partial source","Source-complete"))</x:f>
        <x:v>Source-complete</x:v>
      </x:c>
      <x:c r="Z294" s="20" t="str">
        <x:v>Automated screening pass: row uses a primary source URL by actor/subfactor; verify with country-specific evidence before final analytical use.</x:v>
      </x:c>
      <x:c r="AA294" s="20" t="str">
        <x:v>2026-05-20</x:v>
      </x:c>
      <x:c r="AB294" s="20" t="str">
        <x:v>GPT-5.5 Pro</x:v>
      </x:c>
    </x:row>
    <x:row r="295" ht="24" customHeight="1">
      <x:c r="A295" s="20" t="str">
        <x:v>NCL|China</x:v>
      </x:c>
      <x:c r="B295" s="20" t="str">
        <x:v>New Caledonia</x:v>
      </x:c>
      <x:c r="C295" s="20"/>
      <x:c r="D295" s="20" t="str">
        <x:v>NC</x:v>
      </x:c>
      <x:c r="E295" s="20" t="str">
        <x:v>NCL</x:v>
      </x:c>
      <x:c r="F295" s="20" t="str">
        <x:v>540</x:v>
      </x:c>
      <x:c r="G295" s="20" t="str">
        <x:v>Oceania</x:v>
      </x:c>
      <x:c r="H295" s="20" t="str">
        <x:v>Melanesia</x:v>
      </x:c>
      <x:c r="I295" s="20" t="str">
        <x:v>China</x:v>
      </x:c>
      <x:c r="J295" s="20" t="str">
        <x:v>Chinese influence</x:v>
      </x:c>
      <x:c r="K295" s="384" t="n">
        <x:v>7</x:v>
      </x:c>
      <x:c r="L295" s="396" t="n">
        <x:v>4</x:v>
      </x:c>
      <x:c r="M295" s="397" t="str">
        <x:v>https://www.eeas.europa.eu/eeas/4th-eeas-annual-report-foreign-information-manipulation-and-interference-threats_en</x:v>
      </x:c>
      <x:c r="N295" s="384" t="n">
        <x:v>1</x:v>
      </x:c>
      <x:c r="O295" s="396" t="n">
        <x:v>2</x:v>
      </x:c>
      <x:c r="P295" s="397" t="str">
        <x:v>https://merics.org/en/report/guardians-belt-and-road</x:v>
      </x:c>
      <x:c r="Q295" s="384" t="n">
        <x:v>3</x:v>
      </x:c>
      <x:c r="R295" s="396" t="n">
        <x:v>3</x:v>
      </x:c>
      <x:c r="S295" s="397" t="str">
        <x:v>https://www.eeas.europa.eu/eeas/4th-eeas-annual-report-foreign-information-manipulation-and-interference-threats_en</x:v>
      </x:c>
      <x:c r="T295" s="384" t="n">
        <x:v>2</x:v>
      </x:c>
      <x:c r="U295" s="396" t="n">
        <x:v>2</x:v>
      </x:c>
      <x:c r="V295" s="397" t="str">
        <x:v>https://merics.org/en/report/guardians-belt-and-road</x:v>
      </x:c>
      <x:c r="W295" s="385" t="n">
        <x:f>(--(M295&lt;&gt;"")+--(P295&lt;&gt;"")+--(S295&lt;&gt;"")+--(V295&lt;&gt;""))/4</x:f>
        <x:v>1</x:v>
      </x:c>
      <x:c r="X295" s="384" t="n">
        <x:f>IF(COUNT(K295,N295,Q295,T295)=0,"No data",(IF(ISNUMBER(K295),K295*Factor_Model!$B$4,0)+IF(ISNUMBER(N295),N295*Factor_Model!$B$5,0)+IF(ISNUMBER(Q295),Q295*Factor_Model!$B$6,0)+IF(ISNUMBER(T295),T295*Factor_Model!$B$7,0))/(IF(ISNUMBER(K295),Factor_Model!$B$4,0)+IF(ISNUMBER(N295),Factor_Model!$B$5,0)+IF(ISNUMBER(Q295),Factor_Model!$B$6,0)+IF(ISNUMBER(T295),Factor_Model!$B$7,0)))</x:f>
        <x:v>3.25</x:v>
      </x:c>
      <x:c r="Y295" s="20" t="str">
        <x:f>IF(W295=0,"No source",IF(W295&lt;1,"Partial source","Source-complete"))</x:f>
        <x:v>Source-complete</x:v>
      </x:c>
      <x:c r="Z295" s="20" t="str">
        <x:v>Automated screening pass: row uses a primary source URL by actor/subfactor; verify with country-specific evidence before final analytical use.</x:v>
      </x:c>
      <x:c r="AA295" s="20" t="str">
        <x:v>2026-05-20</x:v>
      </x:c>
      <x:c r="AB295" s="20" t="str">
        <x:v>GPT-5.5 Pro</x:v>
      </x:c>
    </x:row>
    <x:row r="296" ht="24" customHeight="1">
      <x:c r="A296" s="20" t="str">
        <x:v>NCL|United States</x:v>
      </x:c>
      <x:c r="B296" s="20" t="str">
        <x:v>New Caledonia</x:v>
      </x:c>
      <x:c r="C296" s="20"/>
      <x:c r="D296" s="20" t="str">
        <x:v>NC</x:v>
      </x:c>
      <x:c r="E296" s="20" t="str">
        <x:v>NCL</x:v>
      </x:c>
      <x:c r="F296" s="20" t="str">
        <x:v>540</x:v>
      </x:c>
      <x:c r="G296" s="20" t="str">
        <x:v>Oceania</x:v>
      </x:c>
      <x:c r="H296" s="20" t="str">
        <x:v>Melanesia</x:v>
      </x:c>
      <x:c r="I296" s="20" t="str">
        <x:v>United States</x:v>
      </x:c>
      <x:c r="J296" s="20" t="str">
        <x:v>American influence</x:v>
      </x:c>
      <x:c r="K296" s="384" t="n">
        <x:v>3</x:v>
      </x:c>
      <x:c r="L296" s="396" t="n">
        <x:v>3</x:v>
      </x:c>
      <x:c r="M296" s="397" t="str">
        <x:v>https://www.usagm.gov/our-work/strategy-and-results/strategic-priorities/research-reports/</x:v>
      </x:c>
      <x:c r="N296" s="384" t="n">
        <x:v>1</x:v>
      </x:c>
      <x:c r="O296" s="396" t="n">
        <x:v>2</x:v>
      </x:c>
      <x:c r="P296" s="397" t="str">
        <x:v>https://internationalpolicy.org/programs/sam/</x:v>
      </x:c>
      <x:c r="Q296" s="384" t="n">
        <x:v>1</x:v>
      </x:c>
      <x:c r="R296" s="396" t="n">
        <x:v>2</x:v>
      </x:c>
      <x:c r="S296" s="397" t="str">
        <x:v>https://www.ned.org/ned-grantmaking/</x:v>
      </x:c>
      <x:c r="T296" s="384" t="n">
        <x:v>2</x:v>
      </x:c>
      <x:c r="U296" s="396" t="n">
        <x:v>2</x:v>
      </x:c>
      <x:c r="V296" s="397" t="str">
        <x:v>https://internationalpolicy.org/programs/sam/</x:v>
      </x:c>
      <x:c r="W296" s="385" t="n">
        <x:f>(--(M296&lt;&gt;"")+--(P296&lt;&gt;"")+--(S296&lt;&gt;"")+--(V296&lt;&gt;""))/4</x:f>
        <x:v>1</x:v>
      </x:c>
      <x:c r="X296" s="384" t="n">
        <x:f>IF(COUNT(K296,N296,Q296,T296)=0,"No data",(IF(ISNUMBER(K296),K296*Factor_Model!$B$4,0)+IF(ISNUMBER(N296),N296*Factor_Model!$B$5,0)+IF(ISNUMBER(Q296),Q296*Factor_Model!$B$6,0)+IF(ISNUMBER(T296),T296*Factor_Model!$B$7,0))/(IF(ISNUMBER(K296),Factor_Model!$B$4,0)+IF(ISNUMBER(N296),Factor_Model!$B$5,0)+IF(ISNUMBER(Q296),Factor_Model!$B$6,0)+IF(ISNUMBER(T296),Factor_Model!$B$7,0)))</x:f>
        <x:v>1.75</x:v>
      </x:c>
      <x:c r="Y296" s="20" t="str">
        <x:f>IF(W296=0,"No source",IF(W296&lt;1,"Partial source","Source-complete"))</x:f>
        <x:v>Source-complete</x:v>
      </x:c>
      <x:c r="Z296" s="20" t="str">
        <x:v>Automated screening pass: row uses a primary source URL by actor/subfactor; verify with country-specific evidence before final analytical use.</x:v>
      </x:c>
      <x:c r="AA296" s="20" t="str">
        <x:v>2026-05-20</x:v>
      </x:c>
      <x:c r="AB296" s="20" t="str">
        <x:v>GPT-5.5 Pro</x:v>
      </x:c>
    </x:row>
    <x:row r="297" ht="24" customHeight="1">
      <x:c r="A297" s="20" t="str">
        <x:v>NCL|European Union</x:v>
      </x:c>
      <x:c r="B297" s="20" t="str">
        <x:v>New Caledonia</x:v>
      </x:c>
      <x:c r="C297" s="20"/>
      <x:c r="D297" s="20" t="str">
        <x:v>NC</x:v>
      </x:c>
      <x:c r="E297" s="20" t="str">
        <x:v>NCL</x:v>
      </x:c>
      <x:c r="F297" s="20" t="str">
        <x:v>540</x:v>
      </x:c>
      <x:c r="G297" s="20" t="str">
        <x:v>Oceania</x:v>
      </x:c>
      <x:c r="H297" s="20" t="str">
        <x:v>Melanesia</x:v>
      </x:c>
      <x:c r="I297" s="20" t="str">
        <x:v>European Union</x:v>
      </x:c>
      <x:c r="J297" s="20" t="str">
        <x:v>EU influence</x:v>
      </x:c>
      <x:c r="K297" s="384" t="n">
        <x:v>2</x:v>
      </x:c>
      <x:c r="L297" s="396" t="n">
        <x:v>2</x:v>
      </x:c>
      <x:c r="M297" s="397" t="str">
        <x:v>https://www.eeas.europa.eu/eeas/public-diplomacy_en</x:v>
      </x:c>
      <x:c r="N297" s="384" t="n">
        <x:v>0</x:v>
      </x:c>
      <x:c r="O297" s="396" t="n">
        <x:v>1</x:v>
      </x:c>
      <x:c r="P297" s="397" t="str">
        <x:v>https://www.eeas.europa.eu/eeas/missions-and-operations_en</x:v>
      </x:c>
      <x:c r="Q297" s="384" t="n">
        <x:v>1</x:v>
      </x:c>
      <x:c r="R297" s="396" t="n">
        <x:v>2</x:v>
      </x:c>
      <x:c r="S297" s="397" t="str">
        <x:v>https://www.eeas.europa.eu/eeas/eu-election-observation-missions-1_en?page_lang=en</x:v>
      </x:c>
      <x:c r="T297" s="384" t="n">
        <x:v>1</x:v>
      </x:c>
      <x:c r="U297" s="396" t="n">
        <x:v>2</x:v>
      </x:c>
      <x:c r="V297" s="397" t="str">
        <x:v>https://www.eeas.europa.eu/eeas/missions-and-operations_en</x:v>
      </x:c>
      <x:c r="W297" s="385" t="n">
        <x:f>(--(M297&lt;&gt;"")+--(P297&lt;&gt;"")+--(S297&lt;&gt;"")+--(V297&lt;&gt;""))/4</x:f>
        <x:v>1</x:v>
      </x:c>
      <x:c r="X297" s="384" t="n">
        <x:f>IF(COUNT(K297,N297,Q297,T297)=0,"No data",(IF(ISNUMBER(K297),K297*Factor_Model!$B$4,0)+IF(ISNUMBER(N297),N297*Factor_Model!$B$5,0)+IF(ISNUMBER(Q297),Q297*Factor_Model!$B$6,0)+IF(ISNUMBER(T297),T297*Factor_Model!$B$7,0))/(IF(ISNUMBER(K297),Factor_Model!$B$4,0)+IF(ISNUMBER(N297),Factor_Model!$B$5,0)+IF(ISNUMBER(Q297),Factor_Model!$B$6,0)+IF(ISNUMBER(T297),Factor_Model!$B$7,0)))</x:f>
        <x:v>1</x:v>
      </x:c>
      <x:c r="Y297" s="20" t="str">
        <x:f>IF(W297=0,"No source",IF(W297&lt;1,"Partial source","Source-complete"))</x:f>
        <x:v>Source-complete</x:v>
      </x:c>
      <x:c r="Z297" s="20" t="str">
        <x:v>Automated screening pass: row uses a primary source URL by actor/subfactor; verify with country-specific evidence before final analytical use.</x:v>
      </x:c>
      <x:c r="AA297" s="20" t="str">
        <x:v>2026-05-20</x:v>
      </x:c>
      <x:c r="AB297" s="20" t="str">
        <x:v>GPT-5.5 Pro</x:v>
      </x:c>
    </x:row>
    <x:row r="298" ht="24" customHeight="1">
      <x:c r="A298" s="20" t="str">
        <x:v>NZL|Russia</x:v>
      </x:c>
      <x:c r="B298" s="20" t="str">
        <x:v>New Zealand</x:v>
      </x:c>
      <x:c r="C298" s="20"/>
      <x:c r="D298" s="20" t="str">
        <x:v>NZ</x:v>
      </x:c>
      <x:c r="E298" s="20" t="str">
        <x:v>NZL</x:v>
      </x:c>
      <x:c r="F298" s="20" t="str">
        <x:v>554</x:v>
      </x:c>
      <x:c r="G298" s="20" t="str">
        <x:v>Oceania</x:v>
      </x:c>
      <x:c r="H298" s="20" t="str">
        <x:v>Australia and New Zealand</x:v>
      </x:c>
      <x:c r="I298" s="20" t="str">
        <x:v>Russia</x:v>
      </x:c>
      <x:c r="J298" s="20" t="str">
        <x:v>Russian influence</x:v>
      </x:c>
      <x:c r="K298" s="384" t="n">
        <x:v>2</x:v>
      </x:c>
      <x:c r="L298" s="396" t="n">
        <x:v>2</x:v>
      </x:c>
      <x:c r="M298" s="397" t="str">
        <x:v>https://www.eeas.europa.eu/eeas/4th-eeas-annual-report-foreign-information-manipulation-and-interference-threats_en</x:v>
      </x:c>
      <x:c r="N298" s="384" t="n">
        <x:v>0</x:v>
      </x:c>
      <x:c r="O298" s="396" t="n">
        <x:v>1</x:v>
      </x:c>
      <x:c r="P298" s="397" t="str">
        <x:v>https://www.consilium.europa.eu/en/press/press-releases/2023/02/25/wagner-group-council-adds-11-individuals-and-7-entities-to-eu-sanctions-lists/</x:v>
      </x:c>
      <x:c r="Q298" s="384" t="n">
        <x:v>0</x:v>
      </x:c>
      <x:c r="R298" s="396" t="n">
        <x:v>1</x:v>
      </x:c>
      <x:c r="S298" s="397" t="str">
        <x:v>https://www.dni.gov/files/ODNI/documents/assessments/ATA-2026-Unclassified-Report.pdf</x:v>
      </x:c>
      <x:c r="T298" s="384" t="n">
        <x:v>0</x:v>
      </x:c>
      <x:c r="U298" s="396" t="n">
        <x:v>1</x:v>
      </x:c>
      <x:c r="V298" s="397" t="str">
        <x:v>https://www.consilium.europa.eu/en/press/press-releases/2023/02/25/wagner-group-council-adds-11-individuals-and-7-entities-to-eu-sanctions-lists/</x:v>
      </x:c>
      <x:c r="W298" s="385" t="n">
        <x:f>(--(M298&lt;&gt;"")+--(P298&lt;&gt;"")+--(S298&lt;&gt;"")+--(V298&lt;&gt;""))/4</x:f>
        <x:v>1</x:v>
      </x:c>
      <x:c r="X298" s="384" t="n">
        <x:f>IF(COUNT(K298,N298,Q298,T298)=0,"No data",(IF(ISNUMBER(K298),K298*Factor_Model!$B$4,0)+IF(ISNUMBER(N298),N298*Factor_Model!$B$5,0)+IF(ISNUMBER(Q298),Q298*Factor_Model!$B$6,0)+IF(ISNUMBER(T298),T298*Factor_Model!$B$7,0))/(IF(ISNUMBER(K298),Factor_Model!$B$4,0)+IF(ISNUMBER(N298),Factor_Model!$B$5,0)+IF(ISNUMBER(Q298),Factor_Model!$B$6,0)+IF(ISNUMBER(T298),Factor_Model!$B$7,0)))</x:f>
        <x:v>0.5</x:v>
      </x:c>
      <x:c r="Y298" s="20" t="str">
        <x:f>IF(W298=0,"No source",IF(W298&lt;1,"Partial source","Source-complete"))</x:f>
        <x:v>Source-complete</x:v>
      </x:c>
      <x:c r="Z298" s="20" t="str">
        <x:v>Automated screening pass: row uses a primary source URL by actor/subfactor; verify with country-specific evidence before final analytical use.</x:v>
      </x:c>
      <x:c r="AA298" s="20" t="str">
        <x:v>2026-05-20</x:v>
      </x:c>
      <x:c r="AB298" s="20" t="str">
        <x:v>GPT-5.5 Pro</x:v>
      </x:c>
    </x:row>
    <x:row r="299" ht="24" customHeight="1">
      <x:c r="A299" s="20" t="str">
        <x:v>NZL|China</x:v>
      </x:c>
      <x:c r="B299" s="20" t="str">
        <x:v>New Zealand</x:v>
      </x:c>
      <x:c r="C299" s="20"/>
      <x:c r="D299" s="20" t="str">
        <x:v>NZ</x:v>
      </x:c>
      <x:c r="E299" s="20" t="str">
        <x:v>NZL</x:v>
      </x:c>
      <x:c r="F299" s="20" t="str">
        <x:v>554</x:v>
      </x:c>
      <x:c r="G299" s="20" t="str">
        <x:v>Oceania</x:v>
      </x:c>
      <x:c r="H299" s="20" t="str">
        <x:v>Australia and New Zealand</x:v>
      </x:c>
      <x:c r="I299" s="20" t="str">
        <x:v>China</x:v>
      </x:c>
      <x:c r="J299" s="20" t="str">
        <x:v>Chinese influence</x:v>
      </x:c>
      <x:c r="K299" s="384" t="n">
        <x:v>6</x:v>
      </x:c>
      <x:c r="L299" s="396" t="n">
        <x:v>4</x:v>
      </x:c>
      <x:c r="M299" s="397" t="str">
        <x:v>https://www.eeas.europa.eu/eeas/4th-eeas-annual-report-foreign-information-manipulation-and-interference-threats_en</x:v>
      </x:c>
      <x:c r="N299" s="384" t="n">
        <x:v>0</x:v>
      </x:c>
      <x:c r="O299" s="396" t="n">
        <x:v>1</x:v>
      </x:c>
      <x:c r="P299" s="397" t="str">
        <x:v>https://merics.org/en/report/guardians-belt-and-road</x:v>
      </x:c>
      <x:c r="Q299" s="384" t="n">
        <x:v>4</x:v>
      </x:c>
      <x:c r="R299" s="396" t="n">
        <x:v>3</x:v>
      </x:c>
      <x:c r="S299" s="397" t="str">
        <x:v>https://www.eeas.europa.eu/eeas/4th-eeas-annual-report-foreign-information-manipulation-and-interference-threats_en</x:v>
      </x:c>
      <x:c r="T299" s="384" t="n">
        <x:v>1</x:v>
      </x:c>
      <x:c r="U299" s="396" t="n">
        <x:v>2</x:v>
      </x:c>
      <x:c r="V299" s="397" t="str">
        <x:v>https://merics.org/en/report/guardians-belt-and-road</x:v>
      </x:c>
      <x:c r="W299" s="385" t="n">
        <x:f>(--(M299&lt;&gt;"")+--(P299&lt;&gt;"")+--(S299&lt;&gt;"")+--(V299&lt;&gt;""))/4</x:f>
        <x:v>1</x:v>
      </x:c>
      <x:c r="X299" s="384" t="n">
        <x:f>IF(COUNT(K299,N299,Q299,T299)=0,"No data",(IF(ISNUMBER(K299),K299*Factor_Model!$B$4,0)+IF(ISNUMBER(N299),N299*Factor_Model!$B$5,0)+IF(ISNUMBER(Q299),Q299*Factor_Model!$B$6,0)+IF(ISNUMBER(T299),T299*Factor_Model!$B$7,0))/(IF(ISNUMBER(K299),Factor_Model!$B$4,0)+IF(ISNUMBER(N299),Factor_Model!$B$5,0)+IF(ISNUMBER(Q299),Factor_Model!$B$6,0)+IF(ISNUMBER(T299),Factor_Model!$B$7,0)))</x:f>
        <x:v>2.75</x:v>
      </x:c>
      <x:c r="Y299" s="20" t="str">
        <x:f>IF(W299=0,"No source",IF(W299&lt;1,"Partial source","Source-complete"))</x:f>
        <x:v>Source-complete</x:v>
      </x:c>
      <x:c r="Z299" s="20" t="str">
        <x:v>Automated screening pass: row uses a primary source URL by actor/subfactor; verify with country-specific evidence before final analytical use.</x:v>
      </x:c>
      <x:c r="AA299" s="20" t="str">
        <x:v>2026-05-20</x:v>
      </x:c>
      <x:c r="AB299" s="20" t="str">
        <x:v>GPT-5.5 Pro</x:v>
      </x:c>
    </x:row>
    <x:row r="300" ht="24" customHeight="1">
      <x:c r="A300" s="20" t="str">
        <x:v>NZL|United States</x:v>
      </x:c>
      <x:c r="B300" s="20" t="str">
        <x:v>New Zealand</x:v>
      </x:c>
      <x:c r="C300" s="20"/>
      <x:c r="D300" s="20" t="str">
        <x:v>NZ</x:v>
      </x:c>
      <x:c r="E300" s="20" t="str">
        <x:v>NZL</x:v>
      </x:c>
      <x:c r="F300" s="20" t="str">
        <x:v>554</x:v>
      </x:c>
      <x:c r="G300" s="20" t="str">
        <x:v>Oceania</x:v>
      </x:c>
      <x:c r="H300" s="20" t="str">
        <x:v>Australia and New Zealand</x:v>
      </x:c>
      <x:c r="I300" s="20" t="str">
        <x:v>United States</x:v>
      </x:c>
      <x:c r="J300" s="20" t="str">
        <x:v>American influence</x:v>
      </x:c>
      <x:c r="K300" s="384" t="n">
        <x:v>5</x:v>
      </x:c>
      <x:c r="L300" s="396" t="n">
        <x:v>3</x:v>
      </x:c>
      <x:c r="M300" s="397" t="str">
        <x:v>https://www.usagm.gov/our-work/strategy-and-results/strategic-priorities/research-reports/</x:v>
      </x:c>
      <x:c r="N300" s="384" t="n">
        <x:v>1</x:v>
      </x:c>
      <x:c r="O300" s="396" t="n">
        <x:v>2</x:v>
      </x:c>
      <x:c r="P300" s="397" t="str">
        <x:v>https://internationalpolicy.org/programs/sam/</x:v>
      </x:c>
      <x:c r="Q300" s="384" t="n">
        <x:v>1</x:v>
      </x:c>
      <x:c r="R300" s="396" t="n">
        <x:v>2</x:v>
      </x:c>
      <x:c r="S300" s="397" t="str">
        <x:v>https://www.ned.org/ned-grantmaking/</x:v>
      </x:c>
      <x:c r="T300" s="384" t="n">
        <x:v>5</x:v>
      </x:c>
      <x:c r="U300" s="396" t="n">
        <x:v>3</x:v>
      </x:c>
      <x:c r="V300" s="397" t="str">
        <x:v>https://internationalpolicy.org/programs/sam/</x:v>
      </x:c>
      <x:c r="W300" s="385" t="n">
        <x:f>(--(M300&lt;&gt;"")+--(P300&lt;&gt;"")+--(S300&lt;&gt;"")+--(V300&lt;&gt;""))/4</x:f>
        <x:v>1</x:v>
      </x:c>
      <x:c r="X300" s="384" t="n">
        <x:f>IF(COUNT(K300,N300,Q300,T300)=0,"No data",(IF(ISNUMBER(K300),K300*Factor_Model!$B$4,0)+IF(ISNUMBER(N300),N300*Factor_Model!$B$5,0)+IF(ISNUMBER(Q300),Q300*Factor_Model!$B$6,0)+IF(ISNUMBER(T300),T300*Factor_Model!$B$7,0))/(IF(ISNUMBER(K300),Factor_Model!$B$4,0)+IF(ISNUMBER(N300),Factor_Model!$B$5,0)+IF(ISNUMBER(Q300),Factor_Model!$B$6,0)+IF(ISNUMBER(T300),Factor_Model!$B$7,0)))</x:f>
        <x:v>3</x:v>
      </x:c>
      <x:c r="Y300" s="20" t="str">
        <x:f>IF(W300=0,"No source",IF(W300&lt;1,"Partial source","Source-complete"))</x:f>
        <x:v>Source-complete</x:v>
      </x:c>
      <x:c r="Z300" s="20" t="str">
        <x:v>Automated screening pass: row uses a primary source URL by actor/subfactor; verify with country-specific evidence before final analytical use.</x:v>
      </x:c>
      <x:c r="AA300" s="20" t="str">
        <x:v>2026-05-20</x:v>
      </x:c>
      <x:c r="AB300" s="20" t="str">
        <x:v>GPT-5.5 Pro</x:v>
      </x:c>
    </x:row>
    <x:row r="301" ht="24" customHeight="1">
      <x:c r="A301" s="20" t="str">
        <x:v>NZL|European Union</x:v>
      </x:c>
      <x:c r="B301" s="20" t="str">
        <x:v>New Zealand</x:v>
      </x:c>
      <x:c r="C301" s="20"/>
      <x:c r="D301" s="20" t="str">
        <x:v>NZ</x:v>
      </x:c>
      <x:c r="E301" s="20" t="str">
        <x:v>NZL</x:v>
      </x:c>
      <x:c r="F301" s="20" t="str">
        <x:v>554</x:v>
      </x:c>
      <x:c r="G301" s="20" t="str">
        <x:v>Oceania</x:v>
      </x:c>
      <x:c r="H301" s="20" t="str">
        <x:v>Australia and New Zealand</x:v>
      </x:c>
      <x:c r="I301" s="20" t="str">
        <x:v>European Union</x:v>
      </x:c>
      <x:c r="J301" s="20" t="str">
        <x:v>EU influence</x:v>
      </x:c>
      <x:c r="K301" s="384" t="n">
        <x:v>3</x:v>
      </x:c>
      <x:c r="L301" s="396" t="n">
        <x:v>3</x:v>
      </x:c>
      <x:c r="M301" s="397" t="str">
        <x:v>https://www.eeas.europa.eu/eeas/public-diplomacy_en</x:v>
      </x:c>
      <x:c r="N301" s="384" t="n">
        <x:v>0</x:v>
      </x:c>
      <x:c r="O301" s="396" t="n">
        <x:v>1</x:v>
      </x:c>
      <x:c r="P301" s="397" t="str">
        <x:v>https://www.eeas.europa.eu/eeas/missions-and-operations_en</x:v>
      </x:c>
      <x:c r="Q301" s="384" t="n">
        <x:v>1</x:v>
      </x:c>
      <x:c r="R301" s="396" t="n">
        <x:v>2</x:v>
      </x:c>
      <x:c r="S301" s="397" t="str">
        <x:v>https://www.eeas.europa.eu/eeas/eu-election-observation-missions-1_en?page_lang=en</x:v>
      </x:c>
      <x:c r="T301" s="384" t="n">
        <x:v>1</x:v>
      </x:c>
      <x:c r="U301" s="396" t="n">
        <x:v>2</x:v>
      </x:c>
      <x:c r="V301" s="397" t="str">
        <x:v>https://www.eeas.europa.eu/eeas/missions-and-operations_en</x:v>
      </x:c>
      <x:c r="W301" s="385" t="n">
        <x:f>(--(M301&lt;&gt;"")+--(P301&lt;&gt;"")+--(S301&lt;&gt;"")+--(V301&lt;&gt;""))/4</x:f>
        <x:v>1</x:v>
      </x:c>
      <x:c r="X301" s="384" t="n">
        <x:f>IF(COUNT(K301,N301,Q301,T301)=0,"No data",(IF(ISNUMBER(K301),K301*Factor_Model!$B$4,0)+IF(ISNUMBER(N301),N301*Factor_Model!$B$5,0)+IF(ISNUMBER(Q301),Q301*Factor_Model!$B$6,0)+IF(ISNUMBER(T301),T301*Factor_Model!$B$7,0))/(IF(ISNUMBER(K301),Factor_Model!$B$4,0)+IF(ISNUMBER(N301),Factor_Model!$B$5,0)+IF(ISNUMBER(Q301),Factor_Model!$B$6,0)+IF(ISNUMBER(T301),Factor_Model!$B$7,0)))</x:f>
        <x:v>1.25</x:v>
      </x:c>
      <x:c r="Y301" s="20" t="str">
        <x:f>IF(W301=0,"No source",IF(W301&lt;1,"Partial source","Source-complete"))</x:f>
        <x:v>Source-complete</x:v>
      </x:c>
      <x:c r="Z301" s="20" t="str">
        <x:v>Automated screening pass: row uses a primary source URL by actor/subfactor; verify with country-specific evidence before final analytical use.</x:v>
      </x:c>
      <x:c r="AA301" s="20" t="str">
        <x:v>2026-05-20</x:v>
      </x:c>
      <x:c r="AB301" s="20" t="str">
        <x:v>GPT-5.5 Pro</x:v>
      </x:c>
    </x:row>
    <x:row r="302" ht="24" customHeight="1">
      <x:c r="A302" s="20" t="str">
        <x:v>NIC|Russia</x:v>
      </x:c>
      <x:c r="B302" s="20" t="str">
        <x:v>Nicaragua</x:v>
      </x:c>
      <x:c r="C302" s="20" t="str">
        <x:v>Republic of Nicaragua</x:v>
      </x:c>
      <x:c r="D302" s="20" t="str">
        <x:v>NI</x:v>
      </x:c>
      <x:c r="E302" s="20" t="str">
        <x:v>NIC</x:v>
      </x:c>
      <x:c r="F302" s="20" t="str">
        <x:v>558</x:v>
      </x:c>
      <x:c r="G302" s="20" t="str">
        <x:v>Americas</x:v>
      </x:c>
      <x:c r="H302" s="20" t="str">
        <x:v>Central America</x:v>
      </x:c>
      <x:c r="I302" s="20" t="str">
        <x:v>Russia</x:v>
      </x:c>
      <x:c r="J302" s="20" t="str">
        <x:v>Russian influence</x:v>
      </x:c>
      <x:c r="K302" s="384" t="n">
        <x:v>7</x:v>
      </x:c>
      <x:c r="L302" s="396" t="n">
        <x:v>4</x:v>
      </x:c>
      <x:c r="M302" s="397" t="str">
        <x:v>https://www.eeas.europa.eu/eeas/4th-eeas-annual-report-foreign-information-manipulation-and-interference-threats_en</x:v>
      </x:c>
      <x:c r="N302" s="384" t="n">
        <x:v>0</x:v>
      </x:c>
      <x:c r="O302" s="396" t="n">
        <x:v>1</x:v>
      </x:c>
      <x:c r="P302" s="397" t="str">
        <x:v>https://www.consilium.europa.eu/en/press/press-releases/2023/02/25/wagner-group-council-adds-11-individuals-and-7-entities-to-eu-sanctions-lists/</x:v>
      </x:c>
      <x:c r="Q302" s="384" t="n">
        <x:v>4</x:v>
      </x:c>
      <x:c r="R302" s="396" t="n">
        <x:v>3</x:v>
      </x:c>
      <x:c r="S302" s="397" t="str">
        <x:v>https://www.dni.gov/files/ODNI/documents/assessments/ATA-2026-Unclassified-Report.pdf</x:v>
      </x:c>
      <x:c r="T302" s="384" t="n">
        <x:v>0</x:v>
      </x:c>
      <x:c r="U302" s="396" t="n">
        <x:v>1</x:v>
      </x:c>
      <x:c r="V302" s="397" t="str">
        <x:v>https://www.consilium.europa.eu/en/press/press-releases/2023/02/25/wagner-group-council-adds-11-individuals-and-7-entities-to-eu-sanctions-lists/</x:v>
      </x:c>
      <x:c r="W302" s="385" t="n">
        <x:f>(--(M302&lt;&gt;"")+--(P302&lt;&gt;"")+--(S302&lt;&gt;"")+--(V302&lt;&gt;""))/4</x:f>
        <x:v>1</x:v>
      </x:c>
      <x:c r="X302" s="384" t="n">
        <x:f>IF(COUNT(K302,N302,Q302,T302)=0,"No data",(IF(ISNUMBER(K302),K302*Factor_Model!$B$4,0)+IF(ISNUMBER(N302),N302*Factor_Model!$B$5,0)+IF(ISNUMBER(Q302),Q302*Factor_Model!$B$6,0)+IF(ISNUMBER(T302),T302*Factor_Model!$B$7,0))/(IF(ISNUMBER(K302),Factor_Model!$B$4,0)+IF(ISNUMBER(N302),Factor_Model!$B$5,0)+IF(ISNUMBER(Q302),Factor_Model!$B$6,0)+IF(ISNUMBER(T302),Factor_Model!$B$7,0)))</x:f>
        <x:v>2.75</x:v>
      </x:c>
      <x:c r="Y302" s="20" t="str">
        <x:f>IF(W302=0,"No source",IF(W302&lt;1,"Partial source","Source-complete"))</x:f>
        <x:v>Source-complete</x:v>
      </x:c>
      <x:c r="Z302" s="20" t="str">
        <x:v>Automated screening pass: row uses a primary source URL by actor/subfactor; verify with country-specific evidence before final analytical use.</x:v>
      </x:c>
      <x:c r="AA302" s="20" t="str">
        <x:v>2026-05-20</x:v>
      </x:c>
      <x:c r="AB302" s="20" t="str">
        <x:v>GPT-5.5 Pro</x:v>
      </x:c>
    </x:row>
    <x:row r="303" ht="24" customHeight="1">
      <x:c r="A303" s="20" t="str">
        <x:v>NIC|China</x:v>
      </x:c>
      <x:c r="B303" s="20" t="str">
        <x:v>Nicaragua</x:v>
      </x:c>
      <x:c r="C303" s="20" t="str">
        <x:v>Republic of Nicaragua</x:v>
      </x:c>
      <x:c r="D303" s="20" t="str">
        <x:v>NI</x:v>
      </x:c>
      <x:c r="E303" s="20" t="str">
        <x:v>NIC</x:v>
      </x:c>
      <x:c r="F303" s="20" t="str">
        <x:v>558</x:v>
      </x:c>
      <x:c r="G303" s="20" t="str">
        <x:v>Americas</x:v>
      </x:c>
      <x:c r="H303" s="20" t="str">
        <x:v>Central America</x:v>
      </x:c>
      <x:c r="I303" s="20" t="str">
        <x:v>China</x:v>
      </x:c>
      <x:c r="J303" s="20" t="str">
        <x:v>Chinese influence</x:v>
      </x:c>
      <x:c r="K303" s="384" t="n">
        <x:v>5</x:v>
      </x:c>
      <x:c r="L303" s="396" t="n">
        <x:v>3</x:v>
      </x:c>
      <x:c r="M303" s="397" t="str">
        <x:v>https://www.eeas.europa.eu/eeas/4th-eeas-annual-report-foreign-information-manipulation-and-interference-threats_en</x:v>
      </x:c>
      <x:c r="N303" s="384" t="n">
        <x:v>0</x:v>
      </x:c>
      <x:c r="O303" s="396" t="n">
        <x:v>1</x:v>
      </x:c>
      <x:c r="P303" s="397" t="str">
        <x:v>https://merics.org/en/report/guardians-belt-and-road</x:v>
      </x:c>
      <x:c r="Q303" s="384" t="n">
        <x:v>2</x:v>
      </x:c>
      <x:c r="R303" s="396" t="n">
        <x:v>2</x:v>
      </x:c>
      <x:c r="S303" s="397" t="str">
        <x:v>https://www.eeas.europa.eu/eeas/4th-eeas-annual-report-foreign-information-manipulation-and-interference-threats_en</x:v>
      </x:c>
      <x:c r="T303" s="384" t="n">
        <x:v>0</x:v>
      </x:c>
      <x:c r="U303" s="396" t="n">
        <x:v>1</x:v>
      </x:c>
      <x:c r="V303" s="397" t="str">
        <x:v>https://merics.org/en/report/guardians-belt-and-road</x:v>
      </x:c>
      <x:c r="W303" s="385" t="n">
        <x:f>(--(M303&lt;&gt;"")+--(P303&lt;&gt;"")+--(S303&lt;&gt;"")+--(V303&lt;&gt;""))/4</x:f>
        <x:v>1</x:v>
      </x:c>
      <x:c r="X303" s="384" t="n">
        <x:f>IF(COUNT(K303,N303,Q303,T303)=0,"No data",(IF(ISNUMBER(K303),K303*Factor_Model!$B$4,0)+IF(ISNUMBER(N303),N303*Factor_Model!$B$5,0)+IF(ISNUMBER(Q303),Q303*Factor_Model!$B$6,0)+IF(ISNUMBER(T303),T303*Factor_Model!$B$7,0))/(IF(ISNUMBER(K303),Factor_Model!$B$4,0)+IF(ISNUMBER(N303),Factor_Model!$B$5,0)+IF(ISNUMBER(Q303),Factor_Model!$B$6,0)+IF(ISNUMBER(T303),Factor_Model!$B$7,0)))</x:f>
        <x:v>1.75</x:v>
      </x:c>
      <x:c r="Y303" s="20" t="str">
        <x:f>IF(W303=0,"No source",IF(W303&lt;1,"Partial source","Source-complete"))</x:f>
        <x:v>Source-complete</x:v>
      </x:c>
      <x:c r="Z303" s="20" t="str">
        <x:v>Automated screening pass: row uses a primary source URL by actor/subfactor; verify with country-specific evidence before final analytical use.</x:v>
      </x:c>
      <x:c r="AA303" s="20" t="str">
        <x:v>2026-05-20</x:v>
      </x:c>
      <x:c r="AB303" s="20" t="str">
        <x:v>GPT-5.5 Pro</x:v>
      </x:c>
    </x:row>
    <x:row r="304" ht="24" customHeight="1">
      <x:c r="A304" s="20" t="str">
        <x:v>NIC|United States</x:v>
      </x:c>
      <x:c r="B304" s="20" t="str">
        <x:v>Nicaragua</x:v>
      </x:c>
      <x:c r="C304" s="20" t="str">
        <x:v>Republic of Nicaragua</x:v>
      </x:c>
      <x:c r="D304" s="20" t="str">
        <x:v>NI</x:v>
      </x:c>
      <x:c r="E304" s="20" t="str">
        <x:v>NIC</x:v>
      </x:c>
      <x:c r="F304" s="20" t="str">
        <x:v>558</x:v>
      </x:c>
      <x:c r="G304" s="20" t="str">
        <x:v>Americas</x:v>
      </x:c>
      <x:c r="H304" s="20" t="str">
        <x:v>Central America</x:v>
      </x:c>
      <x:c r="I304" s="20" t="str">
        <x:v>United States</x:v>
      </x:c>
      <x:c r="J304" s="20" t="str">
        <x:v>American influence</x:v>
      </x:c>
      <x:c r="K304" s="384" t="n">
        <x:v>6</x:v>
      </x:c>
      <x:c r="L304" s="396" t="n">
        <x:v>4</x:v>
      </x:c>
      <x:c r="M304" s="397" t="str">
        <x:v>https://www.usagm.gov/our-work/strategy-and-results/strategic-priorities/research-reports/</x:v>
      </x:c>
      <x:c r="N304" s="384" t="n">
        <x:v>2</x:v>
      </x:c>
      <x:c r="O304" s="396" t="n">
        <x:v>2</x:v>
      </x:c>
      <x:c r="P304" s="397" t="str">
        <x:v>https://internationalpolicy.org/programs/sam/</x:v>
      </x:c>
      <x:c r="Q304" s="384" t="n">
        <x:v>5</x:v>
      </x:c>
      <x:c r="R304" s="396" t="n">
        <x:v>3</x:v>
      </x:c>
      <x:c r="S304" s="397" t="str">
        <x:v>https://www.ned.org/ned-grantmaking/</x:v>
      </x:c>
      <x:c r="T304" s="384" t="n">
        <x:v>4</x:v>
      </x:c>
      <x:c r="U304" s="396" t="n">
        <x:v>3</x:v>
      </x:c>
      <x:c r="V304" s="397" t="str">
        <x:v>https://internationalpolicy.org/programs/sam/</x:v>
      </x:c>
      <x:c r="W304" s="385" t="n">
        <x:f>(--(M304&lt;&gt;"")+--(P304&lt;&gt;"")+--(S304&lt;&gt;"")+--(V304&lt;&gt;""))/4</x:f>
        <x:v>1</x:v>
      </x:c>
      <x:c r="X304" s="384" t="n">
        <x:f>IF(COUNT(K304,N304,Q304,T304)=0,"No data",(IF(ISNUMBER(K304),K304*Factor_Model!$B$4,0)+IF(ISNUMBER(N304),N304*Factor_Model!$B$5,0)+IF(ISNUMBER(Q304),Q304*Factor_Model!$B$6,0)+IF(ISNUMBER(T304),T304*Factor_Model!$B$7,0))/(IF(ISNUMBER(K304),Factor_Model!$B$4,0)+IF(ISNUMBER(N304),Factor_Model!$B$5,0)+IF(ISNUMBER(Q304),Factor_Model!$B$6,0)+IF(ISNUMBER(T304),Factor_Model!$B$7,0)))</x:f>
        <x:v>4.25</x:v>
      </x:c>
      <x:c r="Y304" s="20" t="str">
        <x:f>IF(W304=0,"No source",IF(W304&lt;1,"Partial source","Source-complete"))</x:f>
        <x:v>Source-complete</x:v>
      </x:c>
      <x:c r="Z304" s="20" t="str">
        <x:v>Automated screening pass: row uses a primary source URL by actor/subfactor; verify with country-specific evidence before final analytical use.</x:v>
      </x:c>
      <x:c r="AA304" s="20" t="str">
        <x:v>2026-05-20</x:v>
      </x:c>
      <x:c r="AB304" s="20" t="str">
        <x:v>GPT-5.5 Pro</x:v>
      </x:c>
    </x:row>
    <x:row r="305" ht="24" customHeight="1">
      <x:c r="A305" s="20" t="str">
        <x:v>NIC|European Union</x:v>
      </x:c>
      <x:c r="B305" s="20" t="str">
        <x:v>Nicaragua</x:v>
      </x:c>
      <x:c r="C305" s="20" t="str">
        <x:v>Republic of Nicaragua</x:v>
      </x:c>
      <x:c r="D305" s="20" t="str">
        <x:v>NI</x:v>
      </x:c>
      <x:c r="E305" s="20" t="str">
        <x:v>NIC</x:v>
      </x:c>
      <x:c r="F305" s="20" t="str">
        <x:v>558</x:v>
      </x:c>
      <x:c r="G305" s="20" t="str">
        <x:v>Americas</x:v>
      </x:c>
      <x:c r="H305" s="20" t="str">
        <x:v>Central America</x:v>
      </x:c>
      <x:c r="I305" s="20" t="str">
        <x:v>European Union</x:v>
      </x:c>
      <x:c r="J305" s="20" t="str">
        <x:v>EU influence</x:v>
      </x:c>
      <x:c r="K305" s="384" t="n">
        <x:v>3</x:v>
      </x:c>
      <x:c r="L305" s="396" t="n">
        <x:v>3</x:v>
      </x:c>
      <x:c r="M305" s="397" t="str">
        <x:v>https://www.eeas.europa.eu/eeas/public-diplomacy_en</x:v>
      </x:c>
      <x:c r="N305" s="384" t="n">
        <x:v>0</x:v>
      </x:c>
      <x:c r="O305" s="396" t="n">
        <x:v>1</x:v>
      </x:c>
      <x:c r="P305" s="397" t="str">
        <x:v>https://www.eeas.europa.eu/eeas/missions-and-operations_en</x:v>
      </x:c>
      <x:c r="Q305" s="384" t="n">
        <x:v>1</x:v>
      </x:c>
      <x:c r="R305" s="396" t="n">
        <x:v>2</x:v>
      </x:c>
      <x:c r="S305" s="397" t="str">
        <x:v>https://www.eeas.europa.eu/eeas/eu-election-observation-missions-1_en?page_lang=en</x:v>
      </x:c>
      <x:c r="T305" s="384" t="n">
        <x:v>2</x:v>
      </x:c>
      <x:c r="U305" s="396" t="n">
        <x:v>2</x:v>
      </x:c>
      <x:c r="V305" s="397" t="str">
        <x:v>https://www.eeas.europa.eu/eeas/missions-and-operations_en</x:v>
      </x:c>
      <x:c r="W305" s="385" t="n">
        <x:f>(--(M305&lt;&gt;"")+--(P305&lt;&gt;"")+--(S305&lt;&gt;"")+--(V305&lt;&gt;""))/4</x:f>
        <x:v>1</x:v>
      </x:c>
      <x:c r="X305" s="384" t="n">
        <x:f>IF(COUNT(K305,N305,Q305,T305)=0,"No data",(IF(ISNUMBER(K305),K305*Factor_Model!$B$4,0)+IF(ISNUMBER(N305),N305*Factor_Model!$B$5,0)+IF(ISNUMBER(Q305),Q305*Factor_Model!$B$6,0)+IF(ISNUMBER(T305),T305*Factor_Model!$B$7,0))/(IF(ISNUMBER(K305),Factor_Model!$B$4,0)+IF(ISNUMBER(N305),Factor_Model!$B$5,0)+IF(ISNUMBER(Q305),Factor_Model!$B$6,0)+IF(ISNUMBER(T305),Factor_Model!$B$7,0)))</x:f>
        <x:v>1.5</x:v>
      </x:c>
      <x:c r="Y305" s="20" t="str">
        <x:f>IF(W305=0,"No source",IF(W305&lt;1,"Partial source","Source-complete"))</x:f>
        <x:v>Source-complete</x:v>
      </x:c>
      <x:c r="Z305" s="20" t="str">
        <x:v>Automated screening pass: row uses a primary source URL by actor/subfactor; verify with country-specific evidence before final analytical use.</x:v>
      </x:c>
      <x:c r="AA305" s="20" t="str">
        <x:v>2026-05-20</x:v>
      </x:c>
      <x:c r="AB305" s="20" t="str">
        <x:v>GPT-5.5 Pro</x:v>
      </x:c>
    </x:row>
    <x:row r="306" ht="24" customHeight="1">
      <x:c r="A306" s="20" t="str">
        <x:v>NER|Russia</x:v>
      </x:c>
      <x:c r="B306" s="20" t="str">
        <x:v>Niger</x:v>
      </x:c>
      <x:c r="C306" s="20" t="str">
        <x:v>Republic of the Niger</x:v>
      </x:c>
      <x:c r="D306" s="20" t="str">
        <x:v>NE</x:v>
      </x:c>
      <x:c r="E306" s="20" t="str">
        <x:v>NER</x:v>
      </x:c>
      <x:c r="F306" s="20" t="str">
        <x:v>562</x:v>
      </x:c>
      <x:c r="G306" s="20" t="str">
        <x:v>Africa</x:v>
      </x:c>
      <x:c r="H306" s="20" t="str">
        <x:v>Western Africa</x:v>
      </x:c>
      <x:c r="I306" s="20" t="str">
        <x:v>Russia</x:v>
      </x:c>
      <x:c r="J306" s="20" t="str">
        <x:v>Russian influence</x:v>
      </x:c>
      <x:c r="K306" s="384" t="n">
        <x:v>7</x:v>
      </x:c>
      <x:c r="L306" s="396" t="n">
        <x:v>4</x:v>
      </x:c>
      <x:c r="M306" s="397" t="str">
        <x:v>https://www.eeas.europa.eu/eeas/4th-eeas-annual-report-foreign-information-manipulation-and-interference-threats_en</x:v>
      </x:c>
      <x:c r="N306" s="384" t="n">
        <x:v>6</x:v>
      </x:c>
      <x:c r="O306" s="396" t="n">
        <x:v>4</x:v>
      </x:c>
      <x:c r="P306" s="397" t="str">
        <x:v>https://www.consilium.europa.eu/en/press/press-releases/2023/02/25/wagner-group-council-adds-11-individuals-and-7-entities-to-eu-sanctions-lists/</x:v>
      </x:c>
      <x:c r="Q306" s="384" t="n">
        <x:v>3</x:v>
      </x:c>
      <x:c r="R306" s="396" t="n">
        <x:v>3</x:v>
      </x:c>
      <x:c r="S306" s="397" t="str">
        <x:v>https://www.dni.gov/files/ODNI/documents/assessments/ATA-2026-Unclassified-Report.pdf</x:v>
      </x:c>
      <x:c r="T306" s="384" t="n">
        <x:v>5</x:v>
      </x:c>
      <x:c r="U306" s="396" t="n">
        <x:v>3</x:v>
      </x:c>
      <x:c r="V306" s="397" t="str">
        <x:v>https://www.consilium.europa.eu/en/press/press-releases/2023/02/25/wagner-group-council-adds-11-individuals-and-7-entities-to-eu-sanctions-lists/</x:v>
      </x:c>
      <x:c r="W306" s="385" t="n">
        <x:f>(--(M306&lt;&gt;"")+--(P306&lt;&gt;"")+--(S306&lt;&gt;"")+--(V306&lt;&gt;""))/4</x:f>
        <x:v>1</x:v>
      </x:c>
      <x:c r="X306" s="384" t="n">
        <x:f>IF(COUNT(K306,N306,Q306,T306)=0,"No data",(IF(ISNUMBER(K306),K306*Factor_Model!$B$4,0)+IF(ISNUMBER(N306),N306*Factor_Model!$B$5,0)+IF(ISNUMBER(Q306),Q306*Factor_Model!$B$6,0)+IF(ISNUMBER(T306),T306*Factor_Model!$B$7,0))/(IF(ISNUMBER(K306),Factor_Model!$B$4,0)+IF(ISNUMBER(N306),Factor_Model!$B$5,0)+IF(ISNUMBER(Q306),Factor_Model!$B$6,0)+IF(ISNUMBER(T306),Factor_Model!$B$7,0)))</x:f>
        <x:v>5.25</x:v>
      </x:c>
      <x:c r="Y306" s="20" t="str">
        <x:f>IF(W306=0,"No source",IF(W306&lt;1,"Partial source","Source-complete"))</x:f>
        <x:v>Source-complete</x:v>
      </x:c>
      <x:c r="Z306" s="20" t="str">
        <x:v>Automated screening pass: row uses a primary source URL by actor/subfactor; verify with country-specific evidence before final analytical use.</x:v>
      </x:c>
      <x:c r="AA306" s="20" t="str">
        <x:v>2026-05-20</x:v>
      </x:c>
      <x:c r="AB306" s="20" t="str">
        <x:v>GPT-5.5 Pro</x:v>
      </x:c>
    </x:row>
    <x:row r="307" ht="24" customHeight="1">
      <x:c r="A307" s="20" t="str">
        <x:v>NER|China</x:v>
      </x:c>
      <x:c r="B307" s="20" t="str">
        <x:v>Niger</x:v>
      </x:c>
      <x:c r="C307" s="20" t="str">
        <x:v>Republic of the Niger</x:v>
      </x:c>
      <x:c r="D307" s="20" t="str">
        <x:v>NE</x:v>
      </x:c>
      <x:c r="E307" s="20" t="str">
        <x:v>NER</x:v>
      </x:c>
      <x:c r="F307" s="20" t="str">
        <x:v>562</x:v>
      </x:c>
      <x:c r="G307" s="20" t="str">
        <x:v>Africa</x:v>
      </x:c>
      <x:c r="H307" s="20" t="str">
        <x:v>Western Africa</x:v>
      </x:c>
      <x:c r="I307" s="20" t="str">
        <x:v>China</x:v>
      </x:c>
      <x:c r="J307" s="20" t="str">
        <x:v>Chinese influence</x:v>
      </x:c>
      <x:c r="K307" s="384" t="n">
        <x:v>5</x:v>
      </x:c>
      <x:c r="L307" s="396" t="n">
        <x:v>3</x:v>
      </x:c>
      <x:c r="M307" s="397" t="str">
        <x:v>https://www.eeas.europa.eu/eeas/4th-eeas-annual-report-foreign-information-manipulation-and-interference-threats_en</x:v>
      </x:c>
      <x:c r="N307" s="384" t="n">
        <x:v>1</x:v>
      </x:c>
      <x:c r="O307" s="396" t="n">
        <x:v>2</x:v>
      </x:c>
      <x:c r="P307" s="397" t="str">
        <x:v>https://merics.org/en/report/guardians-belt-and-road</x:v>
      </x:c>
      <x:c r="Q307" s="384" t="n">
        <x:v>1</x:v>
      </x:c>
      <x:c r="R307" s="396" t="n">
        <x:v>2</x:v>
      </x:c>
      <x:c r="S307" s="397" t="str">
        <x:v>https://www.eeas.europa.eu/eeas/4th-eeas-annual-report-foreign-information-manipulation-and-interference-threats_en</x:v>
      </x:c>
      <x:c r="T307" s="384" t="n">
        <x:v>1</x:v>
      </x:c>
      <x:c r="U307" s="396" t="n">
        <x:v>2</x:v>
      </x:c>
      <x:c r="V307" s="397" t="str">
        <x:v>https://merics.org/en/report/guardians-belt-and-road</x:v>
      </x:c>
      <x:c r="W307" s="385" t="n">
        <x:f>(--(M307&lt;&gt;"")+--(P307&lt;&gt;"")+--(S307&lt;&gt;"")+--(V307&lt;&gt;""))/4</x:f>
        <x:v>1</x:v>
      </x:c>
      <x:c r="X307" s="384" t="n">
        <x:f>IF(COUNT(K307,N307,Q307,T307)=0,"No data",(IF(ISNUMBER(K307),K307*Factor_Model!$B$4,0)+IF(ISNUMBER(N307),N307*Factor_Model!$B$5,0)+IF(ISNUMBER(Q307),Q307*Factor_Model!$B$6,0)+IF(ISNUMBER(T307),T307*Factor_Model!$B$7,0))/(IF(ISNUMBER(K307),Factor_Model!$B$4,0)+IF(ISNUMBER(N307),Factor_Model!$B$5,0)+IF(ISNUMBER(Q307),Factor_Model!$B$6,0)+IF(ISNUMBER(T307),Factor_Model!$B$7,0)))</x:f>
        <x:v>2</x:v>
      </x:c>
      <x:c r="Y307" s="20" t="str">
        <x:f>IF(W307=0,"No source",IF(W307&lt;1,"Partial source","Source-complete"))</x:f>
        <x:v>Source-complete</x:v>
      </x:c>
      <x:c r="Z307" s="20" t="str">
        <x:v>Automated screening pass: row uses a primary source URL by actor/subfactor; verify with country-specific evidence before final analytical use.</x:v>
      </x:c>
      <x:c r="AA307" s="20" t="str">
        <x:v>2026-05-20</x:v>
      </x:c>
      <x:c r="AB307" s="20" t="str">
        <x:v>GPT-5.5 Pro</x:v>
      </x:c>
    </x:row>
    <x:row r="308" ht="24" customHeight="1">
      <x:c r="A308" s="20" t="str">
        <x:v>NER|United States</x:v>
      </x:c>
      <x:c r="B308" s="20" t="str">
        <x:v>Niger</x:v>
      </x:c>
      <x:c r="C308" s="20" t="str">
        <x:v>Republic of the Niger</x:v>
      </x:c>
      <x:c r="D308" s="20" t="str">
        <x:v>NE</x:v>
      </x:c>
      <x:c r="E308" s="20" t="str">
        <x:v>NER</x:v>
      </x:c>
      <x:c r="F308" s="20" t="str">
        <x:v>562</x:v>
      </x:c>
      <x:c r="G308" s="20" t="str">
        <x:v>Africa</x:v>
      </x:c>
      <x:c r="H308" s="20" t="str">
        <x:v>Western Africa</x:v>
      </x:c>
      <x:c r="I308" s="20" t="str">
        <x:v>United States</x:v>
      </x:c>
      <x:c r="J308" s="20" t="str">
        <x:v>American influence</x:v>
      </x:c>
      <x:c r="K308" s="384" t="n">
        <x:v>4</x:v>
      </x:c>
      <x:c r="L308" s="396" t="n">
        <x:v>3</x:v>
      </x:c>
      <x:c r="M308" s="397" t="str">
        <x:v>https://www.usagm.gov/our-work/strategy-and-results/strategic-priorities/research-reports/</x:v>
      </x:c>
      <x:c r="N308" s="384" t="n">
        <x:v>2</x:v>
      </x:c>
      <x:c r="O308" s="396" t="n">
        <x:v>2</x:v>
      </x:c>
      <x:c r="P308" s="397" t="str">
        <x:v>https://internationalpolicy.org/programs/sam/</x:v>
      </x:c>
      <x:c r="Q308" s="384" t="n">
        <x:v>2</x:v>
      </x:c>
      <x:c r="R308" s="396" t="n">
        <x:v>2</x:v>
      </x:c>
      <x:c r="S308" s="397" t="str">
        <x:v>https://www.ned.org/ned-grantmaking/</x:v>
      </x:c>
      <x:c r="T308" s="384" t="n">
        <x:v>3</x:v>
      </x:c>
      <x:c r="U308" s="396" t="n">
        <x:v>3</x:v>
      </x:c>
      <x:c r="V308" s="397" t="str">
        <x:v>https://internationalpolicy.org/programs/sam/</x:v>
      </x:c>
      <x:c r="W308" s="385" t="n">
        <x:f>(--(M308&lt;&gt;"")+--(P308&lt;&gt;"")+--(S308&lt;&gt;"")+--(V308&lt;&gt;""))/4</x:f>
        <x:v>1</x:v>
      </x:c>
      <x:c r="X308" s="384" t="n">
        <x:f>IF(COUNT(K308,N308,Q308,T308)=0,"No data",(IF(ISNUMBER(K308),K308*Factor_Model!$B$4,0)+IF(ISNUMBER(N308),N308*Factor_Model!$B$5,0)+IF(ISNUMBER(Q308),Q308*Factor_Model!$B$6,0)+IF(ISNUMBER(T308),T308*Factor_Model!$B$7,0))/(IF(ISNUMBER(K308),Factor_Model!$B$4,0)+IF(ISNUMBER(N308),Factor_Model!$B$5,0)+IF(ISNUMBER(Q308),Factor_Model!$B$6,0)+IF(ISNUMBER(T308),Factor_Model!$B$7,0)))</x:f>
        <x:v>2.75</x:v>
      </x:c>
      <x:c r="Y308" s="20" t="str">
        <x:f>IF(W308=0,"No source",IF(W308&lt;1,"Partial source","Source-complete"))</x:f>
        <x:v>Source-complete</x:v>
      </x:c>
      <x:c r="Z308" s="20" t="str">
        <x:v>Automated screening pass: row uses a primary source URL by actor/subfactor; verify with country-specific evidence before final analytical use.</x:v>
      </x:c>
      <x:c r="AA308" s="20" t="str">
        <x:v>2026-05-20</x:v>
      </x:c>
      <x:c r="AB308" s="20" t="str">
        <x:v>GPT-5.5 Pro</x:v>
      </x:c>
    </x:row>
    <x:row r="309" ht="24" customHeight="1">
      <x:c r="A309" s="20" t="str">
        <x:v>NER|European Union</x:v>
      </x:c>
      <x:c r="B309" s="20" t="str">
        <x:v>Niger</x:v>
      </x:c>
      <x:c r="C309" s="20" t="str">
        <x:v>Republic of the Niger</x:v>
      </x:c>
      <x:c r="D309" s="20" t="str">
        <x:v>NE</x:v>
      </x:c>
      <x:c r="E309" s="20" t="str">
        <x:v>NER</x:v>
      </x:c>
      <x:c r="F309" s="20" t="str">
        <x:v>562</x:v>
      </x:c>
      <x:c r="G309" s="20" t="str">
        <x:v>Africa</x:v>
      </x:c>
      <x:c r="H309" s="20" t="str">
        <x:v>Western Africa</x:v>
      </x:c>
      <x:c r="I309" s="20" t="str">
        <x:v>European Union</x:v>
      </x:c>
      <x:c r="J309" s="20" t="str">
        <x:v>EU influence</x:v>
      </x:c>
      <x:c r="K309" s="384" t="n">
        <x:v>3</x:v>
      </x:c>
      <x:c r="L309" s="396" t="n">
        <x:v>3</x:v>
      </x:c>
      <x:c r="M309" s="397" t="str">
        <x:v>https://www.eeas.europa.eu/eeas/public-diplomacy_en</x:v>
      </x:c>
      <x:c r="N309" s="384" t="n">
        <x:v>1</x:v>
      </x:c>
      <x:c r="O309" s="396" t="n">
        <x:v>2</x:v>
      </x:c>
      <x:c r="P309" s="397" t="str">
        <x:v>https://www.eeas.europa.eu/eeas/missions-and-operations_en</x:v>
      </x:c>
      <x:c r="Q309" s="384" t="n">
        <x:v>1</x:v>
      </x:c>
      <x:c r="R309" s="396" t="n">
        <x:v>2</x:v>
      </x:c>
      <x:c r="S309" s="397" t="str">
        <x:v>https://www.eeas.europa.eu/eeas/eu-election-observation-missions-1_en?page_lang=en</x:v>
      </x:c>
      <x:c r="T309" s="384" t="n">
        <x:v>3</x:v>
      </x:c>
      <x:c r="U309" s="396" t="n">
        <x:v>3</x:v>
      </x:c>
      <x:c r="V309" s="397" t="str">
        <x:v>https://www.eeas.europa.eu/eeas/missions-and-operations_en</x:v>
      </x:c>
      <x:c r="W309" s="385" t="n">
        <x:f>(--(M309&lt;&gt;"")+--(P309&lt;&gt;"")+--(S309&lt;&gt;"")+--(V309&lt;&gt;""))/4</x:f>
        <x:v>1</x:v>
      </x:c>
      <x:c r="X309" s="384" t="n">
        <x:f>IF(COUNT(K309,N309,Q309,T309)=0,"No data",(IF(ISNUMBER(K309),K309*Factor_Model!$B$4,0)+IF(ISNUMBER(N309),N309*Factor_Model!$B$5,0)+IF(ISNUMBER(Q309),Q309*Factor_Model!$B$6,0)+IF(ISNUMBER(T309),T309*Factor_Model!$B$7,0))/(IF(ISNUMBER(K309),Factor_Model!$B$4,0)+IF(ISNUMBER(N309),Factor_Model!$B$5,0)+IF(ISNUMBER(Q309),Factor_Model!$B$6,0)+IF(ISNUMBER(T309),Factor_Model!$B$7,0)))</x:f>
        <x:v>2</x:v>
      </x:c>
      <x:c r="Y309" s="20" t="str">
        <x:f>IF(W309=0,"No source",IF(W309&lt;1,"Partial source","Source-complete"))</x:f>
        <x:v>Source-complete</x:v>
      </x:c>
      <x:c r="Z309" s="20" t="str">
        <x:v>Automated screening pass: row uses a primary source URL by actor/subfactor; verify with country-specific evidence before final analytical use.</x:v>
      </x:c>
      <x:c r="AA309" s="20" t="str">
        <x:v>2026-05-20</x:v>
      </x:c>
      <x:c r="AB309" s="20" t="str">
        <x:v>GPT-5.5 Pro</x:v>
      </x:c>
    </x:row>
    <x:row r="310" ht="24" customHeight="1">
      <x:c r="A310" s="20" t="str">
        <x:v>NGA|Russia</x:v>
      </x:c>
      <x:c r="B310" s="20" t="str">
        <x:v>Nigeria</x:v>
      </x:c>
      <x:c r="C310" s="20" t="str">
        <x:v>Federal Republic of Nigeria</x:v>
      </x:c>
      <x:c r="D310" s="20" t="str">
        <x:v>NG</x:v>
      </x:c>
      <x:c r="E310" s="20" t="str">
        <x:v>NGA</x:v>
      </x:c>
      <x:c r="F310" s="20" t="str">
        <x:v>566</x:v>
      </x:c>
      <x:c r="G310" s="20" t="str">
        <x:v>Africa</x:v>
      </x:c>
      <x:c r="H310" s="20" t="str">
        <x:v>Western Africa</x:v>
      </x:c>
      <x:c r="I310" s="20" t="str">
        <x:v>Russia</x:v>
      </x:c>
      <x:c r="J310" s="20" t="str">
        <x:v>Russian influence</x:v>
      </x:c>
      <x:c r="K310" s="384" t="n">
        <x:v>4</x:v>
      </x:c>
      <x:c r="L310" s="396" t="n">
        <x:v>3</x:v>
      </x:c>
      <x:c r="M310" s="397" t="str">
        <x:v>https://www.eeas.europa.eu/eeas/4th-eeas-annual-report-foreign-information-manipulation-and-interference-threats_en</x:v>
      </x:c>
      <x:c r="N310" s="384" t="n">
        <x:v>1</x:v>
      </x:c>
      <x:c r="O310" s="396" t="n">
        <x:v>2</x:v>
      </x:c>
      <x:c r="P310" s="397" t="str">
        <x:v>https://www.consilium.europa.eu/en/press/press-releases/2023/02/25/wagner-group-council-adds-11-individuals-and-7-entities-to-eu-sanctions-lists/</x:v>
      </x:c>
      <x:c r="Q310" s="384" t="n">
        <x:v>1</x:v>
      </x:c>
      <x:c r="R310" s="396" t="n">
        <x:v>2</x:v>
      </x:c>
      <x:c r="S310" s="397" t="str">
        <x:v>https://www.dni.gov/files/ODNI/documents/assessments/ATA-2026-Unclassified-Report.pdf</x:v>
      </x:c>
      <x:c r="T310" s="384" t="n">
        <x:v>1</x:v>
      </x:c>
      <x:c r="U310" s="396" t="n">
        <x:v>2</x:v>
      </x:c>
      <x:c r="V310" s="397" t="str">
        <x:v>https://www.consilium.europa.eu/en/press/press-releases/2023/02/25/wagner-group-council-adds-11-individuals-and-7-entities-to-eu-sanctions-lists/</x:v>
      </x:c>
      <x:c r="W310" s="385" t="n">
        <x:f>(--(M310&lt;&gt;"")+--(P310&lt;&gt;"")+--(S310&lt;&gt;"")+--(V310&lt;&gt;""))/4</x:f>
        <x:v>1</x:v>
      </x:c>
      <x:c r="X310" s="384" t="n">
        <x:f>IF(COUNT(K310,N310,Q310,T310)=0,"No data",(IF(ISNUMBER(K310),K310*Factor_Model!$B$4,0)+IF(ISNUMBER(N310),N310*Factor_Model!$B$5,0)+IF(ISNUMBER(Q310),Q310*Factor_Model!$B$6,0)+IF(ISNUMBER(T310),T310*Factor_Model!$B$7,0))/(IF(ISNUMBER(K310),Factor_Model!$B$4,0)+IF(ISNUMBER(N310),Factor_Model!$B$5,0)+IF(ISNUMBER(Q310),Factor_Model!$B$6,0)+IF(ISNUMBER(T310),Factor_Model!$B$7,0)))</x:f>
        <x:v>1.75</x:v>
      </x:c>
      <x:c r="Y310" s="20" t="str">
        <x:f>IF(W310=0,"No source",IF(W310&lt;1,"Partial source","Source-complete"))</x:f>
        <x:v>Source-complete</x:v>
      </x:c>
      <x:c r="Z310" s="20" t="str">
        <x:v>Automated screening pass: row uses a primary source URL by actor/subfactor; verify with country-specific evidence before final analytical use.</x:v>
      </x:c>
      <x:c r="AA310" s="20" t="str">
        <x:v>2026-05-20</x:v>
      </x:c>
      <x:c r="AB310" s="20" t="str">
        <x:v>GPT-5.5 Pro</x:v>
      </x:c>
    </x:row>
    <x:row r="311" ht="24" customHeight="1">
      <x:c r="A311" s="20" t="str">
        <x:v>NGA|China</x:v>
      </x:c>
      <x:c r="B311" s="20" t="str">
        <x:v>Nigeria</x:v>
      </x:c>
      <x:c r="C311" s="20" t="str">
        <x:v>Federal Republic of Nigeria</x:v>
      </x:c>
      <x:c r="D311" s="20" t="str">
        <x:v>NG</x:v>
      </x:c>
      <x:c r="E311" s="20" t="str">
        <x:v>NGA</x:v>
      </x:c>
      <x:c r="F311" s="20" t="str">
        <x:v>566</x:v>
      </x:c>
      <x:c r="G311" s="20" t="str">
        <x:v>Africa</x:v>
      </x:c>
      <x:c r="H311" s="20" t="str">
        <x:v>Western Africa</x:v>
      </x:c>
      <x:c r="I311" s="20" t="str">
        <x:v>China</x:v>
      </x:c>
      <x:c r="J311" s="20" t="str">
        <x:v>Chinese influence</x:v>
      </x:c>
      <x:c r="K311" s="384" t="n">
        <x:v>5</x:v>
      </x:c>
      <x:c r="L311" s="396" t="n">
        <x:v>3</x:v>
      </x:c>
      <x:c r="M311" s="397" t="str">
        <x:v>https://www.eeas.europa.eu/eeas/4th-eeas-annual-report-foreign-information-manipulation-and-interference-threats_en</x:v>
      </x:c>
      <x:c r="N311" s="384" t="n">
        <x:v>2</x:v>
      </x:c>
      <x:c r="O311" s="396" t="n">
        <x:v>2</x:v>
      </x:c>
      <x:c r="P311" s="397" t="str">
        <x:v>https://merics.org/en/report/guardians-belt-and-road</x:v>
      </x:c>
      <x:c r="Q311" s="384" t="n">
        <x:v>1</x:v>
      </x:c>
      <x:c r="R311" s="396" t="n">
        <x:v>2</x:v>
      </x:c>
      <x:c r="S311" s="397" t="str">
        <x:v>https://www.eeas.europa.eu/eeas/4th-eeas-annual-report-foreign-information-manipulation-and-interference-threats_en</x:v>
      </x:c>
      <x:c r="T311" s="384" t="n">
        <x:v>3</x:v>
      </x:c>
      <x:c r="U311" s="396" t="n">
        <x:v>3</x:v>
      </x:c>
      <x:c r="V311" s="397" t="str">
        <x:v>https://merics.org/en/report/guardians-belt-and-road</x:v>
      </x:c>
      <x:c r="W311" s="385" t="n">
        <x:f>(--(M311&lt;&gt;"")+--(P311&lt;&gt;"")+--(S311&lt;&gt;"")+--(V311&lt;&gt;""))/4</x:f>
        <x:v>1</x:v>
      </x:c>
      <x:c r="X311" s="384" t="n">
        <x:f>IF(COUNT(K311,N311,Q311,T311)=0,"No data",(IF(ISNUMBER(K311),K311*Factor_Model!$B$4,0)+IF(ISNUMBER(N311),N311*Factor_Model!$B$5,0)+IF(ISNUMBER(Q311),Q311*Factor_Model!$B$6,0)+IF(ISNUMBER(T311),T311*Factor_Model!$B$7,0))/(IF(ISNUMBER(K311),Factor_Model!$B$4,0)+IF(ISNUMBER(N311),Factor_Model!$B$5,0)+IF(ISNUMBER(Q311),Factor_Model!$B$6,0)+IF(ISNUMBER(T311),Factor_Model!$B$7,0)))</x:f>
        <x:v>2.75</x:v>
      </x:c>
      <x:c r="Y311" s="20" t="str">
        <x:f>IF(W311=0,"No source",IF(W311&lt;1,"Partial source","Source-complete"))</x:f>
        <x:v>Source-complete</x:v>
      </x:c>
      <x:c r="Z311" s="20" t="str">
        <x:v>Automated screening pass: row uses a primary source URL by actor/subfactor; verify with country-specific evidence before final analytical use.</x:v>
      </x:c>
      <x:c r="AA311" s="20" t="str">
        <x:v>2026-05-20</x:v>
      </x:c>
      <x:c r="AB311" s="20" t="str">
        <x:v>GPT-5.5 Pro</x:v>
      </x:c>
    </x:row>
    <x:row r="312" ht="24" customHeight="1">
      <x:c r="A312" s="20" t="str">
        <x:v>NGA|United States</x:v>
      </x:c>
      <x:c r="B312" s="20" t="str">
        <x:v>Nigeria</x:v>
      </x:c>
      <x:c r="C312" s="20" t="str">
        <x:v>Federal Republic of Nigeria</x:v>
      </x:c>
      <x:c r="D312" s="20" t="str">
        <x:v>NG</x:v>
      </x:c>
      <x:c r="E312" s="20" t="str">
        <x:v>NGA</x:v>
      </x:c>
      <x:c r="F312" s="20" t="str">
        <x:v>566</x:v>
      </x:c>
      <x:c r="G312" s="20" t="str">
        <x:v>Africa</x:v>
      </x:c>
      <x:c r="H312" s="20" t="str">
        <x:v>Western Africa</x:v>
      </x:c>
      <x:c r="I312" s="20" t="str">
        <x:v>United States</x:v>
      </x:c>
      <x:c r="J312" s="20" t="str">
        <x:v>American influence</x:v>
      </x:c>
      <x:c r="K312" s="384" t="n">
        <x:v>4</x:v>
      </x:c>
      <x:c r="L312" s="396" t="n">
        <x:v>3</x:v>
      </x:c>
      <x:c r="M312" s="397" t="str">
        <x:v>https://www.usagm.gov/our-work/strategy-and-results/strategic-priorities/research-reports/</x:v>
      </x:c>
      <x:c r="N312" s="384" t="n">
        <x:v>2</x:v>
      </x:c>
      <x:c r="O312" s="396" t="n">
        <x:v>2</x:v>
      </x:c>
      <x:c r="P312" s="397" t="str">
        <x:v>https://internationalpolicy.org/programs/sam/</x:v>
      </x:c>
      <x:c r="Q312" s="384" t="n">
        <x:v>2</x:v>
      </x:c>
      <x:c r="R312" s="396" t="n">
        <x:v>2</x:v>
      </x:c>
      <x:c r="S312" s="397" t="str">
        <x:v>https://www.ned.org/ned-grantmaking/</x:v>
      </x:c>
      <x:c r="T312" s="384" t="n">
        <x:v>3</x:v>
      </x:c>
      <x:c r="U312" s="396" t="n">
        <x:v>3</x:v>
      </x:c>
      <x:c r="V312" s="397" t="str">
        <x:v>https://internationalpolicy.org/programs/sam/</x:v>
      </x:c>
      <x:c r="W312" s="385" t="n">
        <x:f>(--(M312&lt;&gt;"")+--(P312&lt;&gt;"")+--(S312&lt;&gt;"")+--(V312&lt;&gt;""))/4</x:f>
        <x:v>1</x:v>
      </x:c>
      <x:c r="X312" s="384" t="n">
        <x:f>IF(COUNT(K312,N312,Q312,T312)=0,"No data",(IF(ISNUMBER(K312),K312*Factor_Model!$B$4,0)+IF(ISNUMBER(N312),N312*Factor_Model!$B$5,0)+IF(ISNUMBER(Q312),Q312*Factor_Model!$B$6,0)+IF(ISNUMBER(T312),T312*Factor_Model!$B$7,0))/(IF(ISNUMBER(K312),Factor_Model!$B$4,0)+IF(ISNUMBER(N312),Factor_Model!$B$5,0)+IF(ISNUMBER(Q312),Factor_Model!$B$6,0)+IF(ISNUMBER(T312),Factor_Model!$B$7,0)))</x:f>
        <x:v>2.75</x:v>
      </x:c>
      <x:c r="Y312" s="20" t="str">
        <x:f>IF(W312=0,"No source",IF(W312&lt;1,"Partial source","Source-complete"))</x:f>
        <x:v>Source-complete</x:v>
      </x:c>
      <x:c r="Z312" s="20" t="str">
        <x:v>Automated screening pass: row uses a primary source URL by actor/subfactor; verify with country-specific evidence before final analytical use.</x:v>
      </x:c>
      <x:c r="AA312" s="20" t="str">
        <x:v>2026-05-20</x:v>
      </x:c>
      <x:c r="AB312" s="20" t="str">
        <x:v>GPT-5.5 Pro</x:v>
      </x:c>
    </x:row>
    <x:row r="313" ht="24" customHeight="1">
      <x:c r="A313" s="20" t="str">
        <x:v>NGA|European Union</x:v>
      </x:c>
      <x:c r="B313" s="20" t="str">
        <x:v>Nigeria</x:v>
      </x:c>
      <x:c r="C313" s="20" t="str">
        <x:v>Federal Republic of Nigeria</x:v>
      </x:c>
      <x:c r="D313" s="20" t="str">
        <x:v>NG</x:v>
      </x:c>
      <x:c r="E313" s="20" t="str">
        <x:v>NGA</x:v>
      </x:c>
      <x:c r="F313" s="20" t="str">
        <x:v>566</x:v>
      </x:c>
      <x:c r="G313" s="20" t="str">
        <x:v>Africa</x:v>
      </x:c>
      <x:c r="H313" s="20" t="str">
        <x:v>Western Africa</x:v>
      </x:c>
      <x:c r="I313" s="20" t="str">
        <x:v>European Union</x:v>
      </x:c>
      <x:c r="J313" s="20" t="str">
        <x:v>EU influence</x:v>
      </x:c>
      <x:c r="K313" s="384" t="n">
        <x:v>3</x:v>
      </x:c>
      <x:c r="L313" s="396" t="n">
        <x:v>3</x:v>
      </x:c>
      <x:c r="M313" s="397" t="str">
        <x:v>https://www.eeas.europa.eu/eeas/public-diplomacy_en</x:v>
      </x:c>
      <x:c r="N313" s="384" t="n">
        <x:v>0</x:v>
      </x:c>
      <x:c r="O313" s="396" t="n">
        <x:v>1</x:v>
      </x:c>
      <x:c r="P313" s="397" t="str">
        <x:v>https://www.eeas.europa.eu/eeas/missions-and-operations_en</x:v>
      </x:c>
      <x:c r="Q313" s="384" t="n">
        <x:v>2</x:v>
      </x:c>
      <x:c r="R313" s="396" t="n">
        <x:v>2</x:v>
      </x:c>
      <x:c r="S313" s="397" t="str">
        <x:v>https://www.eeas.europa.eu/eeas/eu-election-observation-missions-1_en?page_lang=en</x:v>
      </x:c>
      <x:c r="T313" s="384" t="n">
        <x:v>2</x:v>
      </x:c>
      <x:c r="U313" s="396" t="n">
        <x:v>2</x:v>
      </x:c>
      <x:c r="V313" s="397" t="str">
        <x:v>https://www.eeas.europa.eu/eeas/missions-and-operations_en</x:v>
      </x:c>
      <x:c r="W313" s="385" t="n">
        <x:f>(--(M313&lt;&gt;"")+--(P313&lt;&gt;"")+--(S313&lt;&gt;"")+--(V313&lt;&gt;""))/4</x:f>
        <x:v>1</x:v>
      </x:c>
      <x:c r="X313" s="384" t="n">
        <x:f>IF(COUNT(K313,N313,Q313,T313)=0,"No data",(IF(ISNUMBER(K313),K313*Factor_Model!$B$4,0)+IF(ISNUMBER(N313),N313*Factor_Model!$B$5,0)+IF(ISNUMBER(Q313),Q313*Factor_Model!$B$6,0)+IF(ISNUMBER(T313),T313*Factor_Model!$B$7,0))/(IF(ISNUMBER(K313),Factor_Model!$B$4,0)+IF(ISNUMBER(N313),Factor_Model!$B$5,0)+IF(ISNUMBER(Q313),Factor_Model!$B$6,0)+IF(ISNUMBER(T313),Factor_Model!$B$7,0)))</x:f>
        <x:v>1.75</x:v>
      </x:c>
      <x:c r="Y313" s="20" t="str">
        <x:f>IF(W313=0,"No source",IF(W313&lt;1,"Partial source","Source-complete"))</x:f>
        <x:v>Source-complete</x:v>
      </x:c>
      <x:c r="Z313" s="20" t="str">
        <x:v>Automated screening pass: row uses a primary source URL by actor/subfactor; verify with country-specific evidence before final analytical use.</x:v>
      </x:c>
      <x:c r="AA313" s="20" t="str">
        <x:v>2026-05-20</x:v>
      </x:c>
      <x:c r="AB313" s="20" t="str">
        <x:v>GPT-5.5 Pro</x:v>
      </x:c>
    </x:row>
    <x:row r="314" ht="24" customHeight="1">
      <x:c r="A314" s="20" t="str">
        <x:v>PRK|Russia</x:v>
      </x:c>
      <x:c r="B314" s="20" t="str">
        <x:v>North Korea</x:v>
      </x:c>
      <x:c r="C314" s="20" t="str">
        <x:v>Democratic People's Republic of Korea</x:v>
      </x:c>
      <x:c r="D314" s="20" t="str">
        <x:v>KP</x:v>
      </x:c>
      <x:c r="E314" s="20" t="str">
        <x:v>PRK</x:v>
      </x:c>
      <x:c r="F314" s="20" t="str">
        <x:v>408</x:v>
      </x:c>
      <x:c r="G314" s="20" t="str">
        <x:v>Asia</x:v>
      </x:c>
      <x:c r="H314" s="20" t="str">
        <x:v>Eastern Asia</x:v>
      </x:c>
      <x:c r="I314" s="20" t="str">
        <x:v>Russia</x:v>
      </x:c>
      <x:c r="J314" s="20" t="str">
        <x:v>Russian influence</x:v>
      </x:c>
      <x:c r="K314" s="384" t="n">
        <x:v>7</x:v>
      </x:c>
      <x:c r="L314" s="396" t="n">
        <x:v>4</x:v>
      </x:c>
      <x:c r="M314" s="397" t="str">
        <x:v>https://www.eeas.europa.eu/eeas/4th-eeas-annual-report-foreign-information-manipulation-and-interference-threats_en</x:v>
      </x:c>
      <x:c r="N314" s="384" t="n">
        <x:v>0</x:v>
      </x:c>
      <x:c r="O314" s="396" t="n">
        <x:v>1</x:v>
      </x:c>
      <x:c r="P314" s="397" t="str">
        <x:v>https://www.consilium.europa.eu/en/press/press-releases/2023/02/25/wagner-group-council-adds-11-individuals-and-7-entities-to-eu-sanctions-lists/</x:v>
      </x:c>
      <x:c r="Q314" s="384" t="n">
        <x:v>3</x:v>
      </x:c>
      <x:c r="R314" s="396" t="n">
        <x:v>3</x:v>
      </x:c>
      <x:c r="S314" s="397" t="str">
        <x:v>https://www.dni.gov/files/ODNI/documents/assessments/ATA-2026-Unclassified-Report.pdf</x:v>
      </x:c>
      <x:c r="T314" s="384" t="n">
        <x:v>0</x:v>
      </x:c>
      <x:c r="U314" s="396" t="n">
        <x:v>1</x:v>
      </x:c>
      <x:c r="V314" s="397" t="str">
        <x:v>https://www.consilium.europa.eu/en/press/press-releases/2023/02/25/wagner-group-council-adds-11-individuals-and-7-entities-to-eu-sanctions-lists/</x:v>
      </x:c>
      <x:c r="W314" s="385" t="n">
        <x:f>(--(M314&lt;&gt;"")+--(P314&lt;&gt;"")+--(S314&lt;&gt;"")+--(V314&lt;&gt;""))/4</x:f>
        <x:v>1</x:v>
      </x:c>
      <x:c r="X314" s="384" t="n">
        <x:f>IF(COUNT(K314,N314,Q314,T314)=0,"No data",(IF(ISNUMBER(K314),K314*Factor_Model!$B$4,0)+IF(ISNUMBER(N314),N314*Factor_Model!$B$5,0)+IF(ISNUMBER(Q314),Q314*Factor_Model!$B$6,0)+IF(ISNUMBER(T314),T314*Factor_Model!$B$7,0))/(IF(ISNUMBER(K314),Factor_Model!$B$4,0)+IF(ISNUMBER(N314),Factor_Model!$B$5,0)+IF(ISNUMBER(Q314),Factor_Model!$B$6,0)+IF(ISNUMBER(T314),Factor_Model!$B$7,0)))</x:f>
        <x:v>2.5</x:v>
      </x:c>
      <x:c r="Y314" s="20" t="str">
        <x:f>IF(W314=0,"No source",IF(W314&lt;1,"Partial source","Source-complete"))</x:f>
        <x:v>Source-complete</x:v>
      </x:c>
      <x:c r="Z314" s="20" t="str">
        <x:v>Automated screening pass: row uses a primary source URL by actor/subfactor; verify with country-specific evidence before final analytical use.</x:v>
      </x:c>
      <x:c r="AA314" s="20" t="str">
        <x:v>2026-05-20</x:v>
      </x:c>
      <x:c r="AB314" s="20" t="str">
        <x:v>GPT-5.5 Pro</x:v>
      </x:c>
    </x:row>
    <x:row r="315" ht="24" customHeight="1">
      <x:c r="A315" s="20" t="str">
        <x:v>PRK|China</x:v>
      </x:c>
      <x:c r="B315" s="20" t="str">
        <x:v>North Korea</x:v>
      </x:c>
      <x:c r="C315" s="20" t="str">
        <x:v>Democratic People's Republic of Korea</x:v>
      </x:c>
      <x:c r="D315" s="20" t="str">
        <x:v>KP</x:v>
      </x:c>
      <x:c r="E315" s="20" t="str">
        <x:v>PRK</x:v>
      </x:c>
      <x:c r="F315" s="20" t="str">
        <x:v>408</x:v>
      </x:c>
      <x:c r="G315" s="20" t="str">
        <x:v>Asia</x:v>
      </x:c>
      <x:c r="H315" s="20" t="str">
        <x:v>Eastern Asia</x:v>
      </x:c>
      <x:c r="I315" s="20" t="str">
        <x:v>China</x:v>
      </x:c>
      <x:c r="J315" s="20" t="str">
        <x:v>Chinese influence</x:v>
      </x:c>
      <x:c r="K315" s="384" t="n">
        <x:v>4</x:v>
      </x:c>
      <x:c r="L315" s="396" t="n">
        <x:v>3</x:v>
      </x:c>
      <x:c r="M315" s="397" t="str">
        <x:v>https://www.eeas.europa.eu/eeas/4th-eeas-annual-report-foreign-information-manipulation-and-interference-threats_en</x:v>
      </x:c>
      <x:c r="N315" s="384" t="n">
        <x:v>0</x:v>
      </x:c>
      <x:c r="O315" s="396" t="n">
        <x:v>1</x:v>
      </x:c>
      <x:c r="P315" s="397" t="str">
        <x:v>https://merics.org/en/report/guardians-belt-and-road</x:v>
      </x:c>
      <x:c r="Q315" s="384" t="n">
        <x:v>1</x:v>
      </x:c>
      <x:c r="R315" s="396" t="n">
        <x:v>2</x:v>
      </x:c>
      <x:c r="S315" s="397" t="str">
        <x:v>https://www.eeas.europa.eu/eeas/4th-eeas-annual-report-foreign-information-manipulation-and-interference-threats_en</x:v>
      </x:c>
      <x:c r="T315" s="384" t="n">
        <x:v>1</x:v>
      </x:c>
      <x:c r="U315" s="396" t="n">
        <x:v>2</x:v>
      </x:c>
      <x:c r="V315" s="397" t="str">
        <x:v>https://merics.org/en/report/guardians-belt-and-road</x:v>
      </x:c>
      <x:c r="W315" s="385" t="n">
        <x:f>(--(M315&lt;&gt;"")+--(P315&lt;&gt;"")+--(S315&lt;&gt;"")+--(V315&lt;&gt;""))/4</x:f>
        <x:v>1</x:v>
      </x:c>
      <x:c r="X315" s="384" t="n">
        <x:f>IF(COUNT(K315,N315,Q315,T315)=0,"No data",(IF(ISNUMBER(K315),K315*Factor_Model!$B$4,0)+IF(ISNUMBER(N315),N315*Factor_Model!$B$5,0)+IF(ISNUMBER(Q315),Q315*Factor_Model!$B$6,0)+IF(ISNUMBER(T315),T315*Factor_Model!$B$7,0))/(IF(ISNUMBER(K315),Factor_Model!$B$4,0)+IF(ISNUMBER(N315),Factor_Model!$B$5,0)+IF(ISNUMBER(Q315),Factor_Model!$B$6,0)+IF(ISNUMBER(T315),Factor_Model!$B$7,0)))</x:f>
        <x:v>1.5</x:v>
      </x:c>
      <x:c r="Y315" s="20" t="str">
        <x:f>IF(W315=0,"No source",IF(W315&lt;1,"Partial source","Source-complete"))</x:f>
        <x:v>Source-complete</x:v>
      </x:c>
      <x:c r="Z315" s="20" t="str">
        <x:v>Automated screening pass: row uses a primary source URL by actor/subfactor; verify with country-specific evidence before final analytical use.</x:v>
      </x:c>
      <x:c r="AA315" s="20" t="str">
        <x:v>2026-05-20</x:v>
      </x:c>
      <x:c r="AB315" s="20" t="str">
        <x:v>GPT-5.5 Pro</x:v>
      </x:c>
    </x:row>
    <x:row r="316" ht="24" customHeight="1">
      <x:c r="A316" s="20" t="str">
        <x:v>PRK|United States</x:v>
      </x:c>
      <x:c r="B316" s="20" t="str">
        <x:v>North Korea</x:v>
      </x:c>
      <x:c r="C316" s="20" t="str">
        <x:v>Democratic People's Republic of Korea</x:v>
      </x:c>
      <x:c r="D316" s="20" t="str">
        <x:v>KP</x:v>
      </x:c>
      <x:c r="E316" s="20" t="str">
        <x:v>PRK</x:v>
      </x:c>
      <x:c r="F316" s="20" t="str">
        <x:v>408</x:v>
      </x:c>
      <x:c r="G316" s="20" t="str">
        <x:v>Asia</x:v>
      </x:c>
      <x:c r="H316" s="20" t="str">
        <x:v>Eastern Asia</x:v>
      </x:c>
      <x:c r="I316" s="20" t="str">
        <x:v>United States</x:v>
      </x:c>
      <x:c r="J316" s="20" t="str">
        <x:v>American influence</x:v>
      </x:c>
      <x:c r="K316" s="384" t="n">
        <x:v>8</x:v>
      </x:c>
      <x:c r="L316" s="396" t="n">
        <x:v>4</x:v>
      </x:c>
      <x:c r="M316" s="397" t="str">
        <x:v>https://www.usagm.gov/our-work/strategy-and-results/strategic-priorities/research-reports/</x:v>
      </x:c>
      <x:c r="N316" s="384" t="n">
        <x:v>0</x:v>
      </x:c>
      <x:c r="O316" s="396" t="n">
        <x:v>1</x:v>
      </x:c>
      <x:c r="P316" s="397" t="str">
        <x:v>https://internationalpolicy.org/programs/sam/</x:v>
      </x:c>
      <x:c r="Q316" s="384" t="n">
        <x:v>4</x:v>
      </x:c>
      <x:c r="R316" s="396" t="n">
        <x:v>3</x:v>
      </x:c>
      <x:c r="S316" s="397" t="str">
        <x:v>https://www.ned.org/ned-grantmaking/</x:v>
      </x:c>
      <x:c r="T316" s="384" t="n">
        <x:v>0</x:v>
      </x:c>
      <x:c r="U316" s="396" t="n">
        <x:v>1</x:v>
      </x:c>
      <x:c r="V316" s="397" t="str">
        <x:v>https://internationalpolicy.org/programs/sam/</x:v>
      </x:c>
      <x:c r="W316" s="385" t="n">
        <x:f>(--(M316&lt;&gt;"")+--(P316&lt;&gt;"")+--(S316&lt;&gt;"")+--(V316&lt;&gt;""))/4</x:f>
        <x:v>1</x:v>
      </x:c>
      <x:c r="X316" s="384" t="n">
        <x:f>IF(COUNT(K316,N316,Q316,T316)=0,"No data",(IF(ISNUMBER(K316),K316*Factor_Model!$B$4,0)+IF(ISNUMBER(N316),N316*Factor_Model!$B$5,0)+IF(ISNUMBER(Q316),Q316*Factor_Model!$B$6,0)+IF(ISNUMBER(T316),T316*Factor_Model!$B$7,0))/(IF(ISNUMBER(K316),Factor_Model!$B$4,0)+IF(ISNUMBER(N316),Factor_Model!$B$5,0)+IF(ISNUMBER(Q316),Factor_Model!$B$6,0)+IF(ISNUMBER(T316),Factor_Model!$B$7,0)))</x:f>
        <x:v>3</x:v>
      </x:c>
      <x:c r="Y316" s="20" t="str">
        <x:f>IF(W316=0,"No source",IF(W316&lt;1,"Partial source","Source-complete"))</x:f>
        <x:v>Source-complete</x:v>
      </x:c>
      <x:c r="Z316" s="20" t="str">
        <x:v>Automated screening pass: row uses a primary source URL by actor/subfactor; verify with country-specific evidence before final analytical use.</x:v>
      </x:c>
      <x:c r="AA316" s="20" t="str">
        <x:v>2026-05-20</x:v>
      </x:c>
      <x:c r="AB316" s="20" t="str">
        <x:v>GPT-5.5 Pro</x:v>
      </x:c>
    </x:row>
    <x:row r="317" ht="24" customHeight="1">
      <x:c r="A317" s="20" t="str">
        <x:v>PRK|European Union</x:v>
      </x:c>
      <x:c r="B317" s="20" t="str">
        <x:v>North Korea</x:v>
      </x:c>
      <x:c r="C317" s="20" t="str">
        <x:v>Democratic People's Republic of Korea</x:v>
      </x:c>
      <x:c r="D317" s="20" t="str">
        <x:v>KP</x:v>
      </x:c>
      <x:c r="E317" s="20" t="str">
        <x:v>PRK</x:v>
      </x:c>
      <x:c r="F317" s="20" t="str">
        <x:v>408</x:v>
      </x:c>
      <x:c r="G317" s="20" t="str">
        <x:v>Asia</x:v>
      </x:c>
      <x:c r="H317" s="20" t="str">
        <x:v>Eastern Asia</x:v>
      </x:c>
      <x:c r="I317" s="20" t="str">
        <x:v>European Union</x:v>
      </x:c>
      <x:c r="J317" s="20" t="str">
        <x:v>EU influence</x:v>
      </x:c>
      <x:c r="K317" s="384" t="n">
        <x:v>2</x:v>
      </x:c>
      <x:c r="L317" s="396" t="n">
        <x:v>2</x:v>
      </x:c>
      <x:c r="M317" s="397" t="str">
        <x:v>https://www.eeas.europa.eu/eeas/public-diplomacy_en</x:v>
      </x:c>
      <x:c r="N317" s="384" t="n">
        <x:v>0</x:v>
      </x:c>
      <x:c r="O317" s="396" t="n">
        <x:v>1</x:v>
      </x:c>
      <x:c r="P317" s="397" t="str">
        <x:v>https://www.eeas.europa.eu/eeas/missions-and-operations_en</x:v>
      </x:c>
      <x:c r="Q317" s="384" t="n">
        <x:v>0</x:v>
      </x:c>
      <x:c r="R317" s="396" t="n">
        <x:v>1</x:v>
      </x:c>
      <x:c r="S317" s="397" t="str">
        <x:v>https://www.eeas.europa.eu/eeas/eu-election-observation-missions-1_en?page_lang=en</x:v>
      </x:c>
      <x:c r="T317" s="384" t="n">
        <x:v>2</x:v>
      </x:c>
      <x:c r="U317" s="396" t="n">
        <x:v>2</x:v>
      </x:c>
      <x:c r="V317" s="397" t="str">
        <x:v>https://www.eeas.europa.eu/eeas/missions-and-operations_en</x:v>
      </x:c>
      <x:c r="W317" s="385" t="n">
        <x:f>(--(M317&lt;&gt;"")+--(P317&lt;&gt;"")+--(S317&lt;&gt;"")+--(V317&lt;&gt;""))/4</x:f>
        <x:v>1</x:v>
      </x:c>
      <x:c r="X317" s="384" t="n">
        <x:f>IF(COUNT(K317,N317,Q317,T317)=0,"No data",(IF(ISNUMBER(K317),K317*Factor_Model!$B$4,0)+IF(ISNUMBER(N317),N317*Factor_Model!$B$5,0)+IF(ISNUMBER(Q317),Q317*Factor_Model!$B$6,0)+IF(ISNUMBER(T317),T317*Factor_Model!$B$7,0))/(IF(ISNUMBER(K317),Factor_Model!$B$4,0)+IF(ISNUMBER(N317),Factor_Model!$B$5,0)+IF(ISNUMBER(Q317),Factor_Model!$B$6,0)+IF(ISNUMBER(T317),Factor_Model!$B$7,0)))</x:f>
        <x:v>1</x:v>
      </x:c>
      <x:c r="Y317" s="20" t="str">
        <x:f>IF(W317=0,"No source",IF(W317&lt;1,"Partial source","Source-complete"))</x:f>
        <x:v>Source-complete</x:v>
      </x:c>
      <x:c r="Z317" s="20" t="str">
        <x:v>Automated screening pass: row uses a primary source URL by actor/subfactor; verify with country-specific evidence before final analytical use.</x:v>
      </x:c>
      <x:c r="AA317" s="20" t="str">
        <x:v>2026-05-20</x:v>
      </x:c>
      <x:c r="AB317" s="20" t="str">
        <x:v>GPT-5.5 Pro</x:v>
      </x:c>
    </x:row>
    <x:row r="318" ht="24" customHeight="1">
      <x:c r="A318" s="20" t="str">
        <x:v>NOR|Russia</x:v>
      </x:c>
      <x:c r="B318" s="20" t="str">
        <x:v>Norway</x:v>
      </x:c>
      <x:c r="C318" s="20" t="str">
        <x:v>Kingdom of Norway</x:v>
      </x:c>
      <x:c r="D318" s="20" t="str">
        <x:v>NO</x:v>
      </x:c>
      <x:c r="E318" s="20" t="str">
        <x:v>NOR</x:v>
      </x:c>
      <x:c r="F318" s="20" t="str">
        <x:v>578</x:v>
      </x:c>
      <x:c r="G318" s="20" t="str">
        <x:v>Europe</x:v>
      </x:c>
      <x:c r="H318" s="20" t="str">
        <x:v>Northern Europe</x:v>
      </x:c>
      <x:c r="I318" s="20" t="str">
        <x:v>Russia</x:v>
      </x:c>
      <x:c r="J318" s="20" t="str">
        <x:v>Russian influence</x:v>
      </x:c>
      <x:c r="K318" s="384" t="n">
        <x:v>5</x:v>
      </x:c>
      <x:c r="L318" s="396" t="n">
        <x:v>3</x:v>
      </x:c>
      <x:c r="M318" s="397" t="str">
        <x:v>https://www.eeas.europa.eu/eeas/4th-eeas-annual-report-foreign-information-manipulation-and-interference-threats_en</x:v>
      </x:c>
      <x:c r="N318" s="384" t="n">
        <x:v>0</x:v>
      </x:c>
      <x:c r="O318" s="396" t="n">
        <x:v>1</x:v>
      </x:c>
      <x:c r="P318" s="397" t="str">
        <x:v>https://www.consilium.europa.eu/en/press/press-releases/2023/02/25/wagner-group-council-adds-11-individuals-and-7-entities-to-eu-sanctions-lists/</x:v>
      </x:c>
      <x:c r="Q318" s="384" t="n">
        <x:v>5</x:v>
      </x:c>
      <x:c r="R318" s="396" t="n">
        <x:v>3</x:v>
      </x:c>
      <x:c r="S318" s="397" t="str">
        <x:v>https://www.dni.gov/files/ODNI/documents/assessments/ATA-2026-Unclassified-Report.pdf</x:v>
      </x:c>
      <x:c r="T318" s="384" t="n">
        <x:v>0</x:v>
      </x:c>
      <x:c r="U318" s="396" t="n">
        <x:v>1</x:v>
      </x:c>
      <x:c r="V318" s="397" t="str">
        <x:v>https://www.consilium.europa.eu/en/press/press-releases/2023/02/25/wagner-group-council-adds-11-individuals-and-7-entities-to-eu-sanctions-lists/</x:v>
      </x:c>
      <x:c r="W318" s="385" t="n">
        <x:f>(--(M318&lt;&gt;"")+--(P318&lt;&gt;"")+--(S318&lt;&gt;"")+--(V318&lt;&gt;""))/4</x:f>
        <x:v>1</x:v>
      </x:c>
      <x:c r="X318" s="384" t="n">
        <x:f>IF(COUNT(K318,N318,Q318,T318)=0,"No data",(IF(ISNUMBER(K318),K318*Factor_Model!$B$4,0)+IF(ISNUMBER(N318),N318*Factor_Model!$B$5,0)+IF(ISNUMBER(Q318),Q318*Factor_Model!$B$6,0)+IF(ISNUMBER(T318),T318*Factor_Model!$B$7,0))/(IF(ISNUMBER(K318),Factor_Model!$B$4,0)+IF(ISNUMBER(N318),Factor_Model!$B$5,0)+IF(ISNUMBER(Q318),Factor_Model!$B$6,0)+IF(ISNUMBER(T318),Factor_Model!$B$7,0)))</x:f>
        <x:v>2.5</x:v>
      </x:c>
      <x:c r="Y318" s="20" t="str">
        <x:f>IF(W318=0,"No source",IF(W318&lt;1,"Partial source","Source-complete"))</x:f>
        <x:v>Source-complete</x:v>
      </x:c>
      <x:c r="Z318" s="20" t="str">
        <x:v>Automated screening pass: row uses a primary source URL by actor/subfactor; verify with country-specific evidence before final analytical use.</x:v>
      </x:c>
      <x:c r="AA318" s="20" t="str">
        <x:v>2026-05-20</x:v>
      </x:c>
      <x:c r="AB318" s="20" t="str">
        <x:v>GPT-5.5 Pro</x:v>
      </x:c>
    </x:row>
    <x:row r="319" ht="24" customHeight="1">
      <x:c r="A319" s="20" t="str">
        <x:v>NOR|China</x:v>
      </x:c>
      <x:c r="B319" s="20" t="str">
        <x:v>Norway</x:v>
      </x:c>
      <x:c r="C319" s="20" t="str">
        <x:v>Kingdom of Norway</x:v>
      </x:c>
      <x:c r="D319" s="20" t="str">
        <x:v>NO</x:v>
      </x:c>
      <x:c r="E319" s="20" t="str">
        <x:v>NOR</x:v>
      </x:c>
      <x:c r="F319" s="20" t="str">
        <x:v>578</x:v>
      </x:c>
      <x:c r="G319" s="20" t="str">
        <x:v>Europe</x:v>
      </x:c>
      <x:c r="H319" s="20" t="str">
        <x:v>Northern Europe</x:v>
      </x:c>
      <x:c r="I319" s="20" t="str">
        <x:v>China</x:v>
      </x:c>
      <x:c r="J319" s="20" t="str">
        <x:v>Chinese influence</x:v>
      </x:c>
      <x:c r="K319" s="384" t="n">
        <x:v>4</x:v>
      </x:c>
      <x:c r="L319" s="396" t="n">
        <x:v>3</x:v>
      </x:c>
      <x:c r="M319" s="397" t="str">
        <x:v>https://www.eeas.europa.eu/eeas/4th-eeas-annual-report-foreign-information-manipulation-and-interference-threats_en</x:v>
      </x:c>
      <x:c r="N319" s="384" t="n">
        <x:v>0</x:v>
      </x:c>
      <x:c r="O319" s="396" t="n">
        <x:v>1</x:v>
      </x:c>
      <x:c r="P319" s="397" t="str">
        <x:v>https://merics.org/en/report/guardians-belt-and-road</x:v>
      </x:c>
      <x:c r="Q319" s="384" t="n">
        <x:v>2</x:v>
      </x:c>
      <x:c r="R319" s="396" t="n">
        <x:v>2</x:v>
      </x:c>
      <x:c r="S319" s="397" t="str">
        <x:v>https://www.eeas.europa.eu/eeas/4th-eeas-annual-report-foreign-information-manipulation-and-interference-threats_en</x:v>
      </x:c>
      <x:c r="T319" s="384" t="n">
        <x:v>0</x:v>
      </x:c>
      <x:c r="U319" s="396" t="n">
        <x:v>1</x:v>
      </x:c>
      <x:c r="V319" s="397" t="str">
        <x:v>https://merics.org/en/report/guardians-belt-and-road</x:v>
      </x:c>
      <x:c r="W319" s="385" t="n">
        <x:f>(--(M319&lt;&gt;"")+--(P319&lt;&gt;"")+--(S319&lt;&gt;"")+--(V319&lt;&gt;""))/4</x:f>
        <x:v>1</x:v>
      </x:c>
      <x:c r="X319" s="384" t="n">
        <x:f>IF(COUNT(K319,N319,Q319,T319)=0,"No data",(IF(ISNUMBER(K319),K319*Factor_Model!$B$4,0)+IF(ISNUMBER(N319),N319*Factor_Model!$B$5,0)+IF(ISNUMBER(Q319),Q319*Factor_Model!$B$6,0)+IF(ISNUMBER(T319),T319*Factor_Model!$B$7,0))/(IF(ISNUMBER(K319),Factor_Model!$B$4,0)+IF(ISNUMBER(N319),Factor_Model!$B$5,0)+IF(ISNUMBER(Q319),Factor_Model!$B$6,0)+IF(ISNUMBER(T319),Factor_Model!$B$7,0)))</x:f>
        <x:v>1.5</x:v>
      </x:c>
      <x:c r="Y319" s="20" t="str">
        <x:f>IF(W319=0,"No source",IF(W319&lt;1,"Partial source","Source-complete"))</x:f>
        <x:v>Source-complete</x:v>
      </x:c>
      <x:c r="Z319" s="20" t="str">
        <x:v>Automated screening pass: row uses a primary source URL by actor/subfactor; verify with country-specific evidence before final analytical use.</x:v>
      </x:c>
      <x:c r="AA319" s="20" t="str">
        <x:v>2026-05-20</x:v>
      </x:c>
      <x:c r="AB319" s="20" t="str">
        <x:v>GPT-5.5 Pro</x:v>
      </x:c>
    </x:row>
    <x:row r="320" ht="24" customHeight="1">
      <x:c r="A320" s="20" t="str">
        <x:v>NOR|United States</x:v>
      </x:c>
      <x:c r="B320" s="20" t="str">
        <x:v>Norway</x:v>
      </x:c>
      <x:c r="C320" s="20" t="str">
        <x:v>Kingdom of Norway</x:v>
      </x:c>
      <x:c r="D320" s="20" t="str">
        <x:v>NO</x:v>
      </x:c>
      <x:c r="E320" s="20" t="str">
        <x:v>NOR</x:v>
      </x:c>
      <x:c r="F320" s="20" t="str">
        <x:v>578</x:v>
      </x:c>
      <x:c r="G320" s="20" t="str">
        <x:v>Europe</x:v>
      </x:c>
      <x:c r="H320" s="20" t="str">
        <x:v>Northern Europe</x:v>
      </x:c>
      <x:c r="I320" s="20" t="str">
        <x:v>United States</x:v>
      </x:c>
      <x:c r="J320" s="20" t="str">
        <x:v>American influence</x:v>
      </x:c>
      <x:c r="K320" s="384" t="n">
        <x:v>4</x:v>
      </x:c>
      <x:c r="L320" s="396" t="n">
        <x:v>3</x:v>
      </x:c>
      <x:c r="M320" s="397" t="str">
        <x:v>https://www.usagm.gov/our-work/strategy-and-results/strategic-priorities/research-reports/</x:v>
      </x:c>
      <x:c r="N320" s="384" t="n">
        <x:v>3</x:v>
      </x:c>
      <x:c r="O320" s="396" t="n">
        <x:v>3</x:v>
      </x:c>
      <x:c r="P320" s="397" t="str">
        <x:v>https://internationalpolicy.org/programs/sam/</x:v>
      </x:c>
      <x:c r="Q320" s="384" t="n">
        <x:v>1</x:v>
      </x:c>
      <x:c r="R320" s="396" t="n">
        <x:v>2</x:v>
      </x:c>
      <x:c r="S320" s="397" t="str">
        <x:v>https://www.ned.org/ned-grantmaking/</x:v>
      </x:c>
      <x:c r="T320" s="384" t="n">
        <x:v>6</x:v>
      </x:c>
      <x:c r="U320" s="396" t="n">
        <x:v>4</x:v>
      </x:c>
      <x:c r="V320" s="397" t="str">
        <x:v>https://internationalpolicy.org/programs/sam/</x:v>
      </x:c>
      <x:c r="W320" s="385" t="n">
        <x:f>(--(M320&lt;&gt;"")+--(P320&lt;&gt;"")+--(S320&lt;&gt;"")+--(V320&lt;&gt;""))/4</x:f>
        <x:v>1</x:v>
      </x:c>
      <x:c r="X320" s="384" t="n">
        <x:f>IF(COUNT(K320,N320,Q320,T320)=0,"No data",(IF(ISNUMBER(K320),K320*Factor_Model!$B$4,0)+IF(ISNUMBER(N320),N320*Factor_Model!$B$5,0)+IF(ISNUMBER(Q320),Q320*Factor_Model!$B$6,0)+IF(ISNUMBER(T320),T320*Factor_Model!$B$7,0))/(IF(ISNUMBER(K320),Factor_Model!$B$4,0)+IF(ISNUMBER(N320),Factor_Model!$B$5,0)+IF(ISNUMBER(Q320),Factor_Model!$B$6,0)+IF(ISNUMBER(T320),Factor_Model!$B$7,0)))</x:f>
        <x:v>3.5</x:v>
      </x:c>
      <x:c r="Y320" s="20" t="str">
        <x:f>IF(W320=0,"No source",IF(W320&lt;1,"Partial source","Source-complete"))</x:f>
        <x:v>Source-complete</x:v>
      </x:c>
      <x:c r="Z320" s="20" t="str">
        <x:v>Automated screening pass: row uses a primary source URL by actor/subfactor; verify with country-specific evidence before final analytical use.</x:v>
      </x:c>
      <x:c r="AA320" s="20" t="str">
        <x:v>2026-05-20</x:v>
      </x:c>
      <x:c r="AB320" s="20" t="str">
        <x:v>GPT-5.5 Pro</x:v>
      </x:c>
    </x:row>
    <x:row r="321" ht="24" customHeight="1">
      <x:c r="A321" s="20" t="str">
        <x:v>NOR|European Union</x:v>
      </x:c>
      <x:c r="B321" s="20" t="str">
        <x:v>Norway</x:v>
      </x:c>
      <x:c r="C321" s="20" t="str">
        <x:v>Kingdom of Norway</x:v>
      </x:c>
      <x:c r="D321" s="20" t="str">
        <x:v>NO</x:v>
      </x:c>
      <x:c r="E321" s="20" t="str">
        <x:v>NOR</x:v>
      </x:c>
      <x:c r="F321" s="20" t="str">
        <x:v>578</x:v>
      </x:c>
      <x:c r="G321" s="20" t="str">
        <x:v>Europe</x:v>
      </x:c>
      <x:c r="H321" s="20" t="str">
        <x:v>Northern Europe</x:v>
      </x:c>
      <x:c r="I321" s="20" t="str">
        <x:v>European Union</x:v>
      </x:c>
      <x:c r="J321" s="20" t="str">
        <x:v>EU influence</x:v>
      </x:c>
      <x:c r="K321" s="384" t="n">
        <x:v>5</x:v>
      </x:c>
      <x:c r="L321" s="396" t="n">
        <x:v>3</x:v>
      </x:c>
      <x:c r="M321" s="397" t="str">
        <x:v>https://www.eeas.europa.eu/eeas/public-diplomacy_en</x:v>
      </x:c>
      <x:c r="N321" s="384" t="n">
        <x:v>0</x:v>
      </x:c>
      <x:c r="O321" s="396" t="n">
        <x:v>1</x:v>
      </x:c>
      <x:c r="P321" s="397" t="str">
        <x:v>https://www.eeas.europa.eu/eeas/missions-and-operations_en</x:v>
      </x:c>
      <x:c r="Q321" s="384" t="n">
        <x:v>1</x:v>
      </x:c>
      <x:c r="R321" s="396" t="n">
        <x:v>2</x:v>
      </x:c>
      <x:c r="S321" s="397" t="str">
        <x:v>https://www.eeas.europa.eu/eeas/eu-election-observation-missions-1_en?page_lang=en</x:v>
      </x:c>
      <x:c r="T321" s="384" t="n">
        <x:v>5</x:v>
      </x:c>
      <x:c r="U321" s="396" t="n">
        <x:v>3</x:v>
      </x:c>
      <x:c r="V321" s="397" t="str">
        <x:v>https://www.eeas.europa.eu/eeas/missions-and-operations_en</x:v>
      </x:c>
      <x:c r="W321" s="385" t="n">
        <x:f>(--(M321&lt;&gt;"")+--(P321&lt;&gt;"")+--(S321&lt;&gt;"")+--(V321&lt;&gt;""))/4</x:f>
        <x:v>1</x:v>
      </x:c>
      <x:c r="X321" s="384" t="n">
        <x:f>IF(COUNT(K321,N321,Q321,T321)=0,"No data",(IF(ISNUMBER(K321),K321*Factor_Model!$B$4,0)+IF(ISNUMBER(N321),N321*Factor_Model!$B$5,0)+IF(ISNUMBER(Q321),Q321*Factor_Model!$B$6,0)+IF(ISNUMBER(T321),T321*Factor_Model!$B$7,0))/(IF(ISNUMBER(K321),Factor_Model!$B$4,0)+IF(ISNUMBER(N321),Factor_Model!$B$5,0)+IF(ISNUMBER(Q321),Factor_Model!$B$6,0)+IF(ISNUMBER(T321),Factor_Model!$B$7,0)))</x:f>
        <x:v>2.75</x:v>
      </x:c>
      <x:c r="Y321" s="20" t="str">
        <x:f>IF(W321=0,"No source",IF(W321&lt;1,"Partial source","Source-complete"))</x:f>
        <x:v>Source-complete</x:v>
      </x:c>
      <x:c r="Z321" s="20" t="str">
        <x:v>Automated screening pass: row uses a primary source URL by actor/subfactor; verify with country-specific evidence before final analytical use.</x:v>
      </x:c>
      <x:c r="AA321" s="20" t="str">
        <x:v>2026-05-20</x:v>
      </x:c>
      <x:c r="AB321" s="20" t="str">
        <x:v>GPT-5.5 Pro</x:v>
      </x:c>
    </x:row>
    <x:row r="322" ht="24" customHeight="1">
      <x:c r="A322" s="20" t="str">
        <x:v>OMN|Russia</x:v>
      </x:c>
      <x:c r="B322" s="20" t="str">
        <x:v>Oman</x:v>
      </x:c>
      <x:c r="C322" s="20" t="str">
        <x:v>Sultanate of Oman</x:v>
      </x:c>
      <x:c r="D322" s="20" t="str">
        <x:v>OM</x:v>
      </x:c>
      <x:c r="E322" s="20" t="str">
        <x:v>OMN</x:v>
      </x:c>
      <x:c r="F322" s="20" t="str">
        <x:v>512</x:v>
      </x:c>
      <x:c r="G322" s="20" t="str">
        <x:v>Asia</x:v>
      </x:c>
      <x:c r="H322" s="20" t="str">
        <x:v>Western Asia</x:v>
      </x:c>
      <x:c r="I322" s="20" t="str">
        <x:v>Russia</x:v>
      </x:c>
      <x:c r="J322" s="20" t="str">
        <x:v>Russian influence</x:v>
      </x:c>
      <x:c r="K322" s="384" t="n">
        <x:v>2</x:v>
      </x:c>
      <x:c r="L322" s="396" t="n">
        <x:v>2</x:v>
      </x:c>
      <x:c r="M322" s="397" t="str">
        <x:v>https://www.eeas.europa.eu/eeas/4th-eeas-annual-report-foreign-information-manipulation-and-interference-threats_en</x:v>
      </x:c>
      <x:c r="N322" s="384" t="n">
        <x:v>0</x:v>
      </x:c>
      <x:c r="O322" s="396" t="n">
        <x:v>1</x:v>
      </x:c>
      <x:c r="P322" s="397" t="str">
        <x:v>https://www.consilium.europa.eu/en/press/press-releases/2023/02/25/wagner-group-council-adds-11-individuals-and-7-entities-to-eu-sanctions-lists/</x:v>
      </x:c>
      <x:c r="Q322" s="384" t="n">
        <x:v>0</x:v>
      </x:c>
      <x:c r="R322" s="396" t="n">
        <x:v>1</x:v>
      </x:c>
      <x:c r="S322" s="397" t="str">
        <x:v>https://www.dni.gov/files/ODNI/documents/assessments/ATA-2026-Unclassified-Report.pdf</x:v>
      </x:c>
      <x:c r="T322" s="384" t="n">
        <x:v>0</x:v>
      </x:c>
      <x:c r="U322" s="396" t="n">
        <x:v>1</x:v>
      </x:c>
      <x:c r="V322" s="397" t="str">
        <x:v>https://www.consilium.europa.eu/en/press/press-releases/2023/02/25/wagner-group-council-adds-11-individuals-and-7-entities-to-eu-sanctions-lists/</x:v>
      </x:c>
      <x:c r="W322" s="385" t="n">
        <x:f>(--(M322&lt;&gt;"")+--(P322&lt;&gt;"")+--(S322&lt;&gt;"")+--(V322&lt;&gt;""))/4</x:f>
        <x:v>1</x:v>
      </x:c>
      <x:c r="X322" s="384" t="n">
        <x:f>IF(COUNT(K322,N322,Q322,T322)=0,"No data",(IF(ISNUMBER(K322),K322*Factor_Model!$B$4,0)+IF(ISNUMBER(N322),N322*Factor_Model!$B$5,0)+IF(ISNUMBER(Q322),Q322*Factor_Model!$B$6,0)+IF(ISNUMBER(T322),T322*Factor_Model!$B$7,0))/(IF(ISNUMBER(K322),Factor_Model!$B$4,0)+IF(ISNUMBER(N322),Factor_Model!$B$5,0)+IF(ISNUMBER(Q322),Factor_Model!$B$6,0)+IF(ISNUMBER(T322),Factor_Model!$B$7,0)))</x:f>
        <x:v>0.5</x:v>
      </x:c>
      <x:c r="Y322" s="20" t="str">
        <x:f>IF(W322=0,"No source",IF(W322&lt;1,"Partial source","Source-complete"))</x:f>
        <x:v>Source-complete</x:v>
      </x:c>
      <x:c r="Z322" s="20" t="str">
        <x:v>Automated screening pass: row uses a primary source URL by actor/subfactor; verify with country-specific evidence before final analytical use.</x:v>
      </x:c>
      <x:c r="AA322" s="20" t="str">
        <x:v>2026-05-20</x:v>
      </x:c>
      <x:c r="AB322" s="20" t="str">
        <x:v>GPT-5.5 Pro</x:v>
      </x:c>
    </x:row>
    <x:row r="323" ht="24" customHeight="1">
      <x:c r="A323" s="20" t="str">
        <x:v>OMN|China</x:v>
      </x:c>
      <x:c r="B323" s="20" t="str">
        <x:v>Oman</x:v>
      </x:c>
      <x:c r="C323" s="20" t="str">
        <x:v>Sultanate of Oman</x:v>
      </x:c>
      <x:c r="D323" s="20" t="str">
        <x:v>OM</x:v>
      </x:c>
      <x:c r="E323" s="20" t="str">
        <x:v>OMN</x:v>
      </x:c>
      <x:c r="F323" s="20" t="str">
        <x:v>512</x:v>
      </x:c>
      <x:c r="G323" s="20" t="str">
        <x:v>Asia</x:v>
      </x:c>
      <x:c r="H323" s="20" t="str">
        <x:v>Western Asia</x:v>
      </x:c>
      <x:c r="I323" s="20" t="str">
        <x:v>China</x:v>
      </x:c>
      <x:c r="J323" s="20" t="str">
        <x:v>Chinese influence</x:v>
      </x:c>
      <x:c r="K323" s="384" t="n">
        <x:v>3</x:v>
      </x:c>
      <x:c r="L323" s="396" t="n">
        <x:v>3</x:v>
      </x:c>
      <x:c r="M323" s="397" t="str">
        <x:v>https://www.eeas.europa.eu/eeas/4th-eeas-annual-report-foreign-information-manipulation-and-interference-threats_en</x:v>
      </x:c>
      <x:c r="N323" s="384" t="n">
        <x:v>0</x:v>
      </x:c>
      <x:c r="O323" s="396" t="n">
        <x:v>1</x:v>
      </x:c>
      <x:c r="P323" s="397" t="str">
        <x:v>https://merics.org/en/report/guardians-belt-and-road</x:v>
      </x:c>
      <x:c r="Q323" s="384" t="n">
        <x:v>1</x:v>
      </x:c>
      <x:c r="R323" s="396" t="n">
        <x:v>2</x:v>
      </x:c>
      <x:c r="S323" s="397" t="str">
        <x:v>https://www.eeas.europa.eu/eeas/4th-eeas-annual-report-foreign-information-manipulation-and-interference-threats_en</x:v>
      </x:c>
      <x:c r="T323" s="384" t="n">
        <x:v>1</x:v>
      </x:c>
      <x:c r="U323" s="396" t="n">
        <x:v>2</x:v>
      </x:c>
      <x:c r="V323" s="397" t="str">
        <x:v>https://merics.org/en/report/guardians-belt-and-road</x:v>
      </x:c>
      <x:c r="W323" s="385" t="n">
        <x:f>(--(M323&lt;&gt;"")+--(P323&lt;&gt;"")+--(S323&lt;&gt;"")+--(V323&lt;&gt;""))/4</x:f>
        <x:v>1</x:v>
      </x:c>
      <x:c r="X323" s="384" t="n">
        <x:f>IF(COUNT(K323,N323,Q323,T323)=0,"No data",(IF(ISNUMBER(K323),K323*Factor_Model!$B$4,0)+IF(ISNUMBER(N323),N323*Factor_Model!$B$5,0)+IF(ISNUMBER(Q323),Q323*Factor_Model!$B$6,0)+IF(ISNUMBER(T323),T323*Factor_Model!$B$7,0))/(IF(ISNUMBER(K323),Factor_Model!$B$4,0)+IF(ISNUMBER(N323),Factor_Model!$B$5,0)+IF(ISNUMBER(Q323),Factor_Model!$B$6,0)+IF(ISNUMBER(T323),Factor_Model!$B$7,0)))</x:f>
        <x:v>1.25</x:v>
      </x:c>
      <x:c r="Y323" s="20" t="str">
        <x:f>IF(W323=0,"No source",IF(W323&lt;1,"Partial source","Source-complete"))</x:f>
        <x:v>Source-complete</x:v>
      </x:c>
      <x:c r="Z323" s="20" t="str">
        <x:v>Automated screening pass: row uses a primary source URL by actor/subfactor; verify with country-specific evidence before final analytical use.</x:v>
      </x:c>
      <x:c r="AA323" s="20" t="str">
        <x:v>2026-05-20</x:v>
      </x:c>
      <x:c r="AB323" s="20" t="str">
        <x:v>GPT-5.5 Pro</x:v>
      </x:c>
    </x:row>
    <x:row r="324" ht="24" customHeight="1">
      <x:c r="A324" s="20" t="str">
        <x:v>OMN|United States</x:v>
      </x:c>
      <x:c r="B324" s="20" t="str">
        <x:v>Oman</x:v>
      </x:c>
      <x:c r="C324" s="20" t="str">
        <x:v>Sultanate of Oman</x:v>
      </x:c>
      <x:c r="D324" s="20" t="str">
        <x:v>OM</x:v>
      </x:c>
      <x:c r="E324" s="20" t="str">
        <x:v>OMN</x:v>
      </x:c>
      <x:c r="F324" s="20" t="str">
        <x:v>512</x:v>
      </x:c>
      <x:c r="G324" s="20" t="str">
        <x:v>Asia</x:v>
      </x:c>
      <x:c r="H324" s="20" t="str">
        <x:v>Western Asia</x:v>
      </x:c>
      <x:c r="I324" s="20" t="str">
        <x:v>United States</x:v>
      </x:c>
      <x:c r="J324" s="20" t="str">
        <x:v>American influence</x:v>
      </x:c>
      <x:c r="K324" s="384" t="n">
        <x:v>5</x:v>
      </x:c>
      <x:c r="L324" s="396" t="n">
        <x:v>3</x:v>
      </x:c>
      <x:c r="M324" s="397" t="str">
        <x:v>https://www.usagm.gov/our-work/strategy-and-results/strategic-priorities/research-reports/</x:v>
      </x:c>
      <x:c r="N324" s="384" t="n">
        <x:v>1</x:v>
      </x:c>
      <x:c r="O324" s="396" t="n">
        <x:v>2</x:v>
      </x:c>
      <x:c r="P324" s="397" t="str">
        <x:v>https://internationalpolicy.org/programs/sam/</x:v>
      </x:c>
      <x:c r="Q324" s="384" t="n">
        <x:v>2</x:v>
      </x:c>
      <x:c r="R324" s="396" t="n">
        <x:v>2</x:v>
      </x:c>
      <x:c r="S324" s="397" t="str">
        <x:v>https://www.ned.org/ned-grantmaking/</x:v>
      </x:c>
      <x:c r="T324" s="384" t="n">
        <x:v>2</x:v>
      </x:c>
      <x:c r="U324" s="396" t="n">
        <x:v>2</x:v>
      </x:c>
      <x:c r="V324" s="397" t="str">
        <x:v>https://internationalpolicy.org/programs/sam/</x:v>
      </x:c>
      <x:c r="W324" s="385" t="n">
        <x:f>(--(M324&lt;&gt;"")+--(P324&lt;&gt;"")+--(S324&lt;&gt;"")+--(V324&lt;&gt;""))/4</x:f>
        <x:v>1</x:v>
      </x:c>
      <x:c r="X324" s="384" t="n">
        <x:f>IF(COUNT(K324,N324,Q324,T324)=0,"No data",(IF(ISNUMBER(K324),K324*Factor_Model!$B$4,0)+IF(ISNUMBER(N324),N324*Factor_Model!$B$5,0)+IF(ISNUMBER(Q324),Q324*Factor_Model!$B$6,0)+IF(ISNUMBER(T324),T324*Factor_Model!$B$7,0))/(IF(ISNUMBER(K324),Factor_Model!$B$4,0)+IF(ISNUMBER(N324),Factor_Model!$B$5,0)+IF(ISNUMBER(Q324),Factor_Model!$B$6,0)+IF(ISNUMBER(T324),Factor_Model!$B$7,0)))</x:f>
        <x:v>2.5</x:v>
      </x:c>
      <x:c r="Y324" s="20" t="str">
        <x:f>IF(W324=0,"No source",IF(W324&lt;1,"Partial source","Source-complete"))</x:f>
        <x:v>Source-complete</x:v>
      </x:c>
      <x:c r="Z324" s="20" t="str">
        <x:v>Automated screening pass: row uses a primary source URL by actor/subfactor; verify with country-specific evidence before final analytical use.</x:v>
      </x:c>
      <x:c r="AA324" s="20" t="str">
        <x:v>2026-05-20</x:v>
      </x:c>
      <x:c r="AB324" s="20" t="str">
        <x:v>GPT-5.5 Pro</x:v>
      </x:c>
    </x:row>
    <x:row r="325" ht="24" customHeight="1">
      <x:c r="A325" s="20" t="str">
        <x:v>OMN|European Union</x:v>
      </x:c>
      <x:c r="B325" s="20" t="str">
        <x:v>Oman</x:v>
      </x:c>
      <x:c r="C325" s="20" t="str">
        <x:v>Sultanate of Oman</x:v>
      </x:c>
      <x:c r="D325" s="20" t="str">
        <x:v>OM</x:v>
      </x:c>
      <x:c r="E325" s="20" t="str">
        <x:v>OMN</x:v>
      </x:c>
      <x:c r="F325" s="20" t="str">
        <x:v>512</x:v>
      </x:c>
      <x:c r="G325" s="20" t="str">
        <x:v>Asia</x:v>
      </x:c>
      <x:c r="H325" s="20" t="str">
        <x:v>Western Asia</x:v>
      </x:c>
      <x:c r="I325" s="20" t="str">
        <x:v>European Union</x:v>
      </x:c>
      <x:c r="J325" s="20" t="str">
        <x:v>EU influence</x:v>
      </x:c>
      <x:c r="K325" s="384" t="n">
        <x:v>2</x:v>
      </x:c>
      <x:c r="L325" s="396" t="n">
        <x:v>2</x:v>
      </x:c>
      <x:c r="M325" s="397" t="str">
        <x:v>https://www.eeas.europa.eu/eeas/public-diplomacy_en</x:v>
      </x:c>
      <x:c r="N325" s="384" t="n">
        <x:v>0</x:v>
      </x:c>
      <x:c r="O325" s="396" t="n">
        <x:v>1</x:v>
      </x:c>
      <x:c r="P325" s="397" t="str">
        <x:v>https://www.eeas.europa.eu/eeas/missions-and-operations_en</x:v>
      </x:c>
      <x:c r="Q325" s="384" t="n">
        <x:v>1</x:v>
      </x:c>
      <x:c r="R325" s="396" t="n">
        <x:v>2</x:v>
      </x:c>
      <x:c r="S325" s="397" t="str">
        <x:v>https://www.eeas.europa.eu/eeas/eu-election-observation-missions-1_en?page_lang=en</x:v>
      </x:c>
      <x:c r="T325" s="384" t="n">
        <x:v>2</x:v>
      </x:c>
      <x:c r="U325" s="396" t="n">
        <x:v>2</x:v>
      </x:c>
      <x:c r="V325" s="397" t="str">
        <x:v>https://www.eeas.europa.eu/eeas/missions-and-operations_en</x:v>
      </x:c>
      <x:c r="W325" s="385" t="n">
        <x:f>(--(M325&lt;&gt;"")+--(P325&lt;&gt;"")+--(S325&lt;&gt;"")+--(V325&lt;&gt;""))/4</x:f>
        <x:v>1</x:v>
      </x:c>
      <x:c r="X325" s="384" t="n">
        <x:f>IF(COUNT(K325,N325,Q325,T325)=0,"No data",(IF(ISNUMBER(K325),K325*Factor_Model!$B$4,0)+IF(ISNUMBER(N325),N325*Factor_Model!$B$5,0)+IF(ISNUMBER(Q325),Q325*Factor_Model!$B$6,0)+IF(ISNUMBER(T325),T325*Factor_Model!$B$7,0))/(IF(ISNUMBER(K325),Factor_Model!$B$4,0)+IF(ISNUMBER(N325),Factor_Model!$B$5,0)+IF(ISNUMBER(Q325),Factor_Model!$B$6,0)+IF(ISNUMBER(T325),Factor_Model!$B$7,0)))</x:f>
        <x:v>1.25</x:v>
      </x:c>
      <x:c r="Y325" s="20" t="str">
        <x:f>IF(W325=0,"No source",IF(W325&lt;1,"Partial source","Source-complete"))</x:f>
        <x:v>Source-complete</x:v>
      </x:c>
      <x:c r="Z325" s="20" t="str">
        <x:v>Automated screening pass: row uses a primary source URL by actor/subfactor; verify with country-specific evidence before final analytical use.</x:v>
      </x:c>
      <x:c r="AA325" s="20" t="str">
        <x:v>2026-05-20</x:v>
      </x:c>
      <x:c r="AB325" s="20" t="str">
        <x:v>GPT-5.5 Pro</x:v>
      </x:c>
    </x:row>
    <x:row r="326" ht="24" customHeight="1">
      <x:c r="A326" s="20" t="str">
        <x:v>PLW|Russia</x:v>
      </x:c>
      <x:c r="B326" s="20" t="str">
        <x:v>Palau</x:v>
      </x:c>
      <x:c r="C326" s="20" t="str">
        <x:v>Republic of Palau</x:v>
      </x:c>
      <x:c r="D326" s="20" t="str">
        <x:v>PW</x:v>
      </x:c>
      <x:c r="E326" s="20" t="str">
        <x:v>PLW</x:v>
      </x:c>
      <x:c r="F326" s="20" t="str">
        <x:v>585</x:v>
      </x:c>
      <x:c r="G326" s="20" t="str">
        <x:v>Oceania</x:v>
      </x:c>
      <x:c r="H326" s="20" t="str">
        <x:v>Micronesia</x:v>
      </x:c>
      <x:c r="I326" s="20" t="str">
        <x:v>Russia</x:v>
      </x:c>
      <x:c r="J326" s="20" t="str">
        <x:v>Russian influence</x:v>
      </x:c>
      <x:c r="K326" s="384" t="n">
        <x:v>2</x:v>
      </x:c>
      <x:c r="L326" s="396" t="n">
        <x:v>2</x:v>
      </x:c>
      <x:c r="M326" s="397" t="str">
        <x:v>https://www.eeas.europa.eu/eeas/4th-eeas-annual-report-foreign-information-manipulation-and-interference-threats_en</x:v>
      </x:c>
      <x:c r="N326" s="384" t="n">
        <x:v>0</x:v>
      </x:c>
      <x:c r="O326" s="396" t="n">
        <x:v>1</x:v>
      </x:c>
      <x:c r="P326" s="397" t="str">
        <x:v>https://www.consilium.europa.eu/en/press/press-releases/2023/02/25/wagner-group-council-adds-11-individuals-and-7-entities-to-eu-sanctions-lists/</x:v>
      </x:c>
      <x:c r="Q326" s="384" t="n">
        <x:v>0</x:v>
      </x:c>
      <x:c r="R326" s="396" t="n">
        <x:v>1</x:v>
      </x:c>
      <x:c r="S326" s="397" t="str">
        <x:v>https://www.dni.gov/files/ODNI/documents/assessments/ATA-2026-Unclassified-Report.pdf</x:v>
      </x:c>
      <x:c r="T326" s="384" t="n">
        <x:v>0</x:v>
      </x:c>
      <x:c r="U326" s="396" t="n">
        <x:v>1</x:v>
      </x:c>
      <x:c r="V326" s="397" t="str">
        <x:v>https://www.consilium.europa.eu/en/press/press-releases/2023/02/25/wagner-group-council-adds-11-individuals-and-7-entities-to-eu-sanctions-lists/</x:v>
      </x:c>
      <x:c r="W326" s="385" t="n">
        <x:f>(--(M326&lt;&gt;"")+--(P326&lt;&gt;"")+--(S326&lt;&gt;"")+--(V326&lt;&gt;""))/4</x:f>
        <x:v>1</x:v>
      </x:c>
      <x:c r="X326" s="384" t="n">
        <x:f>IF(COUNT(K326,N326,Q326,T326)=0,"No data",(IF(ISNUMBER(K326),K326*Factor_Model!$B$4,0)+IF(ISNUMBER(N326),N326*Factor_Model!$B$5,0)+IF(ISNUMBER(Q326),Q326*Factor_Model!$B$6,0)+IF(ISNUMBER(T326),T326*Factor_Model!$B$7,0))/(IF(ISNUMBER(K326),Factor_Model!$B$4,0)+IF(ISNUMBER(N326),Factor_Model!$B$5,0)+IF(ISNUMBER(Q326),Factor_Model!$B$6,0)+IF(ISNUMBER(T326),Factor_Model!$B$7,0)))</x:f>
        <x:v>0.5</x:v>
      </x:c>
      <x:c r="Y326" s="20" t="str">
        <x:f>IF(W326=0,"No source",IF(W326&lt;1,"Partial source","Source-complete"))</x:f>
        <x:v>Source-complete</x:v>
      </x:c>
      <x:c r="Z326" s="20" t="str">
        <x:v>Automated screening pass: row uses a primary source URL by actor/subfactor; verify with country-specific evidence before final analytical use.</x:v>
      </x:c>
      <x:c r="AA326" s="20" t="str">
        <x:v>2026-05-20</x:v>
      </x:c>
      <x:c r="AB326" s="20" t="str">
        <x:v>GPT-5.5 Pro</x:v>
      </x:c>
    </x:row>
    <x:row r="327" ht="24" customHeight="1">
      <x:c r="A327" s="20" t="str">
        <x:v>PLW|China</x:v>
      </x:c>
      <x:c r="B327" s="20" t="str">
        <x:v>Palau</x:v>
      </x:c>
      <x:c r="C327" s="20" t="str">
        <x:v>Republic of Palau</x:v>
      </x:c>
      <x:c r="D327" s="20" t="str">
        <x:v>PW</x:v>
      </x:c>
      <x:c r="E327" s="20" t="str">
        <x:v>PLW</x:v>
      </x:c>
      <x:c r="F327" s="20" t="str">
        <x:v>585</x:v>
      </x:c>
      <x:c r="G327" s="20" t="str">
        <x:v>Oceania</x:v>
      </x:c>
      <x:c r="H327" s="20" t="str">
        <x:v>Micronesia</x:v>
      </x:c>
      <x:c r="I327" s="20" t="str">
        <x:v>China</x:v>
      </x:c>
      <x:c r="J327" s="20" t="str">
        <x:v>Chinese influence</x:v>
      </x:c>
      <x:c r="K327" s="384" t="n">
        <x:v>7</x:v>
      </x:c>
      <x:c r="L327" s="396" t="n">
        <x:v>4</x:v>
      </x:c>
      <x:c r="M327" s="397" t="str">
        <x:v>https://www.eeas.europa.eu/eeas/4th-eeas-annual-report-foreign-information-manipulation-and-interference-threats_en</x:v>
      </x:c>
      <x:c r="N327" s="384" t="n">
        <x:v>1</x:v>
      </x:c>
      <x:c r="O327" s="396" t="n">
        <x:v>2</x:v>
      </x:c>
      <x:c r="P327" s="397" t="str">
        <x:v>https://merics.org/en/report/guardians-belt-and-road</x:v>
      </x:c>
      <x:c r="Q327" s="384" t="n">
        <x:v>3</x:v>
      </x:c>
      <x:c r="R327" s="396" t="n">
        <x:v>3</x:v>
      </x:c>
      <x:c r="S327" s="397" t="str">
        <x:v>https://www.eeas.europa.eu/eeas/4th-eeas-annual-report-foreign-information-manipulation-and-interference-threats_en</x:v>
      </x:c>
      <x:c r="T327" s="384" t="n">
        <x:v>2</x:v>
      </x:c>
      <x:c r="U327" s="396" t="n">
        <x:v>2</x:v>
      </x:c>
      <x:c r="V327" s="397" t="str">
        <x:v>https://merics.org/en/report/guardians-belt-and-road</x:v>
      </x:c>
      <x:c r="W327" s="385" t="n">
        <x:f>(--(M327&lt;&gt;"")+--(P327&lt;&gt;"")+--(S327&lt;&gt;"")+--(V327&lt;&gt;""))/4</x:f>
        <x:v>1</x:v>
      </x:c>
      <x:c r="X327" s="384" t="n">
        <x:f>IF(COUNT(K327,N327,Q327,T327)=0,"No data",(IF(ISNUMBER(K327),K327*Factor_Model!$B$4,0)+IF(ISNUMBER(N327),N327*Factor_Model!$B$5,0)+IF(ISNUMBER(Q327),Q327*Factor_Model!$B$6,0)+IF(ISNUMBER(T327),T327*Factor_Model!$B$7,0))/(IF(ISNUMBER(K327),Factor_Model!$B$4,0)+IF(ISNUMBER(N327),Factor_Model!$B$5,0)+IF(ISNUMBER(Q327),Factor_Model!$B$6,0)+IF(ISNUMBER(T327),Factor_Model!$B$7,0)))</x:f>
        <x:v>3.25</x:v>
      </x:c>
      <x:c r="Y327" s="20" t="str">
        <x:f>IF(W327=0,"No source",IF(W327&lt;1,"Partial source","Source-complete"))</x:f>
        <x:v>Source-complete</x:v>
      </x:c>
      <x:c r="Z327" s="20" t="str">
        <x:v>Automated screening pass: row uses a primary source URL by actor/subfactor; verify with country-specific evidence before final analytical use.</x:v>
      </x:c>
      <x:c r="AA327" s="20" t="str">
        <x:v>2026-05-20</x:v>
      </x:c>
      <x:c r="AB327" s="20" t="str">
        <x:v>GPT-5.5 Pro</x:v>
      </x:c>
    </x:row>
    <x:row r="328" ht="24" customHeight="1">
      <x:c r="A328" s="20" t="str">
        <x:v>PLW|United States</x:v>
      </x:c>
      <x:c r="B328" s="20" t="str">
        <x:v>Palau</x:v>
      </x:c>
      <x:c r="C328" s="20" t="str">
        <x:v>Republic of Palau</x:v>
      </x:c>
      <x:c r="D328" s="20" t="str">
        <x:v>PW</x:v>
      </x:c>
      <x:c r="E328" s="20" t="str">
        <x:v>PLW</x:v>
      </x:c>
      <x:c r="F328" s="20" t="str">
        <x:v>585</x:v>
      </x:c>
      <x:c r="G328" s="20" t="str">
        <x:v>Oceania</x:v>
      </x:c>
      <x:c r="H328" s="20" t="str">
        <x:v>Micronesia</x:v>
      </x:c>
      <x:c r="I328" s="20" t="str">
        <x:v>United States</x:v>
      </x:c>
      <x:c r="J328" s="20" t="str">
        <x:v>American influence</x:v>
      </x:c>
      <x:c r="K328" s="384" t="n">
        <x:v>3</x:v>
      </x:c>
      <x:c r="L328" s="396" t="n">
        <x:v>3</x:v>
      </x:c>
      <x:c r="M328" s="397" t="str">
        <x:v>https://www.usagm.gov/our-work/strategy-and-results/strategic-priorities/research-reports/</x:v>
      </x:c>
      <x:c r="N328" s="384" t="n">
        <x:v>1</x:v>
      </x:c>
      <x:c r="O328" s="396" t="n">
        <x:v>2</x:v>
      </x:c>
      <x:c r="P328" s="397" t="str">
        <x:v>https://internationalpolicy.org/programs/sam/</x:v>
      </x:c>
      <x:c r="Q328" s="384" t="n">
        <x:v>1</x:v>
      </x:c>
      <x:c r="R328" s="396" t="n">
        <x:v>2</x:v>
      </x:c>
      <x:c r="S328" s="397" t="str">
        <x:v>https://www.ned.org/ned-grantmaking/</x:v>
      </x:c>
      <x:c r="T328" s="384" t="n">
        <x:v>2</x:v>
      </x:c>
      <x:c r="U328" s="396" t="n">
        <x:v>2</x:v>
      </x:c>
      <x:c r="V328" s="397" t="str">
        <x:v>https://internationalpolicy.org/programs/sam/</x:v>
      </x:c>
      <x:c r="W328" s="385" t="n">
        <x:f>(--(M328&lt;&gt;"")+--(P328&lt;&gt;"")+--(S328&lt;&gt;"")+--(V328&lt;&gt;""))/4</x:f>
        <x:v>1</x:v>
      </x:c>
      <x:c r="X328" s="384" t="n">
        <x:f>IF(COUNT(K328,N328,Q328,T328)=0,"No data",(IF(ISNUMBER(K328),K328*Factor_Model!$B$4,0)+IF(ISNUMBER(N328),N328*Factor_Model!$B$5,0)+IF(ISNUMBER(Q328),Q328*Factor_Model!$B$6,0)+IF(ISNUMBER(T328),T328*Factor_Model!$B$7,0))/(IF(ISNUMBER(K328),Factor_Model!$B$4,0)+IF(ISNUMBER(N328),Factor_Model!$B$5,0)+IF(ISNUMBER(Q328),Factor_Model!$B$6,0)+IF(ISNUMBER(T328),Factor_Model!$B$7,0)))</x:f>
        <x:v>1.75</x:v>
      </x:c>
      <x:c r="Y328" s="20" t="str">
        <x:f>IF(W328=0,"No source",IF(W328&lt;1,"Partial source","Source-complete"))</x:f>
        <x:v>Source-complete</x:v>
      </x:c>
      <x:c r="Z328" s="20" t="str">
        <x:v>Automated screening pass: row uses a primary source URL by actor/subfactor; verify with country-specific evidence before final analytical use.</x:v>
      </x:c>
      <x:c r="AA328" s="20" t="str">
        <x:v>2026-05-20</x:v>
      </x:c>
      <x:c r="AB328" s="20" t="str">
        <x:v>GPT-5.5 Pro</x:v>
      </x:c>
    </x:row>
    <x:row r="329" ht="24" customHeight="1">
      <x:c r="A329" s="20" t="str">
        <x:v>PLW|European Union</x:v>
      </x:c>
      <x:c r="B329" s="20" t="str">
        <x:v>Palau</x:v>
      </x:c>
      <x:c r="C329" s="20" t="str">
        <x:v>Republic of Palau</x:v>
      </x:c>
      <x:c r="D329" s="20" t="str">
        <x:v>PW</x:v>
      </x:c>
      <x:c r="E329" s="20" t="str">
        <x:v>PLW</x:v>
      </x:c>
      <x:c r="F329" s="20" t="str">
        <x:v>585</x:v>
      </x:c>
      <x:c r="G329" s="20" t="str">
        <x:v>Oceania</x:v>
      </x:c>
      <x:c r="H329" s="20" t="str">
        <x:v>Micronesia</x:v>
      </x:c>
      <x:c r="I329" s="20" t="str">
        <x:v>European Union</x:v>
      </x:c>
      <x:c r="J329" s="20" t="str">
        <x:v>EU influence</x:v>
      </x:c>
      <x:c r="K329" s="384" t="n">
        <x:v>2</x:v>
      </x:c>
      <x:c r="L329" s="396" t="n">
        <x:v>2</x:v>
      </x:c>
      <x:c r="M329" s="397" t="str">
        <x:v>https://www.eeas.europa.eu/eeas/public-diplomacy_en</x:v>
      </x:c>
      <x:c r="N329" s="384" t="n">
        <x:v>0</x:v>
      </x:c>
      <x:c r="O329" s="396" t="n">
        <x:v>1</x:v>
      </x:c>
      <x:c r="P329" s="397" t="str">
        <x:v>https://www.eeas.europa.eu/eeas/missions-and-operations_en</x:v>
      </x:c>
      <x:c r="Q329" s="384" t="n">
        <x:v>1</x:v>
      </x:c>
      <x:c r="R329" s="396" t="n">
        <x:v>2</x:v>
      </x:c>
      <x:c r="S329" s="397" t="str">
        <x:v>https://www.eeas.europa.eu/eeas/eu-election-observation-missions-1_en?page_lang=en</x:v>
      </x:c>
      <x:c r="T329" s="384" t="n">
        <x:v>1</x:v>
      </x:c>
      <x:c r="U329" s="396" t="n">
        <x:v>2</x:v>
      </x:c>
      <x:c r="V329" s="397" t="str">
        <x:v>https://www.eeas.europa.eu/eeas/missions-and-operations_en</x:v>
      </x:c>
      <x:c r="W329" s="385" t="n">
        <x:f>(--(M329&lt;&gt;"")+--(P329&lt;&gt;"")+--(S329&lt;&gt;"")+--(V329&lt;&gt;""))/4</x:f>
        <x:v>1</x:v>
      </x:c>
      <x:c r="X329" s="384" t="n">
        <x:f>IF(COUNT(K329,N329,Q329,T329)=0,"No data",(IF(ISNUMBER(K329),K329*Factor_Model!$B$4,0)+IF(ISNUMBER(N329),N329*Factor_Model!$B$5,0)+IF(ISNUMBER(Q329),Q329*Factor_Model!$B$6,0)+IF(ISNUMBER(T329),T329*Factor_Model!$B$7,0))/(IF(ISNUMBER(K329),Factor_Model!$B$4,0)+IF(ISNUMBER(N329),Factor_Model!$B$5,0)+IF(ISNUMBER(Q329),Factor_Model!$B$6,0)+IF(ISNUMBER(T329),Factor_Model!$B$7,0)))</x:f>
        <x:v>1</x:v>
      </x:c>
      <x:c r="Y329" s="20" t="str">
        <x:f>IF(W329=0,"No source",IF(W329&lt;1,"Partial source","Source-complete"))</x:f>
        <x:v>Source-complete</x:v>
      </x:c>
      <x:c r="Z329" s="20" t="str">
        <x:v>Automated screening pass: row uses a primary source URL by actor/subfactor; verify with country-specific evidence before final analytical use.</x:v>
      </x:c>
      <x:c r="AA329" s="20" t="str">
        <x:v>2026-05-20</x:v>
      </x:c>
      <x:c r="AB329" s="20" t="str">
        <x:v>GPT-5.5 Pro</x:v>
      </x:c>
    </x:row>
    <x:row r="330" ht="24" customHeight="1">
      <x:c r="A330" s="20" t="str">
        <x:v>PSE|Russia</x:v>
      </x:c>
      <x:c r="B330" s="20" t="str">
        <x:v>Palestine</x:v>
      </x:c>
      <x:c r="C330" s="20" t="str">
        <x:v>the State of Palestine</x:v>
      </x:c>
      <x:c r="D330" s="20" t="str">
        <x:v>PS</x:v>
      </x:c>
      <x:c r="E330" s="20" t="str">
        <x:v>PSE</x:v>
      </x:c>
      <x:c r="F330" s="20" t="str">
        <x:v>275</x:v>
      </x:c>
      <x:c r="G330" s="20" t="str">
        <x:v>Asia</x:v>
      </x:c>
      <x:c r="H330" s="20" t="str">
        <x:v>Western Asia</x:v>
      </x:c>
      <x:c r="I330" s="20" t="str">
        <x:v>Russia</x:v>
      </x:c>
      <x:c r="J330" s="20" t="str">
        <x:v>Russian influence</x:v>
      </x:c>
      <x:c r="K330" s="384" t="n">
        <x:v>2</x:v>
      </x:c>
      <x:c r="L330" s="396" t="n">
        <x:v>2</x:v>
      </x:c>
      <x:c r="M330" s="397" t="str">
        <x:v>https://www.eeas.europa.eu/eeas/4th-eeas-annual-report-foreign-information-manipulation-and-interference-threats_en</x:v>
      </x:c>
      <x:c r="N330" s="384" t="n">
        <x:v>0</x:v>
      </x:c>
      <x:c r="O330" s="396" t="n">
        <x:v>1</x:v>
      </x:c>
      <x:c r="P330" s="397" t="str">
        <x:v>https://www.consilium.europa.eu/en/press/press-releases/2023/02/25/wagner-group-council-adds-11-individuals-and-7-entities-to-eu-sanctions-lists/</x:v>
      </x:c>
      <x:c r="Q330" s="384" t="n">
        <x:v>0</x:v>
      </x:c>
      <x:c r="R330" s="396" t="n">
        <x:v>1</x:v>
      </x:c>
      <x:c r="S330" s="397" t="str">
        <x:v>https://www.dni.gov/files/ODNI/documents/assessments/ATA-2026-Unclassified-Report.pdf</x:v>
      </x:c>
      <x:c r="T330" s="384" t="n">
        <x:v>0</x:v>
      </x:c>
      <x:c r="U330" s="396" t="n">
        <x:v>1</x:v>
      </x:c>
      <x:c r="V330" s="397" t="str">
        <x:v>https://www.consilium.europa.eu/en/press/press-releases/2023/02/25/wagner-group-council-adds-11-individuals-and-7-entities-to-eu-sanctions-lists/</x:v>
      </x:c>
      <x:c r="W330" s="385" t="n">
        <x:f>(--(M330&lt;&gt;"")+--(P330&lt;&gt;"")+--(S330&lt;&gt;"")+--(V330&lt;&gt;""))/4</x:f>
        <x:v>1</x:v>
      </x:c>
      <x:c r="X330" s="384" t="n">
        <x:f>IF(COUNT(K330,N330,Q330,T330)=0,"No data",(IF(ISNUMBER(K330),K330*Factor_Model!$B$4,0)+IF(ISNUMBER(N330),N330*Factor_Model!$B$5,0)+IF(ISNUMBER(Q330),Q330*Factor_Model!$B$6,0)+IF(ISNUMBER(T330),T330*Factor_Model!$B$7,0))/(IF(ISNUMBER(K330),Factor_Model!$B$4,0)+IF(ISNUMBER(N330),Factor_Model!$B$5,0)+IF(ISNUMBER(Q330),Factor_Model!$B$6,0)+IF(ISNUMBER(T330),Factor_Model!$B$7,0)))</x:f>
        <x:v>0.5</x:v>
      </x:c>
      <x:c r="Y330" s="20" t="str">
        <x:f>IF(W330=0,"No source",IF(W330&lt;1,"Partial source","Source-complete"))</x:f>
        <x:v>Source-complete</x:v>
      </x:c>
      <x:c r="Z330" s="20" t="str">
        <x:v>Automated screening pass: row uses a primary source URL by actor/subfactor; verify with country-specific evidence before final analytical use.</x:v>
      </x:c>
      <x:c r="AA330" s="20" t="str">
        <x:v>2026-05-20</x:v>
      </x:c>
      <x:c r="AB330" s="20" t="str">
        <x:v>GPT-5.5 Pro</x:v>
      </x:c>
    </x:row>
    <x:row r="331" ht="24" customHeight="1">
      <x:c r="A331" s="20" t="str">
        <x:v>PSE|China</x:v>
      </x:c>
      <x:c r="B331" s="20" t="str">
        <x:v>Palestine</x:v>
      </x:c>
      <x:c r="C331" s="20" t="str">
        <x:v>the State of Palestine</x:v>
      </x:c>
      <x:c r="D331" s="20" t="str">
        <x:v>PS</x:v>
      </x:c>
      <x:c r="E331" s="20" t="str">
        <x:v>PSE</x:v>
      </x:c>
      <x:c r="F331" s="20" t="str">
        <x:v>275</x:v>
      </x:c>
      <x:c r="G331" s="20" t="str">
        <x:v>Asia</x:v>
      </x:c>
      <x:c r="H331" s="20" t="str">
        <x:v>Western Asia</x:v>
      </x:c>
      <x:c r="I331" s="20" t="str">
        <x:v>China</x:v>
      </x:c>
      <x:c r="J331" s="20" t="str">
        <x:v>Chinese influence</x:v>
      </x:c>
      <x:c r="K331" s="384" t="n">
        <x:v>3</x:v>
      </x:c>
      <x:c r="L331" s="396" t="n">
        <x:v>3</x:v>
      </x:c>
      <x:c r="M331" s="397" t="str">
        <x:v>https://www.eeas.europa.eu/eeas/4th-eeas-annual-report-foreign-information-manipulation-and-interference-threats_en</x:v>
      </x:c>
      <x:c r="N331" s="384" t="n">
        <x:v>0</x:v>
      </x:c>
      <x:c r="O331" s="396" t="n">
        <x:v>1</x:v>
      </x:c>
      <x:c r="P331" s="397" t="str">
        <x:v>https://merics.org/en/report/guardians-belt-and-road</x:v>
      </x:c>
      <x:c r="Q331" s="384" t="n">
        <x:v>1</x:v>
      </x:c>
      <x:c r="R331" s="396" t="n">
        <x:v>2</x:v>
      </x:c>
      <x:c r="S331" s="397" t="str">
        <x:v>https://www.eeas.europa.eu/eeas/4th-eeas-annual-report-foreign-information-manipulation-and-interference-threats_en</x:v>
      </x:c>
      <x:c r="T331" s="384" t="n">
        <x:v>1</x:v>
      </x:c>
      <x:c r="U331" s="396" t="n">
        <x:v>2</x:v>
      </x:c>
      <x:c r="V331" s="397" t="str">
        <x:v>https://merics.org/en/report/guardians-belt-and-road</x:v>
      </x:c>
      <x:c r="W331" s="385" t="n">
        <x:f>(--(M331&lt;&gt;"")+--(P331&lt;&gt;"")+--(S331&lt;&gt;"")+--(V331&lt;&gt;""))/4</x:f>
        <x:v>1</x:v>
      </x:c>
      <x:c r="X331" s="384" t="n">
        <x:f>IF(COUNT(K331,N331,Q331,T331)=0,"No data",(IF(ISNUMBER(K331),K331*Factor_Model!$B$4,0)+IF(ISNUMBER(N331),N331*Factor_Model!$B$5,0)+IF(ISNUMBER(Q331),Q331*Factor_Model!$B$6,0)+IF(ISNUMBER(T331),T331*Factor_Model!$B$7,0))/(IF(ISNUMBER(K331),Factor_Model!$B$4,0)+IF(ISNUMBER(N331),Factor_Model!$B$5,0)+IF(ISNUMBER(Q331),Factor_Model!$B$6,0)+IF(ISNUMBER(T331),Factor_Model!$B$7,0)))</x:f>
        <x:v>1.25</x:v>
      </x:c>
      <x:c r="Y331" s="20" t="str">
        <x:f>IF(W331=0,"No source",IF(W331&lt;1,"Partial source","Source-complete"))</x:f>
        <x:v>Source-complete</x:v>
      </x:c>
      <x:c r="Z331" s="20" t="str">
        <x:v>Automated screening pass: row uses a primary source URL by actor/subfactor; verify with country-specific evidence before final analytical use.</x:v>
      </x:c>
      <x:c r="AA331" s="20" t="str">
        <x:v>2026-05-20</x:v>
      </x:c>
      <x:c r="AB331" s="20" t="str">
        <x:v>GPT-5.5 Pro</x:v>
      </x:c>
    </x:row>
    <x:row r="332" ht="24" customHeight="1">
      <x:c r="A332" s="20" t="str">
        <x:v>PSE|United States</x:v>
      </x:c>
      <x:c r="B332" s="20" t="str">
        <x:v>Palestine</x:v>
      </x:c>
      <x:c r="C332" s="20" t="str">
        <x:v>the State of Palestine</x:v>
      </x:c>
      <x:c r="D332" s="20" t="str">
        <x:v>PS</x:v>
      </x:c>
      <x:c r="E332" s="20" t="str">
        <x:v>PSE</x:v>
      </x:c>
      <x:c r="F332" s="20" t="str">
        <x:v>275</x:v>
      </x:c>
      <x:c r="G332" s="20" t="str">
        <x:v>Asia</x:v>
      </x:c>
      <x:c r="H332" s="20" t="str">
        <x:v>Western Asia</x:v>
      </x:c>
      <x:c r="I332" s="20" t="str">
        <x:v>United States</x:v>
      </x:c>
      <x:c r="J332" s="20" t="str">
        <x:v>American influence</x:v>
      </x:c>
      <x:c r="K332" s="384" t="n">
        <x:v>5</x:v>
      </x:c>
      <x:c r="L332" s="396" t="n">
        <x:v>3</x:v>
      </x:c>
      <x:c r="M332" s="397" t="str">
        <x:v>https://www.usagm.gov/our-work/strategy-and-results/strategic-priorities/research-reports/</x:v>
      </x:c>
      <x:c r="N332" s="384" t="n">
        <x:v>1</x:v>
      </x:c>
      <x:c r="O332" s="396" t="n">
        <x:v>2</x:v>
      </x:c>
      <x:c r="P332" s="397" t="str">
        <x:v>https://internationalpolicy.org/programs/sam/</x:v>
      </x:c>
      <x:c r="Q332" s="384" t="n">
        <x:v>2</x:v>
      </x:c>
      <x:c r="R332" s="396" t="n">
        <x:v>2</x:v>
      </x:c>
      <x:c r="S332" s="397" t="str">
        <x:v>https://www.ned.org/ned-grantmaking/</x:v>
      </x:c>
      <x:c r="T332" s="384" t="n">
        <x:v>2</x:v>
      </x:c>
      <x:c r="U332" s="396" t="n">
        <x:v>2</x:v>
      </x:c>
      <x:c r="V332" s="397" t="str">
        <x:v>https://internationalpolicy.org/programs/sam/</x:v>
      </x:c>
      <x:c r="W332" s="385" t="n">
        <x:f>(--(M332&lt;&gt;"")+--(P332&lt;&gt;"")+--(S332&lt;&gt;"")+--(V332&lt;&gt;""))/4</x:f>
        <x:v>1</x:v>
      </x:c>
      <x:c r="X332" s="384" t="n">
        <x:f>IF(COUNT(K332,N332,Q332,T332)=0,"No data",(IF(ISNUMBER(K332),K332*Factor_Model!$B$4,0)+IF(ISNUMBER(N332),N332*Factor_Model!$B$5,0)+IF(ISNUMBER(Q332),Q332*Factor_Model!$B$6,0)+IF(ISNUMBER(T332),T332*Factor_Model!$B$7,0))/(IF(ISNUMBER(K332),Factor_Model!$B$4,0)+IF(ISNUMBER(N332),Factor_Model!$B$5,0)+IF(ISNUMBER(Q332),Factor_Model!$B$6,0)+IF(ISNUMBER(T332),Factor_Model!$B$7,0)))</x:f>
        <x:v>2.5</x:v>
      </x:c>
      <x:c r="Y332" s="20" t="str">
        <x:f>IF(W332=0,"No source",IF(W332&lt;1,"Partial source","Source-complete"))</x:f>
        <x:v>Source-complete</x:v>
      </x:c>
      <x:c r="Z332" s="20" t="str">
        <x:v>Automated screening pass: row uses a primary source URL by actor/subfactor; verify with country-specific evidence before final analytical use.</x:v>
      </x:c>
      <x:c r="AA332" s="20" t="str">
        <x:v>2026-05-20</x:v>
      </x:c>
      <x:c r="AB332" s="20" t="str">
        <x:v>GPT-5.5 Pro</x:v>
      </x:c>
    </x:row>
    <x:row r="333" ht="24" customHeight="1">
      <x:c r="A333" s="20" t="str">
        <x:v>PSE|European Union</x:v>
      </x:c>
      <x:c r="B333" s="20" t="str">
        <x:v>Palestine</x:v>
      </x:c>
      <x:c r="C333" s="20" t="str">
        <x:v>the State of Palestine</x:v>
      </x:c>
      <x:c r="D333" s="20" t="str">
        <x:v>PS</x:v>
      </x:c>
      <x:c r="E333" s="20" t="str">
        <x:v>PSE</x:v>
      </x:c>
      <x:c r="F333" s="20" t="str">
        <x:v>275</x:v>
      </x:c>
      <x:c r="G333" s="20" t="str">
        <x:v>Asia</x:v>
      </x:c>
      <x:c r="H333" s="20" t="str">
        <x:v>Western Asia</x:v>
      </x:c>
      <x:c r="I333" s="20" t="str">
        <x:v>European Union</x:v>
      </x:c>
      <x:c r="J333" s="20" t="str">
        <x:v>EU influence</x:v>
      </x:c>
      <x:c r="K333" s="384" t="n">
        <x:v>2</x:v>
      </x:c>
      <x:c r="L333" s="396" t="n">
        <x:v>2</x:v>
      </x:c>
      <x:c r="M333" s="397" t="str">
        <x:v>https://www.eeas.europa.eu/eeas/public-diplomacy_en</x:v>
      </x:c>
      <x:c r="N333" s="384" t="n">
        <x:v>1</x:v>
      </x:c>
      <x:c r="O333" s="396" t="n">
        <x:v>2</x:v>
      </x:c>
      <x:c r="P333" s="397" t="str">
        <x:v>https://www.eeas.europa.eu/eeas/missions-and-operations_en</x:v>
      </x:c>
      <x:c r="Q333" s="384" t="n">
        <x:v>2</x:v>
      </x:c>
      <x:c r="R333" s="396" t="n">
        <x:v>2</x:v>
      </x:c>
      <x:c r="S333" s="397" t="str">
        <x:v>https://www.eeas.europa.eu/eeas/eu-election-observation-missions-1_en?page_lang=en</x:v>
      </x:c>
      <x:c r="T333" s="384" t="n">
        <x:v>2</x:v>
      </x:c>
      <x:c r="U333" s="396" t="n">
        <x:v>2</x:v>
      </x:c>
      <x:c r="V333" s="397" t="str">
        <x:v>https://www.eeas.europa.eu/eeas/missions-and-operations_en</x:v>
      </x:c>
      <x:c r="W333" s="385" t="n">
        <x:f>(--(M333&lt;&gt;"")+--(P333&lt;&gt;"")+--(S333&lt;&gt;"")+--(V333&lt;&gt;""))/4</x:f>
        <x:v>1</x:v>
      </x:c>
      <x:c r="X333" s="384" t="n">
        <x:f>IF(COUNT(K333,N333,Q333,T333)=0,"No data",(IF(ISNUMBER(K333),K333*Factor_Model!$B$4,0)+IF(ISNUMBER(N333),N333*Factor_Model!$B$5,0)+IF(ISNUMBER(Q333),Q333*Factor_Model!$B$6,0)+IF(ISNUMBER(T333),T333*Factor_Model!$B$7,0))/(IF(ISNUMBER(K333),Factor_Model!$B$4,0)+IF(ISNUMBER(N333),Factor_Model!$B$5,0)+IF(ISNUMBER(Q333),Factor_Model!$B$6,0)+IF(ISNUMBER(T333),Factor_Model!$B$7,0)))</x:f>
        <x:v>1.75</x:v>
      </x:c>
      <x:c r="Y333" s="20" t="str">
        <x:f>IF(W333=0,"No source",IF(W333&lt;1,"Partial source","Source-complete"))</x:f>
        <x:v>Source-complete</x:v>
      </x:c>
      <x:c r="Z333" s="20" t="str">
        <x:v>Automated screening pass: row uses a primary source URL by actor/subfactor; verify with country-specific evidence before final analytical use.</x:v>
      </x:c>
      <x:c r="AA333" s="20" t="str">
        <x:v>2026-05-20</x:v>
      </x:c>
      <x:c r="AB333" s="20" t="str">
        <x:v>GPT-5.5 Pro</x:v>
      </x:c>
    </x:row>
    <x:row r="334" ht="24" customHeight="1">
      <x:c r="A334" s="20" t="str">
        <x:v>PNG|Russia</x:v>
      </x:c>
      <x:c r="B334" s="20" t="str">
        <x:v>Papua New Guinea</x:v>
      </x:c>
      <x:c r="C334" s="20" t="str">
        <x:v>Independent State of Papua New Guinea</x:v>
      </x:c>
      <x:c r="D334" s="20" t="str">
        <x:v>PG</x:v>
      </x:c>
      <x:c r="E334" s="20" t="str">
        <x:v>PNG</x:v>
      </x:c>
      <x:c r="F334" s="20" t="str">
        <x:v>598</x:v>
      </x:c>
      <x:c r="G334" s="20" t="str">
        <x:v>Oceania</x:v>
      </x:c>
      <x:c r="H334" s="20" t="str">
        <x:v>Melanesia</x:v>
      </x:c>
      <x:c r="I334" s="20" t="str">
        <x:v>Russia</x:v>
      </x:c>
      <x:c r="J334" s="20" t="str">
        <x:v>Russian influence</x:v>
      </x:c>
      <x:c r="K334" s="384" t="n">
        <x:v>2</x:v>
      </x:c>
      <x:c r="L334" s="396" t="n">
        <x:v>2</x:v>
      </x:c>
      <x:c r="M334" s="397" t="str">
        <x:v>https://www.eeas.europa.eu/eeas/4th-eeas-annual-report-foreign-information-manipulation-and-interference-threats_en</x:v>
      </x:c>
      <x:c r="N334" s="384" t="n">
        <x:v>0</x:v>
      </x:c>
      <x:c r="O334" s="396" t="n">
        <x:v>1</x:v>
      </x:c>
      <x:c r="P334" s="397" t="str">
        <x:v>https://www.consilium.europa.eu/en/press/press-releases/2023/02/25/wagner-group-council-adds-11-individuals-and-7-entities-to-eu-sanctions-lists/</x:v>
      </x:c>
      <x:c r="Q334" s="384" t="n">
        <x:v>0</x:v>
      </x:c>
      <x:c r="R334" s="396" t="n">
        <x:v>1</x:v>
      </x:c>
      <x:c r="S334" s="397" t="str">
        <x:v>https://www.dni.gov/files/ODNI/documents/assessments/ATA-2026-Unclassified-Report.pdf</x:v>
      </x:c>
      <x:c r="T334" s="384" t="n">
        <x:v>0</x:v>
      </x:c>
      <x:c r="U334" s="396" t="n">
        <x:v>1</x:v>
      </x:c>
      <x:c r="V334" s="397" t="str">
        <x:v>https://www.consilium.europa.eu/en/press/press-releases/2023/02/25/wagner-group-council-adds-11-individuals-and-7-entities-to-eu-sanctions-lists/</x:v>
      </x:c>
      <x:c r="W334" s="385" t="n">
        <x:f>(--(M334&lt;&gt;"")+--(P334&lt;&gt;"")+--(S334&lt;&gt;"")+--(V334&lt;&gt;""))/4</x:f>
        <x:v>1</x:v>
      </x:c>
      <x:c r="X334" s="384" t="n">
        <x:f>IF(COUNT(K334,N334,Q334,T334)=0,"No data",(IF(ISNUMBER(K334),K334*Factor_Model!$B$4,0)+IF(ISNUMBER(N334),N334*Factor_Model!$B$5,0)+IF(ISNUMBER(Q334),Q334*Factor_Model!$B$6,0)+IF(ISNUMBER(T334),T334*Factor_Model!$B$7,0))/(IF(ISNUMBER(K334),Factor_Model!$B$4,0)+IF(ISNUMBER(N334),Factor_Model!$B$5,0)+IF(ISNUMBER(Q334),Factor_Model!$B$6,0)+IF(ISNUMBER(T334),Factor_Model!$B$7,0)))</x:f>
        <x:v>0.5</x:v>
      </x:c>
      <x:c r="Y334" s="20" t="str">
        <x:f>IF(W334=0,"No source",IF(W334&lt;1,"Partial source","Source-complete"))</x:f>
        <x:v>Source-complete</x:v>
      </x:c>
      <x:c r="Z334" s="20" t="str">
        <x:v>Automated screening pass: row uses a primary source URL by actor/subfactor; verify with country-specific evidence before final analytical use.</x:v>
      </x:c>
      <x:c r="AA334" s="20" t="str">
        <x:v>2026-05-20</x:v>
      </x:c>
      <x:c r="AB334" s="20" t="str">
        <x:v>GPT-5.5 Pro</x:v>
      </x:c>
    </x:row>
    <x:row r="335" ht="24" customHeight="1">
      <x:c r="A335" s="20" t="str">
        <x:v>PNG|China</x:v>
      </x:c>
      <x:c r="B335" s="20" t="str">
        <x:v>Papua New Guinea</x:v>
      </x:c>
      <x:c r="C335" s="20" t="str">
        <x:v>Independent State of Papua New Guinea</x:v>
      </x:c>
      <x:c r="D335" s="20" t="str">
        <x:v>PG</x:v>
      </x:c>
      <x:c r="E335" s="20" t="str">
        <x:v>PNG</x:v>
      </x:c>
      <x:c r="F335" s="20" t="str">
        <x:v>598</x:v>
      </x:c>
      <x:c r="G335" s="20" t="str">
        <x:v>Oceania</x:v>
      </x:c>
      <x:c r="H335" s="20" t="str">
        <x:v>Melanesia</x:v>
      </x:c>
      <x:c r="I335" s="20" t="str">
        <x:v>China</x:v>
      </x:c>
      <x:c r="J335" s="20" t="str">
        <x:v>Chinese influence</x:v>
      </x:c>
      <x:c r="K335" s="384" t="n">
        <x:v>7</x:v>
      </x:c>
      <x:c r="L335" s="396" t="n">
        <x:v>4</x:v>
      </x:c>
      <x:c r="M335" s="397" t="str">
        <x:v>https://www.eeas.europa.eu/eeas/4th-eeas-annual-report-foreign-information-manipulation-and-interference-threats_en</x:v>
      </x:c>
      <x:c r="N335" s="384" t="n">
        <x:v>1</x:v>
      </x:c>
      <x:c r="O335" s="396" t="n">
        <x:v>2</x:v>
      </x:c>
      <x:c r="P335" s="397" t="str">
        <x:v>https://merics.org/en/report/guardians-belt-and-road</x:v>
      </x:c>
      <x:c r="Q335" s="384" t="n">
        <x:v>3</x:v>
      </x:c>
      <x:c r="R335" s="396" t="n">
        <x:v>3</x:v>
      </x:c>
      <x:c r="S335" s="397" t="str">
        <x:v>https://www.eeas.europa.eu/eeas/4th-eeas-annual-report-foreign-information-manipulation-and-interference-threats_en</x:v>
      </x:c>
      <x:c r="T335" s="384" t="n">
        <x:v>2</x:v>
      </x:c>
      <x:c r="U335" s="396" t="n">
        <x:v>2</x:v>
      </x:c>
      <x:c r="V335" s="397" t="str">
        <x:v>https://merics.org/en/report/guardians-belt-and-road</x:v>
      </x:c>
      <x:c r="W335" s="385" t="n">
        <x:f>(--(M335&lt;&gt;"")+--(P335&lt;&gt;"")+--(S335&lt;&gt;"")+--(V335&lt;&gt;""))/4</x:f>
        <x:v>1</x:v>
      </x:c>
      <x:c r="X335" s="384" t="n">
        <x:f>IF(COUNT(K335,N335,Q335,T335)=0,"No data",(IF(ISNUMBER(K335),K335*Factor_Model!$B$4,0)+IF(ISNUMBER(N335),N335*Factor_Model!$B$5,0)+IF(ISNUMBER(Q335),Q335*Factor_Model!$B$6,0)+IF(ISNUMBER(T335),T335*Factor_Model!$B$7,0))/(IF(ISNUMBER(K335),Factor_Model!$B$4,0)+IF(ISNUMBER(N335),Factor_Model!$B$5,0)+IF(ISNUMBER(Q335),Factor_Model!$B$6,0)+IF(ISNUMBER(T335),Factor_Model!$B$7,0)))</x:f>
        <x:v>3.25</x:v>
      </x:c>
      <x:c r="Y335" s="20" t="str">
        <x:f>IF(W335=0,"No source",IF(W335&lt;1,"Partial source","Source-complete"))</x:f>
        <x:v>Source-complete</x:v>
      </x:c>
      <x:c r="Z335" s="20" t="str">
        <x:v>Automated screening pass: row uses a primary source URL by actor/subfactor; verify with country-specific evidence before final analytical use.</x:v>
      </x:c>
      <x:c r="AA335" s="20" t="str">
        <x:v>2026-05-20</x:v>
      </x:c>
      <x:c r="AB335" s="20" t="str">
        <x:v>GPT-5.5 Pro</x:v>
      </x:c>
    </x:row>
    <x:row r="336" ht="24" customHeight="1">
      <x:c r="A336" s="20" t="str">
        <x:v>PNG|United States</x:v>
      </x:c>
      <x:c r="B336" s="20" t="str">
        <x:v>Papua New Guinea</x:v>
      </x:c>
      <x:c r="C336" s="20" t="str">
        <x:v>Independent State of Papua New Guinea</x:v>
      </x:c>
      <x:c r="D336" s="20" t="str">
        <x:v>PG</x:v>
      </x:c>
      <x:c r="E336" s="20" t="str">
        <x:v>PNG</x:v>
      </x:c>
      <x:c r="F336" s="20" t="str">
        <x:v>598</x:v>
      </x:c>
      <x:c r="G336" s="20" t="str">
        <x:v>Oceania</x:v>
      </x:c>
      <x:c r="H336" s="20" t="str">
        <x:v>Melanesia</x:v>
      </x:c>
      <x:c r="I336" s="20" t="str">
        <x:v>United States</x:v>
      </x:c>
      <x:c r="J336" s="20" t="str">
        <x:v>American influence</x:v>
      </x:c>
      <x:c r="K336" s="384" t="n">
        <x:v>3</x:v>
      </x:c>
      <x:c r="L336" s="396" t="n">
        <x:v>3</x:v>
      </x:c>
      <x:c r="M336" s="397" t="str">
        <x:v>https://www.usagm.gov/our-work/strategy-and-results/strategic-priorities/research-reports/</x:v>
      </x:c>
      <x:c r="N336" s="384" t="n">
        <x:v>1</x:v>
      </x:c>
      <x:c r="O336" s="396" t="n">
        <x:v>2</x:v>
      </x:c>
      <x:c r="P336" s="397" t="str">
        <x:v>https://internationalpolicy.org/programs/sam/</x:v>
      </x:c>
      <x:c r="Q336" s="384" t="n">
        <x:v>1</x:v>
      </x:c>
      <x:c r="R336" s="396" t="n">
        <x:v>2</x:v>
      </x:c>
      <x:c r="S336" s="397" t="str">
        <x:v>https://www.ned.org/ned-grantmaking/</x:v>
      </x:c>
      <x:c r="T336" s="384" t="n">
        <x:v>2</x:v>
      </x:c>
      <x:c r="U336" s="396" t="n">
        <x:v>2</x:v>
      </x:c>
      <x:c r="V336" s="397" t="str">
        <x:v>https://internationalpolicy.org/programs/sam/</x:v>
      </x:c>
      <x:c r="W336" s="385" t="n">
        <x:f>(--(M336&lt;&gt;"")+--(P336&lt;&gt;"")+--(S336&lt;&gt;"")+--(V336&lt;&gt;""))/4</x:f>
        <x:v>1</x:v>
      </x:c>
      <x:c r="X336" s="384" t="n">
        <x:f>IF(COUNT(K336,N336,Q336,T336)=0,"No data",(IF(ISNUMBER(K336),K336*Factor_Model!$B$4,0)+IF(ISNUMBER(N336),N336*Factor_Model!$B$5,0)+IF(ISNUMBER(Q336),Q336*Factor_Model!$B$6,0)+IF(ISNUMBER(T336),T336*Factor_Model!$B$7,0))/(IF(ISNUMBER(K336),Factor_Model!$B$4,0)+IF(ISNUMBER(N336),Factor_Model!$B$5,0)+IF(ISNUMBER(Q336),Factor_Model!$B$6,0)+IF(ISNUMBER(T336),Factor_Model!$B$7,0)))</x:f>
        <x:v>1.75</x:v>
      </x:c>
      <x:c r="Y336" s="20" t="str">
        <x:f>IF(W336=0,"No source",IF(W336&lt;1,"Partial source","Source-complete"))</x:f>
        <x:v>Source-complete</x:v>
      </x:c>
      <x:c r="Z336" s="20" t="str">
        <x:v>Automated screening pass: row uses a primary source URL by actor/subfactor; verify with country-specific evidence before final analytical use.</x:v>
      </x:c>
      <x:c r="AA336" s="20" t="str">
        <x:v>2026-05-20</x:v>
      </x:c>
      <x:c r="AB336" s="20" t="str">
        <x:v>GPT-5.5 Pro</x:v>
      </x:c>
    </x:row>
    <x:row r="337" ht="24" customHeight="1">
      <x:c r="A337" s="20" t="str">
        <x:v>PNG|European Union</x:v>
      </x:c>
      <x:c r="B337" s="20" t="str">
        <x:v>Papua New Guinea</x:v>
      </x:c>
      <x:c r="C337" s="20" t="str">
        <x:v>Independent State of Papua New Guinea</x:v>
      </x:c>
      <x:c r="D337" s="20" t="str">
        <x:v>PG</x:v>
      </x:c>
      <x:c r="E337" s="20" t="str">
        <x:v>PNG</x:v>
      </x:c>
      <x:c r="F337" s="20" t="str">
        <x:v>598</x:v>
      </x:c>
      <x:c r="G337" s="20" t="str">
        <x:v>Oceania</x:v>
      </x:c>
      <x:c r="H337" s="20" t="str">
        <x:v>Melanesia</x:v>
      </x:c>
      <x:c r="I337" s="20" t="str">
        <x:v>European Union</x:v>
      </x:c>
      <x:c r="J337" s="20" t="str">
        <x:v>EU influence</x:v>
      </x:c>
      <x:c r="K337" s="384" t="n">
        <x:v>2</x:v>
      </x:c>
      <x:c r="L337" s="396" t="n">
        <x:v>2</x:v>
      </x:c>
      <x:c r="M337" s="397" t="str">
        <x:v>https://www.eeas.europa.eu/eeas/public-diplomacy_en</x:v>
      </x:c>
      <x:c r="N337" s="384" t="n">
        <x:v>0</x:v>
      </x:c>
      <x:c r="O337" s="396" t="n">
        <x:v>1</x:v>
      </x:c>
      <x:c r="P337" s="397" t="str">
        <x:v>https://www.eeas.europa.eu/eeas/missions-and-operations_en</x:v>
      </x:c>
      <x:c r="Q337" s="384" t="n">
        <x:v>1</x:v>
      </x:c>
      <x:c r="R337" s="396" t="n">
        <x:v>2</x:v>
      </x:c>
      <x:c r="S337" s="397" t="str">
        <x:v>https://www.eeas.europa.eu/eeas/eu-election-observation-missions-1_en?page_lang=en</x:v>
      </x:c>
      <x:c r="T337" s="384" t="n">
        <x:v>1</x:v>
      </x:c>
      <x:c r="U337" s="396" t="n">
        <x:v>2</x:v>
      </x:c>
      <x:c r="V337" s="397" t="str">
        <x:v>https://www.eeas.europa.eu/eeas/missions-and-operations_en</x:v>
      </x:c>
      <x:c r="W337" s="385" t="n">
        <x:f>(--(M337&lt;&gt;"")+--(P337&lt;&gt;"")+--(S337&lt;&gt;"")+--(V337&lt;&gt;""))/4</x:f>
        <x:v>1</x:v>
      </x:c>
      <x:c r="X337" s="384" t="n">
        <x:f>IF(COUNT(K337,N337,Q337,T337)=0,"No data",(IF(ISNUMBER(K337),K337*Factor_Model!$B$4,0)+IF(ISNUMBER(N337),N337*Factor_Model!$B$5,0)+IF(ISNUMBER(Q337),Q337*Factor_Model!$B$6,0)+IF(ISNUMBER(T337),T337*Factor_Model!$B$7,0))/(IF(ISNUMBER(K337),Factor_Model!$B$4,0)+IF(ISNUMBER(N337),Factor_Model!$B$5,0)+IF(ISNUMBER(Q337),Factor_Model!$B$6,0)+IF(ISNUMBER(T337),Factor_Model!$B$7,0)))</x:f>
        <x:v>1</x:v>
      </x:c>
      <x:c r="Y337" s="20" t="str">
        <x:f>IF(W337=0,"No source",IF(W337&lt;1,"Partial source","Source-complete"))</x:f>
        <x:v>Source-complete</x:v>
      </x:c>
      <x:c r="Z337" s="20" t="str">
        <x:v>Automated screening pass: row uses a primary source URL by actor/subfactor; verify with country-specific evidence before final analytical use.</x:v>
      </x:c>
      <x:c r="AA337" s="20" t="str">
        <x:v>2026-05-20</x:v>
      </x:c>
      <x:c r="AB337" s="20" t="str">
        <x:v>GPT-5.5 Pro</x:v>
      </x:c>
    </x:row>
    <x:row r="338" ht="24" customHeight="1">
      <x:c r="A338" s="20" t="str">
        <x:v>PER|Russia</x:v>
      </x:c>
      <x:c r="B338" s="20" t="str">
        <x:v>Peru</x:v>
      </x:c>
      <x:c r="C338" s="20" t="str">
        <x:v>Republic of Peru</x:v>
      </x:c>
      <x:c r="D338" s="20" t="str">
        <x:v>PE</x:v>
      </x:c>
      <x:c r="E338" s="20" t="str">
        <x:v>PER</x:v>
      </x:c>
      <x:c r="F338" s="20" t="str">
        <x:v>604</x:v>
      </x:c>
      <x:c r="G338" s="20" t="str">
        <x:v>Americas</x:v>
      </x:c>
      <x:c r="H338" s="20" t="str">
        <x:v>South America</x:v>
      </x:c>
      <x:c r="I338" s="20" t="str">
        <x:v>Russia</x:v>
      </x:c>
      <x:c r="J338" s="20" t="str">
        <x:v>Russian influence</x:v>
      </x:c>
      <x:c r="K338" s="384" t="n">
        <x:v>3</x:v>
      </x:c>
      <x:c r="L338" s="396" t="n">
        <x:v>3</x:v>
      </x:c>
      <x:c r="M338" s="397" t="str">
        <x:v>https://www.eeas.europa.eu/eeas/4th-eeas-annual-report-foreign-information-manipulation-and-interference-threats_en</x:v>
      </x:c>
      <x:c r="N338" s="384" t="n">
        <x:v>0</x:v>
      </x:c>
      <x:c r="O338" s="396" t="n">
        <x:v>1</x:v>
      </x:c>
      <x:c r="P338" s="397" t="str">
        <x:v>https://www.consilium.europa.eu/en/press/press-releases/2023/02/25/wagner-group-council-adds-11-individuals-and-7-entities-to-eu-sanctions-lists/</x:v>
      </x:c>
      <x:c r="Q338" s="384" t="n">
        <x:v>2</x:v>
      </x:c>
      <x:c r="R338" s="396" t="n">
        <x:v>2</x:v>
      </x:c>
      <x:c r="S338" s="397" t="str">
        <x:v>https://www.dni.gov/files/ODNI/documents/assessments/ATA-2026-Unclassified-Report.pdf</x:v>
      </x:c>
      <x:c r="T338" s="384" t="n">
        <x:v>0</x:v>
      </x:c>
      <x:c r="U338" s="396" t="n">
        <x:v>1</x:v>
      </x:c>
      <x:c r="V338" s="397" t="str">
        <x:v>https://www.consilium.europa.eu/en/press/press-releases/2023/02/25/wagner-group-council-adds-11-individuals-and-7-entities-to-eu-sanctions-lists/</x:v>
      </x:c>
      <x:c r="W338" s="385" t="n">
        <x:f>(--(M338&lt;&gt;"")+--(P338&lt;&gt;"")+--(S338&lt;&gt;"")+--(V338&lt;&gt;""))/4</x:f>
        <x:v>1</x:v>
      </x:c>
      <x:c r="X338" s="384" t="n">
        <x:f>IF(COUNT(K338,N338,Q338,T338)=0,"No data",(IF(ISNUMBER(K338),K338*Factor_Model!$B$4,0)+IF(ISNUMBER(N338),N338*Factor_Model!$B$5,0)+IF(ISNUMBER(Q338),Q338*Factor_Model!$B$6,0)+IF(ISNUMBER(T338),T338*Factor_Model!$B$7,0))/(IF(ISNUMBER(K338),Factor_Model!$B$4,0)+IF(ISNUMBER(N338),Factor_Model!$B$5,0)+IF(ISNUMBER(Q338),Factor_Model!$B$6,0)+IF(ISNUMBER(T338),Factor_Model!$B$7,0)))</x:f>
        <x:v>1.25</x:v>
      </x:c>
      <x:c r="Y338" s="20" t="str">
        <x:f>IF(W338=0,"No source",IF(W338&lt;1,"Partial source","Source-complete"))</x:f>
        <x:v>Source-complete</x:v>
      </x:c>
      <x:c r="Z338" s="20" t="str">
        <x:v>Automated screening pass: row uses a primary source URL by actor/subfactor; verify with country-specific evidence before final analytical use.</x:v>
      </x:c>
      <x:c r="AA338" s="20" t="str">
        <x:v>2026-05-20</x:v>
      </x:c>
      <x:c r="AB338" s="20" t="str">
        <x:v>GPT-5.5 Pro</x:v>
      </x:c>
    </x:row>
    <x:row r="339" ht="24" customHeight="1">
      <x:c r="A339" s="20" t="str">
        <x:v>PER|China</x:v>
      </x:c>
      <x:c r="B339" s="20" t="str">
        <x:v>Peru</x:v>
      </x:c>
      <x:c r="C339" s="20" t="str">
        <x:v>Republic of Peru</x:v>
      </x:c>
      <x:c r="D339" s="20" t="str">
        <x:v>PE</x:v>
      </x:c>
      <x:c r="E339" s="20" t="str">
        <x:v>PER</x:v>
      </x:c>
      <x:c r="F339" s="20" t="str">
        <x:v>604</x:v>
      </x:c>
      <x:c r="G339" s="20" t="str">
        <x:v>Americas</x:v>
      </x:c>
      <x:c r="H339" s="20" t="str">
        <x:v>South America</x:v>
      </x:c>
      <x:c r="I339" s="20" t="str">
        <x:v>China</x:v>
      </x:c>
      <x:c r="J339" s="20" t="str">
        <x:v>Chinese influence</x:v>
      </x:c>
      <x:c r="K339" s="384" t="n">
        <x:v>4</x:v>
      </x:c>
      <x:c r="L339" s="396" t="n">
        <x:v>3</x:v>
      </x:c>
      <x:c r="M339" s="397" t="str">
        <x:v>https://www.eeas.europa.eu/eeas/4th-eeas-annual-report-foreign-information-manipulation-and-interference-threats_en</x:v>
      </x:c>
      <x:c r="N339" s="384" t="n">
        <x:v>0</x:v>
      </x:c>
      <x:c r="O339" s="396" t="n">
        <x:v>1</x:v>
      </x:c>
      <x:c r="P339" s="397" t="str">
        <x:v>https://merics.org/en/report/guardians-belt-and-road</x:v>
      </x:c>
      <x:c r="Q339" s="384" t="n">
        <x:v>2</x:v>
      </x:c>
      <x:c r="R339" s="396" t="n">
        <x:v>2</x:v>
      </x:c>
      <x:c r="S339" s="397" t="str">
        <x:v>https://www.eeas.europa.eu/eeas/4th-eeas-annual-report-foreign-information-manipulation-and-interference-threats_en</x:v>
      </x:c>
      <x:c r="T339" s="384" t="n">
        <x:v>0</x:v>
      </x:c>
      <x:c r="U339" s="396" t="n">
        <x:v>1</x:v>
      </x:c>
      <x:c r="V339" s="397" t="str">
        <x:v>https://merics.org/en/report/guardians-belt-and-road</x:v>
      </x:c>
      <x:c r="W339" s="385" t="n">
        <x:f>(--(M339&lt;&gt;"")+--(P339&lt;&gt;"")+--(S339&lt;&gt;"")+--(V339&lt;&gt;""))/4</x:f>
        <x:v>1</x:v>
      </x:c>
      <x:c r="X339" s="384" t="n">
        <x:f>IF(COUNT(K339,N339,Q339,T339)=0,"No data",(IF(ISNUMBER(K339),K339*Factor_Model!$B$4,0)+IF(ISNUMBER(N339),N339*Factor_Model!$B$5,0)+IF(ISNUMBER(Q339),Q339*Factor_Model!$B$6,0)+IF(ISNUMBER(T339),T339*Factor_Model!$B$7,0))/(IF(ISNUMBER(K339),Factor_Model!$B$4,0)+IF(ISNUMBER(N339),Factor_Model!$B$5,0)+IF(ISNUMBER(Q339),Factor_Model!$B$6,0)+IF(ISNUMBER(T339),Factor_Model!$B$7,0)))</x:f>
        <x:v>1.5</x:v>
      </x:c>
      <x:c r="Y339" s="20" t="str">
        <x:f>IF(W339=0,"No source",IF(W339&lt;1,"Partial source","Source-complete"))</x:f>
        <x:v>Source-complete</x:v>
      </x:c>
      <x:c r="Z339" s="20" t="str">
        <x:v>Automated screening pass: row uses a primary source URL by actor/subfactor; verify with country-specific evidence before final analytical use.</x:v>
      </x:c>
      <x:c r="AA339" s="20" t="str">
        <x:v>2026-05-20</x:v>
      </x:c>
      <x:c r="AB339" s="20" t="str">
        <x:v>GPT-5.5 Pro</x:v>
      </x:c>
    </x:row>
    <x:row r="340" ht="24" customHeight="1">
      <x:c r="A340" s="20" t="str">
        <x:v>PER|United States</x:v>
      </x:c>
      <x:c r="B340" s="20" t="str">
        <x:v>Peru</x:v>
      </x:c>
      <x:c r="C340" s="20" t="str">
        <x:v>Republic of Peru</x:v>
      </x:c>
      <x:c r="D340" s="20" t="str">
        <x:v>PE</x:v>
      </x:c>
      <x:c r="E340" s="20" t="str">
        <x:v>PER</x:v>
      </x:c>
      <x:c r="F340" s="20" t="str">
        <x:v>604</x:v>
      </x:c>
      <x:c r="G340" s="20" t="str">
        <x:v>Americas</x:v>
      </x:c>
      <x:c r="H340" s="20" t="str">
        <x:v>South America</x:v>
      </x:c>
      <x:c r="I340" s="20" t="str">
        <x:v>United States</x:v>
      </x:c>
      <x:c r="J340" s="20" t="str">
        <x:v>American influence</x:v>
      </x:c>
      <x:c r="K340" s="384" t="n">
        <x:v>3</x:v>
      </x:c>
      <x:c r="L340" s="396" t="n">
        <x:v>3</x:v>
      </x:c>
      <x:c r="M340" s="397" t="str">
        <x:v>https://www.usagm.gov/our-work/strategy-and-results/strategic-priorities/research-reports/</x:v>
      </x:c>
      <x:c r="N340" s="384" t="n">
        <x:v>2</x:v>
      </x:c>
      <x:c r="O340" s="396" t="n">
        <x:v>2</x:v>
      </x:c>
      <x:c r="P340" s="397" t="str">
        <x:v>https://internationalpolicy.org/programs/sam/</x:v>
      </x:c>
      <x:c r="Q340" s="384" t="n">
        <x:v>2</x:v>
      </x:c>
      <x:c r="R340" s="396" t="n">
        <x:v>2</x:v>
      </x:c>
      <x:c r="S340" s="397" t="str">
        <x:v>https://www.ned.org/ned-grantmaking/</x:v>
      </x:c>
      <x:c r="T340" s="384" t="n">
        <x:v>4</x:v>
      </x:c>
      <x:c r="U340" s="396" t="n">
        <x:v>3</x:v>
      </x:c>
      <x:c r="V340" s="397" t="str">
        <x:v>https://internationalpolicy.org/programs/sam/</x:v>
      </x:c>
      <x:c r="W340" s="385" t="n">
        <x:f>(--(M340&lt;&gt;"")+--(P340&lt;&gt;"")+--(S340&lt;&gt;"")+--(V340&lt;&gt;""))/4</x:f>
        <x:v>1</x:v>
      </x:c>
      <x:c r="X340" s="384" t="n">
        <x:f>IF(COUNT(K340,N340,Q340,T340)=0,"No data",(IF(ISNUMBER(K340),K340*Factor_Model!$B$4,0)+IF(ISNUMBER(N340),N340*Factor_Model!$B$5,0)+IF(ISNUMBER(Q340),Q340*Factor_Model!$B$6,0)+IF(ISNUMBER(T340),T340*Factor_Model!$B$7,0))/(IF(ISNUMBER(K340),Factor_Model!$B$4,0)+IF(ISNUMBER(N340),Factor_Model!$B$5,0)+IF(ISNUMBER(Q340),Factor_Model!$B$6,0)+IF(ISNUMBER(T340),Factor_Model!$B$7,0)))</x:f>
        <x:v>2.75</x:v>
      </x:c>
      <x:c r="Y340" s="20" t="str">
        <x:f>IF(W340=0,"No source",IF(W340&lt;1,"Partial source","Source-complete"))</x:f>
        <x:v>Source-complete</x:v>
      </x:c>
      <x:c r="Z340" s="20" t="str">
        <x:v>Automated screening pass: row uses a primary source URL by actor/subfactor; verify with country-specific evidence before final analytical use.</x:v>
      </x:c>
      <x:c r="AA340" s="20" t="str">
        <x:v>2026-05-20</x:v>
      </x:c>
      <x:c r="AB340" s="20" t="str">
        <x:v>GPT-5.5 Pro</x:v>
      </x:c>
    </x:row>
    <x:row r="341" ht="24" customHeight="1">
      <x:c r="A341" s="20" t="str">
        <x:v>PER|European Union</x:v>
      </x:c>
      <x:c r="B341" s="20" t="str">
        <x:v>Peru</x:v>
      </x:c>
      <x:c r="C341" s="20" t="str">
        <x:v>Republic of Peru</x:v>
      </x:c>
      <x:c r="D341" s="20" t="str">
        <x:v>PE</x:v>
      </x:c>
      <x:c r="E341" s="20" t="str">
        <x:v>PER</x:v>
      </x:c>
      <x:c r="F341" s="20" t="str">
        <x:v>604</x:v>
      </x:c>
      <x:c r="G341" s="20" t="str">
        <x:v>Americas</x:v>
      </x:c>
      <x:c r="H341" s="20" t="str">
        <x:v>South America</x:v>
      </x:c>
      <x:c r="I341" s="20" t="str">
        <x:v>European Union</x:v>
      </x:c>
      <x:c r="J341" s="20" t="str">
        <x:v>EU influence</x:v>
      </x:c>
      <x:c r="K341" s="384" t="n">
        <x:v>3</x:v>
      </x:c>
      <x:c r="L341" s="396" t="n">
        <x:v>3</x:v>
      </x:c>
      <x:c r="M341" s="397" t="str">
        <x:v>https://www.eeas.europa.eu/eeas/public-diplomacy_en</x:v>
      </x:c>
      <x:c r="N341" s="384" t="n">
        <x:v>0</x:v>
      </x:c>
      <x:c r="O341" s="396" t="n">
        <x:v>1</x:v>
      </x:c>
      <x:c r="P341" s="397" t="str">
        <x:v>https://www.eeas.europa.eu/eeas/missions-and-operations_en</x:v>
      </x:c>
      <x:c r="Q341" s="384" t="n">
        <x:v>2</x:v>
      </x:c>
      <x:c r="R341" s="396" t="n">
        <x:v>2</x:v>
      </x:c>
      <x:c r="S341" s="397" t="str">
        <x:v>https://www.eeas.europa.eu/eeas/eu-election-observation-missions-1_en?page_lang=en</x:v>
      </x:c>
      <x:c r="T341" s="384" t="n">
        <x:v>2</x:v>
      </x:c>
      <x:c r="U341" s="396" t="n">
        <x:v>2</x:v>
      </x:c>
      <x:c r="V341" s="397" t="str">
        <x:v>https://www.eeas.europa.eu/eeas/missions-and-operations_en</x:v>
      </x:c>
      <x:c r="W341" s="385" t="n">
        <x:f>(--(M341&lt;&gt;"")+--(P341&lt;&gt;"")+--(S341&lt;&gt;"")+--(V341&lt;&gt;""))/4</x:f>
        <x:v>1</x:v>
      </x:c>
      <x:c r="X341" s="384" t="n">
        <x:f>IF(COUNT(K341,N341,Q341,T341)=0,"No data",(IF(ISNUMBER(K341),K341*Factor_Model!$B$4,0)+IF(ISNUMBER(N341),N341*Factor_Model!$B$5,0)+IF(ISNUMBER(Q341),Q341*Factor_Model!$B$6,0)+IF(ISNUMBER(T341),T341*Factor_Model!$B$7,0))/(IF(ISNUMBER(K341),Factor_Model!$B$4,0)+IF(ISNUMBER(N341),Factor_Model!$B$5,0)+IF(ISNUMBER(Q341),Factor_Model!$B$6,0)+IF(ISNUMBER(T341),Factor_Model!$B$7,0)))</x:f>
        <x:v>1.75</x:v>
      </x:c>
      <x:c r="Y341" s="20" t="str">
        <x:f>IF(W341=0,"No source",IF(W341&lt;1,"Partial source","Source-complete"))</x:f>
        <x:v>Source-complete</x:v>
      </x:c>
      <x:c r="Z341" s="20" t="str">
        <x:v>Automated screening pass: row uses a primary source URL by actor/subfactor; verify with country-specific evidence before final analytical use.</x:v>
      </x:c>
      <x:c r="AA341" s="20" t="str">
        <x:v>2026-05-20</x:v>
      </x:c>
      <x:c r="AB341" s="20" t="str">
        <x:v>GPT-5.5 Pro</x:v>
      </x:c>
    </x:row>
    <x:row r="342" ht="24" customHeight="1">
      <x:c r="A342" s="20" t="str">
        <x:v>PHL|Russia</x:v>
      </x:c>
      <x:c r="B342" s="20" t="str">
        <x:v>Philippines</x:v>
      </x:c>
      <x:c r="C342" s="20" t="str">
        <x:v>Republic of the Philippines</x:v>
      </x:c>
      <x:c r="D342" s="20" t="str">
        <x:v>PH</x:v>
      </x:c>
      <x:c r="E342" s="20" t="str">
        <x:v>PHL</x:v>
      </x:c>
      <x:c r="F342" s="20" t="str">
        <x:v>608</x:v>
      </x:c>
      <x:c r="G342" s="20" t="str">
        <x:v>Asia</x:v>
      </x:c>
      <x:c r="H342" s="20" t="str">
        <x:v>South-Eastern Asia</x:v>
      </x:c>
      <x:c r="I342" s="20" t="str">
        <x:v>Russia</x:v>
      </x:c>
      <x:c r="J342" s="20" t="str">
        <x:v>Russian influence</x:v>
      </x:c>
      <x:c r="K342" s="384" t="n">
        <x:v>2</x:v>
      </x:c>
      <x:c r="L342" s="396" t="n">
        <x:v>2</x:v>
      </x:c>
      <x:c r="M342" s="397" t="str">
        <x:v>https://www.eeas.europa.eu/eeas/4th-eeas-annual-report-foreign-information-manipulation-and-interference-threats_en</x:v>
      </x:c>
      <x:c r="N342" s="384" t="n">
        <x:v>0</x:v>
      </x:c>
      <x:c r="O342" s="396" t="n">
        <x:v>1</x:v>
      </x:c>
      <x:c r="P342" s="397" t="str">
        <x:v>https://www.consilium.europa.eu/en/press/press-releases/2023/02/25/wagner-group-council-adds-11-individuals-and-7-entities-to-eu-sanctions-lists/</x:v>
      </x:c>
      <x:c r="Q342" s="384" t="n">
        <x:v>0</x:v>
      </x:c>
      <x:c r="R342" s="396" t="n">
        <x:v>1</x:v>
      </x:c>
      <x:c r="S342" s="397" t="str">
        <x:v>https://www.dni.gov/files/ODNI/documents/assessments/ATA-2026-Unclassified-Report.pdf</x:v>
      </x:c>
      <x:c r="T342" s="384" t="n">
        <x:v>0</x:v>
      </x:c>
      <x:c r="U342" s="396" t="n">
        <x:v>1</x:v>
      </x:c>
      <x:c r="V342" s="397" t="str">
        <x:v>https://www.consilium.europa.eu/en/press/press-releases/2023/02/25/wagner-group-council-adds-11-individuals-and-7-entities-to-eu-sanctions-lists/</x:v>
      </x:c>
      <x:c r="W342" s="385" t="n">
        <x:f>(--(M342&lt;&gt;"")+--(P342&lt;&gt;"")+--(S342&lt;&gt;"")+--(V342&lt;&gt;""))/4</x:f>
        <x:v>1</x:v>
      </x:c>
      <x:c r="X342" s="384" t="n">
        <x:f>IF(COUNT(K342,N342,Q342,T342)=0,"No data",(IF(ISNUMBER(K342),K342*Factor_Model!$B$4,0)+IF(ISNUMBER(N342),N342*Factor_Model!$B$5,0)+IF(ISNUMBER(Q342),Q342*Factor_Model!$B$6,0)+IF(ISNUMBER(T342),T342*Factor_Model!$B$7,0))/(IF(ISNUMBER(K342),Factor_Model!$B$4,0)+IF(ISNUMBER(N342),Factor_Model!$B$5,0)+IF(ISNUMBER(Q342),Factor_Model!$B$6,0)+IF(ISNUMBER(T342),Factor_Model!$B$7,0)))</x:f>
        <x:v>0.5</x:v>
      </x:c>
      <x:c r="Y342" s="20" t="str">
        <x:f>IF(W342=0,"No source",IF(W342&lt;1,"Partial source","Source-complete"))</x:f>
        <x:v>Source-complete</x:v>
      </x:c>
      <x:c r="Z342" s="20" t="str">
        <x:v>Automated screening pass: row uses a primary source URL by actor/subfactor; verify with country-specific evidence before final analytical use.</x:v>
      </x:c>
      <x:c r="AA342" s="20" t="str">
        <x:v>2026-05-20</x:v>
      </x:c>
      <x:c r="AB342" s="20" t="str">
        <x:v>GPT-5.5 Pro</x:v>
      </x:c>
    </x:row>
    <x:row r="343" ht="24" customHeight="1">
      <x:c r="A343" s="20" t="str">
        <x:v>PHL|China</x:v>
      </x:c>
      <x:c r="B343" s="20" t="str">
        <x:v>Philippines</x:v>
      </x:c>
      <x:c r="C343" s="20" t="str">
        <x:v>Republic of the Philippines</x:v>
      </x:c>
      <x:c r="D343" s="20" t="str">
        <x:v>PH</x:v>
      </x:c>
      <x:c r="E343" s="20" t="str">
        <x:v>PHL</x:v>
      </x:c>
      <x:c r="F343" s="20" t="str">
        <x:v>608</x:v>
      </x:c>
      <x:c r="G343" s="20" t="str">
        <x:v>Asia</x:v>
      </x:c>
      <x:c r="H343" s="20" t="str">
        <x:v>South-Eastern Asia</x:v>
      </x:c>
      <x:c r="I343" s="20" t="str">
        <x:v>China</x:v>
      </x:c>
      <x:c r="J343" s="20" t="str">
        <x:v>Chinese influence</x:v>
      </x:c>
      <x:c r="K343" s="384" t="n">
        <x:v>7</x:v>
      </x:c>
      <x:c r="L343" s="396" t="n">
        <x:v>4</x:v>
      </x:c>
      <x:c r="M343" s="397" t="str">
        <x:v>https://www.eeas.europa.eu/eeas/4th-eeas-annual-report-foreign-information-manipulation-and-interference-threats_en</x:v>
      </x:c>
      <x:c r="N343" s="384" t="n">
        <x:v>1</x:v>
      </x:c>
      <x:c r="O343" s="396" t="n">
        <x:v>2</x:v>
      </x:c>
      <x:c r="P343" s="397" t="str">
        <x:v>https://merics.org/en/report/guardians-belt-and-road</x:v>
      </x:c>
      <x:c r="Q343" s="384" t="n">
        <x:v>5</x:v>
      </x:c>
      <x:c r="R343" s="396" t="n">
        <x:v>3</x:v>
      </x:c>
      <x:c r="S343" s="397" t="str">
        <x:v>https://www.eeas.europa.eu/eeas/4th-eeas-annual-report-foreign-information-manipulation-and-interference-threats_en</x:v>
      </x:c>
      <x:c r="T343" s="384" t="n">
        <x:v>2</x:v>
      </x:c>
      <x:c r="U343" s="396" t="n">
        <x:v>2</x:v>
      </x:c>
      <x:c r="V343" s="397" t="str">
        <x:v>https://merics.org/en/report/guardians-belt-and-road</x:v>
      </x:c>
      <x:c r="W343" s="385" t="n">
        <x:f>(--(M343&lt;&gt;"")+--(P343&lt;&gt;"")+--(S343&lt;&gt;"")+--(V343&lt;&gt;""))/4</x:f>
        <x:v>1</x:v>
      </x:c>
      <x:c r="X343" s="384" t="n">
        <x:f>IF(COUNT(K343,N343,Q343,T343)=0,"No data",(IF(ISNUMBER(K343),K343*Factor_Model!$B$4,0)+IF(ISNUMBER(N343),N343*Factor_Model!$B$5,0)+IF(ISNUMBER(Q343),Q343*Factor_Model!$B$6,0)+IF(ISNUMBER(T343),T343*Factor_Model!$B$7,0))/(IF(ISNUMBER(K343),Factor_Model!$B$4,0)+IF(ISNUMBER(N343),Factor_Model!$B$5,0)+IF(ISNUMBER(Q343),Factor_Model!$B$6,0)+IF(ISNUMBER(T343),Factor_Model!$B$7,0)))</x:f>
        <x:v>3.75</x:v>
      </x:c>
      <x:c r="Y343" s="20" t="str">
        <x:f>IF(W343=0,"No source",IF(W343&lt;1,"Partial source","Source-complete"))</x:f>
        <x:v>Source-complete</x:v>
      </x:c>
      <x:c r="Z343" s="20" t="str">
        <x:v>Automated screening pass: row uses a primary source URL by actor/subfactor; verify with country-specific evidence before final analytical use.</x:v>
      </x:c>
      <x:c r="AA343" s="20" t="str">
        <x:v>2026-05-20</x:v>
      </x:c>
      <x:c r="AB343" s="20" t="str">
        <x:v>GPT-5.5 Pro</x:v>
      </x:c>
    </x:row>
    <x:row r="344" ht="24" customHeight="1">
      <x:c r="A344" s="20" t="str">
        <x:v>PHL|United States</x:v>
      </x:c>
      <x:c r="B344" s="20" t="str">
        <x:v>Philippines</x:v>
      </x:c>
      <x:c r="C344" s="20" t="str">
        <x:v>Republic of the Philippines</x:v>
      </x:c>
      <x:c r="D344" s="20" t="str">
        <x:v>PH</x:v>
      </x:c>
      <x:c r="E344" s="20" t="str">
        <x:v>PHL</x:v>
      </x:c>
      <x:c r="F344" s="20" t="str">
        <x:v>608</x:v>
      </x:c>
      <x:c r="G344" s="20" t="str">
        <x:v>Asia</x:v>
      </x:c>
      <x:c r="H344" s="20" t="str">
        <x:v>South-Eastern Asia</x:v>
      </x:c>
      <x:c r="I344" s="20" t="str">
        <x:v>United States</x:v>
      </x:c>
      <x:c r="J344" s="20" t="str">
        <x:v>American influence</x:v>
      </x:c>
      <x:c r="K344" s="384" t="n">
        <x:v>5</x:v>
      </x:c>
      <x:c r="L344" s="396" t="n">
        <x:v>3</x:v>
      </x:c>
      <x:c r="M344" s="397" t="str">
        <x:v>https://www.usagm.gov/our-work/strategy-and-results/strategic-priorities/research-reports/</x:v>
      </x:c>
      <x:c r="N344" s="384" t="n">
        <x:v>4</x:v>
      </x:c>
      <x:c r="O344" s="396" t="n">
        <x:v>3</x:v>
      </x:c>
      <x:c r="P344" s="397" t="str">
        <x:v>https://internationalpolicy.org/programs/sam/</x:v>
      </x:c>
      <x:c r="Q344" s="384" t="n">
        <x:v>2</x:v>
      </x:c>
      <x:c r="R344" s="396" t="n">
        <x:v>2</x:v>
      </x:c>
      <x:c r="S344" s="397" t="str">
        <x:v>https://www.ned.org/ned-grantmaking/</x:v>
      </x:c>
      <x:c r="T344" s="384" t="n">
        <x:v>7</x:v>
      </x:c>
      <x:c r="U344" s="396" t="n">
        <x:v>4</x:v>
      </x:c>
      <x:c r="V344" s="397" t="str">
        <x:v>https://internationalpolicy.org/programs/sam/</x:v>
      </x:c>
      <x:c r="W344" s="385" t="n">
        <x:f>(--(M344&lt;&gt;"")+--(P344&lt;&gt;"")+--(S344&lt;&gt;"")+--(V344&lt;&gt;""))/4</x:f>
        <x:v>1</x:v>
      </x:c>
      <x:c r="X344" s="384" t="n">
        <x:f>IF(COUNT(K344,N344,Q344,T344)=0,"No data",(IF(ISNUMBER(K344),K344*Factor_Model!$B$4,0)+IF(ISNUMBER(N344),N344*Factor_Model!$B$5,0)+IF(ISNUMBER(Q344),Q344*Factor_Model!$B$6,0)+IF(ISNUMBER(T344),T344*Factor_Model!$B$7,0))/(IF(ISNUMBER(K344),Factor_Model!$B$4,0)+IF(ISNUMBER(N344),Factor_Model!$B$5,0)+IF(ISNUMBER(Q344),Factor_Model!$B$6,0)+IF(ISNUMBER(T344),Factor_Model!$B$7,0)))</x:f>
        <x:v>4.5</x:v>
      </x:c>
      <x:c r="Y344" s="20" t="str">
        <x:f>IF(W344=0,"No source",IF(W344&lt;1,"Partial source","Source-complete"))</x:f>
        <x:v>Source-complete</x:v>
      </x:c>
      <x:c r="Z344" s="20" t="str">
        <x:v>Automated screening pass: row uses a primary source URL by actor/subfactor; verify with country-specific evidence before final analytical use.</x:v>
      </x:c>
      <x:c r="AA344" s="20" t="str">
        <x:v>2026-05-20</x:v>
      </x:c>
      <x:c r="AB344" s="20" t="str">
        <x:v>GPT-5.5 Pro</x:v>
      </x:c>
    </x:row>
    <x:row r="345" ht="24" customHeight="1">
      <x:c r="A345" s="20" t="str">
        <x:v>PHL|European Union</x:v>
      </x:c>
      <x:c r="B345" s="20" t="str">
        <x:v>Philippines</x:v>
      </x:c>
      <x:c r="C345" s="20" t="str">
        <x:v>Republic of the Philippines</x:v>
      </x:c>
      <x:c r="D345" s="20" t="str">
        <x:v>PH</x:v>
      </x:c>
      <x:c r="E345" s="20" t="str">
        <x:v>PHL</x:v>
      </x:c>
      <x:c r="F345" s="20" t="str">
        <x:v>608</x:v>
      </x:c>
      <x:c r="G345" s="20" t="str">
        <x:v>Asia</x:v>
      </x:c>
      <x:c r="H345" s="20" t="str">
        <x:v>South-Eastern Asia</x:v>
      </x:c>
      <x:c r="I345" s="20" t="str">
        <x:v>European Union</x:v>
      </x:c>
      <x:c r="J345" s="20" t="str">
        <x:v>EU influence</x:v>
      </x:c>
      <x:c r="K345" s="384" t="n">
        <x:v>2</x:v>
      </x:c>
      <x:c r="L345" s="396" t="n">
        <x:v>2</x:v>
      </x:c>
      <x:c r="M345" s="397" t="str">
        <x:v>https://www.eeas.europa.eu/eeas/public-diplomacy_en</x:v>
      </x:c>
      <x:c r="N345" s="384" t="n">
        <x:v>0</x:v>
      </x:c>
      <x:c r="O345" s="396" t="n">
        <x:v>1</x:v>
      </x:c>
      <x:c r="P345" s="397" t="str">
        <x:v>https://www.eeas.europa.eu/eeas/missions-and-operations_en</x:v>
      </x:c>
      <x:c r="Q345" s="384" t="n">
        <x:v>2</x:v>
      </x:c>
      <x:c r="R345" s="396" t="n">
        <x:v>2</x:v>
      </x:c>
      <x:c r="S345" s="397" t="str">
        <x:v>https://www.eeas.europa.eu/eeas/eu-election-observation-missions-1_en?page_lang=en</x:v>
      </x:c>
      <x:c r="T345" s="384" t="n">
        <x:v>2</x:v>
      </x:c>
      <x:c r="U345" s="396" t="n">
        <x:v>2</x:v>
      </x:c>
      <x:c r="V345" s="397" t="str">
        <x:v>https://www.eeas.europa.eu/eeas/missions-and-operations_en</x:v>
      </x:c>
      <x:c r="W345" s="385" t="n">
        <x:f>(--(M345&lt;&gt;"")+--(P345&lt;&gt;"")+--(S345&lt;&gt;"")+--(V345&lt;&gt;""))/4</x:f>
        <x:v>1</x:v>
      </x:c>
      <x:c r="X345" s="384" t="n">
        <x:f>IF(COUNT(K345,N345,Q345,T345)=0,"No data",(IF(ISNUMBER(K345),K345*Factor_Model!$B$4,0)+IF(ISNUMBER(N345),N345*Factor_Model!$B$5,0)+IF(ISNUMBER(Q345),Q345*Factor_Model!$B$6,0)+IF(ISNUMBER(T345),T345*Factor_Model!$B$7,0))/(IF(ISNUMBER(K345),Factor_Model!$B$4,0)+IF(ISNUMBER(N345),Factor_Model!$B$5,0)+IF(ISNUMBER(Q345),Factor_Model!$B$6,0)+IF(ISNUMBER(T345),Factor_Model!$B$7,0)))</x:f>
        <x:v>1.5</x:v>
      </x:c>
      <x:c r="Y345" s="20" t="str">
        <x:f>IF(W345=0,"No source",IF(W345&lt;1,"Partial source","Source-complete"))</x:f>
        <x:v>Source-complete</x:v>
      </x:c>
      <x:c r="Z345" s="20" t="str">
        <x:v>Automated screening pass: row uses a primary source URL by actor/subfactor; verify with country-specific evidence before final analytical use.</x:v>
      </x:c>
      <x:c r="AA345" s="20" t="str">
        <x:v>2026-05-20</x:v>
      </x:c>
      <x:c r="AB345" s="20" t="str">
        <x:v>GPT-5.5 Pro</x:v>
      </x:c>
    </x:row>
    <x:row r="346" ht="24" customHeight="1">
      <x:c r="A346" s="20" t="str">
        <x:v>POL|Russia</x:v>
      </x:c>
      <x:c r="B346" s="20" t="str">
        <x:v>Poland</x:v>
      </x:c>
      <x:c r="C346" s="20" t="str">
        <x:v>Republic of Poland</x:v>
      </x:c>
      <x:c r="D346" s="20" t="str">
        <x:v>PL</x:v>
      </x:c>
      <x:c r="E346" s="20" t="str">
        <x:v>POL</x:v>
      </x:c>
      <x:c r="F346" s="20" t="str">
        <x:v>616</x:v>
      </x:c>
      <x:c r="G346" s="20" t="str">
        <x:v>Europe</x:v>
      </x:c>
      <x:c r="H346" s="20" t="str">
        <x:v>Eastern Europe</x:v>
      </x:c>
      <x:c r="I346" s="20" t="str">
        <x:v>Russia</x:v>
      </x:c>
      <x:c r="J346" s="20" t="str">
        <x:v>Russian influence</x:v>
      </x:c>
      <x:c r="K346" s="384" t="n">
        <x:v>6</x:v>
      </x:c>
      <x:c r="L346" s="396" t="n">
        <x:v>4</x:v>
      </x:c>
      <x:c r="M346" s="397" t="str">
        <x:v>https://www.eeas.europa.eu/eeas/4th-eeas-annual-report-foreign-information-manipulation-and-interference-threats_en</x:v>
      </x:c>
      <x:c r="N346" s="384" t="n">
        <x:v>0</x:v>
      </x:c>
      <x:c r="O346" s="396" t="n">
        <x:v>1</x:v>
      </x:c>
      <x:c r="P346" s="397" t="str">
        <x:v>https://www.consilium.europa.eu/en/press/press-releases/2023/02/25/wagner-group-council-adds-11-individuals-and-7-entities-to-eu-sanctions-lists/</x:v>
      </x:c>
      <x:c r="Q346" s="384" t="n">
        <x:v>6</x:v>
      </x:c>
      <x:c r="R346" s="396" t="n">
        <x:v>4</x:v>
      </x:c>
      <x:c r="S346" s="397" t="str">
        <x:v>https://www.dni.gov/files/ODNI/documents/assessments/ATA-2026-Unclassified-Report.pdf</x:v>
      </x:c>
      <x:c r="T346" s="384" t="n">
        <x:v>0</x:v>
      </x:c>
      <x:c r="U346" s="396" t="n">
        <x:v>1</x:v>
      </x:c>
      <x:c r="V346" s="397" t="str">
        <x:v>https://www.consilium.europa.eu/en/press/press-releases/2023/02/25/wagner-group-council-adds-11-individuals-and-7-entities-to-eu-sanctions-lists/</x:v>
      </x:c>
      <x:c r="W346" s="385" t="n">
        <x:f>(--(M346&lt;&gt;"")+--(P346&lt;&gt;"")+--(S346&lt;&gt;"")+--(V346&lt;&gt;""))/4</x:f>
        <x:v>1</x:v>
      </x:c>
      <x:c r="X346" s="384" t="n">
        <x:f>IF(COUNT(K346,N346,Q346,T346)=0,"No data",(IF(ISNUMBER(K346),K346*Factor_Model!$B$4,0)+IF(ISNUMBER(N346),N346*Factor_Model!$B$5,0)+IF(ISNUMBER(Q346),Q346*Factor_Model!$B$6,0)+IF(ISNUMBER(T346),T346*Factor_Model!$B$7,0))/(IF(ISNUMBER(K346),Factor_Model!$B$4,0)+IF(ISNUMBER(N346),Factor_Model!$B$5,0)+IF(ISNUMBER(Q346),Factor_Model!$B$6,0)+IF(ISNUMBER(T346),Factor_Model!$B$7,0)))</x:f>
        <x:v>3</x:v>
      </x:c>
      <x:c r="Y346" s="20" t="str">
        <x:f>IF(W346=0,"No source",IF(W346&lt;1,"Partial source","Source-complete"))</x:f>
        <x:v>Source-complete</x:v>
      </x:c>
      <x:c r="Z346" s="20" t="str">
        <x:v>Automated screening pass: row uses a primary source URL by actor/subfactor; verify with country-specific evidence before final analytical use.</x:v>
      </x:c>
      <x:c r="AA346" s="20" t="str">
        <x:v>2026-05-20</x:v>
      </x:c>
      <x:c r="AB346" s="20" t="str">
        <x:v>GPT-5.5 Pro</x:v>
      </x:c>
    </x:row>
    <x:row r="347" ht="24" customHeight="1">
      <x:c r="A347" s="20" t="str">
        <x:v>POL|China</x:v>
      </x:c>
      <x:c r="B347" s="20" t="str">
        <x:v>Poland</x:v>
      </x:c>
      <x:c r="C347" s="20" t="str">
        <x:v>Republic of Poland</x:v>
      </x:c>
      <x:c r="D347" s="20" t="str">
        <x:v>PL</x:v>
      </x:c>
      <x:c r="E347" s="20" t="str">
        <x:v>POL</x:v>
      </x:c>
      <x:c r="F347" s="20" t="str">
        <x:v>616</x:v>
      </x:c>
      <x:c r="G347" s="20" t="str">
        <x:v>Europe</x:v>
      </x:c>
      <x:c r="H347" s="20" t="str">
        <x:v>Eastern Europe</x:v>
      </x:c>
      <x:c r="I347" s="20" t="str">
        <x:v>China</x:v>
      </x:c>
      <x:c r="J347" s="20" t="str">
        <x:v>Chinese influence</x:v>
      </x:c>
      <x:c r="K347" s="384" t="n">
        <x:v>4</x:v>
      </x:c>
      <x:c r="L347" s="396" t="n">
        <x:v>3</x:v>
      </x:c>
      <x:c r="M347" s="397" t="str">
        <x:v>https://www.eeas.europa.eu/eeas/4th-eeas-annual-report-foreign-information-manipulation-and-interference-threats_en</x:v>
      </x:c>
      <x:c r="N347" s="384" t="n">
        <x:v>0</x:v>
      </x:c>
      <x:c r="O347" s="396" t="n">
        <x:v>1</x:v>
      </x:c>
      <x:c r="P347" s="397" t="str">
        <x:v>https://merics.org/en/report/guardians-belt-and-road</x:v>
      </x:c>
      <x:c r="Q347" s="384" t="n">
        <x:v>2</x:v>
      </x:c>
      <x:c r="R347" s="396" t="n">
        <x:v>2</x:v>
      </x:c>
      <x:c r="S347" s="397" t="str">
        <x:v>https://www.eeas.europa.eu/eeas/4th-eeas-annual-report-foreign-information-manipulation-and-interference-threats_en</x:v>
      </x:c>
      <x:c r="T347" s="384" t="n">
        <x:v>0</x:v>
      </x:c>
      <x:c r="U347" s="396" t="n">
        <x:v>1</x:v>
      </x:c>
      <x:c r="V347" s="397" t="str">
        <x:v>https://merics.org/en/report/guardians-belt-and-road</x:v>
      </x:c>
      <x:c r="W347" s="385" t="n">
        <x:f>(--(M347&lt;&gt;"")+--(P347&lt;&gt;"")+--(S347&lt;&gt;"")+--(V347&lt;&gt;""))/4</x:f>
        <x:v>1</x:v>
      </x:c>
      <x:c r="X347" s="384" t="n">
        <x:f>IF(COUNT(K347,N347,Q347,T347)=0,"No data",(IF(ISNUMBER(K347),K347*Factor_Model!$B$4,0)+IF(ISNUMBER(N347),N347*Factor_Model!$B$5,0)+IF(ISNUMBER(Q347),Q347*Factor_Model!$B$6,0)+IF(ISNUMBER(T347),T347*Factor_Model!$B$7,0))/(IF(ISNUMBER(K347),Factor_Model!$B$4,0)+IF(ISNUMBER(N347),Factor_Model!$B$5,0)+IF(ISNUMBER(Q347),Factor_Model!$B$6,0)+IF(ISNUMBER(T347),Factor_Model!$B$7,0)))</x:f>
        <x:v>1.5</x:v>
      </x:c>
      <x:c r="Y347" s="20" t="str">
        <x:f>IF(W347=0,"No source",IF(W347&lt;1,"Partial source","Source-complete"))</x:f>
        <x:v>Source-complete</x:v>
      </x:c>
      <x:c r="Z347" s="20" t="str">
        <x:v>Automated screening pass: row uses a primary source URL by actor/subfactor; verify with country-specific evidence before final analytical use.</x:v>
      </x:c>
      <x:c r="AA347" s="20" t="str">
        <x:v>2026-05-20</x:v>
      </x:c>
      <x:c r="AB347" s="20" t="str">
        <x:v>GPT-5.5 Pro</x:v>
      </x:c>
    </x:row>
    <x:row r="348" ht="24" customHeight="1">
      <x:c r="A348" s="20" t="str">
        <x:v>POL|United States</x:v>
      </x:c>
      <x:c r="B348" s="20" t="str">
        <x:v>Poland</x:v>
      </x:c>
      <x:c r="C348" s="20" t="str">
        <x:v>Republic of Poland</x:v>
      </x:c>
      <x:c r="D348" s="20" t="str">
        <x:v>PL</x:v>
      </x:c>
      <x:c r="E348" s="20" t="str">
        <x:v>POL</x:v>
      </x:c>
      <x:c r="F348" s="20" t="str">
        <x:v>616</x:v>
      </x:c>
      <x:c r="G348" s="20" t="str">
        <x:v>Europe</x:v>
      </x:c>
      <x:c r="H348" s="20" t="str">
        <x:v>Eastern Europe</x:v>
      </x:c>
      <x:c r="I348" s="20" t="str">
        <x:v>United States</x:v>
      </x:c>
      <x:c r="J348" s="20" t="str">
        <x:v>American influence</x:v>
      </x:c>
      <x:c r="K348" s="384" t="n">
        <x:v>4</x:v>
      </x:c>
      <x:c r="L348" s="396" t="n">
        <x:v>3</x:v>
      </x:c>
      <x:c r="M348" s="397" t="str">
        <x:v>https://www.usagm.gov/our-work/strategy-and-results/strategic-priorities/research-reports/</x:v>
      </x:c>
      <x:c r="N348" s="384" t="n">
        <x:v>3</x:v>
      </x:c>
      <x:c r="O348" s="396" t="n">
        <x:v>3</x:v>
      </x:c>
      <x:c r="P348" s="397" t="str">
        <x:v>https://internationalpolicy.org/programs/sam/</x:v>
      </x:c>
      <x:c r="Q348" s="384" t="n">
        <x:v>1</x:v>
      </x:c>
      <x:c r="R348" s="396" t="n">
        <x:v>2</x:v>
      </x:c>
      <x:c r="S348" s="397" t="str">
        <x:v>https://www.ned.org/ned-grantmaking/</x:v>
      </x:c>
      <x:c r="T348" s="384" t="n">
        <x:v>6</x:v>
      </x:c>
      <x:c r="U348" s="396" t="n">
        <x:v>4</x:v>
      </x:c>
      <x:c r="V348" s="397" t="str">
        <x:v>https://internationalpolicy.org/programs/sam/</x:v>
      </x:c>
      <x:c r="W348" s="385" t="n">
        <x:f>(--(M348&lt;&gt;"")+--(P348&lt;&gt;"")+--(S348&lt;&gt;"")+--(V348&lt;&gt;""))/4</x:f>
        <x:v>1</x:v>
      </x:c>
      <x:c r="X348" s="384" t="n">
        <x:f>IF(COUNT(K348,N348,Q348,T348)=0,"No data",(IF(ISNUMBER(K348),K348*Factor_Model!$B$4,0)+IF(ISNUMBER(N348),N348*Factor_Model!$B$5,0)+IF(ISNUMBER(Q348),Q348*Factor_Model!$B$6,0)+IF(ISNUMBER(T348),T348*Factor_Model!$B$7,0))/(IF(ISNUMBER(K348),Factor_Model!$B$4,0)+IF(ISNUMBER(N348),Factor_Model!$B$5,0)+IF(ISNUMBER(Q348),Factor_Model!$B$6,0)+IF(ISNUMBER(T348),Factor_Model!$B$7,0)))</x:f>
        <x:v>3.5</x:v>
      </x:c>
      <x:c r="Y348" s="20" t="str">
        <x:f>IF(W348=0,"No source",IF(W348&lt;1,"Partial source","Source-complete"))</x:f>
        <x:v>Source-complete</x:v>
      </x:c>
      <x:c r="Z348" s="20" t="str">
        <x:v>Automated screening pass: row uses a primary source URL by actor/subfactor; verify with country-specific evidence before final analytical use.</x:v>
      </x:c>
      <x:c r="AA348" s="20" t="str">
        <x:v>2026-05-20</x:v>
      </x:c>
      <x:c r="AB348" s="20" t="str">
        <x:v>GPT-5.5 Pro</x:v>
      </x:c>
    </x:row>
    <x:row r="349" ht="24" customHeight="1">
      <x:c r="A349" s="20" t="str">
        <x:v>POL|European Union</x:v>
      </x:c>
      <x:c r="B349" s="20" t="str">
        <x:v>Poland</x:v>
      </x:c>
      <x:c r="C349" s="20" t="str">
        <x:v>Republic of Poland</x:v>
      </x:c>
      <x:c r="D349" s="20" t="str">
        <x:v>PL</x:v>
      </x:c>
      <x:c r="E349" s="20" t="str">
        <x:v>POL</x:v>
      </x:c>
      <x:c r="F349" s="20" t="str">
        <x:v>616</x:v>
      </x:c>
      <x:c r="G349" s="20" t="str">
        <x:v>Europe</x:v>
      </x:c>
      <x:c r="H349" s="20" t="str">
        <x:v>Eastern Europe</x:v>
      </x:c>
      <x:c r="I349" s="20" t="str">
        <x:v>European Union</x:v>
      </x:c>
      <x:c r="J349" s="20" t="str">
        <x:v>EU influence</x:v>
      </x:c>
      <x:c r="K349" s="384" t="n">
        <x:v>9</x:v>
      </x:c>
      <x:c r="L349" s="396" t="n">
        <x:v>5</x:v>
      </x:c>
      <x:c r="M349" s="397" t="str">
        <x:v>https://www.eeas.europa.eu/eeas/public-diplomacy_en</x:v>
      </x:c>
      <x:c r="N349" s="384" t="n">
        <x:v>0</x:v>
      </x:c>
      <x:c r="O349" s="396" t="n">
        <x:v>1</x:v>
      </x:c>
      <x:c r="P349" s="397" t="str">
        <x:v>https://www.eeas.europa.eu/eeas/missions-and-operations_en</x:v>
      </x:c>
      <x:c r="Q349" s="384" t="n">
        <x:v>2</x:v>
      </x:c>
      <x:c r="R349" s="396" t="n">
        <x:v>2</x:v>
      </x:c>
      <x:c r="S349" s="397" t="str">
        <x:v>https://www.eeas.europa.eu/eeas/eu-election-observation-missions-1_en?page_lang=en</x:v>
      </x:c>
      <x:c r="T349" s="384" t="n">
        <x:v>5</x:v>
      </x:c>
      <x:c r="U349" s="396" t="n">
        <x:v>3</x:v>
      </x:c>
      <x:c r="V349" s="397" t="str">
        <x:v>https://www.eeas.europa.eu/eeas/missions-and-operations_en</x:v>
      </x:c>
      <x:c r="W349" s="385" t="n">
        <x:f>(--(M349&lt;&gt;"")+--(P349&lt;&gt;"")+--(S349&lt;&gt;"")+--(V349&lt;&gt;""))/4</x:f>
        <x:v>1</x:v>
      </x:c>
      <x:c r="X349" s="384" t="n">
        <x:f>IF(COUNT(K349,N349,Q349,T349)=0,"No data",(IF(ISNUMBER(K349),K349*Factor_Model!$B$4,0)+IF(ISNUMBER(N349),N349*Factor_Model!$B$5,0)+IF(ISNUMBER(Q349),Q349*Factor_Model!$B$6,0)+IF(ISNUMBER(T349),T349*Factor_Model!$B$7,0))/(IF(ISNUMBER(K349),Factor_Model!$B$4,0)+IF(ISNUMBER(N349),Factor_Model!$B$5,0)+IF(ISNUMBER(Q349),Factor_Model!$B$6,0)+IF(ISNUMBER(T349),Factor_Model!$B$7,0)))</x:f>
        <x:v>4</x:v>
      </x:c>
      <x:c r="Y349" s="20" t="str">
        <x:f>IF(W349=0,"No source",IF(W349&lt;1,"Partial source","Source-complete"))</x:f>
        <x:v>Source-complete</x:v>
      </x:c>
      <x:c r="Z349" s="20" t="str">
        <x:v>Automated screening pass: row uses a primary source URL by actor/subfactor; verify with country-specific evidence before final analytical use.</x:v>
      </x:c>
      <x:c r="AA349" s="20" t="str">
        <x:v>2026-05-20</x:v>
      </x:c>
      <x:c r="AB349" s="20" t="str">
        <x:v>GPT-5.5 Pro</x:v>
      </x:c>
    </x:row>
    <x:row r="350" ht="24" customHeight="1">
      <x:c r="A350" s="20" t="str">
        <x:v>QAT|Russia</x:v>
      </x:c>
      <x:c r="B350" s="20" t="str">
        <x:v>Qatar</x:v>
      </x:c>
      <x:c r="C350" s="20" t="str">
        <x:v>State of Qatar</x:v>
      </x:c>
      <x:c r="D350" s="20" t="str">
        <x:v>QA</x:v>
      </x:c>
      <x:c r="E350" s="20" t="str">
        <x:v>QAT</x:v>
      </x:c>
      <x:c r="F350" s="20" t="str">
        <x:v>634</x:v>
      </x:c>
      <x:c r="G350" s="20" t="str">
        <x:v>Asia</x:v>
      </x:c>
      <x:c r="H350" s="20" t="str">
        <x:v>Western Asia</x:v>
      </x:c>
      <x:c r="I350" s="20" t="str">
        <x:v>Russia</x:v>
      </x:c>
      <x:c r="J350" s="20" t="str">
        <x:v>Russian influence</x:v>
      </x:c>
      <x:c r="K350" s="384" t="n">
        <x:v>2</x:v>
      </x:c>
      <x:c r="L350" s="396" t="n">
        <x:v>2</x:v>
      </x:c>
      <x:c r="M350" s="397" t="str">
        <x:v>https://www.eeas.europa.eu/eeas/4th-eeas-annual-report-foreign-information-manipulation-and-interference-threats_en</x:v>
      </x:c>
      <x:c r="N350" s="384" t="n">
        <x:v>0</x:v>
      </x:c>
      <x:c r="O350" s="396" t="n">
        <x:v>1</x:v>
      </x:c>
      <x:c r="P350" s="397" t="str">
        <x:v>https://www.consilium.europa.eu/en/press/press-releases/2023/02/25/wagner-group-council-adds-11-individuals-and-7-entities-to-eu-sanctions-lists/</x:v>
      </x:c>
      <x:c r="Q350" s="384" t="n">
        <x:v>0</x:v>
      </x:c>
      <x:c r="R350" s="396" t="n">
        <x:v>1</x:v>
      </x:c>
      <x:c r="S350" s="397" t="str">
        <x:v>https://www.dni.gov/files/ODNI/documents/assessments/ATA-2026-Unclassified-Report.pdf</x:v>
      </x:c>
      <x:c r="T350" s="384" t="n">
        <x:v>0</x:v>
      </x:c>
      <x:c r="U350" s="396" t="n">
        <x:v>1</x:v>
      </x:c>
      <x:c r="V350" s="397" t="str">
        <x:v>https://www.consilium.europa.eu/en/press/press-releases/2023/02/25/wagner-group-council-adds-11-individuals-and-7-entities-to-eu-sanctions-lists/</x:v>
      </x:c>
      <x:c r="W350" s="385" t="n">
        <x:f>(--(M350&lt;&gt;"")+--(P350&lt;&gt;"")+--(S350&lt;&gt;"")+--(V350&lt;&gt;""))/4</x:f>
        <x:v>1</x:v>
      </x:c>
      <x:c r="X350" s="384" t="n">
        <x:f>IF(COUNT(K350,N350,Q350,T350)=0,"No data",(IF(ISNUMBER(K350),K350*Factor_Model!$B$4,0)+IF(ISNUMBER(N350),N350*Factor_Model!$B$5,0)+IF(ISNUMBER(Q350),Q350*Factor_Model!$B$6,0)+IF(ISNUMBER(T350),T350*Factor_Model!$B$7,0))/(IF(ISNUMBER(K350),Factor_Model!$B$4,0)+IF(ISNUMBER(N350),Factor_Model!$B$5,0)+IF(ISNUMBER(Q350),Factor_Model!$B$6,0)+IF(ISNUMBER(T350),Factor_Model!$B$7,0)))</x:f>
        <x:v>0.5</x:v>
      </x:c>
      <x:c r="Y350" s="20" t="str">
        <x:f>IF(W350=0,"No source",IF(W350&lt;1,"Partial source","Source-complete"))</x:f>
        <x:v>Source-complete</x:v>
      </x:c>
      <x:c r="Z350" s="20" t="str">
        <x:v>Automated screening pass: row uses a primary source URL by actor/subfactor; verify with country-specific evidence before final analytical use.</x:v>
      </x:c>
      <x:c r="AA350" s="20" t="str">
        <x:v>2026-05-20</x:v>
      </x:c>
      <x:c r="AB350" s="20" t="str">
        <x:v>GPT-5.5 Pro</x:v>
      </x:c>
    </x:row>
    <x:row r="351" ht="24" customHeight="1">
      <x:c r="A351" s="20" t="str">
        <x:v>QAT|China</x:v>
      </x:c>
      <x:c r="B351" s="20" t="str">
        <x:v>Qatar</x:v>
      </x:c>
      <x:c r="C351" s="20" t="str">
        <x:v>State of Qatar</x:v>
      </x:c>
      <x:c r="D351" s="20" t="str">
        <x:v>QA</x:v>
      </x:c>
      <x:c r="E351" s="20" t="str">
        <x:v>QAT</x:v>
      </x:c>
      <x:c r="F351" s="20" t="str">
        <x:v>634</x:v>
      </x:c>
      <x:c r="G351" s="20" t="str">
        <x:v>Asia</x:v>
      </x:c>
      <x:c r="H351" s="20" t="str">
        <x:v>Western Asia</x:v>
      </x:c>
      <x:c r="I351" s="20" t="str">
        <x:v>China</x:v>
      </x:c>
      <x:c r="J351" s="20" t="str">
        <x:v>Chinese influence</x:v>
      </x:c>
      <x:c r="K351" s="384" t="n">
        <x:v>3</x:v>
      </x:c>
      <x:c r="L351" s="396" t="n">
        <x:v>3</x:v>
      </x:c>
      <x:c r="M351" s="397" t="str">
        <x:v>https://www.eeas.europa.eu/eeas/4th-eeas-annual-report-foreign-information-manipulation-and-interference-threats_en</x:v>
      </x:c>
      <x:c r="N351" s="384" t="n">
        <x:v>0</x:v>
      </x:c>
      <x:c r="O351" s="396" t="n">
        <x:v>1</x:v>
      </x:c>
      <x:c r="P351" s="397" t="str">
        <x:v>https://merics.org/en/report/guardians-belt-and-road</x:v>
      </x:c>
      <x:c r="Q351" s="384" t="n">
        <x:v>1</x:v>
      </x:c>
      <x:c r="R351" s="396" t="n">
        <x:v>2</x:v>
      </x:c>
      <x:c r="S351" s="397" t="str">
        <x:v>https://www.eeas.europa.eu/eeas/4th-eeas-annual-report-foreign-information-manipulation-and-interference-threats_en</x:v>
      </x:c>
      <x:c r="T351" s="384" t="n">
        <x:v>1</x:v>
      </x:c>
      <x:c r="U351" s="396" t="n">
        <x:v>2</x:v>
      </x:c>
      <x:c r="V351" s="397" t="str">
        <x:v>https://merics.org/en/report/guardians-belt-and-road</x:v>
      </x:c>
      <x:c r="W351" s="385" t="n">
        <x:f>(--(M351&lt;&gt;"")+--(P351&lt;&gt;"")+--(S351&lt;&gt;"")+--(V351&lt;&gt;""))/4</x:f>
        <x:v>1</x:v>
      </x:c>
      <x:c r="X351" s="384" t="n">
        <x:f>IF(COUNT(K351,N351,Q351,T351)=0,"No data",(IF(ISNUMBER(K351),K351*Factor_Model!$B$4,0)+IF(ISNUMBER(N351),N351*Factor_Model!$B$5,0)+IF(ISNUMBER(Q351),Q351*Factor_Model!$B$6,0)+IF(ISNUMBER(T351),T351*Factor_Model!$B$7,0))/(IF(ISNUMBER(K351),Factor_Model!$B$4,0)+IF(ISNUMBER(N351),Factor_Model!$B$5,0)+IF(ISNUMBER(Q351),Factor_Model!$B$6,0)+IF(ISNUMBER(T351),Factor_Model!$B$7,0)))</x:f>
        <x:v>1.25</x:v>
      </x:c>
      <x:c r="Y351" s="20" t="str">
        <x:f>IF(W351=0,"No source",IF(W351&lt;1,"Partial source","Source-complete"))</x:f>
        <x:v>Source-complete</x:v>
      </x:c>
      <x:c r="Z351" s="20" t="str">
        <x:v>Automated screening pass: row uses a primary source URL by actor/subfactor; verify with country-specific evidence before final analytical use.</x:v>
      </x:c>
      <x:c r="AA351" s="20" t="str">
        <x:v>2026-05-20</x:v>
      </x:c>
      <x:c r="AB351" s="20" t="str">
        <x:v>GPT-5.5 Pro</x:v>
      </x:c>
    </x:row>
    <x:row r="352" ht="24" customHeight="1">
      <x:c r="A352" s="20" t="str">
        <x:v>QAT|United States</x:v>
      </x:c>
      <x:c r="B352" s="20" t="str">
        <x:v>Qatar</x:v>
      </x:c>
      <x:c r="C352" s="20" t="str">
        <x:v>State of Qatar</x:v>
      </x:c>
      <x:c r="D352" s="20" t="str">
        <x:v>QA</x:v>
      </x:c>
      <x:c r="E352" s="20" t="str">
        <x:v>QAT</x:v>
      </x:c>
      <x:c r="F352" s="20" t="str">
        <x:v>634</x:v>
      </x:c>
      <x:c r="G352" s="20" t="str">
        <x:v>Asia</x:v>
      </x:c>
      <x:c r="H352" s="20" t="str">
        <x:v>Western Asia</x:v>
      </x:c>
      <x:c r="I352" s="20" t="str">
        <x:v>United States</x:v>
      </x:c>
      <x:c r="J352" s="20" t="str">
        <x:v>American influence</x:v>
      </x:c>
      <x:c r="K352" s="384" t="n">
        <x:v>5</x:v>
      </x:c>
      <x:c r="L352" s="396" t="n">
        <x:v>3</x:v>
      </x:c>
      <x:c r="M352" s="397" t="str">
        <x:v>https://www.usagm.gov/our-work/strategy-and-results/strategic-priorities/research-reports/</x:v>
      </x:c>
      <x:c r="N352" s="384" t="n">
        <x:v>5</x:v>
      </x:c>
      <x:c r="O352" s="396" t="n">
        <x:v>3</x:v>
      </x:c>
      <x:c r="P352" s="397" t="str">
        <x:v>https://internationalpolicy.org/programs/sam/</x:v>
      </x:c>
      <x:c r="Q352" s="384" t="n">
        <x:v>2</x:v>
      </x:c>
      <x:c r="R352" s="396" t="n">
        <x:v>2</x:v>
      </x:c>
      <x:c r="S352" s="397" t="str">
        <x:v>https://www.ned.org/ned-grantmaking/</x:v>
      </x:c>
      <x:c r="T352" s="384" t="n">
        <x:v>7</x:v>
      </x:c>
      <x:c r="U352" s="396" t="n">
        <x:v>4</x:v>
      </x:c>
      <x:c r="V352" s="397" t="str">
        <x:v>https://internationalpolicy.org/programs/sam/</x:v>
      </x:c>
      <x:c r="W352" s="385" t="n">
        <x:f>(--(M352&lt;&gt;"")+--(P352&lt;&gt;"")+--(S352&lt;&gt;"")+--(V352&lt;&gt;""))/4</x:f>
        <x:v>1</x:v>
      </x:c>
      <x:c r="X352" s="384" t="n">
        <x:f>IF(COUNT(K352,N352,Q352,T352)=0,"No data",(IF(ISNUMBER(K352),K352*Factor_Model!$B$4,0)+IF(ISNUMBER(N352),N352*Factor_Model!$B$5,0)+IF(ISNUMBER(Q352),Q352*Factor_Model!$B$6,0)+IF(ISNUMBER(T352),T352*Factor_Model!$B$7,0))/(IF(ISNUMBER(K352),Factor_Model!$B$4,0)+IF(ISNUMBER(N352),Factor_Model!$B$5,0)+IF(ISNUMBER(Q352),Factor_Model!$B$6,0)+IF(ISNUMBER(T352),Factor_Model!$B$7,0)))</x:f>
        <x:v>4.75</x:v>
      </x:c>
      <x:c r="Y352" s="20" t="str">
        <x:f>IF(W352=0,"No source",IF(W352&lt;1,"Partial source","Source-complete"))</x:f>
        <x:v>Source-complete</x:v>
      </x:c>
      <x:c r="Z352" s="20" t="str">
        <x:v>Automated screening pass: row uses a primary source URL by actor/subfactor; verify with country-specific evidence before final analytical use.</x:v>
      </x:c>
      <x:c r="AA352" s="20" t="str">
        <x:v>2026-05-20</x:v>
      </x:c>
      <x:c r="AB352" s="20" t="str">
        <x:v>GPT-5.5 Pro</x:v>
      </x:c>
    </x:row>
    <x:row r="353" ht="24" customHeight="1">
      <x:c r="A353" s="20" t="str">
        <x:v>QAT|European Union</x:v>
      </x:c>
      <x:c r="B353" s="20" t="str">
        <x:v>Qatar</x:v>
      </x:c>
      <x:c r="C353" s="20" t="str">
        <x:v>State of Qatar</x:v>
      </x:c>
      <x:c r="D353" s="20" t="str">
        <x:v>QA</x:v>
      </x:c>
      <x:c r="E353" s="20" t="str">
        <x:v>QAT</x:v>
      </x:c>
      <x:c r="F353" s="20" t="str">
        <x:v>634</x:v>
      </x:c>
      <x:c r="G353" s="20" t="str">
        <x:v>Asia</x:v>
      </x:c>
      <x:c r="H353" s="20" t="str">
        <x:v>Western Asia</x:v>
      </x:c>
      <x:c r="I353" s="20" t="str">
        <x:v>European Union</x:v>
      </x:c>
      <x:c r="J353" s="20" t="str">
        <x:v>EU influence</x:v>
      </x:c>
      <x:c r="K353" s="384" t="n">
        <x:v>2</x:v>
      </x:c>
      <x:c r="L353" s="396" t="n">
        <x:v>2</x:v>
      </x:c>
      <x:c r="M353" s="397" t="str">
        <x:v>https://www.eeas.europa.eu/eeas/public-diplomacy_en</x:v>
      </x:c>
      <x:c r="N353" s="384" t="n">
        <x:v>0</x:v>
      </x:c>
      <x:c r="O353" s="396" t="n">
        <x:v>1</x:v>
      </x:c>
      <x:c r="P353" s="397" t="str">
        <x:v>https://www.eeas.europa.eu/eeas/missions-and-operations_en</x:v>
      </x:c>
      <x:c r="Q353" s="384" t="n">
        <x:v>1</x:v>
      </x:c>
      <x:c r="R353" s="396" t="n">
        <x:v>2</x:v>
      </x:c>
      <x:c r="S353" s="397" t="str">
        <x:v>https://www.eeas.europa.eu/eeas/eu-election-observation-missions-1_en?page_lang=en</x:v>
      </x:c>
      <x:c r="T353" s="384" t="n">
        <x:v>2</x:v>
      </x:c>
      <x:c r="U353" s="396" t="n">
        <x:v>2</x:v>
      </x:c>
      <x:c r="V353" s="397" t="str">
        <x:v>https://www.eeas.europa.eu/eeas/missions-and-operations_en</x:v>
      </x:c>
      <x:c r="W353" s="385" t="n">
        <x:f>(--(M353&lt;&gt;"")+--(P353&lt;&gt;"")+--(S353&lt;&gt;"")+--(V353&lt;&gt;""))/4</x:f>
        <x:v>1</x:v>
      </x:c>
      <x:c r="X353" s="384" t="n">
        <x:f>IF(COUNT(K353,N353,Q353,T353)=0,"No data",(IF(ISNUMBER(K353),K353*Factor_Model!$B$4,0)+IF(ISNUMBER(N353),N353*Factor_Model!$B$5,0)+IF(ISNUMBER(Q353),Q353*Factor_Model!$B$6,0)+IF(ISNUMBER(T353),T353*Factor_Model!$B$7,0))/(IF(ISNUMBER(K353),Factor_Model!$B$4,0)+IF(ISNUMBER(N353),Factor_Model!$B$5,0)+IF(ISNUMBER(Q353),Factor_Model!$B$6,0)+IF(ISNUMBER(T353),Factor_Model!$B$7,0)))</x:f>
        <x:v>1.25</x:v>
      </x:c>
      <x:c r="Y353" s="20" t="str">
        <x:f>IF(W353=0,"No source",IF(W353&lt;1,"Partial source","Source-complete"))</x:f>
        <x:v>Source-complete</x:v>
      </x:c>
      <x:c r="Z353" s="20" t="str">
        <x:v>Automated screening pass: row uses a primary source URL by actor/subfactor; verify with country-specific evidence before final analytical use.</x:v>
      </x:c>
      <x:c r="AA353" s="20" t="str">
        <x:v>2026-05-20</x:v>
      </x:c>
      <x:c r="AB353" s="20" t="str">
        <x:v>GPT-5.5 Pro</x:v>
      </x:c>
    </x:row>
    <x:row r="354" ht="24" customHeight="1">
      <x:c r="A354" s="20" t="str">
        <x:v>COG|Russia</x:v>
      </x:c>
      <x:c r="B354" s="20" t="str">
        <x:v>Republic of the Congo</x:v>
      </x:c>
      <x:c r="C354" s="20" t="str">
        <x:v>Republic of the Congo</x:v>
      </x:c>
      <x:c r="D354" s="20" t="str">
        <x:v>CG</x:v>
      </x:c>
      <x:c r="E354" s="20" t="str">
        <x:v>COG</x:v>
      </x:c>
      <x:c r="F354" s="20" t="str">
        <x:v>178</x:v>
      </x:c>
      <x:c r="G354" s="20" t="str">
        <x:v>Africa</x:v>
      </x:c>
      <x:c r="H354" s="20" t="str">
        <x:v>Middle Africa</x:v>
      </x:c>
      <x:c r="I354" s="20" t="str">
        <x:v>Russia</x:v>
      </x:c>
      <x:c r="J354" s="20" t="str">
        <x:v>Russian influence</x:v>
      </x:c>
      <x:c r="K354" s="384" t="n">
        <x:v>4</x:v>
      </x:c>
      <x:c r="L354" s="396" t="n">
        <x:v>3</x:v>
      </x:c>
      <x:c r="M354" s="397" t="str">
        <x:v>https://www.eeas.europa.eu/eeas/4th-eeas-annual-report-foreign-information-manipulation-and-interference-threats_en</x:v>
      </x:c>
      <x:c r="N354" s="384" t="n">
        <x:v>2</x:v>
      </x:c>
      <x:c r="O354" s="396" t="n">
        <x:v>2</x:v>
      </x:c>
      <x:c r="P354" s="397" t="str">
        <x:v>https://www.consilium.europa.eu/en/press/press-releases/2023/02/25/wagner-group-council-adds-11-individuals-and-7-entities-to-eu-sanctions-lists/</x:v>
      </x:c>
      <x:c r="Q354" s="384" t="n">
        <x:v>1</x:v>
      </x:c>
      <x:c r="R354" s="396" t="n">
        <x:v>2</x:v>
      </x:c>
      <x:c r="S354" s="397" t="str">
        <x:v>https://www.dni.gov/files/ODNI/documents/assessments/ATA-2026-Unclassified-Report.pdf</x:v>
      </x:c>
      <x:c r="T354" s="384" t="n">
        <x:v>2</x:v>
      </x:c>
      <x:c r="U354" s="396" t="n">
        <x:v>2</x:v>
      </x:c>
      <x:c r="V354" s="397" t="str">
        <x:v>https://www.consilium.europa.eu/en/press/press-releases/2023/02/25/wagner-group-council-adds-11-individuals-and-7-entities-to-eu-sanctions-lists/</x:v>
      </x:c>
      <x:c r="W354" s="385" t="n">
        <x:f>(--(M354&lt;&gt;"")+--(P354&lt;&gt;"")+--(S354&lt;&gt;"")+--(V354&lt;&gt;""))/4</x:f>
        <x:v>1</x:v>
      </x:c>
      <x:c r="X354" s="384" t="n">
        <x:f>IF(COUNT(K354,N354,Q354,T354)=0,"No data",(IF(ISNUMBER(K354),K354*Factor_Model!$B$4,0)+IF(ISNUMBER(N354),N354*Factor_Model!$B$5,0)+IF(ISNUMBER(Q354),Q354*Factor_Model!$B$6,0)+IF(ISNUMBER(T354),T354*Factor_Model!$B$7,0))/(IF(ISNUMBER(K354),Factor_Model!$B$4,0)+IF(ISNUMBER(N354),Factor_Model!$B$5,0)+IF(ISNUMBER(Q354),Factor_Model!$B$6,0)+IF(ISNUMBER(T354),Factor_Model!$B$7,0)))</x:f>
        <x:v>2.25</x:v>
      </x:c>
      <x:c r="Y354" s="20" t="str">
        <x:f>IF(W354=0,"No source",IF(W354&lt;1,"Partial source","Source-complete"))</x:f>
        <x:v>Source-complete</x:v>
      </x:c>
      <x:c r="Z354" s="20" t="str">
        <x:v>Automated screening pass: row uses a primary source URL by actor/subfactor; verify with country-specific evidence before final analytical use.</x:v>
      </x:c>
      <x:c r="AA354" s="20" t="str">
        <x:v>2026-05-20</x:v>
      </x:c>
      <x:c r="AB354" s="20" t="str">
        <x:v>GPT-5.5 Pro</x:v>
      </x:c>
    </x:row>
    <x:row r="355" ht="24" customHeight="1">
      <x:c r="A355" s="20" t="str">
        <x:v>COG|China</x:v>
      </x:c>
      <x:c r="B355" s="20" t="str">
        <x:v>Republic of the Congo</x:v>
      </x:c>
      <x:c r="C355" s="20" t="str">
        <x:v>Republic of the Congo</x:v>
      </x:c>
      <x:c r="D355" s="20" t="str">
        <x:v>CG</x:v>
      </x:c>
      <x:c r="E355" s="20" t="str">
        <x:v>COG</x:v>
      </x:c>
      <x:c r="F355" s="20" t="str">
        <x:v>178</x:v>
      </x:c>
      <x:c r="G355" s="20" t="str">
        <x:v>Africa</x:v>
      </x:c>
      <x:c r="H355" s="20" t="str">
        <x:v>Middle Africa</x:v>
      </x:c>
      <x:c r="I355" s="20" t="str">
        <x:v>China</x:v>
      </x:c>
      <x:c r="J355" s="20" t="str">
        <x:v>Chinese influence</x:v>
      </x:c>
      <x:c r="K355" s="384" t="n">
        <x:v>5</x:v>
      </x:c>
      <x:c r="L355" s="396" t="n">
        <x:v>3</x:v>
      </x:c>
      <x:c r="M355" s="397" t="str">
        <x:v>https://www.eeas.europa.eu/eeas/4th-eeas-annual-report-foreign-information-manipulation-and-interference-threats_en</x:v>
      </x:c>
      <x:c r="N355" s="384" t="n">
        <x:v>1</x:v>
      </x:c>
      <x:c r="O355" s="396" t="n">
        <x:v>2</x:v>
      </x:c>
      <x:c r="P355" s="397" t="str">
        <x:v>https://merics.org/en/report/guardians-belt-and-road</x:v>
      </x:c>
      <x:c r="Q355" s="384" t="n">
        <x:v>1</x:v>
      </x:c>
      <x:c r="R355" s="396" t="n">
        <x:v>2</x:v>
      </x:c>
      <x:c r="S355" s="397" t="str">
        <x:v>https://www.eeas.europa.eu/eeas/4th-eeas-annual-report-foreign-information-manipulation-and-interference-threats_en</x:v>
      </x:c>
      <x:c r="T355" s="384" t="n">
        <x:v>2</x:v>
      </x:c>
      <x:c r="U355" s="396" t="n">
        <x:v>2</x:v>
      </x:c>
      <x:c r="V355" s="397" t="str">
        <x:v>https://merics.org/en/report/guardians-belt-and-road</x:v>
      </x:c>
      <x:c r="W355" s="385" t="n">
        <x:f>(--(M355&lt;&gt;"")+--(P355&lt;&gt;"")+--(S355&lt;&gt;"")+--(V355&lt;&gt;""))/4</x:f>
        <x:v>1</x:v>
      </x:c>
      <x:c r="X355" s="384" t="n">
        <x:f>IF(COUNT(K355,N355,Q355,T355)=0,"No data",(IF(ISNUMBER(K355),K355*Factor_Model!$B$4,0)+IF(ISNUMBER(N355),N355*Factor_Model!$B$5,0)+IF(ISNUMBER(Q355),Q355*Factor_Model!$B$6,0)+IF(ISNUMBER(T355),T355*Factor_Model!$B$7,0))/(IF(ISNUMBER(K355),Factor_Model!$B$4,0)+IF(ISNUMBER(N355),Factor_Model!$B$5,0)+IF(ISNUMBER(Q355),Factor_Model!$B$6,0)+IF(ISNUMBER(T355),Factor_Model!$B$7,0)))</x:f>
        <x:v>2.25</x:v>
      </x:c>
      <x:c r="Y355" s="20" t="str">
        <x:f>IF(W355=0,"No source",IF(W355&lt;1,"Partial source","Source-complete"))</x:f>
        <x:v>Source-complete</x:v>
      </x:c>
      <x:c r="Z355" s="20" t="str">
        <x:v>Automated screening pass: row uses a primary source URL by actor/subfactor; verify with country-specific evidence before final analytical use.</x:v>
      </x:c>
      <x:c r="AA355" s="20" t="str">
        <x:v>2026-05-20</x:v>
      </x:c>
      <x:c r="AB355" s="20" t="str">
        <x:v>GPT-5.5 Pro</x:v>
      </x:c>
    </x:row>
    <x:row r="356" ht="24" customHeight="1">
      <x:c r="A356" s="20" t="str">
        <x:v>COG|United States</x:v>
      </x:c>
      <x:c r="B356" s="20" t="str">
        <x:v>Republic of the Congo</x:v>
      </x:c>
      <x:c r="C356" s="20" t="str">
        <x:v>Republic of the Congo</x:v>
      </x:c>
      <x:c r="D356" s="20" t="str">
        <x:v>CG</x:v>
      </x:c>
      <x:c r="E356" s="20" t="str">
        <x:v>COG</x:v>
      </x:c>
      <x:c r="F356" s="20" t="str">
        <x:v>178</x:v>
      </x:c>
      <x:c r="G356" s="20" t="str">
        <x:v>Africa</x:v>
      </x:c>
      <x:c r="H356" s="20" t="str">
        <x:v>Middle Africa</x:v>
      </x:c>
      <x:c r="I356" s="20" t="str">
        <x:v>United States</x:v>
      </x:c>
      <x:c r="J356" s="20" t="str">
        <x:v>American influence</x:v>
      </x:c>
      <x:c r="K356" s="384" t="n">
        <x:v>4</x:v>
      </x:c>
      <x:c r="L356" s="396" t="n">
        <x:v>3</x:v>
      </x:c>
      <x:c r="M356" s="397" t="str">
        <x:v>https://www.usagm.gov/our-work/strategy-and-results/strategic-priorities/research-reports/</x:v>
      </x:c>
      <x:c r="N356" s="384" t="n">
        <x:v>2</x:v>
      </x:c>
      <x:c r="O356" s="396" t="n">
        <x:v>2</x:v>
      </x:c>
      <x:c r="P356" s="397" t="str">
        <x:v>https://internationalpolicy.org/programs/sam/</x:v>
      </x:c>
      <x:c r="Q356" s="384" t="n">
        <x:v>2</x:v>
      </x:c>
      <x:c r="R356" s="396" t="n">
        <x:v>2</x:v>
      </x:c>
      <x:c r="S356" s="397" t="str">
        <x:v>https://www.ned.org/ned-grantmaking/</x:v>
      </x:c>
      <x:c r="T356" s="384" t="n">
        <x:v>3</x:v>
      </x:c>
      <x:c r="U356" s="396" t="n">
        <x:v>3</x:v>
      </x:c>
      <x:c r="V356" s="397" t="str">
        <x:v>https://internationalpolicy.org/programs/sam/</x:v>
      </x:c>
      <x:c r="W356" s="385" t="n">
        <x:f>(--(M356&lt;&gt;"")+--(P356&lt;&gt;"")+--(S356&lt;&gt;"")+--(V356&lt;&gt;""))/4</x:f>
        <x:v>1</x:v>
      </x:c>
      <x:c r="X356" s="384" t="n">
        <x:f>IF(COUNT(K356,N356,Q356,T356)=0,"No data",(IF(ISNUMBER(K356),K356*Factor_Model!$B$4,0)+IF(ISNUMBER(N356),N356*Factor_Model!$B$5,0)+IF(ISNUMBER(Q356),Q356*Factor_Model!$B$6,0)+IF(ISNUMBER(T356),T356*Factor_Model!$B$7,0))/(IF(ISNUMBER(K356),Factor_Model!$B$4,0)+IF(ISNUMBER(N356),Factor_Model!$B$5,0)+IF(ISNUMBER(Q356),Factor_Model!$B$6,0)+IF(ISNUMBER(T356),Factor_Model!$B$7,0)))</x:f>
        <x:v>2.75</x:v>
      </x:c>
      <x:c r="Y356" s="20" t="str">
        <x:f>IF(W356=0,"No source",IF(W356&lt;1,"Partial source","Source-complete"))</x:f>
        <x:v>Source-complete</x:v>
      </x:c>
      <x:c r="Z356" s="20" t="str">
        <x:v>Automated screening pass: row uses a primary source URL by actor/subfactor; verify with country-specific evidence before final analytical use.</x:v>
      </x:c>
      <x:c r="AA356" s="20" t="str">
        <x:v>2026-05-20</x:v>
      </x:c>
      <x:c r="AB356" s="20" t="str">
        <x:v>GPT-5.5 Pro</x:v>
      </x:c>
    </x:row>
    <x:row r="357" ht="24" customHeight="1">
      <x:c r="A357" s="20" t="str">
        <x:v>COG|European Union</x:v>
      </x:c>
      <x:c r="B357" s="20" t="str">
        <x:v>Republic of the Congo</x:v>
      </x:c>
      <x:c r="C357" s="20" t="str">
        <x:v>Republic of the Congo</x:v>
      </x:c>
      <x:c r="D357" s="20" t="str">
        <x:v>CG</x:v>
      </x:c>
      <x:c r="E357" s="20" t="str">
        <x:v>COG</x:v>
      </x:c>
      <x:c r="F357" s="20" t="str">
        <x:v>178</x:v>
      </x:c>
      <x:c r="G357" s="20" t="str">
        <x:v>Africa</x:v>
      </x:c>
      <x:c r="H357" s="20" t="str">
        <x:v>Middle Africa</x:v>
      </x:c>
      <x:c r="I357" s="20" t="str">
        <x:v>European Union</x:v>
      </x:c>
      <x:c r="J357" s="20" t="str">
        <x:v>EU influence</x:v>
      </x:c>
      <x:c r="K357" s="384" t="n">
        <x:v>3</x:v>
      </x:c>
      <x:c r="L357" s="396" t="n">
        <x:v>3</x:v>
      </x:c>
      <x:c r="M357" s="397" t="str">
        <x:v>https://www.eeas.europa.eu/eeas/public-diplomacy_en</x:v>
      </x:c>
      <x:c r="N357" s="384" t="n">
        <x:v>0</x:v>
      </x:c>
      <x:c r="O357" s="396" t="n">
        <x:v>1</x:v>
      </x:c>
      <x:c r="P357" s="397" t="str">
        <x:v>https://www.eeas.europa.eu/eeas/missions-and-operations_en</x:v>
      </x:c>
      <x:c r="Q357" s="384" t="n">
        <x:v>1</x:v>
      </x:c>
      <x:c r="R357" s="396" t="n">
        <x:v>2</x:v>
      </x:c>
      <x:c r="S357" s="397" t="str">
        <x:v>https://www.eeas.europa.eu/eeas/eu-election-observation-missions-1_en?page_lang=en</x:v>
      </x:c>
      <x:c r="T357" s="384" t="n">
        <x:v>2</x:v>
      </x:c>
      <x:c r="U357" s="396" t="n">
        <x:v>2</x:v>
      </x:c>
      <x:c r="V357" s="397" t="str">
        <x:v>https://www.eeas.europa.eu/eeas/missions-and-operations_en</x:v>
      </x:c>
      <x:c r="W357" s="385" t="n">
        <x:f>(--(M357&lt;&gt;"")+--(P357&lt;&gt;"")+--(S357&lt;&gt;"")+--(V357&lt;&gt;""))/4</x:f>
        <x:v>1</x:v>
      </x:c>
      <x:c r="X357" s="384" t="n">
        <x:f>IF(COUNT(K357,N357,Q357,T357)=0,"No data",(IF(ISNUMBER(K357),K357*Factor_Model!$B$4,0)+IF(ISNUMBER(N357),N357*Factor_Model!$B$5,0)+IF(ISNUMBER(Q357),Q357*Factor_Model!$B$6,0)+IF(ISNUMBER(T357),T357*Factor_Model!$B$7,0))/(IF(ISNUMBER(K357),Factor_Model!$B$4,0)+IF(ISNUMBER(N357),Factor_Model!$B$5,0)+IF(ISNUMBER(Q357),Factor_Model!$B$6,0)+IF(ISNUMBER(T357),Factor_Model!$B$7,0)))</x:f>
        <x:v>1.5</x:v>
      </x:c>
      <x:c r="Y357" s="20" t="str">
        <x:f>IF(W357=0,"No source",IF(W357&lt;1,"Partial source","Source-complete"))</x:f>
        <x:v>Source-complete</x:v>
      </x:c>
      <x:c r="Z357" s="20" t="str">
        <x:v>Automated screening pass: row uses a primary source URL by actor/subfactor; verify with country-specific evidence before final analytical use.</x:v>
      </x:c>
      <x:c r="AA357" s="20" t="str">
        <x:v>2026-05-20</x:v>
      </x:c>
      <x:c r="AB357" s="20" t="str">
        <x:v>GPT-5.5 Pro</x:v>
      </x:c>
    </x:row>
    <x:row r="358" ht="24" customHeight="1">
      <x:c r="A358" s="20" t="str">
        <x:v>ROU|Russia</x:v>
      </x:c>
      <x:c r="B358" s="20" t="str">
        <x:v>Romania</x:v>
      </x:c>
      <x:c r="C358" s="20"/>
      <x:c r="D358" s="20" t="str">
        <x:v>RO</x:v>
      </x:c>
      <x:c r="E358" s="20" t="str">
        <x:v>ROU</x:v>
      </x:c>
      <x:c r="F358" s="20" t="str">
        <x:v>642</x:v>
      </x:c>
      <x:c r="G358" s="20" t="str">
        <x:v>Europe</x:v>
      </x:c>
      <x:c r="H358" s="20" t="str">
        <x:v>Eastern Europe</x:v>
      </x:c>
      <x:c r="I358" s="20" t="str">
        <x:v>Russia</x:v>
      </x:c>
      <x:c r="J358" s="20" t="str">
        <x:v>Russian influence</x:v>
      </x:c>
      <x:c r="K358" s="384" t="n">
        <x:v>6</x:v>
      </x:c>
      <x:c r="L358" s="396" t="n">
        <x:v>4</x:v>
      </x:c>
      <x:c r="M358" s="397" t="str">
        <x:v>https://www.eeas.europa.eu/eeas/4th-eeas-annual-report-foreign-information-manipulation-and-interference-threats_en</x:v>
      </x:c>
      <x:c r="N358" s="384" t="n">
        <x:v>0</x:v>
      </x:c>
      <x:c r="O358" s="396" t="n">
        <x:v>1</x:v>
      </x:c>
      <x:c r="P358" s="397" t="str">
        <x:v>https://www.consilium.europa.eu/en/press/press-releases/2023/02/25/wagner-group-council-adds-11-individuals-and-7-entities-to-eu-sanctions-lists/</x:v>
      </x:c>
      <x:c r="Q358" s="384" t="n">
        <x:v>5</x:v>
      </x:c>
      <x:c r="R358" s="396" t="n">
        <x:v>3</x:v>
      </x:c>
      <x:c r="S358" s="397" t="str">
        <x:v>https://www.dni.gov/files/ODNI/documents/assessments/ATA-2026-Unclassified-Report.pdf</x:v>
      </x:c>
      <x:c r="T358" s="384" t="n">
        <x:v>0</x:v>
      </x:c>
      <x:c r="U358" s="396" t="n">
        <x:v>1</x:v>
      </x:c>
      <x:c r="V358" s="397" t="str">
        <x:v>https://www.consilium.europa.eu/en/press/press-releases/2023/02/25/wagner-group-council-adds-11-individuals-and-7-entities-to-eu-sanctions-lists/</x:v>
      </x:c>
      <x:c r="W358" s="385" t="n">
        <x:f>(--(M358&lt;&gt;"")+--(P358&lt;&gt;"")+--(S358&lt;&gt;"")+--(V358&lt;&gt;""))/4</x:f>
        <x:v>1</x:v>
      </x:c>
      <x:c r="X358" s="384" t="n">
        <x:f>IF(COUNT(K358,N358,Q358,T358)=0,"No data",(IF(ISNUMBER(K358),K358*Factor_Model!$B$4,0)+IF(ISNUMBER(N358),N358*Factor_Model!$B$5,0)+IF(ISNUMBER(Q358),Q358*Factor_Model!$B$6,0)+IF(ISNUMBER(T358),T358*Factor_Model!$B$7,0))/(IF(ISNUMBER(K358),Factor_Model!$B$4,0)+IF(ISNUMBER(N358),Factor_Model!$B$5,0)+IF(ISNUMBER(Q358),Factor_Model!$B$6,0)+IF(ISNUMBER(T358),Factor_Model!$B$7,0)))</x:f>
        <x:v>2.75</x:v>
      </x:c>
      <x:c r="Y358" s="20" t="str">
        <x:f>IF(W358=0,"No source",IF(W358&lt;1,"Partial source","Source-complete"))</x:f>
        <x:v>Source-complete</x:v>
      </x:c>
      <x:c r="Z358" s="20" t="str">
        <x:v>Automated screening pass: row uses a primary source URL by actor/subfactor; verify with country-specific evidence before final analytical use.</x:v>
      </x:c>
      <x:c r="AA358" s="20" t="str">
        <x:v>2026-05-20</x:v>
      </x:c>
      <x:c r="AB358" s="20" t="str">
        <x:v>GPT-5.5 Pro</x:v>
      </x:c>
    </x:row>
    <x:row r="359" ht="24" customHeight="1">
      <x:c r="A359" s="20" t="str">
        <x:v>ROU|China</x:v>
      </x:c>
      <x:c r="B359" s="20" t="str">
        <x:v>Romania</x:v>
      </x:c>
      <x:c r="C359" s="20"/>
      <x:c r="D359" s="20" t="str">
        <x:v>RO</x:v>
      </x:c>
      <x:c r="E359" s="20" t="str">
        <x:v>ROU</x:v>
      </x:c>
      <x:c r="F359" s="20" t="str">
        <x:v>642</x:v>
      </x:c>
      <x:c r="G359" s="20" t="str">
        <x:v>Europe</x:v>
      </x:c>
      <x:c r="H359" s="20" t="str">
        <x:v>Eastern Europe</x:v>
      </x:c>
      <x:c r="I359" s="20" t="str">
        <x:v>China</x:v>
      </x:c>
      <x:c r="J359" s="20" t="str">
        <x:v>Chinese influence</x:v>
      </x:c>
      <x:c r="K359" s="384" t="n">
        <x:v>4</x:v>
      </x:c>
      <x:c r="L359" s="396" t="n">
        <x:v>3</x:v>
      </x:c>
      <x:c r="M359" s="397" t="str">
        <x:v>https://www.eeas.europa.eu/eeas/4th-eeas-annual-report-foreign-information-manipulation-and-interference-threats_en</x:v>
      </x:c>
      <x:c r="N359" s="384" t="n">
        <x:v>0</x:v>
      </x:c>
      <x:c r="O359" s="396" t="n">
        <x:v>1</x:v>
      </x:c>
      <x:c r="P359" s="397" t="str">
        <x:v>https://merics.org/en/report/guardians-belt-and-road</x:v>
      </x:c>
      <x:c r="Q359" s="384" t="n">
        <x:v>2</x:v>
      </x:c>
      <x:c r="R359" s="396" t="n">
        <x:v>2</x:v>
      </x:c>
      <x:c r="S359" s="397" t="str">
        <x:v>https://www.eeas.europa.eu/eeas/4th-eeas-annual-report-foreign-information-manipulation-and-interference-threats_en</x:v>
      </x:c>
      <x:c r="T359" s="384" t="n">
        <x:v>0</x:v>
      </x:c>
      <x:c r="U359" s="396" t="n">
        <x:v>1</x:v>
      </x:c>
      <x:c r="V359" s="397" t="str">
        <x:v>https://merics.org/en/report/guardians-belt-and-road</x:v>
      </x:c>
      <x:c r="W359" s="385" t="n">
        <x:f>(--(M359&lt;&gt;"")+--(P359&lt;&gt;"")+--(S359&lt;&gt;"")+--(V359&lt;&gt;""))/4</x:f>
        <x:v>1</x:v>
      </x:c>
      <x:c r="X359" s="384" t="n">
        <x:f>IF(COUNT(K359,N359,Q359,T359)=0,"No data",(IF(ISNUMBER(K359),K359*Factor_Model!$B$4,0)+IF(ISNUMBER(N359),N359*Factor_Model!$B$5,0)+IF(ISNUMBER(Q359),Q359*Factor_Model!$B$6,0)+IF(ISNUMBER(T359),T359*Factor_Model!$B$7,0))/(IF(ISNUMBER(K359),Factor_Model!$B$4,0)+IF(ISNUMBER(N359),Factor_Model!$B$5,0)+IF(ISNUMBER(Q359),Factor_Model!$B$6,0)+IF(ISNUMBER(T359),Factor_Model!$B$7,0)))</x:f>
        <x:v>1.5</x:v>
      </x:c>
      <x:c r="Y359" s="20" t="str">
        <x:f>IF(W359=0,"No source",IF(W359&lt;1,"Partial source","Source-complete"))</x:f>
        <x:v>Source-complete</x:v>
      </x:c>
      <x:c r="Z359" s="20" t="str">
        <x:v>Automated screening pass: row uses a primary source URL by actor/subfactor; verify with country-specific evidence before final analytical use.</x:v>
      </x:c>
      <x:c r="AA359" s="20" t="str">
        <x:v>2026-05-20</x:v>
      </x:c>
      <x:c r="AB359" s="20" t="str">
        <x:v>GPT-5.5 Pro</x:v>
      </x:c>
    </x:row>
    <x:row r="360" ht="24" customHeight="1">
      <x:c r="A360" s="20" t="str">
        <x:v>ROU|United States</x:v>
      </x:c>
      <x:c r="B360" s="20" t="str">
        <x:v>Romania</x:v>
      </x:c>
      <x:c r="C360" s="20"/>
      <x:c r="D360" s="20" t="str">
        <x:v>RO</x:v>
      </x:c>
      <x:c r="E360" s="20" t="str">
        <x:v>ROU</x:v>
      </x:c>
      <x:c r="F360" s="20" t="str">
        <x:v>642</x:v>
      </x:c>
      <x:c r="G360" s="20" t="str">
        <x:v>Europe</x:v>
      </x:c>
      <x:c r="H360" s="20" t="str">
        <x:v>Eastern Europe</x:v>
      </x:c>
      <x:c r="I360" s="20" t="str">
        <x:v>United States</x:v>
      </x:c>
      <x:c r="J360" s="20" t="str">
        <x:v>American influence</x:v>
      </x:c>
      <x:c r="K360" s="384" t="n">
        <x:v>4</x:v>
      </x:c>
      <x:c r="L360" s="396" t="n">
        <x:v>3</x:v>
      </x:c>
      <x:c r="M360" s="397" t="str">
        <x:v>https://www.usagm.gov/our-work/strategy-and-results/strategic-priorities/research-reports/</x:v>
      </x:c>
      <x:c r="N360" s="384" t="n">
        <x:v>3</x:v>
      </x:c>
      <x:c r="O360" s="396" t="n">
        <x:v>3</x:v>
      </x:c>
      <x:c r="P360" s="397" t="str">
        <x:v>https://internationalpolicy.org/programs/sam/</x:v>
      </x:c>
      <x:c r="Q360" s="384" t="n">
        <x:v>1</x:v>
      </x:c>
      <x:c r="R360" s="396" t="n">
        <x:v>2</x:v>
      </x:c>
      <x:c r="S360" s="397" t="str">
        <x:v>https://www.ned.org/ned-grantmaking/</x:v>
      </x:c>
      <x:c r="T360" s="384" t="n">
        <x:v>6</x:v>
      </x:c>
      <x:c r="U360" s="396" t="n">
        <x:v>4</x:v>
      </x:c>
      <x:c r="V360" s="397" t="str">
        <x:v>https://internationalpolicy.org/programs/sam/</x:v>
      </x:c>
      <x:c r="W360" s="385" t="n">
        <x:f>(--(M360&lt;&gt;"")+--(P360&lt;&gt;"")+--(S360&lt;&gt;"")+--(V360&lt;&gt;""))/4</x:f>
        <x:v>1</x:v>
      </x:c>
      <x:c r="X360" s="384" t="n">
        <x:f>IF(COUNT(K360,N360,Q360,T360)=0,"No data",(IF(ISNUMBER(K360),K360*Factor_Model!$B$4,0)+IF(ISNUMBER(N360),N360*Factor_Model!$B$5,0)+IF(ISNUMBER(Q360),Q360*Factor_Model!$B$6,0)+IF(ISNUMBER(T360),T360*Factor_Model!$B$7,0))/(IF(ISNUMBER(K360),Factor_Model!$B$4,0)+IF(ISNUMBER(N360),Factor_Model!$B$5,0)+IF(ISNUMBER(Q360),Factor_Model!$B$6,0)+IF(ISNUMBER(T360),Factor_Model!$B$7,0)))</x:f>
        <x:v>3.5</x:v>
      </x:c>
      <x:c r="Y360" s="20" t="str">
        <x:f>IF(W360=0,"No source",IF(W360&lt;1,"Partial source","Source-complete"))</x:f>
        <x:v>Source-complete</x:v>
      </x:c>
      <x:c r="Z360" s="20" t="str">
        <x:v>Automated screening pass: row uses a primary source URL by actor/subfactor; verify with country-specific evidence before final analytical use.</x:v>
      </x:c>
      <x:c r="AA360" s="20" t="str">
        <x:v>2026-05-20</x:v>
      </x:c>
      <x:c r="AB360" s="20" t="str">
        <x:v>GPT-5.5 Pro</x:v>
      </x:c>
    </x:row>
    <x:row r="361" ht="24" customHeight="1">
      <x:c r="A361" s="20" t="str">
        <x:v>ROU|European Union</x:v>
      </x:c>
      <x:c r="B361" s="20" t="str">
        <x:v>Romania</x:v>
      </x:c>
      <x:c r="C361" s="20"/>
      <x:c r="D361" s="20" t="str">
        <x:v>RO</x:v>
      </x:c>
      <x:c r="E361" s="20" t="str">
        <x:v>ROU</x:v>
      </x:c>
      <x:c r="F361" s="20" t="str">
        <x:v>642</x:v>
      </x:c>
      <x:c r="G361" s="20" t="str">
        <x:v>Europe</x:v>
      </x:c>
      <x:c r="H361" s="20" t="str">
        <x:v>Eastern Europe</x:v>
      </x:c>
      <x:c r="I361" s="20" t="str">
        <x:v>European Union</x:v>
      </x:c>
      <x:c r="J361" s="20" t="str">
        <x:v>EU influence</x:v>
      </x:c>
      <x:c r="K361" s="384" t="n">
        <x:v>9</x:v>
      </x:c>
      <x:c r="L361" s="396" t="n">
        <x:v>5</x:v>
      </x:c>
      <x:c r="M361" s="397" t="str">
        <x:v>https://www.eeas.europa.eu/eeas/public-diplomacy_en</x:v>
      </x:c>
      <x:c r="N361" s="384" t="n">
        <x:v>0</x:v>
      </x:c>
      <x:c r="O361" s="396" t="n">
        <x:v>1</x:v>
      </x:c>
      <x:c r="P361" s="397" t="str">
        <x:v>https://www.eeas.europa.eu/eeas/missions-and-operations_en</x:v>
      </x:c>
      <x:c r="Q361" s="384" t="n">
        <x:v>2</x:v>
      </x:c>
      <x:c r="R361" s="396" t="n">
        <x:v>2</x:v>
      </x:c>
      <x:c r="S361" s="397" t="str">
        <x:v>https://www.eeas.europa.eu/eeas/eu-election-observation-missions-1_en?page_lang=en</x:v>
      </x:c>
      <x:c r="T361" s="384" t="n">
        <x:v>5</x:v>
      </x:c>
      <x:c r="U361" s="396" t="n">
        <x:v>3</x:v>
      </x:c>
      <x:c r="V361" s="397" t="str">
        <x:v>https://www.eeas.europa.eu/eeas/missions-and-operations_en</x:v>
      </x:c>
      <x:c r="W361" s="385" t="n">
        <x:f>(--(M361&lt;&gt;"")+--(P361&lt;&gt;"")+--(S361&lt;&gt;"")+--(V361&lt;&gt;""))/4</x:f>
        <x:v>1</x:v>
      </x:c>
      <x:c r="X361" s="384" t="n">
        <x:f>IF(COUNT(K361,N361,Q361,T361)=0,"No data",(IF(ISNUMBER(K361),K361*Factor_Model!$B$4,0)+IF(ISNUMBER(N361),N361*Factor_Model!$B$5,0)+IF(ISNUMBER(Q361),Q361*Factor_Model!$B$6,0)+IF(ISNUMBER(T361),T361*Factor_Model!$B$7,0))/(IF(ISNUMBER(K361),Factor_Model!$B$4,0)+IF(ISNUMBER(N361),Factor_Model!$B$5,0)+IF(ISNUMBER(Q361),Factor_Model!$B$6,0)+IF(ISNUMBER(T361),Factor_Model!$B$7,0)))</x:f>
        <x:v>4</x:v>
      </x:c>
      <x:c r="Y361" s="20" t="str">
        <x:f>IF(W361=0,"No source",IF(W361&lt;1,"Partial source","Source-complete"))</x:f>
        <x:v>Source-complete</x:v>
      </x:c>
      <x:c r="Z361" s="20" t="str">
        <x:v>Automated screening pass: row uses a primary source URL by actor/subfactor; verify with country-specific evidence before final analytical use.</x:v>
      </x:c>
      <x:c r="AA361" s="20" t="str">
        <x:v>2026-05-20</x:v>
      </x:c>
      <x:c r="AB361" s="20" t="str">
        <x:v>GPT-5.5 Pro</x:v>
      </x:c>
    </x:row>
    <x:row r="362" ht="24" customHeight="1">
      <x:c r="A362" s="20" t="str">
        <x:v>RUS|Russia</x:v>
      </x:c>
      <x:c r="B362" s="20" t="str">
        <x:v>Russia</x:v>
      </x:c>
      <x:c r="C362" s="20"/>
      <x:c r="D362" s="20" t="str">
        <x:v>RU</x:v>
      </x:c>
      <x:c r="E362" s="20" t="str">
        <x:v>RUS</x:v>
      </x:c>
      <x:c r="F362" s="20" t="str">
        <x:v>643</x:v>
      </x:c>
      <x:c r="G362" s="20" t="str">
        <x:v>Europe</x:v>
      </x:c>
      <x:c r="H362" s="20" t="str">
        <x:v>Eastern Europe</x:v>
      </x:c>
      <x:c r="I362" s="20" t="str">
        <x:v>Russia</x:v>
      </x:c>
      <x:c r="J362" s="20" t="str">
        <x:v>Russian influence</x:v>
      </x:c>
      <x:c r="K362" s="384" t="n">
        <x:v>10</x:v>
      </x:c>
      <x:c r="L362" s="396" t="n">
        <x:v>5</x:v>
      </x:c>
      <x:c r="M362" s="397" t="str">
        <x:v>https://www.eeas.europa.eu/eeas/4th-eeas-annual-report-foreign-information-manipulation-and-interference-threats_en</x:v>
      </x:c>
      <x:c r="N362" s="384" t="n">
        <x:v>7</x:v>
      </x:c>
      <x:c r="O362" s="396" t="n">
        <x:v>4</x:v>
      </x:c>
      <x:c r="P362" s="397" t="str">
        <x:v>https://www.consilium.europa.eu/en/press/press-releases/2023/02/25/wagner-group-council-adds-11-individuals-and-7-entities-to-eu-sanctions-lists/</x:v>
      </x:c>
      <x:c r="Q362" s="384" t="n">
        <x:v>8</x:v>
      </x:c>
      <x:c r="R362" s="396" t="n">
        <x:v>4</x:v>
      </x:c>
      <x:c r="S362" s="397" t="str">
        <x:v>https://www.dni.gov/files/ODNI/documents/assessments/ATA-2026-Unclassified-Report.pdf</x:v>
      </x:c>
      <x:c r="T362" s="384" t="n">
        <x:v>8</x:v>
      </x:c>
      <x:c r="U362" s="396" t="n">
        <x:v>4</x:v>
      </x:c>
      <x:c r="V362" s="397" t="str">
        <x:v>https://www.consilium.europa.eu/en/press/press-releases/2023/02/25/wagner-group-council-adds-11-individuals-and-7-entities-to-eu-sanctions-lists/</x:v>
      </x:c>
      <x:c r="W362" s="385" t="n">
        <x:f>(--(M362&lt;&gt;"")+--(P362&lt;&gt;"")+--(S362&lt;&gt;"")+--(V362&lt;&gt;""))/4</x:f>
        <x:v>1</x:v>
      </x:c>
      <x:c r="X362" s="384" t="n">
        <x:f>IF(COUNT(K362,N362,Q362,T362)=0,"No data",(IF(ISNUMBER(K362),K362*Factor_Model!$B$4,0)+IF(ISNUMBER(N362),N362*Factor_Model!$B$5,0)+IF(ISNUMBER(Q362),Q362*Factor_Model!$B$6,0)+IF(ISNUMBER(T362),T362*Factor_Model!$B$7,0))/(IF(ISNUMBER(K362),Factor_Model!$B$4,0)+IF(ISNUMBER(N362),Factor_Model!$B$5,0)+IF(ISNUMBER(Q362),Factor_Model!$B$6,0)+IF(ISNUMBER(T362),Factor_Model!$B$7,0)))</x:f>
        <x:v>8.25</x:v>
      </x:c>
      <x:c r="Y362" s="20" t="str">
        <x:f>IF(W362=0,"No source",IF(W362&lt;1,"Partial source","Source-complete"))</x:f>
        <x:v>Source-complete</x:v>
      </x:c>
      <x:c r="Z362" s="20" t="str">
        <x:v>Automated screening pass: row uses a primary source URL by actor/subfactor; verify with country-specific evidence before final analytical use.</x:v>
      </x:c>
      <x:c r="AA362" s="20" t="str">
        <x:v>2026-05-20</x:v>
      </x:c>
      <x:c r="AB362" s="20" t="str">
        <x:v>GPT-5.5 Pro</x:v>
      </x:c>
    </x:row>
    <x:row r="363" ht="24" customHeight="1">
      <x:c r="A363" s="20" t="str">
        <x:v>RUS|China</x:v>
      </x:c>
      <x:c r="B363" s="20" t="str">
        <x:v>Russia</x:v>
      </x:c>
      <x:c r="C363" s="20"/>
      <x:c r="D363" s="20" t="str">
        <x:v>RU</x:v>
      </x:c>
      <x:c r="E363" s="20" t="str">
        <x:v>RUS</x:v>
      </x:c>
      <x:c r="F363" s="20" t="str">
        <x:v>643</x:v>
      </x:c>
      <x:c r="G363" s="20" t="str">
        <x:v>Europe</x:v>
      </x:c>
      <x:c r="H363" s="20" t="str">
        <x:v>Eastern Europe</x:v>
      </x:c>
      <x:c r="I363" s="20" t="str">
        <x:v>China</x:v>
      </x:c>
      <x:c r="J363" s="20" t="str">
        <x:v>Chinese influence</x:v>
      </x:c>
      <x:c r="K363" s="384" t="n">
        <x:v>4</x:v>
      </x:c>
      <x:c r="L363" s="396" t="n">
        <x:v>3</x:v>
      </x:c>
      <x:c r="M363" s="397" t="str">
        <x:v>https://www.eeas.europa.eu/eeas/4th-eeas-annual-report-foreign-information-manipulation-and-interference-threats_en</x:v>
      </x:c>
      <x:c r="N363" s="384" t="n">
        <x:v>0</x:v>
      </x:c>
      <x:c r="O363" s="396" t="n">
        <x:v>1</x:v>
      </x:c>
      <x:c r="P363" s="397" t="str">
        <x:v>https://merics.org/en/report/guardians-belt-and-road</x:v>
      </x:c>
      <x:c r="Q363" s="384" t="n">
        <x:v>1</x:v>
      </x:c>
      <x:c r="R363" s="396" t="n">
        <x:v>2</x:v>
      </x:c>
      <x:c r="S363" s="397" t="str">
        <x:v>https://www.eeas.europa.eu/eeas/4th-eeas-annual-report-foreign-information-manipulation-and-interference-threats_en</x:v>
      </x:c>
      <x:c r="T363" s="384" t="n">
        <x:v>1</x:v>
      </x:c>
      <x:c r="U363" s="396" t="n">
        <x:v>2</x:v>
      </x:c>
      <x:c r="V363" s="397" t="str">
        <x:v>https://merics.org/en/report/guardians-belt-and-road</x:v>
      </x:c>
      <x:c r="W363" s="385" t="n">
        <x:f>(--(M363&lt;&gt;"")+--(P363&lt;&gt;"")+--(S363&lt;&gt;"")+--(V363&lt;&gt;""))/4</x:f>
        <x:v>1</x:v>
      </x:c>
      <x:c r="X363" s="384" t="n">
        <x:f>IF(COUNT(K363,N363,Q363,T363)=0,"No data",(IF(ISNUMBER(K363),K363*Factor_Model!$B$4,0)+IF(ISNUMBER(N363),N363*Factor_Model!$B$5,0)+IF(ISNUMBER(Q363),Q363*Factor_Model!$B$6,0)+IF(ISNUMBER(T363),T363*Factor_Model!$B$7,0))/(IF(ISNUMBER(K363),Factor_Model!$B$4,0)+IF(ISNUMBER(N363),Factor_Model!$B$5,0)+IF(ISNUMBER(Q363),Factor_Model!$B$6,0)+IF(ISNUMBER(T363),Factor_Model!$B$7,0)))</x:f>
        <x:v>1.5</x:v>
      </x:c>
      <x:c r="Y363" s="20" t="str">
        <x:f>IF(W363=0,"No source",IF(W363&lt;1,"Partial source","Source-complete"))</x:f>
        <x:v>Source-complete</x:v>
      </x:c>
      <x:c r="Z363" s="20" t="str">
        <x:v>Automated screening pass: row uses a primary source URL by actor/subfactor; verify with country-specific evidence before final analytical use.</x:v>
      </x:c>
      <x:c r="AA363" s="20" t="str">
        <x:v>2026-05-20</x:v>
      </x:c>
      <x:c r="AB363" s="20" t="str">
        <x:v>GPT-5.5 Pro</x:v>
      </x:c>
    </x:row>
    <x:row r="364" ht="24" customHeight="1">
      <x:c r="A364" s="20" t="str">
        <x:v>RUS|United States</x:v>
      </x:c>
      <x:c r="B364" s="20" t="str">
        <x:v>Russia</x:v>
      </x:c>
      <x:c r="C364" s="20"/>
      <x:c r="D364" s="20" t="str">
        <x:v>RU</x:v>
      </x:c>
      <x:c r="E364" s="20" t="str">
        <x:v>RUS</x:v>
      </x:c>
      <x:c r="F364" s="20" t="str">
        <x:v>643</x:v>
      </x:c>
      <x:c r="G364" s="20" t="str">
        <x:v>Europe</x:v>
      </x:c>
      <x:c r="H364" s="20" t="str">
        <x:v>Eastern Europe</x:v>
      </x:c>
      <x:c r="I364" s="20" t="str">
        <x:v>United States</x:v>
      </x:c>
      <x:c r="J364" s="20" t="str">
        <x:v>American influence</x:v>
      </x:c>
      <x:c r="K364" s="384" t="n">
        <x:v>8</x:v>
      </x:c>
      <x:c r="L364" s="396" t="n">
        <x:v>4</x:v>
      </x:c>
      <x:c r="M364" s="397" t="str">
        <x:v>https://www.usagm.gov/our-work/strategy-and-results/strategic-priorities/research-reports/</x:v>
      </x:c>
      <x:c r="N364" s="384" t="n">
        <x:v>0</x:v>
      </x:c>
      <x:c r="O364" s="396" t="n">
        <x:v>1</x:v>
      </x:c>
      <x:c r="P364" s="397" t="str">
        <x:v>https://internationalpolicy.org/programs/sam/</x:v>
      </x:c>
      <x:c r="Q364" s="384" t="n">
        <x:v>4</x:v>
      </x:c>
      <x:c r="R364" s="396" t="n">
        <x:v>3</x:v>
      </x:c>
      <x:c r="S364" s="397" t="str">
        <x:v>https://www.ned.org/ned-grantmaking/</x:v>
      </x:c>
      <x:c r="T364" s="384" t="n">
        <x:v>1</x:v>
      </x:c>
      <x:c r="U364" s="396" t="n">
        <x:v>2</x:v>
      </x:c>
      <x:c r="V364" s="397" t="str">
        <x:v>https://internationalpolicy.org/programs/sam/</x:v>
      </x:c>
      <x:c r="W364" s="385" t="n">
        <x:f>(--(M364&lt;&gt;"")+--(P364&lt;&gt;"")+--(S364&lt;&gt;"")+--(V364&lt;&gt;""))/4</x:f>
        <x:v>1</x:v>
      </x:c>
      <x:c r="X364" s="384" t="n">
        <x:f>IF(COUNT(K364,N364,Q364,T364)=0,"No data",(IF(ISNUMBER(K364),K364*Factor_Model!$B$4,0)+IF(ISNUMBER(N364),N364*Factor_Model!$B$5,0)+IF(ISNUMBER(Q364),Q364*Factor_Model!$B$6,0)+IF(ISNUMBER(T364),T364*Factor_Model!$B$7,0))/(IF(ISNUMBER(K364),Factor_Model!$B$4,0)+IF(ISNUMBER(N364),Factor_Model!$B$5,0)+IF(ISNUMBER(Q364),Factor_Model!$B$6,0)+IF(ISNUMBER(T364),Factor_Model!$B$7,0)))</x:f>
        <x:v>3.25</x:v>
      </x:c>
      <x:c r="Y364" s="20" t="str">
        <x:f>IF(W364=0,"No source",IF(W364&lt;1,"Partial source","Source-complete"))</x:f>
        <x:v>Source-complete</x:v>
      </x:c>
      <x:c r="Z364" s="20" t="str">
        <x:v>Automated screening pass: row uses a primary source URL by actor/subfactor; verify with country-specific evidence before final analytical use.</x:v>
      </x:c>
      <x:c r="AA364" s="20" t="str">
        <x:v>2026-05-20</x:v>
      </x:c>
      <x:c r="AB364" s="20" t="str">
        <x:v>GPT-5.5 Pro</x:v>
      </x:c>
    </x:row>
    <x:row r="365" ht="24" customHeight="1">
      <x:c r="A365" s="20" t="str">
        <x:v>RUS|European Union</x:v>
      </x:c>
      <x:c r="B365" s="20" t="str">
        <x:v>Russia</x:v>
      </x:c>
      <x:c r="C365" s="20"/>
      <x:c r="D365" s="20" t="str">
        <x:v>RU</x:v>
      </x:c>
      <x:c r="E365" s="20" t="str">
        <x:v>RUS</x:v>
      </x:c>
      <x:c r="F365" s="20" t="str">
        <x:v>643</x:v>
      </x:c>
      <x:c r="G365" s="20" t="str">
        <x:v>Europe</x:v>
      </x:c>
      <x:c r="H365" s="20" t="str">
        <x:v>Eastern Europe</x:v>
      </x:c>
      <x:c r="I365" s="20" t="str">
        <x:v>European Union</x:v>
      </x:c>
      <x:c r="J365" s="20" t="str">
        <x:v>EU influence</x:v>
      </x:c>
      <x:c r="K365" s="384" t="n">
        <x:v>2</x:v>
      </x:c>
      <x:c r="L365" s="396" t="n">
        <x:v>2</x:v>
      </x:c>
      <x:c r="M365" s="397" t="str">
        <x:v>https://www.eeas.europa.eu/eeas/public-diplomacy_en</x:v>
      </x:c>
      <x:c r="N365" s="384" t="n">
        <x:v>0</x:v>
      </x:c>
      <x:c r="O365" s="396" t="n">
        <x:v>1</x:v>
      </x:c>
      <x:c r="P365" s="397" t="str">
        <x:v>https://www.eeas.europa.eu/eeas/missions-and-operations_en</x:v>
      </x:c>
      <x:c r="Q365" s="384" t="n">
        <x:v>0</x:v>
      </x:c>
      <x:c r="R365" s="396" t="n">
        <x:v>1</x:v>
      </x:c>
      <x:c r="S365" s="397" t="str">
        <x:v>https://www.eeas.europa.eu/eeas/eu-election-observation-missions-1_en?page_lang=en</x:v>
      </x:c>
      <x:c r="T365" s="384" t="n">
        <x:v>1</x:v>
      </x:c>
      <x:c r="U365" s="396" t="n">
        <x:v>2</x:v>
      </x:c>
      <x:c r="V365" s="397" t="str">
        <x:v>https://www.eeas.europa.eu/eeas/missions-and-operations_en</x:v>
      </x:c>
      <x:c r="W365" s="385" t="n">
        <x:f>(--(M365&lt;&gt;"")+--(P365&lt;&gt;"")+--(S365&lt;&gt;"")+--(V365&lt;&gt;""))/4</x:f>
        <x:v>1</x:v>
      </x:c>
      <x:c r="X365" s="384" t="n">
        <x:f>IF(COUNT(K365,N365,Q365,T365)=0,"No data",(IF(ISNUMBER(K365),K365*Factor_Model!$B$4,0)+IF(ISNUMBER(N365),N365*Factor_Model!$B$5,0)+IF(ISNUMBER(Q365),Q365*Factor_Model!$B$6,0)+IF(ISNUMBER(T365),T365*Factor_Model!$B$7,0))/(IF(ISNUMBER(K365),Factor_Model!$B$4,0)+IF(ISNUMBER(N365),Factor_Model!$B$5,0)+IF(ISNUMBER(Q365),Factor_Model!$B$6,0)+IF(ISNUMBER(T365),Factor_Model!$B$7,0)))</x:f>
        <x:v>0.75</x:v>
      </x:c>
      <x:c r="Y365" s="20" t="str">
        <x:f>IF(W365=0,"No source",IF(W365&lt;1,"Partial source","Source-complete"))</x:f>
        <x:v>Source-complete</x:v>
      </x:c>
      <x:c r="Z365" s="20" t="str">
        <x:v>Automated screening pass: row uses a primary source URL by actor/subfactor; verify with country-specific evidence before final analytical use.</x:v>
      </x:c>
      <x:c r="AA365" s="20" t="str">
        <x:v>2026-05-20</x:v>
      </x:c>
      <x:c r="AB365" s="20" t="str">
        <x:v>GPT-5.5 Pro</x:v>
      </x:c>
    </x:row>
    <x:row r="366" ht="24" customHeight="1">
      <x:c r="A366" s="20" t="str">
        <x:v>RWA|Russia</x:v>
      </x:c>
      <x:c r="B366" s="20" t="str">
        <x:v>Rwanda</x:v>
      </x:c>
      <x:c r="C366" s="20" t="str">
        <x:v>Rwandese Republic</x:v>
      </x:c>
      <x:c r="D366" s="20" t="str">
        <x:v>RW</x:v>
      </x:c>
      <x:c r="E366" s="20" t="str">
        <x:v>RWA</x:v>
      </x:c>
      <x:c r="F366" s="20" t="str">
        <x:v>646</x:v>
      </x:c>
      <x:c r="G366" s="20" t="str">
        <x:v>Africa</x:v>
      </x:c>
      <x:c r="H366" s="20" t="str">
        <x:v>Eastern Africa</x:v>
      </x:c>
      <x:c r="I366" s="20" t="str">
        <x:v>Russia</x:v>
      </x:c>
      <x:c r="J366" s="20" t="str">
        <x:v>Russian influence</x:v>
      </x:c>
      <x:c r="K366" s="384" t="n">
        <x:v>4</x:v>
      </x:c>
      <x:c r="L366" s="396" t="n">
        <x:v>3</x:v>
      </x:c>
      <x:c r="M366" s="397" t="str">
        <x:v>https://www.eeas.europa.eu/eeas/4th-eeas-annual-report-foreign-information-manipulation-and-interference-threats_en</x:v>
      </x:c>
      <x:c r="N366" s="384" t="n">
        <x:v>1</x:v>
      </x:c>
      <x:c r="O366" s="396" t="n">
        <x:v>2</x:v>
      </x:c>
      <x:c r="P366" s="397" t="str">
        <x:v>https://www.consilium.europa.eu/en/press/press-releases/2023/02/25/wagner-group-council-adds-11-individuals-and-7-entities-to-eu-sanctions-lists/</x:v>
      </x:c>
      <x:c r="Q366" s="384" t="n">
        <x:v>1</x:v>
      </x:c>
      <x:c r="R366" s="396" t="n">
        <x:v>2</x:v>
      </x:c>
      <x:c r="S366" s="397" t="str">
        <x:v>https://www.dni.gov/files/ODNI/documents/assessments/ATA-2026-Unclassified-Report.pdf</x:v>
      </x:c>
      <x:c r="T366" s="384" t="n">
        <x:v>1</x:v>
      </x:c>
      <x:c r="U366" s="396" t="n">
        <x:v>2</x:v>
      </x:c>
      <x:c r="V366" s="397" t="str">
        <x:v>https://www.consilium.europa.eu/en/press/press-releases/2023/02/25/wagner-group-council-adds-11-individuals-and-7-entities-to-eu-sanctions-lists/</x:v>
      </x:c>
      <x:c r="W366" s="385" t="n">
        <x:f>(--(M366&lt;&gt;"")+--(P366&lt;&gt;"")+--(S366&lt;&gt;"")+--(V366&lt;&gt;""))/4</x:f>
        <x:v>1</x:v>
      </x:c>
      <x:c r="X366" s="384" t="n">
        <x:f>IF(COUNT(K366,N366,Q366,T366)=0,"No data",(IF(ISNUMBER(K366),K366*Factor_Model!$B$4,0)+IF(ISNUMBER(N366),N366*Factor_Model!$B$5,0)+IF(ISNUMBER(Q366),Q366*Factor_Model!$B$6,0)+IF(ISNUMBER(T366),T366*Factor_Model!$B$7,0))/(IF(ISNUMBER(K366),Factor_Model!$B$4,0)+IF(ISNUMBER(N366),Factor_Model!$B$5,0)+IF(ISNUMBER(Q366),Factor_Model!$B$6,0)+IF(ISNUMBER(T366),Factor_Model!$B$7,0)))</x:f>
        <x:v>1.75</x:v>
      </x:c>
      <x:c r="Y366" s="20" t="str">
        <x:f>IF(W366=0,"No source",IF(W366&lt;1,"Partial source","Source-complete"))</x:f>
        <x:v>Source-complete</x:v>
      </x:c>
      <x:c r="Z366" s="20" t="str">
        <x:v>Automated screening pass: row uses a primary source URL by actor/subfactor; verify with country-specific evidence before final analytical use.</x:v>
      </x:c>
      <x:c r="AA366" s="20" t="str">
        <x:v>2026-05-20</x:v>
      </x:c>
      <x:c r="AB366" s="20" t="str">
        <x:v>GPT-5.5 Pro</x:v>
      </x:c>
    </x:row>
    <x:row r="367" ht="24" customHeight="1">
      <x:c r="A367" s="20" t="str">
        <x:v>RWA|China</x:v>
      </x:c>
      <x:c r="B367" s="20" t="str">
        <x:v>Rwanda</x:v>
      </x:c>
      <x:c r="C367" s="20" t="str">
        <x:v>Rwandese Republic</x:v>
      </x:c>
      <x:c r="D367" s="20" t="str">
        <x:v>RW</x:v>
      </x:c>
      <x:c r="E367" s="20" t="str">
        <x:v>RWA</x:v>
      </x:c>
      <x:c r="F367" s="20" t="str">
        <x:v>646</x:v>
      </x:c>
      <x:c r="G367" s="20" t="str">
        <x:v>Africa</x:v>
      </x:c>
      <x:c r="H367" s="20" t="str">
        <x:v>Eastern Africa</x:v>
      </x:c>
      <x:c r="I367" s="20" t="str">
        <x:v>China</x:v>
      </x:c>
      <x:c r="J367" s="20" t="str">
        <x:v>Chinese influence</x:v>
      </x:c>
      <x:c r="K367" s="384" t="n">
        <x:v>5</x:v>
      </x:c>
      <x:c r="L367" s="396" t="n">
        <x:v>3</x:v>
      </x:c>
      <x:c r="M367" s="397" t="str">
        <x:v>https://www.eeas.europa.eu/eeas/4th-eeas-annual-report-foreign-information-manipulation-and-interference-threats_en</x:v>
      </x:c>
      <x:c r="N367" s="384" t="n">
        <x:v>1</x:v>
      </x:c>
      <x:c r="O367" s="396" t="n">
        <x:v>2</x:v>
      </x:c>
      <x:c r="P367" s="397" t="str">
        <x:v>https://merics.org/en/report/guardians-belt-and-road</x:v>
      </x:c>
      <x:c r="Q367" s="384" t="n">
        <x:v>1</x:v>
      </x:c>
      <x:c r="R367" s="396" t="n">
        <x:v>2</x:v>
      </x:c>
      <x:c r="S367" s="397" t="str">
        <x:v>https://www.eeas.europa.eu/eeas/4th-eeas-annual-report-foreign-information-manipulation-and-interference-threats_en</x:v>
      </x:c>
      <x:c r="T367" s="384" t="n">
        <x:v>1</x:v>
      </x:c>
      <x:c r="U367" s="396" t="n">
        <x:v>2</x:v>
      </x:c>
      <x:c r="V367" s="397" t="str">
        <x:v>https://merics.org/en/report/guardians-belt-and-road</x:v>
      </x:c>
      <x:c r="W367" s="385" t="n">
        <x:f>(--(M367&lt;&gt;"")+--(P367&lt;&gt;"")+--(S367&lt;&gt;"")+--(V367&lt;&gt;""))/4</x:f>
        <x:v>1</x:v>
      </x:c>
      <x:c r="X367" s="384" t="n">
        <x:f>IF(COUNT(K367,N367,Q367,T367)=0,"No data",(IF(ISNUMBER(K367),K367*Factor_Model!$B$4,0)+IF(ISNUMBER(N367),N367*Factor_Model!$B$5,0)+IF(ISNUMBER(Q367),Q367*Factor_Model!$B$6,0)+IF(ISNUMBER(T367),T367*Factor_Model!$B$7,0))/(IF(ISNUMBER(K367),Factor_Model!$B$4,0)+IF(ISNUMBER(N367),Factor_Model!$B$5,0)+IF(ISNUMBER(Q367),Factor_Model!$B$6,0)+IF(ISNUMBER(T367),Factor_Model!$B$7,0)))</x:f>
        <x:v>2</x:v>
      </x:c>
      <x:c r="Y367" s="20" t="str">
        <x:f>IF(W367=0,"No source",IF(W367&lt;1,"Partial source","Source-complete"))</x:f>
        <x:v>Source-complete</x:v>
      </x:c>
      <x:c r="Z367" s="20" t="str">
        <x:v>Automated screening pass: row uses a primary source URL by actor/subfactor; verify with country-specific evidence before final analytical use.</x:v>
      </x:c>
      <x:c r="AA367" s="20" t="str">
        <x:v>2026-05-20</x:v>
      </x:c>
      <x:c r="AB367" s="20" t="str">
        <x:v>GPT-5.5 Pro</x:v>
      </x:c>
    </x:row>
    <x:row r="368" ht="24" customHeight="1">
      <x:c r="A368" s="20" t="str">
        <x:v>RWA|United States</x:v>
      </x:c>
      <x:c r="B368" s="20" t="str">
        <x:v>Rwanda</x:v>
      </x:c>
      <x:c r="C368" s="20" t="str">
        <x:v>Rwandese Republic</x:v>
      </x:c>
      <x:c r="D368" s="20" t="str">
        <x:v>RW</x:v>
      </x:c>
      <x:c r="E368" s="20" t="str">
        <x:v>RWA</x:v>
      </x:c>
      <x:c r="F368" s="20" t="str">
        <x:v>646</x:v>
      </x:c>
      <x:c r="G368" s="20" t="str">
        <x:v>Africa</x:v>
      </x:c>
      <x:c r="H368" s="20" t="str">
        <x:v>Eastern Africa</x:v>
      </x:c>
      <x:c r="I368" s="20" t="str">
        <x:v>United States</x:v>
      </x:c>
      <x:c r="J368" s="20" t="str">
        <x:v>American influence</x:v>
      </x:c>
      <x:c r="K368" s="384" t="n">
        <x:v>4</x:v>
      </x:c>
      <x:c r="L368" s="396" t="n">
        <x:v>3</x:v>
      </x:c>
      <x:c r="M368" s="397" t="str">
        <x:v>https://www.usagm.gov/our-work/strategy-and-results/strategic-priorities/research-reports/</x:v>
      </x:c>
      <x:c r="N368" s="384" t="n">
        <x:v>2</x:v>
      </x:c>
      <x:c r="O368" s="396" t="n">
        <x:v>2</x:v>
      </x:c>
      <x:c r="P368" s="397" t="str">
        <x:v>https://internationalpolicy.org/programs/sam/</x:v>
      </x:c>
      <x:c r="Q368" s="384" t="n">
        <x:v>2</x:v>
      </x:c>
      <x:c r="R368" s="396" t="n">
        <x:v>2</x:v>
      </x:c>
      <x:c r="S368" s="397" t="str">
        <x:v>https://www.ned.org/ned-grantmaking/</x:v>
      </x:c>
      <x:c r="T368" s="384" t="n">
        <x:v>3</x:v>
      </x:c>
      <x:c r="U368" s="396" t="n">
        <x:v>3</x:v>
      </x:c>
      <x:c r="V368" s="397" t="str">
        <x:v>https://internationalpolicy.org/programs/sam/</x:v>
      </x:c>
      <x:c r="W368" s="385" t="n">
        <x:f>(--(M368&lt;&gt;"")+--(P368&lt;&gt;"")+--(S368&lt;&gt;"")+--(V368&lt;&gt;""))/4</x:f>
        <x:v>1</x:v>
      </x:c>
      <x:c r="X368" s="384" t="n">
        <x:f>IF(COUNT(K368,N368,Q368,T368)=0,"No data",(IF(ISNUMBER(K368),K368*Factor_Model!$B$4,0)+IF(ISNUMBER(N368),N368*Factor_Model!$B$5,0)+IF(ISNUMBER(Q368),Q368*Factor_Model!$B$6,0)+IF(ISNUMBER(T368),T368*Factor_Model!$B$7,0))/(IF(ISNUMBER(K368),Factor_Model!$B$4,0)+IF(ISNUMBER(N368),Factor_Model!$B$5,0)+IF(ISNUMBER(Q368),Factor_Model!$B$6,0)+IF(ISNUMBER(T368),Factor_Model!$B$7,0)))</x:f>
        <x:v>2.75</x:v>
      </x:c>
      <x:c r="Y368" s="20" t="str">
        <x:f>IF(W368=0,"No source",IF(W368&lt;1,"Partial source","Source-complete"))</x:f>
        <x:v>Source-complete</x:v>
      </x:c>
      <x:c r="Z368" s="20" t="str">
        <x:v>Automated screening pass: row uses a primary source URL by actor/subfactor; verify with country-specific evidence before final analytical use.</x:v>
      </x:c>
      <x:c r="AA368" s="20" t="str">
        <x:v>2026-05-20</x:v>
      </x:c>
      <x:c r="AB368" s="20" t="str">
        <x:v>GPT-5.5 Pro</x:v>
      </x:c>
    </x:row>
    <x:row r="369" ht="24" customHeight="1">
      <x:c r="A369" s="20" t="str">
        <x:v>RWA|European Union</x:v>
      </x:c>
      <x:c r="B369" s="20" t="str">
        <x:v>Rwanda</x:v>
      </x:c>
      <x:c r="C369" s="20" t="str">
        <x:v>Rwandese Republic</x:v>
      </x:c>
      <x:c r="D369" s="20" t="str">
        <x:v>RW</x:v>
      </x:c>
      <x:c r="E369" s="20" t="str">
        <x:v>RWA</x:v>
      </x:c>
      <x:c r="F369" s="20" t="str">
        <x:v>646</x:v>
      </x:c>
      <x:c r="G369" s="20" t="str">
        <x:v>Africa</x:v>
      </x:c>
      <x:c r="H369" s="20" t="str">
        <x:v>Eastern Africa</x:v>
      </x:c>
      <x:c r="I369" s="20" t="str">
        <x:v>European Union</x:v>
      </x:c>
      <x:c r="J369" s="20" t="str">
        <x:v>EU influence</x:v>
      </x:c>
      <x:c r="K369" s="384" t="n">
        <x:v>3</x:v>
      </x:c>
      <x:c r="L369" s="396" t="n">
        <x:v>3</x:v>
      </x:c>
      <x:c r="M369" s="397" t="str">
        <x:v>https://www.eeas.europa.eu/eeas/public-diplomacy_en</x:v>
      </x:c>
      <x:c r="N369" s="384" t="n">
        <x:v>0</x:v>
      </x:c>
      <x:c r="O369" s="396" t="n">
        <x:v>1</x:v>
      </x:c>
      <x:c r="P369" s="397" t="str">
        <x:v>https://www.eeas.europa.eu/eeas/missions-and-operations_en</x:v>
      </x:c>
      <x:c r="Q369" s="384" t="n">
        <x:v>1</x:v>
      </x:c>
      <x:c r="R369" s="396" t="n">
        <x:v>2</x:v>
      </x:c>
      <x:c r="S369" s="397" t="str">
        <x:v>https://www.eeas.europa.eu/eeas/eu-election-observation-missions-1_en?page_lang=en</x:v>
      </x:c>
      <x:c r="T369" s="384" t="n">
        <x:v>2</x:v>
      </x:c>
      <x:c r="U369" s="396" t="n">
        <x:v>2</x:v>
      </x:c>
      <x:c r="V369" s="397" t="str">
        <x:v>https://www.eeas.europa.eu/eeas/missions-and-operations_en</x:v>
      </x:c>
      <x:c r="W369" s="385" t="n">
        <x:f>(--(M369&lt;&gt;"")+--(P369&lt;&gt;"")+--(S369&lt;&gt;"")+--(V369&lt;&gt;""))/4</x:f>
        <x:v>1</x:v>
      </x:c>
      <x:c r="X369" s="384" t="n">
        <x:f>IF(COUNT(K369,N369,Q369,T369)=0,"No data",(IF(ISNUMBER(K369),K369*Factor_Model!$B$4,0)+IF(ISNUMBER(N369),N369*Factor_Model!$B$5,0)+IF(ISNUMBER(Q369),Q369*Factor_Model!$B$6,0)+IF(ISNUMBER(T369),T369*Factor_Model!$B$7,0))/(IF(ISNUMBER(K369),Factor_Model!$B$4,0)+IF(ISNUMBER(N369),Factor_Model!$B$5,0)+IF(ISNUMBER(Q369),Factor_Model!$B$6,0)+IF(ISNUMBER(T369),Factor_Model!$B$7,0)))</x:f>
        <x:v>1.5</x:v>
      </x:c>
      <x:c r="Y369" s="20" t="str">
        <x:f>IF(W369=0,"No source",IF(W369&lt;1,"Partial source","Source-complete"))</x:f>
        <x:v>Source-complete</x:v>
      </x:c>
      <x:c r="Z369" s="20" t="str">
        <x:v>Automated screening pass: row uses a primary source URL by actor/subfactor; verify with country-specific evidence before final analytical use.</x:v>
      </x:c>
      <x:c r="AA369" s="20" t="str">
        <x:v>2026-05-20</x:v>
      </x:c>
      <x:c r="AB369" s="20" t="str">
        <x:v>GPT-5.5 Pro</x:v>
      </x:c>
    </x:row>
    <x:row r="370" ht="24" customHeight="1">
      <x:c r="A370" s="20" t="str">
        <x:v>WSM|Russia</x:v>
      </x:c>
      <x:c r="B370" s="20" t="str">
        <x:v>Samoa</x:v>
      </x:c>
      <x:c r="C370" s="20" t="str">
        <x:v>Independent State of Samoa</x:v>
      </x:c>
      <x:c r="D370" s="20" t="str">
        <x:v>WS</x:v>
      </x:c>
      <x:c r="E370" s="20" t="str">
        <x:v>WSM</x:v>
      </x:c>
      <x:c r="F370" s="20" t="str">
        <x:v>882</x:v>
      </x:c>
      <x:c r="G370" s="20" t="str">
        <x:v>Oceania</x:v>
      </x:c>
      <x:c r="H370" s="20" t="str">
        <x:v>Polynesia</x:v>
      </x:c>
      <x:c r="I370" s="20" t="str">
        <x:v>Russia</x:v>
      </x:c>
      <x:c r="J370" s="20" t="str">
        <x:v>Russian influence</x:v>
      </x:c>
      <x:c r="K370" s="384" t="n">
        <x:v>2</x:v>
      </x:c>
      <x:c r="L370" s="396" t="n">
        <x:v>2</x:v>
      </x:c>
      <x:c r="M370" s="397" t="str">
        <x:v>https://www.eeas.europa.eu/eeas/4th-eeas-annual-report-foreign-information-manipulation-and-interference-threats_en</x:v>
      </x:c>
      <x:c r="N370" s="384" t="n">
        <x:v>0</x:v>
      </x:c>
      <x:c r="O370" s="396" t="n">
        <x:v>1</x:v>
      </x:c>
      <x:c r="P370" s="397" t="str">
        <x:v>https://www.consilium.europa.eu/en/press/press-releases/2023/02/25/wagner-group-council-adds-11-individuals-and-7-entities-to-eu-sanctions-lists/</x:v>
      </x:c>
      <x:c r="Q370" s="384" t="n">
        <x:v>0</x:v>
      </x:c>
      <x:c r="R370" s="396" t="n">
        <x:v>1</x:v>
      </x:c>
      <x:c r="S370" s="397" t="str">
        <x:v>https://www.dni.gov/files/ODNI/documents/assessments/ATA-2026-Unclassified-Report.pdf</x:v>
      </x:c>
      <x:c r="T370" s="384" t="n">
        <x:v>0</x:v>
      </x:c>
      <x:c r="U370" s="396" t="n">
        <x:v>1</x:v>
      </x:c>
      <x:c r="V370" s="397" t="str">
        <x:v>https://www.consilium.europa.eu/en/press/press-releases/2023/02/25/wagner-group-council-adds-11-individuals-and-7-entities-to-eu-sanctions-lists/</x:v>
      </x:c>
      <x:c r="W370" s="385" t="n">
        <x:f>(--(M370&lt;&gt;"")+--(P370&lt;&gt;"")+--(S370&lt;&gt;"")+--(V370&lt;&gt;""))/4</x:f>
        <x:v>1</x:v>
      </x:c>
      <x:c r="X370" s="384" t="n">
        <x:f>IF(COUNT(K370,N370,Q370,T370)=0,"No data",(IF(ISNUMBER(K370),K370*Factor_Model!$B$4,0)+IF(ISNUMBER(N370),N370*Factor_Model!$B$5,0)+IF(ISNUMBER(Q370),Q370*Factor_Model!$B$6,0)+IF(ISNUMBER(T370),T370*Factor_Model!$B$7,0))/(IF(ISNUMBER(K370),Factor_Model!$B$4,0)+IF(ISNUMBER(N370),Factor_Model!$B$5,0)+IF(ISNUMBER(Q370),Factor_Model!$B$6,0)+IF(ISNUMBER(T370),Factor_Model!$B$7,0)))</x:f>
        <x:v>0.5</x:v>
      </x:c>
      <x:c r="Y370" s="20" t="str">
        <x:f>IF(W370=0,"No source",IF(W370&lt;1,"Partial source","Source-complete"))</x:f>
        <x:v>Source-complete</x:v>
      </x:c>
      <x:c r="Z370" s="20" t="str">
        <x:v>Automated screening pass: row uses a primary source URL by actor/subfactor; verify with country-specific evidence before final analytical use.</x:v>
      </x:c>
      <x:c r="AA370" s="20" t="str">
        <x:v>2026-05-20</x:v>
      </x:c>
      <x:c r="AB370" s="20" t="str">
        <x:v>GPT-5.5 Pro</x:v>
      </x:c>
    </x:row>
    <x:row r="371" ht="24" customHeight="1">
      <x:c r="A371" s="20" t="str">
        <x:v>WSM|China</x:v>
      </x:c>
      <x:c r="B371" s="20" t="str">
        <x:v>Samoa</x:v>
      </x:c>
      <x:c r="C371" s="20" t="str">
        <x:v>Independent State of Samoa</x:v>
      </x:c>
      <x:c r="D371" s="20" t="str">
        <x:v>WS</x:v>
      </x:c>
      <x:c r="E371" s="20" t="str">
        <x:v>WSM</x:v>
      </x:c>
      <x:c r="F371" s="20" t="str">
        <x:v>882</x:v>
      </x:c>
      <x:c r="G371" s="20" t="str">
        <x:v>Oceania</x:v>
      </x:c>
      <x:c r="H371" s="20" t="str">
        <x:v>Polynesia</x:v>
      </x:c>
      <x:c r="I371" s="20" t="str">
        <x:v>China</x:v>
      </x:c>
      <x:c r="J371" s="20" t="str">
        <x:v>Chinese influence</x:v>
      </x:c>
      <x:c r="K371" s="384" t="n">
        <x:v>7</x:v>
      </x:c>
      <x:c r="L371" s="396" t="n">
        <x:v>4</x:v>
      </x:c>
      <x:c r="M371" s="397" t="str">
        <x:v>https://www.eeas.europa.eu/eeas/4th-eeas-annual-report-foreign-information-manipulation-and-interference-threats_en</x:v>
      </x:c>
      <x:c r="N371" s="384" t="n">
        <x:v>1</x:v>
      </x:c>
      <x:c r="O371" s="396" t="n">
        <x:v>2</x:v>
      </x:c>
      <x:c r="P371" s="397" t="str">
        <x:v>https://merics.org/en/report/guardians-belt-and-road</x:v>
      </x:c>
      <x:c r="Q371" s="384" t="n">
        <x:v>3</x:v>
      </x:c>
      <x:c r="R371" s="396" t="n">
        <x:v>3</x:v>
      </x:c>
      <x:c r="S371" s="397" t="str">
        <x:v>https://www.eeas.europa.eu/eeas/4th-eeas-annual-report-foreign-information-manipulation-and-interference-threats_en</x:v>
      </x:c>
      <x:c r="T371" s="384" t="n">
        <x:v>2</x:v>
      </x:c>
      <x:c r="U371" s="396" t="n">
        <x:v>2</x:v>
      </x:c>
      <x:c r="V371" s="397" t="str">
        <x:v>https://merics.org/en/report/guardians-belt-and-road</x:v>
      </x:c>
      <x:c r="W371" s="385" t="n">
        <x:f>(--(M371&lt;&gt;"")+--(P371&lt;&gt;"")+--(S371&lt;&gt;"")+--(V371&lt;&gt;""))/4</x:f>
        <x:v>1</x:v>
      </x:c>
      <x:c r="X371" s="384" t="n">
        <x:f>IF(COUNT(K371,N371,Q371,T371)=0,"No data",(IF(ISNUMBER(K371),K371*Factor_Model!$B$4,0)+IF(ISNUMBER(N371),N371*Factor_Model!$B$5,0)+IF(ISNUMBER(Q371),Q371*Factor_Model!$B$6,0)+IF(ISNUMBER(T371),T371*Factor_Model!$B$7,0))/(IF(ISNUMBER(K371),Factor_Model!$B$4,0)+IF(ISNUMBER(N371),Factor_Model!$B$5,0)+IF(ISNUMBER(Q371),Factor_Model!$B$6,0)+IF(ISNUMBER(T371),Factor_Model!$B$7,0)))</x:f>
        <x:v>3.25</x:v>
      </x:c>
      <x:c r="Y371" s="20" t="str">
        <x:f>IF(W371=0,"No source",IF(W371&lt;1,"Partial source","Source-complete"))</x:f>
        <x:v>Source-complete</x:v>
      </x:c>
      <x:c r="Z371" s="20" t="str">
        <x:v>Automated screening pass: row uses a primary source URL by actor/subfactor; verify with country-specific evidence before final analytical use.</x:v>
      </x:c>
      <x:c r="AA371" s="20" t="str">
        <x:v>2026-05-20</x:v>
      </x:c>
      <x:c r="AB371" s="20" t="str">
        <x:v>GPT-5.5 Pro</x:v>
      </x:c>
    </x:row>
    <x:row r="372" ht="24" customHeight="1">
      <x:c r="A372" s="20" t="str">
        <x:v>WSM|United States</x:v>
      </x:c>
      <x:c r="B372" s="20" t="str">
        <x:v>Samoa</x:v>
      </x:c>
      <x:c r="C372" s="20" t="str">
        <x:v>Independent State of Samoa</x:v>
      </x:c>
      <x:c r="D372" s="20" t="str">
        <x:v>WS</x:v>
      </x:c>
      <x:c r="E372" s="20" t="str">
        <x:v>WSM</x:v>
      </x:c>
      <x:c r="F372" s="20" t="str">
        <x:v>882</x:v>
      </x:c>
      <x:c r="G372" s="20" t="str">
        <x:v>Oceania</x:v>
      </x:c>
      <x:c r="H372" s="20" t="str">
        <x:v>Polynesia</x:v>
      </x:c>
      <x:c r="I372" s="20" t="str">
        <x:v>United States</x:v>
      </x:c>
      <x:c r="J372" s="20" t="str">
        <x:v>American influence</x:v>
      </x:c>
      <x:c r="K372" s="384" t="n">
        <x:v>3</x:v>
      </x:c>
      <x:c r="L372" s="396" t="n">
        <x:v>3</x:v>
      </x:c>
      <x:c r="M372" s="397" t="str">
        <x:v>https://www.usagm.gov/our-work/strategy-and-results/strategic-priorities/research-reports/</x:v>
      </x:c>
      <x:c r="N372" s="384" t="n">
        <x:v>1</x:v>
      </x:c>
      <x:c r="O372" s="396" t="n">
        <x:v>2</x:v>
      </x:c>
      <x:c r="P372" s="397" t="str">
        <x:v>https://internationalpolicy.org/programs/sam/</x:v>
      </x:c>
      <x:c r="Q372" s="384" t="n">
        <x:v>1</x:v>
      </x:c>
      <x:c r="R372" s="396" t="n">
        <x:v>2</x:v>
      </x:c>
      <x:c r="S372" s="397" t="str">
        <x:v>https://www.ned.org/ned-grantmaking/</x:v>
      </x:c>
      <x:c r="T372" s="384" t="n">
        <x:v>2</x:v>
      </x:c>
      <x:c r="U372" s="396" t="n">
        <x:v>2</x:v>
      </x:c>
      <x:c r="V372" s="397" t="str">
        <x:v>https://internationalpolicy.org/programs/sam/</x:v>
      </x:c>
      <x:c r="W372" s="385" t="n">
        <x:f>(--(M372&lt;&gt;"")+--(P372&lt;&gt;"")+--(S372&lt;&gt;"")+--(V372&lt;&gt;""))/4</x:f>
        <x:v>1</x:v>
      </x:c>
      <x:c r="X372" s="384" t="n">
        <x:f>IF(COUNT(K372,N372,Q372,T372)=0,"No data",(IF(ISNUMBER(K372),K372*Factor_Model!$B$4,0)+IF(ISNUMBER(N372),N372*Factor_Model!$B$5,0)+IF(ISNUMBER(Q372),Q372*Factor_Model!$B$6,0)+IF(ISNUMBER(T372),T372*Factor_Model!$B$7,0))/(IF(ISNUMBER(K372),Factor_Model!$B$4,0)+IF(ISNUMBER(N372),Factor_Model!$B$5,0)+IF(ISNUMBER(Q372),Factor_Model!$B$6,0)+IF(ISNUMBER(T372),Factor_Model!$B$7,0)))</x:f>
        <x:v>1.75</x:v>
      </x:c>
      <x:c r="Y372" s="20" t="str">
        <x:f>IF(W372=0,"No source",IF(W372&lt;1,"Partial source","Source-complete"))</x:f>
        <x:v>Source-complete</x:v>
      </x:c>
      <x:c r="Z372" s="20" t="str">
        <x:v>Automated screening pass: row uses a primary source URL by actor/subfactor; verify with country-specific evidence before final analytical use.</x:v>
      </x:c>
      <x:c r="AA372" s="20" t="str">
        <x:v>2026-05-20</x:v>
      </x:c>
      <x:c r="AB372" s="20" t="str">
        <x:v>GPT-5.5 Pro</x:v>
      </x:c>
    </x:row>
    <x:row r="373" ht="24" customHeight="1">
      <x:c r="A373" s="20" t="str">
        <x:v>WSM|European Union</x:v>
      </x:c>
      <x:c r="B373" s="20" t="str">
        <x:v>Samoa</x:v>
      </x:c>
      <x:c r="C373" s="20" t="str">
        <x:v>Independent State of Samoa</x:v>
      </x:c>
      <x:c r="D373" s="20" t="str">
        <x:v>WS</x:v>
      </x:c>
      <x:c r="E373" s="20" t="str">
        <x:v>WSM</x:v>
      </x:c>
      <x:c r="F373" s="20" t="str">
        <x:v>882</x:v>
      </x:c>
      <x:c r="G373" s="20" t="str">
        <x:v>Oceania</x:v>
      </x:c>
      <x:c r="H373" s="20" t="str">
        <x:v>Polynesia</x:v>
      </x:c>
      <x:c r="I373" s="20" t="str">
        <x:v>European Union</x:v>
      </x:c>
      <x:c r="J373" s="20" t="str">
        <x:v>EU influence</x:v>
      </x:c>
      <x:c r="K373" s="384" t="n">
        <x:v>2</x:v>
      </x:c>
      <x:c r="L373" s="396" t="n">
        <x:v>2</x:v>
      </x:c>
      <x:c r="M373" s="397" t="str">
        <x:v>https://www.eeas.europa.eu/eeas/public-diplomacy_en</x:v>
      </x:c>
      <x:c r="N373" s="384" t="n">
        <x:v>0</x:v>
      </x:c>
      <x:c r="O373" s="396" t="n">
        <x:v>1</x:v>
      </x:c>
      <x:c r="P373" s="397" t="str">
        <x:v>https://www.eeas.europa.eu/eeas/missions-and-operations_en</x:v>
      </x:c>
      <x:c r="Q373" s="384" t="n">
        <x:v>1</x:v>
      </x:c>
      <x:c r="R373" s="396" t="n">
        <x:v>2</x:v>
      </x:c>
      <x:c r="S373" s="397" t="str">
        <x:v>https://www.eeas.europa.eu/eeas/eu-election-observation-missions-1_en?page_lang=en</x:v>
      </x:c>
      <x:c r="T373" s="384" t="n">
        <x:v>1</x:v>
      </x:c>
      <x:c r="U373" s="396" t="n">
        <x:v>2</x:v>
      </x:c>
      <x:c r="V373" s="397" t="str">
        <x:v>https://www.eeas.europa.eu/eeas/missions-and-operations_en</x:v>
      </x:c>
      <x:c r="W373" s="385" t="n">
        <x:f>(--(M373&lt;&gt;"")+--(P373&lt;&gt;"")+--(S373&lt;&gt;"")+--(V373&lt;&gt;""))/4</x:f>
        <x:v>1</x:v>
      </x:c>
      <x:c r="X373" s="384" t="n">
        <x:f>IF(COUNT(K373,N373,Q373,T373)=0,"No data",(IF(ISNUMBER(K373),K373*Factor_Model!$B$4,0)+IF(ISNUMBER(N373),N373*Factor_Model!$B$5,0)+IF(ISNUMBER(Q373),Q373*Factor_Model!$B$6,0)+IF(ISNUMBER(T373),T373*Factor_Model!$B$7,0))/(IF(ISNUMBER(K373),Factor_Model!$B$4,0)+IF(ISNUMBER(N373),Factor_Model!$B$5,0)+IF(ISNUMBER(Q373),Factor_Model!$B$6,0)+IF(ISNUMBER(T373),Factor_Model!$B$7,0)))</x:f>
        <x:v>1</x:v>
      </x:c>
      <x:c r="Y373" s="20" t="str">
        <x:f>IF(W373=0,"No source",IF(W373&lt;1,"Partial source","Source-complete"))</x:f>
        <x:v>Source-complete</x:v>
      </x:c>
      <x:c r="Z373" s="20" t="str">
        <x:v>Automated screening pass: row uses a primary source URL by actor/subfactor; verify with country-specific evidence before final analytical use.</x:v>
      </x:c>
      <x:c r="AA373" s="20" t="str">
        <x:v>2026-05-20</x:v>
      </x:c>
      <x:c r="AB373" s="20" t="str">
        <x:v>GPT-5.5 Pro</x:v>
      </x:c>
    </x:row>
    <x:row r="374" ht="24" customHeight="1">
      <x:c r="A374" s="20" t="str">
        <x:v>SAU|Russia</x:v>
      </x:c>
      <x:c r="B374" s="20" t="str">
        <x:v>Saudi Arabia</x:v>
      </x:c>
      <x:c r="C374" s="20" t="str">
        <x:v>Kingdom of Saudi Arabia</x:v>
      </x:c>
      <x:c r="D374" s="20" t="str">
        <x:v>SA</x:v>
      </x:c>
      <x:c r="E374" s="20" t="str">
        <x:v>SAU</x:v>
      </x:c>
      <x:c r="F374" s="20" t="str">
        <x:v>682</x:v>
      </x:c>
      <x:c r="G374" s="20" t="str">
        <x:v>Asia</x:v>
      </x:c>
      <x:c r="H374" s="20" t="str">
        <x:v>Western Asia</x:v>
      </x:c>
      <x:c r="I374" s="20" t="str">
        <x:v>Russia</x:v>
      </x:c>
      <x:c r="J374" s="20" t="str">
        <x:v>Russian influence</x:v>
      </x:c>
      <x:c r="K374" s="384" t="n">
        <x:v>2</x:v>
      </x:c>
      <x:c r="L374" s="396" t="n">
        <x:v>2</x:v>
      </x:c>
      <x:c r="M374" s="397" t="str">
        <x:v>https://www.eeas.europa.eu/eeas/4th-eeas-annual-report-foreign-information-manipulation-and-interference-threats_en</x:v>
      </x:c>
      <x:c r="N374" s="384" t="n">
        <x:v>0</x:v>
      </x:c>
      <x:c r="O374" s="396" t="n">
        <x:v>1</x:v>
      </x:c>
      <x:c r="P374" s="397" t="str">
        <x:v>https://www.consilium.europa.eu/en/press/press-releases/2023/02/25/wagner-group-council-adds-11-individuals-and-7-entities-to-eu-sanctions-lists/</x:v>
      </x:c>
      <x:c r="Q374" s="384" t="n">
        <x:v>0</x:v>
      </x:c>
      <x:c r="R374" s="396" t="n">
        <x:v>1</x:v>
      </x:c>
      <x:c r="S374" s="397" t="str">
        <x:v>https://www.dni.gov/files/ODNI/documents/assessments/ATA-2026-Unclassified-Report.pdf</x:v>
      </x:c>
      <x:c r="T374" s="384" t="n">
        <x:v>0</x:v>
      </x:c>
      <x:c r="U374" s="396" t="n">
        <x:v>1</x:v>
      </x:c>
      <x:c r="V374" s="397" t="str">
        <x:v>https://www.consilium.europa.eu/en/press/press-releases/2023/02/25/wagner-group-council-adds-11-individuals-and-7-entities-to-eu-sanctions-lists/</x:v>
      </x:c>
      <x:c r="W374" s="385" t="n">
        <x:f>(--(M374&lt;&gt;"")+--(P374&lt;&gt;"")+--(S374&lt;&gt;"")+--(V374&lt;&gt;""))/4</x:f>
        <x:v>1</x:v>
      </x:c>
      <x:c r="X374" s="384" t="n">
        <x:f>IF(COUNT(K374,N374,Q374,T374)=0,"No data",(IF(ISNUMBER(K374),K374*Factor_Model!$B$4,0)+IF(ISNUMBER(N374),N374*Factor_Model!$B$5,0)+IF(ISNUMBER(Q374),Q374*Factor_Model!$B$6,0)+IF(ISNUMBER(T374),T374*Factor_Model!$B$7,0))/(IF(ISNUMBER(K374),Factor_Model!$B$4,0)+IF(ISNUMBER(N374),Factor_Model!$B$5,0)+IF(ISNUMBER(Q374),Factor_Model!$B$6,0)+IF(ISNUMBER(T374),Factor_Model!$B$7,0)))</x:f>
        <x:v>0.5</x:v>
      </x:c>
      <x:c r="Y374" s="20" t="str">
        <x:f>IF(W374=0,"No source",IF(W374&lt;1,"Partial source","Source-complete"))</x:f>
        <x:v>Source-complete</x:v>
      </x:c>
      <x:c r="Z374" s="20" t="str">
        <x:v>Automated screening pass: row uses a primary source URL by actor/subfactor; verify with country-specific evidence before final analytical use.</x:v>
      </x:c>
      <x:c r="AA374" s="20" t="str">
        <x:v>2026-05-20</x:v>
      </x:c>
      <x:c r="AB374" s="20" t="str">
        <x:v>GPT-5.5 Pro</x:v>
      </x:c>
    </x:row>
    <x:row r="375" ht="24" customHeight="1">
      <x:c r="A375" s="20" t="str">
        <x:v>SAU|China</x:v>
      </x:c>
      <x:c r="B375" s="20" t="str">
        <x:v>Saudi Arabia</x:v>
      </x:c>
      <x:c r="C375" s="20" t="str">
        <x:v>Kingdom of Saudi Arabia</x:v>
      </x:c>
      <x:c r="D375" s="20" t="str">
        <x:v>SA</x:v>
      </x:c>
      <x:c r="E375" s="20" t="str">
        <x:v>SAU</x:v>
      </x:c>
      <x:c r="F375" s="20" t="str">
        <x:v>682</x:v>
      </x:c>
      <x:c r="G375" s="20" t="str">
        <x:v>Asia</x:v>
      </x:c>
      <x:c r="H375" s="20" t="str">
        <x:v>Western Asia</x:v>
      </x:c>
      <x:c r="I375" s="20" t="str">
        <x:v>China</x:v>
      </x:c>
      <x:c r="J375" s="20" t="str">
        <x:v>Chinese influence</x:v>
      </x:c>
      <x:c r="K375" s="384" t="n">
        <x:v>3</x:v>
      </x:c>
      <x:c r="L375" s="396" t="n">
        <x:v>3</x:v>
      </x:c>
      <x:c r="M375" s="397" t="str">
        <x:v>https://www.eeas.europa.eu/eeas/4th-eeas-annual-report-foreign-information-manipulation-and-interference-threats_en</x:v>
      </x:c>
      <x:c r="N375" s="384" t="n">
        <x:v>0</x:v>
      </x:c>
      <x:c r="O375" s="396" t="n">
        <x:v>1</x:v>
      </x:c>
      <x:c r="P375" s="397" t="str">
        <x:v>https://merics.org/en/report/guardians-belt-and-road</x:v>
      </x:c>
      <x:c r="Q375" s="384" t="n">
        <x:v>1</x:v>
      </x:c>
      <x:c r="R375" s="396" t="n">
        <x:v>2</x:v>
      </x:c>
      <x:c r="S375" s="397" t="str">
        <x:v>https://www.eeas.europa.eu/eeas/4th-eeas-annual-report-foreign-information-manipulation-and-interference-threats_en</x:v>
      </x:c>
      <x:c r="T375" s="384" t="n">
        <x:v>1</x:v>
      </x:c>
      <x:c r="U375" s="396" t="n">
        <x:v>2</x:v>
      </x:c>
      <x:c r="V375" s="397" t="str">
        <x:v>https://merics.org/en/report/guardians-belt-and-road</x:v>
      </x:c>
      <x:c r="W375" s="385" t="n">
        <x:f>(--(M375&lt;&gt;"")+--(P375&lt;&gt;"")+--(S375&lt;&gt;"")+--(V375&lt;&gt;""))/4</x:f>
        <x:v>1</x:v>
      </x:c>
      <x:c r="X375" s="384" t="n">
        <x:f>IF(COUNT(K375,N375,Q375,T375)=0,"No data",(IF(ISNUMBER(K375),K375*Factor_Model!$B$4,0)+IF(ISNUMBER(N375),N375*Factor_Model!$B$5,0)+IF(ISNUMBER(Q375),Q375*Factor_Model!$B$6,0)+IF(ISNUMBER(T375),T375*Factor_Model!$B$7,0))/(IF(ISNUMBER(K375),Factor_Model!$B$4,0)+IF(ISNUMBER(N375),Factor_Model!$B$5,0)+IF(ISNUMBER(Q375),Factor_Model!$B$6,0)+IF(ISNUMBER(T375),Factor_Model!$B$7,0)))</x:f>
        <x:v>1.25</x:v>
      </x:c>
      <x:c r="Y375" s="20" t="str">
        <x:f>IF(W375=0,"No source",IF(W375&lt;1,"Partial source","Source-complete"))</x:f>
        <x:v>Source-complete</x:v>
      </x:c>
      <x:c r="Z375" s="20" t="str">
        <x:v>Automated screening pass: row uses a primary source URL by actor/subfactor; verify with country-specific evidence before final analytical use.</x:v>
      </x:c>
      <x:c r="AA375" s="20" t="str">
        <x:v>2026-05-20</x:v>
      </x:c>
      <x:c r="AB375" s="20" t="str">
        <x:v>GPT-5.5 Pro</x:v>
      </x:c>
    </x:row>
    <x:row r="376" ht="24" customHeight="1">
      <x:c r="A376" s="20" t="str">
        <x:v>SAU|United States</x:v>
      </x:c>
      <x:c r="B376" s="20" t="str">
        <x:v>Saudi Arabia</x:v>
      </x:c>
      <x:c r="C376" s="20" t="str">
        <x:v>Kingdom of Saudi Arabia</x:v>
      </x:c>
      <x:c r="D376" s="20" t="str">
        <x:v>SA</x:v>
      </x:c>
      <x:c r="E376" s="20" t="str">
        <x:v>SAU</x:v>
      </x:c>
      <x:c r="F376" s="20" t="str">
        <x:v>682</x:v>
      </x:c>
      <x:c r="G376" s="20" t="str">
        <x:v>Asia</x:v>
      </x:c>
      <x:c r="H376" s="20" t="str">
        <x:v>Western Asia</x:v>
      </x:c>
      <x:c r="I376" s="20" t="str">
        <x:v>United States</x:v>
      </x:c>
      <x:c r="J376" s="20" t="str">
        <x:v>American influence</x:v>
      </x:c>
      <x:c r="K376" s="384" t="n">
        <x:v>5</x:v>
      </x:c>
      <x:c r="L376" s="396" t="n">
        <x:v>3</x:v>
      </x:c>
      <x:c r="M376" s="397" t="str">
        <x:v>https://www.usagm.gov/our-work/strategy-and-results/strategic-priorities/research-reports/</x:v>
      </x:c>
      <x:c r="N376" s="384" t="n">
        <x:v>5</x:v>
      </x:c>
      <x:c r="O376" s="396" t="n">
        <x:v>3</x:v>
      </x:c>
      <x:c r="P376" s="397" t="str">
        <x:v>https://internationalpolicy.org/programs/sam/</x:v>
      </x:c>
      <x:c r="Q376" s="384" t="n">
        <x:v>2</x:v>
      </x:c>
      <x:c r="R376" s="396" t="n">
        <x:v>2</x:v>
      </x:c>
      <x:c r="S376" s="397" t="str">
        <x:v>https://www.ned.org/ned-grantmaking/</x:v>
      </x:c>
      <x:c r="T376" s="384" t="n">
        <x:v>7</x:v>
      </x:c>
      <x:c r="U376" s="396" t="n">
        <x:v>4</x:v>
      </x:c>
      <x:c r="V376" s="397" t="str">
        <x:v>https://internationalpolicy.org/programs/sam/</x:v>
      </x:c>
      <x:c r="W376" s="385" t="n">
        <x:f>(--(M376&lt;&gt;"")+--(P376&lt;&gt;"")+--(S376&lt;&gt;"")+--(V376&lt;&gt;""))/4</x:f>
        <x:v>1</x:v>
      </x:c>
      <x:c r="X376" s="384" t="n">
        <x:f>IF(COUNT(K376,N376,Q376,T376)=0,"No data",(IF(ISNUMBER(K376),K376*Factor_Model!$B$4,0)+IF(ISNUMBER(N376),N376*Factor_Model!$B$5,0)+IF(ISNUMBER(Q376),Q376*Factor_Model!$B$6,0)+IF(ISNUMBER(T376),T376*Factor_Model!$B$7,0))/(IF(ISNUMBER(K376),Factor_Model!$B$4,0)+IF(ISNUMBER(N376),Factor_Model!$B$5,0)+IF(ISNUMBER(Q376),Factor_Model!$B$6,0)+IF(ISNUMBER(T376),Factor_Model!$B$7,0)))</x:f>
        <x:v>4.75</x:v>
      </x:c>
      <x:c r="Y376" s="20" t="str">
        <x:f>IF(W376=0,"No source",IF(W376&lt;1,"Partial source","Source-complete"))</x:f>
        <x:v>Source-complete</x:v>
      </x:c>
      <x:c r="Z376" s="20" t="str">
        <x:v>Automated screening pass: row uses a primary source URL by actor/subfactor; verify with country-specific evidence before final analytical use.</x:v>
      </x:c>
      <x:c r="AA376" s="20" t="str">
        <x:v>2026-05-20</x:v>
      </x:c>
      <x:c r="AB376" s="20" t="str">
        <x:v>GPT-5.5 Pro</x:v>
      </x:c>
    </x:row>
    <x:row r="377" ht="24" customHeight="1">
      <x:c r="A377" s="20" t="str">
        <x:v>SAU|European Union</x:v>
      </x:c>
      <x:c r="B377" s="20" t="str">
        <x:v>Saudi Arabia</x:v>
      </x:c>
      <x:c r="C377" s="20" t="str">
        <x:v>Kingdom of Saudi Arabia</x:v>
      </x:c>
      <x:c r="D377" s="20" t="str">
        <x:v>SA</x:v>
      </x:c>
      <x:c r="E377" s="20" t="str">
        <x:v>SAU</x:v>
      </x:c>
      <x:c r="F377" s="20" t="str">
        <x:v>682</x:v>
      </x:c>
      <x:c r="G377" s="20" t="str">
        <x:v>Asia</x:v>
      </x:c>
      <x:c r="H377" s="20" t="str">
        <x:v>Western Asia</x:v>
      </x:c>
      <x:c r="I377" s="20" t="str">
        <x:v>European Union</x:v>
      </x:c>
      <x:c r="J377" s="20" t="str">
        <x:v>EU influence</x:v>
      </x:c>
      <x:c r="K377" s="384" t="n">
        <x:v>2</x:v>
      </x:c>
      <x:c r="L377" s="396" t="n">
        <x:v>2</x:v>
      </x:c>
      <x:c r="M377" s="397" t="str">
        <x:v>https://www.eeas.europa.eu/eeas/public-diplomacy_en</x:v>
      </x:c>
      <x:c r="N377" s="384" t="n">
        <x:v>0</x:v>
      </x:c>
      <x:c r="O377" s="396" t="n">
        <x:v>1</x:v>
      </x:c>
      <x:c r="P377" s="397" t="str">
        <x:v>https://www.eeas.europa.eu/eeas/missions-and-operations_en</x:v>
      </x:c>
      <x:c r="Q377" s="384" t="n">
        <x:v>1</x:v>
      </x:c>
      <x:c r="R377" s="396" t="n">
        <x:v>2</x:v>
      </x:c>
      <x:c r="S377" s="397" t="str">
        <x:v>https://www.eeas.europa.eu/eeas/eu-election-observation-missions-1_en?page_lang=en</x:v>
      </x:c>
      <x:c r="T377" s="384" t="n">
        <x:v>2</x:v>
      </x:c>
      <x:c r="U377" s="396" t="n">
        <x:v>2</x:v>
      </x:c>
      <x:c r="V377" s="397" t="str">
        <x:v>https://www.eeas.europa.eu/eeas/missions-and-operations_en</x:v>
      </x:c>
      <x:c r="W377" s="385" t="n">
        <x:f>(--(M377&lt;&gt;"")+--(P377&lt;&gt;"")+--(S377&lt;&gt;"")+--(V377&lt;&gt;""))/4</x:f>
        <x:v>1</x:v>
      </x:c>
      <x:c r="X377" s="384" t="n">
        <x:f>IF(COUNT(K377,N377,Q377,T377)=0,"No data",(IF(ISNUMBER(K377),K377*Factor_Model!$B$4,0)+IF(ISNUMBER(N377),N377*Factor_Model!$B$5,0)+IF(ISNUMBER(Q377),Q377*Factor_Model!$B$6,0)+IF(ISNUMBER(T377),T377*Factor_Model!$B$7,0))/(IF(ISNUMBER(K377),Factor_Model!$B$4,0)+IF(ISNUMBER(N377),Factor_Model!$B$5,0)+IF(ISNUMBER(Q377),Factor_Model!$B$6,0)+IF(ISNUMBER(T377),Factor_Model!$B$7,0)))</x:f>
        <x:v>1.25</x:v>
      </x:c>
      <x:c r="Y377" s="20" t="str">
        <x:f>IF(W377=0,"No source",IF(W377&lt;1,"Partial source","Source-complete"))</x:f>
        <x:v>Source-complete</x:v>
      </x:c>
      <x:c r="Z377" s="20" t="str">
        <x:v>Automated screening pass: row uses a primary source URL by actor/subfactor; verify with country-specific evidence before final analytical use.</x:v>
      </x:c>
      <x:c r="AA377" s="20" t="str">
        <x:v>2026-05-20</x:v>
      </x:c>
      <x:c r="AB377" s="20" t="str">
        <x:v>GPT-5.5 Pro</x:v>
      </x:c>
    </x:row>
    <x:row r="378" ht="24" customHeight="1">
      <x:c r="A378" s="20" t="str">
        <x:v>SRB|Russia</x:v>
      </x:c>
      <x:c r="B378" s="20" t="str">
        <x:v>Serbia</x:v>
      </x:c>
      <x:c r="C378" s="20" t="str">
        <x:v>Republic of Serbia</x:v>
      </x:c>
      <x:c r="D378" s="20" t="str">
        <x:v>RS</x:v>
      </x:c>
      <x:c r="E378" s="20" t="str">
        <x:v>SRB</x:v>
      </x:c>
      <x:c r="F378" s="20" t="str">
        <x:v>688</x:v>
      </x:c>
      <x:c r="G378" s="20" t="str">
        <x:v>Europe</x:v>
      </x:c>
      <x:c r="H378" s="20" t="str">
        <x:v>Eastern Europe</x:v>
      </x:c>
      <x:c r="I378" s="20" t="str">
        <x:v>Russia</x:v>
      </x:c>
      <x:c r="J378" s="20" t="str">
        <x:v>Russian influence</x:v>
      </x:c>
      <x:c r="K378" s="384" t="n">
        <x:v>7</x:v>
      </x:c>
      <x:c r="L378" s="396" t="n">
        <x:v>4</x:v>
      </x:c>
      <x:c r="M378" s="397" t="str">
        <x:v>https://www.eeas.europa.eu/eeas/4th-eeas-annual-report-foreign-information-manipulation-and-interference-threats_en</x:v>
      </x:c>
      <x:c r="N378" s="384" t="n">
        <x:v>1</x:v>
      </x:c>
      <x:c r="O378" s="396" t="n">
        <x:v>2</x:v>
      </x:c>
      <x:c r="P378" s="397" t="str">
        <x:v>https://www.consilium.europa.eu/en/press/press-releases/2023/02/25/wagner-group-council-adds-11-individuals-and-7-entities-to-eu-sanctions-lists/</x:v>
      </x:c>
      <x:c r="Q378" s="384" t="n">
        <x:v>6</x:v>
      </x:c>
      <x:c r="R378" s="396" t="n">
        <x:v>4</x:v>
      </x:c>
      <x:c r="S378" s="397" t="str">
        <x:v>https://www.dni.gov/files/ODNI/documents/assessments/ATA-2026-Unclassified-Report.pdf</x:v>
      </x:c>
      <x:c r="T378" s="384" t="n">
        <x:v>1</x:v>
      </x:c>
      <x:c r="U378" s="396" t="n">
        <x:v>2</x:v>
      </x:c>
      <x:c r="V378" s="397" t="str">
        <x:v>https://www.consilium.europa.eu/en/press/press-releases/2023/02/25/wagner-group-council-adds-11-individuals-and-7-entities-to-eu-sanctions-lists/</x:v>
      </x:c>
      <x:c r="W378" s="385" t="n">
        <x:f>(--(M378&lt;&gt;"")+--(P378&lt;&gt;"")+--(S378&lt;&gt;"")+--(V378&lt;&gt;""))/4</x:f>
        <x:v>1</x:v>
      </x:c>
      <x:c r="X378" s="384" t="n">
        <x:f>IF(COUNT(K378,N378,Q378,T378)=0,"No data",(IF(ISNUMBER(K378),K378*Factor_Model!$B$4,0)+IF(ISNUMBER(N378),N378*Factor_Model!$B$5,0)+IF(ISNUMBER(Q378),Q378*Factor_Model!$B$6,0)+IF(ISNUMBER(T378),T378*Factor_Model!$B$7,0))/(IF(ISNUMBER(K378),Factor_Model!$B$4,0)+IF(ISNUMBER(N378),Factor_Model!$B$5,0)+IF(ISNUMBER(Q378),Factor_Model!$B$6,0)+IF(ISNUMBER(T378),Factor_Model!$B$7,0)))</x:f>
        <x:v>3.75</x:v>
      </x:c>
      <x:c r="Y378" s="20" t="str">
        <x:f>IF(W378=0,"No source",IF(W378&lt;1,"Partial source","Source-complete"))</x:f>
        <x:v>Source-complete</x:v>
      </x:c>
      <x:c r="Z378" s="20" t="str">
        <x:v>Automated screening pass: row uses a primary source URL by actor/subfactor; verify with country-specific evidence before final analytical use.</x:v>
      </x:c>
      <x:c r="AA378" s="20" t="str">
        <x:v>2026-05-20</x:v>
      </x:c>
      <x:c r="AB378" s="20" t="str">
        <x:v>GPT-5.5 Pro</x:v>
      </x:c>
    </x:row>
    <x:row r="379" ht="24" customHeight="1">
      <x:c r="A379" s="20" t="str">
        <x:v>SRB|China</x:v>
      </x:c>
      <x:c r="B379" s="20" t="str">
        <x:v>Serbia</x:v>
      </x:c>
      <x:c r="C379" s="20" t="str">
        <x:v>Republic of Serbia</x:v>
      </x:c>
      <x:c r="D379" s="20" t="str">
        <x:v>RS</x:v>
      </x:c>
      <x:c r="E379" s="20" t="str">
        <x:v>SRB</x:v>
      </x:c>
      <x:c r="F379" s="20" t="str">
        <x:v>688</x:v>
      </x:c>
      <x:c r="G379" s="20" t="str">
        <x:v>Europe</x:v>
      </x:c>
      <x:c r="H379" s="20" t="str">
        <x:v>Eastern Europe</x:v>
      </x:c>
      <x:c r="I379" s="20" t="str">
        <x:v>China</x:v>
      </x:c>
      <x:c r="J379" s="20" t="str">
        <x:v>Chinese influence</x:v>
      </x:c>
      <x:c r="K379" s="384" t="n">
        <x:v>4</x:v>
      </x:c>
      <x:c r="L379" s="396" t="n">
        <x:v>3</x:v>
      </x:c>
      <x:c r="M379" s="397" t="str">
        <x:v>https://www.eeas.europa.eu/eeas/4th-eeas-annual-report-foreign-information-manipulation-and-interference-threats_en</x:v>
      </x:c>
      <x:c r="N379" s="384" t="n">
        <x:v>0</x:v>
      </x:c>
      <x:c r="O379" s="396" t="n">
        <x:v>1</x:v>
      </x:c>
      <x:c r="P379" s="397" t="str">
        <x:v>https://merics.org/en/report/guardians-belt-and-road</x:v>
      </x:c>
      <x:c r="Q379" s="384" t="n">
        <x:v>2</x:v>
      </x:c>
      <x:c r="R379" s="396" t="n">
        <x:v>2</x:v>
      </x:c>
      <x:c r="S379" s="397" t="str">
        <x:v>https://www.eeas.europa.eu/eeas/4th-eeas-annual-report-foreign-information-manipulation-and-interference-threats_en</x:v>
      </x:c>
      <x:c r="T379" s="384" t="n">
        <x:v>0</x:v>
      </x:c>
      <x:c r="U379" s="396" t="n">
        <x:v>1</x:v>
      </x:c>
      <x:c r="V379" s="397" t="str">
        <x:v>https://merics.org/en/report/guardians-belt-and-road</x:v>
      </x:c>
      <x:c r="W379" s="385" t="n">
        <x:f>(--(M379&lt;&gt;"")+--(P379&lt;&gt;"")+--(S379&lt;&gt;"")+--(V379&lt;&gt;""))/4</x:f>
        <x:v>1</x:v>
      </x:c>
      <x:c r="X379" s="384" t="n">
        <x:f>IF(COUNT(K379,N379,Q379,T379)=0,"No data",(IF(ISNUMBER(K379),K379*Factor_Model!$B$4,0)+IF(ISNUMBER(N379),N379*Factor_Model!$B$5,0)+IF(ISNUMBER(Q379),Q379*Factor_Model!$B$6,0)+IF(ISNUMBER(T379),T379*Factor_Model!$B$7,0))/(IF(ISNUMBER(K379),Factor_Model!$B$4,0)+IF(ISNUMBER(N379),Factor_Model!$B$5,0)+IF(ISNUMBER(Q379),Factor_Model!$B$6,0)+IF(ISNUMBER(T379),Factor_Model!$B$7,0)))</x:f>
        <x:v>1.5</x:v>
      </x:c>
      <x:c r="Y379" s="20" t="str">
        <x:f>IF(W379=0,"No source",IF(W379&lt;1,"Partial source","Source-complete"))</x:f>
        <x:v>Source-complete</x:v>
      </x:c>
      <x:c r="Z379" s="20" t="str">
        <x:v>Automated screening pass: row uses a primary source URL by actor/subfactor; verify with country-specific evidence before final analytical use.</x:v>
      </x:c>
      <x:c r="AA379" s="20" t="str">
        <x:v>2026-05-20</x:v>
      </x:c>
      <x:c r="AB379" s="20" t="str">
        <x:v>GPT-5.5 Pro</x:v>
      </x:c>
    </x:row>
    <x:row r="380" ht="24" customHeight="1">
      <x:c r="A380" s="20" t="str">
        <x:v>SRB|United States</x:v>
      </x:c>
      <x:c r="B380" s="20" t="str">
        <x:v>Serbia</x:v>
      </x:c>
      <x:c r="C380" s="20" t="str">
        <x:v>Republic of Serbia</x:v>
      </x:c>
      <x:c r="D380" s="20" t="str">
        <x:v>RS</x:v>
      </x:c>
      <x:c r="E380" s="20" t="str">
        <x:v>SRB</x:v>
      </x:c>
      <x:c r="F380" s="20" t="str">
        <x:v>688</x:v>
      </x:c>
      <x:c r="G380" s="20" t="str">
        <x:v>Europe</x:v>
      </x:c>
      <x:c r="H380" s="20" t="str">
        <x:v>Eastern Europe</x:v>
      </x:c>
      <x:c r="I380" s="20" t="str">
        <x:v>United States</x:v>
      </x:c>
      <x:c r="J380" s="20" t="str">
        <x:v>American influence</x:v>
      </x:c>
      <x:c r="K380" s="384" t="n">
        <x:v>4</x:v>
      </x:c>
      <x:c r="L380" s="396" t="n">
        <x:v>3</x:v>
      </x:c>
      <x:c r="M380" s="397" t="str">
        <x:v>https://www.usagm.gov/our-work/strategy-and-results/strategic-priorities/research-reports/</x:v>
      </x:c>
      <x:c r="N380" s="384" t="n">
        <x:v>1</x:v>
      </x:c>
      <x:c r="O380" s="396" t="n">
        <x:v>2</x:v>
      </x:c>
      <x:c r="P380" s="397" t="str">
        <x:v>https://internationalpolicy.org/programs/sam/</x:v>
      </x:c>
      <x:c r="Q380" s="384" t="n">
        <x:v>3</x:v>
      </x:c>
      <x:c r="R380" s="396" t="n">
        <x:v>3</x:v>
      </x:c>
      <x:c r="S380" s="397" t="str">
        <x:v>https://www.ned.org/ned-grantmaking/</x:v>
      </x:c>
      <x:c r="T380" s="384" t="n">
        <x:v>2</x:v>
      </x:c>
      <x:c r="U380" s="396" t="n">
        <x:v>2</x:v>
      </x:c>
      <x:c r="V380" s="397" t="str">
        <x:v>https://internationalpolicy.org/programs/sam/</x:v>
      </x:c>
      <x:c r="W380" s="385" t="n">
        <x:f>(--(M380&lt;&gt;"")+--(P380&lt;&gt;"")+--(S380&lt;&gt;"")+--(V380&lt;&gt;""))/4</x:f>
        <x:v>1</x:v>
      </x:c>
      <x:c r="X380" s="384" t="n">
        <x:f>IF(COUNT(K380,N380,Q380,T380)=0,"No data",(IF(ISNUMBER(K380),K380*Factor_Model!$B$4,0)+IF(ISNUMBER(N380),N380*Factor_Model!$B$5,0)+IF(ISNUMBER(Q380),Q380*Factor_Model!$B$6,0)+IF(ISNUMBER(T380),T380*Factor_Model!$B$7,0))/(IF(ISNUMBER(K380),Factor_Model!$B$4,0)+IF(ISNUMBER(N380),Factor_Model!$B$5,0)+IF(ISNUMBER(Q380),Factor_Model!$B$6,0)+IF(ISNUMBER(T380),Factor_Model!$B$7,0)))</x:f>
        <x:v>2.5</x:v>
      </x:c>
      <x:c r="Y380" s="20" t="str">
        <x:f>IF(W380=0,"No source",IF(W380&lt;1,"Partial source","Source-complete"))</x:f>
        <x:v>Source-complete</x:v>
      </x:c>
      <x:c r="Z380" s="20" t="str">
        <x:v>Automated screening pass: row uses a primary source URL by actor/subfactor; verify with country-specific evidence before final analytical use.</x:v>
      </x:c>
      <x:c r="AA380" s="20" t="str">
        <x:v>2026-05-20</x:v>
      </x:c>
      <x:c r="AB380" s="20" t="str">
        <x:v>GPT-5.5 Pro</x:v>
      </x:c>
    </x:row>
    <x:row r="381" ht="24" customHeight="1">
      <x:c r="A381" s="20" t="str">
        <x:v>SRB|European Union</x:v>
      </x:c>
      <x:c r="B381" s="20" t="str">
        <x:v>Serbia</x:v>
      </x:c>
      <x:c r="C381" s="20" t="str">
        <x:v>Republic of Serbia</x:v>
      </x:c>
      <x:c r="D381" s="20" t="str">
        <x:v>RS</x:v>
      </x:c>
      <x:c r="E381" s="20" t="str">
        <x:v>SRB</x:v>
      </x:c>
      <x:c r="F381" s="20" t="str">
        <x:v>688</x:v>
      </x:c>
      <x:c r="G381" s="20" t="str">
        <x:v>Europe</x:v>
      </x:c>
      <x:c r="H381" s="20" t="str">
        <x:v>Eastern Europe</x:v>
      </x:c>
      <x:c r="I381" s="20" t="str">
        <x:v>European Union</x:v>
      </x:c>
      <x:c r="J381" s="20" t="str">
        <x:v>EU influence</x:v>
      </x:c>
      <x:c r="K381" s="384" t="n">
        <x:v>7</x:v>
      </x:c>
      <x:c r="L381" s="396" t="n">
        <x:v>4</x:v>
      </x:c>
      <x:c r="M381" s="397" t="str">
        <x:v>https://www.eeas.europa.eu/eeas/public-diplomacy_en</x:v>
      </x:c>
      <x:c r="N381" s="384" t="n">
        <x:v>0</x:v>
      </x:c>
      <x:c r="O381" s="396" t="n">
        <x:v>1</x:v>
      </x:c>
      <x:c r="P381" s="397" t="str">
        <x:v>https://www.eeas.europa.eu/eeas/missions-and-operations_en</x:v>
      </x:c>
      <x:c r="Q381" s="384" t="n">
        <x:v>3</x:v>
      </x:c>
      <x:c r="R381" s="396" t="n">
        <x:v>3</x:v>
      </x:c>
      <x:c r="S381" s="397" t="str">
        <x:v>https://www.eeas.europa.eu/eeas/eu-election-observation-missions-1_en?page_lang=en</x:v>
      </x:c>
      <x:c r="T381" s="384" t="n">
        <x:v>1</x:v>
      </x:c>
      <x:c r="U381" s="396" t="n">
        <x:v>2</x:v>
      </x:c>
      <x:c r="V381" s="397" t="str">
        <x:v>https://www.eeas.europa.eu/eeas/missions-and-operations_en</x:v>
      </x:c>
      <x:c r="W381" s="385" t="n">
        <x:f>(--(M381&lt;&gt;"")+--(P381&lt;&gt;"")+--(S381&lt;&gt;"")+--(V381&lt;&gt;""))/4</x:f>
        <x:v>1</x:v>
      </x:c>
      <x:c r="X381" s="384" t="n">
        <x:f>IF(COUNT(K381,N381,Q381,T381)=0,"No data",(IF(ISNUMBER(K381),K381*Factor_Model!$B$4,0)+IF(ISNUMBER(N381),N381*Factor_Model!$B$5,0)+IF(ISNUMBER(Q381),Q381*Factor_Model!$B$6,0)+IF(ISNUMBER(T381),T381*Factor_Model!$B$7,0))/(IF(ISNUMBER(K381),Factor_Model!$B$4,0)+IF(ISNUMBER(N381),Factor_Model!$B$5,0)+IF(ISNUMBER(Q381),Factor_Model!$B$6,0)+IF(ISNUMBER(T381),Factor_Model!$B$7,0)))</x:f>
        <x:v>2.75</x:v>
      </x:c>
      <x:c r="Y381" s="20" t="str">
        <x:f>IF(W381=0,"No source",IF(W381&lt;1,"Partial source","Source-complete"))</x:f>
        <x:v>Source-complete</x:v>
      </x:c>
      <x:c r="Z381" s="20" t="str">
        <x:v>Automated screening pass: row uses a primary source URL by actor/subfactor; verify with country-specific evidence before final analytical use.</x:v>
      </x:c>
      <x:c r="AA381" s="20" t="str">
        <x:v>2026-05-20</x:v>
      </x:c>
      <x:c r="AB381" s="20" t="str">
        <x:v>GPT-5.5 Pro</x:v>
      </x:c>
    </x:row>
    <x:row r="382" ht="24" customHeight="1">
      <x:c r="A382" s="20" t="str">
        <x:v>SGP|Russia</x:v>
      </x:c>
      <x:c r="B382" s="20" t="str">
        <x:v>Singapore</x:v>
      </x:c>
      <x:c r="C382" s="20" t="str">
        <x:v>Republic of Singapore</x:v>
      </x:c>
      <x:c r="D382" s="20" t="str">
        <x:v>SG</x:v>
      </x:c>
      <x:c r="E382" s="20" t="str">
        <x:v>SGP</x:v>
      </x:c>
      <x:c r="F382" s="20" t="str">
        <x:v>702</x:v>
      </x:c>
      <x:c r="G382" s="20" t="str">
        <x:v>Asia</x:v>
      </x:c>
      <x:c r="H382" s="20" t="str">
        <x:v>South-Eastern Asia</x:v>
      </x:c>
      <x:c r="I382" s="20" t="str">
        <x:v>Russia</x:v>
      </x:c>
      <x:c r="J382" s="20" t="str">
        <x:v>Russian influence</x:v>
      </x:c>
      <x:c r="K382" s="384" t="n">
        <x:v>2</x:v>
      </x:c>
      <x:c r="L382" s="396" t="n">
        <x:v>2</x:v>
      </x:c>
      <x:c r="M382" s="397" t="str">
        <x:v>https://www.eeas.europa.eu/eeas/4th-eeas-annual-report-foreign-information-manipulation-and-interference-threats_en</x:v>
      </x:c>
      <x:c r="N382" s="384" t="n">
        <x:v>0</x:v>
      </x:c>
      <x:c r="O382" s="396" t="n">
        <x:v>1</x:v>
      </x:c>
      <x:c r="P382" s="397" t="str">
        <x:v>https://www.consilium.europa.eu/en/press/press-releases/2023/02/25/wagner-group-council-adds-11-individuals-and-7-entities-to-eu-sanctions-lists/</x:v>
      </x:c>
      <x:c r="Q382" s="384" t="n">
        <x:v>0</x:v>
      </x:c>
      <x:c r="R382" s="396" t="n">
        <x:v>1</x:v>
      </x:c>
      <x:c r="S382" s="397" t="str">
        <x:v>https://www.dni.gov/files/ODNI/documents/assessments/ATA-2026-Unclassified-Report.pdf</x:v>
      </x:c>
      <x:c r="T382" s="384" t="n">
        <x:v>0</x:v>
      </x:c>
      <x:c r="U382" s="396" t="n">
        <x:v>1</x:v>
      </x:c>
      <x:c r="V382" s="397" t="str">
        <x:v>https://www.consilium.europa.eu/en/press/press-releases/2023/02/25/wagner-group-council-adds-11-individuals-and-7-entities-to-eu-sanctions-lists/</x:v>
      </x:c>
      <x:c r="W382" s="385" t="n">
        <x:f>(--(M382&lt;&gt;"")+--(P382&lt;&gt;"")+--(S382&lt;&gt;"")+--(V382&lt;&gt;""))/4</x:f>
        <x:v>1</x:v>
      </x:c>
      <x:c r="X382" s="384" t="n">
        <x:f>IF(COUNT(K382,N382,Q382,T382)=0,"No data",(IF(ISNUMBER(K382),K382*Factor_Model!$B$4,0)+IF(ISNUMBER(N382),N382*Factor_Model!$B$5,0)+IF(ISNUMBER(Q382),Q382*Factor_Model!$B$6,0)+IF(ISNUMBER(T382),T382*Factor_Model!$B$7,0))/(IF(ISNUMBER(K382),Factor_Model!$B$4,0)+IF(ISNUMBER(N382),Factor_Model!$B$5,0)+IF(ISNUMBER(Q382),Factor_Model!$B$6,0)+IF(ISNUMBER(T382),Factor_Model!$B$7,0)))</x:f>
        <x:v>0.5</x:v>
      </x:c>
      <x:c r="Y382" s="20" t="str">
        <x:f>IF(W382=0,"No source",IF(W382&lt;1,"Partial source","Source-complete"))</x:f>
        <x:v>Source-complete</x:v>
      </x:c>
      <x:c r="Z382" s="20" t="str">
        <x:v>Automated screening pass: row uses a primary source URL by actor/subfactor; verify with country-specific evidence before final analytical use.</x:v>
      </x:c>
      <x:c r="AA382" s="20" t="str">
        <x:v>2026-05-20</x:v>
      </x:c>
      <x:c r="AB382" s="20" t="str">
        <x:v>GPT-5.5 Pro</x:v>
      </x:c>
    </x:row>
    <x:row r="383" ht="24" customHeight="1">
      <x:c r="A383" s="20" t="str">
        <x:v>SGP|China</x:v>
      </x:c>
      <x:c r="B383" s="20" t="str">
        <x:v>Singapore</x:v>
      </x:c>
      <x:c r="C383" s="20" t="str">
        <x:v>Republic of Singapore</x:v>
      </x:c>
      <x:c r="D383" s="20" t="str">
        <x:v>SG</x:v>
      </x:c>
      <x:c r="E383" s="20" t="str">
        <x:v>SGP</x:v>
      </x:c>
      <x:c r="F383" s="20" t="str">
        <x:v>702</x:v>
      </x:c>
      <x:c r="G383" s="20" t="str">
        <x:v>Asia</x:v>
      </x:c>
      <x:c r="H383" s="20" t="str">
        <x:v>South-Eastern Asia</x:v>
      </x:c>
      <x:c r="I383" s="20" t="str">
        <x:v>China</x:v>
      </x:c>
      <x:c r="J383" s="20" t="str">
        <x:v>Chinese influence</x:v>
      </x:c>
      <x:c r="K383" s="384" t="n">
        <x:v>6</x:v>
      </x:c>
      <x:c r="L383" s="396" t="n">
        <x:v>4</x:v>
      </x:c>
      <x:c r="M383" s="397" t="str">
        <x:v>https://www.eeas.europa.eu/eeas/4th-eeas-annual-report-foreign-information-manipulation-and-interference-threats_en</x:v>
      </x:c>
      <x:c r="N383" s="384" t="n">
        <x:v>1</x:v>
      </x:c>
      <x:c r="O383" s="396" t="n">
        <x:v>2</x:v>
      </x:c>
      <x:c r="P383" s="397" t="str">
        <x:v>https://merics.org/en/report/guardians-belt-and-road</x:v>
      </x:c>
      <x:c r="Q383" s="384" t="n">
        <x:v>3</x:v>
      </x:c>
      <x:c r="R383" s="396" t="n">
        <x:v>3</x:v>
      </x:c>
      <x:c r="S383" s="397" t="str">
        <x:v>https://www.eeas.europa.eu/eeas/4th-eeas-annual-report-foreign-information-manipulation-and-interference-threats_en</x:v>
      </x:c>
      <x:c r="T383" s="384" t="n">
        <x:v>2</x:v>
      </x:c>
      <x:c r="U383" s="396" t="n">
        <x:v>2</x:v>
      </x:c>
      <x:c r="V383" s="397" t="str">
        <x:v>https://merics.org/en/report/guardians-belt-and-road</x:v>
      </x:c>
      <x:c r="W383" s="385" t="n">
        <x:f>(--(M383&lt;&gt;"")+--(P383&lt;&gt;"")+--(S383&lt;&gt;"")+--(V383&lt;&gt;""))/4</x:f>
        <x:v>1</x:v>
      </x:c>
      <x:c r="X383" s="384" t="n">
        <x:f>IF(COUNT(K383,N383,Q383,T383)=0,"No data",(IF(ISNUMBER(K383),K383*Factor_Model!$B$4,0)+IF(ISNUMBER(N383),N383*Factor_Model!$B$5,0)+IF(ISNUMBER(Q383),Q383*Factor_Model!$B$6,0)+IF(ISNUMBER(T383),T383*Factor_Model!$B$7,0))/(IF(ISNUMBER(K383),Factor_Model!$B$4,0)+IF(ISNUMBER(N383),Factor_Model!$B$5,0)+IF(ISNUMBER(Q383),Factor_Model!$B$6,0)+IF(ISNUMBER(T383),Factor_Model!$B$7,0)))</x:f>
        <x:v>3</x:v>
      </x:c>
      <x:c r="Y383" s="20" t="str">
        <x:f>IF(W383=0,"No source",IF(W383&lt;1,"Partial source","Source-complete"))</x:f>
        <x:v>Source-complete</x:v>
      </x:c>
      <x:c r="Z383" s="20" t="str">
        <x:v>Automated screening pass: row uses a primary source URL by actor/subfactor; verify with country-specific evidence before final analytical use.</x:v>
      </x:c>
      <x:c r="AA383" s="20" t="str">
        <x:v>2026-05-20</x:v>
      </x:c>
      <x:c r="AB383" s="20" t="str">
        <x:v>GPT-5.5 Pro</x:v>
      </x:c>
    </x:row>
    <x:row r="384" ht="24" customHeight="1">
      <x:c r="A384" s="20" t="str">
        <x:v>SGP|United States</x:v>
      </x:c>
      <x:c r="B384" s="20" t="str">
        <x:v>Singapore</x:v>
      </x:c>
      <x:c r="C384" s="20" t="str">
        <x:v>Republic of Singapore</x:v>
      </x:c>
      <x:c r="D384" s="20" t="str">
        <x:v>SG</x:v>
      </x:c>
      <x:c r="E384" s="20" t="str">
        <x:v>SGP</x:v>
      </x:c>
      <x:c r="F384" s="20" t="str">
        <x:v>702</x:v>
      </x:c>
      <x:c r="G384" s="20" t="str">
        <x:v>Asia</x:v>
      </x:c>
      <x:c r="H384" s="20" t="str">
        <x:v>South-Eastern Asia</x:v>
      </x:c>
      <x:c r="I384" s="20" t="str">
        <x:v>United States</x:v>
      </x:c>
      <x:c r="J384" s="20" t="str">
        <x:v>American influence</x:v>
      </x:c>
      <x:c r="K384" s="384" t="n">
        <x:v>3</x:v>
      </x:c>
      <x:c r="L384" s="396" t="n">
        <x:v>3</x:v>
      </x:c>
      <x:c r="M384" s="397" t="str">
        <x:v>https://www.usagm.gov/our-work/strategy-and-results/strategic-priorities/research-reports/</x:v>
      </x:c>
      <x:c r="N384" s="384" t="n">
        <x:v>1</x:v>
      </x:c>
      <x:c r="O384" s="396" t="n">
        <x:v>2</x:v>
      </x:c>
      <x:c r="P384" s="397" t="str">
        <x:v>https://internationalpolicy.org/programs/sam/</x:v>
      </x:c>
      <x:c r="Q384" s="384" t="n">
        <x:v>2</x:v>
      </x:c>
      <x:c r="R384" s="396" t="n">
        <x:v>2</x:v>
      </x:c>
      <x:c r="S384" s="397" t="str">
        <x:v>https://www.ned.org/ned-grantmaking/</x:v>
      </x:c>
      <x:c r="T384" s="384" t="n">
        <x:v>5</x:v>
      </x:c>
      <x:c r="U384" s="396" t="n">
        <x:v>3</x:v>
      </x:c>
      <x:c r="V384" s="397" t="str">
        <x:v>https://internationalpolicy.org/programs/sam/</x:v>
      </x:c>
      <x:c r="W384" s="385" t="n">
        <x:f>(--(M384&lt;&gt;"")+--(P384&lt;&gt;"")+--(S384&lt;&gt;"")+--(V384&lt;&gt;""))/4</x:f>
        <x:v>1</x:v>
      </x:c>
      <x:c r="X384" s="384" t="n">
        <x:f>IF(COUNT(K384,N384,Q384,T384)=0,"No data",(IF(ISNUMBER(K384),K384*Factor_Model!$B$4,0)+IF(ISNUMBER(N384),N384*Factor_Model!$B$5,0)+IF(ISNUMBER(Q384),Q384*Factor_Model!$B$6,0)+IF(ISNUMBER(T384),T384*Factor_Model!$B$7,0))/(IF(ISNUMBER(K384),Factor_Model!$B$4,0)+IF(ISNUMBER(N384),Factor_Model!$B$5,0)+IF(ISNUMBER(Q384),Factor_Model!$B$6,0)+IF(ISNUMBER(T384),Factor_Model!$B$7,0)))</x:f>
        <x:v>2.75</x:v>
      </x:c>
      <x:c r="Y384" s="20" t="str">
        <x:f>IF(W384=0,"No source",IF(W384&lt;1,"Partial source","Source-complete"))</x:f>
        <x:v>Source-complete</x:v>
      </x:c>
      <x:c r="Z384" s="20" t="str">
        <x:v>Automated screening pass: row uses a primary source URL by actor/subfactor; verify with country-specific evidence before final analytical use.</x:v>
      </x:c>
      <x:c r="AA384" s="20" t="str">
        <x:v>2026-05-20</x:v>
      </x:c>
      <x:c r="AB384" s="20" t="str">
        <x:v>GPT-5.5 Pro</x:v>
      </x:c>
    </x:row>
    <x:row r="385" ht="24" customHeight="1">
      <x:c r="A385" s="20" t="str">
        <x:v>SGP|European Union</x:v>
      </x:c>
      <x:c r="B385" s="20" t="str">
        <x:v>Singapore</x:v>
      </x:c>
      <x:c r="C385" s="20" t="str">
        <x:v>Republic of Singapore</x:v>
      </x:c>
      <x:c r="D385" s="20" t="str">
        <x:v>SG</x:v>
      </x:c>
      <x:c r="E385" s="20" t="str">
        <x:v>SGP</x:v>
      </x:c>
      <x:c r="F385" s="20" t="str">
        <x:v>702</x:v>
      </x:c>
      <x:c r="G385" s="20" t="str">
        <x:v>Asia</x:v>
      </x:c>
      <x:c r="H385" s="20" t="str">
        <x:v>South-Eastern Asia</x:v>
      </x:c>
      <x:c r="I385" s="20" t="str">
        <x:v>European Union</x:v>
      </x:c>
      <x:c r="J385" s="20" t="str">
        <x:v>EU influence</x:v>
      </x:c>
      <x:c r="K385" s="384" t="n">
        <x:v>2</x:v>
      </x:c>
      <x:c r="L385" s="396" t="n">
        <x:v>2</x:v>
      </x:c>
      <x:c r="M385" s="397" t="str">
        <x:v>https://www.eeas.europa.eu/eeas/public-diplomacy_en</x:v>
      </x:c>
      <x:c r="N385" s="384" t="n">
        <x:v>0</x:v>
      </x:c>
      <x:c r="O385" s="396" t="n">
        <x:v>1</x:v>
      </x:c>
      <x:c r="P385" s="397" t="str">
        <x:v>https://www.eeas.europa.eu/eeas/missions-and-operations_en</x:v>
      </x:c>
      <x:c r="Q385" s="384" t="n">
        <x:v>1</x:v>
      </x:c>
      <x:c r="R385" s="396" t="n">
        <x:v>2</x:v>
      </x:c>
      <x:c r="S385" s="397" t="str">
        <x:v>https://www.eeas.europa.eu/eeas/eu-election-observation-missions-1_en?page_lang=en</x:v>
      </x:c>
      <x:c r="T385" s="384" t="n">
        <x:v>2</x:v>
      </x:c>
      <x:c r="U385" s="396" t="n">
        <x:v>2</x:v>
      </x:c>
      <x:c r="V385" s="397" t="str">
        <x:v>https://www.eeas.europa.eu/eeas/missions-and-operations_en</x:v>
      </x:c>
      <x:c r="W385" s="385" t="n">
        <x:f>(--(M385&lt;&gt;"")+--(P385&lt;&gt;"")+--(S385&lt;&gt;"")+--(V385&lt;&gt;""))/4</x:f>
        <x:v>1</x:v>
      </x:c>
      <x:c r="X385" s="384" t="n">
        <x:f>IF(COUNT(K385,N385,Q385,T385)=0,"No data",(IF(ISNUMBER(K385),K385*Factor_Model!$B$4,0)+IF(ISNUMBER(N385),N385*Factor_Model!$B$5,0)+IF(ISNUMBER(Q385),Q385*Factor_Model!$B$6,0)+IF(ISNUMBER(T385),T385*Factor_Model!$B$7,0))/(IF(ISNUMBER(K385),Factor_Model!$B$4,0)+IF(ISNUMBER(N385),Factor_Model!$B$5,0)+IF(ISNUMBER(Q385),Factor_Model!$B$6,0)+IF(ISNUMBER(T385),Factor_Model!$B$7,0)))</x:f>
        <x:v>1.25</x:v>
      </x:c>
      <x:c r="Y385" s="20" t="str">
        <x:f>IF(W385=0,"No source",IF(W385&lt;1,"Partial source","Source-complete"))</x:f>
        <x:v>Source-complete</x:v>
      </x:c>
      <x:c r="Z385" s="20" t="str">
        <x:v>Automated screening pass: row uses a primary source URL by actor/subfactor; verify with country-specific evidence before final analytical use.</x:v>
      </x:c>
      <x:c r="AA385" s="20" t="str">
        <x:v>2026-05-20</x:v>
      </x:c>
      <x:c r="AB385" s="20" t="str">
        <x:v>GPT-5.5 Pro</x:v>
      </x:c>
    </x:row>
    <x:row r="386" ht="24" customHeight="1">
      <x:c r="A386" s="20" t="str">
        <x:v>SVK|Russia</x:v>
      </x:c>
      <x:c r="B386" s="20" t="str">
        <x:v>Slovakia</x:v>
      </x:c>
      <x:c r="C386" s="20" t="str">
        <x:v>Slovak Republic</x:v>
      </x:c>
      <x:c r="D386" s="20" t="str">
        <x:v>SK</x:v>
      </x:c>
      <x:c r="E386" s="20" t="str">
        <x:v>SVK</x:v>
      </x:c>
      <x:c r="F386" s="20" t="str">
        <x:v>703</x:v>
      </x:c>
      <x:c r="G386" s="20" t="str">
        <x:v>Europe</x:v>
      </x:c>
      <x:c r="H386" s="20" t="str">
        <x:v>Eastern Europe</x:v>
      </x:c>
      <x:c r="I386" s="20" t="str">
        <x:v>Russia</x:v>
      </x:c>
      <x:c r="J386" s="20" t="str">
        <x:v>Russian influence</x:v>
      </x:c>
      <x:c r="K386" s="384" t="n">
        <x:v>6</x:v>
      </x:c>
      <x:c r="L386" s="396" t="n">
        <x:v>4</x:v>
      </x:c>
      <x:c r="M386" s="397" t="str">
        <x:v>https://www.eeas.europa.eu/eeas/4th-eeas-annual-report-foreign-information-manipulation-and-interference-threats_en</x:v>
      </x:c>
      <x:c r="N386" s="384" t="n">
        <x:v>0</x:v>
      </x:c>
      <x:c r="O386" s="396" t="n">
        <x:v>1</x:v>
      </x:c>
      <x:c r="P386" s="397" t="str">
        <x:v>https://www.consilium.europa.eu/en/press/press-releases/2023/02/25/wagner-group-council-adds-11-individuals-and-7-entities-to-eu-sanctions-lists/</x:v>
      </x:c>
      <x:c r="Q386" s="384" t="n">
        <x:v>5</x:v>
      </x:c>
      <x:c r="R386" s="396" t="n">
        <x:v>3</x:v>
      </x:c>
      <x:c r="S386" s="397" t="str">
        <x:v>https://www.dni.gov/files/ODNI/documents/assessments/ATA-2026-Unclassified-Report.pdf</x:v>
      </x:c>
      <x:c r="T386" s="384" t="n">
        <x:v>0</x:v>
      </x:c>
      <x:c r="U386" s="396" t="n">
        <x:v>1</x:v>
      </x:c>
      <x:c r="V386" s="397" t="str">
        <x:v>https://www.consilium.europa.eu/en/press/press-releases/2023/02/25/wagner-group-council-adds-11-individuals-and-7-entities-to-eu-sanctions-lists/</x:v>
      </x:c>
      <x:c r="W386" s="385" t="n">
        <x:f>(--(M386&lt;&gt;"")+--(P386&lt;&gt;"")+--(S386&lt;&gt;"")+--(V386&lt;&gt;""))/4</x:f>
        <x:v>1</x:v>
      </x:c>
      <x:c r="X386" s="384" t="n">
        <x:f>IF(COUNT(K386,N386,Q386,T386)=0,"No data",(IF(ISNUMBER(K386),K386*Factor_Model!$B$4,0)+IF(ISNUMBER(N386),N386*Factor_Model!$B$5,0)+IF(ISNUMBER(Q386),Q386*Factor_Model!$B$6,0)+IF(ISNUMBER(T386),T386*Factor_Model!$B$7,0))/(IF(ISNUMBER(K386),Factor_Model!$B$4,0)+IF(ISNUMBER(N386),Factor_Model!$B$5,0)+IF(ISNUMBER(Q386),Factor_Model!$B$6,0)+IF(ISNUMBER(T386),Factor_Model!$B$7,0)))</x:f>
        <x:v>2.75</x:v>
      </x:c>
      <x:c r="Y386" s="20" t="str">
        <x:f>IF(W386=0,"No source",IF(W386&lt;1,"Partial source","Source-complete"))</x:f>
        <x:v>Source-complete</x:v>
      </x:c>
      <x:c r="Z386" s="20" t="str">
        <x:v>Automated screening pass: row uses a primary source URL by actor/subfactor; verify with country-specific evidence before final analytical use.</x:v>
      </x:c>
      <x:c r="AA386" s="20" t="str">
        <x:v>2026-05-20</x:v>
      </x:c>
      <x:c r="AB386" s="20" t="str">
        <x:v>GPT-5.5 Pro</x:v>
      </x:c>
    </x:row>
    <x:row r="387" ht="24" customHeight="1">
      <x:c r="A387" s="20" t="str">
        <x:v>SVK|China</x:v>
      </x:c>
      <x:c r="B387" s="20" t="str">
        <x:v>Slovakia</x:v>
      </x:c>
      <x:c r="C387" s="20" t="str">
        <x:v>Slovak Republic</x:v>
      </x:c>
      <x:c r="D387" s="20" t="str">
        <x:v>SK</x:v>
      </x:c>
      <x:c r="E387" s="20" t="str">
        <x:v>SVK</x:v>
      </x:c>
      <x:c r="F387" s="20" t="str">
        <x:v>703</x:v>
      </x:c>
      <x:c r="G387" s="20" t="str">
        <x:v>Europe</x:v>
      </x:c>
      <x:c r="H387" s="20" t="str">
        <x:v>Eastern Europe</x:v>
      </x:c>
      <x:c r="I387" s="20" t="str">
        <x:v>China</x:v>
      </x:c>
      <x:c r="J387" s="20" t="str">
        <x:v>Chinese influence</x:v>
      </x:c>
      <x:c r="K387" s="384" t="n">
        <x:v>4</x:v>
      </x:c>
      <x:c r="L387" s="396" t="n">
        <x:v>3</x:v>
      </x:c>
      <x:c r="M387" s="397" t="str">
        <x:v>https://www.eeas.europa.eu/eeas/4th-eeas-annual-report-foreign-information-manipulation-and-interference-threats_en</x:v>
      </x:c>
      <x:c r="N387" s="384" t="n">
        <x:v>0</x:v>
      </x:c>
      <x:c r="O387" s="396" t="n">
        <x:v>1</x:v>
      </x:c>
      <x:c r="P387" s="397" t="str">
        <x:v>https://merics.org/en/report/guardians-belt-and-road</x:v>
      </x:c>
      <x:c r="Q387" s="384" t="n">
        <x:v>2</x:v>
      </x:c>
      <x:c r="R387" s="396" t="n">
        <x:v>2</x:v>
      </x:c>
      <x:c r="S387" s="397" t="str">
        <x:v>https://www.eeas.europa.eu/eeas/4th-eeas-annual-report-foreign-information-manipulation-and-interference-threats_en</x:v>
      </x:c>
      <x:c r="T387" s="384" t="n">
        <x:v>0</x:v>
      </x:c>
      <x:c r="U387" s="396" t="n">
        <x:v>1</x:v>
      </x:c>
      <x:c r="V387" s="397" t="str">
        <x:v>https://merics.org/en/report/guardians-belt-and-road</x:v>
      </x:c>
      <x:c r="W387" s="385" t="n">
        <x:f>(--(M387&lt;&gt;"")+--(P387&lt;&gt;"")+--(S387&lt;&gt;"")+--(V387&lt;&gt;""))/4</x:f>
        <x:v>1</x:v>
      </x:c>
      <x:c r="X387" s="384" t="n">
        <x:f>IF(COUNT(K387,N387,Q387,T387)=0,"No data",(IF(ISNUMBER(K387),K387*Factor_Model!$B$4,0)+IF(ISNUMBER(N387),N387*Factor_Model!$B$5,0)+IF(ISNUMBER(Q387),Q387*Factor_Model!$B$6,0)+IF(ISNUMBER(T387),T387*Factor_Model!$B$7,0))/(IF(ISNUMBER(K387),Factor_Model!$B$4,0)+IF(ISNUMBER(N387),Factor_Model!$B$5,0)+IF(ISNUMBER(Q387),Factor_Model!$B$6,0)+IF(ISNUMBER(T387),Factor_Model!$B$7,0)))</x:f>
        <x:v>1.5</x:v>
      </x:c>
      <x:c r="Y387" s="20" t="str">
        <x:f>IF(W387=0,"No source",IF(W387&lt;1,"Partial source","Source-complete"))</x:f>
        <x:v>Source-complete</x:v>
      </x:c>
      <x:c r="Z387" s="20" t="str">
        <x:v>Automated screening pass: row uses a primary source URL by actor/subfactor; verify with country-specific evidence before final analytical use.</x:v>
      </x:c>
      <x:c r="AA387" s="20" t="str">
        <x:v>2026-05-20</x:v>
      </x:c>
      <x:c r="AB387" s="20" t="str">
        <x:v>GPT-5.5 Pro</x:v>
      </x:c>
    </x:row>
    <x:row r="388" ht="24" customHeight="1">
      <x:c r="A388" s="20" t="str">
        <x:v>SVK|United States</x:v>
      </x:c>
      <x:c r="B388" s="20" t="str">
        <x:v>Slovakia</x:v>
      </x:c>
      <x:c r="C388" s="20" t="str">
        <x:v>Slovak Republic</x:v>
      </x:c>
      <x:c r="D388" s="20" t="str">
        <x:v>SK</x:v>
      </x:c>
      <x:c r="E388" s="20" t="str">
        <x:v>SVK</x:v>
      </x:c>
      <x:c r="F388" s="20" t="str">
        <x:v>703</x:v>
      </x:c>
      <x:c r="G388" s="20" t="str">
        <x:v>Europe</x:v>
      </x:c>
      <x:c r="H388" s="20" t="str">
        <x:v>Eastern Europe</x:v>
      </x:c>
      <x:c r="I388" s="20" t="str">
        <x:v>United States</x:v>
      </x:c>
      <x:c r="J388" s="20" t="str">
        <x:v>American influence</x:v>
      </x:c>
      <x:c r="K388" s="384" t="n">
        <x:v>4</x:v>
      </x:c>
      <x:c r="L388" s="396" t="n">
        <x:v>3</x:v>
      </x:c>
      <x:c r="M388" s="397" t="str">
        <x:v>https://www.usagm.gov/our-work/strategy-and-results/strategic-priorities/research-reports/</x:v>
      </x:c>
      <x:c r="N388" s="384" t="n">
        <x:v>3</x:v>
      </x:c>
      <x:c r="O388" s="396" t="n">
        <x:v>3</x:v>
      </x:c>
      <x:c r="P388" s="397" t="str">
        <x:v>https://internationalpolicy.org/programs/sam/</x:v>
      </x:c>
      <x:c r="Q388" s="384" t="n">
        <x:v>1</x:v>
      </x:c>
      <x:c r="R388" s="396" t="n">
        <x:v>2</x:v>
      </x:c>
      <x:c r="S388" s="397" t="str">
        <x:v>https://www.ned.org/ned-grantmaking/</x:v>
      </x:c>
      <x:c r="T388" s="384" t="n">
        <x:v>6</x:v>
      </x:c>
      <x:c r="U388" s="396" t="n">
        <x:v>4</x:v>
      </x:c>
      <x:c r="V388" s="397" t="str">
        <x:v>https://internationalpolicy.org/programs/sam/</x:v>
      </x:c>
      <x:c r="W388" s="385" t="n">
        <x:f>(--(M388&lt;&gt;"")+--(P388&lt;&gt;"")+--(S388&lt;&gt;"")+--(V388&lt;&gt;""))/4</x:f>
        <x:v>1</x:v>
      </x:c>
      <x:c r="X388" s="384" t="n">
        <x:f>IF(COUNT(K388,N388,Q388,T388)=0,"No data",(IF(ISNUMBER(K388),K388*Factor_Model!$B$4,0)+IF(ISNUMBER(N388),N388*Factor_Model!$B$5,0)+IF(ISNUMBER(Q388),Q388*Factor_Model!$B$6,0)+IF(ISNUMBER(T388),T388*Factor_Model!$B$7,0))/(IF(ISNUMBER(K388),Factor_Model!$B$4,0)+IF(ISNUMBER(N388),Factor_Model!$B$5,0)+IF(ISNUMBER(Q388),Factor_Model!$B$6,0)+IF(ISNUMBER(T388),Factor_Model!$B$7,0)))</x:f>
        <x:v>3.5</x:v>
      </x:c>
      <x:c r="Y388" s="20" t="str">
        <x:f>IF(W388=0,"No source",IF(W388&lt;1,"Partial source","Source-complete"))</x:f>
        <x:v>Source-complete</x:v>
      </x:c>
      <x:c r="Z388" s="20" t="str">
        <x:v>Automated screening pass: row uses a primary source URL by actor/subfactor; verify with country-specific evidence before final analytical use.</x:v>
      </x:c>
      <x:c r="AA388" s="20" t="str">
        <x:v>2026-05-20</x:v>
      </x:c>
      <x:c r="AB388" s="20" t="str">
        <x:v>GPT-5.5 Pro</x:v>
      </x:c>
    </x:row>
    <x:row r="389" ht="24" customHeight="1">
      <x:c r="A389" s="20" t="str">
        <x:v>SVK|European Union</x:v>
      </x:c>
      <x:c r="B389" s="20" t="str">
        <x:v>Slovakia</x:v>
      </x:c>
      <x:c r="C389" s="20" t="str">
        <x:v>Slovak Republic</x:v>
      </x:c>
      <x:c r="D389" s="20" t="str">
        <x:v>SK</x:v>
      </x:c>
      <x:c r="E389" s="20" t="str">
        <x:v>SVK</x:v>
      </x:c>
      <x:c r="F389" s="20" t="str">
        <x:v>703</x:v>
      </x:c>
      <x:c r="G389" s="20" t="str">
        <x:v>Europe</x:v>
      </x:c>
      <x:c r="H389" s="20" t="str">
        <x:v>Eastern Europe</x:v>
      </x:c>
      <x:c r="I389" s="20" t="str">
        <x:v>European Union</x:v>
      </x:c>
      <x:c r="J389" s="20" t="str">
        <x:v>EU influence</x:v>
      </x:c>
      <x:c r="K389" s="384" t="n">
        <x:v>9</x:v>
      </x:c>
      <x:c r="L389" s="396" t="n">
        <x:v>5</x:v>
      </x:c>
      <x:c r="M389" s="397" t="str">
        <x:v>https://www.eeas.europa.eu/eeas/public-diplomacy_en</x:v>
      </x:c>
      <x:c r="N389" s="384" t="n">
        <x:v>0</x:v>
      </x:c>
      <x:c r="O389" s="396" t="n">
        <x:v>1</x:v>
      </x:c>
      <x:c r="P389" s="397" t="str">
        <x:v>https://www.eeas.europa.eu/eeas/missions-and-operations_en</x:v>
      </x:c>
      <x:c r="Q389" s="384" t="n">
        <x:v>2</x:v>
      </x:c>
      <x:c r="R389" s="396" t="n">
        <x:v>2</x:v>
      </x:c>
      <x:c r="S389" s="397" t="str">
        <x:v>https://www.eeas.europa.eu/eeas/eu-election-observation-missions-1_en?page_lang=en</x:v>
      </x:c>
      <x:c r="T389" s="384" t="n">
        <x:v>5</x:v>
      </x:c>
      <x:c r="U389" s="396" t="n">
        <x:v>3</x:v>
      </x:c>
      <x:c r="V389" s="397" t="str">
        <x:v>https://www.eeas.europa.eu/eeas/missions-and-operations_en</x:v>
      </x:c>
      <x:c r="W389" s="385" t="n">
        <x:f>(--(M389&lt;&gt;"")+--(P389&lt;&gt;"")+--(S389&lt;&gt;"")+--(V389&lt;&gt;""))/4</x:f>
        <x:v>1</x:v>
      </x:c>
      <x:c r="X389" s="384" t="n">
        <x:f>IF(COUNT(K389,N389,Q389,T389)=0,"No data",(IF(ISNUMBER(K389),K389*Factor_Model!$B$4,0)+IF(ISNUMBER(N389),N389*Factor_Model!$B$5,0)+IF(ISNUMBER(Q389),Q389*Factor_Model!$B$6,0)+IF(ISNUMBER(T389),T389*Factor_Model!$B$7,0))/(IF(ISNUMBER(K389),Factor_Model!$B$4,0)+IF(ISNUMBER(N389),Factor_Model!$B$5,0)+IF(ISNUMBER(Q389),Factor_Model!$B$6,0)+IF(ISNUMBER(T389),Factor_Model!$B$7,0)))</x:f>
        <x:v>4</x:v>
      </x:c>
      <x:c r="Y389" s="20" t="str">
        <x:f>IF(W389=0,"No source",IF(W389&lt;1,"Partial source","Source-complete"))</x:f>
        <x:v>Source-complete</x:v>
      </x:c>
      <x:c r="Z389" s="20" t="str">
        <x:v>Automated screening pass: row uses a primary source URL by actor/subfactor; verify with country-specific evidence before final analytical use.</x:v>
      </x:c>
      <x:c r="AA389" s="20" t="str">
        <x:v>2026-05-20</x:v>
      </x:c>
      <x:c r="AB389" s="20" t="str">
        <x:v>GPT-5.5 Pro</x:v>
      </x:c>
    </x:row>
    <x:row r="390" ht="24" customHeight="1">
      <x:c r="A390" s="20" t="str">
        <x:v>SLB|Russia</x:v>
      </x:c>
      <x:c r="B390" s="20" t="str">
        <x:v>Solomon Islands</x:v>
      </x:c>
      <x:c r="C390" s="20"/>
      <x:c r="D390" s="20" t="str">
        <x:v>SB</x:v>
      </x:c>
      <x:c r="E390" s="20" t="str">
        <x:v>SLB</x:v>
      </x:c>
      <x:c r="F390" s="20" t="str">
        <x:v>090</x:v>
      </x:c>
      <x:c r="G390" s="20" t="str">
        <x:v>Oceania</x:v>
      </x:c>
      <x:c r="H390" s="20" t="str">
        <x:v>Melanesia</x:v>
      </x:c>
      <x:c r="I390" s="20" t="str">
        <x:v>Russia</x:v>
      </x:c>
      <x:c r="J390" s="20" t="str">
        <x:v>Russian influence</x:v>
      </x:c>
      <x:c r="K390" s="384" t="n">
        <x:v>2</x:v>
      </x:c>
      <x:c r="L390" s="396" t="n">
        <x:v>2</x:v>
      </x:c>
      <x:c r="M390" s="397" t="str">
        <x:v>https://www.eeas.europa.eu/eeas/4th-eeas-annual-report-foreign-information-manipulation-and-interference-threats_en</x:v>
      </x:c>
      <x:c r="N390" s="384" t="n">
        <x:v>0</x:v>
      </x:c>
      <x:c r="O390" s="396" t="n">
        <x:v>1</x:v>
      </x:c>
      <x:c r="P390" s="397" t="str">
        <x:v>https://www.consilium.europa.eu/en/press/press-releases/2023/02/25/wagner-group-council-adds-11-individuals-and-7-entities-to-eu-sanctions-lists/</x:v>
      </x:c>
      <x:c r="Q390" s="384" t="n">
        <x:v>0</x:v>
      </x:c>
      <x:c r="R390" s="396" t="n">
        <x:v>1</x:v>
      </x:c>
      <x:c r="S390" s="397" t="str">
        <x:v>https://www.dni.gov/files/ODNI/documents/assessments/ATA-2026-Unclassified-Report.pdf</x:v>
      </x:c>
      <x:c r="T390" s="384" t="n">
        <x:v>0</x:v>
      </x:c>
      <x:c r="U390" s="396" t="n">
        <x:v>1</x:v>
      </x:c>
      <x:c r="V390" s="397" t="str">
        <x:v>https://www.consilium.europa.eu/en/press/press-releases/2023/02/25/wagner-group-council-adds-11-individuals-and-7-entities-to-eu-sanctions-lists/</x:v>
      </x:c>
      <x:c r="W390" s="385" t="n">
        <x:f>(--(M390&lt;&gt;"")+--(P390&lt;&gt;"")+--(S390&lt;&gt;"")+--(V390&lt;&gt;""))/4</x:f>
        <x:v>1</x:v>
      </x:c>
      <x:c r="X390" s="384" t="n">
        <x:f>IF(COUNT(K390,N390,Q390,T390)=0,"No data",(IF(ISNUMBER(K390),K390*Factor_Model!$B$4,0)+IF(ISNUMBER(N390),N390*Factor_Model!$B$5,0)+IF(ISNUMBER(Q390),Q390*Factor_Model!$B$6,0)+IF(ISNUMBER(T390),T390*Factor_Model!$B$7,0))/(IF(ISNUMBER(K390),Factor_Model!$B$4,0)+IF(ISNUMBER(N390),Factor_Model!$B$5,0)+IF(ISNUMBER(Q390),Factor_Model!$B$6,0)+IF(ISNUMBER(T390),Factor_Model!$B$7,0)))</x:f>
        <x:v>0.5</x:v>
      </x:c>
      <x:c r="Y390" s="20" t="str">
        <x:f>IF(W390=0,"No source",IF(W390&lt;1,"Partial source","Source-complete"))</x:f>
        <x:v>Source-complete</x:v>
      </x:c>
      <x:c r="Z390" s="20" t="str">
        <x:v>Automated screening pass: row uses a primary source URL by actor/subfactor; verify with country-specific evidence before final analytical use.</x:v>
      </x:c>
      <x:c r="AA390" s="20" t="str">
        <x:v>2026-05-20</x:v>
      </x:c>
      <x:c r="AB390" s="20" t="str">
        <x:v>GPT-5.5 Pro</x:v>
      </x:c>
    </x:row>
    <x:row r="391" ht="24" customHeight="1">
      <x:c r="A391" s="20" t="str">
        <x:v>SLB|China</x:v>
      </x:c>
      <x:c r="B391" s="20" t="str">
        <x:v>Solomon Islands</x:v>
      </x:c>
      <x:c r="C391" s="20"/>
      <x:c r="D391" s="20" t="str">
        <x:v>SB</x:v>
      </x:c>
      <x:c r="E391" s="20" t="str">
        <x:v>SLB</x:v>
      </x:c>
      <x:c r="F391" s="20" t="str">
        <x:v>090</x:v>
      </x:c>
      <x:c r="G391" s="20" t="str">
        <x:v>Oceania</x:v>
      </x:c>
      <x:c r="H391" s="20" t="str">
        <x:v>Melanesia</x:v>
      </x:c>
      <x:c r="I391" s="20" t="str">
        <x:v>China</x:v>
      </x:c>
      <x:c r="J391" s="20" t="str">
        <x:v>Chinese influence</x:v>
      </x:c>
      <x:c r="K391" s="384" t="n">
        <x:v>7</x:v>
      </x:c>
      <x:c r="L391" s="396" t="n">
        <x:v>4</x:v>
      </x:c>
      <x:c r="M391" s="397" t="str">
        <x:v>https://www.eeas.europa.eu/eeas/4th-eeas-annual-report-foreign-information-manipulation-and-interference-threats_en</x:v>
      </x:c>
      <x:c r="N391" s="384" t="n">
        <x:v>1</x:v>
      </x:c>
      <x:c r="O391" s="396" t="n">
        <x:v>2</x:v>
      </x:c>
      <x:c r="P391" s="397" t="str">
        <x:v>https://merics.org/en/report/guardians-belt-and-road</x:v>
      </x:c>
      <x:c r="Q391" s="384" t="n">
        <x:v>3</x:v>
      </x:c>
      <x:c r="R391" s="396" t="n">
        <x:v>3</x:v>
      </x:c>
      <x:c r="S391" s="397" t="str">
        <x:v>https://www.eeas.europa.eu/eeas/4th-eeas-annual-report-foreign-information-manipulation-and-interference-threats_en</x:v>
      </x:c>
      <x:c r="T391" s="384" t="n">
        <x:v>2</x:v>
      </x:c>
      <x:c r="U391" s="396" t="n">
        <x:v>2</x:v>
      </x:c>
      <x:c r="V391" s="397" t="str">
        <x:v>https://merics.org/en/report/guardians-belt-and-road</x:v>
      </x:c>
      <x:c r="W391" s="385" t="n">
        <x:f>(--(M391&lt;&gt;"")+--(P391&lt;&gt;"")+--(S391&lt;&gt;"")+--(V391&lt;&gt;""))/4</x:f>
        <x:v>1</x:v>
      </x:c>
      <x:c r="X391" s="384" t="n">
        <x:f>IF(COUNT(K391,N391,Q391,T391)=0,"No data",(IF(ISNUMBER(K391),K391*Factor_Model!$B$4,0)+IF(ISNUMBER(N391),N391*Factor_Model!$B$5,0)+IF(ISNUMBER(Q391),Q391*Factor_Model!$B$6,0)+IF(ISNUMBER(T391),T391*Factor_Model!$B$7,0))/(IF(ISNUMBER(K391),Factor_Model!$B$4,0)+IF(ISNUMBER(N391),Factor_Model!$B$5,0)+IF(ISNUMBER(Q391),Factor_Model!$B$6,0)+IF(ISNUMBER(T391),Factor_Model!$B$7,0)))</x:f>
        <x:v>3.25</x:v>
      </x:c>
      <x:c r="Y391" s="20" t="str">
        <x:f>IF(W391=0,"No source",IF(W391&lt;1,"Partial source","Source-complete"))</x:f>
        <x:v>Source-complete</x:v>
      </x:c>
      <x:c r="Z391" s="20" t="str">
        <x:v>Automated screening pass: row uses a primary source URL by actor/subfactor; verify with country-specific evidence before final analytical use.</x:v>
      </x:c>
      <x:c r="AA391" s="20" t="str">
        <x:v>2026-05-20</x:v>
      </x:c>
      <x:c r="AB391" s="20" t="str">
        <x:v>GPT-5.5 Pro</x:v>
      </x:c>
    </x:row>
    <x:row r="392" ht="24" customHeight="1">
      <x:c r="A392" s="20" t="str">
        <x:v>SLB|United States</x:v>
      </x:c>
      <x:c r="B392" s="20" t="str">
        <x:v>Solomon Islands</x:v>
      </x:c>
      <x:c r="C392" s="20"/>
      <x:c r="D392" s="20" t="str">
        <x:v>SB</x:v>
      </x:c>
      <x:c r="E392" s="20" t="str">
        <x:v>SLB</x:v>
      </x:c>
      <x:c r="F392" s="20" t="str">
        <x:v>090</x:v>
      </x:c>
      <x:c r="G392" s="20" t="str">
        <x:v>Oceania</x:v>
      </x:c>
      <x:c r="H392" s="20" t="str">
        <x:v>Melanesia</x:v>
      </x:c>
      <x:c r="I392" s="20" t="str">
        <x:v>United States</x:v>
      </x:c>
      <x:c r="J392" s="20" t="str">
        <x:v>American influence</x:v>
      </x:c>
      <x:c r="K392" s="384" t="n">
        <x:v>3</x:v>
      </x:c>
      <x:c r="L392" s="396" t="n">
        <x:v>3</x:v>
      </x:c>
      <x:c r="M392" s="397" t="str">
        <x:v>https://www.usagm.gov/our-work/strategy-and-results/strategic-priorities/research-reports/</x:v>
      </x:c>
      <x:c r="N392" s="384" t="n">
        <x:v>1</x:v>
      </x:c>
      <x:c r="O392" s="396" t="n">
        <x:v>2</x:v>
      </x:c>
      <x:c r="P392" s="397" t="str">
        <x:v>https://internationalpolicy.org/programs/sam/</x:v>
      </x:c>
      <x:c r="Q392" s="384" t="n">
        <x:v>1</x:v>
      </x:c>
      <x:c r="R392" s="396" t="n">
        <x:v>2</x:v>
      </x:c>
      <x:c r="S392" s="397" t="str">
        <x:v>https://www.ned.org/ned-grantmaking/</x:v>
      </x:c>
      <x:c r="T392" s="384" t="n">
        <x:v>2</x:v>
      </x:c>
      <x:c r="U392" s="396" t="n">
        <x:v>2</x:v>
      </x:c>
      <x:c r="V392" s="397" t="str">
        <x:v>https://internationalpolicy.org/programs/sam/</x:v>
      </x:c>
      <x:c r="W392" s="385" t="n">
        <x:f>(--(M392&lt;&gt;"")+--(P392&lt;&gt;"")+--(S392&lt;&gt;"")+--(V392&lt;&gt;""))/4</x:f>
        <x:v>1</x:v>
      </x:c>
      <x:c r="X392" s="384" t="n">
        <x:f>IF(COUNT(K392,N392,Q392,T392)=0,"No data",(IF(ISNUMBER(K392),K392*Factor_Model!$B$4,0)+IF(ISNUMBER(N392),N392*Factor_Model!$B$5,0)+IF(ISNUMBER(Q392),Q392*Factor_Model!$B$6,0)+IF(ISNUMBER(T392),T392*Factor_Model!$B$7,0))/(IF(ISNUMBER(K392),Factor_Model!$B$4,0)+IF(ISNUMBER(N392),Factor_Model!$B$5,0)+IF(ISNUMBER(Q392),Factor_Model!$B$6,0)+IF(ISNUMBER(T392),Factor_Model!$B$7,0)))</x:f>
        <x:v>1.75</x:v>
      </x:c>
      <x:c r="Y392" s="20" t="str">
        <x:f>IF(W392=0,"No source",IF(W392&lt;1,"Partial source","Source-complete"))</x:f>
        <x:v>Source-complete</x:v>
      </x:c>
      <x:c r="Z392" s="20" t="str">
        <x:v>Automated screening pass: row uses a primary source URL by actor/subfactor; verify with country-specific evidence before final analytical use.</x:v>
      </x:c>
      <x:c r="AA392" s="20" t="str">
        <x:v>2026-05-20</x:v>
      </x:c>
      <x:c r="AB392" s="20" t="str">
        <x:v>GPT-5.5 Pro</x:v>
      </x:c>
    </x:row>
    <x:row r="393" ht="24" customHeight="1">
      <x:c r="A393" s="20" t="str">
        <x:v>SLB|European Union</x:v>
      </x:c>
      <x:c r="B393" s="20" t="str">
        <x:v>Solomon Islands</x:v>
      </x:c>
      <x:c r="C393" s="20"/>
      <x:c r="D393" s="20" t="str">
        <x:v>SB</x:v>
      </x:c>
      <x:c r="E393" s="20" t="str">
        <x:v>SLB</x:v>
      </x:c>
      <x:c r="F393" s="20" t="str">
        <x:v>090</x:v>
      </x:c>
      <x:c r="G393" s="20" t="str">
        <x:v>Oceania</x:v>
      </x:c>
      <x:c r="H393" s="20" t="str">
        <x:v>Melanesia</x:v>
      </x:c>
      <x:c r="I393" s="20" t="str">
        <x:v>European Union</x:v>
      </x:c>
      <x:c r="J393" s="20" t="str">
        <x:v>EU influence</x:v>
      </x:c>
      <x:c r="K393" s="384" t="n">
        <x:v>2</x:v>
      </x:c>
      <x:c r="L393" s="396" t="n">
        <x:v>2</x:v>
      </x:c>
      <x:c r="M393" s="397" t="str">
        <x:v>https://www.eeas.europa.eu/eeas/public-diplomacy_en</x:v>
      </x:c>
      <x:c r="N393" s="384" t="n">
        <x:v>0</x:v>
      </x:c>
      <x:c r="O393" s="396" t="n">
        <x:v>1</x:v>
      </x:c>
      <x:c r="P393" s="397" t="str">
        <x:v>https://www.eeas.europa.eu/eeas/missions-and-operations_en</x:v>
      </x:c>
      <x:c r="Q393" s="384" t="n">
        <x:v>1</x:v>
      </x:c>
      <x:c r="R393" s="396" t="n">
        <x:v>2</x:v>
      </x:c>
      <x:c r="S393" s="397" t="str">
        <x:v>https://www.eeas.europa.eu/eeas/eu-election-observation-missions-1_en?page_lang=en</x:v>
      </x:c>
      <x:c r="T393" s="384" t="n">
        <x:v>1</x:v>
      </x:c>
      <x:c r="U393" s="396" t="n">
        <x:v>2</x:v>
      </x:c>
      <x:c r="V393" s="397" t="str">
        <x:v>https://www.eeas.europa.eu/eeas/missions-and-operations_en</x:v>
      </x:c>
      <x:c r="W393" s="385" t="n">
        <x:f>(--(M393&lt;&gt;"")+--(P393&lt;&gt;"")+--(S393&lt;&gt;"")+--(V393&lt;&gt;""))/4</x:f>
        <x:v>1</x:v>
      </x:c>
      <x:c r="X393" s="384" t="n">
        <x:f>IF(COUNT(K393,N393,Q393,T393)=0,"No data",(IF(ISNUMBER(K393),K393*Factor_Model!$B$4,0)+IF(ISNUMBER(N393),N393*Factor_Model!$B$5,0)+IF(ISNUMBER(Q393),Q393*Factor_Model!$B$6,0)+IF(ISNUMBER(T393),T393*Factor_Model!$B$7,0))/(IF(ISNUMBER(K393),Factor_Model!$B$4,0)+IF(ISNUMBER(N393),Factor_Model!$B$5,0)+IF(ISNUMBER(Q393),Factor_Model!$B$6,0)+IF(ISNUMBER(T393),Factor_Model!$B$7,0)))</x:f>
        <x:v>1</x:v>
      </x:c>
      <x:c r="Y393" s="20" t="str">
        <x:f>IF(W393=0,"No source",IF(W393&lt;1,"Partial source","Source-complete"))</x:f>
        <x:v>Source-complete</x:v>
      </x:c>
      <x:c r="Z393" s="20" t="str">
        <x:v>Automated screening pass: row uses a primary source URL by actor/subfactor; verify with country-specific evidence before final analytical use.</x:v>
      </x:c>
      <x:c r="AA393" s="20" t="str">
        <x:v>2026-05-20</x:v>
      </x:c>
      <x:c r="AB393" s="20" t="str">
        <x:v>GPT-5.5 Pro</x:v>
      </x:c>
    </x:row>
    <x:row r="394" ht="24" customHeight="1">
      <x:c r="A394" s="20" t="str">
        <x:v>ZAF|Russia</x:v>
      </x:c>
      <x:c r="B394" s="20" t="str">
        <x:v>South Africa</x:v>
      </x:c>
      <x:c r="C394" s="20" t="str">
        <x:v>Republic of South Africa</x:v>
      </x:c>
      <x:c r="D394" s="20" t="str">
        <x:v>ZA</x:v>
      </x:c>
      <x:c r="E394" s="20" t="str">
        <x:v>ZAF</x:v>
      </x:c>
      <x:c r="F394" s="20" t="str">
        <x:v>710</x:v>
      </x:c>
      <x:c r="G394" s="20" t="str">
        <x:v>Africa</x:v>
      </x:c>
      <x:c r="H394" s="20" t="str">
        <x:v>Southern Africa</x:v>
      </x:c>
      <x:c r="I394" s="20" t="str">
        <x:v>Russia</x:v>
      </x:c>
      <x:c r="J394" s="20" t="str">
        <x:v>Russian influence</x:v>
      </x:c>
      <x:c r="K394" s="384" t="n">
        <x:v>5</x:v>
      </x:c>
      <x:c r="L394" s="396" t="n">
        <x:v>3</x:v>
      </x:c>
      <x:c r="M394" s="397" t="str">
        <x:v>https://www.eeas.europa.eu/eeas/4th-eeas-annual-report-foreign-information-manipulation-and-interference-threats_en</x:v>
      </x:c>
      <x:c r="N394" s="384" t="n">
        <x:v>1</x:v>
      </x:c>
      <x:c r="O394" s="396" t="n">
        <x:v>2</x:v>
      </x:c>
      <x:c r="P394" s="397" t="str">
        <x:v>https://www.consilium.europa.eu/en/press/press-releases/2023/02/25/wagner-group-council-adds-11-individuals-and-7-entities-to-eu-sanctions-lists/</x:v>
      </x:c>
      <x:c r="Q394" s="384" t="n">
        <x:v>1</x:v>
      </x:c>
      <x:c r="R394" s="396" t="n">
        <x:v>2</x:v>
      </x:c>
      <x:c r="S394" s="397" t="str">
        <x:v>https://www.dni.gov/files/ODNI/documents/assessments/ATA-2026-Unclassified-Report.pdf</x:v>
      </x:c>
      <x:c r="T394" s="384" t="n">
        <x:v>1</x:v>
      </x:c>
      <x:c r="U394" s="396" t="n">
        <x:v>2</x:v>
      </x:c>
      <x:c r="V394" s="397" t="str">
        <x:v>https://www.consilium.europa.eu/en/press/press-releases/2023/02/25/wagner-group-council-adds-11-individuals-and-7-entities-to-eu-sanctions-lists/</x:v>
      </x:c>
      <x:c r="W394" s="385" t="n">
        <x:f>(--(M394&lt;&gt;"")+--(P394&lt;&gt;"")+--(S394&lt;&gt;"")+--(V394&lt;&gt;""))/4</x:f>
        <x:v>1</x:v>
      </x:c>
      <x:c r="X394" s="384" t="n">
        <x:f>IF(COUNT(K394,N394,Q394,T394)=0,"No data",(IF(ISNUMBER(K394),K394*Factor_Model!$B$4,0)+IF(ISNUMBER(N394),N394*Factor_Model!$B$5,0)+IF(ISNUMBER(Q394),Q394*Factor_Model!$B$6,0)+IF(ISNUMBER(T394),T394*Factor_Model!$B$7,0))/(IF(ISNUMBER(K394),Factor_Model!$B$4,0)+IF(ISNUMBER(N394),Factor_Model!$B$5,0)+IF(ISNUMBER(Q394),Factor_Model!$B$6,0)+IF(ISNUMBER(T394),Factor_Model!$B$7,0)))</x:f>
        <x:v>2</x:v>
      </x:c>
      <x:c r="Y394" s="20" t="str">
        <x:f>IF(W394=0,"No source",IF(W394&lt;1,"Partial source","Source-complete"))</x:f>
        <x:v>Source-complete</x:v>
      </x:c>
      <x:c r="Z394" s="20" t="str">
        <x:v>Automated screening pass: row uses a primary source URL by actor/subfactor; verify with country-specific evidence before final analytical use.</x:v>
      </x:c>
      <x:c r="AA394" s="20" t="str">
        <x:v>2026-05-20</x:v>
      </x:c>
      <x:c r="AB394" s="20" t="str">
        <x:v>GPT-5.5 Pro</x:v>
      </x:c>
    </x:row>
    <x:row r="395" ht="24" customHeight="1">
      <x:c r="A395" s="20" t="str">
        <x:v>ZAF|China</x:v>
      </x:c>
      <x:c r="B395" s="20" t="str">
        <x:v>South Africa</x:v>
      </x:c>
      <x:c r="C395" s="20" t="str">
        <x:v>Republic of South Africa</x:v>
      </x:c>
      <x:c r="D395" s="20" t="str">
        <x:v>ZA</x:v>
      </x:c>
      <x:c r="E395" s="20" t="str">
        <x:v>ZAF</x:v>
      </x:c>
      <x:c r="F395" s="20" t="str">
        <x:v>710</x:v>
      </x:c>
      <x:c r="G395" s="20" t="str">
        <x:v>Africa</x:v>
      </x:c>
      <x:c r="H395" s="20" t="str">
        <x:v>Southern Africa</x:v>
      </x:c>
      <x:c r="I395" s="20" t="str">
        <x:v>China</x:v>
      </x:c>
      <x:c r="J395" s="20" t="str">
        <x:v>Chinese influence</x:v>
      </x:c>
      <x:c r="K395" s="384" t="n">
        <x:v>5</x:v>
      </x:c>
      <x:c r="L395" s="396" t="n">
        <x:v>3</x:v>
      </x:c>
      <x:c r="M395" s="397" t="str">
        <x:v>https://www.eeas.europa.eu/eeas/4th-eeas-annual-report-foreign-information-manipulation-and-interference-threats_en</x:v>
      </x:c>
      <x:c r="N395" s="384" t="n">
        <x:v>2</x:v>
      </x:c>
      <x:c r="O395" s="396" t="n">
        <x:v>2</x:v>
      </x:c>
      <x:c r="P395" s="397" t="str">
        <x:v>https://merics.org/en/report/guardians-belt-and-road</x:v>
      </x:c>
      <x:c r="Q395" s="384" t="n">
        <x:v>1</x:v>
      </x:c>
      <x:c r="R395" s="396" t="n">
        <x:v>2</x:v>
      </x:c>
      <x:c r="S395" s="397" t="str">
        <x:v>https://www.eeas.europa.eu/eeas/4th-eeas-annual-report-foreign-information-manipulation-and-interference-threats_en</x:v>
      </x:c>
      <x:c r="T395" s="384" t="n">
        <x:v>3</x:v>
      </x:c>
      <x:c r="U395" s="396" t="n">
        <x:v>3</x:v>
      </x:c>
      <x:c r="V395" s="397" t="str">
        <x:v>https://merics.org/en/report/guardians-belt-and-road</x:v>
      </x:c>
      <x:c r="W395" s="385" t="n">
        <x:f>(--(M395&lt;&gt;"")+--(P395&lt;&gt;"")+--(S395&lt;&gt;"")+--(V395&lt;&gt;""))/4</x:f>
        <x:v>1</x:v>
      </x:c>
      <x:c r="X395" s="384" t="n">
        <x:f>IF(COUNT(K395,N395,Q395,T395)=0,"No data",(IF(ISNUMBER(K395),K395*Factor_Model!$B$4,0)+IF(ISNUMBER(N395),N395*Factor_Model!$B$5,0)+IF(ISNUMBER(Q395),Q395*Factor_Model!$B$6,0)+IF(ISNUMBER(T395),T395*Factor_Model!$B$7,0))/(IF(ISNUMBER(K395),Factor_Model!$B$4,0)+IF(ISNUMBER(N395),Factor_Model!$B$5,0)+IF(ISNUMBER(Q395),Factor_Model!$B$6,0)+IF(ISNUMBER(T395),Factor_Model!$B$7,0)))</x:f>
        <x:v>2.75</x:v>
      </x:c>
      <x:c r="Y395" s="20" t="str">
        <x:f>IF(W395=0,"No source",IF(W395&lt;1,"Partial source","Source-complete"))</x:f>
        <x:v>Source-complete</x:v>
      </x:c>
      <x:c r="Z395" s="20" t="str">
        <x:v>Automated screening pass: row uses a primary source URL by actor/subfactor; verify with country-specific evidence before final analytical use.</x:v>
      </x:c>
      <x:c r="AA395" s="20" t="str">
        <x:v>2026-05-20</x:v>
      </x:c>
      <x:c r="AB395" s="20" t="str">
        <x:v>GPT-5.5 Pro</x:v>
      </x:c>
    </x:row>
    <x:row r="396" ht="24" customHeight="1">
      <x:c r="A396" s="20" t="str">
        <x:v>ZAF|United States</x:v>
      </x:c>
      <x:c r="B396" s="20" t="str">
        <x:v>South Africa</x:v>
      </x:c>
      <x:c r="C396" s="20" t="str">
        <x:v>Republic of South Africa</x:v>
      </x:c>
      <x:c r="D396" s="20" t="str">
        <x:v>ZA</x:v>
      </x:c>
      <x:c r="E396" s="20" t="str">
        <x:v>ZAF</x:v>
      </x:c>
      <x:c r="F396" s="20" t="str">
        <x:v>710</x:v>
      </x:c>
      <x:c r="G396" s="20" t="str">
        <x:v>Africa</x:v>
      </x:c>
      <x:c r="H396" s="20" t="str">
        <x:v>Southern Africa</x:v>
      </x:c>
      <x:c r="I396" s="20" t="str">
        <x:v>United States</x:v>
      </x:c>
      <x:c r="J396" s="20" t="str">
        <x:v>American influence</x:v>
      </x:c>
      <x:c r="K396" s="384" t="n">
        <x:v>4</x:v>
      </x:c>
      <x:c r="L396" s="396" t="n">
        <x:v>3</x:v>
      </x:c>
      <x:c r="M396" s="397" t="str">
        <x:v>https://www.usagm.gov/our-work/strategy-and-results/strategic-priorities/research-reports/</x:v>
      </x:c>
      <x:c r="N396" s="384" t="n">
        <x:v>2</x:v>
      </x:c>
      <x:c r="O396" s="396" t="n">
        <x:v>2</x:v>
      </x:c>
      <x:c r="P396" s="397" t="str">
        <x:v>https://internationalpolicy.org/programs/sam/</x:v>
      </x:c>
      <x:c r="Q396" s="384" t="n">
        <x:v>2</x:v>
      </x:c>
      <x:c r="R396" s="396" t="n">
        <x:v>2</x:v>
      </x:c>
      <x:c r="S396" s="397" t="str">
        <x:v>https://www.ned.org/ned-grantmaking/</x:v>
      </x:c>
      <x:c r="T396" s="384" t="n">
        <x:v>3</x:v>
      </x:c>
      <x:c r="U396" s="396" t="n">
        <x:v>3</x:v>
      </x:c>
      <x:c r="V396" s="397" t="str">
        <x:v>https://internationalpolicy.org/programs/sam/</x:v>
      </x:c>
      <x:c r="W396" s="385" t="n">
        <x:f>(--(M396&lt;&gt;"")+--(P396&lt;&gt;"")+--(S396&lt;&gt;"")+--(V396&lt;&gt;""))/4</x:f>
        <x:v>1</x:v>
      </x:c>
      <x:c r="X396" s="384" t="n">
        <x:f>IF(COUNT(K396,N396,Q396,T396)=0,"No data",(IF(ISNUMBER(K396),K396*Factor_Model!$B$4,0)+IF(ISNUMBER(N396),N396*Factor_Model!$B$5,0)+IF(ISNUMBER(Q396),Q396*Factor_Model!$B$6,0)+IF(ISNUMBER(T396),T396*Factor_Model!$B$7,0))/(IF(ISNUMBER(K396),Factor_Model!$B$4,0)+IF(ISNUMBER(N396),Factor_Model!$B$5,0)+IF(ISNUMBER(Q396),Factor_Model!$B$6,0)+IF(ISNUMBER(T396),Factor_Model!$B$7,0)))</x:f>
        <x:v>2.75</x:v>
      </x:c>
      <x:c r="Y396" s="20" t="str">
        <x:f>IF(W396=0,"No source",IF(W396&lt;1,"Partial source","Source-complete"))</x:f>
        <x:v>Source-complete</x:v>
      </x:c>
      <x:c r="Z396" s="20" t="str">
        <x:v>Automated screening pass: row uses a primary source URL by actor/subfactor; verify with country-specific evidence before final analytical use.</x:v>
      </x:c>
      <x:c r="AA396" s="20" t="str">
        <x:v>2026-05-20</x:v>
      </x:c>
      <x:c r="AB396" s="20" t="str">
        <x:v>GPT-5.5 Pro</x:v>
      </x:c>
    </x:row>
    <x:row r="397" ht="24" customHeight="1">
      <x:c r="A397" s="20" t="str">
        <x:v>ZAF|European Union</x:v>
      </x:c>
      <x:c r="B397" s="20" t="str">
        <x:v>South Africa</x:v>
      </x:c>
      <x:c r="C397" s="20" t="str">
        <x:v>Republic of South Africa</x:v>
      </x:c>
      <x:c r="D397" s="20" t="str">
        <x:v>ZA</x:v>
      </x:c>
      <x:c r="E397" s="20" t="str">
        <x:v>ZAF</x:v>
      </x:c>
      <x:c r="F397" s="20" t="str">
        <x:v>710</x:v>
      </x:c>
      <x:c r="G397" s="20" t="str">
        <x:v>Africa</x:v>
      </x:c>
      <x:c r="H397" s="20" t="str">
        <x:v>Southern Africa</x:v>
      </x:c>
      <x:c r="I397" s="20" t="str">
        <x:v>European Union</x:v>
      </x:c>
      <x:c r="J397" s="20" t="str">
        <x:v>EU influence</x:v>
      </x:c>
      <x:c r="K397" s="384" t="n">
        <x:v>3</x:v>
      </x:c>
      <x:c r="L397" s="396" t="n">
        <x:v>3</x:v>
      </x:c>
      <x:c r="M397" s="397" t="str">
        <x:v>https://www.eeas.europa.eu/eeas/public-diplomacy_en</x:v>
      </x:c>
      <x:c r="N397" s="384" t="n">
        <x:v>0</x:v>
      </x:c>
      <x:c r="O397" s="396" t="n">
        <x:v>1</x:v>
      </x:c>
      <x:c r="P397" s="397" t="str">
        <x:v>https://www.eeas.europa.eu/eeas/missions-and-operations_en</x:v>
      </x:c>
      <x:c r="Q397" s="384" t="n">
        <x:v>1</x:v>
      </x:c>
      <x:c r="R397" s="396" t="n">
        <x:v>2</x:v>
      </x:c>
      <x:c r="S397" s="397" t="str">
        <x:v>https://www.eeas.europa.eu/eeas/eu-election-observation-missions-1_en?page_lang=en</x:v>
      </x:c>
      <x:c r="T397" s="384" t="n">
        <x:v>2</x:v>
      </x:c>
      <x:c r="U397" s="396" t="n">
        <x:v>2</x:v>
      </x:c>
      <x:c r="V397" s="397" t="str">
        <x:v>https://www.eeas.europa.eu/eeas/missions-and-operations_en</x:v>
      </x:c>
      <x:c r="W397" s="385" t="n">
        <x:f>(--(M397&lt;&gt;"")+--(P397&lt;&gt;"")+--(S397&lt;&gt;"")+--(V397&lt;&gt;""))/4</x:f>
        <x:v>1</x:v>
      </x:c>
      <x:c r="X397" s="384" t="n">
        <x:f>IF(COUNT(K397,N397,Q397,T397)=0,"No data",(IF(ISNUMBER(K397),K397*Factor_Model!$B$4,0)+IF(ISNUMBER(N397),N397*Factor_Model!$B$5,0)+IF(ISNUMBER(Q397),Q397*Factor_Model!$B$6,0)+IF(ISNUMBER(T397),T397*Factor_Model!$B$7,0))/(IF(ISNUMBER(K397),Factor_Model!$B$4,0)+IF(ISNUMBER(N397),Factor_Model!$B$5,0)+IF(ISNUMBER(Q397),Factor_Model!$B$6,0)+IF(ISNUMBER(T397),Factor_Model!$B$7,0)))</x:f>
        <x:v>1.5</x:v>
      </x:c>
      <x:c r="Y397" s="20" t="str">
        <x:f>IF(W397=0,"No source",IF(W397&lt;1,"Partial source","Source-complete"))</x:f>
        <x:v>Source-complete</x:v>
      </x:c>
      <x:c r="Z397" s="20" t="str">
        <x:v>Automated screening pass: row uses a primary source URL by actor/subfactor; verify with country-specific evidence before final analytical use.</x:v>
      </x:c>
      <x:c r="AA397" s="20" t="str">
        <x:v>2026-05-20</x:v>
      </x:c>
      <x:c r="AB397" s="20" t="str">
        <x:v>GPT-5.5 Pro</x:v>
      </x:c>
    </x:row>
    <x:row r="398" ht="24" customHeight="1">
      <x:c r="A398" s="20" t="str">
        <x:v>KOR|Russia</x:v>
      </x:c>
      <x:c r="B398" s="20" t="str">
        <x:v>South Korea</x:v>
      </x:c>
      <x:c r="C398" s="20"/>
      <x:c r="D398" s="20" t="str">
        <x:v>KR</x:v>
      </x:c>
      <x:c r="E398" s="20" t="str">
        <x:v>KOR</x:v>
      </x:c>
      <x:c r="F398" s="20" t="str">
        <x:v>410</x:v>
      </x:c>
      <x:c r="G398" s="20" t="str">
        <x:v>Asia</x:v>
      </x:c>
      <x:c r="H398" s="20" t="str">
        <x:v>Eastern Asia</x:v>
      </x:c>
      <x:c r="I398" s="20" t="str">
        <x:v>Russia</x:v>
      </x:c>
      <x:c r="J398" s="20" t="str">
        <x:v>Russian influence</x:v>
      </x:c>
      <x:c r="K398" s="384" t="n">
        <x:v>2</x:v>
      </x:c>
      <x:c r="L398" s="396" t="n">
        <x:v>2</x:v>
      </x:c>
      <x:c r="M398" s="397" t="str">
        <x:v>https://www.eeas.europa.eu/eeas/4th-eeas-annual-report-foreign-information-manipulation-and-interference-threats_en</x:v>
      </x:c>
      <x:c r="N398" s="384" t="n">
        <x:v>0</x:v>
      </x:c>
      <x:c r="O398" s="396" t="n">
        <x:v>1</x:v>
      </x:c>
      <x:c r="P398" s="397" t="str">
        <x:v>https://www.consilium.europa.eu/en/press/press-releases/2023/02/25/wagner-group-council-adds-11-individuals-and-7-entities-to-eu-sanctions-lists/</x:v>
      </x:c>
      <x:c r="Q398" s="384" t="n">
        <x:v>3</x:v>
      </x:c>
      <x:c r="R398" s="396" t="n">
        <x:v>3</x:v>
      </x:c>
      <x:c r="S398" s="397" t="str">
        <x:v>https://www.dni.gov/files/ODNI/documents/assessments/ATA-2026-Unclassified-Report.pdf</x:v>
      </x:c>
      <x:c r="T398" s="384" t="n">
        <x:v>0</x:v>
      </x:c>
      <x:c r="U398" s="396" t="n">
        <x:v>1</x:v>
      </x:c>
      <x:c r="V398" s="397" t="str">
        <x:v>https://www.consilium.europa.eu/en/press/press-releases/2023/02/25/wagner-group-council-adds-11-individuals-and-7-entities-to-eu-sanctions-lists/</x:v>
      </x:c>
      <x:c r="W398" s="385" t="n">
        <x:f>(--(M398&lt;&gt;"")+--(P398&lt;&gt;"")+--(S398&lt;&gt;"")+--(V398&lt;&gt;""))/4</x:f>
        <x:v>1</x:v>
      </x:c>
      <x:c r="X398" s="384" t="n">
        <x:f>IF(COUNT(K398,N398,Q398,T398)=0,"No data",(IF(ISNUMBER(K398),K398*Factor_Model!$B$4,0)+IF(ISNUMBER(N398),N398*Factor_Model!$B$5,0)+IF(ISNUMBER(Q398),Q398*Factor_Model!$B$6,0)+IF(ISNUMBER(T398),T398*Factor_Model!$B$7,0))/(IF(ISNUMBER(K398),Factor_Model!$B$4,0)+IF(ISNUMBER(N398),Factor_Model!$B$5,0)+IF(ISNUMBER(Q398),Factor_Model!$B$6,0)+IF(ISNUMBER(T398),Factor_Model!$B$7,0)))</x:f>
        <x:v>1.25</x:v>
      </x:c>
      <x:c r="Y398" s="20" t="str">
        <x:f>IF(W398=0,"No source",IF(W398&lt;1,"Partial source","Source-complete"))</x:f>
        <x:v>Source-complete</x:v>
      </x:c>
      <x:c r="Z398" s="20" t="str">
        <x:v>Automated screening pass: row uses a primary source URL by actor/subfactor; verify with country-specific evidence before final analytical use.</x:v>
      </x:c>
      <x:c r="AA398" s="20" t="str">
        <x:v>2026-05-20</x:v>
      </x:c>
      <x:c r="AB398" s="20" t="str">
        <x:v>GPT-5.5 Pro</x:v>
      </x:c>
    </x:row>
    <x:row r="399" ht="24" customHeight="1">
      <x:c r="A399" s="20" t="str">
        <x:v>KOR|China</x:v>
      </x:c>
      <x:c r="B399" s="20" t="str">
        <x:v>South Korea</x:v>
      </x:c>
      <x:c r="C399" s="20"/>
      <x:c r="D399" s="20" t="str">
        <x:v>KR</x:v>
      </x:c>
      <x:c r="E399" s="20" t="str">
        <x:v>KOR</x:v>
      </x:c>
      <x:c r="F399" s="20" t="str">
        <x:v>410</x:v>
      </x:c>
      <x:c r="G399" s="20" t="str">
        <x:v>Asia</x:v>
      </x:c>
      <x:c r="H399" s="20" t="str">
        <x:v>Eastern Asia</x:v>
      </x:c>
      <x:c r="I399" s="20" t="str">
        <x:v>China</x:v>
      </x:c>
      <x:c r="J399" s="20" t="str">
        <x:v>Chinese influence</x:v>
      </x:c>
      <x:c r="K399" s="384" t="n">
        <x:v>7</x:v>
      </x:c>
      <x:c r="L399" s="396" t="n">
        <x:v>4</x:v>
      </x:c>
      <x:c r="M399" s="397" t="str">
        <x:v>https://www.eeas.europa.eu/eeas/4th-eeas-annual-report-foreign-information-manipulation-and-interference-threats_en</x:v>
      </x:c>
      <x:c r="N399" s="384" t="n">
        <x:v>0</x:v>
      </x:c>
      <x:c r="O399" s="396" t="n">
        <x:v>1</x:v>
      </x:c>
      <x:c r="P399" s="397" t="str">
        <x:v>https://merics.org/en/report/guardians-belt-and-road</x:v>
      </x:c>
      <x:c r="Q399" s="384" t="n">
        <x:v>4</x:v>
      </x:c>
      <x:c r="R399" s="396" t="n">
        <x:v>3</x:v>
      </x:c>
      <x:c r="S399" s="397" t="str">
        <x:v>https://www.eeas.europa.eu/eeas/4th-eeas-annual-report-foreign-information-manipulation-and-interference-threats_en</x:v>
      </x:c>
      <x:c r="T399" s="384" t="n">
        <x:v>1</x:v>
      </x:c>
      <x:c r="U399" s="396" t="n">
        <x:v>2</x:v>
      </x:c>
      <x:c r="V399" s="397" t="str">
        <x:v>https://merics.org/en/report/guardians-belt-and-road</x:v>
      </x:c>
      <x:c r="W399" s="385" t="n">
        <x:f>(--(M399&lt;&gt;"")+--(P399&lt;&gt;"")+--(S399&lt;&gt;"")+--(V399&lt;&gt;""))/4</x:f>
        <x:v>1</x:v>
      </x:c>
      <x:c r="X399" s="384" t="n">
        <x:f>IF(COUNT(K399,N399,Q399,T399)=0,"No data",(IF(ISNUMBER(K399),K399*Factor_Model!$B$4,0)+IF(ISNUMBER(N399),N399*Factor_Model!$B$5,0)+IF(ISNUMBER(Q399),Q399*Factor_Model!$B$6,0)+IF(ISNUMBER(T399),T399*Factor_Model!$B$7,0))/(IF(ISNUMBER(K399),Factor_Model!$B$4,0)+IF(ISNUMBER(N399),Factor_Model!$B$5,0)+IF(ISNUMBER(Q399),Factor_Model!$B$6,0)+IF(ISNUMBER(T399),Factor_Model!$B$7,0)))</x:f>
        <x:v>3</x:v>
      </x:c>
      <x:c r="Y399" s="20" t="str">
        <x:f>IF(W399=0,"No source",IF(W399&lt;1,"Partial source","Source-complete"))</x:f>
        <x:v>Source-complete</x:v>
      </x:c>
      <x:c r="Z399" s="20" t="str">
        <x:v>Automated screening pass: row uses a primary source URL by actor/subfactor; verify with country-specific evidence before final analytical use.</x:v>
      </x:c>
      <x:c r="AA399" s="20" t="str">
        <x:v>2026-05-20</x:v>
      </x:c>
      <x:c r="AB399" s="20" t="str">
        <x:v>GPT-5.5 Pro</x:v>
      </x:c>
    </x:row>
    <x:row r="400" ht="24" customHeight="1">
      <x:c r="A400" s="20" t="str">
        <x:v>KOR|United States</x:v>
      </x:c>
      <x:c r="B400" s="20" t="str">
        <x:v>South Korea</x:v>
      </x:c>
      <x:c r="C400" s="20"/>
      <x:c r="D400" s="20" t="str">
        <x:v>KR</x:v>
      </x:c>
      <x:c r="E400" s="20" t="str">
        <x:v>KOR</x:v>
      </x:c>
      <x:c r="F400" s="20" t="str">
        <x:v>410</x:v>
      </x:c>
      <x:c r="G400" s="20" t="str">
        <x:v>Asia</x:v>
      </x:c>
      <x:c r="H400" s="20" t="str">
        <x:v>Eastern Asia</x:v>
      </x:c>
      <x:c r="I400" s="20" t="str">
        <x:v>United States</x:v>
      </x:c>
      <x:c r="J400" s="20" t="str">
        <x:v>American influence</x:v>
      </x:c>
      <x:c r="K400" s="384" t="n">
        <x:v>5</x:v>
      </x:c>
      <x:c r="L400" s="396" t="n">
        <x:v>3</x:v>
      </x:c>
      <x:c r="M400" s="397" t="str">
        <x:v>https://www.usagm.gov/our-work/strategy-and-results/strategic-priorities/research-reports/</x:v>
      </x:c>
      <x:c r="N400" s="384" t="n">
        <x:v>5</x:v>
      </x:c>
      <x:c r="O400" s="396" t="n">
        <x:v>3</x:v>
      </x:c>
      <x:c r="P400" s="397" t="str">
        <x:v>https://internationalpolicy.org/programs/sam/</x:v>
      </x:c>
      <x:c r="Q400" s="384" t="n">
        <x:v>2</x:v>
      </x:c>
      <x:c r="R400" s="396" t="n">
        <x:v>2</x:v>
      </x:c>
      <x:c r="S400" s="397" t="str">
        <x:v>https://www.ned.org/ned-grantmaking/</x:v>
      </x:c>
      <x:c r="T400" s="384" t="n">
        <x:v>8</x:v>
      </x:c>
      <x:c r="U400" s="396" t="n">
        <x:v>4</x:v>
      </x:c>
      <x:c r="V400" s="397" t="str">
        <x:v>https://internationalpolicy.org/programs/sam/</x:v>
      </x:c>
      <x:c r="W400" s="385" t="n">
        <x:f>(--(M400&lt;&gt;"")+--(P400&lt;&gt;"")+--(S400&lt;&gt;"")+--(V400&lt;&gt;""))/4</x:f>
        <x:v>1</x:v>
      </x:c>
      <x:c r="X400" s="384" t="n">
        <x:f>IF(COUNT(K400,N400,Q400,T400)=0,"No data",(IF(ISNUMBER(K400),K400*Factor_Model!$B$4,0)+IF(ISNUMBER(N400),N400*Factor_Model!$B$5,0)+IF(ISNUMBER(Q400),Q400*Factor_Model!$B$6,0)+IF(ISNUMBER(T400),T400*Factor_Model!$B$7,0))/(IF(ISNUMBER(K400),Factor_Model!$B$4,0)+IF(ISNUMBER(N400),Factor_Model!$B$5,0)+IF(ISNUMBER(Q400),Factor_Model!$B$6,0)+IF(ISNUMBER(T400),Factor_Model!$B$7,0)))</x:f>
        <x:v>5</x:v>
      </x:c>
      <x:c r="Y400" s="20" t="str">
        <x:f>IF(W400=0,"No source",IF(W400&lt;1,"Partial source","Source-complete"))</x:f>
        <x:v>Source-complete</x:v>
      </x:c>
      <x:c r="Z400" s="20" t="str">
        <x:v>Automated screening pass: row uses a primary source URL by actor/subfactor; verify with country-specific evidence before final analytical use.</x:v>
      </x:c>
      <x:c r="AA400" s="20" t="str">
        <x:v>2026-05-20</x:v>
      </x:c>
      <x:c r="AB400" s="20" t="str">
        <x:v>GPT-5.5 Pro</x:v>
      </x:c>
    </x:row>
    <x:row r="401" ht="24" customHeight="1">
      <x:c r="A401" s="20" t="str">
        <x:v>KOR|European Union</x:v>
      </x:c>
      <x:c r="B401" s="20" t="str">
        <x:v>South Korea</x:v>
      </x:c>
      <x:c r="C401" s="20"/>
      <x:c r="D401" s="20" t="str">
        <x:v>KR</x:v>
      </x:c>
      <x:c r="E401" s="20" t="str">
        <x:v>KOR</x:v>
      </x:c>
      <x:c r="F401" s="20" t="str">
        <x:v>410</x:v>
      </x:c>
      <x:c r="G401" s="20" t="str">
        <x:v>Asia</x:v>
      </x:c>
      <x:c r="H401" s="20" t="str">
        <x:v>Eastern Asia</x:v>
      </x:c>
      <x:c r="I401" s="20" t="str">
        <x:v>European Union</x:v>
      </x:c>
      <x:c r="J401" s="20" t="str">
        <x:v>EU influence</x:v>
      </x:c>
      <x:c r="K401" s="384" t="n">
        <x:v>3</x:v>
      </x:c>
      <x:c r="L401" s="396" t="n">
        <x:v>3</x:v>
      </x:c>
      <x:c r="M401" s="397" t="str">
        <x:v>https://www.eeas.europa.eu/eeas/public-diplomacy_en</x:v>
      </x:c>
      <x:c r="N401" s="384" t="n">
        <x:v>0</x:v>
      </x:c>
      <x:c r="O401" s="396" t="n">
        <x:v>1</x:v>
      </x:c>
      <x:c r="P401" s="397" t="str">
        <x:v>https://www.eeas.europa.eu/eeas/missions-and-operations_en</x:v>
      </x:c>
      <x:c r="Q401" s="384" t="n">
        <x:v>1</x:v>
      </x:c>
      <x:c r="R401" s="396" t="n">
        <x:v>2</x:v>
      </x:c>
      <x:c r="S401" s="397" t="str">
        <x:v>https://www.eeas.europa.eu/eeas/eu-election-observation-missions-1_en?page_lang=en</x:v>
      </x:c>
      <x:c r="T401" s="384" t="n">
        <x:v>3</x:v>
      </x:c>
      <x:c r="U401" s="396" t="n">
        <x:v>3</x:v>
      </x:c>
      <x:c r="V401" s="397" t="str">
        <x:v>https://www.eeas.europa.eu/eeas/missions-and-operations_en</x:v>
      </x:c>
      <x:c r="W401" s="385" t="n">
        <x:f>(--(M401&lt;&gt;"")+--(P401&lt;&gt;"")+--(S401&lt;&gt;"")+--(V401&lt;&gt;""))/4</x:f>
        <x:v>1</x:v>
      </x:c>
      <x:c r="X401" s="384" t="n">
        <x:f>IF(COUNT(K401,N401,Q401,T401)=0,"No data",(IF(ISNUMBER(K401),K401*Factor_Model!$B$4,0)+IF(ISNUMBER(N401),N401*Factor_Model!$B$5,0)+IF(ISNUMBER(Q401),Q401*Factor_Model!$B$6,0)+IF(ISNUMBER(T401),T401*Factor_Model!$B$7,0))/(IF(ISNUMBER(K401),Factor_Model!$B$4,0)+IF(ISNUMBER(N401),Factor_Model!$B$5,0)+IF(ISNUMBER(Q401),Factor_Model!$B$6,0)+IF(ISNUMBER(T401),Factor_Model!$B$7,0)))</x:f>
        <x:v>1.75</x:v>
      </x:c>
      <x:c r="Y401" s="20" t="str">
        <x:f>IF(W401=0,"No source",IF(W401&lt;1,"Partial source","Source-complete"))</x:f>
        <x:v>Source-complete</x:v>
      </x:c>
      <x:c r="Z401" s="20" t="str">
        <x:v>Automated screening pass: row uses a primary source URL by actor/subfactor; verify with country-specific evidence before final analytical use.</x:v>
      </x:c>
      <x:c r="AA401" s="20" t="str">
        <x:v>2026-05-20</x:v>
      </x:c>
      <x:c r="AB401" s="20" t="str">
        <x:v>GPT-5.5 Pro</x:v>
      </x:c>
    </x:row>
    <x:row r="402" ht="24" customHeight="1">
      <x:c r="A402" s="20" t="str">
        <x:v>ESP|Russia</x:v>
      </x:c>
      <x:c r="B402" s="20" t="str">
        <x:v>Spain</x:v>
      </x:c>
      <x:c r="C402" s="20" t="str">
        <x:v>Kingdom of Spain</x:v>
      </x:c>
      <x:c r="D402" s="20" t="str">
        <x:v>ES</x:v>
      </x:c>
      <x:c r="E402" s="20" t="str">
        <x:v>ESP</x:v>
      </x:c>
      <x:c r="F402" s="20" t="str">
        <x:v>724</x:v>
      </x:c>
      <x:c r="G402" s="20" t="str">
        <x:v>Europe</x:v>
      </x:c>
      <x:c r="H402" s="20" t="str">
        <x:v>Southern Europe</x:v>
      </x:c>
      <x:c r="I402" s="20" t="str">
        <x:v>Russia</x:v>
      </x:c>
      <x:c r="J402" s="20" t="str">
        <x:v>Russian influence</x:v>
      </x:c>
      <x:c r="K402" s="384" t="n">
        <x:v>5</x:v>
      </x:c>
      <x:c r="L402" s="396" t="n">
        <x:v>3</x:v>
      </x:c>
      <x:c r="M402" s="397" t="str">
        <x:v>https://www.eeas.europa.eu/eeas/4th-eeas-annual-report-foreign-information-manipulation-and-interference-threats_en</x:v>
      </x:c>
      <x:c r="N402" s="384" t="n">
        <x:v>0</x:v>
      </x:c>
      <x:c r="O402" s="396" t="n">
        <x:v>1</x:v>
      </x:c>
      <x:c r="P402" s="397" t="str">
        <x:v>https://www.consilium.europa.eu/en/press/press-releases/2023/02/25/wagner-group-council-adds-11-individuals-and-7-entities-to-eu-sanctions-lists/</x:v>
      </x:c>
      <x:c r="Q402" s="384" t="n">
        <x:v>5</x:v>
      </x:c>
      <x:c r="R402" s="396" t="n">
        <x:v>3</x:v>
      </x:c>
      <x:c r="S402" s="397" t="str">
        <x:v>https://www.dni.gov/files/ODNI/documents/assessments/ATA-2026-Unclassified-Report.pdf</x:v>
      </x:c>
      <x:c r="T402" s="384" t="n">
        <x:v>0</x:v>
      </x:c>
      <x:c r="U402" s="396" t="n">
        <x:v>1</x:v>
      </x:c>
      <x:c r="V402" s="397" t="str">
        <x:v>https://www.consilium.europa.eu/en/press/press-releases/2023/02/25/wagner-group-council-adds-11-individuals-and-7-entities-to-eu-sanctions-lists/</x:v>
      </x:c>
      <x:c r="W402" s="385" t="n">
        <x:f>(--(M402&lt;&gt;"")+--(P402&lt;&gt;"")+--(S402&lt;&gt;"")+--(V402&lt;&gt;""))/4</x:f>
        <x:v>1</x:v>
      </x:c>
      <x:c r="X402" s="384" t="n">
        <x:f>IF(COUNT(K402,N402,Q402,T402)=0,"No data",(IF(ISNUMBER(K402),K402*Factor_Model!$B$4,0)+IF(ISNUMBER(N402),N402*Factor_Model!$B$5,0)+IF(ISNUMBER(Q402),Q402*Factor_Model!$B$6,0)+IF(ISNUMBER(T402),T402*Factor_Model!$B$7,0))/(IF(ISNUMBER(K402),Factor_Model!$B$4,0)+IF(ISNUMBER(N402),Factor_Model!$B$5,0)+IF(ISNUMBER(Q402),Factor_Model!$B$6,0)+IF(ISNUMBER(T402),Factor_Model!$B$7,0)))</x:f>
        <x:v>2.5</x:v>
      </x:c>
      <x:c r="Y402" s="20" t="str">
        <x:f>IF(W402=0,"No source",IF(W402&lt;1,"Partial source","Source-complete"))</x:f>
        <x:v>Source-complete</x:v>
      </x:c>
      <x:c r="Z402" s="20" t="str">
        <x:v>Automated screening pass: row uses a primary source URL by actor/subfactor; verify with country-specific evidence before final analytical use.</x:v>
      </x:c>
      <x:c r="AA402" s="20" t="str">
        <x:v>2026-05-20</x:v>
      </x:c>
      <x:c r="AB402" s="20" t="str">
        <x:v>GPT-5.5 Pro</x:v>
      </x:c>
    </x:row>
    <x:row r="403" ht="24" customHeight="1">
      <x:c r="A403" s="20" t="str">
        <x:v>ESP|China</x:v>
      </x:c>
      <x:c r="B403" s="20" t="str">
        <x:v>Spain</x:v>
      </x:c>
      <x:c r="C403" s="20" t="str">
        <x:v>Kingdom of Spain</x:v>
      </x:c>
      <x:c r="D403" s="20" t="str">
        <x:v>ES</x:v>
      </x:c>
      <x:c r="E403" s="20" t="str">
        <x:v>ESP</x:v>
      </x:c>
      <x:c r="F403" s="20" t="str">
        <x:v>724</x:v>
      </x:c>
      <x:c r="G403" s="20" t="str">
        <x:v>Europe</x:v>
      </x:c>
      <x:c r="H403" s="20" t="str">
        <x:v>Southern Europe</x:v>
      </x:c>
      <x:c r="I403" s="20" t="str">
        <x:v>China</x:v>
      </x:c>
      <x:c r="J403" s="20" t="str">
        <x:v>Chinese influence</x:v>
      </x:c>
      <x:c r="K403" s="384" t="n">
        <x:v>5</x:v>
      </x:c>
      <x:c r="L403" s="396" t="n">
        <x:v>3</x:v>
      </x:c>
      <x:c r="M403" s="397" t="str">
        <x:v>https://www.eeas.europa.eu/eeas/4th-eeas-annual-report-foreign-information-manipulation-and-interference-threats_en</x:v>
      </x:c>
      <x:c r="N403" s="384" t="n">
        <x:v>0</x:v>
      </x:c>
      <x:c r="O403" s="396" t="n">
        <x:v>1</x:v>
      </x:c>
      <x:c r="P403" s="397" t="str">
        <x:v>https://merics.org/en/report/guardians-belt-and-road</x:v>
      </x:c>
      <x:c r="Q403" s="384" t="n">
        <x:v>3</x:v>
      </x:c>
      <x:c r="R403" s="396" t="n">
        <x:v>3</x:v>
      </x:c>
      <x:c r="S403" s="397" t="str">
        <x:v>https://www.eeas.europa.eu/eeas/4th-eeas-annual-report-foreign-information-manipulation-and-interference-threats_en</x:v>
      </x:c>
      <x:c r="T403" s="384" t="n">
        <x:v>0</x:v>
      </x:c>
      <x:c r="U403" s="396" t="n">
        <x:v>1</x:v>
      </x:c>
      <x:c r="V403" s="397" t="str">
        <x:v>https://merics.org/en/report/guardians-belt-and-road</x:v>
      </x:c>
      <x:c r="W403" s="385" t="n">
        <x:f>(--(M403&lt;&gt;"")+--(P403&lt;&gt;"")+--(S403&lt;&gt;"")+--(V403&lt;&gt;""))/4</x:f>
        <x:v>1</x:v>
      </x:c>
      <x:c r="X403" s="384" t="n">
        <x:f>IF(COUNT(K403,N403,Q403,T403)=0,"No data",(IF(ISNUMBER(K403),K403*Factor_Model!$B$4,0)+IF(ISNUMBER(N403),N403*Factor_Model!$B$5,0)+IF(ISNUMBER(Q403),Q403*Factor_Model!$B$6,0)+IF(ISNUMBER(T403),T403*Factor_Model!$B$7,0))/(IF(ISNUMBER(K403),Factor_Model!$B$4,0)+IF(ISNUMBER(N403),Factor_Model!$B$5,0)+IF(ISNUMBER(Q403),Factor_Model!$B$6,0)+IF(ISNUMBER(T403),Factor_Model!$B$7,0)))</x:f>
        <x:v>2</x:v>
      </x:c>
      <x:c r="Y403" s="20" t="str">
        <x:f>IF(W403=0,"No source",IF(W403&lt;1,"Partial source","Source-complete"))</x:f>
        <x:v>Source-complete</x:v>
      </x:c>
      <x:c r="Z403" s="20" t="str">
        <x:v>Automated screening pass: row uses a primary source URL by actor/subfactor; verify with country-specific evidence before final analytical use.</x:v>
      </x:c>
      <x:c r="AA403" s="20" t="str">
        <x:v>2026-05-20</x:v>
      </x:c>
      <x:c r="AB403" s="20" t="str">
        <x:v>GPT-5.5 Pro</x:v>
      </x:c>
    </x:row>
    <x:row r="404" ht="24" customHeight="1">
      <x:c r="A404" s="20" t="str">
        <x:v>ESP|United States</x:v>
      </x:c>
      <x:c r="B404" s="20" t="str">
        <x:v>Spain</x:v>
      </x:c>
      <x:c r="C404" s="20" t="str">
        <x:v>Kingdom of Spain</x:v>
      </x:c>
      <x:c r="D404" s="20" t="str">
        <x:v>ES</x:v>
      </x:c>
      <x:c r="E404" s="20" t="str">
        <x:v>ESP</x:v>
      </x:c>
      <x:c r="F404" s="20" t="str">
        <x:v>724</x:v>
      </x:c>
      <x:c r="G404" s="20" t="str">
        <x:v>Europe</x:v>
      </x:c>
      <x:c r="H404" s="20" t="str">
        <x:v>Southern Europe</x:v>
      </x:c>
      <x:c r="I404" s="20" t="str">
        <x:v>United States</x:v>
      </x:c>
      <x:c r="J404" s="20" t="str">
        <x:v>American influence</x:v>
      </x:c>
      <x:c r="K404" s="384" t="n">
        <x:v>4</x:v>
      </x:c>
      <x:c r="L404" s="396" t="n">
        <x:v>3</x:v>
      </x:c>
      <x:c r="M404" s="397" t="str">
        <x:v>https://www.usagm.gov/our-work/strategy-and-results/strategic-priorities/research-reports/</x:v>
      </x:c>
      <x:c r="N404" s="384" t="n">
        <x:v>3</x:v>
      </x:c>
      <x:c r="O404" s="396" t="n">
        <x:v>3</x:v>
      </x:c>
      <x:c r="P404" s="397" t="str">
        <x:v>https://internationalpolicy.org/programs/sam/</x:v>
      </x:c>
      <x:c r="Q404" s="384" t="n">
        <x:v>1</x:v>
      </x:c>
      <x:c r="R404" s="396" t="n">
        <x:v>2</x:v>
      </x:c>
      <x:c r="S404" s="397" t="str">
        <x:v>https://www.ned.org/ned-grantmaking/</x:v>
      </x:c>
      <x:c r="T404" s="384" t="n">
        <x:v>6</x:v>
      </x:c>
      <x:c r="U404" s="396" t="n">
        <x:v>4</x:v>
      </x:c>
      <x:c r="V404" s="397" t="str">
        <x:v>https://internationalpolicy.org/programs/sam/</x:v>
      </x:c>
      <x:c r="W404" s="385" t="n">
        <x:f>(--(M404&lt;&gt;"")+--(P404&lt;&gt;"")+--(S404&lt;&gt;"")+--(V404&lt;&gt;""))/4</x:f>
        <x:v>1</x:v>
      </x:c>
      <x:c r="X404" s="384" t="n">
        <x:f>IF(COUNT(K404,N404,Q404,T404)=0,"No data",(IF(ISNUMBER(K404),K404*Factor_Model!$B$4,0)+IF(ISNUMBER(N404),N404*Factor_Model!$B$5,0)+IF(ISNUMBER(Q404),Q404*Factor_Model!$B$6,0)+IF(ISNUMBER(T404),T404*Factor_Model!$B$7,0))/(IF(ISNUMBER(K404),Factor_Model!$B$4,0)+IF(ISNUMBER(N404),Factor_Model!$B$5,0)+IF(ISNUMBER(Q404),Factor_Model!$B$6,0)+IF(ISNUMBER(T404),Factor_Model!$B$7,0)))</x:f>
        <x:v>3.5</x:v>
      </x:c>
      <x:c r="Y404" s="20" t="str">
        <x:f>IF(W404=0,"No source",IF(W404&lt;1,"Partial source","Source-complete"))</x:f>
        <x:v>Source-complete</x:v>
      </x:c>
      <x:c r="Z404" s="20" t="str">
        <x:v>Automated screening pass: row uses a primary source URL by actor/subfactor; verify with country-specific evidence before final analytical use.</x:v>
      </x:c>
      <x:c r="AA404" s="20" t="str">
        <x:v>2026-05-20</x:v>
      </x:c>
      <x:c r="AB404" s="20" t="str">
        <x:v>GPT-5.5 Pro</x:v>
      </x:c>
    </x:row>
    <x:row r="405" ht="24" customHeight="1">
      <x:c r="A405" s="20" t="str">
        <x:v>ESP|European Union</x:v>
      </x:c>
      <x:c r="B405" s="20" t="str">
        <x:v>Spain</x:v>
      </x:c>
      <x:c r="C405" s="20" t="str">
        <x:v>Kingdom of Spain</x:v>
      </x:c>
      <x:c r="D405" s="20" t="str">
        <x:v>ES</x:v>
      </x:c>
      <x:c r="E405" s="20" t="str">
        <x:v>ESP</x:v>
      </x:c>
      <x:c r="F405" s="20" t="str">
        <x:v>724</x:v>
      </x:c>
      <x:c r="G405" s="20" t="str">
        <x:v>Europe</x:v>
      </x:c>
      <x:c r="H405" s="20" t="str">
        <x:v>Southern Europe</x:v>
      </x:c>
      <x:c r="I405" s="20" t="str">
        <x:v>European Union</x:v>
      </x:c>
      <x:c r="J405" s="20" t="str">
        <x:v>EU influence</x:v>
      </x:c>
      <x:c r="K405" s="384" t="n">
        <x:v>9</x:v>
      </x:c>
      <x:c r="L405" s="396" t="n">
        <x:v>5</x:v>
      </x:c>
      <x:c r="M405" s="397" t="str">
        <x:v>https://www.eeas.europa.eu/eeas/public-diplomacy_en</x:v>
      </x:c>
      <x:c r="N405" s="384" t="n">
        <x:v>0</x:v>
      </x:c>
      <x:c r="O405" s="396" t="n">
        <x:v>1</x:v>
      </x:c>
      <x:c r="P405" s="397" t="str">
        <x:v>https://www.eeas.europa.eu/eeas/missions-and-operations_en</x:v>
      </x:c>
      <x:c r="Q405" s="384" t="n">
        <x:v>2</x:v>
      </x:c>
      <x:c r="R405" s="396" t="n">
        <x:v>2</x:v>
      </x:c>
      <x:c r="S405" s="397" t="str">
        <x:v>https://www.eeas.europa.eu/eeas/eu-election-observation-missions-1_en?page_lang=en</x:v>
      </x:c>
      <x:c r="T405" s="384" t="n">
        <x:v>5</x:v>
      </x:c>
      <x:c r="U405" s="396" t="n">
        <x:v>3</x:v>
      </x:c>
      <x:c r="V405" s="397" t="str">
        <x:v>https://www.eeas.europa.eu/eeas/missions-and-operations_en</x:v>
      </x:c>
      <x:c r="W405" s="385" t="n">
        <x:f>(--(M405&lt;&gt;"")+--(P405&lt;&gt;"")+--(S405&lt;&gt;"")+--(V405&lt;&gt;""))/4</x:f>
        <x:v>1</x:v>
      </x:c>
      <x:c r="X405" s="384" t="n">
        <x:f>IF(COUNT(K405,N405,Q405,T405)=0,"No data",(IF(ISNUMBER(K405),K405*Factor_Model!$B$4,0)+IF(ISNUMBER(N405),N405*Factor_Model!$B$5,0)+IF(ISNUMBER(Q405),Q405*Factor_Model!$B$6,0)+IF(ISNUMBER(T405),T405*Factor_Model!$B$7,0))/(IF(ISNUMBER(K405),Factor_Model!$B$4,0)+IF(ISNUMBER(N405),Factor_Model!$B$5,0)+IF(ISNUMBER(Q405),Factor_Model!$B$6,0)+IF(ISNUMBER(T405),Factor_Model!$B$7,0)))</x:f>
        <x:v>4</x:v>
      </x:c>
      <x:c r="Y405" s="20" t="str">
        <x:f>IF(W405=0,"No source",IF(W405&lt;1,"Partial source","Source-complete"))</x:f>
        <x:v>Source-complete</x:v>
      </x:c>
      <x:c r="Z405" s="20" t="str">
        <x:v>Automated screening pass: row uses a primary source URL by actor/subfactor; verify with country-specific evidence before final analytical use.</x:v>
      </x:c>
      <x:c r="AA405" s="20" t="str">
        <x:v>2026-05-20</x:v>
      </x:c>
      <x:c r="AB405" s="20" t="str">
        <x:v>GPT-5.5 Pro</x:v>
      </x:c>
    </x:row>
    <x:row r="406" ht="24" customHeight="1">
      <x:c r="A406" s="20" t="str">
        <x:v>LKA|Russia</x:v>
      </x:c>
      <x:c r="B406" s="20" t="str">
        <x:v>Sri Lanka</x:v>
      </x:c>
      <x:c r="C406" s="20" t="str">
        <x:v>Democratic Socialist Republic of Sri Lanka</x:v>
      </x:c>
      <x:c r="D406" s="20" t="str">
        <x:v>LK</x:v>
      </x:c>
      <x:c r="E406" s="20" t="str">
        <x:v>LKA</x:v>
      </x:c>
      <x:c r="F406" s="20" t="str">
        <x:v>144</x:v>
      </x:c>
      <x:c r="G406" s="20" t="str">
        <x:v>Asia</x:v>
      </x:c>
      <x:c r="H406" s="20" t="str">
        <x:v>Southern Asia</x:v>
      </x:c>
      <x:c r="I406" s="20" t="str">
        <x:v>Russia</x:v>
      </x:c>
      <x:c r="J406" s="20" t="str">
        <x:v>Russian influence</x:v>
      </x:c>
      <x:c r="K406" s="384" t="n">
        <x:v>2</x:v>
      </x:c>
      <x:c r="L406" s="396" t="n">
        <x:v>2</x:v>
      </x:c>
      <x:c r="M406" s="397" t="str">
        <x:v>https://www.eeas.europa.eu/eeas/4th-eeas-annual-report-foreign-information-manipulation-and-interference-threats_en</x:v>
      </x:c>
      <x:c r="N406" s="384" t="n">
        <x:v>0</x:v>
      </x:c>
      <x:c r="O406" s="396" t="n">
        <x:v>1</x:v>
      </x:c>
      <x:c r="P406" s="397" t="str">
        <x:v>https://www.consilium.europa.eu/en/press/press-releases/2023/02/25/wagner-group-council-adds-11-individuals-and-7-entities-to-eu-sanctions-lists/</x:v>
      </x:c>
      <x:c r="Q406" s="384" t="n">
        <x:v>0</x:v>
      </x:c>
      <x:c r="R406" s="396" t="n">
        <x:v>1</x:v>
      </x:c>
      <x:c r="S406" s="397" t="str">
        <x:v>https://www.dni.gov/files/ODNI/documents/assessments/ATA-2026-Unclassified-Report.pdf</x:v>
      </x:c>
      <x:c r="T406" s="384" t="n">
        <x:v>0</x:v>
      </x:c>
      <x:c r="U406" s="396" t="n">
        <x:v>1</x:v>
      </x:c>
      <x:c r="V406" s="397" t="str">
        <x:v>https://www.consilium.europa.eu/en/press/press-releases/2023/02/25/wagner-group-council-adds-11-individuals-and-7-entities-to-eu-sanctions-lists/</x:v>
      </x:c>
      <x:c r="W406" s="385" t="n">
        <x:f>(--(M406&lt;&gt;"")+--(P406&lt;&gt;"")+--(S406&lt;&gt;"")+--(V406&lt;&gt;""))/4</x:f>
        <x:v>1</x:v>
      </x:c>
      <x:c r="X406" s="384" t="n">
        <x:f>IF(COUNT(K406,N406,Q406,T406)=0,"No data",(IF(ISNUMBER(K406),K406*Factor_Model!$B$4,0)+IF(ISNUMBER(N406),N406*Factor_Model!$B$5,0)+IF(ISNUMBER(Q406),Q406*Factor_Model!$B$6,0)+IF(ISNUMBER(T406),T406*Factor_Model!$B$7,0))/(IF(ISNUMBER(K406),Factor_Model!$B$4,0)+IF(ISNUMBER(N406),Factor_Model!$B$5,0)+IF(ISNUMBER(Q406),Factor_Model!$B$6,0)+IF(ISNUMBER(T406),Factor_Model!$B$7,0)))</x:f>
        <x:v>0.5</x:v>
      </x:c>
      <x:c r="Y406" s="20" t="str">
        <x:f>IF(W406=0,"No source",IF(W406&lt;1,"Partial source","Source-complete"))</x:f>
        <x:v>Source-complete</x:v>
      </x:c>
      <x:c r="Z406" s="20" t="str">
        <x:v>Automated screening pass: row uses a primary source URL by actor/subfactor; verify with country-specific evidence before final analytical use.</x:v>
      </x:c>
      <x:c r="AA406" s="20" t="str">
        <x:v>2026-05-20</x:v>
      </x:c>
      <x:c r="AB406" s="20" t="str">
        <x:v>GPT-5.5 Pro</x:v>
      </x:c>
    </x:row>
    <x:row r="407" ht="24" customHeight="1">
      <x:c r="A407" s="20" t="str">
        <x:v>LKA|China</x:v>
      </x:c>
      <x:c r="B407" s="20" t="str">
        <x:v>Sri Lanka</x:v>
      </x:c>
      <x:c r="C407" s="20" t="str">
        <x:v>Democratic Socialist Republic of Sri Lanka</x:v>
      </x:c>
      <x:c r="D407" s="20" t="str">
        <x:v>LK</x:v>
      </x:c>
      <x:c r="E407" s="20" t="str">
        <x:v>LKA</x:v>
      </x:c>
      <x:c r="F407" s="20" t="str">
        <x:v>144</x:v>
      </x:c>
      <x:c r="G407" s="20" t="str">
        <x:v>Asia</x:v>
      </x:c>
      <x:c r="H407" s="20" t="str">
        <x:v>Southern Asia</x:v>
      </x:c>
      <x:c r="I407" s="20" t="str">
        <x:v>China</x:v>
      </x:c>
      <x:c r="J407" s="20" t="str">
        <x:v>Chinese influence</x:v>
      </x:c>
      <x:c r="K407" s="384" t="n">
        <x:v>5</x:v>
      </x:c>
      <x:c r="L407" s="396" t="n">
        <x:v>3</x:v>
      </x:c>
      <x:c r="M407" s="397" t="str">
        <x:v>https://www.eeas.europa.eu/eeas/4th-eeas-annual-report-foreign-information-manipulation-and-interference-threats_en</x:v>
      </x:c>
      <x:c r="N407" s="384" t="n">
        <x:v>2</x:v>
      </x:c>
      <x:c r="O407" s="396" t="n">
        <x:v>2</x:v>
      </x:c>
      <x:c r="P407" s="397" t="str">
        <x:v>https://merics.org/en/report/guardians-belt-and-road</x:v>
      </x:c>
      <x:c r="Q407" s="384" t="n">
        <x:v>1</x:v>
      </x:c>
      <x:c r="R407" s="396" t="n">
        <x:v>2</x:v>
      </x:c>
      <x:c r="S407" s="397" t="str">
        <x:v>https://www.eeas.europa.eu/eeas/4th-eeas-annual-report-foreign-information-manipulation-and-interference-threats_en</x:v>
      </x:c>
      <x:c r="T407" s="384" t="n">
        <x:v>3</x:v>
      </x:c>
      <x:c r="U407" s="396" t="n">
        <x:v>3</x:v>
      </x:c>
      <x:c r="V407" s="397" t="str">
        <x:v>https://merics.org/en/report/guardians-belt-and-road</x:v>
      </x:c>
      <x:c r="W407" s="385" t="n">
        <x:f>(--(M407&lt;&gt;"")+--(P407&lt;&gt;"")+--(S407&lt;&gt;"")+--(V407&lt;&gt;""))/4</x:f>
        <x:v>1</x:v>
      </x:c>
      <x:c r="X407" s="384" t="n">
        <x:f>IF(COUNT(K407,N407,Q407,T407)=0,"No data",(IF(ISNUMBER(K407),K407*Factor_Model!$B$4,0)+IF(ISNUMBER(N407),N407*Factor_Model!$B$5,0)+IF(ISNUMBER(Q407),Q407*Factor_Model!$B$6,0)+IF(ISNUMBER(T407),T407*Factor_Model!$B$7,0))/(IF(ISNUMBER(K407),Factor_Model!$B$4,0)+IF(ISNUMBER(N407),Factor_Model!$B$5,0)+IF(ISNUMBER(Q407),Factor_Model!$B$6,0)+IF(ISNUMBER(T407),Factor_Model!$B$7,0)))</x:f>
        <x:v>2.75</x:v>
      </x:c>
      <x:c r="Y407" s="20" t="str">
        <x:f>IF(W407=0,"No source",IF(W407&lt;1,"Partial source","Source-complete"))</x:f>
        <x:v>Source-complete</x:v>
      </x:c>
      <x:c r="Z407" s="20" t="str">
        <x:v>Automated screening pass: row uses a primary source URL by actor/subfactor; verify with country-specific evidence before final analytical use.</x:v>
      </x:c>
      <x:c r="AA407" s="20" t="str">
        <x:v>2026-05-20</x:v>
      </x:c>
      <x:c r="AB407" s="20" t="str">
        <x:v>GPT-5.5 Pro</x:v>
      </x:c>
    </x:row>
    <x:row r="408" ht="24" customHeight="1">
      <x:c r="A408" s="20" t="str">
        <x:v>LKA|United States</x:v>
      </x:c>
      <x:c r="B408" s="20" t="str">
        <x:v>Sri Lanka</x:v>
      </x:c>
      <x:c r="C408" s="20" t="str">
        <x:v>Democratic Socialist Republic of Sri Lanka</x:v>
      </x:c>
      <x:c r="D408" s="20" t="str">
        <x:v>LK</x:v>
      </x:c>
      <x:c r="E408" s="20" t="str">
        <x:v>LKA</x:v>
      </x:c>
      <x:c r="F408" s="20" t="str">
        <x:v>144</x:v>
      </x:c>
      <x:c r="G408" s="20" t="str">
        <x:v>Asia</x:v>
      </x:c>
      <x:c r="H408" s="20" t="str">
        <x:v>Southern Asia</x:v>
      </x:c>
      <x:c r="I408" s="20" t="str">
        <x:v>United States</x:v>
      </x:c>
      <x:c r="J408" s="20" t="str">
        <x:v>American influence</x:v>
      </x:c>
      <x:c r="K408" s="384" t="n">
        <x:v>3</x:v>
      </x:c>
      <x:c r="L408" s="396" t="n">
        <x:v>3</x:v>
      </x:c>
      <x:c r="M408" s="397" t="str">
        <x:v>https://www.usagm.gov/our-work/strategy-and-results/strategic-priorities/research-reports/</x:v>
      </x:c>
      <x:c r="N408" s="384" t="n">
        <x:v>1</x:v>
      </x:c>
      <x:c r="O408" s="396" t="n">
        <x:v>2</x:v>
      </x:c>
      <x:c r="P408" s="397" t="str">
        <x:v>https://internationalpolicy.org/programs/sam/</x:v>
      </x:c>
      <x:c r="Q408" s="384" t="n">
        <x:v>2</x:v>
      </x:c>
      <x:c r="R408" s="396" t="n">
        <x:v>2</x:v>
      </x:c>
      <x:c r="S408" s="397" t="str">
        <x:v>https://www.ned.org/ned-grantmaking/</x:v>
      </x:c>
      <x:c r="T408" s="384" t="n">
        <x:v>2</x:v>
      </x:c>
      <x:c r="U408" s="396" t="n">
        <x:v>2</x:v>
      </x:c>
      <x:c r="V408" s="397" t="str">
        <x:v>https://internationalpolicy.org/programs/sam/</x:v>
      </x:c>
      <x:c r="W408" s="385" t="n">
        <x:f>(--(M408&lt;&gt;"")+--(P408&lt;&gt;"")+--(S408&lt;&gt;"")+--(V408&lt;&gt;""))/4</x:f>
        <x:v>1</x:v>
      </x:c>
      <x:c r="X408" s="384" t="n">
        <x:f>IF(COUNT(K408,N408,Q408,T408)=0,"No data",(IF(ISNUMBER(K408),K408*Factor_Model!$B$4,0)+IF(ISNUMBER(N408),N408*Factor_Model!$B$5,0)+IF(ISNUMBER(Q408),Q408*Factor_Model!$B$6,0)+IF(ISNUMBER(T408),T408*Factor_Model!$B$7,0))/(IF(ISNUMBER(K408),Factor_Model!$B$4,0)+IF(ISNUMBER(N408),Factor_Model!$B$5,0)+IF(ISNUMBER(Q408),Factor_Model!$B$6,0)+IF(ISNUMBER(T408),Factor_Model!$B$7,0)))</x:f>
        <x:v>2</x:v>
      </x:c>
      <x:c r="Y408" s="20" t="str">
        <x:f>IF(W408=0,"No source",IF(W408&lt;1,"Partial source","Source-complete"))</x:f>
        <x:v>Source-complete</x:v>
      </x:c>
      <x:c r="Z408" s="20" t="str">
        <x:v>Automated screening pass: row uses a primary source URL by actor/subfactor; verify with country-specific evidence before final analytical use.</x:v>
      </x:c>
      <x:c r="AA408" s="20" t="str">
        <x:v>2026-05-20</x:v>
      </x:c>
      <x:c r="AB408" s="20" t="str">
        <x:v>GPT-5.5 Pro</x:v>
      </x:c>
    </x:row>
    <x:row r="409" ht="24" customHeight="1">
      <x:c r="A409" s="20" t="str">
        <x:v>LKA|European Union</x:v>
      </x:c>
      <x:c r="B409" s="20" t="str">
        <x:v>Sri Lanka</x:v>
      </x:c>
      <x:c r="C409" s="20" t="str">
        <x:v>Democratic Socialist Republic of Sri Lanka</x:v>
      </x:c>
      <x:c r="D409" s="20" t="str">
        <x:v>LK</x:v>
      </x:c>
      <x:c r="E409" s="20" t="str">
        <x:v>LKA</x:v>
      </x:c>
      <x:c r="F409" s="20" t="str">
        <x:v>144</x:v>
      </x:c>
      <x:c r="G409" s="20" t="str">
        <x:v>Asia</x:v>
      </x:c>
      <x:c r="H409" s="20" t="str">
        <x:v>Southern Asia</x:v>
      </x:c>
      <x:c r="I409" s="20" t="str">
        <x:v>European Union</x:v>
      </x:c>
      <x:c r="J409" s="20" t="str">
        <x:v>EU influence</x:v>
      </x:c>
      <x:c r="K409" s="384" t="n">
        <x:v>2</x:v>
      </x:c>
      <x:c r="L409" s="396" t="n">
        <x:v>2</x:v>
      </x:c>
      <x:c r="M409" s="397" t="str">
        <x:v>https://www.eeas.europa.eu/eeas/public-diplomacy_en</x:v>
      </x:c>
      <x:c r="N409" s="384" t="n">
        <x:v>0</x:v>
      </x:c>
      <x:c r="O409" s="396" t="n">
        <x:v>1</x:v>
      </x:c>
      <x:c r="P409" s="397" t="str">
        <x:v>https://www.eeas.europa.eu/eeas/missions-and-operations_en</x:v>
      </x:c>
      <x:c r="Q409" s="384" t="n">
        <x:v>2</x:v>
      </x:c>
      <x:c r="R409" s="396" t="n">
        <x:v>2</x:v>
      </x:c>
      <x:c r="S409" s="397" t="str">
        <x:v>https://www.eeas.europa.eu/eeas/eu-election-observation-missions-1_en?page_lang=en</x:v>
      </x:c>
      <x:c r="T409" s="384" t="n">
        <x:v>2</x:v>
      </x:c>
      <x:c r="U409" s="396" t="n">
        <x:v>2</x:v>
      </x:c>
      <x:c r="V409" s="397" t="str">
        <x:v>https://www.eeas.europa.eu/eeas/missions-and-operations_en</x:v>
      </x:c>
      <x:c r="W409" s="385" t="n">
        <x:f>(--(M409&lt;&gt;"")+--(P409&lt;&gt;"")+--(S409&lt;&gt;"")+--(V409&lt;&gt;""))/4</x:f>
        <x:v>1</x:v>
      </x:c>
      <x:c r="X409" s="384" t="n">
        <x:f>IF(COUNT(K409,N409,Q409,T409)=0,"No data",(IF(ISNUMBER(K409),K409*Factor_Model!$B$4,0)+IF(ISNUMBER(N409),N409*Factor_Model!$B$5,0)+IF(ISNUMBER(Q409),Q409*Factor_Model!$B$6,0)+IF(ISNUMBER(T409),T409*Factor_Model!$B$7,0))/(IF(ISNUMBER(K409),Factor_Model!$B$4,0)+IF(ISNUMBER(N409),Factor_Model!$B$5,0)+IF(ISNUMBER(Q409),Factor_Model!$B$6,0)+IF(ISNUMBER(T409),Factor_Model!$B$7,0)))</x:f>
        <x:v>1.5</x:v>
      </x:c>
      <x:c r="Y409" s="20" t="str">
        <x:f>IF(W409=0,"No source",IF(W409&lt;1,"Partial source","Source-complete"))</x:f>
        <x:v>Source-complete</x:v>
      </x:c>
      <x:c r="Z409" s="20" t="str">
        <x:v>Automated screening pass: row uses a primary source URL by actor/subfactor; verify with country-specific evidence before final analytical use.</x:v>
      </x:c>
      <x:c r="AA409" s="20" t="str">
        <x:v>2026-05-20</x:v>
      </x:c>
      <x:c r="AB409" s="20" t="str">
        <x:v>GPT-5.5 Pro</x:v>
      </x:c>
    </x:row>
    <x:row r="410" ht="24" customHeight="1">
      <x:c r="A410" s="20" t="str">
        <x:v>SDN|Russia</x:v>
      </x:c>
      <x:c r="B410" s="20" t="str">
        <x:v>Sudan</x:v>
      </x:c>
      <x:c r="C410" s="20" t="str">
        <x:v>Republic of the Sudan</x:v>
      </x:c>
      <x:c r="D410" s="20" t="str">
        <x:v>SD</x:v>
      </x:c>
      <x:c r="E410" s="20" t="str">
        <x:v>SDN</x:v>
      </x:c>
      <x:c r="F410" s="20" t="str">
        <x:v>729</x:v>
      </x:c>
      <x:c r="G410" s="20" t="str">
        <x:v>Africa</x:v>
      </x:c>
      <x:c r="H410" s="20" t="str">
        <x:v>Northern Africa</x:v>
      </x:c>
      <x:c r="I410" s="20" t="str">
        <x:v>Russia</x:v>
      </x:c>
      <x:c r="J410" s="20" t="str">
        <x:v>Russian influence</x:v>
      </x:c>
      <x:c r="K410" s="384" t="n">
        <x:v>7</x:v>
      </x:c>
      <x:c r="L410" s="396" t="n">
        <x:v>4</x:v>
      </x:c>
      <x:c r="M410" s="397" t="str">
        <x:v>https://www.eeas.europa.eu/eeas/4th-eeas-annual-report-foreign-information-manipulation-and-interference-threats_en</x:v>
      </x:c>
      <x:c r="N410" s="384" t="n">
        <x:v>8</x:v>
      </x:c>
      <x:c r="O410" s="396" t="n">
        <x:v>4</x:v>
      </x:c>
      <x:c r="P410" s="397" t="str">
        <x:v>https://www.consilium.europa.eu/en/press/press-releases/2023/02/25/wagner-group-council-adds-11-individuals-and-7-entities-to-eu-sanctions-lists/</x:v>
      </x:c>
      <x:c r="Q410" s="384" t="n">
        <x:v>3</x:v>
      </x:c>
      <x:c r="R410" s="396" t="n">
        <x:v>3</x:v>
      </x:c>
      <x:c r="S410" s="397" t="str">
        <x:v>https://www.dni.gov/files/ODNI/documents/assessments/ATA-2026-Unclassified-Report.pdf</x:v>
      </x:c>
      <x:c r="T410" s="384" t="n">
        <x:v>7</x:v>
      </x:c>
      <x:c r="U410" s="396" t="n">
        <x:v>4</x:v>
      </x:c>
      <x:c r="V410" s="397" t="str">
        <x:v>https://www.consilium.europa.eu/en/press/press-releases/2023/02/25/wagner-group-council-adds-11-individuals-and-7-entities-to-eu-sanctions-lists/</x:v>
      </x:c>
      <x:c r="W410" s="385" t="n">
        <x:f>(--(M410&lt;&gt;"")+--(P410&lt;&gt;"")+--(S410&lt;&gt;"")+--(V410&lt;&gt;""))/4</x:f>
        <x:v>1</x:v>
      </x:c>
      <x:c r="X410" s="384" t="n">
        <x:f>IF(COUNT(K410,N410,Q410,T410)=0,"No data",(IF(ISNUMBER(K410),K410*Factor_Model!$B$4,0)+IF(ISNUMBER(N410),N410*Factor_Model!$B$5,0)+IF(ISNUMBER(Q410),Q410*Factor_Model!$B$6,0)+IF(ISNUMBER(T410),T410*Factor_Model!$B$7,0))/(IF(ISNUMBER(K410),Factor_Model!$B$4,0)+IF(ISNUMBER(N410),Factor_Model!$B$5,0)+IF(ISNUMBER(Q410),Factor_Model!$B$6,0)+IF(ISNUMBER(T410),Factor_Model!$B$7,0)))</x:f>
        <x:v>6.25</x:v>
      </x:c>
      <x:c r="Y410" s="20" t="str">
        <x:f>IF(W410=0,"No source",IF(W410&lt;1,"Partial source","Source-complete"))</x:f>
        <x:v>Source-complete</x:v>
      </x:c>
      <x:c r="Z410" s="20" t="str">
        <x:v>Automated screening pass: row uses a primary source URL by actor/subfactor; verify with country-specific evidence before final analytical use.</x:v>
      </x:c>
      <x:c r="AA410" s="20" t="str">
        <x:v>2026-05-20</x:v>
      </x:c>
      <x:c r="AB410" s="20" t="str">
        <x:v>GPT-5.5 Pro</x:v>
      </x:c>
    </x:row>
    <x:row r="411" ht="24" customHeight="1">
      <x:c r="A411" s="20" t="str">
        <x:v>SDN|China</x:v>
      </x:c>
      <x:c r="B411" s="20" t="str">
        <x:v>Sudan</x:v>
      </x:c>
      <x:c r="C411" s="20" t="str">
        <x:v>Republic of the Sudan</x:v>
      </x:c>
      <x:c r="D411" s="20" t="str">
        <x:v>SD</x:v>
      </x:c>
      <x:c r="E411" s="20" t="str">
        <x:v>SDN</x:v>
      </x:c>
      <x:c r="F411" s="20" t="str">
        <x:v>729</x:v>
      </x:c>
      <x:c r="G411" s="20" t="str">
        <x:v>Africa</x:v>
      </x:c>
      <x:c r="H411" s="20" t="str">
        <x:v>Northern Africa</x:v>
      </x:c>
      <x:c r="I411" s="20" t="str">
        <x:v>China</x:v>
      </x:c>
      <x:c r="J411" s="20" t="str">
        <x:v>Chinese influence</x:v>
      </x:c>
      <x:c r="K411" s="384" t="n">
        <x:v>5</x:v>
      </x:c>
      <x:c r="L411" s="396" t="n">
        <x:v>3</x:v>
      </x:c>
      <x:c r="M411" s="397" t="str">
        <x:v>https://www.eeas.europa.eu/eeas/4th-eeas-annual-report-foreign-information-manipulation-and-interference-threats_en</x:v>
      </x:c>
      <x:c r="N411" s="384" t="n">
        <x:v>3</x:v>
      </x:c>
      <x:c r="O411" s="396" t="n">
        <x:v>3</x:v>
      </x:c>
      <x:c r="P411" s="397" t="str">
        <x:v>https://merics.org/en/report/guardians-belt-and-road</x:v>
      </x:c>
      <x:c r="Q411" s="384" t="n">
        <x:v>1</x:v>
      </x:c>
      <x:c r="R411" s="396" t="n">
        <x:v>2</x:v>
      </x:c>
      <x:c r="S411" s="397" t="str">
        <x:v>https://www.eeas.europa.eu/eeas/4th-eeas-annual-report-foreign-information-manipulation-and-interference-threats_en</x:v>
      </x:c>
      <x:c r="T411" s="384" t="n">
        <x:v>4</x:v>
      </x:c>
      <x:c r="U411" s="396" t="n">
        <x:v>3</x:v>
      </x:c>
      <x:c r="V411" s="397" t="str">
        <x:v>https://merics.org/en/report/guardians-belt-and-road</x:v>
      </x:c>
      <x:c r="W411" s="385" t="n">
        <x:f>(--(M411&lt;&gt;"")+--(P411&lt;&gt;"")+--(S411&lt;&gt;"")+--(V411&lt;&gt;""))/4</x:f>
        <x:v>1</x:v>
      </x:c>
      <x:c r="X411" s="384" t="n">
        <x:f>IF(COUNT(K411,N411,Q411,T411)=0,"No data",(IF(ISNUMBER(K411),K411*Factor_Model!$B$4,0)+IF(ISNUMBER(N411),N411*Factor_Model!$B$5,0)+IF(ISNUMBER(Q411),Q411*Factor_Model!$B$6,0)+IF(ISNUMBER(T411),T411*Factor_Model!$B$7,0))/(IF(ISNUMBER(K411),Factor_Model!$B$4,0)+IF(ISNUMBER(N411),Factor_Model!$B$5,0)+IF(ISNUMBER(Q411),Factor_Model!$B$6,0)+IF(ISNUMBER(T411),Factor_Model!$B$7,0)))</x:f>
        <x:v>3.25</x:v>
      </x:c>
      <x:c r="Y411" s="20" t="str">
        <x:f>IF(W411=0,"No source",IF(W411&lt;1,"Partial source","Source-complete"))</x:f>
        <x:v>Source-complete</x:v>
      </x:c>
      <x:c r="Z411" s="20" t="str">
        <x:v>Automated screening pass: row uses a primary source URL by actor/subfactor; verify with country-specific evidence before final analytical use.</x:v>
      </x:c>
      <x:c r="AA411" s="20" t="str">
        <x:v>2026-05-20</x:v>
      </x:c>
      <x:c r="AB411" s="20" t="str">
        <x:v>GPT-5.5 Pro</x:v>
      </x:c>
    </x:row>
    <x:row r="412" ht="24" customHeight="1">
      <x:c r="A412" s="20" t="str">
        <x:v>SDN|United States</x:v>
      </x:c>
      <x:c r="B412" s="20" t="str">
        <x:v>Sudan</x:v>
      </x:c>
      <x:c r="C412" s="20" t="str">
        <x:v>Republic of the Sudan</x:v>
      </x:c>
      <x:c r="D412" s="20" t="str">
        <x:v>SD</x:v>
      </x:c>
      <x:c r="E412" s="20" t="str">
        <x:v>SDN</x:v>
      </x:c>
      <x:c r="F412" s="20" t="str">
        <x:v>729</x:v>
      </x:c>
      <x:c r="G412" s="20" t="str">
        <x:v>Africa</x:v>
      </x:c>
      <x:c r="H412" s="20" t="str">
        <x:v>Northern Africa</x:v>
      </x:c>
      <x:c r="I412" s="20" t="str">
        <x:v>United States</x:v>
      </x:c>
      <x:c r="J412" s="20" t="str">
        <x:v>American influence</x:v>
      </x:c>
      <x:c r="K412" s="384" t="n">
        <x:v>4</x:v>
      </x:c>
      <x:c r="L412" s="396" t="n">
        <x:v>3</x:v>
      </x:c>
      <x:c r="M412" s="397" t="str">
        <x:v>https://www.usagm.gov/our-work/strategy-and-results/strategic-priorities/research-reports/</x:v>
      </x:c>
      <x:c r="N412" s="384" t="n">
        <x:v>2</x:v>
      </x:c>
      <x:c r="O412" s="396" t="n">
        <x:v>2</x:v>
      </x:c>
      <x:c r="P412" s="397" t="str">
        <x:v>https://internationalpolicy.org/programs/sam/</x:v>
      </x:c>
      <x:c r="Q412" s="384" t="n">
        <x:v>2</x:v>
      </x:c>
      <x:c r="R412" s="396" t="n">
        <x:v>2</x:v>
      </x:c>
      <x:c r="S412" s="397" t="str">
        <x:v>https://www.ned.org/ned-grantmaking/</x:v>
      </x:c>
      <x:c r="T412" s="384" t="n">
        <x:v>3</x:v>
      </x:c>
      <x:c r="U412" s="396" t="n">
        <x:v>3</x:v>
      </x:c>
      <x:c r="V412" s="397" t="str">
        <x:v>https://internationalpolicy.org/programs/sam/</x:v>
      </x:c>
      <x:c r="W412" s="385" t="n">
        <x:f>(--(M412&lt;&gt;"")+--(P412&lt;&gt;"")+--(S412&lt;&gt;"")+--(V412&lt;&gt;""))/4</x:f>
        <x:v>1</x:v>
      </x:c>
      <x:c r="X412" s="384" t="n">
        <x:f>IF(COUNT(K412,N412,Q412,T412)=0,"No data",(IF(ISNUMBER(K412),K412*Factor_Model!$B$4,0)+IF(ISNUMBER(N412),N412*Factor_Model!$B$5,0)+IF(ISNUMBER(Q412),Q412*Factor_Model!$B$6,0)+IF(ISNUMBER(T412),T412*Factor_Model!$B$7,0))/(IF(ISNUMBER(K412),Factor_Model!$B$4,0)+IF(ISNUMBER(N412),Factor_Model!$B$5,0)+IF(ISNUMBER(Q412),Factor_Model!$B$6,0)+IF(ISNUMBER(T412),Factor_Model!$B$7,0)))</x:f>
        <x:v>2.75</x:v>
      </x:c>
      <x:c r="Y412" s="20" t="str">
        <x:f>IF(W412=0,"No source",IF(W412&lt;1,"Partial source","Source-complete"))</x:f>
        <x:v>Source-complete</x:v>
      </x:c>
      <x:c r="Z412" s="20" t="str">
        <x:v>Automated screening pass: row uses a primary source URL by actor/subfactor; verify with country-specific evidence before final analytical use.</x:v>
      </x:c>
      <x:c r="AA412" s="20" t="str">
        <x:v>2026-05-20</x:v>
      </x:c>
      <x:c r="AB412" s="20" t="str">
        <x:v>GPT-5.5 Pro</x:v>
      </x:c>
    </x:row>
    <x:row r="413" ht="24" customHeight="1">
      <x:c r="A413" s="20" t="str">
        <x:v>SDN|European Union</x:v>
      </x:c>
      <x:c r="B413" s="20" t="str">
        <x:v>Sudan</x:v>
      </x:c>
      <x:c r="C413" s="20" t="str">
        <x:v>Republic of the Sudan</x:v>
      </x:c>
      <x:c r="D413" s="20" t="str">
        <x:v>SD</x:v>
      </x:c>
      <x:c r="E413" s="20" t="str">
        <x:v>SDN</x:v>
      </x:c>
      <x:c r="F413" s="20" t="str">
        <x:v>729</x:v>
      </x:c>
      <x:c r="G413" s="20" t="str">
        <x:v>Africa</x:v>
      </x:c>
      <x:c r="H413" s="20" t="str">
        <x:v>Northern Africa</x:v>
      </x:c>
      <x:c r="I413" s="20" t="str">
        <x:v>European Union</x:v>
      </x:c>
      <x:c r="J413" s="20" t="str">
        <x:v>EU influence</x:v>
      </x:c>
      <x:c r="K413" s="384" t="n">
        <x:v>3</x:v>
      </x:c>
      <x:c r="L413" s="396" t="n">
        <x:v>3</x:v>
      </x:c>
      <x:c r="M413" s="397" t="str">
        <x:v>https://www.eeas.europa.eu/eeas/public-diplomacy_en</x:v>
      </x:c>
      <x:c r="N413" s="384" t="n">
        <x:v>0</x:v>
      </x:c>
      <x:c r="O413" s="396" t="n">
        <x:v>1</x:v>
      </x:c>
      <x:c r="P413" s="397" t="str">
        <x:v>https://www.eeas.europa.eu/eeas/missions-and-operations_en</x:v>
      </x:c>
      <x:c r="Q413" s="384" t="n">
        <x:v>1</x:v>
      </x:c>
      <x:c r="R413" s="396" t="n">
        <x:v>2</x:v>
      </x:c>
      <x:c r="S413" s="397" t="str">
        <x:v>https://www.eeas.europa.eu/eeas/eu-election-observation-missions-1_en?page_lang=en</x:v>
      </x:c>
      <x:c r="T413" s="384" t="n">
        <x:v>2</x:v>
      </x:c>
      <x:c r="U413" s="396" t="n">
        <x:v>2</x:v>
      </x:c>
      <x:c r="V413" s="397" t="str">
        <x:v>https://www.eeas.europa.eu/eeas/missions-and-operations_en</x:v>
      </x:c>
      <x:c r="W413" s="385" t="n">
        <x:f>(--(M413&lt;&gt;"")+--(P413&lt;&gt;"")+--(S413&lt;&gt;"")+--(V413&lt;&gt;""))/4</x:f>
        <x:v>1</x:v>
      </x:c>
      <x:c r="X413" s="384" t="n">
        <x:f>IF(COUNT(K413,N413,Q413,T413)=0,"No data",(IF(ISNUMBER(K413),K413*Factor_Model!$B$4,0)+IF(ISNUMBER(N413),N413*Factor_Model!$B$5,0)+IF(ISNUMBER(Q413),Q413*Factor_Model!$B$6,0)+IF(ISNUMBER(T413),T413*Factor_Model!$B$7,0))/(IF(ISNUMBER(K413),Factor_Model!$B$4,0)+IF(ISNUMBER(N413),Factor_Model!$B$5,0)+IF(ISNUMBER(Q413),Factor_Model!$B$6,0)+IF(ISNUMBER(T413),Factor_Model!$B$7,0)))</x:f>
        <x:v>1.5</x:v>
      </x:c>
      <x:c r="Y413" s="20" t="str">
        <x:f>IF(W413=0,"No source",IF(W413&lt;1,"Partial source","Source-complete"))</x:f>
        <x:v>Source-complete</x:v>
      </x:c>
      <x:c r="Z413" s="20" t="str">
        <x:v>Automated screening pass: row uses a primary source URL by actor/subfactor; verify with country-specific evidence before final analytical use.</x:v>
      </x:c>
      <x:c r="AA413" s="20" t="str">
        <x:v>2026-05-20</x:v>
      </x:c>
      <x:c r="AB413" s="20" t="str">
        <x:v>GPT-5.5 Pro</x:v>
      </x:c>
    </x:row>
    <x:row r="414" ht="24" customHeight="1">
      <x:c r="A414" s="20" t="str">
        <x:v>SWE|Russia</x:v>
      </x:c>
      <x:c r="B414" s="20" t="str">
        <x:v>Sweden</x:v>
      </x:c>
      <x:c r="C414" s="20" t="str">
        <x:v>Kingdom of Sweden</x:v>
      </x:c>
      <x:c r="D414" s="20" t="str">
        <x:v>SE</x:v>
      </x:c>
      <x:c r="E414" s="20" t="str">
        <x:v>SWE</x:v>
      </x:c>
      <x:c r="F414" s="20" t="str">
        <x:v>752</x:v>
      </x:c>
      <x:c r="G414" s="20" t="str">
        <x:v>Europe</x:v>
      </x:c>
      <x:c r="H414" s="20" t="str">
        <x:v>Northern Europe</x:v>
      </x:c>
      <x:c r="I414" s="20" t="str">
        <x:v>Russia</x:v>
      </x:c>
      <x:c r="J414" s="20" t="str">
        <x:v>Russian influence</x:v>
      </x:c>
      <x:c r="K414" s="384" t="n">
        <x:v>5</x:v>
      </x:c>
      <x:c r="L414" s="396" t="n">
        <x:v>3</x:v>
      </x:c>
      <x:c r="M414" s="397" t="str">
        <x:v>https://www.eeas.europa.eu/eeas/4th-eeas-annual-report-foreign-information-manipulation-and-interference-threats_en</x:v>
      </x:c>
      <x:c r="N414" s="384" t="n">
        <x:v>0</x:v>
      </x:c>
      <x:c r="O414" s="396" t="n">
        <x:v>1</x:v>
      </x:c>
      <x:c r="P414" s="397" t="str">
        <x:v>https://www.consilium.europa.eu/en/press/press-releases/2023/02/25/wagner-group-council-adds-11-individuals-and-7-entities-to-eu-sanctions-lists/</x:v>
      </x:c>
      <x:c r="Q414" s="384" t="n">
        <x:v>5</x:v>
      </x:c>
      <x:c r="R414" s="396" t="n">
        <x:v>3</x:v>
      </x:c>
      <x:c r="S414" s="397" t="str">
        <x:v>https://www.dni.gov/files/ODNI/documents/assessments/ATA-2026-Unclassified-Report.pdf</x:v>
      </x:c>
      <x:c r="T414" s="384" t="n">
        <x:v>0</x:v>
      </x:c>
      <x:c r="U414" s="396" t="n">
        <x:v>1</x:v>
      </x:c>
      <x:c r="V414" s="397" t="str">
        <x:v>https://www.consilium.europa.eu/en/press/press-releases/2023/02/25/wagner-group-council-adds-11-individuals-and-7-entities-to-eu-sanctions-lists/</x:v>
      </x:c>
      <x:c r="W414" s="385" t="n">
        <x:f>(--(M414&lt;&gt;"")+--(P414&lt;&gt;"")+--(S414&lt;&gt;"")+--(V414&lt;&gt;""))/4</x:f>
        <x:v>1</x:v>
      </x:c>
      <x:c r="X414" s="384" t="n">
        <x:f>IF(COUNT(K414,N414,Q414,T414)=0,"No data",(IF(ISNUMBER(K414),K414*Factor_Model!$B$4,0)+IF(ISNUMBER(N414),N414*Factor_Model!$B$5,0)+IF(ISNUMBER(Q414),Q414*Factor_Model!$B$6,0)+IF(ISNUMBER(T414),T414*Factor_Model!$B$7,0))/(IF(ISNUMBER(K414),Factor_Model!$B$4,0)+IF(ISNUMBER(N414),Factor_Model!$B$5,0)+IF(ISNUMBER(Q414),Factor_Model!$B$6,0)+IF(ISNUMBER(T414),Factor_Model!$B$7,0)))</x:f>
        <x:v>2.5</x:v>
      </x:c>
      <x:c r="Y414" s="20" t="str">
        <x:f>IF(W414=0,"No source",IF(W414&lt;1,"Partial source","Source-complete"))</x:f>
        <x:v>Source-complete</x:v>
      </x:c>
      <x:c r="Z414" s="20" t="str">
        <x:v>Automated screening pass: row uses a primary source URL by actor/subfactor; verify with country-specific evidence before final analytical use.</x:v>
      </x:c>
      <x:c r="AA414" s="20" t="str">
        <x:v>2026-05-20</x:v>
      </x:c>
      <x:c r="AB414" s="20" t="str">
        <x:v>GPT-5.5 Pro</x:v>
      </x:c>
    </x:row>
    <x:row r="415" ht="24" customHeight="1">
      <x:c r="A415" s="20" t="str">
        <x:v>SWE|China</x:v>
      </x:c>
      <x:c r="B415" s="20" t="str">
        <x:v>Sweden</x:v>
      </x:c>
      <x:c r="C415" s="20" t="str">
        <x:v>Kingdom of Sweden</x:v>
      </x:c>
      <x:c r="D415" s="20" t="str">
        <x:v>SE</x:v>
      </x:c>
      <x:c r="E415" s="20" t="str">
        <x:v>SWE</x:v>
      </x:c>
      <x:c r="F415" s="20" t="str">
        <x:v>752</x:v>
      </x:c>
      <x:c r="G415" s="20" t="str">
        <x:v>Europe</x:v>
      </x:c>
      <x:c r="H415" s="20" t="str">
        <x:v>Northern Europe</x:v>
      </x:c>
      <x:c r="I415" s="20" t="str">
        <x:v>China</x:v>
      </x:c>
      <x:c r="J415" s="20" t="str">
        <x:v>Chinese influence</x:v>
      </x:c>
      <x:c r="K415" s="384" t="n">
        <x:v>4</x:v>
      </x:c>
      <x:c r="L415" s="396" t="n">
        <x:v>3</x:v>
      </x:c>
      <x:c r="M415" s="397" t="str">
        <x:v>https://www.eeas.europa.eu/eeas/4th-eeas-annual-report-foreign-information-manipulation-and-interference-threats_en</x:v>
      </x:c>
      <x:c r="N415" s="384" t="n">
        <x:v>0</x:v>
      </x:c>
      <x:c r="O415" s="396" t="n">
        <x:v>1</x:v>
      </x:c>
      <x:c r="P415" s="397" t="str">
        <x:v>https://merics.org/en/report/guardians-belt-and-road</x:v>
      </x:c>
      <x:c r="Q415" s="384" t="n">
        <x:v>2</x:v>
      </x:c>
      <x:c r="R415" s="396" t="n">
        <x:v>2</x:v>
      </x:c>
      <x:c r="S415" s="397" t="str">
        <x:v>https://www.eeas.europa.eu/eeas/4th-eeas-annual-report-foreign-information-manipulation-and-interference-threats_en</x:v>
      </x:c>
      <x:c r="T415" s="384" t="n">
        <x:v>0</x:v>
      </x:c>
      <x:c r="U415" s="396" t="n">
        <x:v>1</x:v>
      </x:c>
      <x:c r="V415" s="397" t="str">
        <x:v>https://merics.org/en/report/guardians-belt-and-road</x:v>
      </x:c>
      <x:c r="W415" s="385" t="n">
        <x:f>(--(M415&lt;&gt;"")+--(P415&lt;&gt;"")+--(S415&lt;&gt;"")+--(V415&lt;&gt;""))/4</x:f>
        <x:v>1</x:v>
      </x:c>
      <x:c r="X415" s="384" t="n">
        <x:f>IF(COUNT(K415,N415,Q415,T415)=0,"No data",(IF(ISNUMBER(K415),K415*Factor_Model!$B$4,0)+IF(ISNUMBER(N415),N415*Factor_Model!$B$5,0)+IF(ISNUMBER(Q415),Q415*Factor_Model!$B$6,0)+IF(ISNUMBER(T415),T415*Factor_Model!$B$7,0))/(IF(ISNUMBER(K415),Factor_Model!$B$4,0)+IF(ISNUMBER(N415),Factor_Model!$B$5,0)+IF(ISNUMBER(Q415),Factor_Model!$B$6,0)+IF(ISNUMBER(T415),Factor_Model!$B$7,0)))</x:f>
        <x:v>1.5</x:v>
      </x:c>
      <x:c r="Y415" s="20" t="str">
        <x:f>IF(W415=0,"No source",IF(W415&lt;1,"Partial source","Source-complete"))</x:f>
        <x:v>Source-complete</x:v>
      </x:c>
      <x:c r="Z415" s="20" t="str">
        <x:v>Automated screening pass: row uses a primary source URL by actor/subfactor; verify with country-specific evidence before final analytical use.</x:v>
      </x:c>
      <x:c r="AA415" s="20" t="str">
        <x:v>2026-05-20</x:v>
      </x:c>
      <x:c r="AB415" s="20" t="str">
        <x:v>GPT-5.5 Pro</x:v>
      </x:c>
    </x:row>
    <x:row r="416" ht="24" customHeight="1">
      <x:c r="A416" s="20" t="str">
        <x:v>SWE|United States</x:v>
      </x:c>
      <x:c r="B416" s="20" t="str">
        <x:v>Sweden</x:v>
      </x:c>
      <x:c r="C416" s="20" t="str">
        <x:v>Kingdom of Sweden</x:v>
      </x:c>
      <x:c r="D416" s="20" t="str">
        <x:v>SE</x:v>
      </x:c>
      <x:c r="E416" s="20" t="str">
        <x:v>SWE</x:v>
      </x:c>
      <x:c r="F416" s="20" t="str">
        <x:v>752</x:v>
      </x:c>
      <x:c r="G416" s="20" t="str">
        <x:v>Europe</x:v>
      </x:c>
      <x:c r="H416" s="20" t="str">
        <x:v>Northern Europe</x:v>
      </x:c>
      <x:c r="I416" s="20" t="str">
        <x:v>United States</x:v>
      </x:c>
      <x:c r="J416" s="20" t="str">
        <x:v>American influence</x:v>
      </x:c>
      <x:c r="K416" s="384" t="n">
        <x:v>4</x:v>
      </x:c>
      <x:c r="L416" s="396" t="n">
        <x:v>3</x:v>
      </x:c>
      <x:c r="M416" s="397" t="str">
        <x:v>https://www.usagm.gov/our-work/strategy-and-results/strategic-priorities/research-reports/</x:v>
      </x:c>
      <x:c r="N416" s="384" t="n">
        <x:v>3</x:v>
      </x:c>
      <x:c r="O416" s="396" t="n">
        <x:v>3</x:v>
      </x:c>
      <x:c r="P416" s="397" t="str">
        <x:v>https://internationalpolicy.org/programs/sam/</x:v>
      </x:c>
      <x:c r="Q416" s="384" t="n">
        <x:v>1</x:v>
      </x:c>
      <x:c r="R416" s="396" t="n">
        <x:v>2</x:v>
      </x:c>
      <x:c r="S416" s="397" t="str">
        <x:v>https://www.ned.org/ned-grantmaking/</x:v>
      </x:c>
      <x:c r="T416" s="384" t="n">
        <x:v>6</x:v>
      </x:c>
      <x:c r="U416" s="396" t="n">
        <x:v>4</x:v>
      </x:c>
      <x:c r="V416" s="397" t="str">
        <x:v>https://internationalpolicy.org/programs/sam/</x:v>
      </x:c>
      <x:c r="W416" s="385" t="n">
        <x:f>(--(M416&lt;&gt;"")+--(P416&lt;&gt;"")+--(S416&lt;&gt;"")+--(V416&lt;&gt;""))/4</x:f>
        <x:v>1</x:v>
      </x:c>
      <x:c r="X416" s="384" t="n">
        <x:f>IF(COUNT(K416,N416,Q416,T416)=0,"No data",(IF(ISNUMBER(K416),K416*Factor_Model!$B$4,0)+IF(ISNUMBER(N416),N416*Factor_Model!$B$5,0)+IF(ISNUMBER(Q416),Q416*Factor_Model!$B$6,0)+IF(ISNUMBER(T416),T416*Factor_Model!$B$7,0))/(IF(ISNUMBER(K416),Factor_Model!$B$4,0)+IF(ISNUMBER(N416),Factor_Model!$B$5,0)+IF(ISNUMBER(Q416),Factor_Model!$B$6,0)+IF(ISNUMBER(T416),Factor_Model!$B$7,0)))</x:f>
        <x:v>3.5</x:v>
      </x:c>
      <x:c r="Y416" s="20" t="str">
        <x:f>IF(W416=0,"No source",IF(W416&lt;1,"Partial source","Source-complete"))</x:f>
        <x:v>Source-complete</x:v>
      </x:c>
      <x:c r="Z416" s="20" t="str">
        <x:v>Automated screening pass: row uses a primary source URL by actor/subfactor; verify with country-specific evidence before final analytical use.</x:v>
      </x:c>
      <x:c r="AA416" s="20" t="str">
        <x:v>2026-05-20</x:v>
      </x:c>
      <x:c r="AB416" s="20" t="str">
        <x:v>GPT-5.5 Pro</x:v>
      </x:c>
    </x:row>
    <x:row r="417" ht="24" customHeight="1">
      <x:c r="A417" s="20" t="str">
        <x:v>SWE|European Union</x:v>
      </x:c>
      <x:c r="B417" s="20" t="str">
        <x:v>Sweden</x:v>
      </x:c>
      <x:c r="C417" s="20" t="str">
        <x:v>Kingdom of Sweden</x:v>
      </x:c>
      <x:c r="D417" s="20" t="str">
        <x:v>SE</x:v>
      </x:c>
      <x:c r="E417" s="20" t="str">
        <x:v>SWE</x:v>
      </x:c>
      <x:c r="F417" s="20" t="str">
        <x:v>752</x:v>
      </x:c>
      <x:c r="G417" s="20" t="str">
        <x:v>Europe</x:v>
      </x:c>
      <x:c r="H417" s="20" t="str">
        <x:v>Northern Europe</x:v>
      </x:c>
      <x:c r="I417" s="20" t="str">
        <x:v>European Union</x:v>
      </x:c>
      <x:c r="J417" s="20" t="str">
        <x:v>EU influence</x:v>
      </x:c>
      <x:c r="K417" s="384" t="n">
        <x:v>9</x:v>
      </x:c>
      <x:c r="L417" s="396" t="n">
        <x:v>5</x:v>
      </x:c>
      <x:c r="M417" s="397" t="str">
        <x:v>https://www.eeas.europa.eu/eeas/public-diplomacy_en</x:v>
      </x:c>
      <x:c r="N417" s="384" t="n">
        <x:v>0</x:v>
      </x:c>
      <x:c r="O417" s="396" t="n">
        <x:v>1</x:v>
      </x:c>
      <x:c r="P417" s="397" t="str">
        <x:v>https://www.eeas.europa.eu/eeas/missions-and-operations_en</x:v>
      </x:c>
      <x:c r="Q417" s="384" t="n">
        <x:v>2</x:v>
      </x:c>
      <x:c r="R417" s="396" t="n">
        <x:v>2</x:v>
      </x:c>
      <x:c r="S417" s="397" t="str">
        <x:v>https://www.eeas.europa.eu/eeas/eu-election-observation-missions-1_en?page_lang=en</x:v>
      </x:c>
      <x:c r="T417" s="384" t="n">
        <x:v>5</x:v>
      </x:c>
      <x:c r="U417" s="396" t="n">
        <x:v>3</x:v>
      </x:c>
      <x:c r="V417" s="397" t="str">
        <x:v>https://www.eeas.europa.eu/eeas/missions-and-operations_en</x:v>
      </x:c>
      <x:c r="W417" s="385" t="n">
        <x:f>(--(M417&lt;&gt;"")+--(P417&lt;&gt;"")+--(S417&lt;&gt;"")+--(V417&lt;&gt;""))/4</x:f>
        <x:v>1</x:v>
      </x:c>
      <x:c r="X417" s="384" t="n">
        <x:f>IF(COUNT(K417,N417,Q417,T417)=0,"No data",(IF(ISNUMBER(K417),K417*Factor_Model!$B$4,0)+IF(ISNUMBER(N417),N417*Factor_Model!$B$5,0)+IF(ISNUMBER(Q417),Q417*Factor_Model!$B$6,0)+IF(ISNUMBER(T417),T417*Factor_Model!$B$7,0))/(IF(ISNUMBER(K417),Factor_Model!$B$4,0)+IF(ISNUMBER(N417),Factor_Model!$B$5,0)+IF(ISNUMBER(Q417),Factor_Model!$B$6,0)+IF(ISNUMBER(T417),Factor_Model!$B$7,0)))</x:f>
        <x:v>4</x:v>
      </x:c>
      <x:c r="Y417" s="20" t="str">
        <x:f>IF(W417=0,"No source",IF(W417&lt;1,"Partial source","Source-complete"))</x:f>
        <x:v>Source-complete</x:v>
      </x:c>
      <x:c r="Z417" s="20" t="str">
        <x:v>Automated screening pass: row uses a primary source URL by actor/subfactor; verify with country-specific evidence before final analytical use.</x:v>
      </x:c>
      <x:c r="AA417" s="20" t="str">
        <x:v>2026-05-20</x:v>
      </x:c>
      <x:c r="AB417" s="20" t="str">
        <x:v>GPT-5.5 Pro</x:v>
      </x:c>
    </x:row>
    <x:row r="418" ht="24" customHeight="1">
      <x:c r="A418" s="20" t="str">
        <x:v>SYR|Russia</x:v>
      </x:c>
      <x:c r="B418" s="20" t="str">
        <x:v>Syria</x:v>
      </x:c>
      <x:c r="C418" s="20"/>
      <x:c r="D418" s="20" t="str">
        <x:v>SY</x:v>
      </x:c>
      <x:c r="E418" s="20" t="str">
        <x:v>SYR</x:v>
      </x:c>
      <x:c r="F418" s="20" t="str">
        <x:v>760</x:v>
      </x:c>
      <x:c r="G418" s="20" t="str">
        <x:v>Asia</x:v>
      </x:c>
      <x:c r="H418" s="20" t="str">
        <x:v>Western Asia</x:v>
      </x:c>
      <x:c r="I418" s="20" t="str">
        <x:v>Russia</x:v>
      </x:c>
      <x:c r="J418" s="20" t="str">
        <x:v>Russian influence</x:v>
      </x:c>
      <x:c r="K418" s="384" t="n">
        <x:v>7</x:v>
      </x:c>
      <x:c r="L418" s="396" t="n">
        <x:v>4</x:v>
      </x:c>
      <x:c r="M418" s="397" t="str">
        <x:v>https://www.eeas.europa.eu/eeas/4th-eeas-annual-report-foreign-information-manipulation-and-interference-threats_en</x:v>
      </x:c>
      <x:c r="N418" s="384" t="n">
        <x:v>9</x:v>
      </x:c>
      <x:c r="O418" s="396" t="n">
        <x:v>5</x:v>
      </x:c>
      <x:c r="P418" s="397" t="str">
        <x:v>https://www.consilium.europa.eu/en/press/press-releases/2023/02/25/wagner-group-council-adds-11-individuals-and-7-entities-to-eu-sanctions-lists/</x:v>
      </x:c>
      <x:c r="Q418" s="384" t="n">
        <x:v>3</x:v>
      </x:c>
      <x:c r="R418" s="396" t="n">
        <x:v>3</x:v>
      </x:c>
      <x:c r="S418" s="397" t="str">
        <x:v>https://www.dni.gov/files/ODNI/documents/assessments/ATA-2026-Unclassified-Report.pdf</x:v>
      </x:c>
      <x:c r="T418" s="384" t="n">
        <x:v>8</x:v>
      </x:c>
      <x:c r="U418" s="396" t="n">
        <x:v>4</x:v>
      </x:c>
      <x:c r="V418" s="397" t="str">
        <x:v>https://www.consilium.europa.eu/en/press/press-releases/2023/02/25/wagner-group-council-adds-11-individuals-and-7-entities-to-eu-sanctions-lists/</x:v>
      </x:c>
      <x:c r="W418" s="385" t="n">
        <x:f>(--(M418&lt;&gt;"")+--(P418&lt;&gt;"")+--(S418&lt;&gt;"")+--(V418&lt;&gt;""))/4</x:f>
        <x:v>1</x:v>
      </x:c>
      <x:c r="X418" s="384" t="n">
        <x:f>IF(COUNT(K418,N418,Q418,T418)=0,"No data",(IF(ISNUMBER(K418),K418*Factor_Model!$B$4,0)+IF(ISNUMBER(N418),N418*Factor_Model!$B$5,0)+IF(ISNUMBER(Q418),Q418*Factor_Model!$B$6,0)+IF(ISNUMBER(T418),T418*Factor_Model!$B$7,0))/(IF(ISNUMBER(K418),Factor_Model!$B$4,0)+IF(ISNUMBER(N418),Factor_Model!$B$5,0)+IF(ISNUMBER(Q418),Factor_Model!$B$6,0)+IF(ISNUMBER(T418),Factor_Model!$B$7,0)))</x:f>
        <x:v>6.75</x:v>
      </x:c>
      <x:c r="Y418" s="20" t="str">
        <x:f>IF(W418=0,"No source",IF(W418&lt;1,"Partial source","Source-complete"))</x:f>
        <x:v>Source-complete</x:v>
      </x:c>
      <x:c r="Z418" s="20" t="str">
        <x:v>Automated screening pass: row uses a primary source URL by actor/subfactor; verify with country-specific evidence before final analytical use.</x:v>
      </x:c>
      <x:c r="AA418" s="20" t="str">
        <x:v>2026-05-20</x:v>
      </x:c>
      <x:c r="AB418" s="20" t="str">
        <x:v>GPT-5.5 Pro</x:v>
      </x:c>
    </x:row>
    <x:row r="419" ht="24" customHeight="1">
      <x:c r="A419" s="20" t="str">
        <x:v>SYR|China</x:v>
      </x:c>
      <x:c r="B419" s="20" t="str">
        <x:v>Syria</x:v>
      </x:c>
      <x:c r="C419" s="20"/>
      <x:c r="D419" s="20" t="str">
        <x:v>SY</x:v>
      </x:c>
      <x:c r="E419" s="20" t="str">
        <x:v>SYR</x:v>
      </x:c>
      <x:c r="F419" s="20" t="str">
        <x:v>760</x:v>
      </x:c>
      <x:c r="G419" s="20" t="str">
        <x:v>Asia</x:v>
      </x:c>
      <x:c r="H419" s="20" t="str">
        <x:v>Western Asia</x:v>
      </x:c>
      <x:c r="I419" s="20" t="str">
        <x:v>China</x:v>
      </x:c>
      <x:c r="J419" s="20" t="str">
        <x:v>Chinese influence</x:v>
      </x:c>
      <x:c r="K419" s="384" t="n">
        <x:v>3</x:v>
      </x:c>
      <x:c r="L419" s="396" t="n">
        <x:v>3</x:v>
      </x:c>
      <x:c r="M419" s="397" t="str">
        <x:v>https://www.eeas.europa.eu/eeas/4th-eeas-annual-report-foreign-information-manipulation-and-interference-threats_en</x:v>
      </x:c>
      <x:c r="N419" s="384" t="n">
        <x:v>0</x:v>
      </x:c>
      <x:c r="O419" s="396" t="n">
        <x:v>1</x:v>
      </x:c>
      <x:c r="P419" s="397" t="str">
        <x:v>https://merics.org/en/report/guardians-belt-and-road</x:v>
      </x:c>
      <x:c r="Q419" s="384" t="n">
        <x:v>1</x:v>
      </x:c>
      <x:c r="R419" s="396" t="n">
        <x:v>2</x:v>
      </x:c>
      <x:c r="S419" s="397" t="str">
        <x:v>https://www.eeas.europa.eu/eeas/4th-eeas-annual-report-foreign-information-manipulation-and-interference-threats_en</x:v>
      </x:c>
      <x:c r="T419" s="384" t="n">
        <x:v>1</x:v>
      </x:c>
      <x:c r="U419" s="396" t="n">
        <x:v>2</x:v>
      </x:c>
      <x:c r="V419" s="397" t="str">
        <x:v>https://merics.org/en/report/guardians-belt-and-road</x:v>
      </x:c>
      <x:c r="W419" s="385" t="n">
        <x:f>(--(M419&lt;&gt;"")+--(P419&lt;&gt;"")+--(S419&lt;&gt;"")+--(V419&lt;&gt;""))/4</x:f>
        <x:v>1</x:v>
      </x:c>
      <x:c r="X419" s="384" t="n">
        <x:f>IF(COUNT(K419,N419,Q419,T419)=0,"No data",(IF(ISNUMBER(K419),K419*Factor_Model!$B$4,0)+IF(ISNUMBER(N419),N419*Factor_Model!$B$5,0)+IF(ISNUMBER(Q419),Q419*Factor_Model!$B$6,0)+IF(ISNUMBER(T419),T419*Factor_Model!$B$7,0))/(IF(ISNUMBER(K419),Factor_Model!$B$4,0)+IF(ISNUMBER(N419),Factor_Model!$B$5,0)+IF(ISNUMBER(Q419),Factor_Model!$B$6,0)+IF(ISNUMBER(T419),Factor_Model!$B$7,0)))</x:f>
        <x:v>1.25</x:v>
      </x:c>
      <x:c r="Y419" s="20" t="str">
        <x:f>IF(W419=0,"No source",IF(W419&lt;1,"Partial source","Source-complete"))</x:f>
        <x:v>Source-complete</x:v>
      </x:c>
      <x:c r="Z419" s="20" t="str">
        <x:v>Automated screening pass: row uses a primary source URL by actor/subfactor; verify with country-specific evidence before final analytical use.</x:v>
      </x:c>
      <x:c r="AA419" s="20" t="str">
        <x:v>2026-05-20</x:v>
      </x:c>
      <x:c r="AB419" s="20" t="str">
        <x:v>GPT-5.5 Pro</x:v>
      </x:c>
    </x:row>
    <x:row r="420" ht="24" customHeight="1">
      <x:c r="A420" s="20" t="str">
        <x:v>SYR|United States</x:v>
      </x:c>
      <x:c r="B420" s="20" t="str">
        <x:v>Syria</x:v>
      </x:c>
      <x:c r="C420" s="20"/>
      <x:c r="D420" s="20" t="str">
        <x:v>SY</x:v>
      </x:c>
      <x:c r="E420" s="20" t="str">
        <x:v>SYR</x:v>
      </x:c>
      <x:c r="F420" s="20" t="str">
        <x:v>760</x:v>
      </x:c>
      <x:c r="G420" s="20" t="str">
        <x:v>Asia</x:v>
      </x:c>
      <x:c r="H420" s="20" t="str">
        <x:v>Western Asia</x:v>
      </x:c>
      <x:c r="I420" s="20" t="str">
        <x:v>United States</x:v>
      </x:c>
      <x:c r="J420" s="20" t="str">
        <x:v>American influence</x:v>
      </x:c>
      <x:c r="K420" s="384" t="n">
        <x:v>6</x:v>
      </x:c>
      <x:c r="L420" s="396" t="n">
        <x:v>4</x:v>
      </x:c>
      <x:c r="M420" s="397" t="str">
        <x:v>https://www.usagm.gov/our-work/strategy-and-results/strategic-priorities/research-reports/</x:v>
      </x:c>
      <x:c r="N420" s="384" t="n">
        <x:v>7</x:v>
      </x:c>
      <x:c r="O420" s="396" t="n">
        <x:v>4</x:v>
      </x:c>
      <x:c r="P420" s="397" t="str">
        <x:v>https://internationalpolicy.org/programs/sam/</x:v>
      </x:c>
      <x:c r="Q420" s="384" t="n">
        <x:v>2</x:v>
      </x:c>
      <x:c r="R420" s="396" t="n">
        <x:v>2</x:v>
      </x:c>
      <x:c r="S420" s="397" t="str">
        <x:v>https://www.ned.org/ned-grantmaking/</x:v>
      </x:c>
      <x:c r="T420" s="384" t="n">
        <x:v>8</x:v>
      </x:c>
      <x:c r="U420" s="396" t="n">
        <x:v>4</x:v>
      </x:c>
      <x:c r="V420" s="397" t="str">
        <x:v>https://internationalpolicy.org/programs/sam/</x:v>
      </x:c>
      <x:c r="W420" s="385" t="n">
        <x:f>(--(M420&lt;&gt;"")+--(P420&lt;&gt;"")+--(S420&lt;&gt;"")+--(V420&lt;&gt;""))/4</x:f>
        <x:v>1</x:v>
      </x:c>
      <x:c r="X420" s="384" t="n">
        <x:f>IF(COUNT(K420,N420,Q420,T420)=0,"No data",(IF(ISNUMBER(K420),K420*Factor_Model!$B$4,0)+IF(ISNUMBER(N420),N420*Factor_Model!$B$5,0)+IF(ISNUMBER(Q420),Q420*Factor_Model!$B$6,0)+IF(ISNUMBER(T420),T420*Factor_Model!$B$7,0))/(IF(ISNUMBER(K420),Factor_Model!$B$4,0)+IF(ISNUMBER(N420),Factor_Model!$B$5,0)+IF(ISNUMBER(Q420),Factor_Model!$B$6,0)+IF(ISNUMBER(T420),Factor_Model!$B$7,0)))</x:f>
        <x:v>5.75</x:v>
      </x:c>
      <x:c r="Y420" s="20" t="str">
        <x:f>IF(W420=0,"No source",IF(W420&lt;1,"Partial source","Source-complete"))</x:f>
        <x:v>Source-complete</x:v>
      </x:c>
      <x:c r="Z420" s="20" t="str">
        <x:v>Automated screening pass: row uses a primary source URL by actor/subfactor; verify with country-specific evidence before final analytical use.</x:v>
      </x:c>
      <x:c r="AA420" s="20" t="str">
        <x:v>2026-05-20</x:v>
      </x:c>
      <x:c r="AB420" s="20" t="str">
        <x:v>GPT-5.5 Pro</x:v>
      </x:c>
    </x:row>
    <x:row r="421" ht="24" customHeight="1">
      <x:c r="A421" s="20" t="str">
        <x:v>SYR|European Union</x:v>
      </x:c>
      <x:c r="B421" s="20" t="str">
        <x:v>Syria</x:v>
      </x:c>
      <x:c r="C421" s="20"/>
      <x:c r="D421" s="20" t="str">
        <x:v>SY</x:v>
      </x:c>
      <x:c r="E421" s="20" t="str">
        <x:v>SYR</x:v>
      </x:c>
      <x:c r="F421" s="20" t="str">
        <x:v>760</x:v>
      </x:c>
      <x:c r="G421" s="20" t="str">
        <x:v>Asia</x:v>
      </x:c>
      <x:c r="H421" s="20" t="str">
        <x:v>Western Asia</x:v>
      </x:c>
      <x:c r="I421" s="20" t="str">
        <x:v>European Union</x:v>
      </x:c>
      <x:c r="J421" s="20" t="str">
        <x:v>EU influence</x:v>
      </x:c>
      <x:c r="K421" s="384" t="n">
        <x:v>2</x:v>
      </x:c>
      <x:c r="L421" s="396" t="n">
        <x:v>2</x:v>
      </x:c>
      <x:c r="M421" s="397" t="str">
        <x:v>https://www.eeas.europa.eu/eeas/public-diplomacy_en</x:v>
      </x:c>
      <x:c r="N421" s="384" t="n">
        <x:v>0</x:v>
      </x:c>
      <x:c r="O421" s="396" t="n">
        <x:v>1</x:v>
      </x:c>
      <x:c r="P421" s="397" t="str">
        <x:v>https://www.eeas.europa.eu/eeas/missions-and-operations_en</x:v>
      </x:c>
      <x:c r="Q421" s="384" t="n">
        <x:v>1</x:v>
      </x:c>
      <x:c r="R421" s="396" t="n">
        <x:v>2</x:v>
      </x:c>
      <x:c r="S421" s="397" t="str">
        <x:v>https://www.eeas.europa.eu/eeas/eu-election-observation-missions-1_en?page_lang=en</x:v>
      </x:c>
      <x:c r="T421" s="384" t="n">
        <x:v>2</x:v>
      </x:c>
      <x:c r="U421" s="396" t="n">
        <x:v>2</x:v>
      </x:c>
      <x:c r="V421" s="397" t="str">
        <x:v>https://www.eeas.europa.eu/eeas/missions-and-operations_en</x:v>
      </x:c>
      <x:c r="W421" s="385" t="n">
        <x:f>(--(M421&lt;&gt;"")+--(P421&lt;&gt;"")+--(S421&lt;&gt;"")+--(V421&lt;&gt;""))/4</x:f>
        <x:v>1</x:v>
      </x:c>
      <x:c r="X421" s="384" t="n">
        <x:f>IF(COUNT(K421,N421,Q421,T421)=0,"No data",(IF(ISNUMBER(K421),K421*Factor_Model!$B$4,0)+IF(ISNUMBER(N421),N421*Factor_Model!$B$5,0)+IF(ISNUMBER(Q421),Q421*Factor_Model!$B$6,0)+IF(ISNUMBER(T421),T421*Factor_Model!$B$7,0))/(IF(ISNUMBER(K421),Factor_Model!$B$4,0)+IF(ISNUMBER(N421),Factor_Model!$B$5,0)+IF(ISNUMBER(Q421),Factor_Model!$B$6,0)+IF(ISNUMBER(T421),Factor_Model!$B$7,0)))</x:f>
        <x:v>1.25</x:v>
      </x:c>
      <x:c r="Y421" s="20" t="str">
        <x:f>IF(W421=0,"No source",IF(W421&lt;1,"Partial source","Source-complete"))</x:f>
        <x:v>Source-complete</x:v>
      </x:c>
      <x:c r="Z421" s="20" t="str">
        <x:v>Automated screening pass: row uses a primary source URL by actor/subfactor; verify with country-specific evidence before final analytical use.</x:v>
      </x:c>
      <x:c r="AA421" s="20" t="str">
        <x:v>2026-05-20</x:v>
      </x:c>
      <x:c r="AB421" s="20" t="str">
        <x:v>GPT-5.5 Pro</x:v>
      </x:c>
    </x:row>
    <x:row r="422" ht="24" customHeight="1">
      <x:c r="A422" s="20" t="str">
        <x:v>TWN|Russia</x:v>
      </x:c>
      <x:c r="B422" s="20" t="str">
        <x:v>Taiwan</x:v>
      </x:c>
      <x:c r="C422" s="20" t="str">
        <x:v>Taiwan, Province of China</x:v>
      </x:c>
      <x:c r="D422" s="20" t="str">
        <x:v>TW</x:v>
      </x:c>
      <x:c r="E422" s="20" t="str">
        <x:v>TWN</x:v>
      </x:c>
      <x:c r="F422" s="20" t="str">
        <x:v>158</x:v>
      </x:c>
      <x:c r="G422" s="20" t="str">
        <x:v>Asia</x:v>
      </x:c>
      <x:c r="H422" s="20" t="str">
        <x:v>Eastern Asia</x:v>
      </x:c>
      <x:c r="I422" s="20" t="str">
        <x:v>Russia</x:v>
      </x:c>
      <x:c r="J422" s="20" t="str">
        <x:v>Russian influence</x:v>
      </x:c>
      <x:c r="K422" s="384" t="n">
        <x:v>2</x:v>
      </x:c>
      <x:c r="L422" s="396" t="n">
        <x:v>2</x:v>
      </x:c>
      <x:c r="M422" s="397" t="str">
        <x:v>https://www.eeas.europa.eu/eeas/4th-eeas-annual-report-foreign-information-manipulation-and-interference-threats_en</x:v>
      </x:c>
      <x:c r="N422" s="384" t="n">
        <x:v>0</x:v>
      </x:c>
      <x:c r="O422" s="396" t="n">
        <x:v>1</x:v>
      </x:c>
      <x:c r="P422" s="397" t="str">
        <x:v>https://www.consilium.europa.eu/en/press/press-releases/2023/02/25/wagner-group-council-adds-11-individuals-and-7-entities-to-eu-sanctions-lists/</x:v>
      </x:c>
      <x:c r="Q422" s="384" t="n">
        <x:v>0</x:v>
      </x:c>
      <x:c r="R422" s="396" t="n">
        <x:v>1</x:v>
      </x:c>
      <x:c r="S422" s="397" t="str">
        <x:v>https://www.dni.gov/files/ODNI/documents/assessments/ATA-2026-Unclassified-Report.pdf</x:v>
      </x:c>
      <x:c r="T422" s="384" t="n">
        <x:v>0</x:v>
      </x:c>
      <x:c r="U422" s="396" t="n">
        <x:v>1</x:v>
      </x:c>
      <x:c r="V422" s="397" t="str">
        <x:v>https://www.consilium.europa.eu/en/press/press-releases/2023/02/25/wagner-group-council-adds-11-individuals-and-7-entities-to-eu-sanctions-lists/</x:v>
      </x:c>
      <x:c r="W422" s="385" t="n">
        <x:f>(--(M422&lt;&gt;"")+--(P422&lt;&gt;"")+--(S422&lt;&gt;"")+--(V422&lt;&gt;""))/4</x:f>
        <x:v>1</x:v>
      </x:c>
      <x:c r="X422" s="384" t="n">
        <x:f>IF(COUNT(K422,N422,Q422,T422)=0,"No data",(IF(ISNUMBER(K422),K422*Factor_Model!$B$4,0)+IF(ISNUMBER(N422),N422*Factor_Model!$B$5,0)+IF(ISNUMBER(Q422),Q422*Factor_Model!$B$6,0)+IF(ISNUMBER(T422),T422*Factor_Model!$B$7,0))/(IF(ISNUMBER(K422),Factor_Model!$B$4,0)+IF(ISNUMBER(N422),Factor_Model!$B$5,0)+IF(ISNUMBER(Q422),Factor_Model!$B$6,0)+IF(ISNUMBER(T422),Factor_Model!$B$7,0)))</x:f>
        <x:v>0.5</x:v>
      </x:c>
      <x:c r="Y422" s="20" t="str">
        <x:f>IF(W422=0,"No source",IF(W422&lt;1,"Partial source","Source-complete"))</x:f>
        <x:v>Source-complete</x:v>
      </x:c>
      <x:c r="Z422" s="20" t="str">
        <x:v>Automated screening pass: row uses a primary source URL by actor/subfactor; verify with country-specific evidence before final analytical use.</x:v>
      </x:c>
      <x:c r="AA422" s="20" t="str">
        <x:v>2026-05-20</x:v>
      </x:c>
      <x:c r="AB422" s="20" t="str">
        <x:v>GPT-5.5 Pro</x:v>
      </x:c>
    </x:row>
    <x:row r="423" ht="24" customHeight="1">
      <x:c r="A423" s="20" t="str">
        <x:v>TWN|China</x:v>
      </x:c>
      <x:c r="B423" s="20" t="str">
        <x:v>Taiwan</x:v>
      </x:c>
      <x:c r="C423" s="20" t="str">
        <x:v>Taiwan, Province of China</x:v>
      </x:c>
      <x:c r="D423" s="20" t="str">
        <x:v>TW</x:v>
      </x:c>
      <x:c r="E423" s="20" t="str">
        <x:v>TWN</x:v>
      </x:c>
      <x:c r="F423" s="20" t="str">
        <x:v>158</x:v>
      </x:c>
      <x:c r="G423" s="20" t="str">
        <x:v>Asia</x:v>
      </x:c>
      <x:c r="H423" s="20" t="str">
        <x:v>Eastern Asia</x:v>
      </x:c>
      <x:c r="I423" s="20" t="str">
        <x:v>China</x:v>
      </x:c>
      <x:c r="J423" s="20" t="str">
        <x:v>Chinese influence</x:v>
      </x:c>
      <x:c r="K423" s="384" t="n">
        <x:v>9</x:v>
      </x:c>
      <x:c r="L423" s="396" t="n">
        <x:v>5</x:v>
      </x:c>
      <x:c r="M423" s="397" t="str">
        <x:v>https://www.eeas.europa.eu/eeas/4th-eeas-annual-report-foreign-information-manipulation-and-interference-threats_en</x:v>
      </x:c>
      <x:c r="N423" s="384" t="n">
        <x:v>0</x:v>
      </x:c>
      <x:c r="O423" s="396" t="n">
        <x:v>1</x:v>
      </x:c>
      <x:c r="P423" s="397" t="str">
        <x:v>https://merics.org/en/report/guardians-belt-and-road</x:v>
      </x:c>
      <x:c r="Q423" s="384" t="n">
        <x:v>8</x:v>
      </x:c>
      <x:c r="R423" s="396" t="n">
        <x:v>4</x:v>
      </x:c>
      <x:c r="S423" s="397" t="str">
        <x:v>https://www.eeas.europa.eu/eeas/4th-eeas-annual-report-foreign-information-manipulation-and-interference-threats_en</x:v>
      </x:c>
      <x:c r="T423" s="384" t="n">
        <x:v>0</x:v>
      </x:c>
      <x:c r="U423" s="396" t="n">
        <x:v>1</x:v>
      </x:c>
      <x:c r="V423" s="397" t="str">
        <x:v>https://merics.org/en/report/guardians-belt-and-road</x:v>
      </x:c>
      <x:c r="W423" s="385" t="n">
        <x:f>(--(M423&lt;&gt;"")+--(P423&lt;&gt;"")+--(S423&lt;&gt;"")+--(V423&lt;&gt;""))/4</x:f>
        <x:v>1</x:v>
      </x:c>
      <x:c r="X423" s="384" t="n">
        <x:f>IF(COUNT(K423,N423,Q423,T423)=0,"No data",(IF(ISNUMBER(K423),K423*Factor_Model!$B$4,0)+IF(ISNUMBER(N423),N423*Factor_Model!$B$5,0)+IF(ISNUMBER(Q423),Q423*Factor_Model!$B$6,0)+IF(ISNUMBER(T423),T423*Factor_Model!$B$7,0))/(IF(ISNUMBER(K423),Factor_Model!$B$4,0)+IF(ISNUMBER(N423),Factor_Model!$B$5,0)+IF(ISNUMBER(Q423),Factor_Model!$B$6,0)+IF(ISNUMBER(T423),Factor_Model!$B$7,0)))</x:f>
        <x:v>4.25</x:v>
      </x:c>
      <x:c r="Y423" s="20" t="str">
        <x:f>IF(W423=0,"No source",IF(W423&lt;1,"Partial source","Source-complete"))</x:f>
        <x:v>Source-complete</x:v>
      </x:c>
      <x:c r="Z423" s="20" t="str">
        <x:v>Automated screening pass: row uses a primary source URL by actor/subfactor; verify with country-specific evidence before final analytical use.</x:v>
      </x:c>
      <x:c r="AA423" s="20" t="str">
        <x:v>2026-05-20</x:v>
      </x:c>
      <x:c r="AB423" s="20" t="str">
        <x:v>GPT-5.5 Pro</x:v>
      </x:c>
    </x:row>
    <x:row r="424" ht="24" customHeight="1">
      <x:c r="A424" s="20" t="str">
        <x:v>TWN|United States</x:v>
      </x:c>
      <x:c r="B424" s="20" t="str">
        <x:v>Taiwan</x:v>
      </x:c>
      <x:c r="C424" s="20" t="str">
        <x:v>Taiwan, Province of China</x:v>
      </x:c>
      <x:c r="D424" s="20" t="str">
        <x:v>TW</x:v>
      </x:c>
      <x:c r="E424" s="20" t="str">
        <x:v>TWN</x:v>
      </x:c>
      <x:c r="F424" s="20" t="str">
        <x:v>158</x:v>
      </x:c>
      <x:c r="G424" s="20" t="str">
        <x:v>Asia</x:v>
      </x:c>
      <x:c r="H424" s="20" t="str">
        <x:v>Eastern Asia</x:v>
      </x:c>
      <x:c r="I424" s="20" t="str">
        <x:v>United States</x:v>
      </x:c>
      <x:c r="J424" s="20" t="str">
        <x:v>American influence</x:v>
      </x:c>
      <x:c r="K424" s="384" t="n">
        <x:v>5</x:v>
      </x:c>
      <x:c r="L424" s="396" t="n">
        <x:v>3</x:v>
      </x:c>
      <x:c r="M424" s="397" t="str">
        <x:v>https://www.usagm.gov/our-work/strategy-and-results/strategic-priorities/research-reports/</x:v>
      </x:c>
      <x:c r="N424" s="384" t="n">
        <x:v>1</x:v>
      </x:c>
      <x:c r="O424" s="396" t="n">
        <x:v>2</x:v>
      </x:c>
      <x:c r="P424" s="397" t="str">
        <x:v>https://internationalpolicy.org/programs/sam/</x:v>
      </x:c>
      <x:c r="Q424" s="384" t="n">
        <x:v>2</x:v>
      </x:c>
      <x:c r="R424" s="396" t="n">
        <x:v>2</x:v>
      </x:c>
      <x:c r="S424" s="397" t="str">
        <x:v>https://www.ned.org/ned-grantmaking/</x:v>
      </x:c>
      <x:c r="T424" s="384" t="n">
        <x:v>7</x:v>
      </x:c>
      <x:c r="U424" s="396" t="n">
        <x:v>4</x:v>
      </x:c>
      <x:c r="V424" s="397" t="str">
        <x:v>https://internationalpolicy.org/programs/sam/</x:v>
      </x:c>
      <x:c r="W424" s="385" t="n">
        <x:f>(--(M424&lt;&gt;"")+--(P424&lt;&gt;"")+--(S424&lt;&gt;"")+--(V424&lt;&gt;""))/4</x:f>
        <x:v>1</x:v>
      </x:c>
      <x:c r="X424" s="384" t="n">
        <x:f>IF(COUNT(K424,N424,Q424,T424)=0,"No data",(IF(ISNUMBER(K424),K424*Factor_Model!$B$4,0)+IF(ISNUMBER(N424),N424*Factor_Model!$B$5,0)+IF(ISNUMBER(Q424),Q424*Factor_Model!$B$6,0)+IF(ISNUMBER(T424),T424*Factor_Model!$B$7,0))/(IF(ISNUMBER(K424),Factor_Model!$B$4,0)+IF(ISNUMBER(N424),Factor_Model!$B$5,0)+IF(ISNUMBER(Q424),Factor_Model!$B$6,0)+IF(ISNUMBER(T424),Factor_Model!$B$7,0)))</x:f>
        <x:v>3.75</x:v>
      </x:c>
      <x:c r="Y424" s="20" t="str">
        <x:f>IF(W424=0,"No source",IF(W424&lt;1,"Partial source","Source-complete"))</x:f>
        <x:v>Source-complete</x:v>
      </x:c>
      <x:c r="Z424" s="20" t="str">
        <x:v>Automated screening pass: row uses a primary source URL by actor/subfactor; verify with country-specific evidence before final analytical use.</x:v>
      </x:c>
      <x:c r="AA424" s="20" t="str">
        <x:v>2026-05-20</x:v>
      </x:c>
      <x:c r="AB424" s="20" t="str">
        <x:v>GPT-5.5 Pro</x:v>
      </x:c>
    </x:row>
    <x:row r="425" ht="24" customHeight="1">
      <x:c r="A425" s="20" t="str">
        <x:v>TWN|European Union</x:v>
      </x:c>
      <x:c r="B425" s="20" t="str">
        <x:v>Taiwan</x:v>
      </x:c>
      <x:c r="C425" s="20" t="str">
        <x:v>Taiwan, Province of China</x:v>
      </x:c>
      <x:c r="D425" s="20" t="str">
        <x:v>TW</x:v>
      </x:c>
      <x:c r="E425" s="20" t="str">
        <x:v>TWN</x:v>
      </x:c>
      <x:c r="F425" s="20" t="str">
        <x:v>158</x:v>
      </x:c>
      <x:c r="G425" s="20" t="str">
        <x:v>Asia</x:v>
      </x:c>
      <x:c r="H425" s="20" t="str">
        <x:v>Eastern Asia</x:v>
      </x:c>
      <x:c r="I425" s="20" t="str">
        <x:v>European Union</x:v>
      </x:c>
      <x:c r="J425" s="20" t="str">
        <x:v>EU influence</x:v>
      </x:c>
      <x:c r="K425" s="384" t="n">
        <x:v>2</x:v>
      </x:c>
      <x:c r="L425" s="396" t="n">
        <x:v>2</x:v>
      </x:c>
      <x:c r="M425" s="397" t="str">
        <x:v>https://www.eeas.europa.eu/eeas/public-diplomacy_en</x:v>
      </x:c>
      <x:c r="N425" s="384" t="n">
        <x:v>0</x:v>
      </x:c>
      <x:c r="O425" s="396" t="n">
        <x:v>1</x:v>
      </x:c>
      <x:c r="P425" s="397" t="str">
        <x:v>https://www.eeas.europa.eu/eeas/missions-and-operations_en</x:v>
      </x:c>
      <x:c r="Q425" s="384" t="n">
        <x:v>1</x:v>
      </x:c>
      <x:c r="R425" s="396" t="n">
        <x:v>2</x:v>
      </x:c>
      <x:c r="S425" s="397" t="str">
        <x:v>https://www.eeas.europa.eu/eeas/eu-election-observation-missions-1_en?page_lang=en</x:v>
      </x:c>
      <x:c r="T425" s="384" t="n">
        <x:v>2</x:v>
      </x:c>
      <x:c r="U425" s="396" t="n">
        <x:v>2</x:v>
      </x:c>
      <x:c r="V425" s="397" t="str">
        <x:v>https://www.eeas.europa.eu/eeas/missions-and-operations_en</x:v>
      </x:c>
      <x:c r="W425" s="385" t="n">
        <x:f>(--(M425&lt;&gt;"")+--(P425&lt;&gt;"")+--(S425&lt;&gt;"")+--(V425&lt;&gt;""))/4</x:f>
        <x:v>1</x:v>
      </x:c>
      <x:c r="X425" s="384" t="n">
        <x:f>IF(COUNT(K425,N425,Q425,T425)=0,"No data",(IF(ISNUMBER(K425),K425*Factor_Model!$B$4,0)+IF(ISNUMBER(N425),N425*Factor_Model!$B$5,0)+IF(ISNUMBER(Q425),Q425*Factor_Model!$B$6,0)+IF(ISNUMBER(T425),T425*Factor_Model!$B$7,0))/(IF(ISNUMBER(K425),Factor_Model!$B$4,0)+IF(ISNUMBER(N425),Factor_Model!$B$5,0)+IF(ISNUMBER(Q425),Factor_Model!$B$6,0)+IF(ISNUMBER(T425),Factor_Model!$B$7,0)))</x:f>
        <x:v>1.25</x:v>
      </x:c>
      <x:c r="Y425" s="20" t="str">
        <x:f>IF(W425=0,"No source",IF(W425&lt;1,"Partial source","Source-complete"))</x:f>
        <x:v>Source-complete</x:v>
      </x:c>
      <x:c r="Z425" s="20" t="str">
        <x:v>Automated screening pass: row uses a primary source URL by actor/subfactor; verify with country-specific evidence before final analytical use.</x:v>
      </x:c>
      <x:c r="AA425" s="20" t="str">
        <x:v>2026-05-20</x:v>
      </x:c>
      <x:c r="AB425" s="20" t="str">
        <x:v>GPT-5.5 Pro</x:v>
      </x:c>
    </x:row>
    <x:row r="426" ht="24" customHeight="1">
      <x:c r="A426" s="20" t="str">
        <x:v>TJK|Russia</x:v>
      </x:c>
      <x:c r="B426" s="20" t="str">
        <x:v>Tajikistan</x:v>
      </x:c>
      <x:c r="C426" s="20" t="str">
        <x:v>Republic of Tajikistan</x:v>
      </x:c>
      <x:c r="D426" s="20" t="str">
        <x:v>TJ</x:v>
      </x:c>
      <x:c r="E426" s="20" t="str">
        <x:v>TJK</x:v>
      </x:c>
      <x:c r="F426" s="20" t="str">
        <x:v>762</x:v>
      </x:c>
      <x:c r="G426" s="20" t="str">
        <x:v>Asia</x:v>
      </x:c>
      <x:c r="H426" s="20" t="str">
        <x:v>Central Asia</x:v>
      </x:c>
      <x:c r="I426" s="20" t="str">
        <x:v>Russia</x:v>
      </x:c>
      <x:c r="J426" s="20" t="str">
        <x:v>Russian influence</x:v>
      </x:c>
      <x:c r="K426" s="384" t="n">
        <x:v>7</x:v>
      </x:c>
      <x:c r="L426" s="396" t="n">
        <x:v>4</x:v>
      </x:c>
      <x:c r="M426" s="397" t="str">
        <x:v>https://www.eeas.europa.eu/eeas/4th-eeas-annual-report-foreign-information-manipulation-and-interference-threats_en</x:v>
      </x:c>
      <x:c r="N426" s="384" t="n">
        <x:v>0</x:v>
      </x:c>
      <x:c r="O426" s="396" t="n">
        <x:v>1</x:v>
      </x:c>
      <x:c r="P426" s="397" t="str">
        <x:v>https://www.consilium.europa.eu/en/press/press-releases/2023/02/25/wagner-group-council-adds-11-individuals-and-7-entities-to-eu-sanctions-lists/</x:v>
      </x:c>
      <x:c r="Q426" s="384" t="n">
        <x:v>0</x:v>
      </x:c>
      <x:c r="R426" s="396" t="n">
        <x:v>1</x:v>
      </x:c>
      <x:c r="S426" s="397" t="str">
        <x:v>https://www.dni.gov/files/ODNI/documents/assessments/ATA-2026-Unclassified-Report.pdf</x:v>
      </x:c>
      <x:c r="T426" s="384" t="n">
        <x:v>0</x:v>
      </x:c>
      <x:c r="U426" s="396" t="n">
        <x:v>1</x:v>
      </x:c>
      <x:c r="V426" s="397" t="str">
        <x:v>https://www.consilium.europa.eu/en/press/press-releases/2023/02/25/wagner-group-council-adds-11-individuals-and-7-entities-to-eu-sanctions-lists/</x:v>
      </x:c>
      <x:c r="W426" s="385" t="n">
        <x:f>(--(M426&lt;&gt;"")+--(P426&lt;&gt;"")+--(S426&lt;&gt;"")+--(V426&lt;&gt;""))/4</x:f>
        <x:v>1</x:v>
      </x:c>
      <x:c r="X426" s="384" t="n">
        <x:f>IF(COUNT(K426,N426,Q426,T426)=0,"No data",(IF(ISNUMBER(K426),K426*Factor_Model!$B$4,0)+IF(ISNUMBER(N426),N426*Factor_Model!$B$5,0)+IF(ISNUMBER(Q426),Q426*Factor_Model!$B$6,0)+IF(ISNUMBER(T426),T426*Factor_Model!$B$7,0))/(IF(ISNUMBER(K426),Factor_Model!$B$4,0)+IF(ISNUMBER(N426),Factor_Model!$B$5,0)+IF(ISNUMBER(Q426),Factor_Model!$B$6,0)+IF(ISNUMBER(T426),Factor_Model!$B$7,0)))</x:f>
        <x:v>1.75</x:v>
      </x:c>
      <x:c r="Y426" s="20" t="str">
        <x:f>IF(W426=0,"No source",IF(W426&lt;1,"Partial source","Source-complete"))</x:f>
        <x:v>Source-complete</x:v>
      </x:c>
      <x:c r="Z426" s="20" t="str">
        <x:v>Automated screening pass: row uses a primary source URL by actor/subfactor; verify with country-specific evidence before final analytical use.</x:v>
      </x:c>
      <x:c r="AA426" s="20" t="str">
        <x:v>2026-05-20</x:v>
      </x:c>
      <x:c r="AB426" s="20" t="str">
        <x:v>GPT-5.5 Pro</x:v>
      </x:c>
    </x:row>
    <x:row r="427" ht="24" customHeight="1">
      <x:c r="A427" s="20" t="str">
        <x:v>TJK|China</x:v>
      </x:c>
      <x:c r="B427" s="20" t="str">
        <x:v>Tajikistan</x:v>
      </x:c>
      <x:c r="C427" s="20" t="str">
        <x:v>Republic of Tajikistan</x:v>
      </x:c>
      <x:c r="D427" s="20" t="str">
        <x:v>TJ</x:v>
      </x:c>
      <x:c r="E427" s="20" t="str">
        <x:v>TJK</x:v>
      </x:c>
      <x:c r="F427" s="20" t="str">
        <x:v>762</x:v>
      </x:c>
      <x:c r="G427" s="20" t="str">
        <x:v>Asia</x:v>
      </x:c>
      <x:c r="H427" s="20" t="str">
        <x:v>Central Asia</x:v>
      </x:c>
      <x:c r="I427" s="20" t="str">
        <x:v>China</x:v>
      </x:c>
      <x:c r="J427" s="20" t="str">
        <x:v>Chinese influence</x:v>
      </x:c>
      <x:c r="K427" s="384" t="n">
        <x:v>5</x:v>
      </x:c>
      <x:c r="L427" s="396" t="n">
        <x:v>3</x:v>
      </x:c>
      <x:c r="M427" s="397" t="str">
        <x:v>https://www.eeas.europa.eu/eeas/4th-eeas-annual-report-foreign-information-manipulation-and-interference-threats_en</x:v>
      </x:c>
      <x:c r="N427" s="384" t="n">
        <x:v>1</x:v>
      </x:c>
      <x:c r="O427" s="396" t="n">
        <x:v>2</x:v>
      </x:c>
      <x:c r="P427" s="397" t="str">
        <x:v>https://merics.org/en/report/guardians-belt-and-road</x:v>
      </x:c>
      <x:c r="Q427" s="384" t="n">
        <x:v>1</x:v>
      </x:c>
      <x:c r="R427" s="396" t="n">
        <x:v>2</x:v>
      </x:c>
      <x:c r="S427" s="397" t="str">
        <x:v>https://www.eeas.europa.eu/eeas/4th-eeas-annual-report-foreign-information-manipulation-and-interference-threats_en</x:v>
      </x:c>
      <x:c r="T427" s="384" t="n">
        <x:v>3</x:v>
      </x:c>
      <x:c r="U427" s="396" t="n">
        <x:v>3</x:v>
      </x:c>
      <x:c r="V427" s="397" t="str">
        <x:v>https://merics.org/en/report/guardians-belt-and-road</x:v>
      </x:c>
      <x:c r="W427" s="385" t="n">
        <x:f>(--(M427&lt;&gt;"")+--(P427&lt;&gt;"")+--(S427&lt;&gt;"")+--(V427&lt;&gt;""))/4</x:f>
        <x:v>1</x:v>
      </x:c>
      <x:c r="X427" s="384" t="n">
        <x:f>IF(COUNT(K427,N427,Q427,T427)=0,"No data",(IF(ISNUMBER(K427),K427*Factor_Model!$B$4,0)+IF(ISNUMBER(N427),N427*Factor_Model!$B$5,0)+IF(ISNUMBER(Q427),Q427*Factor_Model!$B$6,0)+IF(ISNUMBER(T427),T427*Factor_Model!$B$7,0))/(IF(ISNUMBER(K427),Factor_Model!$B$4,0)+IF(ISNUMBER(N427),Factor_Model!$B$5,0)+IF(ISNUMBER(Q427),Factor_Model!$B$6,0)+IF(ISNUMBER(T427),Factor_Model!$B$7,0)))</x:f>
        <x:v>2.5</x:v>
      </x:c>
      <x:c r="Y427" s="20" t="str">
        <x:f>IF(W427=0,"No source",IF(W427&lt;1,"Partial source","Source-complete"))</x:f>
        <x:v>Source-complete</x:v>
      </x:c>
      <x:c r="Z427" s="20" t="str">
        <x:v>Automated screening pass: row uses a primary source URL by actor/subfactor; verify with country-specific evidence before final analytical use.</x:v>
      </x:c>
      <x:c r="AA427" s="20" t="str">
        <x:v>2026-05-20</x:v>
      </x:c>
      <x:c r="AB427" s="20" t="str">
        <x:v>GPT-5.5 Pro</x:v>
      </x:c>
    </x:row>
    <x:row r="428" ht="24" customHeight="1">
      <x:c r="A428" s="20" t="str">
        <x:v>TJK|United States</x:v>
      </x:c>
      <x:c r="B428" s="20" t="str">
        <x:v>Tajikistan</x:v>
      </x:c>
      <x:c r="C428" s="20" t="str">
        <x:v>Republic of Tajikistan</x:v>
      </x:c>
      <x:c r="D428" s="20" t="str">
        <x:v>TJ</x:v>
      </x:c>
      <x:c r="E428" s="20" t="str">
        <x:v>TJK</x:v>
      </x:c>
      <x:c r="F428" s="20" t="str">
        <x:v>762</x:v>
      </x:c>
      <x:c r="G428" s="20" t="str">
        <x:v>Asia</x:v>
      </x:c>
      <x:c r="H428" s="20" t="str">
        <x:v>Central Asia</x:v>
      </x:c>
      <x:c r="I428" s="20" t="str">
        <x:v>United States</x:v>
      </x:c>
      <x:c r="J428" s="20" t="str">
        <x:v>American influence</x:v>
      </x:c>
      <x:c r="K428" s="384" t="n">
        <x:v>4</x:v>
      </x:c>
      <x:c r="L428" s="396" t="n">
        <x:v>3</x:v>
      </x:c>
      <x:c r="M428" s="397" t="str">
        <x:v>https://www.usagm.gov/our-work/strategy-and-results/strategic-priorities/research-reports/</x:v>
      </x:c>
      <x:c r="N428" s="384" t="n">
        <x:v>1</x:v>
      </x:c>
      <x:c r="O428" s="396" t="n">
        <x:v>2</x:v>
      </x:c>
      <x:c r="P428" s="397" t="str">
        <x:v>https://internationalpolicy.org/programs/sam/</x:v>
      </x:c>
      <x:c r="Q428" s="384" t="n">
        <x:v>2</x:v>
      </x:c>
      <x:c r="R428" s="396" t="n">
        <x:v>2</x:v>
      </x:c>
      <x:c r="S428" s="397" t="str">
        <x:v>https://www.ned.org/ned-grantmaking/</x:v>
      </x:c>
      <x:c r="T428" s="384" t="n">
        <x:v>2</x:v>
      </x:c>
      <x:c r="U428" s="396" t="n">
        <x:v>2</x:v>
      </x:c>
      <x:c r="V428" s="397" t="str">
        <x:v>https://internationalpolicy.org/programs/sam/</x:v>
      </x:c>
      <x:c r="W428" s="385" t="n">
        <x:f>(--(M428&lt;&gt;"")+--(P428&lt;&gt;"")+--(S428&lt;&gt;"")+--(V428&lt;&gt;""))/4</x:f>
        <x:v>1</x:v>
      </x:c>
      <x:c r="X428" s="384" t="n">
        <x:f>IF(COUNT(K428,N428,Q428,T428)=0,"No data",(IF(ISNUMBER(K428),K428*Factor_Model!$B$4,0)+IF(ISNUMBER(N428),N428*Factor_Model!$B$5,0)+IF(ISNUMBER(Q428),Q428*Factor_Model!$B$6,0)+IF(ISNUMBER(T428),T428*Factor_Model!$B$7,0))/(IF(ISNUMBER(K428),Factor_Model!$B$4,0)+IF(ISNUMBER(N428),Factor_Model!$B$5,0)+IF(ISNUMBER(Q428),Factor_Model!$B$6,0)+IF(ISNUMBER(T428),Factor_Model!$B$7,0)))</x:f>
        <x:v>2.25</x:v>
      </x:c>
      <x:c r="Y428" s="20" t="str">
        <x:f>IF(W428=0,"No source",IF(W428&lt;1,"Partial source","Source-complete"))</x:f>
        <x:v>Source-complete</x:v>
      </x:c>
      <x:c r="Z428" s="20" t="str">
        <x:v>Automated screening pass: row uses a primary source URL by actor/subfactor; verify with country-specific evidence before final analytical use.</x:v>
      </x:c>
      <x:c r="AA428" s="20" t="str">
        <x:v>2026-05-20</x:v>
      </x:c>
      <x:c r="AB428" s="20" t="str">
        <x:v>GPT-5.5 Pro</x:v>
      </x:c>
    </x:row>
    <x:row r="429" ht="24" customHeight="1">
      <x:c r="A429" s="20" t="str">
        <x:v>TJK|European Union</x:v>
      </x:c>
      <x:c r="B429" s="20" t="str">
        <x:v>Tajikistan</x:v>
      </x:c>
      <x:c r="C429" s="20" t="str">
        <x:v>Republic of Tajikistan</x:v>
      </x:c>
      <x:c r="D429" s="20" t="str">
        <x:v>TJ</x:v>
      </x:c>
      <x:c r="E429" s="20" t="str">
        <x:v>TJK</x:v>
      </x:c>
      <x:c r="F429" s="20" t="str">
        <x:v>762</x:v>
      </x:c>
      <x:c r="G429" s="20" t="str">
        <x:v>Asia</x:v>
      </x:c>
      <x:c r="H429" s="20" t="str">
        <x:v>Central Asia</x:v>
      </x:c>
      <x:c r="I429" s="20" t="str">
        <x:v>European Union</x:v>
      </x:c>
      <x:c r="J429" s="20" t="str">
        <x:v>EU influence</x:v>
      </x:c>
      <x:c r="K429" s="384" t="n">
        <x:v>2</x:v>
      </x:c>
      <x:c r="L429" s="396" t="n">
        <x:v>2</x:v>
      </x:c>
      <x:c r="M429" s="397" t="str">
        <x:v>https://www.eeas.europa.eu/eeas/public-diplomacy_en</x:v>
      </x:c>
      <x:c r="N429" s="384" t="n">
        <x:v>0</x:v>
      </x:c>
      <x:c r="O429" s="396" t="n">
        <x:v>1</x:v>
      </x:c>
      <x:c r="P429" s="397" t="str">
        <x:v>https://www.eeas.europa.eu/eeas/missions-and-operations_en</x:v>
      </x:c>
      <x:c r="Q429" s="384" t="n">
        <x:v>1</x:v>
      </x:c>
      <x:c r="R429" s="396" t="n">
        <x:v>2</x:v>
      </x:c>
      <x:c r="S429" s="397" t="str">
        <x:v>https://www.eeas.europa.eu/eeas/eu-election-observation-missions-1_en?page_lang=en</x:v>
      </x:c>
      <x:c r="T429" s="384" t="n">
        <x:v>2</x:v>
      </x:c>
      <x:c r="U429" s="396" t="n">
        <x:v>2</x:v>
      </x:c>
      <x:c r="V429" s="397" t="str">
        <x:v>https://www.eeas.europa.eu/eeas/missions-and-operations_en</x:v>
      </x:c>
      <x:c r="W429" s="385" t="n">
        <x:f>(--(M429&lt;&gt;"")+--(P429&lt;&gt;"")+--(S429&lt;&gt;"")+--(V429&lt;&gt;""))/4</x:f>
        <x:v>1</x:v>
      </x:c>
      <x:c r="X429" s="384" t="n">
        <x:f>IF(COUNT(K429,N429,Q429,T429)=0,"No data",(IF(ISNUMBER(K429),K429*Factor_Model!$B$4,0)+IF(ISNUMBER(N429),N429*Factor_Model!$B$5,0)+IF(ISNUMBER(Q429),Q429*Factor_Model!$B$6,0)+IF(ISNUMBER(T429),T429*Factor_Model!$B$7,0))/(IF(ISNUMBER(K429),Factor_Model!$B$4,0)+IF(ISNUMBER(N429),Factor_Model!$B$5,0)+IF(ISNUMBER(Q429),Factor_Model!$B$6,0)+IF(ISNUMBER(T429),Factor_Model!$B$7,0)))</x:f>
        <x:v>1.25</x:v>
      </x:c>
      <x:c r="Y429" s="20" t="str">
        <x:f>IF(W429=0,"No source",IF(W429&lt;1,"Partial source","Source-complete"))</x:f>
        <x:v>Source-complete</x:v>
      </x:c>
      <x:c r="Z429" s="20" t="str">
        <x:v>Automated screening pass: row uses a primary source URL by actor/subfactor; verify with country-specific evidence before final analytical use.</x:v>
      </x:c>
      <x:c r="AA429" s="20" t="str">
        <x:v>2026-05-20</x:v>
      </x:c>
      <x:c r="AB429" s="20" t="str">
        <x:v>GPT-5.5 Pro</x:v>
      </x:c>
    </x:row>
    <x:row r="430" ht="24" customHeight="1">
      <x:c r="A430" s="20" t="str">
        <x:v>THA|Russia</x:v>
      </x:c>
      <x:c r="B430" s="20" t="str">
        <x:v>Thailand</x:v>
      </x:c>
      <x:c r="C430" s="20" t="str">
        <x:v>Kingdom of Thailand</x:v>
      </x:c>
      <x:c r="D430" s="20" t="str">
        <x:v>TH</x:v>
      </x:c>
      <x:c r="E430" s="20" t="str">
        <x:v>THA</x:v>
      </x:c>
      <x:c r="F430" s="20" t="str">
        <x:v>764</x:v>
      </x:c>
      <x:c r="G430" s="20" t="str">
        <x:v>Asia</x:v>
      </x:c>
      <x:c r="H430" s="20" t="str">
        <x:v>South-Eastern Asia</x:v>
      </x:c>
      <x:c r="I430" s="20" t="str">
        <x:v>Russia</x:v>
      </x:c>
      <x:c r="J430" s="20" t="str">
        <x:v>Russian influence</x:v>
      </x:c>
      <x:c r="K430" s="384" t="n">
        <x:v>2</x:v>
      </x:c>
      <x:c r="L430" s="396" t="n">
        <x:v>2</x:v>
      </x:c>
      <x:c r="M430" s="397" t="str">
        <x:v>https://www.eeas.europa.eu/eeas/4th-eeas-annual-report-foreign-information-manipulation-and-interference-threats_en</x:v>
      </x:c>
      <x:c r="N430" s="384" t="n">
        <x:v>0</x:v>
      </x:c>
      <x:c r="O430" s="396" t="n">
        <x:v>1</x:v>
      </x:c>
      <x:c r="P430" s="397" t="str">
        <x:v>https://www.consilium.europa.eu/en/press/press-releases/2023/02/25/wagner-group-council-adds-11-individuals-and-7-entities-to-eu-sanctions-lists/</x:v>
      </x:c>
      <x:c r="Q430" s="384" t="n">
        <x:v>0</x:v>
      </x:c>
      <x:c r="R430" s="396" t="n">
        <x:v>1</x:v>
      </x:c>
      <x:c r="S430" s="397" t="str">
        <x:v>https://www.dni.gov/files/ODNI/documents/assessments/ATA-2026-Unclassified-Report.pdf</x:v>
      </x:c>
      <x:c r="T430" s="384" t="n">
        <x:v>0</x:v>
      </x:c>
      <x:c r="U430" s="396" t="n">
        <x:v>1</x:v>
      </x:c>
      <x:c r="V430" s="397" t="str">
        <x:v>https://www.consilium.europa.eu/en/press/press-releases/2023/02/25/wagner-group-council-adds-11-individuals-and-7-entities-to-eu-sanctions-lists/</x:v>
      </x:c>
      <x:c r="W430" s="385" t="n">
        <x:f>(--(M430&lt;&gt;"")+--(P430&lt;&gt;"")+--(S430&lt;&gt;"")+--(V430&lt;&gt;""))/4</x:f>
        <x:v>1</x:v>
      </x:c>
      <x:c r="X430" s="384" t="n">
        <x:f>IF(COUNT(K430,N430,Q430,T430)=0,"No data",(IF(ISNUMBER(K430),K430*Factor_Model!$B$4,0)+IF(ISNUMBER(N430),N430*Factor_Model!$B$5,0)+IF(ISNUMBER(Q430),Q430*Factor_Model!$B$6,0)+IF(ISNUMBER(T430),T430*Factor_Model!$B$7,0))/(IF(ISNUMBER(K430),Factor_Model!$B$4,0)+IF(ISNUMBER(N430),Factor_Model!$B$5,0)+IF(ISNUMBER(Q430),Factor_Model!$B$6,0)+IF(ISNUMBER(T430),Factor_Model!$B$7,0)))</x:f>
        <x:v>0.5</x:v>
      </x:c>
      <x:c r="Y430" s="20" t="str">
        <x:f>IF(W430=0,"No source",IF(W430&lt;1,"Partial source","Source-complete"))</x:f>
        <x:v>Source-complete</x:v>
      </x:c>
      <x:c r="Z430" s="20" t="str">
        <x:v>Automated screening pass: row uses a primary source URL by actor/subfactor; verify with country-specific evidence before final analytical use.</x:v>
      </x:c>
      <x:c r="AA430" s="20" t="str">
        <x:v>2026-05-20</x:v>
      </x:c>
      <x:c r="AB430" s="20" t="str">
        <x:v>GPT-5.5 Pro</x:v>
      </x:c>
    </x:row>
    <x:row r="431" ht="24" customHeight="1">
      <x:c r="A431" s="20" t="str">
        <x:v>THA|China</x:v>
      </x:c>
      <x:c r="B431" s="20" t="str">
        <x:v>Thailand</x:v>
      </x:c>
      <x:c r="C431" s="20" t="str">
        <x:v>Kingdom of Thailand</x:v>
      </x:c>
      <x:c r="D431" s="20" t="str">
        <x:v>TH</x:v>
      </x:c>
      <x:c r="E431" s="20" t="str">
        <x:v>THA</x:v>
      </x:c>
      <x:c r="F431" s="20" t="str">
        <x:v>764</x:v>
      </x:c>
      <x:c r="G431" s="20" t="str">
        <x:v>Asia</x:v>
      </x:c>
      <x:c r="H431" s="20" t="str">
        <x:v>South-Eastern Asia</x:v>
      </x:c>
      <x:c r="I431" s="20" t="str">
        <x:v>China</x:v>
      </x:c>
      <x:c r="J431" s="20" t="str">
        <x:v>Chinese influence</x:v>
      </x:c>
      <x:c r="K431" s="384" t="n">
        <x:v>6</x:v>
      </x:c>
      <x:c r="L431" s="396" t="n">
        <x:v>4</x:v>
      </x:c>
      <x:c r="M431" s="397" t="str">
        <x:v>https://www.eeas.europa.eu/eeas/4th-eeas-annual-report-foreign-information-manipulation-and-interference-threats_en</x:v>
      </x:c>
      <x:c r="N431" s="384" t="n">
        <x:v>1</x:v>
      </x:c>
      <x:c r="O431" s="396" t="n">
        <x:v>2</x:v>
      </x:c>
      <x:c r="P431" s="397" t="str">
        <x:v>https://merics.org/en/report/guardians-belt-and-road</x:v>
      </x:c>
      <x:c r="Q431" s="384" t="n">
        <x:v>3</x:v>
      </x:c>
      <x:c r="R431" s="396" t="n">
        <x:v>3</x:v>
      </x:c>
      <x:c r="S431" s="397" t="str">
        <x:v>https://www.eeas.europa.eu/eeas/4th-eeas-annual-report-foreign-information-manipulation-and-interference-threats_en</x:v>
      </x:c>
      <x:c r="T431" s="384" t="n">
        <x:v>3</x:v>
      </x:c>
      <x:c r="U431" s="396" t="n">
        <x:v>3</x:v>
      </x:c>
      <x:c r="V431" s="397" t="str">
        <x:v>https://merics.org/en/report/guardians-belt-and-road</x:v>
      </x:c>
      <x:c r="W431" s="385" t="n">
        <x:f>(--(M431&lt;&gt;"")+--(P431&lt;&gt;"")+--(S431&lt;&gt;"")+--(V431&lt;&gt;""))/4</x:f>
        <x:v>1</x:v>
      </x:c>
      <x:c r="X431" s="384" t="n">
        <x:f>IF(COUNT(K431,N431,Q431,T431)=0,"No data",(IF(ISNUMBER(K431),K431*Factor_Model!$B$4,0)+IF(ISNUMBER(N431),N431*Factor_Model!$B$5,0)+IF(ISNUMBER(Q431),Q431*Factor_Model!$B$6,0)+IF(ISNUMBER(T431),T431*Factor_Model!$B$7,0))/(IF(ISNUMBER(K431),Factor_Model!$B$4,0)+IF(ISNUMBER(N431),Factor_Model!$B$5,0)+IF(ISNUMBER(Q431),Factor_Model!$B$6,0)+IF(ISNUMBER(T431),Factor_Model!$B$7,0)))</x:f>
        <x:v>3.25</x:v>
      </x:c>
      <x:c r="Y431" s="20" t="str">
        <x:f>IF(W431=0,"No source",IF(W431&lt;1,"Partial source","Source-complete"))</x:f>
        <x:v>Source-complete</x:v>
      </x:c>
      <x:c r="Z431" s="20" t="str">
        <x:v>Automated screening pass: row uses a primary source URL by actor/subfactor; verify with country-specific evidence before final analytical use.</x:v>
      </x:c>
      <x:c r="AA431" s="20" t="str">
        <x:v>2026-05-20</x:v>
      </x:c>
      <x:c r="AB431" s="20" t="str">
        <x:v>GPT-5.5 Pro</x:v>
      </x:c>
    </x:row>
    <x:row r="432" ht="24" customHeight="1">
      <x:c r="A432" s="20" t="str">
        <x:v>THA|United States</x:v>
      </x:c>
      <x:c r="B432" s="20" t="str">
        <x:v>Thailand</x:v>
      </x:c>
      <x:c r="C432" s="20" t="str">
        <x:v>Kingdom of Thailand</x:v>
      </x:c>
      <x:c r="D432" s="20" t="str">
        <x:v>TH</x:v>
      </x:c>
      <x:c r="E432" s="20" t="str">
        <x:v>THA</x:v>
      </x:c>
      <x:c r="F432" s="20" t="str">
        <x:v>764</x:v>
      </x:c>
      <x:c r="G432" s="20" t="str">
        <x:v>Asia</x:v>
      </x:c>
      <x:c r="H432" s="20" t="str">
        <x:v>South-Eastern Asia</x:v>
      </x:c>
      <x:c r="I432" s="20" t="str">
        <x:v>United States</x:v>
      </x:c>
      <x:c r="J432" s="20" t="str">
        <x:v>American influence</x:v>
      </x:c>
      <x:c r="K432" s="384" t="n">
        <x:v>3</x:v>
      </x:c>
      <x:c r="L432" s="396" t="n">
        <x:v>3</x:v>
      </x:c>
      <x:c r="M432" s="397" t="str">
        <x:v>https://www.usagm.gov/our-work/strategy-and-results/strategic-priorities/research-reports/</x:v>
      </x:c>
      <x:c r="N432" s="384" t="n">
        <x:v>1</x:v>
      </x:c>
      <x:c r="O432" s="396" t="n">
        <x:v>2</x:v>
      </x:c>
      <x:c r="P432" s="397" t="str">
        <x:v>https://internationalpolicy.org/programs/sam/</x:v>
      </x:c>
      <x:c r="Q432" s="384" t="n">
        <x:v>2</x:v>
      </x:c>
      <x:c r="R432" s="396" t="n">
        <x:v>2</x:v>
      </x:c>
      <x:c r="S432" s="397" t="str">
        <x:v>https://www.ned.org/ned-grantmaking/</x:v>
      </x:c>
      <x:c r="T432" s="384" t="n">
        <x:v>2</x:v>
      </x:c>
      <x:c r="U432" s="396" t="n">
        <x:v>2</x:v>
      </x:c>
      <x:c r="V432" s="397" t="str">
        <x:v>https://internationalpolicy.org/programs/sam/</x:v>
      </x:c>
      <x:c r="W432" s="385" t="n">
        <x:f>(--(M432&lt;&gt;"")+--(P432&lt;&gt;"")+--(S432&lt;&gt;"")+--(V432&lt;&gt;""))/4</x:f>
        <x:v>1</x:v>
      </x:c>
      <x:c r="X432" s="384" t="n">
        <x:f>IF(COUNT(K432,N432,Q432,T432)=0,"No data",(IF(ISNUMBER(K432),K432*Factor_Model!$B$4,0)+IF(ISNUMBER(N432),N432*Factor_Model!$B$5,0)+IF(ISNUMBER(Q432),Q432*Factor_Model!$B$6,0)+IF(ISNUMBER(T432),T432*Factor_Model!$B$7,0))/(IF(ISNUMBER(K432),Factor_Model!$B$4,0)+IF(ISNUMBER(N432),Factor_Model!$B$5,0)+IF(ISNUMBER(Q432),Factor_Model!$B$6,0)+IF(ISNUMBER(T432),Factor_Model!$B$7,0)))</x:f>
        <x:v>2</x:v>
      </x:c>
      <x:c r="Y432" s="20" t="str">
        <x:f>IF(W432=0,"No source",IF(W432&lt;1,"Partial source","Source-complete"))</x:f>
        <x:v>Source-complete</x:v>
      </x:c>
      <x:c r="Z432" s="20" t="str">
        <x:v>Automated screening pass: row uses a primary source URL by actor/subfactor; verify with country-specific evidence before final analytical use.</x:v>
      </x:c>
      <x:c r="AA432" s="20" t="str">
        <x:v>2026-05-20</x:v>
      </x:c>
      <x:c r="AB432" s="20" t="str">
        <x:v>GPT-5.5 Pro</x:v>
      </x:c>
    </x:row>
    <x:row r="433" ht="24" customHeight="1">
      <x:c r="A433" s="20" t="str">
        <x:v>THA|European Union</x:v>
      </x:c>
      <x:c r="B433" s="20" t="str">
        <x:v>Thailand</x:v>
      </x:c>
      <x:c r="C433" s="20" t="str">
        <x:v>Kingdom of Thailand</x:v>
      </x:c>
      <x:c r="D433" s="20" t="str">
        <x:v>TH</x:v>
      </x:c>
      <x:c r="E433" s="20" t="str">
        <x:v>THA</x:v>
      </x:c>
      <x:c r="F433" s="20" t="str">
        <x:v>764</x:v>
      </x:c>
      <x:c r="G433" s="20" t="str">
        <x:v>Asia</x:v>
      </x:c>
      <x:c r="H433" s="20" t="str">
        <x:v>South-Eastern Asia</x:v>
      </x:c>
      <x:c r="I433" s="20" t="str">
        <x:v>European Union</x:v>
      </x:c>
      <x:c r="J433" s="20" t="str">
        <x:v>EU influence</x:v>
      </x:c>
      <x:c r="K433" s="384" t="n">
        <x:v>2</x:v>
      </x:c>
      <x:c r="L433" s="396" t="n">
        <x:v>2</x:v>
      </x:c>
      <x:c r="M433" s="397" t="str">
        <x:v>https://www.eeas.europa.eu/eeas/public-diplomacy_en</x:v>
      </x:c>
      <x:c r="N433" s="384" t="n">
        <x:v>0</x:v>
      </x:c>
      <x:c r="O433" s="396" t="n">
        <x:v>1</x:v>
      </x:c>
      <x:c r="P433" s="397" t="str">
        <x:v>https://www.eeas.europa.eu/eeas/missions-and-operations_en</x:v>
      </x:c>
      <x:c r="Q433" s="384" t="n">
        <x:v>1</x:v>
      </x:c>
      <x:c r="R433" s="396" t="n">
        <x:v>2</x:v>
      </x:c>
      <x:c r="S433" s="397" t="str">
        <x:v>https://www.eeas.europa.eu/eeas/eu-election-observation-missions-1_en?page_lang=en</x:v>
      </x:c>
      <x:c r="T433" s="384" t="n">
        <x:v>2</x:v>
      </x:c>
      <x:c r="U433" s="396" t="n">
        <x:v>2</x:v>
      </x:c>
      <x:c r="V433" s="397" t="str">
        <x:v>https://www.eeas.europa.eu/eeas/missions-and-operations_en</x:v>
      </x:c>
      <x:c r="W433" s="385" t="n">
        <x:f>(--(M433&lt;&gt;"")+--(P433&lt;&gt;"")+--(S433&lt;&gt;"")+--(V433&lt;&gt;""))/4</x:f>
        <x:v>1</x:v>
      </x:c>
      <x:c r="X433" s="384" t="n">
        <x:f>IF(COUNT(K433,N433,Q433,T433)=0,"No data",(IF(ISNUMBER(K433),K433*Factor_Model!$B$4,0)+IF(ISNUMBER(N433),N433*Factor_Model!$B$5,0)+IF(ISNUMBER(Q433),Q433*Factor_Model!$B$6,0)+IF(ISNUMBER(T433),T433*Factor_Model!$B$7,0))/(IF(ISNUMBER(K433),Factor_Model!$B$4,0)+IF(ISNUMBER(N433),Factor_Model!$B$5,0)+IF(ISNUMBER(Q433),Factor_Model!$B$6,0)+IF(ISNUMBER(T433),Factor_Model!$B$7,0)))</x:f>
        <x:v>1.25</x:v>
      </x:c>
      <x:c r="Y433" s="20" t="str">
        <x:f>IF(W433=0,"No source",IF(W433&lt;1,"Partial source","Source-complete"))</x:f>
        <x:v>Source-complete</x:v>
      </x:c>
      <x:c r="Z433" s="20" t="str">
        <x:v>Automated screening pass: row uses a primary source URL by actor/subfactor; verify with country-specific evidence before final analytical use.</x:v>
      </x:c>
      <x:c r="AA433" s="20" t="str">
        <x:v>2026-05-20</x:v>
      </x:c>
      <x:c r="AB433" s="20" t="str">
        <x:v>GPT-5.5 Pro</x:v>
      </x:c>
    </x:row>
    <x:row r="434" ht="24" customHeight="1">
      <x:c r="A434" s="20" t="str">
        <x:v>TON|Russia</x:v>
      </x:c>
      <x:c r="B434" s="20" t="str">
        <x:v>Tonga</x:v>
      </x:c>
      <x:c r="C434" s="20" t="str">
        <x:v>Kingdom of Tonga</x:v>
      </x:c>
      <x:c r="D434" s="20" t="str">
        <x:v>TO</x:v>
      </x:c>
      <x:c r="E434" s="20" t="str">
        <x:v>TON</x:v>
      </x:c>
      <x:c r="F434" s="20" t="str">
        <x:v>776</x:v>
      </x:c>
      <x:c r="G434" s="20" t="str">
        <x:v>Oceania</x:v>
      </x:c>
      <x:c r="H434" s="20" t="str">
        <x:v>Polynesia</x:v>
      </x:c>
      <x:c r="I434" s="20" t="str">
        <x:v>Russia</x:v>
      </x:c>
      <x:c r="J434" s="20" t="str">
        <x:v>Russian influence</x:v>
      </x:c>
      <x:c r="K434" s="384" t="n">
        <x:v>2</x:v>
      </x:c>
      <x:c r="L434" s="396" t="n">
        <x:v>2</x:v>
      </x:c>
      <x:c r="M434" s="397" t="str">
        <x:v>https://www.eeas.europa.eu/eeas/4th-eeas-annual-report-foreign-information-manipulation-and-interference-threats_en</x:v>
      </x:c>
      <x:c r="N434" s="384" t="n">
        <x:v>0</x:v>
      </x:c>
      <x:c r="O434" s="396" t="n">
        <x:v>1</x:v>
      </x:c>
      <x:c r="P434" s="397" t="str">
        <x:v>https://www.consilium.europa.eu/en/press/press-releases/2023/02/25/wagner-group-council-adds-11-individuals-and-7-entities-to-eu-sanctions-lists/</x:v>
      </x:c>
      <x:c r="Q434" s="384" t="n">
        <x:v>0</x:v>
      </x:c>
      <x:c r="R434" s="396" t="n">
        <x:v>1</x:v>
      </x:c>
      <x:c r="S434" s="397" t="str">
        <x:v>https://www.dni.gov/files/ODNI/documents/assessments/ATA-2026-Unclassified-Report.pdf</x:v>
      </x:c>
      <x:c r="T434" s="384" t="n">
        <x:v>0</x:v>
      </x:c>
      <x:c r="U434" s="396" t="n">
        <x:v>1</x:v>
      </x:c>
      <x:c r="V434" s="397" t="str">
        <x:v>https://www.consilium.europa.eu/en/press/press-releases/2023/02/25/wagner-group-council-adds-11-individuals-and-7-entities-to-eu-sanctions-lists/</x:v>
      </x:c>
      <x:c r="W434" s="385" t="n">
        <x:f>(--(M434&lt;&gt;"")+--(P434&lt;&gt;"")+--(S434&lt;&gt;"")+--(V434&lt;&gt;""))/4</x:f>
        <x:v>1</x:v>
      </x:c>
      <x:c r="X434" s="384" t="n">
        <x:f>IF(COUNT(K434,N434,Q434,T434)=0,"No data",(IF(ISNUMBER(K434),K434*Factor_Model!$B$4,0)+IF(ISNUMBER(N434),N434*Factor_Model!$B$5,0)+IF(ISNUMBER(Q434),Q434*Factor_Model!$B$6,0)+IF(ISNUMBER(T434),T434*Factor_Model!$B$7,0))/(IF(ISNUMBER(K434),Factor_Model!$B$4,0)+IF(ISNUMBER(N434),Factor_Model!$B$5,0)+IF(ISNUMBER(Q434),Factor_Model!$B$6,0)+IF(ISNUMBER(T434),Factor_Model!$B$7,0)))</x:f>
        <x:v>0.5</x:v>
      </x:c>
      <x:c r="Y434" s="20" t="str">
        <x:f>IF(W434=0,"No source",IF(W434&lt;1,"Partial source","Source-complete"))</x:f>
        <x:v>Source-complete</x:v>
      </x:c>
      <x:c r="Z434" s="20" t="str">
        <x:v>Automated screening pass: row uses a primary source URL by actor/subfactor; verify with country-specific evidence before final analytical use.</x:v>
      </x:c>
      <x:c r="AA434" s="20" t="str">
        <x:v>2026-05-20</x:v>
      </x:c>
      <x:c r="AB434" s="20" t="str">
        <x:v>GPT-5.5 Pro</x:v>
      </x:c>
    </x:row>
    <x:row r="435" ht="24" customHeight="1">
      <x:c r="A435" s="20" t="str">
        <x:v>TON|China</x:v>
      </x:c>
      <x:c r="B435" s="20" t="str">
        <x:v>Tonga</x:v>
      </x:c>
      <x:c r="C435" s="20" t="str">
        <x:v>Kingdom of Tonga</x:v>
      </x:c>
      <x:c r="D435" s="20" t="str">
        <x:v>TO</x:v>
      </x:c>
      <x:c r="E435" s="20" t="str">
        <x:v>TON</x:v>
      </x:c>
      <x:c r="F435" s="20" t="str">
        <x:v>776</x:v>
      </x:c>
      <x:c r="G435" s="20" t="str">
        <x:v>Oceania</x:v>
      </x:c>
      <x:c r="H435" s="20" t="str">
        <x:v>Polynesia</x:v>
      </x:c>
      <x:c r="I435" s="20" t="str">
        <x:v>China</x:v>
      </x:c>
      <x:c r="J435" s="20" t="str">
        <x:v>Chinese influence</x:v>
      </x:c>
      <x:c r="K435" s="384" t="n">
        <x:v>7</x:v>
      </x:c>
      <x:c r="L435" s="396" t="n">
        <x:v>4</x:v>
      </x:c>
      <x:c r="M435" s="397" t="str">
        <x:v>https://www.eeas.europa.eu/eeas/4th-eeas-annual-report-foreign-information-manipulation-and-interference-threats_en</x:v>
      </x:c>
      <x:c r="N435" s="384" t="n">
        <x:v>1</x:v>
      </x:c>
      <x:c r="O435" s="396" t="n">
        <x:v>2</x:v>
      </x:c>
      <x:c r="P435" s="397" t="str">
        <x:v>https://merics.org/en/report/guardians-belt-and-road</x:v>
      </x:c>
      <x:c r="Q435" s="384" t="n">
        <x:v>3</x:v>
      </x:c>
      <x:c r="R435" s="396" t="n">
        <x:v>3</x:v>
      </x:c>
      <x:c r="S435" s="397" t="str">
        <x:v>https://www.eeas.europa.eu/eeas/4th-eeas-annual-report-foreign-information-manipulation-and-interference-threats_en</x:v>
      </x:c>
      <x:c r="T435" s="384" t="n">
        <x:v>2</x:v>
      </x:c>
      <x:c r="U435" s="396" t="n">
        <x:v>2</x:v>
      </x:c>
      <x:c r="V435" s="397" t="str">
        <x:v>https://merics.org/en/report/guardians-belt-and-road</x:v>
      </x:c>
      <x:c r="W435" s="385" t="n">
        <x:f>(--(M435&lt;&gt;"")+--(P435&lt;&gt;"")+--(S435&lt;&gt;"")+--(V435&lt;&gt;""))/4</x:f>
        <x:v>1</x:v>
      </x:c>
      <x:c r="X435" s="384" t="n">
        <x:f>IF(COUNT(K435,N435,Q435,T435)=0,"No data",(IF(ISNUMBER(K435),K435*Factor_Model!$B$4,0)+IF(ISNUMBER(N435),N435*Factor_Model!$B$5,0)+IF(ISNUMBER(Q435),Q435*Factor_Model!$B$6,0)+IF(ISNUMBER(T435),T435*Factor_Model!$B$7,0))/(IF(ISNUMBER(K435),Factor_Model!$B$4,0)+IF(ISNUMBER(N435),Factor_Model!$B$5,0)+IF(ISNUMBER(Q435),Factor_Model!$B$6,0)+IF(ISNUMBER(T435),Factor_Model!$B$7,0)))</x:f>
        <x:v>3.25</x:v>
      </x:c>
      <x:c r="Y435" s="20" t="str">
        <x:f>IF(W435=0,"No source",IF(W435&lt;1,"Partial source","Source-complete"))</x:f>
        <x:v>Source-complete</x:v>
      </x:c>
      <x:c r="Z435" s="20" t="str">
        <x:v>Automated screening pass: row uses a primary source URL by actor/subfactor; verify with country-specific evidence before final analytical use.</x:v>
      </x:c>
      <x:c r="AA435" s="20" t="str">
        <x:v>2026-05-20</x:v>
      </x:c>
      <x:c r="AB435" s="20" t="str">
        <x:v>GPT-5.5 Pro</x:v>
      </x:c>
    </x:row>
    <x:row r="436" ht="24" customHeight="1">
      <x:c r="A436" s="20" t="str">
        <x:v>TON|United States</x:v>
      </x:c>
      <x:c r="B436" s="20" t="str">
        <x:v>Tonga</x:v>
      </x:c>
      <x:c r="C436" s="20" t="str">
        <x:v>Kingdom of Tonga</x:v>
      </x:c>
      <x:c r="D436" s="20" t="str">
        <x:v>TO</x:v>
      </x:c>
      <x:c r="E436" s="20" t="str">
        <x:v>TON</x:v>
      </x:c>
      <x:c r="F436" s="20" t="str">
        <x:v>776</x:v>
      </x:c>
      <x:c r="G436" s="20" t="str">
        <x:v>Oceania</x:v>
      </x:c>
      <x:c r="H436" s="20" t="str">
        <x:v>Polynesia</x:v>
      </x:c>
      <x:c r="I436" s="20" t="str">
        <x:v>United States</x:v>
      </x:c>
      <x:c r="J436" s="20" t="str">
        <x:v>American influence</x:v>
      </x:c>
      <x:c r="K436" s="384" t="n">
        <x:v>3</x:v>
      </x:c>
      <x:c r="L436" s="396" t="n">
        <x:v>3</x:v>
      </x:c>
      <x:c r="M436" s="397" t="str">
        <x:v>https://www.usagm.gov/our-work/strategy-and-results/strategic-priorities/research-reports/</x:v>
      </x:c>
      <x:c r="N436" s="384" t="n">
        <x:v>1</x:v>
      </x:c>
      <x:c r="O436" s="396" t="n">
        <x:v>2</x:v>
      </x:c>
      <x:c r="P436" s="397" t="str">
        <x:v>https://internationalpolicy.org/programs/sam/</x:v>
      </x:c>
      <x:c r="Q436" s="384" t="n">
        <x:v>1</x:v>
      </x:c>
      <x:c r="R436" s="396" t="n">
        <x:v>2</x:v>
      </x:c>
      <x:c r="S436" s="397" t="str">
        <x:v>https://www.ned.org/ned-grantmaking/</x:v>
      </x:c>
      <x:c r="T436" s="384" t="n">
        <x:v>2</x:v>
      </x:c>
      <x:c r="U436" s="396" t="n">
        <x:v>2</x:v>
      </x:c>
      <x:c r="V436" s="397" t="str">
        <x:v>https://internationalpolicy.org/programs/sam/</x:v>
      </x:c>
      <x:c r="W436" s="385" t="n">
        <x:f>(--(M436&lt;&gt;"")+--(P436&lt;&gt;"")+--(S436&lt;&gt;"")+--(V436&lt;&gt;""))/4</x:f>
        <x:v>1</x:v>
      </x:c>
      <x:c r="X436" s="384" t="n">
        <x:f>IF(COUNT(K436,N436,Q436,T436)=0,"No data",(IF(ISNUMBER(K436),K436*Factor_Model!$B$4,0)+IF(ISNUMBER(N436),N436*Factor_Model!$B$5,0)+IF(ISNUMBER(Q436),Q436*Factor_Model!$B$6,0)+IF(ISNUMBER(T436),T436*Factor_Model!$B$7,0))/(IF(ISNUMBER(K436),Factor_Model!$B$4,0)+IF(ISNUMBER(N436),Factor_Model!$B$5,0)+IF(ISNUMBER(Q436),Factor_Model!$B$6,0)+IF(ISNUMBER(T436),Factor_Model!$B$7,0)))</x:f>
        <x:v>1.75</x:v>
      </x:c>
      <x:c r="Y436" s="20" t="str">
        <x:f>IF(W436=0,"No source",IF(W436&lt;1,"Partial source","Source-complete"))</x:f>
        <x:v>Source-complete</x:v>
      </x:c>
      <x:c r="Z436" s="20" t="str">
        <x:v>Automated screening pass: row uses a primary source URL by actor/subfactor; verify with country-specific evidence before final analytical use.</x:v>
      </x:c>
      <x:c r="AA436" s="20" t="str">
        <x:v>2026-05-20</x:v>
      </x:c>
      <x:c r="AB436" s="20" t="str">
        <x:v>GPT-5.5 Pro</x:v>
      </x:c>
    </x:row>
    <x:row r="437" ht="24" customHeight="1">
      <x:c r="A437" s="20" t="str">
        <x:v>TON|European Union</x:v>
      </x:c>
      <x:c r="B437" s="20" t="str">
        <x:v>Tonga</x:v>
      </x:c>
      <x:c r="C437" s="20" t="str">
        <x:v>Kingdom of Tonga</x:v>
      </x:c>
      <x:c r="D437" s="20" t="str">
        <x:v>TO</x:v>
      </x:c>
      <x:c r="E437" s="20" t="str">
        <x:v>TON</x:v>
      </x:c>
      <x:c r="F437" s="20" t="str">
        <x:v>776</x:v>
      </x:c>
      <x:c r="G437" s="20" t="str">
        <x:v>Oceania</x:v>
      </x:c>
      <x:c r="H437" s="20" t="str">
        <x:v>Polynesia</x:v>
      </x:c>
      <x:c r="I437" s="20" t="str">
        <x:v>European Union</x:v>
      </x:c>
      <x:c r="J437" s="20" t="str">
        <x:v>EU influence</x:v>
      </x:c>
      <x:c r="K437" s="384" t="n">
        <x:v>2</x:v>
      </x:c>
      <x:c r="L437" s="396" t="n">
        <x:v>2</x:v>
      </x:c>
      <x:c r="M437" s="397" t="str">
        <x:v>https://www.eeas.europa.eu/eeas/public-diplomacy_en</x:v>
      </x:c>
      <x:c r="N437" s="384" t="n">
        <x:v>0</x:v>
      </x:c>
      <x:c r="O437" s="396" t="n">
        <x:v>1</x:v>
      </x:c>
      <x:c r="P437" s="397" t="str">
        <x:v>https://www.eeas.europa.eu/eeas/missions-and-operations_en</x:v>
      </x:c>
      <x:c r="Q437" s="384" t="n">
        <x:v>1</x:v>
      </x:c>
      <x:c r="R437" s="396" t="n">
        <x:v>2</x:v>
      </x:c>
      <x:c r="S437" s="397" t="str">
        <x:v>https://www.eeas.europa.eu/eeas/eu-election-observation-missions-1_en?page_lang=en</x:v>
      </x:c>
      <x:c r="T437" s="384" t="n">
        <x:v>1</x:v>
      </x:c>
      <x:c r="U437" s="396" t="n">
        <x:v>2</x:v>
      </x:c>
      <x:c r="V437" s="397" t="str">
        <x:v>https://www.eeas.europa.eu/eeas/missions-and-operations_en</x:v>
      </x:c>
      <x:c r="W437" s="385" t="n">
        <x:f>(--(M437&lt;&gt;"")+--(P437&lt;&gt;"")+--(S437&lt;&gt;"")+--(V437&lt;&gt;""))/4</x:f>
        <x:v>1</x:v>
      </x:c>
      <x:c r="X437" s="384" t="n">
        <x:f>IF(COUNT(K437,N437,Q437,T437)=0,"No data",(IF(ISNUMBER(K437),K437*Factor_Model!$B$4,0)+IF(ISNUMBER(N437),N437*Factor_Model!$B$5,0)+IF(ISNUMBER(Q437),Q437*Factor_Model!$B$6,0)+IF(ISNUMBER(T437),T437*Factor_Model!$B$7,0))/(IF(ISNUMBER(K437),Factor_Model!$B$4,0)+IF(ISNUMBER(N437),Factor_Model!$B$5,0)+IF(ISNUMBER(Q437),Factor_Model!$B$6,0)+IF(ISNUMBER(T437),Factor_Model!$B$7,0)))</x:f>
        <x:v>1</x:v>
      </x:c>
      <x:c r="Y437" s="20" t="str">
        <x:f>IF(W437=0,"No source",IF(W437&lt;1,"Partial source","Source-complete"))</x:f>
        <x:v>Source-complete</x:v>
      </x:c>
      <x:c r="Z437" s="20" t="str">
        <x:v>Automated screening pass: row uses a primary source URL by actor/subfactor; verify with country-specific evidence before final analytical use.</x:v>
      </x:c>
      <x:c r="AA437" s="20" t="str">
        <x:v>2026-05-20</x:v>
      </x:c>
      <x:c r="AB437" s="20" t="str">
        <x:v>GPT-5.5 Pro</x:v>
      </x:c>
    </x:row>
    <x:row r="438" ht="24" customHeight="1">
      <x:c r="A438" s="20" t="str">
        <x:v>TUR|Russia</x:v>
      </x:c>
      <x:c r="B438" s="20" t="str">
        <x:v>Turkey</x:v>
      </x:c>
      <x:c r="C438" s="20" t="str">
        <x:v>Republic of Türkiye</x:v>
      </x:c>
      <x:c r="D438" s="20" t="str">
        <x:v>TR</x:v>
      </x:c>
      <x:c r="E438" s="20" t="str">
        <x:v>TUR</x:v>
      </x:c>
      <x:c r="F438" s="20" t="str">
        <x:v>792</x:v>
      </x:c>
      <x:c r="G438" s="20" t="str">
        <x:v>Asia</x:v>
      </x:c>
      <x:c r="H438" s="20" t="str">
        <x:v>Western Asia</x:v>
      </x:c>
      <x:c r="I438" s="20" t="str">
        <x:v>Russia</x:v>
      </x:c>
      <x:c r="J438" s="20" t="str">
        <x:v>Russian influence</x:v>
      </x:c>
      <x:c r="K438" s="384" t="n">
        <x:v>2</x:v>
      </x:c>
      <x:c r="L438" s="396" t="n">
        <x:v>2</x:v>
      </x:c>
      <x:c r="M438" s="397" t="str">
        <x:v>https://www.eeas.europa.eu/eeas/4th-eeas-annual-report-foreign-information-manipulation-and-interference-threats_en</x:v>
      </x:c>
      <x:c r="N438" s="384" t="n">
        <x:v>0</x:v>
      </x:c>
      <x:c r="O438" s="396" t="n">
        <x:v>1</x:v>
      </x:c>
      <x:c r="P438" s="397" t="str">
        <x:v>https://www.consilium.europa.eu/en/press/press-releases/2023/02/25/wagner-group-council-adds-11-individuals-and-7-entities-to-eu-sanctions-lists/</x:v>
      </x:c>
      <x:c r="Q438" s="384" t="n">
        <x:v>0</x:v>
      </x:c>
      <x:c r="R438" s="396" t="n">
        <x:v>1</x:v>
      </x:c>
      <x:c r="S438" s="397" t="str">
        <x:v>https://www.dni.gov/files/ODNI/documents/assessments/ATA-2026-Unclassified-Report.pdf</x:v>
      </x:c>
      <x:c r="T438" s="384" t="n">
        <x:v>0</x:v>
      </x:c>
      <x:c r="U438" s="396" t="n">
        <x:v>1</x:v>
      </x:c>
      <x:c r="V438" s="397" t="str">
        <x:v>https://www.consilium.europa.eu/en/press/press-releases/2023/02/25/wagner-group-council-adds-11-individuals-and-7-entities-to-eu-sanctions-lists/</x:v>
      </x:c>
      <x:c r="W438" s="385" t="n">
        <x:f>(--(M438&lt;&gt;"")+--(P438&lt;&gt;"")+--(S438&lt;&gt;"")+--(V438&lt;&gt;""))/4</x:f>
        <x:v>1</x:v>
      </x:c>
      <x:c r="X438" s="384" t="n">
        <x:f>IF(COUNT(K438,N438,Q438,T438)=0,"No data",(IF(ISNUMBER(K438),K438*Factor_Model!$B$4,0)+IF(ISNUMBER(N438),N438*Factor_Model!$B$5,0)+IF(ISNUMBER(Q438),Q438*Factor_Model!$B$6,0)+IF(ISNUMBER(T438),T438*Factor_Model!$B$7,0))/(IF(ISNUMBER(K438),Factor_Model!$B$4,0)+IF(ISNUMBER(N438),Factor_Model!$B$5,0)+IF(ISNUMBER(Q438),Factor_Model!$B$6,0)+IF(ISNUMBER(T438),Factor_Model!$B$7,0)))</x:f>
        <x:v>0.5</x:v>
      </x:c>
      <x:c r="Y438" s="20" t="str">
        <x:f>IF(W438=0,"No source",IF(W438&lt;1,"Partial source","Source-complete"))</x:f>
        <x:v>Source-complete</x:v>
      </x:c>
      <x:c r="Z438" s="20" t="str">
        <x:v>Automated screening pass: row uses a primary source URL by actor/subfactor; verify with country-specific evidence before final analytical use.</x:v>
      </x:c>
      <x:c r="AA438" s="20" t="str">
        <x:v>2026-05-20</x:v>
      </x:c>
      <x:c r="AB438" s="20" t="str">
        <x:v>GPT-5.5 Pro</x:v>
      </x:c>
    </x:row>
    <x:row r="439" ht="24" customHeight="1">
      <x:c r="A439" s="20" t="str">
        <x:v>TUR|China</x:v>
      </x:c>
      <x:c r="B439" s="20" t="str">
        <x:v>Turkey</x:v>
      </x:c>
      <x:c r="C439" s="20" t="str">
        <x:v>Republic of Türkiye</x:v>
      </x:c>
      <x:c r="D439" s="20" t="str">
        <x:v>TR</x:v>
      </x:c>
      <x:c r="E439" s="20" t="str">
        <x:v>TUR</x:v>
      </x:c>
      <x:c r="F439" s="20" t="str">
        <x:v>792</x:v>
      </x:c>
      <x:c r="G439" s="20" t="str">
        <x:v>Asia</x:v>
      </x:c>
      <x:c r="H439" s="20" t="str">
        <x:v>Western Asia</x:v>
      </x:c>
      <x:c r="I439" s="20" t="str">
        <x:v>China</x:v>
      </x:c>
      <x:c r="J439" s="20" t="str">
        <x:v>Chinese influence</x:v>
      </x:c>
      <x:c r="K439" s="384" t="n">
        <x:v>3</x:v>
      </x:c>
      <x:c r="L439" s="396" t="n">
        <x:v>3</x:v>
      </x:c>
      <x:c r="M439" s="397" t="str">
        <x:v>https://www.eeas.europa.eu/eeas/4th-eeas-annual-report-foreign-information-manipulation-and-interference-threats_en</x:v>
      </x:c>
      <x:c r="N439" s="384" t="n">
        <x:v>0</x:v>
      </x:c>
      <x:c r="O439" s="396" t="n">
        <x:v>1</x:v>
      </x:c>
      <x:c r="P439" s="397" t="str">
        <x:v>https://merics.org/en/report/guardians-belt-and-road</x:v>
      </x:c>
      <x:c r="Q439" s="384" t="n">
        <x:v>1</x:v>
      </x:c>
      <x:c r="R439" s="396" t="n">
        <x:v>2</x:v>
      </x:c>
      <x:c r="S439" s="397" t="str">
        <x:v>https://www.eeas.europa.eu/eeas/4th-eeas-annual-report-foreign-information-manipulation-and-interference-threats_en</x:v>
      </x:c>
      <x:c r="T439" s="384" t="n">
        <x:v>1</x:v>
      </x:c>
      <x:c r="U439" s="396" t="n">
        <x:v>2</x:v>
      </x:c>
      <x:c r="V439" s="397" t="str">
        <x:v>https://merics.org/en/report/guardians-belt-and-road</x:v>
      </x:c>
      <x:c r="W439" s="385" t="n">
        <x:f>(--(M439&lt;&gt;"")+--(P439&lt;&gt;"")+--(S439&lt;&gt;"")+--(V439&lt;&gt;""))/4</x:f>
        <x:v>1</x:v>
      </x:c>
      <x:c r="X439" s="384" t="n">
        <x:f>IF(COUNT(K439,N439,Q439,T439)=0,"No data",(IF(ISNUMBER(K439),K439*Factor_Model!$B$4,0)+IF(ISNUMBER(N439),N439*Factor_Model!$B$5,0)+IF(ISNUMBER(Q439),Q439*Factor_Model!$B$6,0)+IF(ISNUMBER(T439),T439*Factor_Model!$B$7,0))/(IF(ISNUMBER(K439),Factor_Model!$B$4,0)+IF(ISNUMBER(N439),Factor_Model!$B$5,0)+IF(ISNUMBER(Q439),Factor_Model!$B$6,0)+IF(ISNUMBER(T439),Factor_Model!$B$7,0)))</x:f>
        <x:v>1.25</x:v>
      </x:c>
      <x:c r="Y439" s="20" t="str">
        <x:f>IF(W439=0,"No source",IF(W439&lt;1,"Partial source","Source-complete"))</x:f>
        <x:v>Source-complete</x:v>
      </x:c>
      <x:c r="Z439" s="20" t="str">
        <x:v>Automated screening pass: row uses a primary source URL by actor/subfactor; verify with country-specific evidence before final analytical use.</x:v>
      </x:c>
      <x:c r="AA439" s="20" t="str">
        <x:v>2026-05-20</x:v>
      </x:c>
      <x:c r="AB439" s="20" t="str">
        <x:v>GPT-5.5 Pro</x:v>
      </x:c>
    </x:row>
    <x:row r="440" ht="24" customHeight="1">
      <x:c r="A440" s="20" t="str">
        <x:v>TUR|United States</x:v>
      </x:c>
      <x:c r="B440" s="20" t="str">
        <x:v>Turkey</x:v>
      </x:c>
      <x:c r="C440" s="20" t="str">
        <x:v>Republic of Türkiye</x:v>
      </x:c>
      <x:c r="D440" s="20" t="str">
        <x:v>TR</x:v>
      </x:c>
      <x:c r="E440" s="20" t="str">
        <x:v>TUR</x:v>
      </x:c>
      <x:c r="F440" s="20" t="str">
        <x:v>792</x:v>
      </x:c>
      <x:c r="G440" s="20" t="str">
        <x:v>Asia</x:v>
      </x:c>
      <x:c r="H440" s="20" t="str">
        <x:v>Western Asia</x:v>
      </x:c>
      <x:c r="I440" s="20" t="str">
        <x:v>United States</x:v>
      </x:c>
      <x:c r="J440" s="20" t="str">
        <x:v>American influence</x:v>
      </x:c>
      <x:c r="K440" s="384" t="n">
        <x:v>3</x:v>
      </x:c>
      <x:c r="L440" s="396" t="n">
        <x:v>3</x:v>
      </x:c>
      <x:c r="M440" s="397" t="str">
        <x:v>https://www.usagm.gov/our-work/strategy-and-results/strategic-priorities/research-reports/</x:v>
      </x:c>
      <x:c r="N440" s="384" t="n">
        <x:v>3</x:v>
      </x:c>
      <x:c r="O440" s="396" t="n">
        <x:v>3</x:v>
      </x:c>
      <x:c r="P440" s="397" t="str">
        <x:v>https://internationalpolicy.org/programs/sam/</x:v>
      </x:c>
      <x:c r="Q440" s="384" t="n">
        <x:v>2</x:v>
      </x:c>
      <x:c r="R440" s="396" t="n">
        <x:v>2</x:v>
      </x:c>
      <x:c r="S440" s="397" t="str">
        <x:v>https://www.ned.org/ned-grantmaking/</x:v>
      </x:c>
      <x:c r="T440" s="384" t="n">
        <x:v>6</x:v>
      </x:c>
      <x:c r="U440" s="396" t="n">
        <x:v>4</x:v>
      </x:c>
      <x:c r="V440" s="397" t="str">
        <x:v>https://internationalpolicy.org/programs/sam/</x:v>
      </x:c>
      <x:c r="W440" s="385" t="n">
        <x:f>(--(M440&lt;&gt;"")+--(P440&lt;&gt;"")+--(S440&lt;&gt;"")+--(V440&lt;&gt;""))/4</x:f>
        <x:v>1</x:v>
      </x:c>
      <x:c r="X440" s="384" t="n">
        <x:f>IF(COUNT(K440,N440,Q440,T440)=0,"No data",(IF(ISNUMBER(K440),K440*Factor_Model!$B$4,0)+IF(ISNUMBER(N440),N440*Factor_Model!$B$5,0)+IF(ISNUMBER(Q440),Q440*Factor_Model!$B$6,0)+IF(ISNUMBER(T440),T440*Factor_Model!$B$7,0))/(IF(ISNUMBER(K440),Factor_Model!$B$4,0)+IF(ISNUMBER(N440),Factor_Model!$B$5,0)+IF(ISNUMBER(Q440),Factor_Model!$B$6,0)+IF(ISNUMBER(T440),Factor_Model!$B$7,0)))</x:f>
        <x:v>3.5</x:v>
      </x:c>
      <x:c r="Y440" s="20" t="str">
        <x:f>IF(W440=0,"No source",IF(W440&lt;1,"Partial source","Source-complete"))</x:f>
        <x:v>Source-complete</x:v>
      </x:c>
      <x:c r="Z440" s="20" t="str">
        <x:v>Automated screening pass: row uses a primary source URL by actor/subfactor; verify with country-specific evidence before final analytical use.</x:v>
      </x:c>
      <x:c r="AA440" s="20" t="str">
        <x:v>2026-05-20</x:v>
      </x:c>
      <x:c r="AB440" s="20" t="str">
        <x:v>GPT-5.5 Pro</x:v>
      </x:c>
    </x:row>
    <x:row r="441" ht="24" customHeight="1">
      <x:c r="A441" s="20" t="str">
        <x:v>TUR|European Union</x:v>
      </x:c>
      <x:c r="B441" s="20" t="str">
        <x:v>Turkey</x:v>
      </x:c>
      <x:c r="C441" s="20" t="str">
        <x:v>Republic of Türkiye</x:v>
      </x:c>
      <x:c r="D441" s="20" t="str">
        <x:v>TR</x:v>
      </x:c>
      <x:c r="E441" s="20" t="str">
        <x:v>TUR</x:v>
      </x:c>
      <x:c r="F441" s="20" t="str">
        <x:v>792</x:v>
      </x:c>
      <x:c r="G441" s="20" t="str">
        <x:v>Asia</x:v>
      </x:c>
      <x:c r="H441" s="20" t="str">
        <x:v>Western Asia</x:v>
      </x:c>
      <x:c r="I441" s="20" t="str">
        <x:v>European Union</x:v>
      </x:c>
      <x:c r="J441" s="20" t="str">
        <x:v>EU influence</x:v>
      </x:c>
      <x:c r="K441" s="384" t="n">
        <x:v>7</x:v>
      </x:c>
      <x:c r="L441" s="396" t="n">
        <x:v>4</x:v>
      </x:c>
      <x:c r="M441" s="397" t="str">
        <x:v>https://www.eeas.europa.eu/eeas/public-diplomacy_en</x:v>
      </x:c>
      <x:c r="N441" s="384" t="n">
        <x:v>0</x:v>
      </x:c>
      <x:c r="O441" s="396" t="n">
        <x:v>1</x:v>
      </x:c>
      <x:c r="P441" s="397" t="str">
        <x:v>https://www.eeas.europa.eu/eeas/missions-and-operations_en</x:v>
      </x:c>
      <x:c r="Q441" s="384" t="n">
        <x:v>3</x:v>
      </x:c>
      <x:c r="R441" s="396" t="n">
        <x:v>3</x:v>
      </x:c>
      <x:c r="S441" s="397" t="str">
        <x:v>https://www.eeas.europa.eu/eeas/eu-election-observation-missions-1_en?page_lang=en</x:v>
      </x:c>
      <x:c r="T441" s="384" t="n">
        <x:v>2</x:v>
      </x:c>
      <x:c r="U441" s="396" t="n">
        <x:v>2</x:v>
      </x:c>
      <x:c r="V441" s="397" t="str">
        <x:v>https://www.eeas.europa.eu/eeas/missions-and-operations_en</x:v>
      </x:c>
      <x:c r="W441" s="385" t="n">
        <x:f>(--(M441&lt;&gt;"")+--(P441&lt;&gt;"")+--(S441&lt;&gt;"")+--(V441&lt;&gt;""))/4</x:f>
        <x:v>1</x:v>
      </x:c>
      <x:c r="X441" s="384" t="n">
        <x:f>IF(COUNT(K441,N441,Q441,T441)=0,"No data",(IF(ISNUMBER(K441),K441*Factor_Model!$B$4,0)+IF(ISNUMBER(N441),N441*Factor_Model!$B$5,0)+IF(ISNUMBER(Q441),Q441*Factor_Model!$B$6,0)+IF(ISNUMBER(T441),T441*Factor_Model!$B$7,0))/(IF(ISNUMBER(K441),Factor_Model!$B$4,0)+IF(ISNUMBER(N441),Factor_Model!$B$5,0)+IF(ISNUMBER(Q441),Factor_Model!$B$6,0)+IF(ISNUMBER(T441),Factor_Model!$B$7,0)))</x:f>
        <x:v>3</x:v>
      </x:c>
      <x:c r="Y441" s="20" t="str">
        <x:f>IF(W441=0,"No source",IF(W441&lt;1,"Partial source","Source-complete"))</x:f>
        <x:v>Source-complete</x:v>
      </x:c>
      <x:c r="Z441" s="20" t="str">
        <x:v>Automated screening pass: row uses a primary source URL by actor/subfactor; verify with country-specific evidence before final analytical use.</x:v>
      </x:c>
      <x:c r="AA441" s="20" t="str">
        <x:v>2026-05-20</x:v>
      </x:c>
      <x:c r="AB441" s="20" t="str">
        <x:v>GPT-5.5 Pro</x:v>
      </x:c>
    </x:row>
    <x:row r="442" ht="24" customHeight="1">
      <x:c r="A442" s="20" t="str">
        <x:v>TKM|Russia</x:v>
      </x:c>
      <x:c r="B442" s="20" t="str">
        <x:v>Turkmenistan</x:v>
      </x:c>
      <x:c r="C442" s="20"/>
      <x:c r="D442" s="20" t="str">
        <x:v>TM</x:v>
      </x:c>
      <x:c r="E442" s="20" t="str">
        <x:v>TKM</x:v>
      </x:c>
      <x:c r="F442" s="20" t="str">
        <x:v>795</x:v>
      </x:c>
      <x:c r="G442" s="20" t="str">
        <x:v>Asia</x:v>
      </x:c>
      <x:c r="H442" s="20" t="str">
        <x:v>Central Asia</x:v>
      </x:c>
      <x:c r="I442" s="20" t="str">
        <x:v>Russia</x:v>
      </x:c>
      <x:c r="J442" s="20" t="str">
        <x:v>Russian influence</x:v>
      </x:c>
      <x:c r="K442" s="384" t="n">
        <x:v>7</x:v>
      </x:c>
      <x:c r="L442" s="396" t="n">
        <x:v>4</x:v>
      </x:c>
      <x:c r="M442" s="397" t="str">
        <x:v>https://www.eeas.europa.eu/eeas/4th-eeas-annual-report-foreign-information-manipulation-and-interference-threats_en</x:v>
      </x:c>
      <x:c r="N442" s="384" t="n">
        <x:v>0</x:v>
      </x:c>
      <x:c r="O442" s="396" t="n">
        <x:v>1</x:v>
      </x:c>
      <x:c r="P442" s="397" t="str">
        <x:v>https://www.consilium.europa.eu/en/press/press-releases/2023/02/25/wagner-group-council-adds-11-individuals-and-7-entities-to-eu-sanctions-lists/</x:v>
      </x:c>
      <x:c r="Q442" s="384" t="n">
        <x:v>0</x:v>
      </x:c>
      <x:c r="R442" s="396" t="n">
        <x:v>1</x:v>
      </x:c>
      <x:c r="S442" s="397" t="str">
        <x:v>https://www.dni.gov/files/ODNI/documents/assessments/ATA-2026-Unclassified-Report.pdf</x:v>
      </x:c>
      <x:c r="T442" s="384" t="n">
        <x:v>0</x:v>
      </x:c>
      <x:c r="U442" s="396" t="n">
        <x:v>1</x:v>
      </x:c>
      <x:c r="V442" s="397" t="str">
        <x:v>https://www.consilium.europa.eu/en/press/press-releases/2023/02/25/wagner-group-council-adds-11-individuals-and-7-entities-to-eu-sanctions-lists/</x:v>
      </x:c>
      <x:c r="W442" s="385" t="n">
        <x:f>(--(M442&lt;&gt;"")+--(P442&lt;&gt;"")+--(S442&lt;&gt;"")+--(V442&lt;&gt;""))/4</x:f>
        <x:v>1</x:v>
      </x:c>
      <x:c r="X442" s="384" t="n">
        <x:f>IF(COUNT(K442,N442,Q442,T442)=0,"No data",(IF(ISNUMBER(K442),K442*Factor_Model!$B$4,0)+IF(ISNUMBER(N442),N442*Factor_Model!$B$5,0)+IF(ISNUMBER(Q442),Q442*Factor_Model!$B$6,0)+IF(ISNUMBER(T442),T442*Factor_Model!$B$7,0))/(IF(ISNUMBER(K442),Factor_Model!$B$4,0)+IF(ISNUMBER(N442),Factor_Model!$B$5,0)+IF(ISNUMBER(Q442),Factor_Model!$B$6,0)+IF(ISNUMBER(T442),Factor_Model!$B$7,0)))</x:f>
        <x:v>1.75</x:v>
      </x:c>
      <x:c r="Y442" s="20" t="str">
        <x:f>IF(W442=0,"No source",IF(W442&lt;1,"Partial source","Source-complete"))</x:f>
        <x:v>Source-complete</x:v>
      </x:c>
      <x:c r="Z442" s="20" t="str">
        <x:v>Automated screening pass: row uses a primary source URL by actor/subfactor; verify with country-specific evidence before final analytical use.</x:v>
      </x:c>
      <x:c r="AA442" s="20" t="str">
        <x:v>2026-05-20</x:v>
      </x:c>
      <x:c r="AB442" s="20" t="str">
        <x:v>GPT-5.5 Pro</x:v>
      </x:c>
    </x:row>
    <x:row r="443" ht="24" customHeight="1">
      <x:c r="A443" s="20" t="str">
        <x:v>TKM|China</x:v>
      </x:c>
      <x:c r="B443" s="20" t="str">
        <x:v>Turkmenistan</x:v>
      </x:c>
      <x:c r="C443" s="20"/>
      <x:c r="D443" s="20" t="str">
        <x:v>TM</x:v>
      </x:c>
      <x:c r="E443" s="20" t="str">
        <x:v>TKM</x:v>
      </x:c>
      <x:c r="F443" s="20" t="str">
        <x:v>795</x:v>
      </x:c>
      <x:c r="G443" s="20" t="str">
        <x:v>Asia</x:v>
      </x:c>
      <x:c r="H443" s="20" t="str">
        <x:v>Central Asia</x:v>
      </x:c>
      <x:c r="I443" s="20" t="str">
        <x:v>China</x:v>
      </x:c>
      <x:c r="J443" s="20" t="str">
        <x:v>Chinese influence</x:v>
      </x:c>
      <x:c r="K443" s="384" t="n">
        <x:v>5</x:v>
      </x:c>
      <x:c r="L443" s="396" t="n">
        <x:v>3</x:v>
      </x:c>
      <x:c r="M443" s="397" t="str">
        <x:v>https://www.eeas.europa.eu/eeas/4th-eeas-annual-report-foreign-information-manipulation-and-interference-threats_en</x:v>
      </x:c>
      <x:c r="N443" s="384" t="n">
        <x:v>1</x:v>
      </x:c>
      <x:c r="O443" s="396" t="n">
        <x:v>2</x:v>
      </x:c>
      <x:c r="P443" s="397" t="str">
        <x:v>https://merics.org/en/report/guardians-belt-and-road</x:v>
      </x:c>
      <x:c r="Q443" s="384" t="n">
        <x:v>1</x:v>
      </x:c>
      <x:c r="R443" s="396" t="n">
        <x:v>2</x:v>
      </x:c>
      <x:c r="S443" s="397" t="str">
        <x:v>https://www.eeas.europa.eu/eeas/4th-eeas-annual-report-foreign-information-manipulation-and-interference-threats_en</x:v>
      </x:c>
      <x:c r="T443" s="384" t="n">
        <x:v>3</x:v>
      </x:c>
      <x:c r="U443" s="396" t="n">
        <x:v>3</x:v>
      </x:c>
      <x:c r="V443" s="397" t="str">
        <x:v>https://merics.org/en/report/guardians-belt-and-road</x:v>
      </x:c>
      <x:c r="W443" s="385" t="n">
        <x:f>(--(M443&lt;&gt;"")+--(P443&lt;&gt;"")+--(S443&lt;&gt;"")+--(V443&lt;&gt;""))/4</x:f>
        <x:v>1</x:v>
      </x:c>
      <x:c r="X443" s="384" t="n">
        <x:f>IF(COUNT(K443,N443,Q443,T443)=0,"No data",(IF(ISNUMBER(K443),K443*Factor_Model!$B$4,0)+IF(ISNUMBER(N443),N443*Factor_Model!$B$5,0)+IF(ISNUMBER(Q443),Q443*Factor_Model!$B$6,0)+IF(ISNUMBER(T443),T443*Factor_Model!$B$7,0))/(IF(ISNUMBER(K443),Factor_Model!$B$4,0)+IF(ISNUMBER(N443),Factor_Model!$B$5,0)+IF(ISNUMBER(Q443),Factor_Model!$B$6,0)+IF(ISNUMBER(T443),Factor_Model!$B$7,0)))</x:f>
        <x:v>2.5</x:v>
      </x:c>
      <x:c r="Y443" s="20" t="str">
        <x:f>IF(W443=0,"No source",IF(W443&lt;1,"Partial source","Source-complete"))</x:f>
        <x:v>Source-complete</x:v>
      </x:c>
      <x:c r="Z443" s="20" t="str">
        <x:v>Automated screening pass: row uses a primary source URL by actor/subfactor; verify with country-specific evidence before final analytical use.</x:v>
      </x:c>
      <x:c r="AA443" s="20" t="str">
        <x:v>2026-05-20</x:v>
      </x:c>
      <x:c r="AB443" s="20" t="str">
        <x:v>GPT-5.5 Pro</x:v>
      </x:c>
    </x:row>
    <x:row r="444" ht="24" customHeight="1">
      <x:c r="A444" s="20" t="str">
        <x:v>TKM|United States</x:v>
      </x:c>
      <x:c r="B444" s="20" t="str">
        <x:v>Turkmenistan</x:v>
      </x:c>
      <x:c r="C444" s="20"/>
      <x:c r="D444" s="20" t="str">
        <x:v>TM</x:v>
      </x:c>
      <x:c r="E444" s="20" t="str">
        <x:v>TKM</x:v>
      </x:c>
      <x:c r="F444" s="20" t="str">
        <x:v>795</x:v>
      </x:c>
      <x:c r="G444" s="20" t="str">
        <x:v>Asia</x:v>
      </x:c>
      <x:c r="H444" s="20" t="str">
        <x:v>Central Asia</x:v>
      </x:c>
      <x:c r="I444" s="20" t="str">
        <x:v>United States</x:v>
      </x:c>
      <x:c r="J444" s="20" t="str">
        <x:v>American influence</x:v>
      </x:c>
      <x:c r="K444" s="384" t="n">
        <x:v>4</x:v>
      </x:c>
      <x:c r="L444" s="396" t="n">
        <x:v>3</x:v>
      </x:c>
      <x:c r="M444" s="397" t="str">
        <x:v>https://www.usagm.gov/our-work/strategy-and-results/strategic-priorities/research-reports/</x:v>
      </x:c>
      <x:c r="N444" s="384" t="n">
        <x:v>1</x:v>
      </x:c>
      <x:c r="O444" s="396" t="n">
        <x:v>2</x:v>
      </x:c>
      <x:c r="P444" s="397" t="str">
        <x:v>https://internationalpolicy.org/programs/sam/</x:v>
      </x:c>
      <x:c r="Q444" s="384" t="n">
        <x:v>2</x:v>
      </x:c>
      <x:c r="R444" s="396" t="n">
        <x:v>2</x:v>
      </x:c>
      <x:c r="S444" s="397" t="str">
        <x:v>https://www.ned.org/ned-grantmaking/</x:v>
      </x:c>
      <x:c r="T444" s="384" t="n">
        <x:v>2</x:v>
      </x:c>
      <x:c r="U444" s="396" t="n">
        <x:v>2</x:v>
      </x:c>
      <x:c r="V444" s="397" t="str">
        <x:v>https://internationalpolicy.org/programs/sam/</x:v>
      </x:c>
      <x:c r="W444" s="385" t="n">
        <x:f>(--(M444&lt;&gt;"")+--(P444&lt;&gt;"")+--(S444&lt;&gt;"")+--(V444&lt;&gt;""))/4</x:f>
        <x:v>1</x:v>
      </x:c>
      <x:c r="X444" s="384" t="n">
        <x:f>IF(COUNT(K444,N444,Q444,T444)=0,"No data",(IF(ISNUMBER(K444),K444*Factor_Model!$B$4,0)+IF(ISNUMBER(N444),N444*Factor_Model!$B$5,0)+IF(ISNUMBER(Q444),Q444*Factor_Model!$B$6,0)+IF(ISNUMBER(T444),T444*Factor_Model!$B$7,0))/(IF(ISNUMBER(K444),Factor_Model!$B$4,0)+IF(ISNUMBER(N444),Factor_Model!$B$5,0)+IF(ISNUMBER(Q444),Factor_Model!$B$6,0)+IF(ISNUMBER(T444),Factor_Model!$B$7,0)))</x:f>
        <x:v>2.25</x:v>
      </x:c>
      <x:c r="Y444" s="20" t="str">
        <x:f>IF(W444=0,"No source",IF(W444&lt;1,"Partial source","Source-complete"))</x:f>
        <x:v>Source-complete</x:v>
      </x:c>
      <x:c r="Z444" s="20" t="str">
        <x:v>Automated screening pass: row uses a primary source URL by actor/subfactor; verify with country-specific evidence before final analytical use.</x:v>
      </x:c>
      <x:c r="AA444" s="20" t="str">
        <x:v>2026-05-20</x:v>
      </x:c>
      <x:c r="AB444" s="20" t="str">
        <x:v>GPT-5.5 Pro</x:v>
      </x:c>
    </x:row>
    <x:row r="445" ht="24" customHeight="1">
      <x:c r="A445" s="20" t="str">
        <x:v>TKM|European Union</x:v>
      </x:c>
      <x:c r="B445" s="20" t="str">
        <x:v>Turkmenistan</x:v>
      </x:c>
      <x:c r="C445" s="20"/>
      <x:c r="D445" s="20" t="str">
        <x:v>TM</x:v>
      </x:c>
      <x:c r="E445" s="20" t="str">
        <x:v>TKM</x:v>
      </x:c>
      <x:c r="F445" s="20" t="str">
        <x:v>795</x:v>
      </x:c>
      <x:c r="G445" s="20" t="str">
        <x:v>Asia</x:v>
      </x:c>
      <x:c r="H445" s="20" t="str">
        <x:v>Central Asia</x:v>
      </x:c>
      <x:c r="I445" s="20" t="str">
        <x:v>European Union</x:v>
      </x:c>
      <x:c r="J445" s="20" t="str">
        <x:v>EU influence</x:v>
      </x:c>
      <x:c r="K445" s="384" t="n">
        <x:v>2</x:v>
      </x:c>
      <x:c r="L445" s="396" t="n">
        <x:v>2</x:v>
      </x:c>
      <x:c r="M445" s="397" t="str">
        <x:v>https://www.eeas.europa.eu/eeas/public-diplomacy_en</x:v>
      </x:c>
      <x:c r="N445" s="384" t="n">
        <x:v>0</x:v>
      </x:c>
      <x:c r="O445" s="396" t="n">
        <x:v>1</x:v>
      </x:c>
      <x:c r="P445" s="397" t="str">
        <x:v>https://www.eeas.europa.eu/eeas/missions-and-operations_en</x:v>
      </x:c>
      <x:c r="Q445" s="384" t="n">
        <x:v>1</x:v>
      </x:c>
      <x:c r="R445" s="396" t="n">
        <x:v>2</x:v>
      </x:c>
      <x:c r="S445" s="397" t="str">
        <x:v>https://www.eeas.europa.eu/eeas/eu-election-observation-missions-1_en?page_lang=en</x:v>
      </x:c>
      <x:c r="T445" s="384" t="n">
        <x:v>2</x:v>
      </x:c>
      <x:c r="U445" s="396" t="n">
        <x:v>2</x:v>
      </x:c>
      <x:c r="V445" s="397" t="str">
        <x:v>https://www.eeas.europa.eu/eeas/missions-and-operations_en</x:v>
      </x:c>
      <x:c r="W445" s="385" t="n">
        <x:f>(--(M445&lt;&gt;"")+--(P445&lt;&gt;"")+--(S445&lt;&gt;"")+--(V445&lt;&gt;""))/4</x:f>
        <x:v>1</x:v>
      </x:c>
      <x:c r="X445" s="384" t="n">
        <x:f>IF(COUNT(K445,N445,Q445,T445)=0,"No data",(IF(ISNUMBER(K445),K445*Factor_Model!$B$4,0)+IF(ISNUMBER(N445),N445*Factor_Model!$B$5,0)+IF(ISNUMBER(Q445),Q445*Factor_Model!$B$6,0)+IF(ISNUMBER(T445),T445*Factor_Model!$B$7,0))/(IF(ISNUMBER(K445),Factor_Model!$B$4,0)+IF(ISNUMBER(N445),Factor_Model!$B$5,0)+IF(ISNUMBER(Q445),Factor_Model!$B$6,0)+IF(ISNUMBER(T445),Factor_Model!$B$7,0)))</x:f>
        <x:v>1.25</x:v>
      </x:c>
      <x:c r="Y445" s="20" t="str">
        <x:f>IF(W445=0,"No source",IF(W445&lt;1,"Partial source","Source-complete"))</x:f>
        <x:v>Source-complete</x:v>
      </x:c>
      <x:c r="Z445" s="20" t="str">
        <x:v>Automated screening pass: row uses a primary source URL by actor/subfactor; verify with country-specific evidence before final analytical use.</x:v>
      </x:c>
      <x:c r="AA445" s="20" t="str">
        <x:v>2026-05-20</x:v>
      </x:c>
      <x:c r="AB445" s="20" t="str">
        <x:v>GPT-5.5 Pro</x:v>
      </x:c>
    </x:row>
    <x:row r="446" ht="24" customHeight="1">
      <x:c r="A446" s="20" t="str">
        <x:v>TUV|Russia</x:v>
      </x:c>
      <x:c r="B446" s="20" t="str">
        <x:v>Tuvalu</x:v>
      </x:c>
      <x:c r="C446" s="20"/>
      <x:c r="D446" s="20" t="str">
        <x:v>TV</x:v>
      </x:c>
      <x:c r="E446" s="20" t="str">
        <x:v>TUV</x:v>
      </x:c>
      <x:c r="F446" s="20" t="str">
        <x:v>798</x:v>
      </x:c>
      <x:c r="G446" s="20" t="str">
        <x:v>Oceania</x:v>
      </x:c>
      <x:c r="H446" s="20" t="str">
        <x:v>Polynesia</x:v>
      </x:c>
      <x:c r="I446" s="20" t="str">
        <x:v>Russia</x:v>
      </x:c>
      <x:c r="J446" s="20" t="str">
        <x:v>Russian influence</x:v>
      </x:c>
      <x:c r="K446" s="384" t="n">
        <x:v>2</x:v>
      </x:c>
      <x:c r="L446" s="396" t="n">
        <x:v>2</x:v>
      </x:c>
      <x:c r="M446" s="397" t="str">
        <x:v>https://www.eeas.europa.eu/eeas/4th-eeas-annual-report-foreign-information-manipulation-and-interference-threats_en</x:v>
      </x:c>
      <x:c r="N446" s="384" t="n">
        <x:v>0</x:v>
      </x:c>
      <x:c r="O446" s="396" t="n">
        <x:v>1</x:v>
      </x:c>
      <x:c r="P446" s="397" t="str">
        <x:v>https://www.consilium.europa.eu/en/press/press-releases/2023/02/25/wagner-group-council-adds-11-individuals-and-7-entities-to-eu-sanctions-lists/</x:v>
      </x:c>
      <x:c r="Q446" s="384" t="n">
        <x:v>0</x:v>
      </x:c>
      <x:c r="R446" s="396" t="n">
        <x:v>1</x:v>
      </x:c>
      <x:c r="S446" s="397" t="str">
        <x:v>https://www.dni.gov/files/ODNI/documents/assessments/ATA-2026-Unclassified-Report.pdf</x:v>
      </x:c>
      <x:c r="T446" s="384" t="n">
        <x:v>0</x:v>
      </x:c>
      <x:c r="U446" s="396" t="n">
        <x:v>1</x:v>
      </x:c>
      <x:c r="V446" s="397" t="str">
        <x:v>https://www.consilium.europa.eu/en/press/press-releases/2023/02/25/wagner-group-council-adds-11-individuals-and-7-entities-to-eu-sanctions-lists/</x:v>
      </x:c>
      <x:c r="W446" s="385" t="n">
        <x:f>(--(M446&lt;&gt;"")+--(P446&lt;&gt;"")+--(S446&lt;&gt;"")+--(V446&lt;&gt;""))/4</x:f>
        <x:v>1</x:v>
      </x:c>
      <x:c r="X446" s="384" t="n">
        <x:f>IF(COUNT(K446,N446,Q446,T446)=0,"No data",(IF(ISNUMBER(K446),K446*Factor_Model!$B$4,0)+IF(ISNUMBER(N446),N446*Factor_Model!$B$5,0)+IF(ISNUMBER(Q446),Q446*Factor_Model!$B$6,0)+IF(ISNUMBER(T446),T446*Factor_Model!$B$7,0))/(IF(ISNUMBER(K446),Factor_Model!$B$4,0)+IF(ISNUMBER(N446),Factor_Model!$B$5,0)+IF(ISNUMBER(Q446),Factor_Model!$B$6,0)+IF(ISNUMBER(T446),Factor_Model!$B$7,0)))</x:f>
        <x:v>0.5</x:v>
      </x:c>
      <x:c r="Y446" s="20" t="str">
        <x:f>IF(W446=0,"No source",IF(W446&lt;1,"Partial source","Source-complete"))</x:f>
        <x:v>Source-complete</x:v>
      </x:c>
      <x:c r="Z446" s="20" t="str">
        <x:v>Automated screening pass: row uses a primary source URL by actor/subfactor; verify with country-specific evidence before final analytical use.</x:v>
      </x:c>
      <x:c r="AA446" s="20" t="str">
        <x:v>2026-05-20</x:v>
      </x:c>
      <x:c r="AB446" s="20" t="str">
        <x:v>GPT-5.5 Pro</x:v>
      </x:c>
    </x:row>
    <x:row r="447" ht="24" customHeight="1">
      <x:c r="A447" s="20" t="str">
        <x:v>TUV|China</x:v>
      </x:c>
      <x:c r="B447" s="20" t="str">
        <x:v>Tuvalu</x:v>
      </x:c>
      <x:c r="C447" s="20"/>
      <x:c r="D447" s="20" t="str">
        <x:v>TV</x:v>
      </x:c>
      <x:c r="E447" s="20" t="str">
        <x:v>TUV</x:v>
      </x:c>
      <x:c r="F447" s="20" t="str">
        <x:v>798</x:v>
      </x:c>
      <x:c r="G447" s="20" t="str">
        <x:v>Oceania</x:v>
      </x:c>
      <x:c r="H447" s="20" t="str">
        <x:v>Polynesia</x:v>
      </x:c>
      <x:c r="I447" s="20" t="str">
        <x:v>China</x:v>
      </x:c>
      <x:c r="J447" s="20" t="str">
        <x:v>Chinese influence</x:v>
      </x:c>
      <x:c r="K447" s="384" t="n">
        <x:v>7</x:v>
      </x:c>
      <x:c r="L447" s="396" t="n">
        <x:v>4</x:v>
      </x:c>
      <x:c r="M447" s="397" t="str">
        <x:v>https://www.eeas.europa.eu/eeas/4th-eeas-annual-report-foreign-information-manipulation-and-interference-threats_en</x:v>
      </x:c>
      <x:c r="N447" s="384" t="n">
        <x:v>1</x:v>
      </x:c>
      <x:c r="O447" s="396" t="n">
        <x:v>2</x:v>
      </x:c>
      <x:c r="P447" s="397" t="str">
        <x:v>https://merics.org/en/report/guardians-belt-and-road</x:v>
      </x:c>
      <x:c r="Q447" s="384" t="n">
        <x:v>3</x:v>
      </x:c>
      <x:c r="R447" s="396" t="n">
        <x:v>3</x:v>
      </x:c>
      <x:c r="S447" s="397" t="str">
        <x:v>https://www.eeas.europa.eu/eeas/4th-eeas-annual-report-foreign-information-manipulation-and-interference-threats_en</x:v>
      </x:c>
      <x:c r="T447" s="384" t="n">
        <x:v>2</x:v>
      </x:c>
      <x:c r="U447" s="396" t="n">
        <x:v>2</x:v>
      </x:c>
      <x:c r="V447" s="397" t="str">
        <x:v>https://merics.org/en/report/guardians-belt-and-road</x:v>
      </x:c>
      <x:c r="W447" s="385" t="n">
        <x:f>(--(M447&lt;&gt;"")+--(P447&lt;&gt;"")+--(S447&lt;&gt;"")+--(V447&lt;&gt;""))/4</x:f>
        <x:v>1</x:v>
      </x:c>
      <x:c r="X447" s="384" t="n">
        <x:f>IF(COUNT(K447,N447,Q447,T447)=0,"No data",(IF(ISNUMBER(K447),K447*Factor_Model!$B$4,0)+IF(ISNUMBER(N447),N447*Factor_Model!$B$5,0)+IF(ISNUMBER(Q447),Q447*Factor_Model!$B$6,0)+IF(ISNUMBER(T447),T447*Factor_Model!$B$7,0))/(IF(ISNUMBER(K447),Factor_Model!$B$4,0)+IF(ISNUMBER(N447),Factor_Model!$B$5,0)+IF(ISNUMBER(Q447),Factor_Model!$B$6,0)+IF(ISNUMBER(T447),Factor_Model!$B$7,0)))</x:f>
        <x:v>3.25</x:v>
      </x:c>
      <x:c r="Y447" s="20" t="str">
        <x:f>IF(W447=0,"No source",IF(W447&lt;1,"Partial source","Source-complete"))</x:f>
        <x:v>Source-complete</x:v>
      </x:c>
      <x:c r="Z447" s="20" t="str">
        <x:v>Automated screening pass: row uses a primary source URL by actor/subfactor; verify with country-specific evidence before final analytical use.</x:v>
      </x:c>
      <x:c r="AA447" s="20" t="str">
        <x:v>2026-05-20</x:v>
      </x:c>
      <x:c r="AB447" s="20" t="str">
        <x:v>GPT-5.5 Pro</x:v>
      </x:c>
    </x:row>
    <x:row r="448" ht="24" customHeight="1">
      <x:c r="A448" s="20" t="str">
        <x:v>TUV|United States</x:v>
      </x:c>
      <x:c r="B448" s="20" t="str">
        <x:v>Tuvalu</x:v>
      </x:c>
      <x:c r="C448" s="20"/>
      <x:c r="D448" s="20" t="str">
        <x:v>TV</x:v>
      </x:c>
      <x:c r="E448" s="20" t="str">
        <x:v>TUV</x:v>
      </x:c>
      <x:c r="F448" s="20" t="str">
        <x:v>798</x:v>
      </x:c>
      <x:c r="G448" s="20" t="str">
        <x:v>Oceania</x:v>
      </x:c>
      <x:c r="H448" s="20" t="str">
        <x:v>Polynesia</x:v>
      </x:c>
      <x:c r="I448" s="20" t="str">
        <x:v>United States</x:v>
      </x:c>
      <x:c r="J448" s="20" t="str">
        <x:v>American influence</x:v>
      </x:c>
      <x:c r="K448" s="384" t="n">
        <x:v>3</x:v>
      </x:c>
      <x:c r="L448" s="396" t="n">
        <x:v>3</x:v>
      </x:c>
      <x:c r="M448" s="397" t="str">
        <x:v>https://www.usagm.gov/our-work/strategy-and-results/strategic-priorities/research-reports/</x:v>
      </x:c>
      <x:c r="N448" s="384" t="n">
        <x:v>1</x:v>
      </x:c>
      <x:c r="O448" s="396" t="n">
        <x:v>2</x:v>
      </x:c>
      <x:c r="P448" s="397" t="str">
        <x:v>https://internationalpolicy.org/programs/sam/</x:v>
      </x:c>
      <x:c r="Q448" s="384" t="n">
        <x:v>1</x:v>
      </x:c>
      <x:c r="R448" s="396" t="n">
        <x:v>2</x:v>
      </x:c>
      <x:c r="S448" s="397" t="str">
        <x:v>https://www.ned.org/ned-grantmaking/</x:v>
      </x:c>
      <x:c r="T448" s="384" t="n">
        <x:v>2</x:v>
      </x:c>
      <x:c r="U448" s="396" t="n">
        <x:v>2</x:v>
      </x:c>
      <x:c r="V448" s="397" t="str">
        <x:v>https://internationalpolicy.org/programs/sam/</x:v>
      </x:c>
      <x:c r="W448" s="385" t="n">
        <x:f>(--(M448&lt;&gt;"")+--(P448&lt;&gt;"")+--(S448&lt;&gt;"")+--(V448&lt;&gt;""))/4</x:f>
        <x:v>1</x:v>
      </x:c>
      <x:c r="X448" s="384" t="n">
        <x:f>IF(COUNT(K448,N448,Q448,T448)=0,"No data",(IF(ISNUMBER(K448),K448*Factor_Model!$B$4,0)+IF(ISNUMBER(N448),N448*Factor_Model!$B$5,0)+IF(ISNUMBER(Q448),Q448*Factor_Model!$B$6,0)+IF(ISNUMBER(T448),T448*Factor_Model!$B$7,0))/(IF(ISNUMBER(K448),Factor_Model!$B$4,0)+IF(ISNUMBER(N448),Factor_Model!$B$5,0)+IF(ISNUMBER(Q448),Factor_Model!$B$6,0)+IF(ISNUMBER(T448),Factor_Model!$B$7,0)))</x:f>
        <x:v>1.75</x:v>
      </x:c>
      <x:c r="Y448" s="20" t="str">
        <x:f>IF(W448=0,"No source",IF(W448&lt;1,"Partial source","Source-complete"))</x:f>
        <x:v>Source-complete</x:v>
      </x:c>
      <x:c r="Z448" s="20" t="str">
        <x:v>Automated screening pass: row uses a primary source URL by actor/subfactor; verify with country-specific evidence before final analytical use.</x:v>
      </x:c>
      <x:c r="AA448" s="20" t="str">
        <x:v>2026-05-20</x:v>
      </x:c>
      <x:c r="AB448" s="20" t="str">
        <x:v>GPT-5.5 Pro</x:v>
      </x:c>
    </x:row>
    <x:row r="449" ht="24" customHeight="1">
      <x:c r="A449" s="20" t="str">
        <x:v>TUV|European Union</x:v>
      </x:c>
      <x:c r="B449" s="20" t="str">
        <x:v>Tuvalu</x:v>
      </x:c>
      <x:c r="C449" s="20"/>
      <x:c r="D449" s="20" t="str">
        <x:v>TV</x:v>
      </x:c>
      <x:c r="E449" s="20" t="str">
        <x:v>TUV</x:v>
      </x:c>
      <x:c r="F449" s="20" t="str">
        <x:v>798</x:v>
      </x:c>
      <x:c r="G449" s="20" t="str">
        <x:v>Oceania</x:v>
      </x:c>
      <x:c r="H449" s="20" t="str">
        <x:v>Polynesia</x:v>
      </x:c>
      <x:c r="I449" s="20" t="str">
        <x:v>European Union</x:v>
      </x:c>
      <x:c r="J449" s="20" t="str">
        <x:v>EU influence</x:v>
      </x:c>
      <x:c r="K449" s="384" t="n">
        <x:v>2</x:v>
      </x:c>
      <x:c r="L449" s="396" t="n">
        <x:v>2</x:v>
      </x:c>
      <x:c r="M449" s="397" t="str">
        <x:v>https://www.eeas.europa.eu/eeas/public-diplomacy_en</x:v>
      </x:c>
      <x:c r="N449" s="384" t="n">
        <x:v>0</x:v>
      </x:c>
      <x:c r="O449" s="396" t="n">
        <x:v>1</x:v>
      </x:c>
      <x:c r="P449" s="397" t="str">
        <x:v>https://www.eeas.europa.eu/eeas/missions-and-operations_en</x:v>
      </x:c>
      <x:c r="Q449" s="384" t="n">
        <x:v>1</x:v>
      </x:c>
      <x:c r="R449" s="396" t="n">
        <x:v>2</x:v>
      </x:c>
      <x:c r="S449" s="397" t="str">
        <x:v>https://www.eeas.europa.eu/eeas/eu-election-observation-missions-1_en?page_lang=en</x:v>
      </x:c>
      <x:c r="T449" s="384" t="n">
        <x:v>1</x:v>
      </x:c>
      <x:c r="U449" s="396" t="n">
        <x:v>2</x:v>
      </x:c>
      <x:c r="V449" s="397" t="str">
        <x:v>https://www.eeas.europa.eu/eeas/missions-and-operations_en</x:v>
      </x:c>
      <x:c r="W449" s="385" t="n">
        <x:f>(--(M449&lt;&gt;"")+--(P449&lt;&gt;"")+--(S449&lt;&gt;"")+--(V449&lt;&gt;""))/4</x:f>
        <x:v>1</x:v>
      </x:c>
      <x:c r="X449" s="384" t="n">
        <x:f>IF(COUNT(K449,N449,Q449,T449)=0,"No data",(IF(ISNUMBER(K449),K449*Factor_Model!$B$4,0)+IF(ISNUMBER(N449),N449*Factor_Model!$B$5,0)+IF(ISNUMBER(Q449),Q449*Factor_Model!$B$6,0)+IF(ISNUMBER(T449),T449*Factor_Model!$B$7,0))/(IF(ISNUMBER(K449),Factor_Model!$B$4,0)+IF(ISNUMBER(N449),Factor_Model!$B$5,0)+IF(ISNUMBER(Q449),Factor_Model!$B$6,0)+IF(ISNUMBER(T449),Factor_Model!$B$7,0)))</x:f>
        <x:v>1</x:v>
      </x:c>
      <x:c r="Y449" s="20" t="str">
        <x:f>IF(W449=0,"No source",IF(W449&lt;1,"Partial source","Source-complete"))</x:f>
        <x:v>Source-complete</x:v>
      </x:c>
      <x:c r="Z449" s="20" t="str">
        <x:v>Automated screening pass: row uses a primary source URL by actor/subfactor; verify with country-specific evidence before final analytical use.</x:v>
      </x:c>
      <x:c r="AA449" s="20" t="str">
        <x:v>2026-05-20</x:v>
      </x:c>
      <x:c r="AB449" s="20" t="str">
        <x:v>GPT-5.5 Pro</x:v>
      </x:c>
    </x:row>
    <x:row r="450" ht="24" customHeight="1">
      <x:c r="A450" s="20" t="str">
        <x:v>UGA|Russia</x:v>
      </x:c>
      <x:c r="B450" s="20" t="str">
        <x:v>Uganda</x:v>
      </x:c>
      <x:c r="C450" s="20" t="str">
        <x:v>Republic of Uganda</x:v>
      </x:c>
      <x:c r="D450" s="20" t="str">
        <x:v>UG</x:v>
      </x:c>
      <x:c r="E450" s="20" t="str">
        <x:v>UGA</x:v>
      </x:c>
      <x:c r="F450" s="20" t="str">
        <x:v>800</x:v>
      </x:c>
      <x:c r="G450" s="20" t="str">
        <x:v>Africa</x:v>
      </x:c>
      <x:c r="H450" s="20" t="str">
        <x:v>Eastern Africa</x:v>
      </x:c>
      <x:c r="I450" s="20" t="str">
        <x:v>Russia</x:v>
      </x:c>
      <x:c r="J450" s="20" t="str">
        <x:v>Russian influence</x:v>
      </x:c>
      <x:c r="K450" s="384" t="n">
        <x:v>4</x:v>
      </x:c>
      <x:c r="L450" s="396" t="n">
        <x:v>3</x:v>
      </x:c>
      <x:c r="M450" s="397" t="str">
        <x:v>https://www.eeas.europa.eu/eeas/4th-eeas-annual-report-foreign-information-manipulation-and-interference-threats_en</x:v>
      </x:c>
      <x:c r="N450" s="384" t="n">
        <x:v>1</x:v>
      </x:c>
      <x:c r="O450" s="396" t="n">
        <x:v>2</x:v>
      </x:c>
      <x:c r="P450" s="397" t="str">
        <x:v>https://www.consilium.europa.eu/en/press/press-releases/2023/02/25/wagner-group-council-adds-11-individuals-and-7-entities-to-eu-sanctions-lists/</x:v>
      </x:c>
      <x:c r="Q450" s="384" t="n">
        <x:v>1</x:v>
      </x:c>
      <x:c r="R450" s="396" t="n">
        <x:v>2</x:v>
      </x:c>
      <x:c r="S450" s="397" t="str">
        <x:v>https://www.dni.gov/files/ODNI/documents/assessments/ATA-2026-Unclassified-Report.pdf</x:v>
      </x:c>
      <x:c r="T450" s="384" t="n">
        <x:v>1</x:v>
      </x:c>
      <x:c r="U450" s="396" t="n">
        <x:v>2</x:v>
      </x:c>
      <x:c r="V450" s="397" t="str">
        <x:v>https://www.consilium.europa.eu/en/press/press-releases/2023/02/25/wagner-group-council-adds-11-individuals-and-7-entities-to-eu-sanctions-lists/</x:v>
      </x:c>
      <x:c r="W450" s="385" t="n">
        <x:f>(--(M450&lt;&gt;"")+--(P450&lt;&gt;"")+--(S450&lt;&gt;"")+--(V450&lt;&gt;""))/4</x:f>
        <x:v>1</x:v>
      </x:c>
      <x:c r="X450" s="384" t="n">
        <x:f>IF(COUNT(K450,N450,Q450,T450)=0,"No data",(IF(ISNUMBER(K450),K450*Factor_Model!$B$4,0)+IF(ISNUMBER(N450),N450*Factor_Model!$B$5,0)+IF(ISNUMBER(Q450),Q450*Factor_Model!$B$6,0)+IF(ISNUMBER(T450),T450*Factor_Model!$B$7,0))/(IF(ISNUMBER(K450),Factor_Model!$B$4,0)+IF(ISNUMBER(N450),Factor_Model!$B$5,0)+IF(ISNUMBER(Q450),Factor_Model!$B$6,0)+IF(ISNUMBER(T450),Factor_Model!$B$7,0)))</x:f>
        <x:v>1.75</x:v>
      </x:c>
      <x:c r="Y450" s="20" t="str">
        <x:f>IF(W450=0,"No source",IF(W450&lt;1,"Partial source","Source-complete"))</x:f>
        <x:v>Source-complete</x:v>
      </x:c>
      <x:c r="Z450" s="20" t="str">
        <x:v>Automated screening pass: row uses a primary source URL by actor/subfactor; verify with country-specific evidence before final analytical use.</x:v>
      </x:c>
      <x:c r="AA450" s="20" t="str">
        <x:v>2026-05-20</x:v>
      </x:c>
      <x:c r="AB450" s="20" t="str">
        <x:v>GPT-5.5 Pro</x:v>
      </x:c>
    </x:row>
    <x:row r="451" ht="24" customHeight="1">
      <x:c r="A451" s="20" t="str">
        <x:v>UGA|China</x:v>
      </x:c>
      <x:c r="B451" s="20" t="str">
        <x:v>Uganda</x:v>
      </x:c>
      <x:c r="C451" s="20" t="str">
        <x:v>Republic of Uganda</x:v>
      </x:c>
      <x:c r="D451" s="20" t="str">
        <x:v>UG</x:v>
      </x:c>
      <x:c r="E451" s="20" t="str">
        <x:v>UGA</x:v>
      </x:c>
      <x:c r="F451" s="20" t="str">
        <x:v>800</x:v>
      </x:c>
      <x:c r="G451" s="20" t="str">
        <x:v>Africa</x:v>
      </x:c>
      <x:c r="H451" s="20" t="str">
        <x:v>Eastern Africa</x:v>
      </x:c>
      <x:c r="I451" s="20" t="str">
        <x:v>China</x:v>
      </x:c>
      <x:c r="J451" s="20" t="str">
        <x:v>Chinese influence</x:v>
      </x:c>
      <x:c r="K451" s="384" t="n">
        <x:v>5</x:v>
      </x:c>
      <x:c r="L451" s="396" t="n">
        <x:v>3</x:v>
      </x:c>
      <x:c r="M451" s="397" t="str">
        <x:v>https://www.eeas.europa.eu/eeas/4th-eeas-annual-report-foreign-information-manipulation-and-interference-threats_en</x:v>
      </x:c>
      <x:c r="N451" s="384" t="n">
        <x:v>1</x:v>
      </x:c>
      <x:c r="O451" s="396" t="n">
        <x:v>2</x:v>
      </x:c>
      <x:c r="P451" s="397" t="str">
        <x:v>https://merics.org/en/report/guardians-belt-and-road</x:v>
      </x:c>
      <x:c r="Q451" s="384" t="n">
        <x:v>1</x:v>
      </x:c>
      <x:c r="R451" s="396" t="n">
        <x:v>2</x:v>
      </x:c>
      <x:c r="S451" s="397" t="str">
        <x:v>https://www.eeas.europa.eu/eeas/4th-eeas-annual-report-foreign-information-manipulation-and-interference-threats_en</x:v>
      </x:c>
      <x:c r="T451" s="384" t="n">
        <x:v>1</x:v>
      </x:c>
      <x:c r="U451" s="396" t="n">
        <x:v>2</x:v>
      </x:c>
      <x:c r="V451" s="397" t="str">
        <x:v>https://merics.org/en/report/guardians-belt-and-road</x:v>
      </x:c>
      <x:c r="W451" s="385" t="n">
        <x:f>(--(M451&lt;&gt;"")+--(P451&lt;&gt;"")+--(S451&lt;&gt;"")+--(V451&lt;&gt;""))/4</x:f>
        <x:v>1</x:v>
      </x:c>
      <x:c r="X451" s="384" t="n">
        <x:f>IF(COUNT(K451,N451,Q451,T451)=0,"No data",(IF(ISNUMBER(K451),K451*Factor_Model!$B$4,0)+IF(ISNUMBER(N451),N451*Factor_Model!$B$5,0)+IF(ISNUMBER(Q451),Q451*Factor_Model!$B$6,0)+IF(ISNUMBER(T451),T451*Factor_Model!$B$7,0))/(IF(ISNUMBER(K451),Factor_Model!$B$4,0)+IF(ISNUMBER(N451),Factor_Model!$B$5,0)+IF(ISNUMBER(Q451),Factor_Model!$B$6,0)+IF(ISNUMBER(T451),Factor_Model!$B$7,0)))</x:f>
        <x:v>2</x:v>
      </x:c>
      <x:c r="Y451" s="20" t="str">
        <x:f>IF(W451=0,"No source",IF(W451&lt;1,"Partial source","Source-complete"))</x:f>
        <x:v>Source-complete</x:v>
      </x:c>
      <x:c r="Z451" s="20" t="str">
        <x:v>Automated screening pass: row uses a primary source URL by actor/subfactor; verify with country-specific evidence before final analytical use.</x:v>
      </x:c>
      <x:c r="AA451" s="20" t="str">
        <x:v>2026-05-20</x:v>
      </x:c>
      <x:c r="AB451" s="20" t="str">
        <x:v>GPT-5.5 Pro</x:v>
      </x:c>
    </x:row>
    <x:row r="452" ht="24" customHeight="1">
      <x:c r="A452" s="20" t="str">
        <x:v>UGA|United States</x:v>
      </x:c>
      <x:c r="B452" s="20" t="str">
        <x:v>Uganda</x:v>
      </x:c>
      <x:c r="C452" s="20" t="str">
        <x:v>Republic of Uganda</x:v>
      </x:c>
      <x:c r="D452" s="20" t="str">
        <x:v>UG</x:v>
      </x:c>
      <x:c r="E452" s="20" t="str">
        <x:v>UGA</x:v>
      </x:c>
      <x:c r="F452" s="20" t="str">
        <x:v>800</x:v>
      </x:c>
      <x:c r="G452" s="20" t="str">
        <x:v>Africa</x:v>
      </x:c>
      <x:c r="H452" s="20" t="str">
        <x:v>Eastern Africa</x:v>
      </x:c>
      <x:c r="I452" s="20" t="str">
        <x:v>United States</x:v>
      </x:c>
      <x:c r="J452" s="20" t="str">
        <x:v>American influence</x:v>
      </x:c>
      <x:c r="K452" s="384" t="n">
        <x:v>4</x:v>
      </x:c>
      <x:c r="L452" s="396" t="n">
        <x:v>3</x:v>
      </x:c>
      <x:c r="M452" s="397" t="str">
        <x:v>https://www.usagm.gov/our-work/strategy-and-results/strategic-priorities/research-reports/</x:v>
      </x:c>
      <x:c r="N452" s="384" t="n">
        <x:v>2</x:v>
      </x:c>
      <x:c r="O452" s="396" t="n">
        <x:v>2</x:v>
      </x:c>
      <x:c r="P452" s="397" t="str">
        <x:v>https://internationalpolicy.org/programs/sam/</x:v>
      </x:c>
      <x:c r="Q452" s="384" t="n">
        <x:v>2</x:v>
      </x:c>
      <x:c r="R452" s="396" t="n">
        <x:v>2</x:v>
      </x:c>
      <x:c r="S452" s="397" t="str">
        <x:v>https://www.ned.org/ned-grantmaking/</x:v>
      </x:c>
      <x:c r="T452" s="384" t="n">
        <x:v>3</x:v>
      </x:c>
      <x:c r="U452" s="396" t="n">
        <x:v>3</x:v>
      </x:c>
      <x:c r="V452" s="397" t="str">
        <x:v>https://internationalpolicy.org/programs/sam/</x:v>
      </x:c>
      <x:c r="W452" s="385" t="n">
        <x:f>(--(M452&lt;&gt;"")+--(P452&lt;&gt;"")+--(S452&lt;&gt;"")+--(V452&lt;&gt;""))/4</x:f>
        <x:v>1</x:v>
      </x:c>
      <x:c r="X452" s="384" t="n">
        <x:f>IF(COUNT(K452,N452,Q452,T452)=0,"No data",(IF(ISNUMBER(K452),K452*Factor_Model!$B$4,0)+IF(ISNUMBER(N452),N452*Factor_Model!$B$5,0)+IF(ISNUMBER(Q452),Q452*Factor_Model!$B$6,0)+IF(ISNUMBER(T452),T452*Factor_Model!$B$7,0))/(IF(ISNUMBER(K452),Factor_Model!$B$4,0)+IF(ISNUMBER(N452),Factor_Model!$B$5,0)+IF(ISNUMBER(Q452),Factor_Model!$B$6,0)+IF(ISNUMBER(T452),Factor_Model!$B$7,0)))</x:f>
        <x:v>2.75</x:v>
      </x:c>
      <x:c r="Y452" s="20" t="str">
        <x:f>IF(W452=0,"No source",IF(W452&lt;1,"Partial source","Source-complete"))</x:f>
        <x:v>Source-complete</x:v>
      </x:c>
      <x:c r="Z452" s="20" t="str">
        <x:v>Automated screening pass: row uses a primary source URL by actor/subfactor; verify with country-specific evidence before final analytical use.</x:v>
      </x:c>
      <x:c r="AA452" s="20" t="str">
        <x:v>2026-05-20</x:v>
      </x:c>
      <x:c r="AB452" s="20" t="str">
        <x:v>GPT-5.5 Pro</x:v>
      </x:c>
    </x:row>
    <x:row r="453" ht="24" customHeight="1">
      <x:c r="A453" s="20" t="str">
        <x:v>UGA|European Union</x:v>
      </x:c>
      <x:c r="B453" s="20" t="str">
        <x:v>Uganda</x:v>
      </x:c>
      <x:c r="C453" s="20" t="str">
        <x:v>Republic of Uganda</x:v>
      </x:c>
      <x:c r="D453" s="20" t="str">
        <x:v>UG</x:v>
      </x:c>
      <x:c r="E453" s="20" t="str">
        <x:v>UGA</x:v>
      </x:c>
      <x:c r="F453" s="20" t="str">
        <x:v>800</x:v>
      </x:c>
      <x:c r="G453" s="20" t="str">
        <x:v>Africa</x:v>
      </x:c>
      <x:c r="H453" s="20" t="str">
        <x:v>Eastern Africa</x:v>
      </x:c>
      <x:c r="I453" s="20" t="str">
        <x:v>European Union</x:v>
      </x:c>
      <x:c r="J453" s="20" t="str">
        <x:v>EU influence</x:v>
      </x:c>
      <x:c r="K453" s="384" t="n">
        <x:v>3</x:v>
      </x:c>
      <x:c r="L453" s="396" t="n">
        <x:v>3</x:v>
      </x:c>
      <x:c r="M453" s="397" t="str">
        <x:v>https://www.eeas.europa.eu/eeas/public-diplomacy_en</x:v>
      </x:c>
      <x:c r="N453" s="384" t="n">
        <x:v>0</x:v>
      </x:c>
      <x:c r="O453" s="396" t="n">
        <x:v>1</x:v>
      </x:c>
      <x:c r="P453" s="397" t="str">
        <x:v>https://www.eeas.europa.eu/eeas/missions-and-operations_en</x:v>
      </x:c>
      <x:c r="Q453" s="384" t="n">
        <x:v>1</x:v>
      </x:c>
      <x:c r="R453" s="396" t="n">
        <x:v>2</x:v>
      </x:c>
      <x:c r="S453" s="397" t="str">
        <x:v>https://www.eeas.europa.eu/eeas/eu-election-observation-missions-1_en?page_lang=en</x:v>
      </x:c>
      <x:c r="T453" s="384" t="n">
        <x:v>2</x:v>
      </x:c>
      <x:c r="U453" s="396" t="n">
        <x:v>2</x:v>
      </x:c>
      <x:c r="V453" s="397" t="str">
        <x:v>https://www.eeas.europa.eu/eeas/missions-and-operations_en</x:v>
      </x:c>
      <x:c r="W453" s="385" t="n">
        <x:f>(--(M453&lt;&gt;"")+--(P453&lt;&gt;"")+--(S453&lt;&gt;"")+--(V453&lt;&gt;""))/4</x:f>
        <x:v>1</x:v>
      </x:c>
      <x:c r="X453" s="384" t="n">
        <x:f>IF(COUNT(K453,N453,Q453,T453)=0,"No data",(IF(ISNUMBER(K453),K453*Factor_Model!$B$4,0)+IF(ISNUMBER(N453),N453*Factor_Model!$B$5,0)+IF(ISNUMBER(Q453),Q453*Factor_Model!$B$6,0)+IF(ISNUMBER(T453),T453*Factor_Model!$B$7,0))/(IF(ISNUMBER(K453),Factor_Model!$B$4,0)+IF(ISNUMBER(N453),Factor_Model!$B$5,0)+IF(ISNUMBER(Q453),Factor_Model!$B$6,0)+IF(ISNUMBER(T453),Factor_Model!$B$7,0)))</x:f>
        <x:v>1.5</x:v>
      </x:c>
      <x:c r="Y453" s="20" t="str">
        <x:f>IF(W453=0,"No source",IF(W453&lt;1,"Partial source","Source-complete"))</x:f>
        <x:v>Source-complete</x:v>
      </x:c>
      <x:c r="Z453" s="20" t="str">
        <x:v>Automated screening pass: row uses a primary source URL by actor/subfactor; verify with country-specific evidence before final analytical use.</x:v>
      </x:c>
      <x:c r="AA453" s="20" t="str">
        <x:v>2026-05-20</x:v>
      </x:c>
      <x:c r="AB453" s="20" t="str">
        <x:v>GPT-5.5 Pro</x:v>
      </x:c>
    </x:row>
    <x:row r="454" ht="24" customHeight="1">
      <x:c r="A454" s="20" t="str">
        <x:v>UKR|Russia</x:v>
      </x:c>
      <x:c r="B454" s="20" t="str">
        <x:v>Ukraine</x:v>
      </x:c>
      <x:c r="C454" s="20"/>
      <x:c r="D454" s="20" t="str">
        <x:v>UA</x:v>
      </x:c>
      <x:c r="E454" s="20" t="str">
        <x:v>UKR</x:v>
      </x:c>
      <x:c r="F454" s="20" t="str">
        <x:v>804</x:v>
      </x:c>
      <x:c r="G454" s="20" t="str">
        <x:v>Europe</x:v>
      </x:c>
      <x:c r="H454" s="20" t="str">
        <x:v>Eastern Europe</x:v>
      </x:c>
      <x:c r="I454" s="20" t="str">
        <x:v>Russia</x:v>
      </x:c>
      <x:c r="J454" s="20" t="str">
        <x:v>Russian influence</x:v>
      </x:c>
      <x:c r="K454" s="384" t="n">
        <x:v>9</x:v>
      </x:c>
      <x:c r="L454" s="396" t="n">
        <x:v>5</x:v>
      </x:c>
      <x:c r="M454" s="397" t="str">
        <x:v>https://www.eeas.europa.eu/eeas/4th-eeas-annual-report-foreign-information-manipulation-and-interference-threats_en</x:v>
      </x:c>
      <x:c r="N454" s="384" t="n">
        <x:v>10</x:v>
      </x:c>
      <x:c r="O454" s="396" t="n">
        <x:v>5</x:v>
      </x:c>
      <x:c r="P454" s="397" t="str">
        <x:v>https://www.consilium.europa.eu/en/press/press-releases/2023/02/25/wagner-group-council-adds-11-individuals-and-7-entities-to-eu-sanctions-lists/</x:v>
      </x:c>
      <x:c r="Q454" s="384" t="n">
        <x:v>8</x:v>
      </x:c>
      <x:c r="R454" s="396" t="n">
        <x:v>4</x:v>
      </x:c>
      <x:c r="S454" s="397" t="str">
        <x:v>https://www.dni.gov/files/ODNI/documents/assessments/ATA-2026-Unclassified-Report.pdf</x:v>
      </x:c>
      <x:c r="T454" s="384" t="n">
        <x:v>9</x:v>
      </x:c>
      <x:c r="U454" s="396" t="n">
        <x:v>5</x:v>
      </x:c>
      <x:c r="V454" s="397" t="str">
        <x:v>https://www.consilium.europa.eu/en/press/press-releases/2023/02/25/wagner-group-council-adds-11-individuals-and-7-entities-to-eu-sanctions-lists/</x:v>
      </x:c>
      <x:c r="W454" s="385" t="n">
        <x:f>(--(M454&lt;&gt;"")+--(P454&lt;&gt;"")+--(S454&lt;&gt;"")+--(V454&lt;&gt;""))/4</x:f>
        <x:v>1</x:v>
      </x:c>
      <x:c r="X454" s="384" t="n">
        <x:f>IF(COUNT(K454,N454,Q454,T454)=0,"No data",(IF(ISNUMBER(K454),K454*Factor_Model!$B$4,0)+IF(ISNUMBER(N454),N454*Factor_Model!$B$5,0)+IF(ISNUMBER(Q454),Q454*Factor_Model!$B$6,0)+IF(ISNUMBER(T454),T454*Factor_Model!$B$7,0))/(IF(ISNUMBER(K454),Factor_Model!$B$4,0)+IF(ISNUMBER(N454),Factor_Model!$B$5,0)+IF(ISNUMBER(Q454),Factor_Model!$B$6,0)+IF(ISNUMBER(T454),Factor_Model!$B$7,0)))</x:f>
        <x:v>9</x:v>
      </x:c>
      <x:c r="Y454" s="20" t="str">
        <x:f>IF(W454=0,"No source",IF(W454&lt;1,"Partial source","Source-complete"))</x:f>
        <x:v>Source-complete</x:v>
      </x:c>
      <x:c r="Z454" s="20" t="str">
        <x:v>Automated screening pass: row uses a primary source URL by actor/subfactor; verify with country-specific evidence before final analytical use.</x:v>
      </x:c>
      <x:c r="AA454" s="20" t="str">
        <x:v>2026-05-20</x:v>
      </x:c>
      <x:c r="AB454" s="20" t="str">
        <x:v>GPT-5.5 Pro</x:v>
      </x:c>
    </x:row>
    <x:row r="455" ht="24" customHeight="1">
      <x:c r="A455" s="20" t="str">
        <x:v>UKR|China</x:v>
      </x:c>
      <x:c r="B455" s="20" t="str">
        <x:v>Ukraine</x:v>
      </x:c>
      <x:c r="C455" s="20"/>
      <x:c r="D455" s="20" t="str">
        <x:v>UA</x:v>
      </x:c>
      <x:c r="E455" s="20" t="str">
        <x:v>UKR</x:v>
      </x:c>
      <x:c r="F455" s="20" t="str">
        <x:v>804</x:v>
      </x:c>
      <x:c r="G455" s="20" t="str">
        <x:v>Europe</x:v>
      </x:c>
      <x:c r="H455" s="20" t="str">
        <x:v>Eastern Europe</x:v>
      </x:c>
      <x:c r="I455" s="20" t="str">
        <x:v>China</x:v>
      </x:c>
      <x:c r="J455" s="20" t="str">
        <x:v>Chinese influence</x:v>
      </x:c>
      <x:c r="K455" s="384" t="n">
        <x:v>4</x:v>
      </x:c>
      <x:c r="L455" s="396" t="n">
        <x:v>3</x:v>
      </x:c>
      <x:c r="M455" s="397" t="str">
        <x:v>https://www.eeas.europa.eu/eeas/4th-eeas-annual-report-foreign-information-manipulation-and-interference-threats_en</x:v>
      </x:c>
      <x:c r="N455" s="384" t="n">
        <x:v>0</x:v>
      </x:c>
      <x:c r="O455" s="396" t="n">
        <x:v>1</x:v>
      </x:c>
      <x:c r="P455" s="397" t="str">
        <x:v>https://merics.org/en/report/guardians-belt-and-road</x:v>
      </x:c>
      <x:c r="Q455" s="384" t="n">
        <x:v>2</x:v>
      </x:c>
      <x:c r="R455" s="396" t="n">
        <x:v>2</x:v>
      </x:c>
      <x:c r="S455" s="397" t="str">
        <x:v>https://www.eeas.europa.eu/eeas/4th-eeas-annual-report-foreign-information-manipulation-and-interference-threats_en</x:v>
      </x:c>
      <x:c r="T455" s="384" t="n">
        <x:v>0</x:v>
      </x:c>
      <x:c r="U455" s="396" t="n">
        <x:v>1</x:v>
      </x:c>
      <x:c r="V455" s="397" t="str">
        <x:v>https://merics.org/en/report/guardians-belt-and-road</x:v>
      </x:c>
      <x:c r="W455" s="385" t="n">
        <x:f>(--(M455&lt;&gt;"")+--(P455&lt;&gt;"")+--(S455&lt;&gt;"")+--(V455&lt;&gt;""))/4</x:f>
        <x:v>1</x:v>
      </x:c>
      <x:c r="X455" s="384" t="n">
        <x:f>IF(COUNT(K455,N455,Q455,T455)=0,"No data",(IF(ISNUMBER(K455),K455*Factor_Model!$B$4,0)+IF(ISNUMBER(N455),N455*Factor_Model!$B$5,0)+IF(ISNUMBER(Q455),Q455*Factor_Model!$B$6,0)+IF(ISNUMBER(T455),T455*Factor_Model!$B$7,0))/(IF(ISNUMBER(K455),Factor_Model!$B$4,0)+IF(ISNUMBER(N455),Factor_Model!$B$5,0)+IF(ISNUMBER(Q455),Factor_Model!$B$6,0)+IF(ISNUMBER(T455),Factor_Model!$B$7,0)))</x:f>
        <x:v>1.5</x:v>
      </x:c>
      <x:c r="Y455" s="20" t="str">
        <x:f>IF(W455=0,"No source",IF(W455&lt;1,"Partial source","Source-complete"))</x:f>
        <x:v>Source-complete</x:v>
      </x:c>
      <x:c r="Z455" s="20" t="str">
        <x:v>Automated screening pass: row uses a primary source URL by actor/subfactor; verify with country-specific evidence before final analytical use.</x:v>
      </x:c>
      <x:c r="AA455" s="20" t="str">
        <x:v>2026-05-20</x:v>
      </x:c>
      <x:c r="AB455" s="20" t="str">
        <x:v>GPT-5.5 Pro</x:v>
      </x:c>
    </x:row>
    <x:row r="456" ht="24" customHeight="1">
      <x:c r="A456" s="20" t="str">
        <x:v>UKR|United States</x:v>
      </x:c>
      <x:c r="B456" s="20" t="str">
        <x:v>Ukraine</x:v>
      </x:c>
      <x:c r="C456" s="20"/>
      <x:c r="D456" s="20" t="str">
        <x:v>UA</x:v>
      </x:c>
      <x:c r="E456" s="20" t="str">
        <x:v>UKR</x:v>
      </x:c>
      <x:c r="F456" s="20" t="str">
        <x:v>804</x:v>
      </x:c>
      <x:c r="G456" s="20" t="str">
        <x:v>Europe</x:v>
      </x:c>
      <x:c r="H456" s="20" t="str">
        <x:v>Eastern Europe</x:v>
      </x:c>
      <x:c r="I456" s="20" t="str">
        <x:v>United States</x:v>
      </x:c>
      <x:c r="J456" s="20" t="str">
        <x:v>American influence</x:v>
      </x:c>
      <x:c r="K456" s="384" t="n">
        <x:v>6</x:v>
      </x:c>
      <x:c r="L456" s="396" t="n">
        <x:v>4</x:v>
      </x:c>
      <x:c r="M456" s="397" t="str">
        <x:v>https://www.usagm.gov/our-work/strategy-and-results/strategic-priorities/research-reports/</x:v>
      </x:c>
      <x:c r="N456" s="384" t="n">
        <x:v>6</x:v>
      </x:c>
      <x:c r="O456" s="396" t="n">
        <x:v>4</x:v>
      </x:c>
      <x:c r="P456" s="397" t="str">
        <x:v>https://internationalpolicy.org/programs/sam/</x:v>
      </x:c>
      <x:c r="Q456" s="384" t="n">
        <x:v>4</x:v>
      </x:c>
      <x:c r="R456" s="396" t="n">
        <x:v>3</x:v>
      </x:c>
      <x:c r="S456" s="397" t="str">
        <x:v>https://www.ned.org/ned-grantmaking/</x:v>
      </x:c>
      <x:c r="T456" s="384" t="n">
        <x:v>8</x:v>
      </x:c>
      <x:c r="U456" s="396" t="n">
        <x:v>4</x:v>
      </x:c>
      <x:c r="V456" s="397" t="str">
        <x:v>https://internationalpolicy.org/programs/sam/</x:v>
      </x:c>
      <x:c r="W456" s="385" t="n">
        <x:f>(--(M456&lt;&gt;"")+--(P456&lt;&gt;"")+--(S456&lt;&gt;"")+--(V456&lt;&gt;""))/4</x:f>
        <x:v>1</x:v>
      </x:c>
      <x:c r="X456" s="384" t="n">
        <x:f>IF(COUNT(K456,N456,Q456,T456)=0,"No data",(IF(ISNUMBER(K456),K456*Factor_Model!$B$4,0)+IF(ISNUMBER(N456),N456*Factor_Model!$B$5,0)+IF(ISNUMBER(Q456),Q456*Factor_Model!$B$6,0)+IF(ISNUMBER(T456),T456*Factor_Model!$B$7,0))/(IF(ISNUMBER(K456),Factor_Model!$B$4,0)+IF(ISNUMBER(N456),Factor_Model!$B$5,0)+IF(ISNUMBER(Q456),Factor_Model!$B$6,0)+IF(ISNUMBER(T456),Factor_Model!$B$7,0)))</x:f>
        <x:v>6</x:v>
      </x:c>
      <x:c r="Y456" s="20" t="str">
        <x:f>IF(W456=0,"No source",IF(W456&lt;1,"Partial source","Source-complete"))</x:f>
        <x:v>Source-complete</x:v>
      </x:c>
      <x:c r="Z456" s="20" t="str">
        <x:v>Automated screening pass: row uses a primary source URL by actor/subfactor; verify with country-specific evidence before final analytical use.</x:v>
      </x:c>
      <x:c r="AA456" s="20" t="str">
        <x:v>2026-05-20</x:v>
      </x:c>
      <x:c r="AB456" s="20" t="str">
        <x:v>GPT-5.5 Pro</x:v>
      </x:c>
    </x:row>
    <x:row r="457" ht="24" customHeight="1">
      <x:c r="A457" s="20" t="str">
        <x:v>UKR|European Union</x:v>
      </x:c>
      <x:c r="B457" s="20" t="str">
        <x:v>Ukraine</x:v>
      </x:c>
      <x:c r="C457" s="20"/>
      <x:c r="D457" s="20" t="str">
        <x:v>UA</x:v>
      </x:c>
      <x:c r="E457" s="20" t="str">
        <x:v>UKR</x:v>
      </x:c>
      <x:c r="F457" s="20" t="str">
        <x:v>804</x:v>
      </x:c>
      <x:c r="G457" s="20" t="str">
        <x:v>Europe</x:v>
      </x:c>
      <x:c r="H457" s="20" t="str">
        <x:v>Eastern Europe</x:v>
      </x:c>
      <x:c r="I457" s="20" t="str">
        <x:v>European Union</x:v>
      </x:c>
      <x:c r="J457" s="20" t="str">
        <x:v>EU influence</x:v>
      </x:c>
      <x:c r="K457" s="384" t="n">
        <x:v>7</x:v>
      </x:c>
      <x:c r="L457" s="396" t="n">
        <x:v>4</x:v>
      </x:c>
      <x:c r="M457" s="397" t="str">
        <x:v>https://www.eeas.europa.eu/eeas/public-diplomacy_en</x:v>
      </x:c>
      <x:c r="N457" s="384" t="n">
        <x:v>1</x:v>
      </x:c>
      <x:c r="O457" s="396" t="n">
        <x:v>2</x:v>
      </x:c>
      <x:c r="P457" s="397" t="str">
        <x:v>https://www.eeas.europa.eu/eeas/missions-and-operations_en</x:v>
      </x:c>
      <x:c r="Q457" s="384" t="n">
        <x:v>3</x:v>
      </x:c>
      <x:c r="R457" s="396" t="n">
        <x:v>3</x:v>
      </x:c>
      <x:c r="S457" s="397" t="str">
        <x:v>https://www.eeas.europa.eu/eeas/eu-election-observation-missions-1_en?page_lang=en</x:v>
      </x:c>
      <x:c r="T457" s="384" t="n">
        <x:v>8</x:v>
      </x:c>
      <x:c r="U457" s="396" t="n">
        <x:v>4</x:v>
      </x:c>
      <x:c r="V457" s="397" t="str">
        <x:v>https://www.eeas.europa.eu/eeas/missions-and-operations_en</x:v>
      </x:c>
      <x:c r="W457" s="385" t="n">
        <x:f>(--(M457&lt;&gt;"")+--(P457&lt;&gt;"")+--(S457&lt;&gt;"")+--(V457&lt;&gt;""))/4</x:f>
        <x:v>1</x:v>
      </x:c>
      <x:c r="X457" s="384" t="n">
        <x:f>IF(COUNT(K457,N457,Q457,T457)=0,"No data",(IF(ISNUMBER(K457),K457*Factor_Model!$B$4,0)+IF(ISNUMBER(N457),N457*Factor_Model!$B$5,0)+IF(ISNUMBER(Q457),Q457*Factor_Model!$B$6,0)+IF(ISNUMBER(T457),T457*Factor_Model!$B$7,0))/(IF(ISNUMBER(K457),Factor_Model!$B$4,0)+IF(ISNUMBER(N457),Factor_Model!$B$5,0)+IF(ISNUMBER(Q457),Factor_Model!$B$6,0)+IF(ISNUMBER(T457),Factor_Model!$B$7,0)))</x:f>
        <x:v>4.75</x:v>
      </x:c>
      <x:c r="Y457" s="20" t="str">
        <x:f>IF(W457=0,"No source",IF(W457&lt;1,"Partial source","Source-complete"))</x:f>
        <x:v>Source-complete</x:v>
      </x:c>
      <x:c r="Z457" s="20" t="str">
        <x:v>Automated screening pass: row uses a primary source URL by actor/subfactor; verify with country-specific evidence before final analytical use.</x:v>
      </x:c>
      <x:c r="AA457" s="20" t="str">
        <x:v>2026-05-20</x:v>
      </x:c>
      <x:c r="AB457" s="20" t="str">
        <x:v>GPT-5.5 Pro</x:v>
      </x:c>
    </x:row>
    <x:row r="458" ht="24" customHeight="1">
      <x:c r="A458" s="20" t="str">
        <x:v>ARE|Russia</x:v>
      </x:c>
      <x:c r="B458" s="20" t="str">
        <x:v>United Arab Emirates</x:v>
      </x:c>
      <x:c r="C458" s="20"/>
      <x:c r="D458" s="20" t="str">
        <x:v>AE</x:v>
      </x:c>
      <x:c r="E458" s="20" t="str">
        <x:v>ARE</x:v>
      </x:c>
      <x:c r="F458" s="20" t="str">
        <x:v>784</x:v>
      </x:c>
      <x:c r="G458" s="20" t="str">
        <x:v>Asia</x:v>
      </x:c>
      <x:c r="H458" s="20" t="str">
        <x:v>Western Asia</x:v>
      </x:c>
      <x:c r="I458" s="20" t="str">
        <x:v>Russia</x:v>
      </x:c>
      <x:c r="J458" s="20" t="str">
        <x:v>Russian influence</x:v>
      </x:c>
      <x:c r="K458" s="384" t="n">
        <x:v>2</x:v>
      </x:c>
      <x:c r="L458" s="396" t="n">
        <x:v>2</x:v>
      </x:c>
      <x:c r="M458" s="397" t="str">
        <x:v>https://www.eeas.europa.eu/eeas/4th-eeas-annual-report-foreign-information-manipulation-and-interference-threats_en</x:v>
      </x:c>
      <x:c r="N458" s="384" t="n">
        <x:v>0</x:v>
      </x:c>
      <x:c r="O458" s="396" t="n">
        <x:v>1</x:v>
      </x:c>
      <x:c r="P458" s="397" t="str">
        <x:v>https://www.consilium.europa.eu/en/press/press-releases/2023/02/25/wagner-group-council-adds-11-individuals-and-7-entities-to-eu-sanctions-lists/</x:v>
      </x:c>
      <x:c r="Q458" s="384" t="n">
        <x:v>0</x:v>
      </x:c>
      <x:c r="R458" s="396" t="n">
        <x:v>1</x:v>
      </x:c>
      <x:c r="S458" s="397" t="str">
        <x:v>https://www.dni.gov/files/ODNI/documents/assessments/ATA-2026-Unclassified-Report.pdf</x:v>
      </x:c>
      <x:c r="T458" s="384" t="n">
        <x:v>0</x:v>
      </x:c>
      <x:c r="U458" s="396" t="n">
        <x:v>1</x:v>
      </x:c>
      <x:c r="V458" s="397" t="str">
        <x:v>https://www.consilium.europa.eu/en/press/press-releases/2023/02/25/wagner-group-council-adds-11-individuals-and-7-entities-to-eu-sanctions-lists/</x:v>
      </x:c>
      <x:c r="W458" s="385" t="n">
        <x:f>(--(M458&lt;&gt;"")+--(P458&lt;&gt;"")+--(S458&lt;&gt;"")+--(V458&lt;&gt;""))/4</x:f>
        <x:v>1</x:v>
      </x:c>
      <x:c r="X458" s="384" t="n">
        <x:f>IF(COUNT(K458,N458,Q458,T458)=0,"No data",(IF(ISNUMBER(K458),K458*Factor_Model!$B$4,0)+IF(ISNUMBER(N458),N458*Factor_Model!$B$5,0)+IF(ISNUMBER(Q458),Q458*Factor_Model!$B$6,0)+IF(ISNUMBER(T458),T458*Factor_Model!$B$7,0))/(IF(ISNUMBER(K458),Factor_Model!$B$4,0)+IF(ISNUMBER(N458),Factor_Model!$B$5,0)+IF(ISNUMBER(Q458),Factor_Model!$B$6,0)+IF(ISNUMBER(T458),Factor_Model!$B$7,0)))</x:f>
        <x:v>0.5</x:v>
      </x:c>
      <x:c r="Y458" s="20" t="str">
        <x:f>IF(W458=0,"No source",IF(W458&lt;1,"Partial source","Source-complete"))</x:f>
        <x:v>Source-complete</x:v>
      </x:c>
      <x:c r="Z458" s="20" t="str">
        <x:v>Automated screening pass: row uses a primary source URL by actor/subfactor; verify with country-specific evidence before final analytical use.</x:v>
      </x:c>
      <x:c r="AA458" s="20" t="str">
        <x:v>2026-05-20</x:v>
      </x:c>
      <x:c r="AB458" s="20" t="str">
        <x:v>GPT-5.5 Pro</x:v>
      </x:c>
    </x:row>
    <x:row r="459" ht="24" customHeight="1">
      <x:c r="A459" s="20" t="str">
        <x:v>ARE|China</x:v>
      </x:c>
      <x:c r="B459" s="20" t="str">
        <x:v>United Arab Emirates</x:v>
      </x:c>
      <x:c r="C459" s="20"/>
      <x:c r="D459" s="20" t="str">
        <x:v>AE</x:v>
      </x:c>
      <x:c r="E459" s="20" t="str">
        <x:v>ARE</x:v>
      </x:c>
      <x:c r="F459" s="20" t="str">
        <x:v>784</x:v>
      </x:c>
      <x:c r="G459" s="20" t="str">
        <x:v>Asia</x:v>
      </x:c>
      <x:c r="H459" s="20" t="str">
        <x:v>Western Asia</x:v>
      </x:c>
      <x:c r="I459" s="20" t="str">
        <x:v>China</x:v>
      </x:c>
      <x:c r="J459" s="20" t="str">
        <x:v>Chinese influence</x:v>
      </x:c>
      <x:c r="K459" s="384" t="n">
        <x:v>3</x:v>
      </x:c>
      <x:c r="L459" s="396" t="n">
        <x:v>3</x:v>
      </x:c>
      <x:c r="M459" s="397" t="str">
        <x:v>https://www.eeas.europa.eu/eeas/4th-eeas-annual-report-foreign-information-manipulation-and-interference-threats_en</x:v>
      </x:c>
      <x:c r="N459" s="384" t="n">
        <x:v>0</x:v>
      </x:c>
      <x:c r="O459" s="396" t="n">
        <x:v>1</x:v>
      </x:c>
      <x:c r="P459" s="397" t="str">
        <x:v>https://merics.org/en/report/guardians-belt-and-road</x:v>
      </x:c>
      <x:c r="Q459" s="384" t="n">
        <x:v>1</x:v>
      </x:c>
      <x:c r="R459" s="396" t="n">
        <x:v>2</x:v>
      </x:c>
      <x:c r="S459" s="397" t="str">
        <x:v>https://www.eeas.europa.eu/eeas/4th-eeas-annual-report-foreign-information-manipulation-and-interference-threats_en</x:v>
      </x:c>
      <x:c r="T459" s="384" t="n">
        <x:v>1</x:v>
      </x:c>
      <x:c r="U459" s="396" t="n">
        <x:v>2</x:v>
      </x:c>
      <x:c r="V459" s="397" t="str">
        <x:v>https://merics.org/en/report/guardians-belt-and-road</x:v>
      </x:c>
      <x:c r="W459" s="385" t="n">
        <x:f>(--(M459&lt;&gt;"")+--(P459&lt;&gt;"")+--(S459&lt;&gt;"")+--(V459&lt;&gt;""))/4</x:f>
        <x:v>1</x:v>
      </x:c>
      <x:c r="X459" s="384" t="n">
        <x:f>IF(COUNT(K459,N459,Q459,T459)=0,"No data",(IF(ISNUMBER(K459),K459*Factor_Model!$B$4,0)+IF(ISNUMBER(N459),N459*Factor_Model!$B$5,0)+IF(ISNUMBER(Q459),Q459*Factor_Model!$B$6,0)+IF(ISNUMBER(T459),T459*Factor_Model!$B$7,0))/(IF(ISNUMBER(K459),Factor_Model!$B$4,0)+IF(ISNUMBER(N459),Factor_Model!$B$5,0)+IF(ISNUMBER(Q459),Factor_Model!$B$6,0)+IF(ISNUMBER(T459),Factor_Model!$B$7,0)))</x:f>
        <x:v>1.25</x:v>
      </x:c>
      <x:c r="Y459" s="20" t="str">
        <x:f>IF(W459=0,"No source",IF(W459&lt;1,"Partial source","Source-complete"))</x:f>
        <x:v>Source-complete</x:v>
      </x:c>
      <x:c r="Z459" s="20" t="str">
        <x:v>Automated screening pass: row uses a primary source URL by actor/subfactor; verify with country-specific evidence before final analytical use.</x:v>
      </x:c>
      <x:c r="AA459" s="20" t="str">
        <x:v>2026-05-20</x:v>
      </x:c>
      <x:c r="AB459" s="20" t="str">
        <x:v>GPT-5.5 Pro</x:v>
      </x:c>
    </x:row>
    <x:row r="460" ht="24" customHeight="1">
      <x:c r="A460" s="20" t="str">
        <x:v>ARE|United States</x:v>
      </x:c>
      <x:c r="B460" s="20" t="str">
        <x:v>United Arab Emirates</x:v>
      </x:c>
      <x:c r="C460" s="20"/>
      <x:c r="D460" s="20" t="str">
        <x:v>AE</x:v>
      </x:c>
      <x:c r="E460" s="20" t="str">
        <x:v>ARE</x:v>
      </x:c>
      <x:c r="F460" s="20" t="str">
        <x:v>784</x:v>
      </x:c>
      <x:c r="G460" s="20" t="str">
        <x:v>Asia</x:v>
      </x:c>
      <x:c r="H460" s="20" t="str">
        <x:v>Western Asia</x:v>
      </x:c>
      <x:c r="I460" s="20" t="str">
        <x:v>United States</x:v>
      </x:c>
      <x:c r="J460" s="20" t="str">
        <x:v>American influence</x:v>
      </x:c>
      <x:c r="K460" s="384" t="n">
        <x:v>5</x:v>
      </x:c>
      <x:c r="L460" s="396" t="n">
        <x:v>3</x:v>
      </x:c>
      <x:c r="M460" s="397" t="str">
        <x:v>https://www.usagm.gov/our-work/strategy-and-results/strategic-priorities/research-reports/</x:v>
      </x:c>
      <x:c r="N460" s="384" t="n">
        <x:v>5</x:v>
      </x:c>
      <x:c r="O460" s="396" t="n">
        <x:v>3</x:v>
      </x:c>
      <x:c r="P460" s="397" t="str">
        <x:v>https://internationalpolicy.org/programs/sam/</x:v>
      </x:c>
      <x:c r="Q460" s="384" t="n">
        <x:v>2</x:v>
      </x:c>
      <x:c r="R460" s="396" t="n">
        <x:v>2</x:v>
      </x:c>
      <x:c r="S460" s="397" t="str">
        <x:v>https://www.ned.org/ned-grantmaking/</x:v>
      </x:c>
      <x:c r="T460" s="384" t="n">
        <x:v>7</x:v>
      </x:c>
      <x:c r="U460" s="396" t="n">
        <x:v>4</x:v>
      </x:c>
      <x:c r="V460" s="397" t="str">
        <x:v>https://internationalpolicy.org/programs/sam/</x:v>
      </x:c>
      <x:c r="W460" s="385" t="n">
        <x:f>(--(M460&lt;&gt;"")+--(P460&lt;&gt;"")+--(S460&lt;&gt;"")+--(V460&lt;&gt;""))/4</x:f>
        <x:v>1</x:v>
      </x:c>
      <x:c r="X460" s="384" t="n">
        <x:f>IF(COUNT(K460,N460,Q460,T460)=0,"No data",(IF(ISNUMBER(K460),K460*Factor_Model!$B$4,0)+IF(ISNUMBER(N460),N460*Factor_Model!$B$5,0)+IF(ISNUMBER(Q460),Q460*Factor_Model!$B$6,0)+IF(ISNUMBER(T460),T460*Factor_Model!$B$7,0))/(IF(ISNUMBER(K460),Factor_Model!$B$4,0)+IF(ISNUMBER(N460),Factor_Model!$B$5,0)+IF(ISNUMBER(Q460),Factor_Model!$B$6,0)+IF(ISNUMBER(T460),Factor_Model!$B$7,0)))</x:f>
        <x:v>4.75</x:v>
      </x:c>
      <x:c r="Y460" s="20" t="str">
        <x:f>IF(W460=0,"No source",IF(W460&lt;1,"Partial source","Source-complete"))</x:f>
        <x:v>Source-complete</x:v>
      </x:c>
      <x:c r="Z460" s="20" t="str">
        <x:v>Automated screening pass: row uses a primary source URL by actor/subfactor; verify with country-specific evidence before final analytical use.</x:v>
      </x:c>
      <x:c r="AA460" s="20" t="str">
        <x:v>2026-05-20</x:v>
      </x:c>
      <x:c r="AB460" s="20" t="str">
        <x:v>GPT-5.5 Pro</x:v>
      </x:c>
    </x:row>
    <x:row r="461" ht="24" customHeight="1">
      <x:c r="A461" s="20" t="str">
        <x:v>ARE|European Union</x:v>
      </x:c>
      <x:c r="B461" s="20" t="str">
        <x:v>United Arab Emirates</x:v>
      </x:c>
      <x:c r="C461" s="20"/>
      <x:c r="D461" s="20" t="str">
        <x:v>AE</x:v>
      </x:c>
      <x:c r="E461" s="20" t="str">
        <x:v>ARE</x:v>
      </x:c>
      <x:c r="F461" s="20" t="str">
        <x:v>784</x:v>
      </x:c>
      <x:c r="G461" s="20" t="str">
        <x:v>Asia</x:v>
      </x:c>
      <x:c r="H461" s="20" t="str">
        <x:v>Western Asia</x:v>
      </x:c>
      <x:c r="I461" s="20" t="str">
        <x:v>European Union</x:v>
      </x:c>
      <x:c r="J461" s="20" t="str">
        <x:v>EU influence</x:v>
      </x:c>
      <x:c r="K461" s="384" t="n">
        <x:v>2</x:v>
      </x:c>
      <x:c r="L461" s="396" t="n">
        <x:v>2</x:v>
      </x:c>
      <x:c r="M461" s="397" t="str">
        <x:v>https://www.eeas.europa.eu/eeas/public-diplomacy_en</x:v>
      </x:c>
      <x:c r="N461" s="384" t="n">
        <x:v>0</x:v>
      </x:c>
      <x:c r="O461" s="396" t="n">
        <x:v>1</x:v>
      </x:c>
      <x:c r="P461" s="397" t="str">
        <x:v>https://www.eeas.europa.eu/eeas/missions-and-operations_en</x:v>
      </x:c>
      <x:c r="Q461" s="384" t="n">
        <x:v>1</x:v>
      </x:c>
      <x:c r="R461" s="396" t="n">
        <x:v>2</x:v>
      </x:c>
      <x:c r="S461" s="397" t="str">
        <x:v>https://www.eeas.europa.eu/eeas/eu-election-observation-missions-1_en?page_lang=en</x:v>
      </x:c>
      <x:c r="T461" s="384" t="n">
        <x:v>2</x:v>
      </x:c>
      <x:c r="U461" s="396" t="n">
        <x:v>2</x:v>
      </x:c>
      <x:c r="V461" s="397" t="str">
        <x:v>https://www.eeas.europa.eu/eeas/missions-and-operations_en</x:v>
      </x:c>
      <x:c r="W461" s="385" t="n">
        <x:f>(--(M461&lt;&gt;"")+--(P461&lt;&gt;"")+--(S461&lt;&gt;"")+--(V461&lt;&gt;""))/4</x:f>
        <x:v>1</x:v>
      </x:c>
      <x:c r="X461" s="384" t="n">
        <x:f>IF(COUNT(K461,N461,Q461,T461)=0,"No data",(IF(ISNUMBER(K461),K461*Factor_Model!$B$4,0)+IF(ISNUMBER(N461),N461*Factor_Model!$B$5,0)+IF(ISNUMBER(Q461),Q461*Factor_Model!$B$6,0)+IF(ISNUMBER(T461),T461*Factor_Model!$B$7,0))/(IF(ISNUMBER(K461),Factor_Model!$B$4,0)+IF(ISNUMBER(N461),Factor_Model!$B$5,0)+IF(ISNUMBER(Q461),Factor_Model!$B$6,0)+IF(ISNUMBER(T461),Factor_Model!$B$7,0)))</x:f>
        <x:v>1.25</x:v>
      </x:c>
      <x:c r="Y461" s="20" t="str">
        <x:f>IF(W461=0,"No source",IF(W461&lt;1,"Partial source","Source-complete"))</x:f>
        <x:v>Source-complete</x:v>
      </x:c>
      <x:c r="Z461" s="20" t="str">
        <x:v>Automated screening pass: row uses a primary source URL by actor/subfactor; verify with country-specific evidence before final analytical use.</x:v>
      </x:c>
      <x:c r="AA461" s="20" t="str">
        <x:v>2026-05-20</x:v>
      </x:c>
      <x:c r="AB461" s="20" t="str">
        <x:v>GPT-5.5 Pro</x:v>
      </x:c>
    </x:row>
    <x:row r="462" ht="24" customHeight="1">
      <x:c r="A462" s="20" t="str">
        <x:v>GBR|Russia</x:v>
      </x:c>
      <x:c r="B462" s="20" t="str">
        <x:v>United Kingdom</x:v>
      </x:c>
      <x:c r="C462" s="20" t="str">
        <x:v>United Kingdom of Great Britain and Northern Ireland</x:v>
      </x:c>
      <x:c r="D462" s="20" t="str">
        <x:v>GB</x:v>
      </x:c>
      <x:c r="E462" s="20" t="str">
        <x:v>GBR</x:v>
      </x:c>
      <x:c r="F462" s="20" t="str">
        <x:v>826</x:v>
      </x:c>
      <x:c r="G462" s="20" t="str">
        <x:v>Europe</x:v>
      </x:c>
      <x:c r="H462" s="20" t="str">
        <x:v>Northern Europe</x:v>
      </x:c>
      <x:c r="I462" s="20" t="str">
        <x:v>Russia</x:v>
      </x:c>
      <x:c r="J462" s="20" t="str">
        <x:v>Russian influence</x:v>
      </x:c>
      <x:c r="K462" s="384" t="n">
        <x:v>5</x:v>
      </x:c>
      <x:c r="L462" s="396" t="n">
        <x:v>3</x:v>
      </x:c>
      <x:c r="M462" s="397" t="str">
        <x:v>https://www.eeas.europa.eu/eeas/4th-eeas-annual-report-foreign-information-manipulation-and-interference-threats_en</x:v>
      </x:c>
      <x:c r="N462" s="384" t="n">
        <x:v>0</x:v>
      </x:c>
      <x:c r="O462" s="396" t="n">
        <x:v>1</x:v>
      </x:c>
      <x:c r="P462" s="397" t="str">
        <x:v>https://www.consilium.europa.eu/en/press/press-releases/2023/02/25/wagner-group-council-adds-11-individuals-and-7-entities-to-eu-sanctions-lists/</x:v>
      </x:c>
      <x:c r="Q462" s="384" t="n">
        <x:v>7</x:v>
      </x:c>
      <x:c r="R462" s="396" t="n">
        <x:v>4</x:v>
      </x:c>
      <x:c r="S462" s="397" t="str">
        <x:v>https://www.dni.gov/files/ODNI/documents/assessments/ATA-2026-Unclassified-Report.pdf</x:v>
      </x:c>
      <x:c r="T462" s="384" t="n">
        <x:v>0</x:v>
      </x:c>
      <x:c r="U462" s="396" t="n">
        <x:v>1</x:v>
      </x:c>
      <x:c r="V462" s="397" t="str">
        <x:v>https://www.consilium.europa.eu/en/press/press-releases/2023/02/25/wagner-group-council-adds-11-individuals-and-7-entities-to-eu-sanctions-lists/</x:v>
      </x:c>
      <x:c r="W462" s="385" t="n">
        <x:f>(--(M462&lt;&gt;"")+--(P462&lt;&gt;"")+--(S462&lt;&gt;"")+--(V462&lt;&gt;""))/4</x:f>
        <x:v>1</x:v>
      </x:c>
      <x:c r="X462" s="384" t="n">
        <x:f>IF(COUNT(K462,N462,Q462,T462)=0,"No data",(IF(ISNUMBER(K462),K462*Factor_Model!$B$4,0)+IF(ISNUMBER(N462),N462*Factor_Model!$B$5,0)+IF(ISNUMBER(Q462),Q462*Factor_Model!$B$6,0)+IF(ISNUMBER(T462),T462*Factor_Model!$B$7,0))/(IF(ISNUMBER(K462),Factor_Model!$B$4,0)+IF(ISNUMBER(N462),Factor_Model!$B$5,0)+IF(ISNUMBER(Q462),Factor_Model!$B$6,0)+IF(ISNUMBER(T462),Factor_Model!$B$7,0)))</x:f>
        <x:v>3</x:v>
      </x:c>
      <x:c r="Y462" s="20" t="str">
        <x:f>IF(W462=0,"No source",IF(W462&lt;1,"Partial source","Source-complete"))</x:f>
        <x:v>Source-complete</x:v>
      </x:c>
      <x:c r="Z462" s="20" t="str">
        <x:v>Automated screening pass: row uses a primary source URL by actor/subfactor; verify with country-specific evidence before final analytical use.</x:v>
      </x:c>
      <x:c r="AA462" s="20" t="str">
        <x:v>2026-05-20</x:v>
      </x:c>
      <x:c r="AB462" s="20" t="str">
        <x:v>GPT-5.5 Pro</x:v>
      </x:c>
    </x:row>
    <x:row r="463" ht="24" customHeight="1">
      <x:c r="A463" s="20" t="str">
        <x:v>GBR|China</x:v>
      </x:c>
      <x:c r="B463" s="20" t="str">
        <x:v>United Kingdom</x:v>
      </x:c>
      <x:c r="C463" s="20" t="str">
        <x:v>United Kingdom of Great Britain and Northern Ireland</x:v>
      </x:c>
      <x:c r="D463" s="20" t="str">
        <x:v>GB</x:v>
      </x:c>
      <x:c r="E463" s="20" t="str">
        <x:v>GBR</x:v>
      </x:c>
      <x:c r="F463" s="20" t="str">
        <x:v>826</x:v>
      </x:c>
      <x:c r="G463" s="20" t="str">
        <x:v>Europe</x:v>
      </x:c>
      <x:c r="H463" s="20" t="str">
        <x:v>Northern Europe</x:v>
      </x:c>
      <x:c r="I463" s="20" t="str">
        <x:v>China</x:v>
      </x:c>
      <x:c r="J463" s="20" t="str">
        <x:v>Chinese influence</x:v>
      </x:c>
      <x:c r="K463" s="384" t="n">
        <x:v>6</x:v>
      </x:c>
      <x:c r="L463" s="396" t="n">
        <x:v>4</x:v>
      </x:c>
      <x:c r="M463" s="397" t="str">
        <x:v>https://www.eeas.europa.eu/eeas/4th-eeas-annual-report-foreign-information-manipulation-and-interference-threats_en</x:v>
      </x:c>
      <x:c r="N463" s="384" t="n">
        <x:v>0</x:v>
      </x:c>
      <x:c r="O463" s="396" t="n">
        <x:v>1</x:v>
      </x:c>
      <x:c r="P463" s="397" t="str">
        <x:v>https://merics.org/en/report/guardians-belt-and-road</x:v>
      </x:c>
      <x:c r="Q463" s="384" t="n">
        <x:v>4</x:v>
      </x:c>
      <x:c r="R463" s="396" t="n">
        <x:v>3</x:v>
      </x:c>
      <x:c r="S463" s="397" t="str">
        <x:v>https://www.eeas.europa.eu/eeas/4th-eeas-annual-report-foreign-information-manipulation-and-interference-threats_en</x:v>
      </x:c>
      <x:c r="T463" s="384" t="n">
        <x:v>0</x:v>
      </x:c>
      <x:c r="U463" s="396" t="n">
        <x:v>1</x:v>
      </x:c>
      <x:c r="V463" s="397" t="str">
        <x:v>https://merics.org/en/report/guardians-belt-and-road</x:v>
      </x:c>
      <x:c r="W463" s="385" t="n">
        <x:f>(--(M463&lt;&gt;"")+--(P463&lt;&gt;"")+--(S463&lt;&gt;"")+--(V463&lt;&gt;""))/4</x:f>
        <x:v>1</x:v>
      </x:c>
      <x:c r="X463" s="384" t="n">
        <x:f>IF(COUNT(K463,N463,Q463,T463)=0,"No data",(IF(ISNUMBER(K463),K463*Factor_Model!$B$4,0)+IF(ISNUMBER(N463),N463*Factor_Model!$B$5,0)+IF(ISNUMBER(Q463),Q463*Factor_Model!$B$6,0)+IF(ISNUMBER(T463),T463*Factor_Model!$B$7,0))/(IF(ISNUMBER(K463),Factor_Model!$B$4,0)+IF(ISNUMBER(N463),Factor_Model!$B$5,0)+IF(ISNUMBER(Q463),Factor_Model!$B$6,0)+IF(ISNUMBER(T463),Factor_Model!$B$7,0)))</x:f>
        <x:v>2.5</x:v>
      </x:c>
      <x:c r="Y463" s="20" t="str">
        <x:f>IF(W463=0,"No source",IF(W463&lt;1,"Partial source","Source-complete"))</x:f>
        <x:v>Source-complete</x:v>
      </x:c>
      <x:c r="Z463" s="20" t="str">
        <x:v>Automated screening pass: row uses a primary source URL by actor/subfactor; verify with country-specific evidence before final analytical use.</x:v>
      </x:c>
      <x:c r="AA463" s="20" t="str">
        <x:v>2026-05-20</x:v>
      </x:c>
      <x:c r="AB463" s="20" t="str">
        <x:v>GPT-5.5 Pro</x:v>
      </x:c>
    </x:row>
    <x:row r="464" ht="24" customHeight="1">
      <x:c r="A464" s="20" t="str">
        <x:v>GBR|United States</x:v>
      </x:c>
      <x:c r="B464" s="20" t="str">
        <x:v>United Kingdom</x:v>
      </x:c>
      <x:c r="C464" s="20" t="str">
        <x:v>United Kingdom of Great Britain and Northern Ireland</x:v>
      </x:c>
      <x:c r="D464" s="20" t="str">
        <x:v>GB</x:v>
      </x:c>
      <x:c r="E464" s="20" t="str">
        <x:v>GBR</x:v>
      </x:c>
      <x:c r="F464" s="20" t="str">
        <x:v>826</x:v>
      </x:c>
      <x:c r="G464" s="20" t="str">
        <x:v>Europe</x:v>
      </x:c>
      <x:c r="H464" s="20" t="str">
        <x:v>Northern Europe</x:v>
      </x:c>
      <x:c r="I464" s="20" t="str">
        <x:v>United States</x:v>
      </x:c>
      <x:c r="J464" s="20" t="str">
        <x:v>American influence</x:v>
      </x:c>
      <x:c r="K464" s="384" t="n">
        <x:v>5</x:v>
      </x:c>
      <x:c r="L464" s="396" t="n">
        <x:v>3</x:v>
      </x:c>
      <x:c r="M464" s="397" t="str">
        <x:v>https://www.usagm.gov/our-work/strategy-and-results/strategic-priorities/research-reports/</x:v>
      </x:c>
      <x:c r="N464" s="384" t="n">
        <x:v>4</x:v>
      </x:c>
      <x:c r="O464" s="396" t="n">
        <x:v>3</x:v>
      </x:c>
      <x:c r="P464" s="397" t="str">
        <x:v>https://internationalpolicy.org/programs/sam/</x:v>
      </x:c>
      <x:c r="Q464" s="384" t="n">
        <x:v>1</x:v>
      </x:c>
      <x:c r="R464" s="396" t="n">
        <x:v>2</x:v>
      </x:c>
      <x:c r="S464" s="397" t="str">
        <x:v>https://www.ned.org/ned-grantmaking/</x:v>
      </x:c>
      <x:c r="T464" s="384" t="n">
        <x:v>7</x:v>
      </x:c>
      <x:c r="U464" s="396" t="n">
        <x:v>4</x:v>
      </x:c>
      <x:c r="V464" s="397" t="str">
        <x:v>https://internationalpolicy.org/programs/sam/</x:v>
      </x:c>
      <x:c r="W464" s="385" t="n">
        <x:f>(--(M464&lt;&gt;"")+--(P464&lt;&gt;"")+--(S464&lt;&gt;"")+--(V464&lt;&gt;""))/4</x:f>
        <x:v>1</x:v>
      </x:c>
      <x:c r="X464" s="384" t="n">
        <x:f>IF(COUNT(K464,N464,Q464,T464)=0,"No data",(IF(ISNUMBER(K464),K464*Factor_Model!$B$4,0)+IF(ISNUMBER(N464),N464*Factor_Model!$B$5,0)+IF(ISNUMBER(Q464),Q464*Factor_Model!$B$6,0)+IF(ISNUMBER(T464),T464*Factor_Model!$B$7,0))/(IF(ISNUMBER(K464),Factor_Model!$B$4,0)+IF(ISNUMBER(N464),Factor_Model!$B$5,0)+IF(ISNUMBER(Q464),Factor_Model!$B$6,0)+IF(ISNUMBER(T464),Factor_Model!$B$7,0)))</x:f>
        <x:v>4.25</x:v>
      </x:c>
      <x:c r="Y464" s="20" t="str">
        <x:f>IF(W464=0,"No source",IF(W464&lt;1,"Partial source","Source-complete"))</x:f>
        <x:v>Source-complete</x:v>
      </x:c>
      <x:c r="Z464" s="20" t="str">
        <x:v>Automated screening pass: row uses a primary source URL by actor/subfactor; verify with country-specific evidence before final analytical use.</x:v>
      </x:c>
      <x:c r="AA464" s="20" t="str">
        <x:v>2026-05-20</x:v>
      </x:c>
      <x:c r="AB464" s="20" t="str">
        <x:v>GPT-5.5 Pro</x:v>
      </x:c>
    </x:row>
    <x:row r="465" ht="24" customHeight="1">
      <x:c r="A465" s="20" t="str">
        <x:v>GBR|European Union</x:v>
      </x:c>
      <x:c r="B465" s="20" t="str">
        <x:v>United Kingdom</x:v>
      </x:c>
      <x:c r="C465" s="20" t="str">
        <x:v>United Kingdom of Great Britain and Northern Ireland</x:v>
      </x:c>
      <x:c r="D465" s="20" t="str">
        <x:v>GB</x:v>
      </x:c>
      <x:c r="E465" s="20" t="str">
        <x:v>GBR</x:v>
      </x:c>
      <x:c r="F465" s="20" t="str">
        <x:v>826</x:v>
      </x:c>
      <x:c r="G465" s="20" t="str">
        <x:v>Europe</x:v>
      </x:c>
      <x:c r="H465" s="20" t="str">
        <x:v>Northern Europe</x:v>
      </x:c>
      <x:c r="I465" s="20" t="str">
        <x:v>European Union</x:v>
      </x:c>
      <x:c r="J465" s="20" t="str">
        <x:v>EU influence</x:v>
      </x:c>
      <x:c r="K465" s="384" t="n">
        <x:v>5</x:v>
      </x:c>
      <x:c r="L465" s="396" t="n">
        <x:v>3</x:v>
      </x:c>
      <x:c r="M465" s="397" t="str">
        <x:v>https://www.eeas.europa.eu/eeas/public-diplomacy_en</x:v>
      </x:c>
      <x:c r="N465" s="384" t="n">
        <x:v>0</x:v>
      </x:c>
      <x:c r="O465" s="396" t="n">
        <x:v>1</x:v>
      </x:c>
      <x:c r="P465" s="397" t="str">
        <x:v>https://www.eeas.europa.eu/eeas/missions-and-operations_en</x:v>
      </x:c>
      <x:c r="Q465" s="384" t="n">
        <x:v>1</x:v>
      </x:c>
      <x:c r="R465" s="396" t="n">
        <x:v>2</x:v>
      </x:c>
      <x:c r="S465" s="397" t="str">
        <x:v>https://www.eeas.europa.eu/eeas/eu-election-observation-missions-1_en?page_lang=en</x:v>
      </x:c>
      <x:c r="T465" s="384" t="n">
        <x:v>5</x:v>
      </x:c>
      <x:c r="U465" s="396" t="n">
        <x:v>3</x:v>
      </x:c>
      <x:c r="V465" s="397" t="str">
        <x:v>https://www.eeas.europa.eu/eeas/missions-and-operations_en</x:v>
      </x:c>
      <x:c r="W465" s="385" t="n">
        <x:f>(--(M465&lt;&gt;"")+--(P465&lt;&gt;"")+--(S465&lt;&gt;"")+--(V465&lt;&gt;""))/4</x:f>
        <x:v>1</x:v>
      </x:c>
      <x:c r="X465" s="384" t="n">
        <x:f>IF(COUNT(K465,N465,Q465,T465)=0,"No data",(IF(ISNUMBER(K465),K465*Factor_Model!$B$4,0)+IF(ISNUMBER(N465),N465*Factor_Model!$B$5,0)+IF(ISNUMBER(Q465),Q465*Factor_Model!$B$6,0)+IF(ISNUMBER(T465),T465*Factor_Model!$B$7,0))/(IF(ISNUMBER(K465),Factor_Model!$B$4,0)+IF(ISNUMBER(N465),Factor_Model!$B$5,0)+IF(ISNUMBER(Q465),Factor_Model!$B$6,0)+IF(ISNUMBER(T465),Factor_Model!$B$7,0)))</x:f>
        <x:v>2.75</x:v>
      </x:c>
      <x:c r="Y465" s="20" t="str">
        <x:f>IF(W465=0,"No source",IF(W465&lt;1,"Partial source","Source-complete"))</x:f>
        <x:v>Source-complete</x:v>
      </x:c>
      <x:c r="Z465" s="20" t="str">
        <x:v>Automated screening pass: row uses a primary source URL by actor/subfactor; verify with country-specific evidence before final analytical use.</x:v>
      </x:c>
      <x:c r="AA465" s="20" t="str">
        <x:v>2026-05-20</x:v>
      </x:c>
      <x:c r="AB465" s="20" t="str">
        <x:v>GPT-5.5 Pro</x:v>
      </x:c>
    </x:row>
    <x:row r="466" ht="24" customHeight="1">
      <x:c r="A466" s="20" t="str">
        <x:v>USA|Russia</x:v>
      </x:c>
      <x:c r="B466" s="20" t="str">
        <x:v>United States</x:v>
      </x:c>
      <x:c r="C466" s="20" t="str">
        <x:v>United States of America</x:v>
      </x:c>
      <x:c r="D466" s="20" t="str">
        <x:v>US</x:v>
      </x:c>
      <x:c r="E466" s="20" t="str">
        <x:v>USA</x:v>
      </x:c>
      <x:c r="F466" s="20" t="str">
        <x:v>840</x:v>
      </x:c>
      <x:c r="G466" s="20" t="str">
        <x:v>Americas</x:v>
      </x:c>
      <x:c r="H466" s="20" t="str">
        <x:v>Northern America</x:v>
      </x:c>
      <x:c r="I466" s="20" t="str">
        <x:v>Russia</x:v>
      </x:c>
      <x:c r="J466" s="20" t="str">
        <x:v>Russian influence</x:v>
      </x:c>
      <x:c r="K466" s="384" t="n">
        <x:v>5</x:v>
      </x:c>
      <x:c r="L466" s="396" t="n">
        <x:v>3</x:v>
      </x:c>
      <x:c r="M466" s="397" t="str">
        <x:v>https://www.eeas.europa.eu/eeas/4th-eeas-annual-report-foreign-information-manipulation-and-interference-threats_en</x:v>
      </x:c>
      <x:c r="N466" s="384" t="n">
        <x:v>0</x:v>
      </x:c>
      <x:c r="O466" s="396" t="n">
        <x:v>1</x:v>
      </x:c>
      <x:c r="P466" s="397" t="str">
        <x:v>https://www.consilium.europa.eu/en/press/press-releases/2023/02/25/wagner-group-council-adds-11-individuals-and-7-entities-to-eu-sanctions-lists/</x:v>
      </x:c>
      <x:c r="Q466" s="384" t="n">
        <x:v>8</x:v>
      </x:c>
      <x:c r="R466" s="396" t="n">
        <x:v>4</x:v>
      </x:c>
      <x:c r="S466" s="397" t="str">
        <x:v>https://www.dni.gov/files/ODNI/documents/assessments/ATA-2026-Unclassified-Report.pdf</x:v>
      </x:c>
      <x:c r="T466" s="384" t="n">
        <x:v>0</x:v>
      </x:c>
      <x:c r="U466" s="396" t="n">
        <x:v>1</x:v>
      </x:c>
      <x:c r="V466" s="397" t="str">
        <x:v>https://www.consilium.europa.eu/en/press/press-releases/2023/02/25/wagner-group-council-adds-11-individuals-and-7-entities-to-eu-sanctions-lists/</x:v>
      </x:c>
      <x:c r="W466" s="385" t="n">
        <x:f>(--(M466&lt;&gt;"")+--(P466&lt;&gt;"")+--(S466&lt;&gt;"")+--(V466&lt;&gt;""))/4</x:f>
        <x:v>1</x:v>
      </x:c>
      <x:c r="X466" s="384" t="n">
        <x:f>IF(COUNT(K466,N466,Q466,T466)=0,"No data",(IF(ISNUMBER(K466),K466*Factor_Model!$B$4,0)+IF(ISNUMBER(N466),N466*Factor_Model!$B$5,0)+IF(ISNUMBER(Q466),Q466*Factor_Model!$B$6,0)+IF(ISNUMBER(T466),T466*Factor_Model!$B$7,0))/(IF(ISNUMBER(K466),Factor_Model!$B$4,0)+IF(ISNUMBER(N466),Factor_Model!$B$5,0)+IF(ISNUMBER(Q466),Factor_Model!$B$6,0)+IF(ISNUMBER(T466),Factor_Model!$B$7,0)))</x:f>
        <x:v>3.25</x:v>
      </x:c>
      <x:c r="Y466" s="20" t="str">
        <x:f>IF(W466=0,"No source",IF(W466&lt;1,"Partial source","Source-complete"))</x:f>
        <x:v>Source-complete</x:v>
      </x:c>
      <x:c r="Z466" s="20" t="str">
        <x:v>Automated screening pass: row uses a primary source URL by actor/subfactor; verify with country-specific evidence before final analytical use.</x:v>
      </x:c>
      <x:c r="AA466" s="20" t="str">
        <x:v>2026-05-20</x:v>
      </x:c>
      <x:c r="AB466" s="20" t="str">
        <x:v>GPT-5.5 Pro</x:v>
      </x:c>
    </x:row>
    <x:row r="467" ht="24" customHeight="1">
      <x:c r="A467" s="20" t="str">
        <x:v>USA|China</x:v>
      </x:c>
      <x:c r="B467" s="20" t="str">
        <x:v>United States</x:v>
      </x:c>
      <x:c r="C467" s="20" t="str">
        <x:v>United States of America</x:v>
      </x:c>
      <x:c r="D467" s="20" t="str">
        <x:v>US</x:v>
      </x:c>
      <x:c r="E467" s="20" t="str">
        <x:v>USA</x:v>
      </x:c>
      <x:c r="F467" s="20" t="str">
        <x:v>840</x:v>
      </x:c>
      <x:c r="G467" s="20" t="str">
        <x:v>Americas</x:v>
      </x:c>
      <x:c r="H467" s="20" t="str">
        <x:v>Northern America</x:v>
      </x:c>
      <x:c r="I467" s="20" t="str">
        <x:v>China</x:v>
      </x:c>
      <x:c r="J467" s="20" t="str">
        <x:v>Chinese influence</x:v>
      </x:c>
      <x:c r="K467" s="384" t="n">
        <x:v>7</x:v>
      </x:c>
      <x:c r="L467" s="396" t="n">
        <x:v>4</x:v>
      </x:c>
      <x:c r="M467" s="397" t="str">
        <x:v>https://www.eeas.europa.eu/eeas/4th-eeas-annual-report-foreign-information-manipulation-and-interference-threats_en</x:v>
      </x:c>
      <x:c r="N467" s="384" t="n">
        <x:v>0</x:v>
      </x:c>
      <x:c r="O467" s="396" t="n">
        <x:v>1</x:v>
      </x:c>
      <x:c r="P467" s="397" t="str">
        <x:v>https://merics.org/en/report/guardians-belt-and-road</x:v>
      </x:c>
      <x:c r="Q467" s="384" t="n">
        <x:v>5</x:v>
      </x:c>
      <x:c r="R467" s="396" t="n">
        <x:v>3</x:v>
      </x:c>
      <x:c r="S467" s="397" t="str">
        <x:v>https://www.eeas.europa.eu/eeas/4th-eeas-annual-report-foreign-information-manipulation-and-interference-threats_en</x:v>
      </x:c>
      <x:c r="T467" s="384" t="n">
        <x:v>0</x:v>
      </x:c>
      <x:c r="U467" s="396" t="n">
        <x:v>1</x:v>
      </x:c>
      <x:c r="V467" s="397" t="str">
        <x:v>https://merics.org/en/report/guardians-belt-and-road</x:v>
      </x:c>
      <x:c r="W467" s="385" t="n">
        <x:f>(--(M467&lt;&gt;"")+--(P467&lt;&gt;"")+--(S467&lt;&gt;"")+--(V467&lt;&gt;""))/4</x:f>
        <x:v>1</x:v>
      </x:c>
      <x:c r="X467" s="384" t="n">
        <x:f>IF(COUNT(K467,N467,Q467,T467)=0,"No data",(IF(ISNUMBER(K467),K467*Factor_Model!$B$4,0)+IF(ISNUMBER(N467),N467*Factor_Model!$B$5,0)+IF(ISNUMBER(Q467),Q467*Factor_Model!$B$6,0)+IF(ISNUMBER(T467),T467*Factor_Model!$B$7,0))/(IF(ISNUMBER(K467),Factor_Model!$B$4,0)+IF(ISNUMBER(N467),Factor_Model!$B$5,0)+IF(ISNUMBER(Q467),Factor_Model!$B$6,0)+IF(ISNUMBER(T467),Factor_Model!$B$7,0)))</x:f>
        <x:v>3</x:v>
      </x:c>
      <x:c r="Y467" s="20" t="str">
        <x:f>IF(W467=0,"No source",IF(W467&lt;1,"Partial source","Source-complete"))</x:f>
        <x:v>Source-complete</x:v>
      </x:c>
      <x:c r="Z467" s="20" t="str">
        <x:v>Automated screening pass: row uses a primary source URL by actor/subfactor; verify with country-specific evidence before final analytical use.</x:v>
      </x:c>
      <x:c r="AA467" s="20" t="str">
        <x:v>2026-05-20</x:v>
      </x:c>
      <x:c r="AB467" s="20" t="str">
        <x:v>GPT-5.5 Pro</x:v>
      </x:c>
    </x:row>
    <x:row r="468" ht="24" customHeight="1">
      <x:c r="A468" s="20" t="str">
        <x:v>USA|United States</x:v>
      </x:c>
      <x:c r="B468" s="20" t="str">
        <x:v>United States</x:v>
      </x:c>
      <x:c r="C468" s="20" t="str">
        <x:v>United States of America</x:v>
      </x:c>
      <x:c r="D468" s="20" t="str">
        <x:v>US</x:v>
      </x:c>
      <x:c r="E468" s="20" t="str">
        <x:v>USA</x:v>
      </x:c>
      <x:c r="F468" s="20" t="str">
        <x:v>840</x:v>
      </x:c>
      <x:c r="G468" s="20" t="str">
        <x:v>Americas</x:v>
      </x:c>
      <x:c r="H468" s="20" t="str">
        <x:v>Northern America</x:v>
      </x:c>
      <x:c r="I468" s="20" t="str">
        <x:v>United States</x:v>
      </x:c>
      <x:c r="J468" s="20" t="str">
        <x:v>American influence</x:v>
      </x:c>
      <x:c r="K468" s="384" t="n">
        <x:v>10</x:v>
      </x:c>
      <x:c r="L468" s="396" t="n">
        <x:v>5</x:v>
      </x:c>
      <x:c r="M468" s="397" t="str">
        <x:v>https://www.usagm.gov/our-work/strategy-and-results/strategic-priorities/research-reports/</x:v>
      </x:c>
      <x:c r="N468" s="384" t="n">
        <x:v>7</x:v>
      </x:c>
      <x:c r="O468" s="396" t="n">
        <x:v>4</x:v>
      </x:c>
      <x:c r="P468" s="397" t="str">
        <x:v>https://internationalpolicy.org/programs/sam/</x:v>
      </x:c>
      <x:c r="Q468" s="384" t="n">
        <x:v>4</x:v>
      </x:c>
      <x:c r="R468" s="396" t="n">
        <x:v>3</x:v>
      </x:c>
      <x:c r="S468" s="397" t="str">
        <x:v>https://www.ned.org/ned-grantmaking/</x:v>
      </x:c>
      <x:c r="T468" s="384" t="n">
        <x:v>10</x:v>
      </x:c>
      <x:c r="U468" s="396" t="n">
        <x:v>5</x:v>
      </x:c>
      <x:c r="V468" s="397" t="str">
        <x:v>https://internationalpolicy.org/programs/sam/</x:v>
      </x:c>
      <x:c r="W468" s="385" t="n">
        <x:f>(--(M468&lt;&gt;"")+--(P468&lt;&gt;"")+--(S468&lt;&gt;"")+--(V468&lt;&gt;""))/4</x:f>
        <x:v>1</x:v>
      </x:c>
      <x:c r="X468" s="384" t="n">
        <x:f>IF(COUNT(K468,N468,Q468,T468)=0,"No data",(IF(ISNUMBER(K468),K468*Factor_Model!$B$4,0)+IF(ISNUMBER(N468),N468*Factor_Model!$B$5,0)+IF(ISNUMBER(Q468),Q468*Factor_Model!$B$6,0)+IF(ISNUMBER(T468),T468*Factor_Model!$B$7,0))/(IF(ISNUMBER(K468),Factor_Model!$B$4,0)+IF(ISNUMBER(N468),Factor_Model!$B$5,0)+IF(ISNUMBER(Q468),Factor_Model!$B$6,0)+IF(ISNUMBER(T468),Factor_Model!$B$7,0)))</x:f>
        <x:v>7.75</x:v>
      </x:c>
      <x:c r="Y468" s="20" t="str">
        <x:f>IF(W468=0,"No source",IF(W468&lt;1,"Partial source","Source-complete"))</x:f>
        <x:v>Source-complete</x:v>
      </x:c>
      <x:c r="Z468" s="20" t="str">
        <x:v>Automated screening pass: row uses a primary source URL by actor/subfactor; verify with country-specific evidence before final analytical use.</x:v>
      </x:c>
      <x:c r="AA468" s="20" t="str">
        <x:v>2026-05-20</x:v>
      </x:c>
      <x:c r="AB468" s="20" t="str">
        <x:v>GPT-5.5 Pro</x:v>
      </x:c>
    </x:row>
    <x:row r="469" ht="24" customHeight="1">
      <x:c r="A469" s="20" t="str">
        <x:v>USA|European Union</x:v>
      </x:c>
      <x:c r="B469" s="20" t="str">
        <x:v>United States</x:v>
      </x:c>
      <x:c r="C469" s="20" t="str">
        <x:v>United States of America</x:v>
      </x:c>
      <x:c r="D469" s="20" t="str">
        <x:v>US</x:v>
      </x:c>
      <x:c r="E469" s="20" t="str">
        <x:v>USA</x:v>
      </x:c>
      <x:c r="F469" s="20" t="str">
        <x:v>840</x:v>
      </x:c>
      <x:c r="G469" s="20" t="str">
        <x:v>Americas</x:v>
      </x:c>
      <x:c r="H469" s="20" t="str">
        <x:v>Northern America</x:v>
      </x:c>
      <x:c r="I469" s="20" t="str">
        <x:v>European Union</x:v>
      </x:c>
      <x:c r="J469" s="20" t="str">
        <x:v>EU influence</x:v>
      </x:c>
      <x:c r="K469" s="384" t="n">
        <x:v>3</x:v>
      </x:c>
      <x:c r="L469" s="396" t="n">
        <x:v>3</x:v>
      </x:c>
      <x:c r="M469" s="397" t="str">
        <x:v>https://www.eeas.europa.eu/eeas/public-diplomacy_en</x:v>
      </x:c>
      <x:c r="N469" s="384" t="n">
        <x:v>0</x:v>
      </x:c>
      <x:c r="O469" s="396" t="n">
        <x:v>1</x:v>
      </x:c>
      <x:c r="P469" s="397" t="str">
        <x:v>https://www.eeas.europa.eu/eeas/missions-and-operations_en</x:v>
      </x:c>
      <x:c r="Q469" s="384" t="n">
        <x:v>0</x:v>
      </x:c>
      <x:c r="R469" s="396" t="n">
        <x:v>1</x:v>
      </x:c>
      <x:c r="S469" s="397" t="str">
        <x:v>https://www.eeas.europa.eu/eeas/eu-election-observation-missions-1_en?page_lang=en</x:v>
      </x:c>
      <x:c r="T469" s="384" t="n">
        <x:v>3</x:v>
      </x:c>
      <x:c r="U469" s="396" t="n">
        <x:v>3</x:v>
      </x:c>
      <x:c r="V469" s="397" t="str">
        <x:v>https://www.eeas.europa.eu/eeas/missions-and-operations_en</x:v>
      </x:c>
      <x:c r="W469" s="385" t="n">
        <x:f>(--(M469&lt;&gt;"")+--(P469&lt;&gt;"")+--(S469&lt;&gt;"")+--(V469&lt;&gt;""))/4</x:f>
        <x:v>1</x:v>
      </x:c>
      <x:c r="X469" s="384" t="n">
        <x:f>IF(COUNT(K469,N469,Q469,T469)=0,"No data",(IF(ISNUMBER(K469),K469*Factor_Model!$B$4,0)+IF(ISNUMBER(N469),N469*Factor_Model!$B$5,0)+IF(ISNUMBER(Q469),Q469*Factor_Model!$B$6,0)+IF(ISNUMBER(T469),T469*Factor_Model!$B$7,0))/(IF(ISNUMBER(K469),Factor_Model!$B$4,0)+IF(ISNUMBER(N469),Factor_Model!$B$5,0)+IF(ISNUMBER(Q469),Factor_Model!$B$6,0)+IF(ISNUMBER(T469),Factor_Model!$B$7,0)))</x:f>
        <x:v>1.5</x:v>
      </x:c>
      <x:c r="Y469" s="20" t="str">
        <x:f>IF(W469=0,"No source",IF(W469&lt;1,"Partial source","Source-complete"))</x:f>
        <x:v>Source-complete</x:v>
      </x:c>
      <x:c r="Z469" s="20" t="str">
        <x:v>Automated screening pass: row uses a primary source URL by actor/subfactor; verify with country-specific evidence before final analytical use.</x:v>
      </x:c>
      <x:c r="AA469" s="20" t="str">
        <x:v>2026-05-20</x:v>
      </x:c>
      <x:c r="AB469" s="20" t="str">
        <x:v>GPT-5.5 Pro</x:v>
      </x:c>
    </x:row>
    <x:row r="470" ht="24" customHeight="1">
      <x:c r="A470" s="20" t="str">
        <x:v>UZB|Russia</x:v>
      </x:c>
      <x:c r="B470" s="20" t="str">
        <x:v>Uzbekistan</x:v>
      </x:c>
      <x:c r="C470" s="20" t="str">
        <x:v>Republic of Uzbekistan</x:v>
      </x:c>
      <x:c r="D470" s="20" t="str">
        <x:v>UZ</x:v>
      </x:c>
      <x:c r="E470" s="20" t="str">
        <x:v>UZB</x:v>
      </x:c>
      <x:c r="F470" s="20" t="str">
        <x:v>860</x:v>
      </x:c>
      <x:c r="G470" s="20" t="str">
        <x:v>Asia</x:v>
      </x:c>
      <x:c r="H470" s="20" t="str">
        <x:v>Central Asia</x:v>
      </x:c>
      <x:c r="I470" s="20" t="str">
        <x:v>Russia</x:v>
      </x:c>
      <x:c r="J470" s="20" t="str">
        <x:v>Russian influence</x:v>
      </x:c>
      <x:c r="K470" s="384" t="n">
        <x:v>7</x:v>
      </x:c>
      <x:c r="L470" s="396" t="n">
        <x:v>4</x:v>
      </x:c>
      <x:c r="M470" s="397" t="str">
        <x:v>https://www.eeas.europa.eu/eeas/4th-eeas-annual-report-foreign-information-manipulation-and-interference-threats_en</x:v>
      </x:c>
      <x:c r="N470" s="384" t="n">
        <x:v>0</x:v>
      </x:c>
      <x:c r="O470" s="396" t="n">
        <x:v>1</x:v>
      </x:c>
      <x:c r="P470" s="397" t="str">
        <x:v>https://www.consilium.europa.eu/en/press/press-releases/2023/02/25/wagner-group-council-adds-11-individuals-and-7-entities-to-eu-sanctions-lists/</x:v>
      </x:c>
      <x:c r="Q470" s="384" t="n">
        <x:v>0</x:v>
      </x:c>
      <x:c r="R470" s="396" t="n">
        <x:v>1</x:v>
      </x:c>
      <x:c r="S470" s="397" t="str">
        <x:v>https://www.dni.gov/files/ODNI/documents/assessments/ATA-2026-Unclassified-Report.pdf</x:v>
      </x:c>
      <x:c r="T470" s="384" t="n">
        <x:v>0</x:v>
      </x:c>
      <x:c r="U470" s="396" t="n">
        <x:v>1</x:v>
      </x:c>
      <x:c r="V470" s="397" t="str">
        <x:v>https://www.consilium.europa.eu/en/press/press-releases/2023/02/25/wagner-group-council-adds-11-individuals-and-7-entities-to-eu-sanctions-lists/</x:v>
      </x:c>
      <x:c r="W470" s="385" t="n">
        <x:f>(--(M470&lt;&gt;"")+--(P470&lt;&gt;"")+--(S470&lt;&gt;"")+--(V470&lt;&gt;""))/4</x:f>
        <x:v>1</x:v>
      </x:c>
      <x:c r="X470" s="384" t="n">
        <x:f>IF(COUNT(K470,N470,Q470,T470)=0,"No data",(IF(ISNUMBER(K470),K470*Factor_Model!$B$4,0)+IF(ISNUMBER(N470),N470*Factor_Model!$B$5,0)+IF(ISNUMBER(Q470),Q470*Factor_Model!$B$6,0)+IF(ISNUMBER(T470),T470*Factor_Model!$B$7,0))/(IF(ISNUMBER(K470),Factor_Model!$B$4,0)+IF(ISNUMBER(N470),Factor_Model!$B$5,0)+IF(ISNUMBER(Q470),Factor_Model!$B$6,0)+IF(ISNUMBER(T470),Factor_Model!$B$7,0)))</x:f>
        <x:v>1.75</x:v>
      </x:c>
      <x:c r="Y470" s="20" t="str">
        <x:f>IF(W470=0,"No source",IF(W470&lt;1,"Partial source","Source-complete"))</x:f>
        <x:v>Source-complete</x:v>
      </x:c>
      <x:c r="Z470" s="20" t="str">
        <x:v>Automated screening pass: row uses a primary source URL by actor/subfactor; verify with country-specific evidence before final analytical use.</x:v>
      </x:c>
      <x:c r="AA470" s="20" t="str">
        <x:v>2026-05-20</x:v>
      </x:c>
      <x:c r="AB470" s="20" t="str">
        <x:v>GPT-5.5 Pro</x:v>
      </x:c>
    </x:row>
    <x:row r="471" ht="24" customHeight="1">
      <x:c r="A471" s="20" t="str">
        <x:v>UZB|China</x:v>
      </x:c>
      <x:c r="B471" s="20" t="str">
        <x:v>Uzbekistan</x:v>
      </x:c>
      <x:c r="C471" s="20" t="str">
        <x:v>Republic of Uzbekistan</x:v>
      </x:c>
      <x:c r="D471" s="20" t="str">
        <x:v>UZ</x:v>
      </x:c>
      <x:c r="E471" s="20" t="str">
        <x:v>UZB</x:v>
      </x:c>
      <x:c r="F471" s="20" t="str">
        <x:v>860</x:v>
      </x:c>
      <x:c r="G471" s="20" t="str">
        <x:v>Asia</x:v>
      </x:c>
      <x:c r="H471" s="20" t="str">
        <x:v>Central Asia</x:v>
      </x:c>
      <x:c r="I471" s="20" t="str">
        <x:v>China</x:v>
      </x:c>
      <x:c r="J471" s="20" t="str">
        <x:v>Chinese influence</x:v>
      </x:c>
      <x:c r="K471" s="384" t="n">
        <x:v>5</x:v>
      </x:c>
      <x:c r="L471" s="396" t="n">
        <x:v>3</x:v>
      </x:c>
      <x:c r="M471" s="397" t="str">
        <x:v>https://www.eeas.europa.eu/eeas/4th-eeas-annual-report-foreign-information-manipulation-and-interference-threats_en</x:v>
      </x:c>
      <x:c r="N471" s="384" t="n">
        <x:v>1</x:v>
      </x:c>
      <x:c r="O471" s="396" t="n">
        <x:v>2</x:v>
      </x:c>
      <x:c r="P471" s="397" t="str">
        <x:v>https://merics.org/en/report/guardians-belt-and-road</x:v>
      </x:c>
      <x:c r="Q471" s="384" t="n">
        <x:v>1</x:v>
      </x:c>
      <x:c r="R471" s="396" t="n">
        <x:v>2</x:v>
      </x:c>
      <x:c r="S471" s="397" t="str">
        <x:v>https://www.eeas.europa.eu/eeas/4th-eeas-annual-report-foreign-information-manipulation-and-interference-threats_en</x:v>
      </x:c>
      <x:c r="T471" s="384" t="n">
        <x:v>3</x:v>
      </x:c>
      <x:c r="U471" s="396" t="n">
        <x:v>3</x:v>
      </x:c>
      <x:c r="V471" s="397" t="str">
        <x:v>https://merics.org/en/report/guardians-belt-and-road</x:v>
      </x:c>
      <x:c r="W471" s="385" t="n">
        <x:f>(--(M471&lt;&gt;"")+--(P471&lt;&gt;"")+--(S471&lt;&gt;"")+--(V471&lt;&gt;""))/4</x:f>
        <x:v>1</x:v>
      </x:c>
      <x:c r="X471" s="384" t="n">
        <x:f>IF(COUNT(K471,N471,Q471,T471)=0,"No data",(IF(ISNUMBER(K471),K471*Factor_Model!$B$4,0)+IF(ISNUMBER(N471),N471*Factor_Model!$B$5,0)+IF(ISNUMBER(Q471),Q471*Factor_Model!$B$6,0)+IF(ISNUMBER(T471),T471*Factor_Model!$B$7,0))/(IF(ISNUMBER(K471),Factor_Model!$B$4,0)+IF(ISNUMBER(N471),Factor_Model!$B$5,0)+IF(ISNUMBER(Q471),Factor_Model!$B$6,0)+IF(ISNUMBER(T471),Factor_Model!$B$7,0)))</x:f>
        <x:v>2.5</x:v>
      </x:c>
      <x:c r="Y471" s="20" t="str">
        <x:f>IF(W471=0,"No source",IF(W471&lt;1,"Partial source","Source-complete"))</x:f>
        <x:v>Source-complete</x:v>
      </x:c>
      <x:c r="Z471" s="20" t="str">
        <x:v>Automated screening pass: row uses a primary source URL by actor/subfactor; verify with country-specific evidence before final analytical use.</x:v>
      </x:c>
      <x:c r="AA471" s="20" t="str">
        <x:v>2026-05-20</x:v>
      </x:c>
      <x:c r="AB471" s="20" t="str">
        <x:v>GPT-5.5 Pro</x:v>
      </x:c>
    </x:row>
    <x:row r="472" ht="24" customHeight="1">
      <x:c r="A472" s="20" t="str">
        <x:v>UZB|United States</x:v>
      </x:c>
      <x:c r="B472" s="20" t="str">
        <x:v>Uzbekistan</x:v>
      </x:c>
      <x:c r="C472" s="20" t="str">
        <x:v>Republic of Uzbekistan</x:v>
      </x:c>
      <x:c r="D472" s="20" t="str">
        <x:v>UZ</x:v>
      </x:c>
      <x:c r="E472" s="20" t="str">
        <x:v>UZB</x:v>
      </x:c>
      <x:c r="F472" s="20" t="str">
        <x:v>860</x:v>
      </x:c>
      <x:c r="G472" s="20" t="str">
        <x:v>Asia</x:v>
      </x:c>
      <x:c r="H472" s="20" t="str">
        <x:v>Central Asia</x:v>
      </x:c>
      <x:c r="I472" s="20" t="str">
        <x:v>United States</x:v>
      </x:c>
      <x:c r="J472" s="20" t="str">
        <x:v>American influence</x:v>
      </x:c>
      <x:c r="K472" s="384" t="n">
        <x:v>4</x:v>
      </x:c>
      <x:c r="L472" s="396" t="n">
        <x:v>3</x:v>
      </x:c>
      <x:c r="M472" s="397" t="str">
        <x:v>https://www.usagm.gov/our-work/strategy-and-results/strategic-priorities/research-reports/</x:v>
      </x:c>
      <x:c r="N472" s="384" t="n">
        <x:v>1</x:v>
      </x:c>
      <x:c r="O472" s="396" t="n">
        <x:v>2</x:v>
      </x:c>
      <x:c r="P472" s="397" t="str">
        <x:v>https://internationalpolicy.org/programs/sam/</x:v>
      </x:c>
      <x:c r="Q472" s="384" t="n">
        <x:v>2</x:v>
      </x:c>
      <x:c r="R472" s="396" t="n">
        <x:v>2</x:v>
      </x:c>
      <x:c r="S472" s="397" t="str">
        <x:v>https://www.ned.org/ned-grantmaking/</x:v>
      </x:c>
      <x:c r="T472" s="384" t="n">
        <x:v>2</x:v>
      </x:c>
      <x:c r="U472" s="396" t="n">
        <x:v>2</x:v>
      </x:c>
      <x:c r="V472" s="397" t="str">
        <x:v>https://internationalpolicy.org/programs/sam/</x:v>
      </x:c>
      <x:c r="W472" s="385" t="n">
        <x:f>(--(M472&lt;&gt;"")+--(P472&lt;&gt;"")+--(S472&lt;&gt;"")+--(V472&lt;&gt;""))/4</x:f>
        <x:v>1</x:v>
      </x:c>
      <x:c r="X472" s="384" t="n">
        <x:f>IF(COUNT(K472,N472,Q472,T472)=0,"No data",(IF(ISNUMBER(K472),K472*Factor_Model!$B$4,0)+IF(ISNUMBER(N472),N472*Factor_Model!$B$5,0)+IF(ISNUMBER(Q472),Q472*Factor_Model!$B$6,0)+IF(ISNUMBER(T472),T472*Factor_Model!$B$7,0))/(IF(ISNUMBER(K472),Factor_Model!$B$4,0)+IF(ISNUMBER(N472),Factor_Model!$B$5,0)+IF(ISNUMBER(Q472),Factor_Model!$B$6,0)+IF(ISNUMBER(T472),Factor_Model!$B$7,0)))</x:f>
        <x:v>2.25</x:v>
      </x:c>
      <x:c r="Y472" s="20" t="str">
        <x:f>IF(W472=0,"No source",IF(W472&lt;1,"Partial source","Source-complete"))</x:f>
        <x:v>Source-complete</x:v>
      </x:c>
      <x:c r="Z472" s="20" t="str">
        <x:v>Automated screening pass: row uses a primary source URL by actor/subfactor; verify with country-specific evidence before final analytical use.</x:v>
      </x:c>
      <x:c r="AA472" s="20" t="str">
        <x:v>2026-05-20</x:v>
      </x:c>
      <x:c r="AB472" s="20" t="str">
        <x:v>GPT-5.5 Pro</x:v>
      </x:c>
    </x:row>
    <x:row r="473" ht="24" customHeight="1">
      <x:c r="A473" s="20" t="str">
        <x:v>UZB|European Union</x:v>
      </x:c>
      <x:c r="B473" s="20" t="str">
        <x:v>Uzbekistan</x:v>
      </x:c>
      <x:c r="C473" s="20" t="str">
        <x:v>Republic of Uzbekistan</x:v>
      </x:c>
      <x:c r="D473" s="20" t="str">
        <x:v>UZ</x:v>
      </x:c>
      <x:c r="E473" s="20" t="str">
        <x:v>UZB</x:v>
      </x:c>
      <x:c r="F473" s="20" t="str">
        <x:v>860</x:v>
      </x:c>
      <x:c r="G473" s="20" t="str">
        <x:v>Asia</x:v>
      </x:c>
      <x:c r="H473" s="20" t="str">
        <x:v>Central Asia</x:v>
      </x:c>
      <x:c r="I473" s="20" t="str">
        <x:v>European Union</x:v>
      </x:c>
      <x:c r="J473" s="20" t="str">
        <x:v>EU influence</x:v>
      </x:c>
      <x:c r="K473" s="384" t="n">
        <x:v>2</x:v>
      </x:c>
      <x:c r="L473" s="396" t="n">
        <x:v>2</x:v>
      </x:c>
      <x:c r="M473" s="397" t="str">
        <x:v>https://www.eeas.europa.eu/eeas/public-diplomacy_en</x:v>
      </x:c>
      <x:c r="N473" s="384" t="n">
        <x:v>0</x:v>
      </x:c>
      <x:c r="O473" s="396" t="n">
        <x:v>1</x:v>
      </x:c>
      <x:c r="P473" s="397" t="str">
        <x:v>https://www.eeas.europa.eu/eeas/missions-and-operations_en</x:v>
      </x:c>
      <x:c r="Q473" s="384" t="n">
        <x:v>1</x:v>
      </x:c>
      <x:c r="R473" s="396" t="n">
        <x:v>2</x:v>
      </x:c>
      <x:c r="S473" s="397" t="str">
        <x:v>https://www.eeas.europa.eu/eeas/eu-election-observation-missions-1_en?page_lang=en</x:v>
      </x:c>
      <x:c r="T473" s="384" t="n">
        <x:v>2</x:v>
      </x:c>
      <x:c r="U473" s="396" t="n">
        <x:v>2</x:v>
      </x:c>
      <x:c r="V473" s="397" t="str">
        <x:v>https://www.eeas.europa.eu/eeas/missions-and-operations_en</x:v>
      </x:c>
      <x:c r="W473" s="385" t="n">
        <x:f>(--(M473&lt;&gt;"")+--(P473&lt;&gt;"")+--(S473&lt;&gt;"")+--(V473&lt;&gt;""))/4</x:f>
        <x:v>1</x:v>
      </x:c>
      <x:c r="X473" s="384" t="n">
        <x:f>IF(COUNT(K473,N473,Q473,T473)=0,"No data",(IF(ISNUMBER(K473),K473*Factor_Model!$B$4,0)+IF(ISNUMBER(N473),N473*Factor_Model!$B$5,0)+IF(ISNUMBER(Q473),Q473*Factor_Model!$B$6,0)+IF(ISNUMBER(T473),T473*Factor_Model!$B$7,0))/(IF(ISNUMBER(K473),Factor_Model!$B$4,0)+IF(ISNUMBER(N473),Factor_Model!$B$5,0)+IF(ISNUMBER(Q473),Factor_Model!$B$6,0)+IF(ISNUMBER(T473),Factor_Model!$B$7,0)))</x:f>
        <x:v>1.25</x:v>
      </x:c>
      <x:c r="Y473" s="20" t="str">
        <x:f>IF(W473=0,"No source",IF(W473&lt;1,"Partial source","Source-complete"))</x:f>
        <x:v>Source-complete</x:v>
      </x:c>
      <x:c r="Z473" s="20" t="str">
        <x:v>Automated screening pass: row uses a primary source URL by actor/subfactor; verify with country-specific evidence before final analytical use.</x:v>
      </x:c>
      <x:c r="AA473" s="20" t="str">
        <x:v>2026-05-20</x:v>
      </x:c>
      <x:c r="AB473" s="20" t="str">
        <x:v>GPT-5.5 Pro</x:v>
      </x:c>
    </x:row>
    <x:row r="474" ht="24" customHeight="1">
      <x:c r="A474" s="20" t="str">
        <x:v>VUT|Russia</x:v>
      </x:c>
      <x:c r="B474" s="20" t="str">
        <x:v>Vanuatu</x:v>
      </x:c>
      <x:c r="C474" s="20" t="str">
        <x:v>Republic of Vanuatu</x:v>
      </x:c>
      <x:c r="D474" s="20" t="str">
        <x:v>VU</x:v>
      </x:c>
      <x:c r="E474" s="20" t="str">
        <x:v>VUT</x:v>
      </x:c>
      <x:c r="F474" s="20" t="str">
        <x:v>548</x:v>
      </x:c>
      <x:c r="G474" s="20" t="str">
        <x:v>Oceania</x:v>
      </x:c>
      <x:c r="H474" s="20" t="str">
        <x:v>Melanesia</x:v>
      </x:c>
      <x:c r="I474" s="20" t="str">
        <x:v>Russia</x:v>
      </x:c>
      <x:c r="J474" s="20" t="str">
        <x:v>Russian influence</x:v>
      </x:c>
      <x:c r="K474" s="384" t="n">
        <x:v>2</x:v>
      </x:c>
      <x:c r="L474" s="396" t="n">
        <x:v>2</x:v>
      </x:c>
      <x:c r="M474" s="397" t="str">
        <x:v>https://www.eeas.europa.eu/eeas/4th-eeas-annual-report-foreign-information-manipulation-and-interference-threats_en</x:v>
      </x:c>
      <x:c r="N474" s="384" t="n">
        <x:v>0</x:v>
      </x:c>
      <x:c r="O474" s="396" t="n">
        <x:v>1</x:v>
      </x:c>
      <x:c r="P474" s="397" t="str">
        <x:v>https://www.consilium.europa.eu/en/press/press-releases/2023/02/25/wagner-group-council-adds-11-individuals-and-7-entities-to-eu-sanctions-lists/</x:v>
      </x:c>
      <x:c r="Q474" s="384" t="n">
        <x:v>0</x:v>
      </x:c>
      <x:c r="R474" s="396" t="n">
        <x:v>1</x:v>
      </x:c>
      <x:c r="S474" s="397" t="str">
        <x:v>https://www.dni.gov/files/ODNI/documents/assessments/ATA-2026-Unclassified-Report.pdf</x:v>
      </x:c>
      <x:c r="T474" s="384" t="n">
        <x:v>0</x:v>
      </x:c>
      <x:c r="U474" s="396" t="n">
        <x:v>1</x:v>
      </x:c>
      <x:c r="V474" s="397" t="str">
        <x:v>https://www.consilium.europa.eu/en/press/press-releases/2023/02/25/wagner-group-council-adds-11-individuals-and-7-entities-to-eu-sanctions-lists/</x:v>
      </x:c>
      <x:c r="W474" s="385" t="n">
        <x:f>(--(M474&lt;&gt;"")+--(P474&lt;&gt;"")+--(S474&lt;&gt;"")+--(V474&lt;&gt;""))/4</x:f>
        <x:v>1</x:v>
      </x:c>
      <x:c r="X474" s="384" t="n">
        <x:f>IF(COUNT(K474,N474,Q474,T474)=0,"No data",(IF(ISNUMBER(K474),K474*Factor_Model!$B$4,0)+IF(ISNUMBER(N474),N474*Factor_Model!$B$5,0)+IF(ISNUMBER(Q474),Q474*Factor_Model!$B$6,0)+IF(ISNUMBER(T474),T474*Factor_Model!$B$7,0))/(IF(ISNUMBER(K474),Factor_Model!$B$4,0)+IF(ISNUMBER(N474),Factor_Model!$B$5,0)+IF(ISNUMBER(Q474),Factor_Model!$B$6,0)+IF(ISNUMBER(T474),Factor_Model!$B$7,0)))</x:f>
        <x:v>0.5</x:v>
      </x:c>
      <x:c r="Y474" s="20" t="str">
        <x:f>IF(W474=0,"No source",IF(W474&lt;1,"Partial source","Source-complete"))</x:f>
        <x:v>Source-complete</x:v>
      </x:c>
      <x:c r="Z474" s="20" t="str">
        <x:v>Automated screening pass: row uses a primary source URL by actor/subfactor; verify with country-specific evidence before final analytical use.</x:v>
      </x:c>
      <x:c r="AA474" s="20" t="str">
        <x:v>2026-05-20</x:v>
      </x:c>
      <x:c r="AB474" s="20" t="str">
        <x:v>GPT-5.5 Pro</x:v>
      </x:c>
    </x:row>
    <x:row r="475" ht="24" customHeight="1">
      <x:c r="A475" s="20" t="str">
        <x:v>VUT|China</x:v>
      </x:c>
      <x:c r="B475" s="20" t="str">
        <x:v>Vanuatu</x:v>
      </x:c>
      <x:c r="C475" s="20" t="str">
        <x:v>Republic of Vanuatu</x:v>
      </x:c>
      <x:c r="D475" s="20" t="str">
        <x:v>VU</x:v>
      </x:c>
      <x:c r="E475" s="20" t="str">
        <x:v>VUT</x:v>
      </x:c>
      <x:c r="F475" s="20" t="str">
        <x:v>548</x:v>
      </x:c>
      <x:c r="G475" s="20" t="str">
        <x:v>Oceania</x:v>
      </x:c>
      <x:c r="H475" s="20" t="str">
        <x:v>Melanesia</x:v>
      </x:c>
      <x:c r="I475" s="20" t="str">
        <x:v>China</x:v>
      </x:c>
      <x:c r="J475" s="20" t="str">
        <x:v>Chinese influence</x:v>
      </x:c>
      <x:c r="K475" s="384" t="n">
        <x:v>7</x:v>
      </x:c>
      <x:c r="L475" s="396" t="n">
        <x:v>4</x:v>
      </x:c>
      <x:c r="M475" s="397" t="str">
        <x:v>https://www.eeas.europa.eu/eeas/4th-eeas-annual-report-foreign-information-manipulation-and-interference-threats_en</x:v>
      </x:c>
      <x:c r="N475" s="384" t="n">
        <x:v>1</x:v>
      </x:c>
      <x:c r="O475" s="396" t="n">
        <x:v>2</x:v>
      </x:c>
      <x:c r="P475" s="397" t="str">
        <x:v>https://merics.org/en/report/guardians-belt-and-road</x:v>
      </x:c>
      <x:c r="Q475" s="384" t="n">
        <x:v>3</x:v>
      </x:c>
      <x:c r="R475" s="396" t="n">
        <x:v>3</x:v>
      </x:c>
      <x:c r="S475" s="397" t="str">
        <x:v>https://www.eeas.europa.eu/eeas/4th-eeas-annual-report-foreign-information-manipulation-and-interference-threats_en</x:v>
      </x:c>
      <x:c r="T475" s="384" t="n">
        <x:v>2</x:v>
      </x:c>
      <x:c r="U475" s="396" t="n">
        <x:v>2</x:v>
      </x:c>
      <x:c r="V475" s="397" t="str">
        <x:v>https://merics.org/en/report/guardians-belt-and-road</x:v>
      </x:c>
      <x:c r="W475" s="385" t="n">
        <x:f>(--(M475&lt;&gt;"")+--(P475&lt;&gt;"")+--(S475&lt;&gt;"")+--(V475&lt;&gt;""))/4</x:f>
        <x:v>1</x:v>
      </x:c>
      <x:c r="X475" s="384" t="n">
        <x:f>IF(COUNT(K475,N475,Q475,T475)=0,"No data",(IF(ISNUMBER(K475),K475*Factor_Model!$B$4,0)+IF(ISNUMBER(N475),N475*Factor_Model!$B$5,0)+IF(ISNUMBER(Q475),Q475*Factor_Model!$B$6,0)+IF(ISNUMBER(T475),T475*Factor_Model!$B$7,0))/(IF(ISNUMBER(K475),Factor_Model!$B$4,0)+IF(ISNUMBER(N475),Factor_Model!$B$5,0)+IF(ISNUMBER(Q475),Factor_Model!$B$6,0)+IF(ISNUMBER(T475),Factor_Model!$B$7,0)))</x:f>
        <x:v>3.25</x:v>
      </x:c>
      <x:c r="Y475" s="20" t="str">
        <x:f>IF(W475=0,"No source",IF(W475&lt;1,"Partial source","Source-complete"))</x:f>
        <x:v>Source-complete</x:v>
      </x:c>
      <x:c r="Z475" s="20" t="str">
        <x:v>Automated screening pass: row uses a primary source URL by actor/subfactor; verify with country-specific evidence before final analytical use.</x:v>
      </x:c>
      <x:c r="AA475" s="20" t="str">
        <x:v>2026-05-20</x:v>
      </x:c>
      <x:c r="AB475" s="20" t="str">
        <x:v>GPT-5.5 Pro</x:v>
      </x:c>
    </x:row>
    <x:row r="476" ht="24" customHeight="1">
      <x:c r="A476" s="20" t="str">
        <x:v>VUT|United States</x:v>
      </x:c>
      <x:c r="B476" s="20" t="str">
        <x:v>Vanuatu</x:v>
      </x:c>
      <x:c r="C476" s="20" t="str">
        <x:v>Republic of Vanuatu</x:v>
      </x:c>
      <x:c r="D476" s="20" t="str">
        <x:v>VU</x:v>
      </x:c>
      <x:c r="E476" s="20" t="str">
        <x:v>VUT</x:v>
      </x:c>
      <x:c r="F476" s="20" t="str">
        <x:v>548</x:v>
      </x:c>
      <x:c r="G476" s="20" t="str">
        <x:v>Oceania</x:v>
      </x:c>
      <x:c r="H476" s="20" t="str">
        <x:v>Melanesia</x:v>
      </x:c>
      <x:c r="I476" s="20" t="str">
        <x:v>United States</x:v>
      </x:c>
      <x:c r="J476" s="20" t="str">
        <x:v>American influence</x:v>
      </x:c>
      <x:c r="K476" s="384" t="n">
        <x:v>3</x:v>
      </x:c>
      <x:c r="L476" s="396" t="n">
        <x:v>3</x:v>
      </x:c>
      <x:c r="M476" s="397" t="str">
        <x:v>https://www.usagm.gov/our-work/strategy-and-results/strategic-priorities/research-reports/</x:v>
      </x:c>
      <x:c r="N476" s="384" t="n">
        <x:v>1</x:v>
      </x:c>
      <x:c r="O476" s="396" t="n">
        <x:v>2</x:v>
      </x:c>
      <x:c r="P476" s="397" t="str">
        <x:v>https://internationalpolicy.org/programs/sam/</x:v>
      </x:c>
      <x:c r="Q476" s="384" t="n">
        <x:v>1</x:v>
      </x:c>
      <x:c r="R476" s="396" t="n">
        <x:v>2</x:v>
      </x:c>
      <x:c r="S476" s="397" t="str">
        <x:v>https://www.ned.org/ned-grantmaking/</x:v>
      </x:c>
      <x:c r="T476" s="384" t="n">
        <x:v>2</x:v>
      </x:c>
      <x:c r="U476" s="396" t="n">
        <x:v>2</x:v>
      </x:c>
      <x:c r="V476" s="397" t="str">
        <x:v>https://internationalpolicy.org/programs/sam/</x:v>
      </x:c>
      <x:c r="W476" s="385" t="n">
        <x:f>(--(M476&lt;&gt;"")+--(P476&lt;&gt;"")+--(S476&lt;&gt;"")+--(V476&lt;&gt;""))/4</x:f>
        <x:v>1</x:v>
      </x:c>
      <x:c r="X476" s="384" t="n">
        <x:f>IF(COUNT(K476,N476,Q476,T476)=0,"No data",(IF(ISNUMBER(K476),K476*Factor_Model!$B$4,0)+IF(ISNUMBER(N476),N476*Factor_Model!$B$5,0)+IF(ISNUMBER(Q476),Q476*Factor_Model!$B$6,0)+IF(ISNUMBER(T476),T476*Factor_Model!$B$7,0))/(IF(ISNUMBER(K476),Factor_Model!$B$4,0)+IF(ISNUMBER(N476),Factor_Model!$B$5,0)+IF(ISNUMBER(Q476),Factor_Model!$B$6,0)+IF(ISNUMBER(T476),Factor_Model!$B$7,0)))</x:f>
        <x:v>1.75</x:v>
      </x:c>
      <x:c r="Y476" s="20" t="str">
        <x:f>IF(W476=0,"No source",IF(W476&lt;1,"Partial source","Source-complete"))</x:f>
        <x:v>Source-complete</x:v>
      </x:c>
      <x:c r="Z476" s="20" t="str">
        <x:v>Automated screening pass: row uses a primary source URL by actor/subfactor; verify with country-specific evidence before final analytical use.</x:v>
      </x:c>
      <x:c r="AA476" s="20" t="str">
        <x:v>2026-05-20</x:v>
      </x:c>
      <x:c r="AB476" s="20" t="str">
        <x:v>GPT-5.5 Pro</x:v>
      </x:c>
    </x:row>
    <x:row r="477" ht="24" customHeight="1">
      <x:c r="A477" s="20" t="str">
        <x:v>VUT|European Union</x:v>
      </x:c>
      <x:c r="B477" s="20" t="str">
        <x:v>Vanuatu</x:v>
      </x:c>
      <x:c r="C477" s="20" t="str">
        <x:v>Republic of Vanuatu</x:v>
      </x:c>
      <x:c r="D477" s="20" t="str">
        <x:v>VU</x:v>
      </x:c>
      <x:c r="E477" s="20" t="str">
        <x:v>VUT</x:v>
      </x:c>
      <x:c r="F477" s="20" t="str">
        <x:v>548</x:v>
      </x:c>
      <x:c r="G477" s="20" t="str">
        <x:v>Oceania</x:v>
      </x:c>
      <x:c r="H477" s="20" t="str">
        <x:v>Melanesia</x:v>
      </x:c>
      <x:c r="I477" s="20" t="str">
        <x:v>European Union</x:v>
      </x:c>
      <x:c r="J477" s="20" t="str">
        <x:v>EU influence</x:v>
      </x:c>
      <x:c r="K477" s="384" t="n">
        <x:v>2</x:v>
      </x:c>
      <x:c r="L477" s="396" t="n">
        <x:v>2</x:v>
      </x:c>
      <x:c r="M477" s="397" t="str">
        <x:v>https://www.eeas.europa.eu/eeas/public-diplomacy_en</x:v>
      </x:c>
      <x:c r="N477" s="384" t="n">
        <x:v>0</x:v>
      </x:c>
      <x:c r="O477" s="396" t="n">
        <x:v>1</x:v>
      </x:c>
      <x:c r="P477" s="397" t="str">
        <x:v>https://www.eeas.europa.eu/eeas/missions-and-operations_en</x:v>
      </x:c>
      <x:c r="Q477" s="384" t="n">
        <x:v>1</x:v>
      </x:c>
      <x:c r="R477" s="396" t="n">
        <x:v>2</x:v>
      </x:c>
      <x:c r="S477" s="397" t="str">
        <x:v>https://www.eeas.europa.eu/eeas/eu-election-observation-missions-1_en?page_lang=en</x:v>
      </x:c>
      <x:c r="T477" s="384" t="n">
        <x:v>1</x:v>
      </x:c>
      <x:c r="U477" s="396" t="n">
        <x:v>2</x:v>
      </x:c>
      <x:c r="V477" s="397" t="str">
        <x:v>https://www.eeas.europa.eu/eeas/missions-and-operations_en</x:v>
      </x:c>
      <x:c r="W477" s="385" t="n">
        <x:f>(--(M477&lt;&gt;"")+--(P477&lt;&gt;"")+--(S477&lt;&gt;"")+--(V477&lt;&gt;""))/4</x:f>
        <x:v>1</x:v>
      </x:c>
      <x:c r="X477" s="384" t="n">
        <x:f>IF(COUNT(K477,N477,Q477,T477)=0,"No data",(IF(ISNUMBER(K477),K477*Factor_Model!$B$4,0)+IF(ISNUMBER(N477),N477*Factor_Model!$B$5,0)+IF(ISNUMBER(Q477),Q477*Factor_Model!$B$6,0)+IF(ISNUMBER(T477),T477*Factor_Model!$B$7,0))/(IF(ISNUMBER(K477),Factor_Model!$B$4,0)+IF(ISNUMBER(N477),Factor_Model!$B$5,0)+IF(ISNUMBER(Q477),Factor_Model!$B$6,0)+IF(ISNUMBER(T477),Factor_Model!$B$7,0)))</x:f>
        <x:v>1</x:v>
      </x:c>
      <x:c r="Y477" s="20" t="str">
        <x:f>IF(W477=0,"No source",IF(W477&lt;1,"Partial source","Source-complete"))</x:f>
        <x:v>Source-complete</x:v>
      </x:c>
      <x:c r="Z477" s="20" t="str">
        <x:v>Automated screening pass: row uses a primary source URL by actor/subfactor; verify with country-specific evidence before final analytical use.</x:v>
      </x:c>
      <x:c r="AA477" s="20" t="str">
        <x:v>2026-05-20</x:v>
      </x:c>
      <x:c r="AB477" s="20" t="str">
        <x:v>GPT-5.5 Pro</x:v>
      </x:c>
    </x:row>
    <x:row r="478" ht="24" customHeight="1">
      <x:c r="A478" s="20" t="str">
        <x:v>VEN|Russia</x:v>
      </x:c>
      <x:c r="B478" s="20" t="str">
        <x:v>Venezuela</x:v>
      </x:c>
      <x:c r="C478" s="20" t="str">
        <x:v>Bolivarian Republic of Venezuela</x:v>
      </x:c>
      <x:c r="D478" s="20" t="str">
        <x:v>VE</x:v>
      </x:c>
      <x:c r="E478" s="20" t="str">
        <x:v>VEN</x:v>
      </x:c>
      <x:c r="F478" s="20" t="str">
        <x:v>862</x:v>
      </x:c>
      <x:c r="G478" s="20" t="str">
        <x:v>Americas</x:v>
      </x:c>
      <x:c r="H478" s="20" t="str">
        <x:v>South America</x:v>
      </x:c>
      <x:c r="I478" s="20" t="str">
        <x:v>Russia</x:v>
      </x:c>
      <x:c r="J478" s="20" t="str">
        <x:v>Russian influence</x:v>
      </x:c>
      <x:c r="K478" s="384" t="n">
        <x:v>7</x:v>
      </x:c>
      <x:c r="L478" s="396" t="n">
        <x:v>4</x:v>
      </x:c>
      <x:c r="M478" s="397" t="str">
        <x:v>https://www.eeas.europa.eu/eeas/4th-eeas-annual-report-foreign-information-manipulation-and-interference-threats_en</x:v>
      </x:c>
      <x:c r="N478" s="384" t="n">
        <x:v>3</x:v>
      </x:c>
      <x:c r="O478" s="396" t="n">
        <x:v>3</x:v>
      </x:c>
      <x:c r="P478" s="397" t="str">
        <x:v>https://www.consilium.europa.eu/en/press/press-releases/2023/02/25/wagner-group-council-adds-11-individuals-and-7-entities-to-eu-sanctions-lists/</x:v>
      </x:c>
      <x:c r="Q478" s="384" t="n">
        <x:v>4</x:v>
      </x:c>
      <x:c r="R478" s="396" t="n">
        <x:v>3</x:v>
      </x:c>
      <x:c r="S478" s="397" t="str">
        <x:v>https://www.dni.gov/files/ODNI/documents/assessments/ATA-2026-Unclassified-Report.pdf</x:v>
      </x:c>
      <x:c r="T478" s="384" t="n">
        <x:v>3</x:v>
      </x:c>
      <x:c r="U478" s="396" t="n">
        <x:v>3</x:v>
      </x:c>
      <x:c r="V478" s="397" t="str">
        <x:v>https://www.consilium.europa.eu/en/press/press-releases/2023/02/25/wagner-group-council-adds-11-individuals-and-7-entities-to-eu-sanctions-lists/</x:v>
      </x:c>
      <x:c r="W478" s="385" t="n">
        <x:f>(--(M478&lt;&gt;"")+--(P478&lt;&gt;"")+--(S478&lt;&gt;"")+--(V478&lt;&gt;""))/4</x:f>
        <x:v>1</x:v>
      </x:c>
      <x:c r="X478" s="384" t="n">
        <x:f>IF(COUNT(K478,N478,Q478,T478)=0,"No data",(IF(ISNUMBER(K478),K478*Factor_Model!$B$4,0)+IF(ISNUMBER(N478),N478*Factor_Model!$B$5,0)+IF(ISNUMBER(Q478),Q478*Factor_Model!$B$6,0)+IF(ISNUMBER(T478),T478*Factor_Model!$B$7,0))/(IF(ISNUMBER(K478),Factor_Model!$B$4,0)+IF(ISNUMBER(N478),Factor_Model!$B$5,0)+IF(ISNUMBER(Q478),Factor_Model!$B$6,0)+IF(ISNUMBER(T478),Factor_Model!$B$7,0)))</x:f>
        <x:v>4.25</x:v>
      </x:c>
      <x:c r="Y478" s="20" t="str">
        <x:f>IF(W478=0,"No source",IF(W478&lt;1,"Partial source","Source-complete"))</x:f>
        <x:v>Source-complete</x:v>
      </x:c>
      <x:c r="Z478" s="20" t="str">
        <x:v>Automated screening pass: row uses a primary source URL by actor/subfactor; verify with country-specific evidence before final analytical use.</x:v>
      </x:c>
      <x:c r="AA478" s="20" t="str">
        <x:v>2026-05-20</x:v>
      </x:c>
      <x:c r="AB478" s="20" t="str">
        <x:v>GPT-5.5 Pro</x:v>
      </x:c>
    </x:row>
    <x:row r="479" ht="24" customHeight="1">
      <x:c r="A479" s="20" t="str">
        <x:v>VEN|China</x:v>
      </x:c>
      <x:c r="B479" s="20" t="str">
        <x:v>Venezuela</x:v>
      </x:c>
      <x:c r="C479" s="20" t="str">
        <x:v>Bolivarian Republic of Venezuela</x:v>
      </x:c>
      <x:c r="D479" s="20" t="str">
        <x:v>VE</x:v>
      </x:c>
      <x:c r="E479" s="20" t="str">
        <x:v>VEN</x:v>
      </x:c>
      <x:c r="F479" s="20" t="str">
        <x:v>862</x:v>
      </x:c>
      <x:c r="G479" s="20" t="str">
        <x:v>Americas</x:v>
      </x:c>
      <x:c r="H479" s="20" t="str">
        <x:v>South America</x:v>
      </x:c>
      <x:c r="I479" s="20" t="str">
        <x:v>China</x:v>
      </x:c>
      <x:c r="J479" s="20" t="str">
        <x:v>Chinese influence</x:v>
      </x:c>
      <x:c r="K479" s="384" t="n">
        <x:v>5</x:v>
      </x:c>
      <x:c r="L479" s="396" t="n">
        <x:v>3</x:v>
      </x:c>
      <x:c r="M479" s="397" t="str">
        <x:v>https://www.eeas.europa.eu/eeas/4th-eeas-annual-report-foreign-information-manipulation-and-interference-threats_en</x:v>
      </x:c>
      <x:c r="N479" s="384" t="n">
        <x:v>0</x:v>
      </x:c>
      <x:c r="O479" s="396" t="n">
        <x:v>1</x:v>
      </x:c>
      <x:c r="P479" s="397" t="str">
        <x:v>https://merics.org/en/report/guardians-belt-and-road</x:v>
      </x:c>
      <x:c r="Q479" s="384" t="n">
        <x:v>2</x:v>
      </x:c>
      <x:c r="R479" s="396" t="n">
        <x:v>2</x:v>
      </x:c>
      <x:c r="S479" s="397" t="str">
        <x:v>https://www.eeas.europa.eu/eeas/4th-eeas-annual-report-foreign-information-manipulation-and-interference-threats_en</x:v>
      </x:c>
      <x:c r="T479" s="384" t="n">
        <x:v>0</x:v>
      </x:c>
      <x:c r="U479" s="396" t="n">
        <x:v>1</x:v>
      </x:c>
      <x:c r="V479" s="397" t="str">
        <x:v>https://merics.org/en/report/guardians-belt-and-road</x:v>
      </x:c>
      <x:c r="W479" s="385" t="n">
        <x:f>(--(M479&lt;&gt;"")+--(P479&lt;&gt;"")+--(S479&lt;&gt;"")+--(V479&lt;&gt;""))/4</x:f>
        <x:v>1</x:v>
      </x:c>
      <x:c r="X479" s="384" t="n">
        <x:f>IF(COUNT(K479,N479,Q479,T479)=0,"No data",(IF(ISNUMBER(K479),K479*Factor_Model!$B$4,0)+IF(ISNUMBER(N479),N479*Factor_Model!$B$5,0)+IF(ISNUMBER(Q479),Q479*Factor_Model!$B$6,0)+IF(ISNUMBER(T479),T479*Factor_Model!$B$7,0))/(IF(ISNUMBER(K479),Factor_Model!$B$4,0)+IF(ISNUMBER(N479),Factor_Model!$B$5,0)+IF(ISNUMBER(Q479),Factor_Model!$B$6,0)+IF(ISNUMBER(T479),Factor_Model!$B$7,0)))</x:f>
        <x:v>1.75</x:v>
      </x:c>
      <x:c r="Y479" s="20" t="str">
        <x:f>IF(W479=0,"No source",IF(W479&lt;1,"Partial source","Source-complete"))</x:f>
        <x:v>Source-complete</x:v>
      </x:c>
      <x:c r="Z479" s="20" t="str">
        <x:v>Automated screening pass: row uses a primary source URL by actor/subfactor; verify with country-specific evidence before final analytical use.</x:v>
      </x:c>
      <x:c r="AA479" s="20" t="str">
        <x:v>2026-05-20</x:v>
      </x:c>
      <x:c r="AB479" s="20" t="str">
        <x:v>GPT-5.5 Pro</x:v>
      </x:c>
    </x:row>
    <x:row r="480" ht="24" customHeight="1">
      <x:c r="A480" s="20" t="str">
        <x:v>VEN|United States</x:v>
      </x:c>
      <x:c r="B480" s="20" t="str">
        <x:v>Venezuela</x:v>
      </x:c>
      <x:c r="C480" s="20" t="str">
        <x:v>Bolivarian Republic of Venezuela</x:v>
      </x:c>
      <x:c r="D480" s="20" t="str">
        <x:v>VE</x:v>
      </x:c>
      <x:c r="E480" s="20" t="str">
        <x:v>VEN</x:v>
      </x:c>
      <x:c r="F480" s="20" t="str">
        <x:v>862</x:v>
      </x:c>
      <x:c r="G480" s="20" t="str">
        <x:v>Americas</x:v>
      </x:c>
      <x:c r="H480" s="20" t="str">
        <x:v>South America</x:v>
      </x:c>
      <x:c r="I480" s="20" t="str">
        <x:v>United States</x:v>
      </x:c>
      <x:c r="J480" s="20" t="str">
        <x:v>American influence</x:v>
      </x:c>
      <x:c r="K480" s="384" t="n">
        <x:v>7</x:v>
      </x:c>
      <x:c r="L480" s="396" t="n">
        <x:v>4</x:v>
      </x:c>
      <x:c r="M480" s="397" t="str">
        <x:v>https://www.usagm.gov/our-work/strategy-and-results/strategic-priorities/research-reports/</x:v>
      </x:c>
      <x:c r="N480" s="384" t="n">
        <x:v>2</x:v>
      </x:c>
      <x:c r="O480" s="396" t="n">
        <x:v>2</x:v>
      </x:c>
      <x:c r="P480" s="397" t="str">
        <x:v>https://internationalpolicy.org/programs/sam/</x:v>
      </x:c>
      <x:c r="Q480" s="384" t="n">
        <x:v>5</x:v>
      </x:c>
      <x:c r="R480" s="396" t="n">
        <x:v>3</x:v>
      </x:c>
      <x:c r="S480" s="397" t="str">
        <x:v>https://www.ned.org/ned-grantmaking/</x:v>
      </x:c>
      <x:c r="T480" s="384" t="n">
        <x:v>4</x:v>
      </x:c>
      <x:c r="U480" s="396" t="n">
        <x:v>3</x:v>
      </x:c>
      <x:c r="V480" s="397" t="str">
        <x:v>https://internationalpolicy.org/programs/sam/</x:v>
      </x:c>
      <x:c r="W480" s="385" t="n">
        <x:f>(--(M480&lt;&gt;"")+--(P480&lt;&gt;"")+--(S480&lt;&gt;"")+--(V480&lt;&gt;""))/4</x:f>
        <x:v>1</x:v>
      </x:c>
      <x:c r="X480" s="384" t="n">
        <x:f>IF(COUNT(K480,N480,Q480,T480)=0,"No data",(IF(ISNUMBER(K480),K480*Factor_Model!$B$4,0)+IF(ISNUMBER(N480),N480*Factor_Model!$B$5,0)+IF(ISNUMBER(Q480),Q480*Factor_Model!$B$6,0)+IF(ISNUMBER(T480),T480*Factor_Model!$B$7,0))/(IF(ISNUMBER(K480),Factor_Model!$B$4,0)+IF(ISNUMBER(N480),Factor_Model!$B$5,0)+IF(ISNUMBER(Q480),Factor_Model!$B$6,0)+IF(ISNUMBER(T480),Factor_Model!$B$7,0)))</x:f>
        <x:v>4.5</x:v>
      </x:c>
      <x:c r="Y480" s="20" t="str">
        <x:f>IF(W480=0,"No source",IF(W480&lt;1,"Partial source","Source-complete"))</x:f>
        <x:v>Source-complete</x:v>
      </x:c>
      <x:c r="Z480" s="20" t="str">
        <x:v>Automated screening pass: row uses a primary source URL by actor/subfactor; verify with country-specific evidence before final analytical use.</x:v>
      </x:c>
      <x:c r="AA480" s="20" t="str">
        <x:v>2026-05-20</x:v>
      </x:c>
      <x:c r="AB480" s="20" t="str">
        <x:v>GPT-5.5 Pro</x:v>
      </x:c>
    </x:row>
    <x:row r="481" ht="24" customHeight="1">
      <x:c r="A481" s="20" t="str">
        <x:v>VEN|European Union</x:v>
      </x:c>
      <x:c r="B481" s="20" t="str">
        <x:v>Venezuela</x:v>
      </x:c>
      <x:c r="C481" s="20" t="str">
        <x:v>Bolivarian Republic of Venezuela</x:v>
      </x:c>
      <x:c r="D481" s="20" t="str">
        <x:v>VE</x:v>
      </x:c>
      <x:c r="E481" s="20" t="str">
        <x:v>VEN</x:v>
      </x:c>
      <x:c r="F481" s="20" t="str">
        <x:v>862</x:v>
      </x:c>
      <x:c r="G481" s="20" t="str">
        <x:v>Americas</x:v>
      </x:c>
      <x:c r="H481" s="20" t="str">
        <x:v>South America</x:v>
      </x:c>
      <x:c r="I481" s="20" t="str">
        <x:v>European Union</x:v>
      </x:c>
      <x:c r="J481" s="20" t="str">
        <x:v>EU influence</x:v>
      </x:c>
      <x:c r="K481" s="384" t="n">
        <x:v>3</x:v>
      </x:c>
      <x:c r="L481" s="396" t="n">
        <x:v>3</x:v>
      </x:c>
      <x:c r="M481" s="397" t="str">
        <x:v>https://www.eeas.europa.eu/eeas/public-diplomacy_en</x:v>
      </x:c>
      <x:c r="N481" s="384" t="n">
        <x:v>0</x:v>
      </x:c>
      <x:c r="O481" s="396" t="n">
        <x:v>1</x:v>
      </x:c>
      <x:c r="P481" s="397" t="str">
        <x:v>https://www.eeas.europa.eu/eeas/missions-and-operations_en</x:v>
      </x:c>
      <x:c r="Q481" s="384" t="n">
        <x:v>1</x:v>
      </x:c>
      <x:c r="R481" s="396" t="n">
        <x:v>2</x:v>
      </x:c>
      <x:c r="S481" s="397" t="str">
        <x:v>https://www.eeas.europa.eu/eeas/eu-election-observation-missions-1_en?page_lang=en</x:v>
      </x:c>
      <x:c r="T481" s="384" t="n">
        <x:v>2</x:v>
      </x:c>
      <x:c r="U481" s="396" t="n">
        <x:v>2</x:v>
      </x:c>
      <x:c r="V481" s="397" t="str">
        <x:v>https://www.eeas.europa.eu/eeas/missions-and-operations_en</x:v>
      </x:c>
      <x:c r="W481" s="385" t="n">
        <x:f>(--(M481&lt;&gt;"")+--(P481&lt;&gt;"")+--(S481&lt;&gt;"")+--(V481&lt;&gt;""))/4</x:f>
        <x:v>1</x:v>
      </x:c>
      <x:c r="X481" s="384" t="n">
        <x:f>IF(COUNT(K481,N481,Q481,T481)=0,"No data",(IF(ISNUMBER(K481),K481*Factor_Model!$B$4,0)+IF(ISNUMBER(N481),N481*Factor_Model!$B$5,0)+IF(ISNUMBER(Q481),Q481*Factor_Model!$B$6,0)+IF(ISNUMBER(T481),T481*Factor_Model!$B$7,0))/(IF(ISNUMBER(K481),Factor_Model!$B$4,0)+IF(ISNUMBER(N481),Factor_Model!$B$5,0)+IF(ISNUMBER(Q481),Factor_Model!$B$6,0)+IF(ISNUMBER(T481),Factor_Model!$B$7,0)))</x:f>
        <x:v>1.5</x:v>
      </x:c>
      <x:c r="Y481" s="20" t="str">
        <x:f>IF(W481=0,"No source",IF(W481&lt;1,"Partial source","Source-complete"))</x:f>
        <x:v>Source-complete</x:v>
      </x:c>
      <x:c r="Z481" s="20" t="str">
        <x:v>Automated screening pass: row uses a primary source URL by actor/subfactor; verify with country-specific evidence before final analytical use.</x:v>
      </x:c>
      <x:c r="AA481" s="20" t="str">
        <x:v>2026-05-20</x:v>
      </x:c>
      <x:c r="AB481" s="20" t="str">
        <x:v>GPT-5.5 Pro</x:v>
      </x:c>
    </x:row>
    <x:row r="482" ht="24" customHeight="1">
      <x:c r="A482" s="20" t="str">
        <x:v>VNM|Russia</x:v>
      </x:c>
      <x:c r="B482" s="20" t="str">
        <x:v>Vietnam</x:v>
      </x:c>
      <x:c r="C482" s="20" t="str">
        <x:v>Socialist Republic of Viet Nam</x:v>
      </x:c>
      <x:c r="D482" s="20" t="str">
        <x:v>VN</x:v>
      </x:c>
      <x:c r="E482" s="20" t="str">
        <x:v>VNM</x:v>
      </x:c>
      <x:c r="F482" s="20" t="str">
        <x:v>704</x:v>
      </x:c>
      <x:c r="G482" s="20" t="str">
        <x:v>Asia</x:v>
      </x:c>
      <x:c r="H482" s="20" t="str">
        <x:v>South-Eastern Asia</x:v>
      </x:c>
      <x:c r="I482" s="20" t="str">
        <x:v>Russia</x:v>
      </x:c>
      <x:c r="J482" s="20" t="str">
        <x:v>Russian influence</x:v>
      </x:c>
      <x:c r="K482" s="384" t="n">
        <x:v>2</x:v>
      </x:c>
      <x:c r="L482" s="396" t="n">
        <x:v>2</x:v>
      </x:c>
      <x:c r="M482" s="397" t="str">
        <x:v>https://www.eeas.europa.eu/eeas/4th-eeas-annual-report-foreign-information-manipulation-and-interference-threats_en</x:v>
      </x:c>
      <x:c r="N482" s="384" t="n">
        <x:v>0</x:v>
      </x:c>
      <x:c r="O482" s="396" t="n">
        <x:v>1</x:v>
      </x:c>
      <x:c r="P482" s="397" t="str">
        <x:v>https://www.consilium.europa.eu/en/press/press-releases/2023/02/25/wagner-group-council-adds-11-individuals-and-7-entities-to-eu-sanctions-lists/</x:v>
      </x:c>
      <x:c r="Q482" s="384" t="n">
        <x:v>0</x:v>
      </x:c>
      <x:c r="R482" s="396" t="n">
        <x:v>1</x:v>
      </x:c>
      <x:c r="S482" s="397" t="str">
        <x:v>https://www.dni.gov/files/ODNI/documents/assessments/ATA-2026-Unclassified-Report.pdf</x:v>
      </x:c>
      <x:c r="T482" s="384" t="n">
        <x:v>0</x:v>
      </x:c>
      <x:c r="U482" s="396" t="n">
        <x:v>1</x:v>
      </x:c>
      <x:c r="V482" s="397" t="str">
        <x:v>https://www.consilium.europa.eu/en/press/press-releases/2023/02/25/wagner-group-council-adds-11-individuals-and-7-entities-to-eu-sanctions-lists/</x:v>
      </x:c>
      <x:c r="W482" s="385" t="n">
        <x:f>(--(M482&lt;&gt;"")+--(P482&lt;&gt;"")+--(S482&lt;&gt;"")+--(V482&lt;&gt;""))/4</x:f>
        <x:v>1</x:v>
      </x:c>
      <x:c r="X482" s="384" t="n">
        <x:f>IF(COUNT(K482,N482,Q482,T482)=0,"No data",(IF(ISNUMBER(K482),K482*Factor_Model!$B$4,0)+IF(ISNUMBER(N482),N482*Factor_Model!$B$5,0)+IF(ISNUMBER(Q482),Q482*Factor_Model!$B$6,0)+IF(ISNUMBER(T482),T482*Factor_Model!$B$7,0))/(IF(ISNUMBER(K482),Factor_Model!$B$4,0)+IF(ISNUMBER(N482),Factor_Model!$B$5,0)+IF(ISNUMBER(Q482),Factor_Model!$B$6,0)+IF(ISNUMBER(T482),Factor_Model!$B$7,0)))</x:f>
        <x:v>0.5</x:v>
      </x:c>
      <x:c r="Y482" s="20" t="str">
        <x:f>IF(W482=0,"No source",IF(W482&lt;1,"Partial source","Source-complete"))</x:f>
        <x:v>Source-complete</x:v>
      </x:c>
      <x:c r="Z482" s="20" t="str">
        <x:v>Automated screening pass: row uses a primary source URL by actor/subfactor; verify with country-specific evidence before final analytical use.</x:v>
      </x:c>
      <x:c r="AA482" s="20" t="str">
        <x:v>2026-05-20</x:v>
      </x:c>
      <x:c r="AB482" s="20" t="str">
        <x:v>GPT-5.5 Pro</x:v>
      </x:c>
    </x:row>
    <x:row r="483" ht="24" customHeight="1">
      <x:c r="A483" s="20" t="str">
        <x:v>VNM|China</x:v>
      </x:c>
      <x:c r="B483" s="20" t="str">
        <x:v>Vietnam</x:v>
      </x:c>
      <x:c r="C483" s="20" t="str">
        <x:v>Socialist Republic of Viet Nam</x:v>
      </x:c>
      <x:c r="D483" s="20" t="str">
        <x:v>VN</x:v>
      </x:c>
      <x:c r="E483" s="20" t="str">
        <x:v>VNM</x:v>
      </x:c>
      <x:c r="F483" s="20" t="str">
        <x:v>704</x:v>
      </x:c>
      <x:c r="G483" s="20" t="str">
        <x:v>Asia</x:v>
      </x:c>
      <x:c r="H483" s="20" t="str">
        <x:v>South-Eastern Asia</x:v>
      </x:c>
      <x:c r="I483" s="20" t="str">
        <x:v>China</x:v>
      </x:c>
      <x:c r="J483" s="20" t="str">
        <x:v>Chinese influence</x:v>
      </x:c>
      <x:c r="K483" s="384" t="n">
        <x:v>6</x:v>
      </x:c>
      <x:c r="L483" s="396" t="n">
        <x:v>4</x:v>
      </x:c>
      <x:c r="M483" s="397" t="str">
        <x:v>https://www.eeas.europa.eu/eeas/4th-eeas-annual-report-foreign-information-manipulation-and-interference-threats_en</x:v>
      </x:c>
      <x:c r="N483" s="384" t="n">
        <x:v>1</x:v>
      </x:c>
      <x:c r="O483" s="396" t="n">
        <x:v>2</x:v>
      </x:c>
      <x:c r="P483" s="397" t="str">
        <x:v>https://merics.org/en/report/guardians-belt-and-road</x:v>
      </x:c>
      <x:c r="Q483" s="384" t="n">
        <x:v>4</x:v>
      </x:c>
      <x:c r="R483" s="396" t="n">
        <x:v>3</x:v>
      </x:c>
      <x:c r="S483" s="397" t="str">
        <x:v>https://www.eeas.europa.eu/eeas/4th-eeas-annual-report-foreign-information-manipulation-and-interference-threats_en</x:v>
      </x:c>
      <x:c r="T483" s="384" t="n">
        <x:v>3</x:v>
      </x:c>
      <x:c r="U483" s="396" t="n">
        <x:v>3</x:v>
      </x:c>
      <x:c r="V483" s="397" t="str">
        <x:v>https://merics.org/en/report/guardians-belt-and-road</x:v>
      </x:c>
      <x:c r="W483" s="385" t="n">
        <x:f>(--(M483&lt;&gt;"")+--(P483&lt;&gt;"")+--(S483&lt;&gt;"")+--(V483&lt;&gt;""))/4</x:f>
        <x:v>1</x:v>
      </x:c>
      <x:c r="X483" s="384" t="n">
        <x:f>IF(COUNT(K483,N483,Q483,T483)=0,"No data",(IF(ISNUMBER(K483),K483*Factor_Model!$B$4,0)+IF(ISNUMBER(N483),N483*Factor_Model!$B$5,0)+IF(ISNUMBER(Q483),Q483*Factor_Model!$B$6,0)+IF(ISNUMBER(T483),T483*Factor_Model!$B$7,0))/(IF(ISNUMBER(K483),Factor_Model!$B$4,0)+IF(ISNUMBER(N483),Factor_Model!$B$5,0)+IF(ISNUMBER(Q483),Factor_Model!$B$6,0)+IF(ISNUMBER(T483),Factor_Model!$B$7,0)))</x:f>
        <x:v>3.5</x:v>
      </x:c>
      <x:c r="Y483" s="20" t="str">
        <x:f>IF(W483=0,"No source",IF(W483&lt;1,"Partial source","Source-complete"))</x:f>
        <x:v>Source-complete</x:v>
      </x:c>
      <x:c r="Z483" s="20" t="str">
        <x:v>Automated screening pass: row uses a primary source URL by actor/subfactor; verify with country-specific evidence before final analytical use.</x:v>
      </x:c>
      <x:c r="AA483" s="20" t="str">
        <x:v>2026-05-20</x:v>
      </x:c>
      <x:c r="AB483" s="20" t="str">
        <x:v>GPT-5.5 Pro</x:v>
      </x:c>
    </x:row>
    <x:row r="484" ht="24" customHeight="1">
      <x:c r="A484" s="20" t="str">
        <x:v>VNM|United States</x:v>
      </x:c>
      <x:c r="B484" s="20" t="str">
        <x:v>Vietnam</x:v>
      </x:c>
      <x:c r="C484" s="20" t="str">
        <x:v>Socialist Republic of Viet Nam</x:v>
      </x:c>
      <x:c r="D484" s="20" t="str">
        <x:v>VN</x:v>
      </x:c>
      <x:c r="E484" s="20" t="str">
        <x:v>VNM</x:v>
      </x:c>
      <x:c r="F484" s="20" t="str">
        <x:v>704</x:v>
      </x:c>
      <x:c r="G484" s="20" t="str">
        <x:v>Asia</x:v>
      </x:c>
      <x:c r="H484" s="20" t="str">
        <x:v>South-Eastern Asia</x:v>
      </x:c>
      <x:c r="I484" s="20" t="str">
        <x:v>United States</x:v>
      </x:c>
      <x:c r="J484" s="20" t="str">
        <x:v>American influence</x:v>
      </x:c>
      <x:c r="K484" s="384" t="n">
        <x:v>3</x:v>
      </x:c>
      <x:c r="L484" s="396" t="n">
        <x:v>3</x:v>
      </x:c>
      <x:c r="M484" s="397" t="str">
        <x:v>https://www.usagm.gov/our-work/strategy-and-results/strategic-priorities/research-reports/</x:v>
      </x:c>
      <x:c r="N484" s="384" t="n">
        <x:v>1</x:v>
      </x:c>
      <x:c r="O484" s="396" t="n">
        <x:v>2</x:v>
      </x:c>
      <x:c r="P484" s="397" t="str">
        <x:v>https://internationalpolicy.org/programs/sam/</x:v>
      </x:c>
      <x:c r="Q484" s="384" t="n">
        <x:v>2</x:v>
      </x:c>
      <x:c r="R484" s="396" t="n">
        <x:v>2</x:v>
      </x:c>
      <x:c r="S484" s="397" t="str">
        <x:v>https://www.ned.org/ned-grantmaking/</x:v>
      </x:c>
      <x:c r="T484" s="384" t="n">
        <x:v>2</x:v>
      </x:c>
      <x:c r="U484" s="396" t="n">
        <x:v>2</x:v>
      </x:c>
      <x:c r="V484" s="397" t="str">
        <x:v>https://internationalpolicy.org/programs/sam/</x:v>
      </x:c>
      <x:c r="W484" s="385" t="n">
        <x:f>(--(M484&lt;&gt;"")+--(P484&lt;&gt;"")+--(S484&lt;&gt;"")+--(V484&lt;&gt;""))/4</x:f>
        <x:v>1</x:v>
      </x:c>
      <x:c r="X484" s="384" t="n">
        <x:f>IF(COUNT(K484,N484,Q484,T484)=0,"No data",(IF(ISNUMBER(K484),K484*Factor_Model!$B$4,0)+IF(ISNUMBER(N484),N484*Factor_Model!$B$5,0)+IF(ISNUMBER(Q484),Q484*Factor_Model!$B$6,0)+IF(ISNUMBER(T484),T484*Factor_Model!$B$7,0))/(IF(ISNUMBER(K484),Factor_Model!$B$4,0)+IF(ISNUMBER(N484),Factor_Model!$B$5,0)+IF(ISNUMBER(Q484),Factor_Model!$B$6,0)+IF(ISNUMBER(T484),Factor_Model!$B$7,0)))</x:f>
        <x:v>2</x:v>
      </x:c>
      <x:c r="Y484" s="20" t="str">
        <x:f>IF(W484=0,"No source",IF(W484&lt;1,"Partial source","Source-complete"))</x:f>
        <x:v>Source-complete</x:v>
      </x:c>
      <x:c r="Z484" s="20" t="str">
        <x:v>Automated screening pass: row uses a primary source URL by actor/subfactor; verify with country-specific evidence before final analytical use.</x:v>
      </x:c>
      <x:c r="AA484" s="20" t="str">
        <x:v>2026-05-20</x:v>
      </x:c>
      <x:c r="AB484" s="20" t="str">
        <x:v>GPT-5.5 Pro</x:v>
      </x:c>
    </x:row>
    <x:row r="485" ht="24" customHeight="1">
      <x:c r="A485" s="20" t="str">
        <x:v>VNM|European Union</x:v>
      </x:c>
      <x:c r="B485" s="20" t="str">
        <x:v>Vietnam</x:v>
      </x:c>
      <x:c r="C485" s="20" t="str">
        <x:v>Socialist Republic of Viet Nam</x:v>
      </x:c>
      <x:c r="D485" s="20" t="str">
        <x:v>VN</x:v>
      </x:c>
      <x:c r="E485" s="20" t="str">
        <x:v>VNM</x:v>
      </x:c>
      <x:c r="F485" s="20" t="str">
        <x:v>704</x:v>
      </x:c>
      <x:c r="G485" s="20" t="str">
        <x:v>Asia</x:v>
      </x:c>
      <x:c r="H485" s="20" t="str">
        <x:v>South-Eastern Asia</x:v>
      </x:c>
      <x:c r="I485" s="20" t="str">
        <x:v>European Union</x:v>
      </x:c>
      <x:c r="J485" s="20" t="str">
        <x:v>EU influence</x:v>
      </x:c>
      <x:c r="K485" s="384" t="n">
        <x:v>2</x:v>
      </x:c>
      <x:c r="L485" s="396" t="n">
        <x:v>2</x:v>
      </x:c>
      <x:c r="M485" s="397" t="str">
        <x:v>https://www.eeas.europa.eu/eeas/public-diplomacy_en</x:v>
      </x:c>
      <x:c r="N485" s="384" t="n">
        <x:v>0</x:v>
      </x:c>
      <x:c r="O485" s="396" t="n">
        <x:v>1</x:v>
      </x:c>
      <x:c r="P485" s="397" t="str">
        <x:v>https://www.eeas.europa.eu/eeas/missions-and-operations_en</x:v>
      </x:c>
      <x:c r="Q485" s="384" t="n">
        <x:v>1</x:v>
      </x:c>
      <x:c r="R485" s="396" t="n">
        <x:v>2</x:v>
      </x:c>
      <x:c r="S485" s="397" t="str">
        <x:v>https://www.eeas.europa.eu/eeas/eu-election-observation-missions-1_en?page_lang=en</x:v>
      </x:c>
      <x:c r="T485" s="384" t="n">
        <x:v>2</x:v>
      </x:c>
      <x:c r="U485" s="396" t="n">
        <x:v>2</x:v>
      </x:c>
      <x:c r="V485" s="397" t="str">
        <x:v>https://www.eeas.europa.eu/eeas/missions-and-operations_en</x:v>
      </x:c>
      <x:c r="W485" s="385" t="n">
        <x:f>(--(M485&lt;&gt;"")+--(P485&lt;&gt;"")+--(S485&lt;&gt;"")+--(V485&lt;&gt;""))/4</x:f>
        <x:v>1</x:v>
      </x:c>
      <x:c r="X485" s="384" t="n">
        <x:f>IF(COUNT(K485,N485,Q485,T485)=0,"No data",(IF(ISNUMBER(K485),K485*Factor_Model!$B$4,0)+IF(ISNUMBER(N485),N485*Factor_Model!$B$5,0)+IF(ISNUMBER(Q485),Q485*Factor_Model!$B$6,0)+IF(ISNUMBER(T485),T485*Factor_Model!$B$7,0))/(IF(ISNUMBER(K485),Factor_Model!$B$4,0)+IF(ISNUMBER(N485),Factor_Model!$B$5,0)+IF(ISNUMBER(Q485),Factor_Model!$B$6,0)+IF(ISNUMBER(T485),Factor_Model!$B$7,0)))</x:f>
        <x:v>1.25</x:v>
      </x:c>
      <x:c r="Y485" s="20" t="str">
        <x:f>IF(W485=0,"No source",IF(W485&lt;1,"Partial source","Source-complete"))</x:f>
        <x:v>Source-complete</x:v>
      </x:c>
      <x:c r="Z485" s="20" t="str">
        <x:v>Automated screening pass: row uses a primary source URL by actor/subfactor; verify with country-specific evidence before final analytical use.</x:v>
      </x:c>
      <x:c r="AA485" s="20" t="str">
        <x:v>2026-05-20</x:v>
      </x:c>
      <x:c r="AB485" s="20" t="str">
        <x:v>GPT-5.5 Pro</x:v>
      </x:c>
    </x:row>
    <x:row r="486" ht="24" customHeight="1">
      <x:c r="A486" s="20" t="str">
        <x:v>ESH|Russia</x:v>
      </x:c>
      <x:c r="B486" s="20" t="str">
        <x:v>Western Sahara</x:v>
      </x:c>
      <x:c r="C486" s="20"/>
      <x:c r="D486" s="20" t="str">
        <x:v>EH</x:v>
      </x:c>
      <x:c r="E486" s="20" t="str">
        <x:v>ESH</x:v>
      </x:c>
      <x:c r="F486" s="20" t="str">
        <x:v>732</x:v>
      </x:c>
      <x:c r="G486" s="20" t="str">
        <x:v>Africa</x:v>
      </x:c>
      <x:c r="H486" s="20" t="str">
        <x:v>Northern Africa</x:v>
      </x:c>
      <x:c r="I486" s="20" t="str">
        <x:v>Russia</x:v>
      </x:c>
      <x:c r="J486" s="20" t="str">
        <x:v>Russian influence</x:v>
      </x:c>
      <x:c r="K486" s="384" t="n">
        <x:v>4</x:v>
      </x:c>
      <x:c r="L486" s="396" t="n">
        <x:v>3</x:v>
      </x:c>
      <x:c r="M486" s="397" t="str">
        <x:v>https://www.eeas.europa.eu/eeas/4th-eeas-annual-report-foreign-information-manipulation-and-interference-threats_en</x:v>
      </x:c>
      <x:c r="N486" s="384" t="n">
        <x:v>1</x:v>
      </x:c>
      <x:c r="O486" s="396" t="n">
        <x:v>2</x:v>
      </x:c>
      <x:c r="P486" s="397" t="str">
        <x:v>https://www.consilium.europa.eu/en/press/press-releases/2023/02/25/wagner-group-council-adds-11-individuals-and-7-entities-to-eu-sanctions-lists/</x:v>
      </x:c>
      <x:c r="Q486" s="384" t="n">
        <x:v>1</x:v>
      </x:c>
      <x:c r="R486" s="396" t="n">
        <x:v>2</x:v>
      </x:c>
      <x:c r="S486" s="397" t="str">
        <x:v>https://www.dni.gov/files/ODNI/documents/assessments/ATA-2026-Unclassified-Report.pdf</x:v>
      </x:c>
      <x:c r="T486" s="384" t="n">
        <x:v>1</x:v>
      </x:c>
      <x:c r="U486" s="396" t="n">
        <x:v>2</x:v>
      </x:c>
      <x:c r="V486" s="397" t="str">
        <x:v>https://www.consilium.europa.eu/en/press/press-releases/2023/02/25/wagner-group-council-adds-11-individuals-and-7-entities-to-eu-sanctions-lists/</x:v>
      </x:c>
      <x:c r="W486" s="385" t="n">
        <x:f>(--(M486&lt;&gt;"")+--(P486&lt;&gt;"")+--(S486&lt;&gt;"")+--(V486&lt;&gt;""))/4</x:f>
        <x:v>1</x:v>
      </x:c>
      <x:c r="X486" s="384" t="n">
        <x:f>IF(COUNT(K486,N486,Q486,T486)=0,"No data",(IF(ISNUMBER(K486),K486*Factor_Model!$B$4,0)+IF(ISNUMBER(N486),N486*Factor_Model!$B$5,0)+IF(ISNUMBER(Q486),Q486*Factor_Model!$B$6,0)+IF(ISNUMBER(T486),T486*Factor_Model!$B$7,0))/(IF(ISNUMBER(K486),Factor_Model!$B$4,0)+IF(ISNUMBER(N486),Factor_Model!$B$5,0)+IF(ISNUMBER(Q486),Factor_Model!$B$6,0)+IF(ISNUMBER(T486),Factor_Model!$B$7,0)))</x:f>
        <x:v>1.75</x:v>
      </x:c>
      <x:c r="Y486" s="20" t="str">
        <x:f>IF(W486=0,"No source",IF(W486&lt;1,"Partial source","Source-complete"))</x:f>
        <x:v>Source-complete</x:v>
      </x:c>
      <x:c r="Z486" s="20" t="str">
        <x:v>Automated screening pass: row uses a primary source URL by actor/subfactor; verify with country-specific evidence before final analytical use.</x:v>
      </x:c>
      <x:c r="AA486" s="20" t="str">
        <x:v>2026-05-20</x:v>
      </x:c>
      <x:c r="AB486" s="20" t="str">
        <x:v>GPT-5.5 Pro</x:v>
      </x:c>
    </x:row>
    <x:row r="487" ht="24" customHeight="1">
      <x:c r="A487" s="20" t="str">
        <x:v>ESH|China</x:v>
      </x:c>
      <x:c r="B487" s="20" t="str">
        <x:v>Western Sahara</x:v>
      </x:c>
      <x:c r="C487" s="20"/>
      <x:c r="D487" s="20" t="str">
        <x:v>EH</x:v>
      </x:c>
      <x:c r="E487" s="20" t="str">
        <x:v>ESH</x:v>
      </x:c>
      <x:c r="F487" s="20" t="str">
        <x:v>732</x:v>
      </x:c>
      <x:c r="G487" s="20" t="str">
        <x:v>Africa</x:v>
      </x:c>
      <x:c r="H487" s="20" t="str">
        <x:v>Northern Africa</x:v>
      </x:c>
      <x:c r="I487" s="20" t="str">
        <x:v>China</x:v>
      </x:c>
      <x:c r="J487" s="20" t="str">
        <x:v>Chinese influence</x:v>
      </x:c>
      <x:c r="K487" s="384" t="n">
        <x:v>5</x:v>
      </x:c>
      <x:c r="L487" s="396" t="n">
        <x:v>3</x:v>
      </x:c>
      <x:c r="M487" s="397" t="str">
        <x:v>https://www.eeas.europa.eu/eeas/4th-eeas-annual-report-foreign-information-manipulation-and-interference-threats_en</x:v>
      </x:c>
      <x:c r="N487" s="384" t="n">
        <x:v>1</x:v>
      </x:c>
      <x:c r="O487" s="396" t="n">
        <x:v>2</x:v>
      </x:c>
      <x:c r="P487" s="397" t="str">
        <x:v>https://merics.org/en/report/guardians-belt-and-road</x:v>
      </x:c>
      <x:c r="Q487" s="384" t="n">
        <x:v>1</x:v>
      </x:c>
      <x:c r="R487" s="396" t="n">
        <x:v>2</x:v>
      </x:c>
      <x:c r="S487" s="397" t="str">
        <x:v>https://www.eeas.europa.eu/eeas/4th-eeas-annual-report-foreign-information-manipulation-and-interference-threats_en</x:v>
      </x:c>
      <x:c r="T487" s="384" t="n">
        <x:v>1</x:v>
      </x:c>
      <x:c r="U487" s="396" t="n">
        <x:v>2</x:v>
      </x:c>
      <x:c r="V487" s="397" t="str">
        <x:v>https://merics.org/en/report/guardians-belt-and-road</x:v>
      </x:c>
      <x:c r="W487" s="385" t="n">
        <x:f>(--(M487&lt;&gt;"")+--(P487&lt;&gt;"")+--(S487&lt;&gt;"")+--(V487&lt;&gt;""))/4</x:f>
        <x:v>1</x:v>
      </x:c>
      <x:c r="X487" s="384" t="n">
        <x:f>IF(COUNT(K487,N487,Q487,T487)=0,"No data",(IF(ISNUMBER(K487),K487*Factor_Model!$B$4,0)+IF(ISNUMBER(N487),N487*Factor_Model!$B$5,0)+IF(ISNUMBER(Q487),Q487*Factor_Model!$B$6,0)+IF(ISNUMBER(T487),T487*Factor_Model!$B$7,0))/(IF(ISNUMBER(K487),Factor_Model!$B$4,0)+IF(ISNUMBER(N487),Factor_Model!$B$5,0)+IF(ISNUMBER(Q487),Factor_Model!$B$6,0)+IF(ISNUMBER(T487),Factor_Model!$B$7,0)))</x:f>
        <x:v>2</x:v>
      </x:c>
      <x:c r="Y487" s="20" t="str">
        <x:f>IF(W487=0,"No source",IF(W487&lt;1,"Partial source","Source-complete"))</x:f>
        <x:v>Source-complete</x:v>
      </x:c>
      <x:c r="Z487" s="20" t="str">
        <x:v>Automated screening pass: row uses a primary source URL by actor/subfactor; verify with country-specific evidence before final analytical use.</x:v>
      </x:c>
      <x:c r="AA487" s="20" t="str">
        <x:v>2026-05-20</x:v>
      </x:c>
      <x:c r="AB487" s="20" t="str">
        <x:v>GPT-5.5 Pro</x:v>
      </x:c>
    </x:row>
    <x:row r="488" ht="24" customHeight="1">
      <x:c r="A488" s="20" t="str">
        <x:v>ESH|United States</x:v>
      </x:c>
      <x:c r="B488" s="20" t="str">
        <x:v>Western Sahara</x:v>
      </x:c>
      <x:c r="C488" s="20"/>
      <x:c r="D488" s="20" t="str">
        <x:v>EH</x:v>
      </x:c>
      <x:c r="E488" s="20" t="str">
        <x:v>ESH</x:v>
      </x:c>
      <x:c r="F488" s="20" t="str">
        <x:v>732</x:v>
      </x:c>
      <x:c r="G488" s="20" t="str">
        <x:v>Africa</x:v>
      </x:c>
      <x:c r="H488" s="20" t="str">
        <x:v>Northern Africa</x:v>
      </x:c>
      <x:c r="I488" s="20" t="str">
        <x:v>United States</x:v>
      </x:c>
      <x:c r="J488" s="20" t="str">
        <x:v>American influence</x:v>
      </x:c>
      <x:c r="K488" s="384" t="n">
        <x:v>4</x:v>
      </x:c>
      <x:c r="L488" s="396" t="n">
        <x:v>3</x:v>
      </x:c>
      <x:c r="M488" s="397" t="str">
        <x:v>https://www.usagm.gov/our-work/strategy-and-results/strategic-priorities/research-reports/</x:v>
      </x:c>
      <x:c r="N488" s="384" t="n">
        <x:v>2</x:v>
      </x:c>
      <x:c r="O488" s="396" t="n">
        <x:v>2</x:v>
      </x:c>
      <x:c r="P488" s="397" t="str">
        <x:v>https://internationalpolicy.org/programs/sam/</x:v>
      </x:c>
      <x:c r="Q488" s="384" t="n">
        <x:v>2</x:v>
      </x:c>
      <x:c r="R488" s="396" t="n">
        <x:v>2</x:v>
      </x:c>
      <x:c r="S488" s="397" t="str">
        <x:v>https://www.ned.org/ned-grantmaking/</x:v>
      </x:c>
      <x:c r="T488" s="384" t="n">
        <x:v>3</x:v>
      </x:c>
      <x:c r="U488" s="396" t="n">
        <x:v>3</x:v>
      </x:c>
      <x:c r="V488" s="397" t="str">
        <x:v>https://internationalpolicy.org/programs/sam/</x:v>
      </x:c>
      <x:c r="W488" s="385" t="n">
        <x:f>(--(M488&lt;&gt;"")+--(P488&lt;&gt;"")+--(S488&lt;&gt;"")+--(V488&lt;&gt;""))/4</x:f>
        <x:v>1</x:v>
      </x:c>
      <x:c r="X488" s="384" t="n">
        <x:f>IF(COUNT(K488,N488,Q488,T488)=0,"No data",(IF(ISNUMBER(K488),K488*Factor_Model!$B$4,0)+IF(ISNUMBER(N488),N488*Factor_Model!$B$5,0)+IF(ISNUMBER(Q488),Q488*Factor_Model!$B$6,0)+IF(ISNUMBER(T488),T488*Factor_Model!$B$7,0))/(IF(ISNUMBER(K488),Factor_Model!$B$4,0)+IF(ISNUMBER(N488),Factor_Model!$B$5,0)+IF(ISNUMBER(Q488),Factor_Model!$B$6,0)+IF(ISNUMBER(T488),Factor_Model!$B$7,0)))</x:f>
        <x:v>2.75</x:v>
      </x:c>
      <x:c r="Y488" s="20" t="str">
        <x:f>IF(W488=0,"No source",IF(W488&lt;1,"Partial source","Source-complete"))</x:f>
        <x:v>Source-complete</x:v>
      </x:c>
      <x:c r="Z488" s="20" t="str">
        <x:v>Automated screening pass: row uses a primary source URL by actor/subfactor; verify with country-specific evidence before final analytical use.</x:v>
      </x:c>
      <x:c r="AA488" s="20" t="str">
        <x:v>2026-05-20</x:v>
      </x:c>
      <x:c r="AB488" s="20" t="str">
        <x:v>GPT-5.5 Pro</x:v>
      </x:c>
    </x:row>
    <x:row r="489" ht="24" customHeight="1">
      <x:c r="A489" s="20" t="str">
        <x:v>ESH|European Union</x:v>
      </x:c>
      <x:c r="B489" s="20" t="str">
        <x:v>Western Sahara</x:v>
      </x:c>
      <x:c r="C489" s="20"/>
      <x:c r="D489" s="20" t="str">
        <x:v>EH</x:v>
      </x:c>
      <x:c r="E489" s="20" t="str">
        <x:v>ESH</x:v>
      </x:c>
      <x:c r="F489" s="20" t="str">
        <x:v>732</x:v>
      </x:c>
      <x:c r="G489" s="20" t="str">
        <x:v>Africa</x:v>
      </x:c>
      <x:c r="H489" s="20" t="str">
        <x:v>Northern Africa</x:v>
      </x:c>
      <x:c r="I489" s="20" t="str">
        <x:v>European Union</x:v>
      </x:c>
      <x:c r="J489" s="20" t="str">
        <x:v>EU influence</x:v>
      </x:c>
      <x:c r="K489" s="384" t="n">
        <x:v>3</x:v>
      </x:c>
      <x:c r="L489" s="396" t="n">
        <x:v>3</x:v>
      </x:c>
      <x:c r="M489" s="397" t="str">
        <x:v>https://www.eeas.europa.eu/eeas/public-diplomacy_en</x:v>
      </x:c>
      <x:c r="N489" s="384" t="n">
        <x:v>0</x:v>
      </x:c>
      <x:c r="O489" s="396" t="n">
        <x:v>1</x:v>
      </x:c>
      <x:c r="P489" s="397" t="str">
        <x:v>https://www.eeas.europa.eu/eeas/missions-and-operations_en</x:v>
      </x:c>
      <x:c r="Q489" s="384" t="n">
        <x:v>1</x:v>
      </x:c>
      <x:c r="R489" s="396" t="n">
        <x:v>2</x:v>
      </x:c>
      <x:c r="S489" s="397" t="str">
        <x:v>https://www.eeas.europa.eu/eeas/eu-election-observation-missions-1_en?page_lang=en</x:v>
      </x:c>
      <x:c r="T489" s="384" t="n">
        <x:v>2</x:v>
      </x:c>
      <x:c r="U489" s="396" t="n">
        <x:v>2</x:v>
      </x:c>
      <x:c r="V489" s="397" t="str">
        <x:v>https://www.eeas.europa.eu/eeas/missions-and-operations_en</x:v>
      </x:c>
      <x:c r="W489" s="385" t="n">
        <x:f>(--(M489&lt;&gt;"")+--(P489&lt;&gt;"")+--(S489&lt;&gt;"")+--(V489&lt;&gt;""))/4</x:f>
        <x:v>1</x:v>
      </x:c>
      <x:c r="X489" s="384" t="n">
        <x:f>IF(COUNT(K489,N489,Q489,T489)=0,"No data",(IF(ISNUMBER(K489),K489*Factor_Model!$B$4,0)+IF(ISNUMBER(N489),N489*Factor_Model!$B$5,0)+IF(ISNUMBER(Q489),Q489*Factor_Model!$B$6,0)+IF(ISNUMBER(T489),T489*Factor_Model!$B$7,0))/(IF(ISNUMBER(K489),Factor_Model!$B$4,0)+IF(ISNUMBER(N489),Factor_Model!$B$5,0)+IF(ISNUMBER(Q489),Factor_Model!$B$6,0)+IF(ISNUMBER(T489),Factor_Model!$B$7,0)))</x:f>
        <x:v>1.5</x:v>
      </x:c>
      <x:c r="Y489" s="20" t="str">
        <x:f>IF(W489=0,"No source",IF(W489&lt;1,"Partial source","Source-complete"))</x:f>
        <x:v>Source-complete</x:v>
      </x:c>
      <x:c r="Z489" s="20" t="str">
        <x:v>Automated screening pass: row uses a primary source URL by actor/subfactor; verify with country-specific evidence before final analytical use.</x:v>
      </x:c>
      <x:c r="AA489" s="20" t="str">
        <x:v>2026-05-20</x:v>
      </x:c>
      <x:c r="AB489" s="20" t="str">
        <x:v>GPT-5.5 Pro</x:v>
      </x:c>
    </x:row>
    <x:row r="490" ht="24" customHeight="1">
      <x:c r="A490" s="20" t="str">
        <x:v>ZWE|Russia</x:v>
      </x:c>
      <x:c r="B490" s="20" t="str">
        <x:v>Zimbabwe</x:v>
      </x:c>
      <x:c r="C490" s="20" t="str">
        <x:v>Republic of Zimbabwe</x:v>
      </x:c>
      <x:c r="D490" s="20" t="str">
        <x:v>ZW</x:v>
      </x:c>
      <x:c r="E490" s="20" t="str">
        <x:v>ZWE</x:v>
      </x:c>
      <x:c r="F490" s="20" t="str">
        <x:v>716</x:v>
      </x:c>
      <x:c r="G490" s="20" t="str">
        <x:v>Africa</x:v>
      </x:c>
      <x:c r="H490" s="20" t="str">
        <x:v>Eastern Africa</x:v>
      </x:c>
      <x:c r="I490" s="20" t="str">
        <x:v>Russia</x:v>
      </x:c>
      <x:c r="J490" s="20" t="str">
        <x:v>Russian influence</x:v>
      </x:c>
      <x:c r="K490" s="384" t="n">
        <x:v>5</x:v>
      </x:c>
      <x:c r="L490" s="396" t="n">
        <x:v>3</x:v>
      </x:c>
      <x:c r="M490" s="397" t="str">
        <x:v>https://www.eeas.europa.eu/eeas/4th-eeas-annual-report-foreign-information-manipulation-and-interference-threats_en</x:v>
      </x:c>
      <x:c r="N490" s="384" t="n">
        <x:v>3</x:v>
      </x:c>
      <x:c r="O490" s="396" t="n">
        <x:v>3</x:v>
      </x:c>
      <x:c r="P490" s="397" t="str">
        <x:v>https://www.consilium.europa.eu/en/press/press-releases/2023/02/25/wagner-group-council-adds-11-individuals-and-7-entities-to-eu-sanctions-lists/</x:v>
      </x:c>
      <x:c r="Q490" s="384" t="n">
        <x:v>1</x:v>
      </x:c>
      <x:c r="R490" s="396" t="n">
        <x:v>2</x:v>
      </x:c>
      <x:c r="S490" s="397" t="str">
        <x:v>https://www.dni.gov/files/ODNI/documents/assessments/ATA-2026-Unclassified-Report.pdf</x:v>
      </x:c>
      <x:c r="T490" s="384" t="n">
        <x:v>3</x:v>
      </x:c>
      <x:c r="U490" s="396" t="n">
        <x:v>3</x:v>
      </x:c>
      <x:c r="V490" s="397" t="str">
        <x:v>https://www.consilium.europa.eu/en/press/press-releases/2023/02/25/wagner-group-council-adds-11-individuals-and-7-entities-to-eu-sanctions-lists/</x:v>
      </x:c>
      <x:c r="W490" s="385" t="n">
        <x:f>(--(M490&lt;&gt;"")+--(P490&lt;&gt;"")+--(S490&lt;&gt;"")+--(V490&lt;&gt;""))/4</x:f>
        <x:v>1</x:v>
      </x:c>
      <x:c r="X490" s="384" t="n">
        <x:f>IF(COUNT(K490,N490,Q490,T490)=0,"No data",(IF(ISNUMBER(K490),K490*Factor_Model!$B$4,0)+IF(ISNUMBER(N490),N490*Factor_Model!$B$5,0)+IF(ISNUMBER(Q490),Q490*Factor_Model!$B$6,0)+IF(ISNUMBER(T490),T490*Factor_Model!$B$7,0))/(IF(ISNUMBER(K490),Factor_Model!$B$4,0)+IF(ISNUMBER(N490),Factor_Model!$B$5,0)+IF(ISNUMBER(Q490),Factor_Model!$B$6,0)+IF(ISNUMBER(T490),Factor_Model!$B$7,0)))</x:f>
        <x:v>3</x:v>
      </x:c>
      <x:c r="Y490" s="20" t="str">
        <x:f>IF(W490=0,"No source",IF(W490&lt;1,"Partial source","Source-complete"))</x:f>
        <x:v>Source-complete</x:v>
      </x:c>
      <x:c r="Z490" s="20" t="str">
        <x:v>Automated screening pass: row uses a primary source URL by actor/subfactor; verify with country-specific evidence before final analytical use.</x:v>
      </x:c>
      <x:c r="AA490" s="20" t="str">
        <x:v>2026-05-20</x:v>
      </x:c>
      <x:c r="AB490" s="20" t="str">
        <x:v>GPT-5.5 Pro</x:v>
      </x:c>
    </x:row>
    <x:row r="491" ht="24" customHeight="1">
      <x:c r="A491" s="20" t="str">
        <x:v>ZWE|China</x:v>
      </x:c>
      <x:c r="B491" s="20" t="str">
        <x:v>Zimbabwe</x:v>
      </x:c>
      <x:c r="C491" s="20" t="str">
        <x:v>Republic of Zimbabwe</x:v>
      </x:c>
      <x:c r="D491" s="20" t="str">
        <x:v>ZW</x:v>
      </x:c>
      <x:c r="E491" s="20" t="str">
        <x:v>ZWE</x:v>
      </x:c>
      <x:c r="F491" s="20" t="str">
        <x:v>716</x:v>
      </x:c>
      <x:c r="G491" s="20" t="str">
        <x:v>Africa</x:v>
      </x:c>
      <x:c r="H491" s="20" t="str">
        <x:v>Eastern Africa</x:v>
      </x:c>
      <x:c r="I491" s="20" t="str">
        <x:v>China</x:v>
      </x:c>
      <x:c r="J491" s="20" t="str">
        <x:v>Chinese influence</x:v>
      </x:c>
      <x:c r="K491" s="384" t="n">
        <x:v>5</x:v>
      </x:c>
      <x:c r="L491" s="396" t="n">
        <x:v>3</x:v>
      </x:c>
      <x:c r="M491" s="397" t="str">
        <x:v>https://www.eeas.europa.eu/eeas/4th-eeas-annual-report-foreign-information-manipulation-and-interference-threats_en</x:v>
      </x:c>
      <x:c r="N491" s="384" t="n">
        <x:v>2</x:v>
      </x:c>
      <x:c r="O491" s="396" t="n">
        <x:v>2</x:v>
      </x:c>
      <x:c r="P491" s="397" t="str">
        <x:v>https://merics.org/en/report/guardians-belt-and-road</x:v>
      </x:c>
      <x:c r="Q491" s="384" t="n">
        <x:v>1</x:v>
      </x:c>
      <x:c r="R491" s="396" t="n">
        <x:v>2</x:v>
      </x:c>
      <x:c r="S491" s="397" t="str">
        <x:v>https://www.eeas.europa.eu/eeas/4th-eeas-annual-report-foreign-information-manipulation-and-interference-threats_en</x:v>
      </x:c>
      <x:c r="T491" s="384" t="n">
        <x:v>3</x:v>
      </x:c>
      <x:c r="U491" s="396" t="n">
        <x:v>3</x:v>
      </x:c>
      <x:c r="V491" s="397" t="str">
        <x:v>https://merics.org/en/report/guardians-belt-and-road</x:v>
      </x:c>
      <x:c r="W491" s="385" t="n">
        <x:f>(--(M491&lt;&gt;"")+--(P491&lt;&gt;"")+--(S491&lt;&gt;"")+--(V491&lt;&gt;""))/4</x:f>
        <x:v>1</x:v>
      </x:c>
      <x:c r="X491" s="384" t="n">
        <x:f>IF(COUNT(K491,N491,Q491,T491)=0,"No data",(IF(ISNUMBER(K491),K491*Factor_Model!$B$4,0)+IF(ISNUMBER(N491),N491*Factor_Model!$B$5,0)+IF(ISNUMBER(Q491),Q491*Factor_Model!$B$6,0)+IF(ISNUMBER(T491),T491*Factor_Model!$B$7,0))/(IF(ISNUMBER(K491),Factor_Model!$B$4,0)+IF(ISNUMBER(N491),Factor_Model!$B$5,0)+IF(ISNUMBER(Q491),Factor_Model!$B$6,0)+IF(ISNUMBER(T491),Factor_Model!$B$7,0)))</x:f>
        <x:v>2.75</x:v>
      </x:c>
      <x:c r="Y491" s="20" t="str">
        <x:f>IF(W491=0,"No source",IF(W491&lt;1,"Partial source","Source-complete"))</x:f>
        <x:v>Source-complete</x:v>
      </x:c>
      <x:c r="Z491" s="20" t="str">
        <x:v>Automated screening pass: row uses a primary source URL by actor/subfactor; verify with country-specific evidence before final analytical use.</x:v>
      </x:c>
      <x:c r="AA491" s="20" t="str">
        <x:v>2026-05-20</x:v>
      </x:c>
      <x:c r="AB491" s="20" t="str">
        <x:v>GPT-5.5 Pro</x:v>
      </x:c>
    </x:row>
    <x:row r="492" ht="24" customHeight="1">
      <x:c r="A492" s="20" t="str">
        <x:v>ZWE|United States</x:v>
      </x:c>
      <x:c r="B492" s="20" t="str">
        <x:v>Zimbabwe</x:v>
      </x:c>
      <x:c r="C492" s="20" t="str">
        <x:v>Republic of Zimbabwe</x:v>
      </x:c>
      <x:c r="D492" s="20" t="str">
        <x:v>ZW</x:v>
      </x:c>
      <x:c r="E492" s="20" t="str">
        <x:v>ZWE</x:v>
      </x:c>
      <x:c r="F492" s="20" t="str">
        <x:v>716</x:v>
      </x:c>
      <x:c r="G492" s="20" t="str">
        <x:v>Africa</x:v>
      </x:c>
      <x:c r="H492" s="20" t="str">
        <x:v>Eastern Africa</x:v>
      </x:c>
      <x:c r="I492" s="20" t="str">
        <x:v>United States</x:v>
      </x:c>
      <x:c r="J492" s="20" t="str">
        <x:v>American influence</x:v>
      </x:c>
      <x:c r="K492" s="384" t="n">
        <x:v>4</x:v>
      </x:c>
      <x:c r="L492" s="396" t="n">
        <x:v>3</x:v>
      </x:c>
      <x:c r="M492" s="397" t="str">
        <x:v>https://www.usagm.gov/our-work/strategy-and-results/strategic-priorities/research-reports/</x:v>
      </x:c>
      <x:c r="N492" s="384" t="n">
        <x:v>2</x:v>
      </x:c>
      <x:c r="O492" s="396" t="n">
        <x:v>2</x:v>
      </x:c>
      <x:c r="P492" s="397" t="str">
        <x:v>https://internationalpolicy.org/programs/sam/</x:v>
      </x:c>
      <x:c r="Q492" s="384" t="n">
        <x:v>2</x:v>
      </x:c>
      <x:c r="R492" s="396" t="n">
        <x:v>2</x:v>
      </x:c>
      <x:c r="S492" s="397" t="str">
        <x:v>https://www.ned.org/ned-grantmaking/</x:v>
      </x:c>
      <x:c r="T492" s="384" t="n">
        <x:v>3</x:v>
      </x:c>
      <x:c r="U492" s="396" t="n">
        <x:v>3</x:v>
      </x:c>
      <x:c r="V492" s="397" t="str">
        <x:v>https://internationalpolicy.org/programs/sam/</x:v>
      </x:c>
      <x:c r="W492" s="385" t="n">
        <x:f>(--(M492&lt;&gt;"")+--(P492&lt;&gt;"")+--(S492&lt;&gt;"")+--(V492&lt;&gt;""))/4</x:f>
        <x:v>1</x:v>
      </x:c>
      <x:c r="X492" s="384" t="n">
        <x:f>IF(COUNT(K492,N492,Q492,T492)=0,"No data",(IF(ISNUMBER(K492),K492*Factor_Model!$B$4,0)+IF(ISNUMBER(N492),N492*Factor_Model!$B$5,0)+IF(ISNUMBER(Q492),Q492*Factor_Model!$B$6,0)+IF(ISNUMBER(T492),T492*Factor_Model!$B$7,0))/(IF(ISNUMBER(K492),Factor_Model!$B$4,0)+IF(ISNUMBER(N492),Factor_Model!$B$5,0)+IF(ISNUMBER(Q492),Factor_Model!$B$6,0)+IF(ISNUMBER(T492),Factor_Model!$B$7,0)))</x:f>
        <x:v>2.75</x:v>
      </x:c>
      <x:c r="Y492" s="20" t="str">
        <x:f>IF(W492=0,"No source",IF(W492&lt;1,"Partial source","Source-complete"))</x:f>
        <x:v>Source-complete</x:v>
      </x:c>
      <x:c r="Z492" s="20" t="str">
        <x:v>Automated screening pass: row uses a primary source URL by actor/subfactor; verify with country-specific evidence before final analytical use.</x:v>
      </x:c>
      <x:c r="AA492" s="20" t="str">
        <x:v>2026-05-20</x:v>
      </x:c>
      <x:c r="AB492" s="20" t="str">
        <x:v>GPT-5.5 Pro</x:v>
      </x:c>
    </x:row>
    <x:row r="493" ht="24" customHeight="1">
      <x:c r="A493" s="20" t="str">
        <x:v>ZWE|European Union</x:v>
      </x:c>
      <x:c r="B493" s="20" t="str">
        <x:v>Zimbabwe</x:v>
      </x:c>
      <x:c r="C493" s="20" t="str">
        <x:v>Republic of Zimbabwe</x:v>
      </x:c>
      <x:c r="D493" s="20" t="str">
        <x:v>ZW</x:v>
      </x:c>
      <x:c r="E493" s="20" t="str">
        <x:v>ZWE</x:v>
      </x:c>
      <x:c r="F493" s="20" t="str">
        <x:v>716</x:v>
      </x:c>
      <x:c r="G493" s="20" t="str">
        <x:v>Africa</x:v>
      </x:c>
      <x:c r="H493" s="20" t="str">
        <x:v>Eastern Africa</x:v>
      </x:c>
      <x:c r="I493" s="20" t="str">
        <x:v>European Union</x:v>
      </x:c>
      <x:c r="J493" s="20" t="str">
        <x:v>EU influence</x:v>
      </x:c>
      <x:c r="K493" s="384" t="n">
        <x:v>3</x:v>
      </x:c>
      <x:c r="L493" s="396" t="n">
        <x:v>3</x:v>
      </x:c>
      <x:c r="M493" s="397" t="str">
        <x:v>https://www.eeas.europa.eu/eeas/public-diplomacy_en</x:v>
      </x:c>
      <x:c r="N493" s="384" t="n">
        <x:v>0</x:v>
      </x:c>
      <x:c r="O493" s="396" t="n">
        <x:v>1</x:v>
      </x:c>
      <x:c r="P493" s="397" t="str">
        <x:v>https://www.eeas.europa.eu/eeas/missions-and-operations_en</x:v>
      </x:c>
      <x:c r="Q493" s="384" t="n">
        <x:v>2</x:v>
      </x:c>
      <x:c r="R493" s="396" t="n">
        <x:v>2</x:v>
      </x:c>
      <x:c r="S493" s="397" t="str">
        <x:v>https://www.eeas.europa.eu/eeas/eu-election-observation-missions-1_en?page_lang=en</x:v>
      </x:c>
      <x:c r="T493" s="384" t="n">
        <x:v>2</x:v>
      </x:c>
      <x:c r="U493" s="396" t="n">
        <x:v>2</x:v>
      </x:c>
      <x:c r="V493" s="397" t="str">
        <x:v>https://www.eeas.europa.eu/eeas/missions-and-operations_en</x:v>
      </x:c>
      <x:c r="W493" s="385" t="n">
        <x:f>(--(M493&lt;&gt;"")+--(P493&lt;&gt;"")+--(S493&lt;&gt;"")+--(V493&lt;&gt;""))/4</x:f>
        <x:v>1</x:v>
      </x:c>
      <x:c r="X493" s="384" t="n">
        <x:f>IF(COUNT(K493,N493,Q493,T493)=0,"No data",(IF(ISNUMBER(K493),K493*Factor_Model!$B$4,0)+IF(ISNUMBER(N493),N493*Factor_Model!$B$5,0)+IF(ISNUMBER(Q493),Q493*Factor_Model!$B$6,0)+IF(ISNUMBER(T493),T493*Factor_Model!$B$7,0))/(IF(ISNUMBER(K493),Factor_Model!$B$4,0)+IF(ISNUMBER(N493),Factor_Model!$B$5,0)+IF(ISNUMBER(Q493),Factor_Model!$B$6,0)+IF(ISNUMBER(T493),Factor_Model!$B$7,0)))</x:f>
        <x:v>1.75</x:v>
      </x:c>
      <x:c r="Y493" s="20" t="str">
        <x:f>IF(W493=0,"No source",IF(W493&lt;1,"Partial source","Source-complete"))</x:f>
        <x:v>Source-complete</x:v>
      </x:c>
      <x:c r="Z493" s="20" t="str">
        <x:v>Automated screening pass: row uses a primary source URL by actor/subfactor; verify with country-specific evidence before final analytical use.</x:v>
      </x:c>
      <x:c r="AA493" s="20" t="str">
        <x:v>2026-05-20</x:v>
      </x:c>
      <x:c r="AB493" s="20" t="str">
        <x:v>GPT-5.5 Pro</x:v>
      </x:c>
    </x:row>
    <x:row r="494">
      <x:c r="A494"/>
      <x:c r="B494"/>
      <x:c r="C494"/>
      <x:c r="D494"/>
      <x:c r="E494"/>
      <x:c r="F494"/>
      <x:c r="G494"/>
      <x:c r="H494"/>
      <x:c r="I494"/>
      <x:c r="J494"/>
      <x:c r="K494" s="56"/>
      <x:c r="L494"/>
      <x:c r="M494"/>
      <x:c r="N494" s="56"/>
      <x:c r="O494"/>
      <x:c r="P494"/>
      <x:c r="Q494" s="56"/>
      <x:c r="R494"/>
      <x:c r="S494"/>
      <x:c r="T494" s="56"/>
      <x:c r="U494"/>
      <x:c r="V494"/>
      <x:c r="W494" s="36"/>
      <x:c r="X494" s="56"/>
      <x:c r="Y494"/>
      <x:c r="Z494"/>
      <x:c r="AA494"/>
      <x:c r="AB494"/>
    </x:row>
    <x:row r="495">
      <x:c r="A495"/>
      <x:c r="B495"/>
      <x:c r="C495"/>
      <x:c r="D495"/>
      <x:c r="E495"/>
      <x:c r="F495"/>
      <x:c r="G495"/>
      <x:c r="H495"/>
      <x:c r="I495"/>
      <x:c r="J495"/>
      <x:c r="K495" s="56"/>
      <x:c r="L495"/>
      <x:c r="M495"/>
      <x:c r="N495" s="56"/>
      <x:c r="O495"/>
      <x:c r="P495"/>
      <x:c r="Q495" s="56"/>
      <x:c r="R495"/>
      <x:c r="S495"/>
      <x:c r="T495" s="56"/>
      <x:c r="U495"/>
      <x:c r="V495"/>
      <x:c r="W495" s="36"/>
      <x:c r="X495" s="56"/>
      <x:c r="Y495"/>
      <x:c r="Z495"/>
      <x:c r="AA495"/>
      <x:c r="AB495"/>
    </x:row>
    <x:row r="496">
      <x:c r="A496"/>
      <x:c r="B496"/>
      <x:c r="C496"/>
      <x:c r="D496"/>
      <x:c r="E496"/>
      <x:c r="F496"/>
      <x:c r="G496"/>
      <x:c r="H496"/>
      <x:c r="I496"/>
      <x:c r="J496"/>
      <x:c r="K496" s="56"/>
      <x:c r="L496"/>
      <x:c r="M496"/>
      <x:c r="N496" s="56"/>
      <x:c r="O496"/>
      <x:c r="P496"/>
      <x:c r="Q496" s="56"/>
      <x:c r="R496"/>
      <x:c r="S496"/>
      <x:c r="T496" s="56"/>
      <x:c r="U496"/>
      <x:c r="V496"/>
      <x:c r="W496" s="36"/>
      <x:c r="X496" s="56"/>
      <x:c r="Y496"/>
      <x:c r="Z496"/>
      <x:c r="AA496"/>
      <x:c r="AB496"/>
    </x:row>
    <x:row r="497">
      <x:c r="A497"/>
      <x:c r="B497"/>
      <x:c r="C497"/>
      <x:c r="D497"/>
      <x:c r="E497"/>
      <x:c r="F497"/>
      <x:c r="G497"/>
      <x:c r="H497"/>
      <x:c r="I497"/>
      <x:c r="J497"/>
      <x:c r="K497" s="56"/>
      <x:c r="L497"/>
      <x:c r="M497"/>
      <x:c r="N497" s="56"/>
      <x:c r="O497"/>
      <x:c r="P497"/>
      <x:c r="Q497" s="56"/>
      <x:c r="R497"/>
      <x:c r="S497"/>
      <x:c r="T497" s="56"/>
      <x:c r="U497"/>
      <x:c r="V497"/>
      <x:c r="W497" s="36"/>
      <x:c r="X497" s="56"/>
      <x:c r="Y497"/>
      <x:c r="Z497"/>
      <x:c r="AA497"/>
      <x:c r="AB497"/>
    </x:row>
    <x:row r="498">
      <x:c r="A498"/>
      <x:c r="B498"/>
      <x:c r="C498"/>
      <x:c r="D498"/>
      <x:c r="E498"/>
      <x:c r="F498"/>
      <x:c r="G498"/>
      <x:c r="H498"/>
      <x:c r="I498"/>
      <x:c r="J498"/>
      <x:c r="K498" s="56"/>
      <x:c r="L498"/>
      <x:c r="M498"/>
      <x:c r="N498" s="56"/>
      <x:c r="O498"/>
      <x:c r="P498"/>
      <x:c r="Q498" s="56"/>
      <x:c r="R498"/>
      <x:c r="S498"/>
      <x:c r="T498" s="56"/>
      <x:c r="U498"/>
      <x:c r="V498"/>
      <x:c r="W498" s="36"/>
      <x:c r="X498" s="56"/>
      <x:c r="Y498"/>
      <x:c r="Z498"/>
      <x:c r="AA498"/>
      <x:c r="AB498"/>
    </x:row>
    <x:row r="499">
      <x:c r="A499"/>
      <x:c r="B499"/>
      <x:c r="C499"/>
      <x:c r="D499"/>
      <x:c r="E499"/>
      <x:c r="F499"/>
      <x:c r="G499"/>
      <x:c r="H499"/>
      <x:c r="I499"/>
      <x:c r="J499"/>
      <x:c r="K499" s="56"/>
      <x:c r="L499"/>
      <x:c r="M499"/>
      <x:c r="N499" s="56"/>
      <x:c r="O499"/>
      <x:c r="P499"/>
      <x:c r="Q499" s="56"/>
      <x:c r="R499"/>
      <x:c r="S499"/>
      <x:c r="T499" s="56"/>
      <x:c r="U499"/>
      <x:c r="V499"/>
      <x:c r="W499" s="36"/>
      <x:c r="X499" s="56"/>
      <x:c r="Y499"/>
      <x:c r="Z499"/>
      <x:c r="AA499"/>
      <x:c r="AB499"/>
    </x:row>
    <x:row r="500">
      <x:c r="A500"/>
      <x:c r="B500"/>
      <x:c r="C500"/>
      <x:c r="D500"/>
      <x:c r="E500"/>
      <x:c r="F500"/>
      <x:c r="G500"/>
      <x:c r="H500"/>
      <x:c r="I500"/>
      <x:c r="J500"/>
      <x:c r="K500" s="56"/>
      <x:c r="L500"/>
      <x:c r="M500"/>
      <x:c r="N500" s="56"/>
      <x:c r="O500"/>
      <x:c r="P500"/>
      <x:c r="Q500" s="56"/>
      <x:c r="R500"/>
      <x:c r="S500"/>
      <x:c r="T500" s="56"/>
      <x:c r="U500"/>
      <x:c r="V500"/>
      <x:c r="W500" s="36"/>
      <x:c r="X500" s="56"/>
      <x:c r="Y500"/>
      <x:c r="Z500"/>
      <x:c r="AA500"/>
      <x:c r="AB500"/>
    </x:row>
    <x:row r="501">
      <x:c r="A501"/>
      <x:c r="B501"/>
      <x:c r="C501"/>
      <x:c r="D501"/>
      <x:c r="E501"/>
      <x:c r="F501"/>
      <x:c r="G501"/>
      <x:c r="H501"/>
      <x:c r="I501"/>
      <x:c r="J501"/>
      <x:c r="K501" s="56"/>
      <x:c r="L501"/>
      <x:c r="M501"/>
      <x:c r="N501" s="56"/>
      <x:c r="O501"/>
      <x:c r="P501"/>
      <x:c r="Q501" s="56"/>
      <x:c r="R501"/>
      <x:c r="S501"/>
      <x:c r="T501" s="56"/>
      <x:c r="U501"/>
      <x:c r="V501"/>
      <x:c r="W501" s="36"/>
      <x:c r="X501" s="56"/>
      <x:c r="Y501"/>
      <x:c r="Z501"/>
      <x:c r="AA501"/>
      <x:c r="AB501"/>
    </x:row>
    <x:row r="502">
      <x:c r="A502"/>
      <x:c r="B502"/>
      <x:c r="C502"/>
      <x:c r="D502"/>
      <x:c r="E502"/>
      <x:c r="F502"/>
      <x:c r="G502"/>
      <x:c r="H502"/>
      <x:c r="I502"/>
      <x:c r="J502"/>
      <x:c r="K502" s="56"/>
      <x:c r="L502"/>
      <x:c r="M502"/>
      <x:c r="N502" s="56"/>
      <x:c r="O502"/>
      <x:c r="P502"/>
      <x:c r="Q502" s="56"/>
      <x:c r="R502"/>
      <x:c r="S502"/>
      <x:c r="T502" s="56"/>
      <x:c r="U502"/>
      <x:c r="V502"/>
      <x:c r="W502" s="36"/>
      <x:c r="X502" s="56"/>
      <x:c r="Y502"/>
      <x:c r="Z502"/>
      <x:c r="AA502"/>
      <x:c r="AB502"/>
    </x:row>
    <x:row r="503">
      <x:c r="A503"/>
      <x:c r="B503"/>
      <x:c r="C503"/>
      <x:c r="D503"/>
      <x:c r="E503"/>
      <x:c r="F503"/>
      <x:c r="G503"/>
      <x:c r="H503"/>
      <x:c r="I503"/>
      <x:c r="J503"/>
      <x:c r="K503" s="56"/>
      <x:c r="L503"/>
      <x:c r="M503"/>
      <x:c r="N503" s="56"/>
      <x:c r="O503"/>
      <x:c r="P503"/>
      <x:c r="Q503" s="56"/>
      <x:c r="R503"/>
      <x:c r="S503"/>
      <x:c r="T503" s="56"/>
      <x:c r="U503"/>
      <x:c r="V503"/>
      <x:c r="W503" s="36"/>
      <x:c r="X503" s="56"/>
      <x:c r="Y503"/>
      <x:c r="Z503"/>
      <x:c r="AA503"/>
      <x:c r="AB503"/>
    </x:row>
    <x:row r="504">
      <x:c r="A504"/>
      <x:c r="B504"/>
      <x:c r="C504"/>
      <x:c r="D504"/>
      <x:c r="E504"/>
      <x:c r="F504"/>
      <x:c r="G504"/>
      <x:c r="H504"/>
      <x:c r="I504"/>
      <x:c r="J504"/>
      <x:c r="K504" s="56"/>
      <x:c r="L504"/>
      <x:c r="M504"/>
      <x:c r="N504" s="56"/>
      <x:c r="O504"/>
      <x:c r="P504"/>
      <x:c r="Q504" s="56"/>
      <x:c r="R504"/>
      <x:c r="S504"/>
      <x:c r="T504" s="56"/>
      <x:c r="U504"/>
      <x:c r="V504"/>
      <x:c r="W504" s="36"/>
      <x:c r="X504" s="56"/>
      <x:c r="Y504"/>
      <x:c r="Z504"/>
      <x:c r="AA504"/>
      <x:c r="AB504"/>
    </x:row>
    <x:row r="505">
      <x:c r="A505"/>
      <x:c r="B505"/>
      <x:c r="C505"/>
      <x:c r="D505"/>
      <x:c r="E505"/>
      <x:c r="F505"/>
      <x:c r="G505"/>
      <x:c r="H505"/>
      <x:c r="I505"/>
      <x:c r="J505"/>
      <x:c r="K505" s="56"/>
      <x:c r="L505"/>
      <x:c r="M505"/>
      <x:c r="N505" s="56"/>
      <x:c r="O505"/>
      <x:c r="P505"/>
      <x:c r="Q505" s="56"/>
      <x:c r="R505"/>
      <x:c r="S505"/>
      <x:c r="T505" s="56"/>
      <x:c r="U505"/>
      <x:c r="V505"/>
      <x:c r="W505" s="36"/>
      <x:c r="X505" s="56"/>
      <x:c r="Y505"/>
      <x:c r="Z505"/>
      <x:c r="AA505"/>
      <x:c r="AB505"/>
    </x:row>
    <x:row r="506">
      <x:c r="A506"/>
      <x:c r="B506"/>
      <x:c r="C506"/>
      <x:c r="D506"/>
      <x:c r="E506"/>
      <x:c r="F506"/>
      <x:c r="G506"/>
      <x:c r="H506"/>
      <x:c r="I506"/>
      <x:c r="J506"/>
      <x:c r="K506" s="56"/>
      <x:c r="L506"/>
      <x:c r="M506"/>
      <x:c r="N506" s="56"/>
      <x:c r="O506"/>
      <x:c r="P506"/>
      <x:c r="Q506" s="56"/>
      <x:c r="R506"/>
      <x:c r="S506"/>
      <x:c r="T506" s="56"/>
      <x:c r="U506"/>
      <x:c r="V506"/>
      <x:c r="W506" s="36"/>
      <x:c r="X506" s="56"/>
      <x:c r="Y506"/>
      <x:c r="Z506"/>
      <x:c r="AA506"/>
      <x:c r="AB506"/>
    </x:row>
    <x:row r="507">
      <x:c r="A507"/>
      <x:c r="B507"/>
      <x:c r="C507"/>
      <x:c r="D507"/>
      <x:c r="E507"/>
      <x:c r="F507"/>
      <x:c r="G507"/>
      <x:c r="H507"/>
      <x:c r="I507"/>
      <x:c r="J507"/>
      <x:c r="K507" s="56"/>
      <x:c r="L507"/>
      <x:c r="M507"/>
      <x:c r="N507" s="56"/>
      <x:c r="O507"/>
      <x:c r="P507"/>
      <x:c r="Q507" s="56"/>
      <x:c r="R507"/>
      <x:c r="S507"/>
      <x:c r="T507" s="56"/>
      <x:c r="U507"/>
      <x:c r="V507"/>
      <x:c r="W507" s="36"/>
      <x:c r="X507" s="56"/>
      <x:c r="Y507"/>
      <x:c r="Z507"/>
      <x:c r="AA507"/>
      <x:c r="AB507"/>
    </x:row>
    <x:row r="508">
      <x:c r="A508"/>
      <x:c r="B508"/>
      <x:c r="C508"/>
      <x:c r="D508"/>
      <x:c r="E508"/>
      <x:c r="F508"/>
      <x:c r="G508"/>
      <x:c r="H508"/>
      <x:c r="I508"/>
      <x:c r="J508"/>
      <x:c r="K508" s="56"/>
      <x:c r="L508"/>
      <x:c r="M508"/>
      <x:c r="N508" s="56"/>
      <x:c r="O508"/>
      <x:c r="P508"/>
      <x:c r="Q508" s="56"/>
      <x:c r="R508"/>
      <x:c r="S508"/>
      <x:c r="T508" s="56"/>
      <x:c r="U508"/>
      <x:c r="V508"/>
      <x:c r="W508" s="36"/>
      <x:c r="X508" s="56"/>
      <x:c r="Y508"/>
      <x:c r="Z508"/>
      <x:c r="AA508"/>
      <x:c r="AB508"/>
    </x:row>
    <x:row r="509">
      <x:c r="A509"/>
      <x:c r="B509"/>
      <x:c r="C509"/>
      <x:c r="D509"/>
      <x:c r="E509"/>
      <x:c r="F509"/>
      <x:c r="G509"/>
      <x:c r="H509"/>
      <x:c r="I509"/>
      <x:c r="J509"/>
      <x:c r="K509" s="56"/>
      <x:c r="L509"/>
      <x:c r="M509"/>
      <x:c r="N509" s="56"/>
      <x:c r="O509"/>
      <x:c r="P509"/>
      <x:c r="Q509" s="56"/>
      <x:c r="R509"/>
      <x:c r="S509"/>
      <x:c r="T509" s="56"/>
      <x:c r="U509"/>
      <x:c r="V509"/>
      <x:c r="W509" s="36"/>
      <x:c r="X509" s="56"/>
      <x:c r="Y509"/>
      <x:c r="Z509"/>
      <x:c r="AA509"/>
      <x:c r="AB509"/>
    </x:row>
    <x:row r="510">
      <x:c r="A510"/>
      <x:c r="B510"/>
      <x:c r="C510"/>
      <x:c r="D510"/>
      <x:c r="E510"/>
      <x:c r="F510"/>
      <x:c r="G510"/>
      <x:c r="H510"/>
      <x:c r="I510"/>
      <x:c r="J510"/>
      <x:c r="K510" s="56"/>
      <x:c r="L510"/>
      <x:c r="M510"/>
      <x:c r="N510" s="56"/>
      <x:c r="O510"/>
      <x:c r="P510"/>
      <x:c r="Q510" s="56"/>
      <x:c r="R510"/>
      <x:c r="S510"/>
      <x:c r="T510" s="56"/>
      <x:c r="U510"/>
      <x:c r="V510"/>
      <x:c r="W510" s="36"/>
      <x:c r="X510" s="56"/>
      <x:c r="Y510"/>
      <x:c r="Z510"/>
      <x:c r="AA510"/>
      <x:c r="AB510"/>
    </x:row>
    <x:row r="511">
      <x:c r="A511"/>
      <x:c r="B511"/>
      <x:c r="C511"/>
      <x:c r="D511"/>
      <x:c r="E511"/>
      <x:c r="F511"/>
      <x:c r="G511"/>
      <x:c r="H511"/>
      <x:c r="I511"/>
      <x:c r="J511"/>
      <x:c r="K511" s="56"/>
      <x:c r="L511"/>
      <x:c r="M511"/>
      <x:c r="N511" s="56"/>
      <x:c r="O511"/>
      <x:c r="P511"/>
      <x:c r="Q511" s="56"/>
      <x:c r="R511"/>
      <x:c r="S511"/>
      <x:c r="T511" s="56"/>
      <x:c r="U511"/>
      <x:c r="V511"/>
      <x:c r="W511" s="36"/>
      <x:c r="X511" s="56"/>
      <x:c r="Y511"/>
      <x:c r="Z511"/>
      <x:c r="AA511"/>
      <x:c r="AB511"/>
    </x:row>
    <x:row r="512">
      <x:c r="A512"/>
      <x:c r="B512"/>
      <x:c r="C512"/>
      <x:c r="D512"/>
      <x:c r="E512"/>
      <x:c r="F512"/>
      <x:c r="G512"/>
      <x:c r="H512"/>
      <x:c r="I512"/>
      <x:c r="J512"/>
      <x:c r="K512" s="56"/>
      <x:c r="L512"/>
      <x:c r="M512"/>
      <x:c r="N512" s="56"/>
      <x:c r="O512"/>
      <x:c r="P512"/>
      <x:c r="Q512" s="56"/>
      <x:c r="R512"/>
      <x:c r="S512"/>
      <x:c r="T512" s="56"/>
      <x:c r="U512"/>
      <x:c r="V512"/>
      <x:c r="W512" s="36"/>
      <x:c r="X512" s="56"/>
      <x:c r="Y512"/>
      <x:c r="Z512"/>
      <x:c r="AA512"/>
      <x:c r="AB512"/>
    </x:row>
    <x:row r="513">
      <x:c r="A513"/>
      <x:c r="B513"/>
      <x:c r="C513"/>
      <x:c r="D513"/>
      <x:c r="E513"/>
      <x:c r="F513"/>
      <x:c r="G513"/>
      <x:c r="H513"/>
      <x:c r="I513"/>
      <x:c r="J513"/>
      <x:c r="K513" s="56"/>
      <x:c r="L513"/>
      <x:c r="M513"/>
      <x:c r="N513" s="56"/>
      <x:c r="O513"/>
      <x:c r="P513"/>
      <x:c r="Q513" s="56"/>
      <x:c r="R513"/>
      <x:c r="S513"/>
      <x:c r="T513" s="56"/>
      <x:c r="U513"/>
      <x:c r="V513"/>
      <x:c r="W513" s="36"/>
      <x:c r="X513" s="56"/>
      <x:c r="Y513"/>
      <x:c r="Z513"/>
      <x:c r="AA513"/>
      <x:c r="AB513"/>
    </x:row>
    <x:row r="514">
      <x:c r="A514"/>
      <x:c r="B514"/>
      <x:c r="C514"/>
      <x:c r="D514"/>
      <x:c r="E514"/>
      <x:c r="F514"/>
      <x:c r="G514"/>
      <x:c r="H514"/>
      <x:c r="I514"/>
      <x:c r="J514"/>
      <x:c r="K514" s="56"/>
      <x:c r="L514"/>
      <x:c r="M514"/>
      <x:c r="N514" s="56"/>
      <x:c r="O514"/>
      <x:c r="P514"/>
      <x:c r="Q514" s="56"/>
      <x:c r="R514"/>
      <x:c r="S514"/>
      <x:c r="T514" s="56"/>
      <x:c r="U514"/>
      <x:c r="V514"/>
      <x:c r="W514" s="36"/>
      <x:c r="X514" s="56"/>
      <x:c r="Y514"/>
      <x:c r="Z514"/>
      <x:c r="AA514"/>
      <x:c r="AB514"/>
    </x:row>
    <x:row r="515">
      <x:c r="A515"/>
      <x:c r="B515"/>
      <x:c r="C515"/>
      <x:c r="D515"/>
      <x:c r="E515"/>
      <x:c r="F515"/>
      <x:c r="G515"/>
      <x:c r="H515"/>
      <x:c r="I515"/>
      <x:c r="J515"/>
      <x:c r="K515" s="56"/>
      <x:c r="L515"/>
      <x:c r="M515"/>
      <x:c r="N515" s="56"/>
      <x:c r="O515"/>
      <x:c r="P515"/>
      <x:c r="Q515" s="56"/>
      <x:c r="R515"/>
      <x:c r="S515"/>
      <x:c r="T515" s="56"/>
      <x:c r="U515"/>
      <x:c r="V515"/>
      <x:c r="W515" s="36"/>
      <x:c r="X515" s="56"/>
      <x:c r="Y515"/>
      <x:c r="Z515"/>
      <x:c r="AA515"/>
      <x:c r="AB515"/>
    </x:row>
    <x:row r="516">
      <x:c r="A516"/>
      <x:c r="B516"/>
      <x:c r="C516"/>
      <x:c r="D516"/>
      <x:c r="E516"/>
      <x:c r="F516"/>
      <x:c r="G516"/>
      <x:c r="H516"/>
      <x:c r="I516"/>
      <x:c r="J516"/>
      <x:c r="K516" s="56"/>
      <x:c r="L516"/>
      <x:c r="M516"/>
      <x:c r="N516" s="56"/>
      <x:c r="O516"/>
      <x:c r="P516"/>
      <x:c r="Q516" s="56"/>
      <x:c r="R516"/>
      <x:c r="S516"/>
      <x:c r="T516" s="56"/>
      <x:c r="U516"/>
      <x:c r="V516"/>
      <x:c r="W516" s="36"/>
      <x:c r="X516" s="56"/>
      <x:c r="Y516"/>
      <x:c r="Z516"/>
      <x:c r="AA516"/>
      <x:c r="AB516"/>
    </x:row>
    <x:row r="517">
      <x:c r="A517"/>
      <x:c r="B517"/>
      <x:c r="C517"/>
      <x:c r="D517"/>
      <x:c r="E517"/>
      <x:c r="F517"/>
      <x:c r="G517"/>
      <x:c r="H517"/>
      <x:c r="I517"/>
      <x:c r="J517"/>
      <x:c r="K517" s="56"/>
      <x:c r="L517"/>
      <x:c r="M517"/>
      <x:c r="N517" s="56"/>
      <x:c r="O517"/>
      <x:c r="P517"/>
      <x:c r="Q517" s="56"/>
      <x:c r="R517"/>
      <x:c r="S517"/>
      <x:c r="T517" s="56"/>
      <x:c r="U517"/>
      <x:c r="V517"/>
      <x:c r="W517" s="36"/>
      <x:c r="X517" s="56"/>
      <x:c r="Y517"/>
      <x:c r="Z517"/>
      <x:c r="AA517"/>
      <x:c r="AB517"/>
    </x:row>
    <x:row r="518">
      <x:c r="A518"/>
      <x:c r="B518"/>
      <x:c r="C518"/>
      <x:c r="D518"/>
      <x:c r="E518"/>
      <x:c r="F518"/>
      <x:c r="G518"/>
      <x:c r="H518"/>
      <x:c r="I518"/>
      <x:c r="J518"/>
      <x:c r="K518" s="56"/>
      <x:c r="L518"/>
      <x:c r="M518"/>
      <x:c r="N518" s="56"/>
      <x:c r="O518"/>
      <x:c r="P518"/>
      <x:c r="Q518" s="56"/>
      <x:c r="R518"/>
      <x:c r="S518"/>
      <x:c r="T518" s="56"/>
      <x:c r="U518"/>
      <x:c r="V518"/>
      <x:c r="W518" s="36"/>
      <x:c r="X518" s="56"/>
      <x:c r="Y518"/>
      <x:c r="Z518"/>
      <x:c r="AA518"/>
      <x:c r="AB518"/>
    </x:row>
    <x:row r="519">
      <x:c r="A519"/>
      <x:c r="B519"/>
      <x:c r="C519"/>
      <x:c r="D519"/>
      <x:c r="E519"/>
      <x:c r="F519"/>
      <x:c r="G519"/>
      <x:c r="H519"/>
      <x:c r="I519"/>
      <x:c r="J519"/>
      <x:c r="K519" s="56"/>
      <x:c r="L519"/>
      <x:c r="M519"/>
      <x:c r="N519" s="56"/>
      <x:c r="O519"/>
      <x:c r="P519"/>
      <x:c r="Q519" s="56"/>
      <x:c r="R519"/>
      <x:c r="S519"/>
      <x:c r="T519" s="56"/>
      <x:c r="U519"/>
      <x:c r="V519"/>
      <x:c r="W519" s="36"/>
      <x:c r="X519" s="56"/>
      <x:c r="Y519"/>
      <x:c r="Z519"/>
      <x:c r="AA519"/>
      <x:c r="AB519"/>
    </x:row>
    <x:row r="520">
      <x:c r="A520"/>
      <x:c r="B520"/>
      <x:c r="C520"/>
      <x:c r="D520"/>
      <x:c r="E520"/>
      <x:c r="F520"/>
      <x:c r="G520"/>
      <x:c r="H520"/>
      <x:c r="I520"/>
      <x:c r="J520"/>
      <x:c r="K520" s="56"/>
      <x:c r="L520"/>
      <x:c r="M520"/>
      <x:c r="N520" s="56"/>
      <x:c r="O520"/>
      <x:c r="P520"/>
      <x:c r="Q520" s="56"/>
      <x:c r="R520"/>
      <x:c r="S520"/>
      <x:c r="T520" s="56"/>
      <x:c r="U520"/>
      <x:c r="V520"/>
      <x:c r="W520" s="36"/>
      <x:c r="X520" s="56"/>
      <x:c r="Y520"/>
      <x:c r="Z520"/>
      <x:c r="AA520"/>
      <x:c r="AB520"/>
    </x:row>
    <x:row r="521">
      <x:c r="A521"/>
      <x:c r="B521"/>
      <x:c r="C521"/>
      <x:c r="D521"/>
      <x:c r="E521"/>
      <x:c r="F521"/>
      <x:c r="G521"/>
      <x:c r="H521"/>
      <x:c r="I521"/>
      <x:c r="J521"/>
      <x:c r="K521" s="56"/>
      <x:c r="L521"/>
      <x:c r="M521"/>
      <x:c r="N521" s="56"/>
      <x:c r="O521"/>
      <x:c r="P521"/>
      <x:c r="Q521" s="56"/>
      <x:c r="R521"/>
      <x:c r="S521"/>
      <x:c r="T521" s="56"/>
      <x:c r="U521"/>
      <x:c r="V521"/>
      <x:c r="W521" s="36"/>
      <x:c r="X521" s="56"/>
      <x:c r="Y521"/>
      <x:c r="Z521"/>
      <x:c r="AA521"/>
      <x:c r="AB521"/>
    </x:row>
    <x:row r="522">
      <x:c r="A522"/>
      <x:c r="B522"/>
      <x:c r="C522"/>
      <x:c r="D522"/>
      <x:c r="E522"/>
      <x:c r="F522"/>
      <x:c r="G522"/>
      <x:c r="H522"/>
      <x:c r="I522"/>
      <x:c r="J522"/>
      <x:c r="K522" s="56"/>
      <x:c r="L522"/>
      <x:c r="M522"/>
      <x:c r="N522" s="56"/>
      <x:c r="O522"/>
      <x:c r="P522"/>
      <x:c r="Q522" s="56"/>
      <x:c r="R522"/>
      <x:c r="S522"/>
      <x:c r="T522" s="56"/>
      <x:c r="U522"/>
      <x:c r="V522"/>
      <x:c r="W522" s="36"/>
      <x:c r="X522" s="56"/>
      <x:c r="Y522"/>
      <x:c r="Z522"/>
      <x:c r="AA522"/>
      <x:c r="AB522"/>
    </x:row>
    <x:row r="523">
      <x:c r="A523"/>
      <x:c r="B523"/>
      <x:c r="C523"/>
      <x:c r="D523"/>
      <x:c r="E523"/>
      <x:c r="F523"/>
      <x:c r="G523"/>
      <x:c r="H523"/>
      <x:c r="I523"/>
      <x:c r="J523"/>
      <x:c r="K523" s="56"/>
      <x:c r="L523"/>
      <x:c r="M523"/>
      <x:c r="N523" s="56"/>
      <x:c r="O523"/>
      <x:c r="P523"/>
      <x:c r="Q523" s="56"/>
      <x:c r="R523"/>
      <x:c r="S523"/>
      <x:c r="T523" s="56"/>
      <x:c r="U523"/>
      <x:c r="V523"/>
      <x:c r="W523" s="36"/>
      <x:c r="X523" s="56"/>
      <x:c r="Y523"/>
      <x:c r="Z523"/>
      <x:c r="AA523"/>
      <x:c r="AB523"/>
    </x:row>
    <x:row r="524">
      <x:c r="A524"/>
      <x:c r="B524"/>
      <x:c r="C524"/>
      <x:c r="D524"/>
      <x:c r="E524"/>
      <x:c r="F524"/>
      <x:c r="G524"/>
      <x:c r="H524"/>
      <x:c r="I524"/>
      <x:c r="J524"/>
      <x:c r="K524" s="56"/>
      <x:c r="L524"/>
      <x:c r="M524"/>
      <x:c r="N524" s="56"/>
      <x:c r="O524"/>
      <x:c r="P524"/>
      <x:c r="Q524" s="56"/>
      <x:c r="R524"/>
      <x:c r="S524"/>
      <x:c r="T524" s="56"/>
      <x:c r="U524"/>
      <x:c r="V524"/>
      <x:c r="W524" s="36"/>
      <x:c r="X524" s="56"/>
      <x:c r="Y524"/>
      <x:c r="Z524"/>
      <x:c r="AA524"/>
      <x:c r="AB524"/>
    </x:row>
    <x:row r="525">
      <x:c r="A525"/>
      <x:c r="B525"/>
      <x:c r="C525"/>
      <x:c r="D525"/>
      <x:c r="E525"/>
      <x:c r="F525"/>
      <x:c r="G525"/>
      <x:c r="H525"/>
      <x:c r="I525"/>
      <x:c r="J525"/>
      <x:c r="K525" s="56"/>
      <x:c r="L525"/>
      <x:c r="M525"/>
      <x:c r="N525" s="56"/>
      <x:c r="O525"/>
      <x:c r="P525"/>
      <x:c r="Q525" s="56"/>
      <x:c r="R525"/>
      <x:c r="S525"/>
      <x:c r="T525" s="56"/>
      <x:c r="U525"/>
      <x:c r="V525"/>
      <x:c r="W525" s="36"/>
      <x:c r="X525" s="56"/>
      <x:c r="Y525"/>
      <x:c r="Z525"/>
      <x:c r="AA525"/>
      <x:c r="AB525"/>
    </x:row>
    <x:row r="526">
      <x:c r="A526"/>
      <x:c r="B526"/>
      <x:c r="C526"/>
      <x:c r="D526"/>
      <x:c r="E526"/>
      <x:c r="F526"/>
      <x:c r="G526"/>
      <x:c r="H526"/>
      <x:c r="I526"/>
      <x:c r="J526"/>
      <x:c r="K526" s="56"/>
      <x:c r="L526"/>
      <x:c r="M526"/>
      <x:c r="N526" s="56"/>
      <x:c r="O526"/>
      <x:c r="P526"/>
      <x:c r="Q526" s="56"/>
      <x:c r="R526"/>
      <x:c r="S526"/>
      <x:c r="T526" s="56"/>
      <x:c r="U526"/>
      <x:c r="V526"/>
      <x:c r="W526" s="36"/>
      <x:c r="X526" s="56"/>
      <x:c r="Y526"/>
      <x:c r="Z526"/>
      <x:c r="AA526"/>
      <x:c r="AB526"/>
    </x:row>
    <x:row r="527">
      <x:c r="A527"/>
      <x:c r="B527"/>
      <x:c r="C527"/>
      <x:c r="D527"/>
      <x:c r="E527"/>
      <x:c r="F527"/>
      <x:c r="G527"/>
      <x:c r="H527"/>
      <x:c r="I527"/>
      <x:c r="J527"/>
      <x:c r="K527" s="56"/>
      <x:c r="L527"/>
      <x:c r="M527"/>
      <x:c r="N527" s="56"/>
      <x:c r="O527"/>
      <x:c r="P527"/>
      <x:c r="Q527" s="56"/>
      <x:c r="R527"/>
      <x:c r="S527"/>
      <x:c r="T527" s="56"/>
      <x:c r="U527"/>
      <x:c r="V527"/>
      <x:c r="W527" s="36"/>
      <x:c r="X527" s="56"/>
      <x:c r="Y527"/>
      <x:c r="Z527"/>
      <x:c r="AA527"/>
      <x:c r="AB527"/>
    </x:row>
    <x:row r="528">
      <x:c r="A528"/>
      <x:c r="B528"/>
      <x:c r="C528"/>
      <x:c r="D528"/>
      <x:c r="E528"/>
      <x:c r="F528"/>
      <x:c r="G528"/>
      <x:c r="H528"/>
      <x:c r="I528"/>
      <x:c r="J528"/>
      <x:c r="K528" s="56"/>
      <x:c r="L528"/>
      <x:c r="M528"/>
      <x:c r="N528" s="56"/>
      <x:c r="O528"/>
      <x:c r="P528"/>
      <x:c r="Q528" s="56"/>
      <x:c r="R528"/>
      <x:c r="S528"/>
      <x:c r="T528" s="56"/>
      <x:c r="U528"/>
      <x:c r="V528"/>
      <x:c r="W528" s="36"/>
      <x:c r="X528" s="56"/>
      <x:c r="Y528"/>
      <x:c r="Z528"/>
      <x:c r="AA528"/>
      <x:c r="AB528"/>
    </x:row>
    <x:row r="529">
      <x:c r="A529"/>
      <x:c r="B529"/>
      <x:c r="C529"/>
      <x:c r="D529"/>
      <x:c r="E529"/>
      <x:c r="F529"/>
      <x:c r="G529"/>
      <x:c r="H529"/>
      <x:c r="I529"/>
      <x:c r="J529"/>
      <x:c r="K529" s="56"/>
      <x:c r="L529"/>
      <x:c r="M529"/>
      <x:c r="N529" s="56"/>
      <x:c r="O529"/>
      <x:c r="P529"/>
      <x:c r="Q529" s="56"/>
      <x:c r="R529"/>
      <x:c r="S529"/>
      <x:c r="T529" s="56"/>
      <x:c r="U529"/>
      <x:c r="V529"/>
      <x:c r="W529" s="36"/>
      <x:c r="X529" s="56"/>
      <x:c r="Y529"/>
      <x:c r="Z529"/>
      <x:c r="AA529"/>
      <x:c r="AB529"/>
    </x:row>
    <x:row r="530">
      <x:c r="A530"/>
      <x:c r="B530"/>
      <x:c r="C530"/>
      <x:c r="D530"/>
      <x:c r="E530"/>
      <x:c r="F530"/>
      <x:c r="G530"/>
      <x:c r="H530"/>
      <x:c r="I530"/>
      <x:c r="J530"/>
      <x:c r="K530" s="56"/>
      <x:c r="L530"/>
      <x:c r="M530"/>
      <x:c r="N530" s="56"/>
      <x:c r="O530"/>
      <x:c r="P530"/>
      <x:c r="Q530" s="56"/>
      <x:c r="R530"/>
      <x:c r="S530"/>
      <x:c r="T530" s="56"/>
      <x:c r="U530"/>
      <x:c r="V530"/>
      <x:c r="W530" s="36"/>
      <x:c r="X530" s="56"/>
      <x:c r="Y530"/>
      <x:c r="Z530"/>
      <x:c r="AA530"/>
      <x:c r="AB530"/>
    </x:row>
    <x:row r="531">
      <x:c r="A531"/>
      <x:c r="B531"/>
      <x:c r="C531"/>
      <x:c r="D531"/>
      <x:c r="E531"/>
      <x:c r="F531"/>
      <x:c r="G531"/>
      <x:c r="H531"/>
      <x:c r="I531"/>
      <x:c r="J531"/>
      <x:c r="K531" s="56"/>
      <x:c r="L531"/>
      <x:c r="M531"/>
      <x:c r="N531" s="56"/>
      <x:c r="O531"/>
      <x:c r="P531"/>
      <x:c r="Q531" s="56"/>
      <x:c r="R531"/>
      <x:c r="S531"/>
      <x:c r="T531" s="56"/>
      <x:c r="U531"/>
      <x:c r="V531"/>
      <x:c r="W531" s="36"/>
      <x:c r="X531" s="56"/>
      <x:c r="Y531"/>
      <x:c r="Z531"/>
      <x:c r="AA531"/>
      <x:c r="AB531"/>
    </x:row>
    <x:row r="532">
      <x:c r="A532"/>
      <x:c r="B532"/>
      <x:c r="C532"/>
      <x:c r="D532"/>
      <x:c r="E532"/>
      <x:c r="F532"/>
      <x:c r="G532"/>
      <x:c r="H532"/>
      <x:c r="I532"/>
      <x:c r="J532"/>
      <x:c r="K532" s="56"/>
      <x:c r="L532"/>
      <x:c r="M532"/>
      <x:c r="N532" s="56"/>
      <x:c r="O532"/>
      <x:c r="P532"/>
      <x:c r="Q532" s="56"/>
      <x:c r="R532"/>
      <x:c r="S532"/>
      <x:c r="T532" s="56"/>
      <x:c r="U532"/>
      <x:c r="V532"/>
      <x:c r="W532" s="36"/>
      <x:c r="X532" s="56"/>
      <x:c r="Y532"/>
      <x:c r="Z532"/>
      <x:c r="AA532"/>
      <x:c r="AB532"/>
    </x:row>
    <x:row r="533">
      <x:c r="A533"/>
      <x:c r="B533"/>
      <x:c r="C533"/>
      <x:c r="D533"/>
      <x:c r="E533"/>
      <x:c r="F533"/>
      <x:c r="G533"/>
      <x:c r="H533"/>
      <x:c r="I533"/>
      <x:c r="J533"/>
      <x:c r="K533" s="56"/>
      <x:c r="L533"/>
      <x:c r="M533"/>
      <x:c r="N533" s="56"/>
      <x:c r="O533"/>
      <x:c r="P533"/>
      <x:c r="Q533" s="56"/>
      <x:c r="R533"/>
      <x:c r="S533"/>
      <x:c r="T533" s="56"/>
      <x:c r="U533"/>
      <x:c r="V533"/>
      <x:c r="W533" s="36"/>
      <x:c r="X533" s="56"/>
      <x:c r="Y533"/>
      <x:c r="Z533"/>
      <x:c r="AA533"/>
      <x:c r="AB533"/>
    </x:row>
    <x:row r="534">
      <x:c r="A534"/>
      <x:c r="B534"/>
      <x:c r="C534"/>
      <x:c r="D534"/>
      <x:c r="E534"/>
      <x:c r="F534"/>
      <x:c r="G534"/>
      <x:c r="H534"/>
      <x:c r="I534"/>
      <x:c r="J534"/>
      <x:c r="K534" s="56"/>
      <x:c r="L534"/>
      <x:c r="M534"/>
      <x:c r="N534" s="56"/>
      <x:c r="O534"/>
      <x:c r="P534"/>
      <x:c r="Q534" s="56"/>
      <x:c r="R534"/>
      <x:c r="S534"/>
      <x:c r="T534" s="56"/>
      <x:c r="U534"/>
      <x:c r="V534"/>
      <x:c r="W534" s="36"/>
      <x:c r="X534" s="56"/>
      <x:c r="Y534"/>
      <x:c r="Z534"/>
      <x:c r="AA534"/>
      <x:c r="AB534"/>
    </x:row>
    <x:row r="535">
      <x:c r="A535"/>
      <x:c r="B535"/>
      <x:c r="C535"/>
      <x:c r="D535"/>
      <x:c r="E535"/>
      <x:c r="F535"/>
      <x:c r="G535"/>
      <x:c r="H535"/>
      <x:c r="I535"/>
      <x:c r="J535"/>
      <x:c r="K535" s="56"/>
      <x:c r="L535"/>
      <x:c r="M535"/>
      <x:c r="N535" s="56"/>
      <x:c r="O535"/>
      <x:c r="P535"/>
      <x:c r="Q535" s="56"/>
      <x:c r="R535"/>
      <x:c r="S535"/>
      <x:c r="T535" s="56"/>
      <x:c r="U535"/>
      <x:c r="V535"/>
      <x:c r="W535" s="36"/>
      <x:c r="X535" s="56"/>
      <x:c r="Y535"/>
      <x:c r="Z535"/>
      <x:c r="AA535"/>
      <x:c r="AB535"/>
    </x:row>
    <x:row r="536">
      <x:c r="A536"/>
      <x:c r="B536"/>
      <x:c r="C536"/>
      <x:c r="D536"/>
      <x:c r="E536"/>
      <x:c r="F536"/>
      <x:c r="G536"/>
      <x:c r="H536"/>
      <x:c r="I536"/>
      <x:c r="J536"/>
      <x:c r="K536" s="56"/>
      <x:c r="L536"/>
      <x:c r="M536"/>
      <x:c r="N536" s="56"/>
      <x:c r="O536"/>
      <x:c r="P536"/>
      <x:c r="Q536" s="56"/>
      <x:c r="R536"/>
      <x:c r="S536"/>
      <x:c r="T536" s="56"/>
      <x:c r="U536"/>
      <x:c r="V536"/>
      <x:c r="W536" s="36"/>
      <x:c r="X536" s="56"/>
      <x:c r="Y536"/>
      <x:c r="Z536"/>
      <x:c r="AA536"/>
      <x:c r="AB536"/>
    </x:row>
    <x:row r="537">
      <x:c r="A537"/>
      <x:c r="B537"/>
      <x:c r="C537"/>
      <x:c r="D537"/>
      <x:c r="E537"/>
      <x:c r="F537"/>
      <x:c r="G537"/>
      <x:c r="H537"/>
      <x:c r="I537"/>
      <x:c r="J537"/>
      <x:c r="K537" s="56"/>
      <x:c r="L537"/>
      <x:c r="M537"/>
      <x:c r="N537" s="56"/>
      <x:c r="O537"/>
      <x:c r="P537"/>
      <x:c r="Q537" s="56"/>
      <x:c r="R537"/>
      <x:c r="S537"/>
      <x:c r="T537" s="56"/>
      <x:c r="U537"/>
      <x:c r="V537"/>
      <x:c r="W537" s="36"/>
      <x:c r="X537" s="56"/>
      <x:c r="Y537"/>
      <x:c r="Z537"/>
      <x:c r="AA537"/>
      <x:c r="AB537"/>
    </x:row>
    <x:row r="538">
      <x:c r="A538"/>
      <x:c r="B538"/>
      <x:c r="C538"/>
      <x:c r="D538"/>
      <x:c r="E538"/>
      <x:c r="F538"/>
      <x:c r="G538"/>
      <x:c r="H538"/>
      <x:c r="I538"/>
      <x:c r="J538"/>
      <x:c r="K538" s="56"/>
      <x:c r="L538"/>
      <x:c r="M538"/>
      <x:c r="N538" s="56"/>
      <x:c r="O538"/>
      <x:c r="P538"/>
      <x:c r="Q538" s="56"/>
      <x:c r="R538"/>
      <x:c r="S538"/>
      <x:c r="T538" s="56"/>
      <x:c r="U538"/>
      <x:c r="V538"/>
      <x:c r="W538" s="36"/>
      <x:c r="X538" s="56"/>
      <x:c r="Y538"/>
      <x:c r="Z538"/>
      <x:c r="AA538"/>
      <x:c r="AB538"/>
    </x:row>
    <x:row r="539">
      <x:c r="A539"/>
      <x:c r="B539"/>
      <x:c r="C539"/>
      <x:c r="D539"/>
      <x:c r="E539"/>
      <x:c r="F539"/>
      <x:c r="G539"/>
      <x:c r="H539"/>
      <x:c r="I539"/>
      <x:c r="J539"/>
      <x:c r="K539" s="56"/>
      <x:c r="L539"/>
      <x:c r="M539"/>
      <x:c r="N539" s="56"/>
      <x:c r="O539"/>
      <x:c r="P539"/>
      <x:c r="Q539" s="56"/>
      <x:c r="R539"/>
      <x:c r="S539"/>
      <x:c r="T539" s="56"/>
      <x:c r="U539"/>
      <x:c r="V539"/>
      <x:c r="W539" s="36"/>
      <x:c r="X539" s="56"/>
      <x:c r="Y539"/>
      <x:c r="Z539"/>
      <x:c r="AA539"/>
      <x:c r="AB539"/>
    </x:row>
    <x:row r="540">
      <x:c r="A540"/>
      <x:c r="B540"/>
      <x:c r="C540"/>
      <x:c r="D540"/>
      <x:c r="E540"/>
      <x:c r="F540"/>
      <x:c r="G540"/>
      <x:c r="H540"/>
      <x:c r="I540"/>
      <x:c r="J540"/>
      <x:c r="K540" s="56"/>
      <x:c r="L540"/>
      <x:c r="M540"/>
      <x:c r="N540" s="56"/>
      <x:c r="O540"/>
      <x:c r="P540"/>
      <x:c r="Q540" s="56"/>
      <x:c r="R540"/>
      <x:c r="S540"/>
      <x:c r="T540" s="56"/>
      <x:c r="U540"/>
      <x:c r="V540"/>
      <x:c r="W540" s="36"/>
      <x:c r="X540" s="56"/>
      <x:c r="Y540"/>
      <x:c r="Z540"/>
      <x:c r="AA540"/>
      <x:c r="AB540"/>
    </x:row>
    <x:row r="541">
      <x:c r="A541"/>
      <x:c r="B541"/>
      <x:c r="C541"/>
      <x:c r="D541"/>
      <x:c r="E541"/>
      <x:c r="F541"/>
      <x:c r="G541"/>
      <x:c r="H541"/>
      <x:c r="I541"/>
      <x:c r="J541"/>
      <x:c r="K541" s="56"/>
      <x:c r="L541"/>
      <x:c r="M541"/>
      <x:c r="N541" s="56"/>
      <x:c r="O541"/>
      <x:c r="P541"/>
      <x:c r="Q541" s="56"/>
      <x:c r="R541"/>
      <x:c r="S541"/>
      <x:c r="T541" s="56"/>
      <x:c r="U541"/>
      <x:c r="V541"/>
      <x:c r="W541" s="36"/>
      <x:c r="X541" s="56"/>
      <x:c r="Y541"/>
      <x:c r="Z541"/>
      <x:c r="AA541"/>
      <x:c r="AB541"/>
    </x:row>
    <x:row r="542">
      <x:c r="A542"/>
      <x:c r="B542"/>
      <x:c r="C542"/>
      <x:c r="D542"/>
      <x:c r="E542"/>
      <x:c r="F542"/>
      <x:c r="G542"/>
      <x:c r="H542"/>
      <x:c r="I542"/>
      <x:c r="J542"/>
      <x:c r="K542" s="56"/>
      <x:c r="L542"/>
      <x:c r="M542"/>
      <x:c r="N542" s="56"/>
      <x:c r="O542"/>
      <x:c r="P542"/>
      <x:c r="Q542" s="56"/>
      <x:c r="R542"/>
      <x:c r="S542"/>
      <x:c r="T542" s="56"/>
      <x:c r="U542"/>
      <x:c r="V542"/>
      <x:c r="W542" s="36"/>
      <x:c r="X542" s="56"/>
      <x:c r="Y542"/>
      <x:c r="Z542"/>
      <x:c r="AA542"/>
      <x:c r="AB542"/>
    </x:row>
    <x:row r="543">
      <x:c r="A543"/>
      <x:c r="B543"/>
      <x:c r="C543"/>
      <x:c r="D543"/>
      <x:c r="E543"/>
      <x:c r="F543"/>
      <x:c r="G543"/>
      <x:c r="H543"/>
      <x:c r="I543"/>
      <x:c r="J543"/>
      <x:c r="K543" s="56"/>
      <x:c r="L543"/>
      <x:c r="M543"/>
      <x:c r="N543" s="56"/>
      <x:c r="O543"/>
      <x:c r="P543"/>
      <x:c r="Q543" s="56"/>
      <x:c r="R543"/>
      <x:c r="S543"/>
      <x:c r="T543" s="56"/>
      <x:c r="U543"/>
      <x:c r="V543"/>
      <x:c r="W543" s="36"/>
      <x:c r="X543" s="56"/>
      <x:c r="Y543"/>
      <x:c r="Z543"/>
      <x:c r="AA543"/>
      <x:c r="AB543"/>
    </x:row>
    <x:row r="544">
      <x:c r="A544"/>
      <x:c r="B544"/>
      <x:c r="C544"/>
      <x:c r="D544"/>
      <x:c r="E544"/>
      <x:c r="F544"/>
      <x:c r="G544"/>
      <x:c r="H544"/>
      <x:c r="I544"/>
      <x:c r="J544"/>
      <x:c r="K544" s="56"/>
      <x:c r="L544"/>
      <x:c r="M544"/>
      <x:c r="N544" s="56"/>
      <x:c r="O544"/>
      <x:c r="P544"/>
      <x:c r="Q544" s="56"/>
      <x:c r="R544"/>
      <x:c r="S544"/>
      <x:c r="T544" s="56"/>
      <x:c r="U544"/>
      <x:c r="V544"/>
      <x:c r="W544" s="36"/>
      <x:c r="X544" s="56"/>
      <x:c r="Y544"/>
      <x:c r="Z544"/>
      <x:c r="AA544"/>
      <x:c r="AB544"/>
    </x:row>
    <x:row r="545">
      <x:c r="A545"/>
      <x:c r="B545"/>
      <x:c r="C545"/>
      <x:c r="D545"/>
      <x:c r="E545"/>
      <x:c r="F545"/>
      <x:c r="G545"/>
      <x:c r="H545"/>
      <x:c r="I545"/>
      <x:c r="J545"/>
      <x:c r="K545" s="56"/>
      <x:c r="L545"/>
      <x:c r="M545"/>
      <x:c r="N545" s="56"/>
      <x:c r="O545"/>
      <x:c r="P545"/>
      <x:c r="Q545" s="56"/>
      <x:c r="R545"/>
      <x:c r="S545"/>
      <x:c r="T545" s="56"/>
      <x:c r="U545"/>
      <x:c r="V545"/>
      <x:c r="W545" s="36"/>
      <x:c r="X545" s="56"/>
      <x:c r="Y545"/>
      <x:c r="Z545"/>
      <x:c r="AA545"/>
      <x:c r="AB545"/>
    </x:row>
    <x:row r="546">
      <x:c r="A546"/>
      <x:c r="B546"/>
      <x:c r="C546"/>
      <x:c r="D546"/>
      <x:c r="E546"/>
      <x:c r="F546"/>
      <x:c r="G546"/>
      <x:c r="H546"/>
      <x:c r="I546"/>
      <x:c r="J546"/>
      <x:c r="K546" s="56"/>
      <x:c r="L546"/>
      <x:c r="M546"/>
      <x:c r="N546" s="56"/>
      <x:c r="O546"/>
      <x:c r="P546"/>
      <x:c r="Q546" s="56"/>
      <x:c r="R546"/>
      <x:c r="S546"/>
      <x:c r="T546" s="56"/>
      <x:c r="U546"/>
      <x:c r="V546"/>
      <x:c r="W546" s="36"/>
      <x:c r="X546" s="56"/>
      <x:c r="Y546"/>
      <x:c r="Z546"/>
      <x:c r="AA546"/>
      <x:c r="AB546"/>
    </x:row>
    <x:row r="547">
      <x:c r="A547"/>
      <x:c r="B547"/>
      <x:c r="C547"/>
      <x:c r="D547"/>
      <x:c r="E547"/>
      <x:c r="F547"/>
      <x:c r="G547"/>
      <x:c r="H547"/>
      <x:c r="I547"/>
      <x:c r="J547"/>
      <x:c r="K547" s="56"/>
      <x:c r="L547"/>
      <x:c r="M547"/>
      <x:c r="N547" s="56"/>
      <x:c r="O547"/>
      <x:c r="P547"/>
      <x:c r="Q547" s="56"/>
      <x:c r="R547"/>
      <x:c r="S547"/>
      <x:c r="T547" s="56"/>
      <x:c r="U547"/>
      <x:c r="V547"/>
      <x:c r="W547" s="36"/>
      <x:c r="X547" s="56"/>
      <x:c r="Y547"/>
      <x:c r="Z547"/>
      <x:c r="AA547"/>
      <x:c r="AB547"/>
    </x:row>
    <x:row r="548">
      <x:c r="A548"/>
      <x:c r="B548"/>
      <x:c r="C548"/>
      <x:c r="D548"/>
      <x:c r="E548"/>
      <x:c r="F548"/>
      <x:c r="G548"/>
      <x:c r="H548"/>
      <x:c r="I548"/>
      <x:c r="J548"/>
      <x:c r="K548" s="56"/>
      <x:c r="L548"/>
      <x:c r="M548"/>
      <x:c r="N548" s="56"/>
      <x:c r="O548"/>
      <x:c r="P548"/>
      <x:c r="Q548" s="56"/>
      <x:c r="R548"/>
      <x:c r="S548"/>
      <x:c r="T548" s="56"/>
      <x:c r="U548"/>
      <x:c r="V548"/>
      <x:c r="W548" s="36"/>
      <x:c r="X548" s="56"/>
      <x:c r="Y548"/>
      <x:c r="Z548"/>
      <x:c r="AA548"/>
      <x:c r="AB548"/>
    </x:row>
    <x:row r="549">
      <x:c r="A549"/>
      <x:c r="B549"/>
      <x:c r="C549"/>
      <x:c r="D549"/>
      <x:c r="E549"/>
      <x:c r="F549"/>
      <x:c r="G549"/>
      <x:c r="H549"/>
      <x:c r="I549"/>
      <x:c r="J549"/>
      <x:c r="K549" s="56"/>
      <x:c r="L549"/>
      <x:c r="M549"/>
      <x:c r="N549" s="56"/>
      <x:c r="O549"/>
      <x:c r="P549"/>
      <x:c r="Q549" s="56"/>
      <x:c r="R549"/>
      <x:c r="S549"/>
      <x:c r="T549" s="56"/>
      <x:c r="U549"/>
      <x:c r="V549"/>
      <x:c r="W549" s="36"/>
      <x:c r="X549" s="56"/>
      <x:c r="Y549"/>
      <x:c r="Z549"/>
      <x:c r="AA549"/>
      <x:c r="AB549"/>
    </x:row>
    <x:row r="550">
      <x:c r="A550"/>
      <x:c r="B550"/>
      <x:c r="C550"/>
      <x:c r="D550"/>
      <x:c r="E550"/>
      <x:c r="F550"/>
      <x:c r="G550"/>
      <x:c r="H550"/>
      <x:c r="I550"/>
      <x:c r="J550"/>
      <x:c r="K550" s="56"/>
      <x:c r="L550"/>
      <x:c r="M550"/>
      <x:c r="N550" s="56"/>
      <x:c r="O550"/>
      <x:c r="P550"/>
      <x:c r="Q550" s="56"/>
      <x:c r="R550"/>
      <x:c r="S550"/>
      <x:c r="T550" s="56"/>
      <x:c r="U550"/>
      <x:c r="V550"/>
      <x:c r="W550" s="36"/>
      <x:c r="X550" s="56"/>
      <x:c r="Y550"/>
      <x:c r="Z550"/>
      <x:c r="AA550"/>
      <x:c r="AB550"/>
    </x:row>
    <x:row r="551">
      <x:c r="A551"/>
      <x:c r="B551"/>
      <x:c r="C551"/>
      <x:c r="D551"/>
      <x:c r="E551"/>
      <x:c r="F551"/>
      <x:c r="G551"/>
      <x:c r="H551"/>
      <x:c r="I551"/>
      <x:c r="J551"/>
      <x:c r="K551" s="56"/>
      <x:c r="L551"/>
      <x:c r="M551"/>
      <x:c r="N551" s="56"/>
      <x:c r="O551"/>
      <x:c r="P551"/>
      <x:c r="Q551" s="56"/>
      <x:c r="R551"/>
      <x:c r="S551"/>
      <x:c r="T551" s="56"/>
      <x:c r="U551"/>
      <x:c r="V551"/>
      <x:c r="W551" s="36"/>
      <x:c r="X551" s="56"/>
      <x:c r="Y551"/>
      <x:c r="Z551"/>
      <x:c r="AA551"/>
      <x:c r="AB551"/>
    </x:row>
    <x:row r="552">
      <x:c r="A552"/>
      <x:c r="B552"/>
      <x:c r="C552"/>
      <x:c r="D552"/>
      <x:c r="E552"/>
      <x:c r="F552"/>
      <x:c r="G552"/>
      <x:c r="H552"/>
      <x:c r="I552"/>
      <x:c r="J552"/>
      <x:c r="K552" s="56"/>
      <x:c r="L552"/>
      <x:c r="M552"/>
      <x:c r="N552" s="56"/>
      <x:c r="O552"/>
      <x:c r="P552"/>
      <x:c r="Q552" s="56"/>
      <x:c r="R552"/>
      <x:c r="S552"/>
      <x:c r="T552" s="56"/>
      <x:c r="U552"/>
      <x:c r="V552"/>
      <x:c r="W552" s="36"/>
      <x:c r="X552" s="56"/>
      <x:c r="Y552"/>
      <x:c r="Z552"/>
      <x:c r="AA552"/>
      <x:c r="AB552"/>
    </x:row>
    <x:row r="553">
      <x:c r="A553"/>
      <x:c r="B553"/>
      <x:c r="C553"/>
      <x:c r="D553"/>
      <x:c r="E553"/>
      <x:c r="F553"/>
      <x:c r="G553"/>
      <x:c r="H553"/>
      <x:c r="I553"/>
      <x:c r="J553"/>
      <x:c r="K553" s="56"/>
      <x:c r="L553"/>
      <x:c r="M553"/>
      <x:c r="N553" s="56"/>
      <x:c r="O553"/>
      <x:c r="P553"/>
      <x:c r="Q553" s="56"/>
      <x:c r="R553"/>
      <x:c r="S553"/>
      <x:c r="T553" s="56"/>
      <x:c r="U553"/>
      <x:c r="V553"/>
      <x:c r="W553" s="36"/>
      <x:c r="X553" s="56"/>
      <x:c r="Y553"/>
      <x:c r="Z553"/>
      <x:c r="AA553"/>
      <x:c r="AB553"/>
    </x:row>
    <x:row r="554">
      <x:c r="A554"/>
      <x:c r="B554"/>
      <x:c r="C554"/>
      <x:c r="D554"/>
      <x:c r="E554"/>
      <x:c r="F554"/>
      <x:c r="G554"/>
      <x:c r="H554"/>
      <x:c r="I554"/>
      <x:c r="J554"/>
      <x:c r="K554" s="56"/>
      <x:c r="L554"/>
      <x:c r="M554"/>
      <x:c r="N554" s="56"/>
      <x:c r="O554"/>
      <x:c r="P554"/>
      <x:c r="Q554" s="56"/>
      <x:c r="R554"/>
      <x:c r="S554"/>
      <x:c r="T554" s="56"/>
      <x:c r="U554"/>
      <x:c r="V554"/>
      <x:c r="W554" s="36"/>
      <x:c r="X554" s="56"/>
      <x:c r="Y554"/>
      <x:c r="Z554"/>
      <x:c r="AA554"/>
      <x:c r="AB554"/>
    </x:row>
    <x:row r="555">
      <x:c r="A555"/>
      <x:c r="B555"/>
      <x:c r="C555"/>
      <x:c r="D555"/>
      <x:c r="E555"/>
      <x:c r="F555"/>
      <x:c r="G555"/>
      <x:c r="H555"/>
      <x:c r="I555"/>
      <x:c r="J555"/>
      <x:c r="K555" s="56"/>
      <x:c r="L555"/>
      <x:c r="M555"/>
      <x:c r="N555" s="56"/>
      <x:c r="O555"/>
      <x:c r="P555"/>
      <x:c r="Q555" s="56"/>
      <x:c r="R555"/>
      <x:c r="S555"/>
      <x:c r="T555" s="56"/>
      <x:c r="U555"/>
      <x:c r="V555"/>
      <x:c r="W555" s="36"/>
      <x:c r="X555" s="56"/>
      <x:c r="Y555"/>
      <x:c r="Z555"/>
      <x:c r="AA555"/>
      <x:c r="AB555"/>
    </x:row>
    <x:row r="556">
      <x:c r="A556"/>
      <x:c r="B556"/>
      <x:c r="C556"/>
      <x:c r="D556"/>
      <x:c r="E556"/>
      <x:c r="F556"/>
      <x:c r="G556"/>
      <x:c r="H556"/>
      <x:c r="I556"/>
      <x:c r="J556"/>
      <x:c r="K556" s="56"/>
      <x:c r="L556"/>
      <x:c r="M556"/>
      <x:c r="N556" s="56"/>
      <x:c r="O556"/>
      <x:c r="P556"/>
      <x:c r="Q556" s="56"/>
      <x:c r="R556"/>
      <x:c r="S556"/>
      <x:c r="T556" s="56"/>
      <x:c r="U556"/>
      <x:c r="V556"/>
      <x:c r="W556" s="36"/>
      <x:c r="X556" s="56"/>
      <x:c r="Y556"/>
      <x:c r="Z556"/>
      <x:c r="AA556"/>
      <x:c r="AB556"/>
    </x:row>
    <x:row r="557">
      <x:c r="A557"/>
      <x:c r="B557"/>
      <x:c r="C557"/>
      <x:c r="D557"/>
      <x:c r="E557"/>
      <x:c r="F557"/>
      <x:c r="G557"/>
      <x:c r="H557"/>
      <x:c r="I557"/>
      <x:c r="J557"/>
      <x:c r="K557" s="56"/>
      <x:c r="L557"/>
      <x:c r="M557"/>
      <x:c r="N557" s="56"/>
      <x:c r="O557"/>
      <x:c r="P557"/>
      <x:c r="Q557" s="56"/>
      <x:c r="R557"/>
      <x:c r="S557"/>
      <x:c r="T557" s="56"/>
      <x:c r="U557"/>
      <x:c r="V557"/>
      <x:c r="W557" s="36"/>
      <x:c r="X557" s="56"/>
      <x:c r="Y557"/>
      <x:c r="Z557"/>
      <x:c r="AA557"/>
      <x:c r="AB557"/>
    </x:row>
    <x:row r="558">
      <x:c r="A558"/>
      <x:c r="B558"/>
      <x:c r="C558"/>
      <x:c r="D558"/>
      <x:c r="E558"/>
      <x:c r="F558"/>
      <x:c r="G558"/>
      <x:c r="H558"/>
      <x:c r="I558"/>
      <x:c r="J558"/>
      <x:c r="K558" s="56"/>
      <x:c r="L558"/>
      <x:c r="M558"/>
      <x:c r="N558" s="56"/>
      <x:c r="O558"/>
      <x:c r="P558"/>
      <x:c r="Q558" s="56"/>
      <x:c r="R558"/>
      <x:c r="S558"/>
      <x:c r="T558" s="56"/>
      <x:c r="U558"/>
      <x:c r="V558"/>
      <x:c r="W558" s="36"/>
      <x:c r="X558" s="56"/>
      <x:c r="Y558"/>
      <x:c r="Z558"/>
      <x:c r="AA558"/>
      <x:c r="AB558"/>
    </x:row>
    <x:row r="559">
      <x:c r="A559"/>
      <x:c r="B559"/>
      <x:c r="C559"/>
      <x:c r="D559"/>
      <x:c r="E559"/>
      <x:c r="F559"/>
      <x:c r="G559"/>
      <x:c r="H559"/>
      <x:c r="I559"/>
      <x:c r="J559"/>
      <x:c r="K559" s="56"/>
      <x:c r="L559"/>
      <x:c r="M559"/>
      <x:c r="N559" s="56"/>
      <x:c r="O559"/>
      <x:c r="P559"/>
      <x:c r="Q559" s="56"/>
      <x:c r="R559"/>
      <x:c r="S559"/>
      <x:c r="T559" s="56"/>
      <x:c r="U559"/>
      <x:c r="V559"/>
      <x:c r="W559" s="36"/>
      <x:c r="X559" s="56"/>
      <x:c r="Y559"/>
      <x:c r="Z559"/>
      <x:c r="AA559"/>
      <x:c r="AB559"/>
    </x:row>
    <x:row r="560">
      <x:c r="A560"/>
      <x:c r="B560"/>
      <x:c r="C560"/>
      <x:c r="D560"/>
      <x:c r="E560"/>
      <x:c r="F560"/>
      <x:c r="G560"/>
      <x:c r="H560"/>
      <x:c r="I560"/>
      <x:c r="J560"/>
      <x:c r="K560" s="56"/>
      <x:c r="L560"/>
      <x:c r="M560"/>
      <x:c r="N560" s="56"/>
      <x:c r="O560"/>
      <x:c r="P560"/>
      <x:c r="Q560" s="56"/>
      <x:c r="R560"/>
      <x:c r="S560"/>
      <x:c r="T560" s="56"/>
      <x:c r="U560"/>
      <x:c r="V560"/>
      <x:c r="W560" s="36"/>
      <x:c r="X560" s="56"/>
      <x:c r="Y560"/>
      <x:c r="Z560"/>
      <x:c r="AA560"/>
      <x:c r="AB560"/>
    </x:row>
    <x:row r="561">
      <x:c r="A561"/>
      <x:c r="B561"/>
      <x:c r="C561"/>
      <x:c r="D561"/>
      <x:c r="E561"/>
      <x:c r="F561"/>
      <x:c r="G561"/>
      <x:c r="H561"/>
      <x:c r="I561"/>
      <x:c r="J561"/>
      <x:c r="K561" s="56"/>
      <x:c r="L561"/>
      <x:c r="M561"/>
      <x:c r="N561" s="56"/>
      <x:c r="O561"/>
      <x:c r="P561"/>
      <x:c r="Q561" s="56"/>
      <x:c r="R561"/>
      <x:c r="S561"/>
      <x:c r="T561" s="56"/>
      <x:c r="U561"/>
      <x:c r="V561"/>
      <x:c r="W561" s="36"/>
      <x:c r="X561" s="56"/>
      <x:c r="Y561"/>
      <x:c r="Z561"/>
      <x:c r="AA561"/>
      <x:c r="AB561"/>
    </x:row>
    <x:row r="562">
      <x:c r="A562"/>
      <x:c r="B562"/>
      <x:c r="C562"/>
      <x:c r="D562"/>
      <x:c r="E562"/>
      <x:c r="F562"/>
      <x:c r="G562"/>
      <x:c r="H562"/>
      <x:c r="I562"/>
      <x:c r="J562"/>
      <x:c r="K562" s="56"/>
      <x:c r="L562"/>
      <x:c r="M562"/>
      <x:c r="N562" s="56"/>
      <x:c r="O562"/>
      <x:c r="P562"/>
      <x:c r="Q562" s="56"/>
      <x:c r="R562"/>
      <x:c r="S562"/>
      <x:c r="T562" s="56"/>
      <x:c r="U562"/>
      <x:c r="V562"/>
      <x:c r="W562" s="36"/>
      <x:c r="X562" s="56"/>
      <x:c r="Y562"/>
      <x:c r="Z562"/>
      <x:c r="AA562"/>
      <x:c r="AB562"/>
    </x:row>
    <x:row r="563">
      <x:c r="A563"/>
      <x:c r="B563"/>
      <x:c r="C563"/>
      <x:c r="D563"/>
      <x:c r="E563"/>
      <x:c r="F563"/>
      <x:c r="G563"/>
      <x:c r="H563"/>
      <x:c r="I563"/>
      <x:c r="J563"/>
      <x:c r="K563" s="56"/>
      <x:c r="L563"/>
      <x:c r="M563"/>
      <x:c r="N563" s="56"/>
      <x:c r="O563"/>
      <x:c r="P563"/>
      <x:c r="Q563" s="56"/>
      <x:c r="R563"/>
      <x:c r="S563"/>
      <x:c r="T563" s="56"/>
      <x:c r="U563"/>
      <x:c r="V563"/>
      <x:c r="W563" s="36"/>
      <x:c r="X563" s="56"/>
      <x:c r="Y563"/>
      <x:c r="Z563"/>
      <x:c r="AA563"/>
      <x:c r="AB563"/>
    </x:row>
    <x:row r="564">
      <x:c r="A564"/>
      <x:c r="B564"/>
      <x:c r="C564"/>
      <x:c r="D564"/>
      <x:c r="E564"/>
      <x:c r="F564"/>
      <x:c r="G564"/>
      <x:c r="H564"/>
      <x:c r="I564"/>
      <x:c r="J564"/>
      <x:c r="K564" s="56"/>
      <x:c r="L564"/>
      <x:c r="M564"/>
      <x:c r="N564" s="56"/>
      <x:c r="O564"/>
      <x:c r="P564"/>
      <x:c r="Q564" s="56"/>
      <x:c r="R564"/>
      <x:c r="S564"/>
      <x:c r="T564" s="56"/>
      <x:c r="U564"/>
      <x:c r="V564"/>
      <x:c r="W564" s="36"/>
      <x:c r="X564" s="56"/>
      <x:c r="Y564"/>
      <x:c r="Z564"/>
      <x:c r="AA564"/>
      <x:c r="AB564"/>
    </x:row>
    <x:row r="565">
      <x:c r="A565"/>
      <x:c r="B565"/>
      <x:c r="C565"/>
      <x:c r="D565"/>
      <x:c r="E565"/>
      <x:c r="F565"/>
      <x:c r="G565"/>
      <x:c r="H565"/>
      <x:c r="I565"/>
      <x:c r="J565"/>
      <x:c r="K565" s="56"/>
      <x:c r="L565"/>
      <x:c r="M565"/>
      <x:c r="N565" s="56"/>
      <x:c r="O565"/>
      <x:c r="P565"/>
      <x:c r="Q565" s="56"/>
      <x:c r="R565"/>
      <x:c r="S565"/>
      <x:c r="T565" s="56"/>
      <x:c r="U565"/>
      <x:c r="V565"/>
      <x:c r="W565" s="36"/>
      <x:c r="X565" s="56"/>
      <x:c r="Y565"/>
      <x:c r="Z565"/>
      <x:c r="AA565"/>
      <x:c r="AB565"/>
    </x:row>
    <x:row r="566">
      <x:c r="A566"/>
      <x:c r="B566"/>
      <x:c r="C566"/>
      <x:c r="D566"/>
      <x:c r="E566"/>
      <x:c r="F566"/>
      <x:c r="G566"/>
      <x:c r="H566"/>
      <x:c r="I566"/>
      <x:c r="J566"/>
      <x:c r="K566" s="56"/>
      <x:c r="L566"/>
      <x:c r="M566"/>
      <x:c r="N566" s="56"/>
      <x:c r="O566"/>
      <x:c r="P566"/>
      <x:c r="Q566" s="56"/>
      <x:c r="R566"/>
      <x:c r="S566"/>
      <x:c r="T566" s="56"/>
      <x:c r="U566"/>
      <x:c r="V566"/>
      <x:c r="W566" s="36"/>
      <x:c r="X566" s="56"/>
      <x:c r="Y566"/>
      <x:c r="Z566"/>
      <x:c r="AA566"/>
      <x:c r="AB566"/>
    </x:row>
    <x:row r="567">
      <x:c r="A567"/>
      <x:c r="B567"/>
      <x:c r="C567"/>
      <x:c r="D567"/>
      <x:c r="E567"/>
      <x:c r="F567"/>
      <x:c r="G567"/>
      <x:c r="H567"/>
      <x:c r="I567"/>
      <x:c r="J567"/>
      <x:c r="K567" s="56"/>
      <x:c r="L567"/>
      <x:c r="M567"/>
      <x:c r="N567" s="56"/>
      <x:c r="O567"/>
      <x:c r="P567"/>
      <x:c r="Q567" s="56"/>
      <x:c r="R567"/>
      <x:c r="S567"/>
      <x:c r="T567" s="56"/>
      <x:c r="U567"/>
      <x:c r="V567"/>
      <x:c r="W567" s="36"/>
      <x:c r="X567" s="56"/>
      <x:c r="Y567"/>
      <x:c r="Z567"/>
      <x:c r="AA567"/>
      <x:c r="AB567"/>
    </x:row>
    <x:row r="568">
      <x:c r="A568"/>
      <x:c r="B568"/>
      <x:c r="C568"/>
      <x:c r="D568"/>
      <x:c r="E568"/>
      <x:c r="F568"/>
      <x:c r="G568"/>
      <x:c r="H568"/>
      <x:c r="I568"/>
      <x:c r="J568"/>
      <x:c r="K568" s="56"/>
      <x:c r="L568"/>
      <x:c r="M568"/>
      <x:c r="N568" s="56"/>
      <x:c r="O568"/>
      <x:c r="P568"/>
      <x:c r="Q568" s="56"/>
      <x:c r="R568"/>
      <x:c r="S568"/>
      <x:c r="T568" s="56"/>
      <x:c r="U568"/>
      <x:c r="V568"/>
      <x:c r="W568" s="36"/>
      <x:c r="X568" s="56"/>
      <x:c r="Y568"/>
      <x:c r="Z568"/>
      <x:c r="AA568"/>
      <x:c r="AB568"/>
    </x:row>
    <x:row r="569">
      <x:c r="A569"/>
      <x:c r="B569"/>
      <x:c r="C569"/>
      <x:c r="D569"/>
      <x:c r="E569"/>
      <x:c r="F569"/>
      <x:c r="G569"/>
      <x:c r="H569"/>
      <x:c r="I569"/>
      <x:c r="J569"/>
      <x:c r="K569" s="56"/>
      <x:c r="L569"/>
      <x:c r="M569"/>
      <x:c r="N569" s="56"/>
      <x:c r="O569"/>
      <x:c r="P569"/>
      <x:c r="Q569" s="56"/>
      <x:c r="R569"/>
      <x:c r="S569"/>
      <x:c r="T569" s="56"/>
      <x:c r="U569"/>
      <x:c r="V569"/>
      <x:c r="W569" s="36"/>
      <x:c r="X569" s="56"/>
      <x:c r="Y569"/>
      <x:c r="Z569"/>
      <x:c r="AA569"/>
      <x:c r="AB569"/>
    </x:row>
    <x:row r="570">
      <x:c r="A570"/>
      <x:c r="B570"/>
      <x:c r="C570"/>
      <x:c r="D570"/>
      <x:c r="E570"/>
      <x:c r="F570"/>
      <x:c r="G570"/>
      <x:c r="H570"/>
      <x:c r="I570"/>
      <x:c r="J570"/>
      <x:c r="K570" s="56"/>
      <x:c r="L570"/>
      <x:c r="M570"/>
      <x:c r="N570" s="56"/>
      <x:c r="O570"/>
      <x:c r="P570"/>
      <x:c r="Q570" s="56"/>
      <x:c r="R570"/>
      <x:c r="S570"/>
      <x:c r="T570" s="56"/>
      <x:c r="U570"/>
      <x:c r="V570"/>
      <x:c r="W570" s="36"/>
      <x:c r="X570" s="56"/>
      <x:c r="Y570"/>
      <x:c r="Z570"/>
      <x:c r="AA570"/>
      <x:c r="AB570"/>
    </x:row>
    <x:row r="571">
      <x:c r="A571"/>
      <x:c r="B571"/>
      <x:c r="C571"/>
      <x:c r="D571"/>
      <x:c r="E571"/>
      <x:c r="F571"/>
      <x:c r="G571"/>
      <x:c r="H571"/>
      <x:c r="I571"/>
      <x:c r="J571"/>
      <x:c r="K571" s="56"/>
      <x:c r="L571"/>
      <x:c r="M571"/>
      <x:c r="N571" s="56"/>
      <x:c r="O571"/>
      <x:c r="P571"/>
      <x:c r="Q571" s="56"/>
      <x:c r="R571"/>
      <x:c r="S571"/>
      <x:c r="T571" s="56"/>
      <x:c r="U571"/>
      <x:c r="V571"/>
      <x:c r="W571" s="36"/>
      <x:c r="X571" s="56"/>
      <x:c r="Y571"/>
      <x:c r="Z571"/>
      <x:c r="AA571"/>
      <x:c r="AB571"/>
    </x:row>
    <x:row r="572">
      <x:c r="A572"/>
      <x:c r="B572"/>
      <x:c r="C572"/>
      <x:c r="D572"/>
      <x:c r="E572"/>
      <x:c r="F572"/>
      <x:c r="G572"/>
      <x:c r="H572"/>
      <x:c r="I572"/>
      <x:c r="J572"/>
      <x:c r="K572" s="56"/>
      <x:c r="L572"/>
      <x:c r="M572"/>
      <x:c r="N572" s="56"/>
      <x:c r="O572"/>
      <x:c r="P572"/>
      <x:c r="Q572" s="56"/>
      <x:c r="R572"/>
      <x:c r="S572"/>
      <x:c r="T572" s="56"/>
      <x:c r="U572"/>
      <x:c r="V572"/>
      <x:c r="W572" s="36"/>
      <x:c r="X572" s="56"/>
      <x:c r="Y572"/>
      <x:c r="Z572"/>
      <x:c r="AA572"/>
      <x:c r="AB572"/>
    </x:row>
    <x:row r="573">
      <x:c r="A573"/>
      <x:c r="B573"/>
      <x:c r="C573"/>
      <x:c r="D573"/>
      <x:c r="E573"/>
      <x:c r="F573"/>
      <x:c r="G573"/>
      <x:c r="H573"/>
      <x:c r="I573"/>
      <x:c r="J573"/>
      <x:c r="K573" s="56"/>
      <x:c r="L573"/>
      <x:c r="M573"/>
      <x:c r="N573" s="56"/>
      <x:c r="O573"/>
      <x:c r="P573"/>
      <x:c r="Q573" s="56"/>
      <x:c r="R573"/>
      <x:c r="S573"/>
      <x:c r="T573" s="56"/>
      <x:c r="U573"/>
      <x:c r="V573"/>
      <x:c r="W573" s="36"/>
      <x:c r="X573" s="56"/>
      <x:c r="Y573"/>
      <x:c r="Z573"/>
      <x:c r="AA573"/>
      <x:c r="AB573"/>
    </x:row>
    <x:row r="574">
      <x:c r="A574"/>
      <x:c r="B574"/>
      <x:c r="C574"/>
      <x:c r="D574"/>
      <x:c r="E574"/>
      <x:c r="F574"/>
      <x:c r="G574"/>
      <x:c r="H574"/>
      <x:c r="I574"/>
      <x:c r="J574"/>
      <x:c r="K574" s="56"/>
      <x:c r="L574"/>
      <x:c r="M574"/>
      <x:c r="N574" s="56"/>
      <x:c r="O574"/>
      <x:c r="P574"/>
      <x:c r="Q574" s="56"/>
      <x:c r="R574"/>
      <x:c r="S574"/>
      <x:c r="T574" s="56"/>
      <x:c r="U574"/>
      <x:c r="V574"/>
      <x:c r="W574" s="36"/>
      <x:c r="X574" s="56"/>
      <x:c r="Y574"/>
      <x:c r="Z574"/>
      <x:c r="AA574"/>
      <x:c r="AB574"/>
    </x:row>
    <x:row r="575">
      <x:c r="A575"/>
      <x:c r="B575"/>
      <x:c r="C575"/>
      <x:c r="D575"/>
      <x:c r="E575"/>
      <x:c r="F575"/>
      <x:c r="G575"/>
      <x:c r="H575"/>
      <x:c r="I575"/>
      <x:c r="J575"/>
      <x:c r="K575" s="56"/>
      <x:c r="L575"/>
      <x:c r="M575"/>
      <x:c r="N575" s="56"/>
      <x:c r="O575"/>
      <x:c r="P575"/>
      <x:c r="Q575" s="56"/>
      <x:c r="R575"/>
      <x:c r="S575"/>
      <x:c r="T575" s="56"/>
      <x:c r="U575"/>
      <x:c r="V575"/>
      <x:c r="W575" s="36"/>
      <x:c r="X575" s="56"/>
      <x:c r="Y575"/>
      <x:c r="Z575"/>
      <x:c r="AA575"/>
      <x:c r="AB575"/>
    </x:row>
    <x:row r="576">
      <x:c r="A576"/>
      <x:c r="B576"/>
      <x:c r="C576"/>
      <x:c r="D576"/>
      <x:c r="E576"/>
      <x:c r="F576"/>
      <x:c r="G576"/>
      <x:c r="H576"/>
      <x:c r="I576"/>
      <x:c r="J576"/>
      <x:c r="K576" s="56"/>
      <x:c r="L576"/>
      <x:c r="M576"/>
      <x:c r="N576" s="56"/>
      <x:c r="O576"/>
      <x:c r="P576"/>
      <x:c r="Q576" s="56"/>
      <x:c r="R576"/>
      <x:c r="S576"/>
      <x:c r="T576" s="56"/>
      <x:c r="U576"/>
      <x:c r="V576"/>
      <x:c r="W576" s="36"/>
      <x:c r="X576" s="56"/>
      <x:c r="Y576"/>
      <x:c r="Z576"/>
      <x:c r="AA576"/>
      <x:c r="AB576"/>
    </x:row>
    <x:row r="577">
      <x:c r="A577"/>
      <x:c r="B577"/>
      <x:c r="C577"/>
      <x:c r="D577"/>
      <x:c r="E577"/>
      <x:c r="F577"/>
      <x:c r="G577"/>
      <x:c r="H577"/>
      <x:c r="I577"/>
      <x:c r="J577"/>
      <x:c r="K577" s="56"/>
      <x:c r="L577"/>
      <x:c r="M577"/>
      <x:c r="N577" s="56"/>
      <x:c r="O577"/>
      <x:c r="P577"/>
      <x:c r="Q577" s="56"/>
      <x:c r="R577"/>
      <x:c r="S577"/>
      <x:c r="T577" s="56"/>
      <x:c r="U577"/>
      <x:c r="V577"/>
      <x:c r="W577" s="36"/>
      <x:c r="X577" s="56"/>
      <x:c r="Y577"/>
      <x:c r="Z577"/>
      <x:c r="AA577"/>
      <x:c r="AB577"/>
    </x:row>
    <x:row r="578">
      <x:c r="A578"/>
      <x:c r="B578"/>
      <x:c r="C578"/>
      <x:c r="D578"/>
      <x:c r="E578"/>
      <x:c r="F578"/>
      <x:c r="G578"/>
      <x:c r="H578"/>
      <x:c r="I578"/>
      <x:c r="J578"/>
      <x:c r="K578" s="56"/>
      <x:c r="L578"/>
      <x:c r="M578"/>
      <x:c r="N578" s="56"/>
      <x:c r="O578"/>
      <x:c r="P578"/>
      <x:c r="Q578" s="56"/>
      <x:c r="R578"/>
      <x:c r="S578"/>
      <x:c r="T578" s="56"/>
      <x:c r="U578"/>
      <x:c r="V578"/>
      <x:c r="W578" s="36"/>
      <x:c r="X578" s="56"/>
      <x:c r="Y578"/>
      <x:c r="Z578"/>
      <x:c r="AA578"/>
      <x:c r="AB578"/>
    </x:row>
    <x:row r="579">
      <x:c r="A579"/>
      <x:c r="B579"/>
      <x:c r="C579"/>
      <x:c r="D579"/>
      <x:c r="E579"/>
      <x:c r="F579"/>
      <x:c r="G579"/>
      <x:c r="H579"/>
      <x:c r="I579"/>
      <x:c r="J579"/>
      <x:c r="K579" s="56"/>
      <x:c r="L579"/>
      <x:c r="M579"/>
      <x:c r="N579" s="56"/>
      <x:c r="O579"/>
      <x:c r="P579"/>
      <x:c r="Q579" s="56"/>
      <x:c r="R579"/>
      <x:c r="S579"/>
      <x:c r="T579" s="56"/>
      <x:c r="U579"/>
      <x:c r="V579"/>
      <x:c r="W579" s="36"/>
      <x:c r="X579" s="56"/>
      <x:c r="Y579"/>
      <x:c r="Z579"/>
      <x:c r="AA579"/>
      <x:c r="AB579"/>
    </x:row>
    <x:row r="580">
      <x:c r="A580"/>
      <x:c r="B580"/>
      <x:c r="C580"/>
      <x:c r="D580"/>
      <x:c r="E580"/>
      <x:c r="F580"/>
      <x:c r="G580"/>
      <x:c r="H580"/>
      <x:c r="I580"/>
      <x:c r="J580"/>
      <x:c r="K580" s="56"/>
      <x:c r="L580"/>
      <x:c r="M580"/>
      <x:c r="N580" s="56"/>
      <x:c r="O580"/>
      <x:c r="P580"/>
      <x:c r="Q580" s="56"/>
      <x:c r="R580"/>
      <x:c r="S580"/>
      <x:c r="T580" s="56"/>
      <x:c r="U580"/>
      <x:c r="V580"/>
      <x:c r="W580" s="36"/>
      <x:c r="X580" s="56"/>
      <x:c r="Y580"/>
      <x:c r="Z580"/>
      <x:c r="AA580"/>
      <x:c r="AB580"/>
    </x:row>
    <x:row r="581">
      <x:c r="A581"/>
      <x:c r="B581"/>
      <x:c r="C581"/>
      <x:c r="D581"/>
      <x:c r="E581"/>
      <x:c r="F581"/>
      <x:c r="G581"/>
      <x:c r="H581"/>
      <x:c r="I581"/>
      <x:c r="J581"/>
      <x:c r="K581" s="56"/>
      <x:c r="L581"/>
      <x:c r="M581"/>
      <x:c r="N581" s="56"/>
      <x:c r="O581"/>
      <x:c r="P581"/>
      <x:c r="Q581" s="56"/>
      <x:c r="R581"/>
      <x:c r="S581"/>
      <x:c r="T581" s="56"/>
      <x:c r="U581"/>
      <x:c r="V581"/>
      <x:c r="W581" s="36"/>
      <x:c r="X581" s="56"/>
      <x:c r="Y581"/>
      <x:c r="Z581"/>
      <x:c r="AA581"/>
      <x:c r="AB581"/>
    </x:row>
    <x:row r="582">
      <x:c r="A582"/>
      <x:c r="B582"/>
      <x:c r="C582"/>
      <x:c r="D582"/>
      <x:c r="E582"/>
      <x:c r="F582"/>
      <x:c r="G582"/>
      <x:c r="H582"/>
      <x:c r="I582"/>
      <x:c r="J582"/>
      <x:c r="K582" s="56"/>
      <x:c r="L582"/>
      <x:c r="M582"/>
      <x:c r="N582" s="56"/>
      <x:c r="O582"/>
      <x:c r="P582"/>
      <x:c r="Q582" s="56"/>
      <x:c r="R582"/>
      <x:c r="S582"/>
      <x:c r="T582" s="56"/>
      <x:c r="U582"/>
      <x:c r="V582"/>
      <x:c r="W582" s="36"/>
      <x:c r="X582" s="56"/>
      <x:c r="Y582"/>
      <x:c r="Z582"/>
      <x:c r="AA582"/>
      <x:c r="AB582"/>
    </x:row>
    <x:row r="583">
      <x:c r="A583"/>
      <x:c r="B583"/>
      <x:c r="C583"/>
      <x:c r="D583"/>
      <x:c r="E583"/>
      <x:c r="F583"/>
      <x:c r="G583"/>
      <x:c r="H583"/>
      <x:c r="I583"/>
      <x:c r="J583"/>
      <x:c r="K583" s="56"/>
      <x:c r="L583"/>
      <x:c r="M583"/>
      <x:c r="N583" s="56"/>
      <x:c r="O583"/>
      <x:c r="P583"/>
      <x:c r="Q583" s="56"/>
      <x:c r="R583"/>
      <x:c r="S583"/>
      <x:c r="T583" s="56"/>
      <x:c r="U583"/>
      <x:c r="V583"/>
      <x:c r="W583" s="36"/>
      <x:c r="X583" s="56"/>
      <x:c r="Y583"/>
      <x:c r="Z583"/>
      <x:c r="AA583"/>
      <x:c r="AB583"/>
    </x:row>
    <x:row r="584">
      <x:c r="A584"/>
      <x:c r="B584"/>
      <x:c r="C584"/>
      <x:c r="D584"/>
      <x:c r="E584"/>
      <x:c r="F584"/>
      <x:c r="G584"/>
      <x:c r="H584"/>
      <x:c r="I584"/>
      <x:c r="J584"/>
      <x:c r="K584" s="56"/>
      <x:c r="L584"/>
      <x:c r="M584"/>
      <x:c r="N584" s="56"/>
      <x:c r="O584"/>
      <x:c r="P584"/>
      <x:c r="Q584" s="56"/>
      <x:c r="R584"/>
      <x:c r="S584"/>
      <x:c r="T584" s="56"/>
      <x:c r="U584"/>
      <x:c r="V584"/>
      <x:c r="W584" s="36"/>
      <x:c r="X584" s="56"/>
      <x:c r="Y584"/>
      <x:c r="Z584"/>
      <x:c r="AA584"/>
      <x:c r="AB584"/>
    </x:row>
    <x:row r="585">
      <x:c r="A585"/>
      <x:c r="B585"/>
      <x:c r="C585"/>
      <x:c r="D585"/>
      <x:c r="E585"/>
      <x:c r="F585"/>
      <x:c r="G585"/>
      <x:c r="H585"/>
      <x:c r="I585"/>
      <x:c r="J585"/>
      <x:c r="K585" s="56"/>
      <x:c r="L585"/>
      <x:c r="M585"/>
      <x:c r="N585" s="56"/>
      <x:c r="O585"/>
      <x:c r="P585"/>
      <x:c r="Q585" s="56"/>
      <x:c r="R585"/>
      <x:c r="S585"/>
      <x:c r="T585" s="56"/>
      <x:c r="U585"/>
      <x:c r="V585"/>
      <x:c r="W585" s="36"/>
      <x:c r="X585" s="56"/>
      <x:c r="Y585"/>
      <x:c r="Z585"/>
      <x:c r="AA585"/>
      <x:c r="AB585"/>
    </x:row>
    <x:row r="586">
      <x:c r="A586"/>
      <x:c r="B586"/>
      <x:c r="C586"/>
      <x:c r="D586"/>
      <x:c r="E586"/>
      <x:c r="F586"/>
      <x:c r="G586"/>
      <x:c r="H586"/>
      <x:c r="I586"/>
      <x:c r="J586"/>
      <x:c r="K586" s="56"/>
      <x:c r="L586"/>
      <x:c r="M586"/>
      <x:c r="N586" s="56"/>
      <x:c r="O586"/>
      <x:c r="P586"/>
      <x:c r="Q586" s="56"/>
      <x:c r="R586"/>
      <x:c r="S586"/>
      <x:c r="T586" s="56"/>
      <x:c r="U586"/>
      <x:c r="V586"/>
      <x:c r="W586" s="36"/>
      <x:c r="X586" s="56"/>
      <x:c r="Y586"/>
      <x:c r="Z586"/>
      <x:c r="AA586"/>
      <x:c r="AB586"/>
    </x:row>
    <x:row r="587">
      <x:c r="A587"/>
      <x:c r="B587"/>
      <x:c r="C587"/>
      <x:c r="D587"/>
      <x:c r="E587"/>
      <x:c r="F587"/>
      <x:c r="G587"/>
      <x:c r="H587"/>
      <x:c r="I587"/>
      <x:c r="J587"/>
      <x:c r="K587" s="56"/>
      <x:c r="L587"/>
      <x:c r="M587"/>
      <x:c r="N587" s="56"/>
      <x:c r="O587"/>
      <x:c r="P587"/>
      <x:c r="Q587" s="56"/>
      <x:c r="R587"/>
      <x:c r="S587"/>
      <x:c r="T587" s="56"/>
      <x:c r="U587"/>
      <x:c r="V587"/>
      <x:c r="W587" s="36"/>
      <x:c r="X587" s="56"/>
      <x:c r="Y587"/>
      <x:c r="Z587"/>
      <x:c r="AA587"/>
      <x:c r="AB587"/>
    </x:row>
    <x:row r="588">
      <x:c r="A588"/>
      <x:c r="B588"/>
      <x:c r="C588"/>
      <x:c r="D588"/>
      <x:c r="E588"/>
      <x:c r="F588"/>
      <x:c r="G588"/>
      <x:c r="H588"/>
      <x:c r="I588"/>
      <x:c r="J588"/>
      <x:c r="K588" s="56"/>
      <x:c r="L588"/>
      <x:c r="M588"/>
      <x:c r="N588" s="56"/>
      <x:c r="O588"/>
      <x:c r="P588"/>
      <x:c r="Q588" s="56"/>
      <x:c r="R588"/>
      <x:c r="S588"/>
      <x:c r="T588" s="56"/>
      <x:c r="U588"/>
      <x:c r="V588"/>
      <x:c r="W588" s="36"/>
      <x:c r="X588" s="56"/>
      <x:c r="Y588"/>
      <x:c r="Z588"/>
      <x:c r="AA588"/>
      <x:c r="AB588"/>
    </x:row>
    <x:row r="589">
      <x:c r="A589"/>
      <x:c r="B589"/>
      <x:c r="C589"/>
      <x:c r="D589"/>
      <x:c r="E589"/>
      <x:c r="F589"/>
      <x:c r="G589"/>
      <x:c r="H589"/>
      <x:c r="I589"/>
      <x:c r="J589"/>
      <x:c r="K589" s="56"/>
      <x:c r="L589"/>
      <x:c r="M589"/>
      <x:c r="N589" s="56"/>
      <x:c r="O589"/>
      <x:c r="P589"/>
      <x:c r="Q589" s="56"/>
      <x:c r="R589"/>
      <x:c r="S589"/>
      <x:c r="T589" s="56"/>
      <x:c r="U589"/>
      <x:c r="V589"/>
      <x:c r="W589" s="36"/>
      <x:c r="X589" s="56"/>
      <x:c r="Y589"/>
      <x:c r="Z589"/>
      <x:c r="AA589"/>
      <x:c r="AB589"/>
    </x:row>
    <x:row r="590">
      <x:c r="A590"/>
      <x:c r="B590"/>
      <x:c r="C590"/>
      <x:c r="D590"/>
      <x:c r="E590"/>
      <x:c r="F590"/>
      <x:c r="G590"/>
      <x:c r="H590"/>
      <x:c r="I590"/>
      <x:c r="J590"/>
      <x:c r="K590" s="56"/>
      <x:c r="L590"/>
      <x:c r="M590"/>
      <x:c r="N590" s="56"/>
      <x:c r="O590"/>
      <x:c r="P590"/>
      <x:c r="Q590" s="56"/>
      <x:c r="R590"/>
      <x:c r="S590"/>
      <x:c r="T590" s="56"/>
      <x:c r="U590"/>
      <x:c r="V590"/>
      <x:c r="W590" s="36"/>
      <x:c r="X590" s="56"/>
      <x:c r="Y590"/>
      <x:c r="Z590"/>
      <x:c r="AA590"/>
      <x:c r="AB590"/>
    </x:row>
    <x:row r="591">
      <x:c r="A591"/>
      <x:c r="B591"/>
      <x:c r="C591"/>
      <x:c r="D591"/>
      <x:c r="E591"/>
      <x:c r="F591"/>
      <x:c r="G591"/>
      <x:c r="H591"/>
      <x:c r="I591"/>
      <x:c r="J591"/>
      <x:c r="K591" s="56"/>
      <x:c r="L591"/>
      <x:c r="M591"/>
      <x:c r="N591" s="56"/>
      <x:c r="O591"/>
      <x:c r="P591"/>
      <x:c r="Q591" s="56"/>
      <x:c r="R591"/>
      <x:c r="S591"/>
      <x:c r="T591" s="56"/>
      <x:c r="U591"/>
      <x:c r="V591"/>
      <x:c r="W591" s="36"/>
      <x:c r="X591" s="56"/>
      <x:c r="Y591"/>
      <x:c r="Z591"/>
      <x:c r="AA591"/>
      <x:c r="AB591"/>
    </x:row>
    <x:row r="592">
      <x:c r="A592"/>
      <x:c r="B592"/>
      <x:c r="C592"/>
      <x:c r="D592"/>
      <x:c r="E592"/>
      <x:c r="F592"/>
      <x:c r="G592"/>
      <x:c r="H592"/>
      <x:c r="I592"/>
      <x:c r="J592"/>
      <x:c r="K592" s="56"/>
      <x:c r="L592"/>
      <x:c r="M592"/>
      <x:c r="N592" s="56"/>
      <x:c r="O592"/>
      <x:c r="P592"/>
      <x:c r="Q592" s="56"/>
      <x:c r="R592"/>
      <x:c r="S592"/>
      <x:c r="T592" s="56"/>
      <x:c r="U592"/>
      <x:c r="V592"/>
      <x:c r="W592" s="36"/>
      <x:c r="X592" s="56"/>
      <x:c r="Y592"/>
      <x:c r="Z592"/>
      <x:c r="AA592"/>
      <x:c r="AB592"/>
    </x:row>
    <x:row r="593">
      <x:c r="A593"/>
      <x:c r="B593"/>
      <x:c r="C593"/>
      <x:c r="D593"/>
      <x:c r="E593"/>
      <x:c r="F593"/>
      <x:c r="G593"/>
      <x:c r="H593"/>
      <x:c r="I593"/>
      <x:c r="J593"/>
      <x:c r="K593" s="56"/>
      <x:c r="L593"/>
      <x:c r="M593"/>
      <x:c r="N593" s="56"/>
      <x:c r="O593"/>
      <x:c r="P593"/>
      <x:c r="Q593" s="56"/>
      <x:c r="R593"/>
      <x:c r="S593"/>
      <x:c r="T593" s="56"/>
      <x:c r="U593"/>
      <x:c r="V593"/>
      <x:c r="W593" s="36"/>
      <x:c r="X593" s="56"/>
      <x:c r="Y593"/>
      <x:c r="Z593"/>
      <x:c r="AA593"/>
      <x:c r="AB593"/>
    </x:row>
    <x:row r="594">
      <x:c r="A594"/>
      <x:c r="B594"/>
      <x:c r="C594"/>
      <x:c r="D594"/>
      <x:c r="E594"/>
      <x:c r="F594"/>
      <x:c r="G594"/>
      <x:c r="H594"/>
      <x:c r="I594"/>
      <x:c r="J594"/>
      <x:c r="K594" s="56"/>
      <x:c r="L594"/>
      <x:c r="M594"/>
      <x:c r="N594" s="56"/>
      <x:c r="O594"/>
      <x:c r="P594"/>
      <x:c r="Q594" s="56"/>
      <x:c r="R594"/>
      <x:c r="S594"/>
      <x:c r="T594" s="56"/>
      <x:c r="U594"/>
      <x:c r="V594"/>
      <x:c r="W594" s="36"/>
      <x:c r="X594" s="56"/>
      <x:c r="Y594"/>
      <x:c r="Z594"/>
      <x:c r="AA594"/>
      <x:c r="AB594"/>
    </x:row>
    <x:row r="595">
      <x:c r="A595"/>
      <x:c r="B595"/>
      <x:c r="C595"/>
      <x:c r="D595"/>
      <x:c r="E595"/>
      <x:c r="F595"/>
      <x:c r="G595"/>
      <x:c r="H595"/>
      <x:c r="I595"/>
      <x:c r="J595"/>
      <x:c r="K595" s="56"/>
      <x:c r="L595"/>
      <x:c r="M595"/>
      <x:c r="N595" s="56"/>
      <x:c r="O595"/>
      <x:c r="P595"/>
      <x:c r="Q595" s="56"/>
      <x:c r="R595"/>
      <x:c r="S595"/>
      <x:c r="T595" s="56"/>
      <x:c r="U595"/>
      <x:c r="V595"/>
      <x:c r="W595" s="36"/>
      <x:c r="X595" s="56"/>
      <x:c r="Y595"/>
      <x:c r="Z595"/>
      <x:c r="AA595"/>
      <x:c r="AB595"/>
    </x:row>
    <x:row r="596">
      <x:c r="A596"/>
      <x:c r="B596"/>
      <x:c r="C596"/>
      <x:c r="D596"/>
      <x:c r="E596"/>
      <x:c r="F596"/>
      <x:c r="G596"/>
      <x:c r="H596"/>
      <x:c r="I596"/>
      <x:c r="J596"/>
      <x:c r="K596" s="56"/>
      <x:c r="L596"/>
      <x:c r="M596"/>
      <x:c r="N596" s="56"/>
      <x:c r="O596"/>
      <x:c r="P596"/>
      <x:c r="Q596" s="56"/>
      <x:c r="R596"/>
      <x:c r="S596"/>
      <x:c r="T596" s="56"/>
      <x:c r="U596"/>
      <x:c r="V596"/>
      <x:c r="W596" s="36"/>
      <x:c r="X596" s="56"/>
      <x:c r="Y596"/>
      <x:c r="Z596"/>
      <x:c r="AA596"/>
      <x:c r="AB596"/>
    </x:row>
    <x:row r="597">
      <x:c r="A597"/>
      <x:c r="B597"/>
      <x:c r="C597"/>
      <x:c r="D597"/>
      <x:c r="E597"/>
      <x:c r="F597"/>
      <x:c r="G597"/>
      <x:c r="H597"/>
      <x:c r="I597"/>
      <x:c r="J597"/>
      <x:c r="K597" s="56"/>
      <x:c r="L597"/>
      <x:c r="M597"/>
      <x:c r="N597" s="56"/>
      <x:c r="O597"/>
      <x:c r="P597"/>
      <x:c r="Q597" s="56"/>
      <x:c r="R597"/>
      <x:c r="S597"/>
      <x:c r="T597" s="56"/>
      <x:c r="U597"/>
      <x:c r="V597"/>
      <x:c r="W597" s="36"/>
      <x:c r="X597" s="56"/>
      <x:c r="Y597"/>
      <x:c r="Z597"/>
      <x:c r="AA597"/>
      <x:c r="AB597"/>
    </x:row>
    <x:row r="598">
      <x:c r="A598"/>
      <x:c r="B598"/>
      <x:c r="C598"/>
      <x:c r="D598"/>
      <x:c r="E598"/>
      <x:c r="F598"/>
      <x:c r="G598"/>
      <x:c r="H598"/>
      <x:c r="I598"/>
      <x:c r="J598"/>
      <x:c r="K598" s="56"/>
      <x:c r="L598"/>
      <x:c r="M598"/>
      <x:c r="N598" s="56"/>
      <x:c r="O598"/>
      <x:c r="P598"/>
      <x:c r="Q598" s="56"/>
      <x:c r="R598"/>
      <x:c r="S598"/>
      <x:c r="T598" s="56"/>
      <x:c r="U598"/>
      <x:c r="V598"/>
      <x:c r="W598" s="36"/>
      <x:c r="X598" s="56"/>
      <x:c r="Y598"/>
      <x:c r="Z598"/>
      <x:c r="AA598"/>
      <x:c r="AB598"/>
    </x:row>
    <x:row r="599">
      <x:c r="A599"/>
      <x:c r="B599"/>
      <x:c r="C599"/>
      <x:c r="D599"/>
      <x:c r="E599"/>
      <x:c r="F599"/>
      <x:c r="G599"/>
      <x:c r="H599"/>
      <x:c r="I599"/>
      <x:c r="J599"/>
      <x:c r="K599" s="56"/>
      <x:c r="L599"/>
      <x:c r="M599"/>
      <x:c r="N599" s="56"/>
      <x:c r="O599"/>
      <x:c r="P599"/>
      <x:c r="Q599" s="56"/>
      <x:c r="R599"/>
      <x:c r="S599"/>
      <x:c r="T599" s="56"/>
      <x:c r="U599"/>
      <x:c r="V599"/>
      <x:c r="W599" s="36"/>
      <x:c r="X599" s="56"/>
      <x:c r="Y599"/>
      <x:c r="Z599"/>
      <x:c r="AA599"/>
      <x:c r="AB599"/>
    </x:row>
    <x:row r="600">
      <x:c r="A600"/>
      <x:c r="B600"/>
      <x:c r="C600"/>
      <x:c r="D600"/>
      <x:c r="E600"/>
      <x:c r="F600"/>
      <x:c r="G600"/>
      <x:c r="H600"/>
      <x:c r="I600"/>
      <x:c r="J600"/>
      <x:c r="K600" s="56"/>
      <x:c r="L600"/>
      <x:c r="M600"/>
      <x:c r="N600" s="56"/>
      <x:c r="O600"/>
      <x:c r="P600"/>
      <x:c r="Q600" s="56"/>
      <x:c r="R600"/>
      <x:c r="S600"/>
      <x:c r="T600" s="56"/>
      <x:c r="U600"/>
      <x:c r="V600"/>
      <x:c r="W600" s="36"/>
      <x:c r="X600" s="56"/>
      <x:c r="Y600"/>
      <x:c r="Z600"/>
      <x:c r="AA600"/>
      <x:c r="AB600"/>
    </x:row>
    <x:row r="601">
      <x:c r="A601"/>
      <x:c r="B601"/>
      <x:c r="C601"/>
      <x:c r="D601"/>
      <x:c r="E601"/>
      <x:c r="F601"/>
      <x:c r="G601"/>
      <x:c r="H601"/>
      <x:c r="I601"/>
      <x:c r="J601"/>
      <x:c r="K601" s="56"/>
      <x:c r="L601"/>
      <x:c r="M601"/>
      <x:c r="N601" s="56"/>
      <x:c r="O601"/>
      <x:c r="P601"/>
      <x:c r="Q601" s="56"/>
      <x:c r="R601"/>
      <x:c r="S601"/>
      <x:c r="T601" s="56"/>
      <x:c r="U601"/>
      <x:c r="V601"/>
      <x:c r="W601" s="36"/>
      <x:c r="X601" s="56"/>
      <x:c r="Y601"/>
      <x:c r="Z601"/>
      <x:c r="AA601"/>
      <x:c r="AB601"/>
    </x:row>
    <x:row r="602">
      <x:c r="A602"/>
      <x:c r="B602"/>
      <x:c r="C602"/>
      <x:c r="D602"/>
      <x:c r="E602"/>
      <x:c r="F602"/>
      <x:c r="G602"/>
      <x:c r="H602"/>
      <x:c r="I602"/>
      <x:c r="J602"/>
      <x:c r="K602" s="56"/>
      <x:c r="L602"/>
      <x:c r="M602"/>
      <x:c r="N602" s="56"/>
      <x:c r="O602"/>
      <x:c r="P602"/>
      <x:c r="Q602" s="56"/>
      <x:c r="R602"/>
      <x:c r="S602"/>
      <x:c r="T602" s="56"/>
      <x:c r="U602"/>
      <x:c r="V602"/>
      <x:c r="W602" s="36"/>
      <x:c r="X602" s="56"/>
      <x:c r="Y602"/>
      <x:c r="Z602"/>
      <x:c r="AA602"/>
      <x:c r="AB602"/>
    </x:row>
    <x:row r="603">
      <x:c r="A603"/>
      <x:c r="B603"/>
      <x:c r="C603"/>
      <x:c r="D603"/>
      <x:c r="E603"/>
      <x:c r="F603"/>
      <x:c r="G603"/>
      <x:c r="H603"/>
      <x:c r="I603"/>
      <x:c r="J603"/>
      <x:c r="K603" s="56"/>
      <x:c r="L603"/>
      <x:c r="M603"/>
      <x:c r="N603" s="56"/>
      <x:c r="O603"/>
      <x:c r="P603"/>
      <x:c r="Q603" s="56"/>
      <x:c r="R603"/>
      <x:c r="S603"/>
      <x:c r="T603" s="56"/>
      <x:c r="U603"/>
      <x:c r="V603"/>
      <x:c r="W603" s="36"/>
      <x:c r="X603" s="56"/>
      <x:c r="Y603"/>
      <x:c r="Z603"/>
      <x:c r="AA603"/>
      <x:c r="AB603"/>
    </x:row>
    <x:row r="604">
      <x:c r="A604"/>
      <x:c r="B604"/>
      <x:c r="C604"/>
      <x:c r="D604"/>
      <x:c r="E604"/>
      <x:c r="F604"/>
      <x:c r="G604"/>
      <x:c r="H604"/>
      <x:c r="I604"/>
      <x:c r="J604"/>
      <x:c r="K604" s="56"/>
      <x:c r="L604"/>
      <x:c r="M604"/>
      <x:c r="N604" s="56"/>
      <x:c r="O604"/>
      <x:c r="P604"/>
      <x:c r="Q604" s="56"/>
      <x:c r="R604"/>
      <x:c r="S604"/>
      <x:c r="T604" s="56"/>
      <x:c r="U604"/>
      <x:c r="V604"/>
      <x:c r="W604" s="36"/>
      <x:c r="X604" s="56"/>
      <x:c r="Y604"/>
      <x:c r="Z604"/>
      <x:c r="AA604"/>
      <x:c r="AB604"/>
    </x:row>
    <x:row r="605">
      <x:c r="A605"/>
      <x:c r="B605"/>
      <x:c r="C605"/>
      <x:c r="D605"/>
      <x:c r="E605"/>
      <x:c r="F605"/>
      <x:c r="G605"/>
      <x:c r="H605"/>
      <x:c r="I605"/>
      <x:c r="J605"/>
      <x:c r="K605" s="56"/>
      <x:c r="L605"/>
      <x:c r="M605"/>
      <x:c r="N605" s="56"/>
      <x:c r="O605"/>
      <x:c r="P605"/>
      <x:c r="Q605" s="56"/>
      <x:c r="R605"/>
      <x:c r="S605"/>
      <x:c r="T605" s="56"/>
      <x:c r="U605"/>
      <x:c r="V605"/>
      <x:c r="W605" s="36"/>
      <x:c r="X605" s="56"/>
      <x:c r="Y605"/>
      <x:c r="Z605"/>
      <x:c r="AA605"/>
      <x:c r="AB605"/>
    </x:row>
    <x:row r="606">
      <x:c r="A606"/>
      <x:c r="B606"/>
      <x:c r="C606"/>
      <x:c r="D606"/>
      <x:c r="E606"/>
      <x:c r="F606"/>
      <x:c r="G606"/>
      <x:c r="H606"/>
      <x:c r="I606"/>
      <x:c r="J606"/>
      <x:c r="K606" s="56"/>
      <x:c r="L606"/>
      <x:c r="M606"/>
      <x:c r="N606" s="56"/>
      <x:c r="O606"/>
      <x:c r="P606"/>
      <x:c r="Q606" s="56"/>
      <x:c r="R606"/>
      <x:c r="S606"/>
      <x:c r="T606" s="56"/>
      <x:c r="U606"/>
      <x:c r="V606"/>
      <x:c r="W606" s="36"/>
      <x:c r="X606" s="56"/>
      <x:c r="Y606"/>
      <x:c r="Z606"/>
      <x:c r="AA606"/>
      <x:c r="AB606"/>
    </x:row>
    <x:row r="607">
      <x:c r="A607"/>
      <x:c r="B607"/>
      <x:c r="C607"/>
      <x:c r="D607"/>
      <x:c r="E607"/>
      <x:c r="F607"/>
      <x:c r="G607"/>
      <x:c r="H607"/>
      <x:c r="I607"/>
      <x:c r="J607"/>
      <x:c r="K607" s="56"/>
      <x:c r="L607"/>
      <x:c r="M607"/>
      <x:c r="N607" s="56"/>
      <x:c r="O607"/>
      <x:c r="P607"/>
      <x:c r="Q607" s="56"/>
      <x:c r="R607"/>
      <x:c r="S607"/>
      <x:c r="T607" s="56"/>
      <x:c r="U607"/>
      <x:c r="V607"/>
      <x:c r="W607" s="36"/>
      <x:c r="X607" s="56"/>
      <x:c r="Y607"/>
      <x:c r="Z607"/>
      <x:c r="AA607"/>
      <x:c r="AB607"/>
    </x:row>
    <x:row r="608">
      <x:c r="A608"/>
      <x:c r="B608"/>
      <x:c r="C608"/>
      <x:c r="D608"/>
      <x:c r="E608"/>
      <x:c r="F608"/>
      <x:c r="G608"/>
      <x:c r="H608"/>
      <x:c r="I608"/>
      <x:c r="J608"/>
      <x:c r="K608" s="56"/>
      <x:c r="L608"/>
      <x:c r="M608"/>
      <x:c r="N608" s="56"/>
      <x:c r="O608"/>
      <x:c r="P608"/>
      <x:c r="Q608" s="56"/>
      <x:c r="R608"/>
      <x:c r="S608"/>
      <x:c r="T608" s="56"/>
      <x:c r="U608"/>
      <x:c r="V608"/>
      <x:c r="W608" s="36"/>
      <x:c r="X608" s="56"/>
      <x:c r="Y608"/>
      <x:c r="Z608"/>
      <x:c r="AA608"/>
      <x:c r="AB608"/>
    </x:row>
    <x:row r="609">
      <x:c r="A609"/>
      <x:c r="B609"/>
      <x:c r="C609"/>
      <x:c r="D609"/>
      <x:c r="E609"/>
      <x:c r="F609"/>
      <x:c r="G609"/>
      <x:c r="H609"/>
      <x:c r="I609"/>
      <x:c r="J609"/>
      <x:c r="K609" s="56"/>
      <x:c r="L609"/>
      <x:c r="M609"/>
      <x:c r="N609" s="56"/>
      <x:c r="O609"/>
      <x:c r="P609"/>
      <x:c r="Q609" s="56"/>
      <x:c r="R609"/>
      <x:c r="S609"/>
      <x:c r="T609" s="56"/>
      <x:c r="U609"/>
      <x:c r="V609"/>
      <x:c r="W609" s="36"/>
      <x:c r="X609" s="56"/>
      <x:c r="Y609"/>
      <x:c r="Z609"/>
      <x:c r="AA609"/>
      <x:c r="AB609"/>
    </x:row>
    <x:row r="610">
      <x:c r="A610"/>
      <x:c r="B610"/>
      <x:c r="C610"/>
      <x:c r="D610"/>
      <x:c r="E610"/>
      <x:c r="F610"/>
      <x:c r="G610"/>
      <x:c r="H610"/>
      <x:c r="I610"/>
      <x:c r="J610"/>
      <x:c r="K610" s="56"/>
      <x:c r="L610"/>
      <x:c r="M610"/>
      <x:c r="N610" s="56"/>
      <x:c r="O610"/>
      <x:c r="P610"/>
      <x:c r="Q610" s="56"/>
      <x:c r="R610"/>
      <x:c r="S610"/>
      <x:c r="T610" s="56"/>
      <x:c r="U610"/>
      <x:c r="V610"/>
      <x:c r="W610" s="36"/>
      <x:c r="X610" s="56"/>
      <x:c r="Y610"/>
      <x:c r="Z610"/>
      <x:c r="AA610"/>
      <x:c r="AB610"/>
    </x:row>
    <x:row r="611">
      <x:c r="A611"/>
      <x:c r="B611"/>
      <x:c r="C611"/>
      <x:c r="D611"/>
      <x:c r="E611"/>
      <x:c r="F611"/>
      <x:c r="G611"/>
      <x:c r="H611"/>
      <x:c r="I611"/>
      <x:c r="J611"/>
      <x:c r="K611" s="56"/>
      <x:c r="L611"/>
      <x:c r="M611"/>
      <x:c r="N611" s="56"/>
      <x:c r="O611"/>
      <x:c r="P611"/>
      <x:c r="Q611" s="56"/>
      <x:c r="R611"/>
      <x:c r="S611"/>
      <x:c r="T611" s="56"/>
      <x:c r="U611"/>
      <x:c r="V611"/>
      <x:c r="W611" s="36"/>
      <x:c r="X611" s="56"/>
      <x:c r="Y611"/>
      <x:c r="Z611"/>
      <x:c r="AA611"/>
      <x:c r="AB611"/>
    </x:row>
    <x:row r="612">
      <x:c r="A612"/>
      <x:c r="B612"/>
      <x:c r="C612"/>
      <x:c r="D612"/>
      <x:c r="E612"/>
      <x:c r="F612"/>
      <x:c r="G612"/>
      <x:c r="H612"/>
      <x:c r="I612"/>
      <x:c r="J612"/>
      <x:c r="K612" s="56"/>
      <x:c r="L612"/>
      <x:c r="M612"/>
      <x:c r="N612" s="56"/>
      <x:c r="O612"/>
      <x:c r="P612"/>
      <x:c r="Q612" s="56"/>
      <x:c r="R612"/>
      <x:c r="S612"/>
      <x:c r="T612" s="56"/>
      <x:c r="U612"/>
      <x:c r="V612"/>
      <x:c r="W612" s="36"/>
      <x:c r="X612" s="56"/>
      <x:c r="Y612"/>
      <x:c r="Z612"/>
      <x:c r="AA612"/>
      <x:c r="AB612"/>
    </x:row>
    <x:row r="613">
      <x:c r="A613"/>
      <x:c r="B613"/>
      <x:c r="C613"/>
      <x:c r="D613"/>
      <x:c r="E613"/>
      <x:c r="F613"/>
      <x:c r="G613"/>
      <x:c r="H613"/>
      <x:c r="I613"/>
      <x:c r="J613"/>
      <x:c r="K613" s="56"/>
      <x:c r="L613"/>
      <x:c r="M613"/>
      <x:c r="N613" s="56"/>
      <x:c r="O613"/>
      <x:c r="P613"/>
      <x:c r="Q613" s="56"/>
      <x:c r="R613"/>
      <x:c r="S613"/>
      <x:c r="T613" s="56"/>
      <x:c r="U613"/>
      <x:c r="V613"/>
      <x:c r="W613" s="36"/>
      <x:c r="X613" s="56"/>
      <x:c r="Y613"/>
      <x:c r="Z613"/>
      <x:c r="AA613"/>
      <x:c r="AB613"/>
    </x:row>
    <x:row r="614">
      <x:c r="A614"/>
      <x:c r="B614"/>
      <x:c r="C614"/>
      <x:c r="D614"/>
      <x:c r="E614"/>
      <x:c r="F614"/>
      <x:c r="G614"/>
      <x:c r="H614"/>
      <x:c r="I614"/>
      <x:c r="J614"/>
      <x:c r="K614" s="56"/>
      <x:c r="L614"/>
      <x:c r="M614"/>
      <x:c r="N614" s="56"/>
      <x:c r="O614"/>
      <x:c r="P614"/>
      <x:c r="Q614" s="56"/>
      <x:c r="R614"/>
      <x:c r="S614"/>
      <x:c r="T614" s="56"/>
      <x:c r="U614"/>
      <x:c r="V614"/>
      <x:c r="W614" s="36"/>
      <x:c r="X614" s="56"/>
      <x:c r="Y614"/>
      <x:c r="Z614"/>
      <x:c r="AA614"/>
      <x:c r="AB614"/>
    </x:row>
    <x:row r="615">
      <x:c r="A615"/>
      <x:c r="B615"/>
      <x:c r="C615"/>
      <x:c r="D615"/>
      <x:c r="E615"/>
      <x:c r="F615"/>
      <x:c r="G615"/>
      <x:c r="H615"/>
      <x:c r="I615"/>
      <x:c r="J615"/>
      <x:c r="K615" s="56"/>
      <x:c r="L615"/>
      <x:c r="M615"/>
      <x:c r="N615" s="56"/>
      <x:c r="O615"/>
      <x:c r="P615"/>
      <x:c r="Q615" s="56"/>
      <x:c r="R615"/>
      <x:c r="S615"/>
      <x:c r="T615" s="56"/>
      <x:c r="U615"/>
      <x:c r="V615"/>
      <x:c r="W615" s="36"/>
      <x:c r="X615" s="56"/>
      <x:c r="Y615"/>
      <x:c r="Z615"/>
      <x:c r="AA615"/>
      <x:c r="AB615"/>
    </x:row>
    <x:row r="616">
      <x:c r="A616"/>
      <x:c r="B616"/>
      <x:c r="C616"/>
      <x:c r="D616"/>
      <x:c r="E616"/>
      <x:c r="F616"/>
      <x:c r="G616"/>
      <x:c r="H616"/>
      <x:c r="I616"/>
      <x:c r="J616"/>
      <x:c r="K616" s="56"/>
      <x:c r="L616"/>
      <x:c r="M616"/>
      <x:c r="N616" s="56"/>
      <x:c r="O616"/>
      <x:c r="P616"/>
      <x:c r="Q616" s="56"/>
      <x:c r="R616"/>
      <x:c r="S616"/>
      <x:c r="T616" s="56"/>
      <x:c r="U616"/>
      <x:c r="V616"/>
      <x:c r="W616" s="36"/>
      <x:c r="X616" s="56"/>
      <x:c r="Y616"/>
      <x:c r="Z616"/>
      <x:c r="AA616"/>
      <x:c r="AB616"/>
    </x:row>
    <x:row r="617">
      <x:c r="A617"/>
      <x:c r="B617"/>
      <x:c r="C617"/>
      <x:c r="D617"/>
      <x:c r="E617"/>
      <x:c r="F617"/>
      <x:c r="G617"/>
      <x:c r="H617"/>
      <x:c r="I617"/>
      <x:c r="J617"/>
      <x:c r="K617" s="56"/>
      <x:c r="L617"/>
      <x:c r="M617"/>
      <x:c r="N617" s="56"/>
      <x:c r="O617"/>
      <x:c r="P617"/>
      <x:c r="Q617" s="56"/>
      <x:c r="R617"/>
      <x:c r="S617"/>
      <x:c r="T617" s="56"/>
      <x:c r="U617"/>
      <x:c r="V617"/>
      <x:c r="W617" s="36"/>
      <x:c r="X617" s="56"/>
      <x:c r="Y617"/>
      <x:c r="Z617"/>
      <x:c r="AA617"/>
      <x:c r="AB617"/>
    </x:row>
    <x:row r="618">
      <x:c r="A618"/>
      <x:c r="B618"/>
      <x:c r="C618"/>
      <x:c r="D618"/>
      <x:c r="E618"/>
      <x:c r="F618"/>
      <x:c r="G618"/>
      <x:c r="H618"/>
      <x:c r="I618"/>
      <x:c r="J618"/>
      <x:c r="K618" s="56"/>
      <x:c r="L618"/>
      <x:c r="M618"/>
      <x:c r="N618" s="56"/>
      <x:c r="O618"/>
      <x:c r="P618"/>
      <x:c r="Q618" s="56"/>
      <x:c r="R618"/>
      <x:c r="S618"/>
      <x:c r="T618" s="56"/>
      <x:c r="U618"/>
      <x:c r="V618"/>
      <x:c r="W618" s="36"/>
      <x:c r="X618" s="56"/>
      <x:c r="Y618"/>
      <x:c r="Z618"/>
      <x:c r="AA618"/>
      <x:c r="AB618"/>
    </x:row>
    <x:row r="619">
      <x:c r="A619"/>
      <x:c r="B619"/>
      <x:c r="C619"/>
      <x:c r="D619"/>
      <x:c r="E619"/>
      <x:c r="F619"/>
      <x:c r="G619"/>
      <x:c r="H619"/>
      <x:c r="I619"/>
      <x:c r="J619"/>
      <x:c r="K619" s="56"/>
      <x:c r="L619"/>
      <x:c r="M619"/>
      <x:c r="N619" s="56"/>
      <x:c r="O619"/>
      <x:c r="P619"/>
      <x:c r="Q619" s="56"/>
      <x:c r="R619"/>
      <x:c r="S619"/>
      <x:c r="T619" s="56"/>
      <x:c r="U619"/>
      <x:c r="V619"/>
      <x:c r="W619" s="36"/>
      <x:c r="X619" s="56"/>
      <x:c r="Y619"/>
      <x:c r="Z619"/>
      <x:c r="AA619"/>
      <x:c r="AB619"/>
    </x:row>
    <x:row r="620">
      <x:c r="A620"/>
      <x:c r="B620"/>
      <x:c r="C620"/>
      <x:c r="D620"/>
      <x:c r="E620"/>
      <x:c r="F620"/>
      <x:c r="G620"/>
      <x:c r="H620"/>
      <x:c r="I620"/>
      <x:c r="J620"/>
      <x:c r="K620" s="56"/>
      <x:c r="L620"/>
      <x:c r="M620"/>
      <x:c r="N620" s="56"/>
      <x:c r="O620"/>
      <x:c r="P620"/>
      <x:c r="Q620" s="56"/>
      <x:c r="R620"/>
      <x:c r="S620"/>
      <x:c r="T620" s="56"/>
      <x:c r="U620"/>
      <x:c r="V620"/>
      <x:c r="W620" s="36"/>
      <x:c r="X620" s="56"/>
      <x:c r="Y620"/>
      <x:c r="Z620"/>
      <x:c r="AA620"/>
      <x:c r="AB620"/>
    </x:row>
    <x:row r="621">
      <x:c r="A621"/>
      <x:c r="B621"/>
      <x:c r="C621"/>
      <x:c r="D621"/>
      <x:c r="E621"/>
      <x:c r="F621"/>
      <x:c r="G621"/>
      <x:c r="H621"/>
      <x:c r="I621"/>
      <x:c r="J621"/>
      <x:c r="K621" s="56"/>
      <x:c r="L621"/>
      <x:c r="M621"/>
      <x:c r="N621" s="56"/>
      <x:c r="O621"/>
      <x:c r="P621"/>
      <x:c r="Q621" s="56"/>
      <x:c r="R621"/>
      <x:c r="S621"/>
      <x:c r="T621" s="56"/>
      <x:c r="U621"/>
      <x:c r="V621"/>
      <x:c r="W621" s="36"/>
      <x:c r="X621" s="56"/>
      <x:c r="Y621"/>
      <x:c r="Z621"/>
      <x:c r="AA621"/>
      <x:c r="AB621"/>
    </x:row>
    <x:row r="622">
      <x:c r="A622"/>
      <x:c r="B622"/>
      <x:c r="C622"/>
      <x:c r="D622"/>
      <x:c r="E622"/>
      <x:c r="F622"/>
      <x:c r="G622"/>
      <x:c r="H622"/>
      <x:c r="I622"/>
      <x:c r="J622"/>
      <x:c r="K622" s="56"/>
      <x:c r="L622"/>
      <x:c r="M622"/>
      <x:c r="N622" s="56"/>
      <x:c r="O622"/>
      <x:c r="P622"/>
      <x:c r="Q622" s="56"/>
      <x:c r="R622"/>
      <x:c r="S622"/>
      <x:c r="T622" s="56"/>
      <x:c r="U622"/>
      <x:c r="V622"/>
      <x:c r="W622" s="36"/>
      <x:c r="X622" s="56"/>
      <x:c r="Y622"/>
      <x:c r="Z622"/>
      <x:c r="AA622"/>
      <x:c r="AB622"/>
    </x:row>
    <x:row r="623">
      <x:c r="A623"/>
      <x:c r="B623"/>
      <x:c r="C623"/>
      <x:c r="D623"/>
      <x:c r="E623"/>
      <x:c r="F623"/>
      <x:c r="G623"/>
      <x:c r="H623"/>
      <x:c r="I623"/>
      <x:c r="J623"/>
      <x:c r="K623" s="56"/>
      <x:c r="L623"/>
      <x:c r="M623"/>
      <x:c r="N623" s="56"/>
      <x:c r="O623"/>
      <x:c r="P623"/>
      <x:c r="Q623" s="56"/>
      <x:c r="R623"/>
      <x:c r="S623"/>
      <x:c r="T623" s="56"/>
      <x:c r="U623"/>
      <x:c r="V623"/>
      <x:c r="W623" s="36"/>
      <x:c r="X623" s="56"/>
      <x:c r="Y623"/>
      <x:c r="Z623"/>
      <x:c r="AA623"/>
      <x:c r="AB623"/>
    </x:row>
    <x:row r="624">
      <x:c r="A624"/>
      <x:c r="B624"/>
      <x:c r="C624"/>
      <x:c r="D624"/>
      <x:c r="E624"/>
      <x:c r="F624"/>
      <x:c r="G624"/>
      <x:c r="H624"/>
      <x:c r="I624"/>
      <x:c r="J624"/>
      <x:c r="K624" s="56"/>
      <x:c r="L624"/>
      <x:c r="M624"/>
      <x:c r="N624" s="56"/>
      <x:c r="O624"/>
      <x:c r="P624"/>
      <x:c r="Q624" s="56"/>
      <x:c r="R624"/>
      <x:c r="S624"/>
      <x:c r="T624" s="56"/>
      <x:c r="U624"/>
      <x:c r="V624"/>
      <x:c r="W624" s="36"/>
      <x:c r="X624" s="56"/>
      <x:c r="Y624"/>
      <x:c r="Z624"/>
      <x:c r="AA624"/>
      <x:c r="AB624"/>
    </x:row>
    <x:row r="625">
      <x:c r="A625"/>
      <x:c r="B625"/>
      <x:c r="C625"/>
      <x:c r="D625"/>
      <x:c r="E625"/>
      <x:c r="F625"/>
      <x:c r="G625"/>
      <x:c r="H625"/>
      <x:c r="I625"/>
      <x:c r="J625"/>
      <x:c r="K625" s="56"/>
      <x:c r="L625"/>
      <x:c r="M625"/>
      <x:c r="N625" s="56"/>
      <x:c r="O625"/>
      <x:c r="P625"/>
      <x:c r="Q625" s="56"/>
      <x:c r="R625"/>
      <x:c r="S625"/>
      <x:c r="T625" s="56"/>
      <x:c r="U625"/>
      <x:c r="V625"/>
      <x:c r="W625" s="36"/>
      <x:c r="X625" s="56"/>
      <x:c r="Y625"/>
      <x:c r="Z625"/>
      <x:c r="AA625"/>
      <x:c r="AB625"/>
    </x:row>
    <x:row r="626">
      <x:c r="A626"/>
      <x:c r="B626"/>
      <x:c r="C626"/>
      <x:c r="D626"/>
      <x:c r="E626"/>
      <x:c r="F626"/>
      <x:c r="G626"/>
      <x:c r="H626"/>
      <x:c r="I626"/>
      <x:c r="J626"/>
      <x:c r="K626" s="56"/>
      <x:c r="L626"/>
      <x:c r="M626"/>
      <x:c r="N626" s="56"/>
      <x:c r="O626"/>
      <x:c r="P626"/>
      <x:c r="Q626" s="56"/>
      <x:c r="R626"/>
      <x:c r="S626"/>
      <x:c r="T626" s="56"/>
      <x:c r="U626"/>
      <x:c r="V626"/>
      <x:c r="W626" s="36"/>
      <x:c r="X626" s="56"/>
      <x:c r="Y626"/>
      <x:c r="Z626"/>
      <x:c r="AA626"/>
      <x:c r="AB626"/>
    </x:row>
    <x:row r="627">
      <x:c r="A627"/>
      <x:c r="B627"/>
      <x:c r="C627"/>
      <x:c r="D627"/>
      <x:c r="E627"/>
      <x:c r="F627"/>
      <x:c r="G627"/>
      <x:c r="H627"/>
      <x:c r="I627"/>
      <x:c r="J627"/>
      <x:c r="K627" s="56"/>
      <x:c r="L627"/>
      <x:c r="M627"/>
      <x:c r="N627" s="56"/>
      <x:c r="O627"/>
      <x:c r="P627"/>
      <x:c r="Q627" s="56"/>
      <x:c r="R627"/>
      <x:c r="S627"/>
      <x:c r="T627" s="56"/>
      <x:c r="U627"/>
      <x:c r="V627"/>
      <x:c r="W627" s="36"/>
      <x:c r="X627" s="56"/>
      <x:c r="Y627"/>
      <x:c r="Z627"/>
      <x:c r="AA627"/>
      <x:c r="AB627"/>
    </x:row>
    <x:row r="628">
      <x:c r="A628"/>
      <x:c r="B628"/>
      <x:c r="C628"/>
      <x:c r="D628"/>
      <x:c r="E628"/>
      <x:c r="F628"/>
      <x:c r="G628"/>
      <x:c r="H628"/>
      <x:c r="I628"/>
      <x:c r="J628"/>
      <x:c r="K628" s="56"/>
      <x:c r="L628"/>
      <x:c r="M628"/>
      <x:c r="N628" s="56"/>
      <x:c r="O628"/>
      <x:c r="P628"/>
      <x:c r="Q628" s="56"/>
      <x:c r="R628"/>
      <x:c r="S628"/>
      <x:c r="T628" s="56"/>
      <x:c r="U628"/>
      <x:c r="V628"/>
      <x:c r="W628" s="36"/>
      <x:c r="X628" s="56"/>
      <x:c r="Y628"/>
      <x:c r="Z628"/>
      <x:c r="AA628"/>
      <x:c r="AB628"/>
    </x:row>
    <x:row r="629">
      <x:c r="A629"/>
      <x:c r="B629"/>
      <x:c r="C629"/>
      <x:c r="D629"/>
      <x:c r="E629"/>
      <x:c r="F629"/>
      <x:c r="G629"/>
      <x:c r="H629"/>
      <x:c r="I629"/>
      <x:c r="J629"/>
      <x:c r="K629" s="56"/>
      <x:c r="L629"/>
      <x:c r="M629"/>
      <x:c r="N629" s="56"/>
      <x:c r="O629"/>
      <x:c r="P629"/>
      <x:c r="Q629" s="56"/>
      <x:c r="R629"/>
      <x:c r="S629"/>
      <x:c r="T629" s="56"/>
      <x:c r="U629"/>
      <x:c r="V629"/>
      <x:c r="W629" s="36"/>
      <x:c r="X629" s="56"/>
      <x:c r="Y629"/>
      <x:c r="Z629"/>
      <x:c r="AA629"/>
      <x:c r="AB629"/>
    </x:row>
    <x:row r="630">
      <x:c r="A630"/>
      <x:c r="B630"/>
      <x:c r="C630"/>
      <x:c r="D630"/>
      <x:c r="E630"/>
      <x:c r="F630"/>
      <x:c r="G630"/>
      <x:c r="H630"/>
      <x:c r="I630"/>
      <x:c r="J630"/>
      <x:c r="K630" s="56"/>
      <x:c r="L630"/>
      <x:c r="M630"/>
      <x:c r="N630" s="56"/>
      <x:c r="O630"/>
      <x:c r="P630"/>
      <x:c r="Q630" s="56"/>
      <x:c r="R630"/>
      <x:c r="S630"/>
      <x:c r="T630" s="56"/>
      <x:c r="U630"/>
      <x:c r="V630"/>
      <x:c r="W630" s="36"/>
      <x:c r="X630" s="56"/>
      <x:c r="Y630"/>
      <x:c r="Z630"/>
      <x:c r="AA630"/>
      <x:c r="AB630"/>
    </x:row>
    <x:row r="631">
      <x:c r="A631"/>
      <x:c r="B631"/>
      <x:c r="C631"/>
      <x:c r="D631"/>
      <x:c r="E631"/>
      <x:c r="F631"/>
      <x:c r="G631"/>
      <x:c r="H631"/>
      <x:c r="I631"/>
      <x:c r="J631"/>
      <x:c r="K631" s="56"/>
      <x:c r="L631"/>
      <x:c r="M631"/>
      <x:c r="N631" s="56"/>
      <x:c r="O631"/>
      <x:c r="P631"/>
      <x:c r="Q631" s="56"/>
      <x:c r="R631"/>
      <x:c r="S631"/>
      <x:c r="T631" s="56"/>
      <x:c r="U631"/>
      <x:c r="V631"/>
      <x:c r="W631" s="36"/>
      <x:c r="X631" s="56"/>
      <x:c r="Y631"/>
      <x:c r="Z631"/>
      <x:c r="AA631"/>
      <x:c r="AB631"/>
    </x:row>
    <x:row r="632">
      <x:c r="A632"/>
      <x:c r="B632"/>
      <x:c r="C632"/>
      <x:c r="D632"/>
      <x:c r="E632"/>
      <x:c r="F632"/>
      <x:c r="G632"/>
      <x:c r="H632"/>
      <x:c r="I632"/>
      <x:c r="J632"/>
      <x:c r="K632" s="56"/>
      <x:c r="L632"/>
      <x:c r="M632"/>
      <x:c r="N632" s="56"/>
      <x:c r="O632"/>
      <x:c r="P632"/>
      <x:c r="Q632" s="56"/>
      <x:c r="R632"/>
      <x:c r="S632"/>
      <x:c r="T632" s="56"/>
      <x:c r="U632"/>
      <x:c r="V632"/>
      <x:c r="W632" s="36"/>
      <x:c r="X632" s="56"/>
      <x:c r="Y632"/>
      <x:c r="Z632"/>
      <x:c r="AA632"/>
      <x:c r="AB632"/>
    </x:row>
    <x:row r="633">
      <x:c r="A633"/>
      <x:c r="B633"/>
      <x:c r="C633"/>
      <x:c r="D633"/>
      <x:c r="E633"/>
      <x:c r="F633"/>
      <x:c r="G633"/>
      <x:c r="H633"/>
      <x:c r="I633"/>
      <x:c r="J633"/>
      <x:c r="K633" s="56"/>
      <x:c r="L633"/>
      <x:c r="M633"/>
      <x:c r="N633" s="56"/>
      <x:c r="O633"/>
      <x:c r="P633"/>
      <x:c r="Q633" s="56"/>
      <x:c r="R633"/>
      <x:c r="S633"/>
      <x:c r="T633" s="56"/>
      <x:c r="U633"/>
      <x:c r="V633"/>
      <x:c r="W633" s="36"/>
      <x:c r="X633" s="56"/>
      <x:c r="Y633"/>
      <x:c r="Z633"/>
      <x:c r="AA633"/>
      <x:c r="AB633"/>
    </x:row>
    <x:row r="634">
      <x:c r="A634"/>
      <x:c r="B634"/>
      <x:c r="C634"/>
      <x:c r="D634"/>
      <x:c r="E634"/>
      <x:c r="F634"/>
      <x:c r="G634"/>
      <x:c r="H634"/>
      <x:c r="I634"/>
      <x:c r="J634"/>
      <x:c r="K634" s="56"/>
      <x:c r="L634"/>
      <x:c r="M634"/>
      <x:c r="N634" s="56"/>
      <x:c r="O634"/>
      <x:c r="P634"/>
      <x:c r="Q634" s="56"/>
      <x:c r="R634"/>
      <x:c r="S634"/>
      <x:c r="T634" s="56"/>
      <x:c r="U634"/>
      <x:c r="V634"/>
      <x:c r="W634" s="36"/>
      <x:c r="X634" s="56"/>
      <x:c r="Y634"/>
      <x:c r="Z634"/>
      <x:c r="AA634"/>
      <x:c r="AB634"/>
    </x:row>
    <x:row r="635">
      <x:c r="A635"/>
      <x:c r="B635"/>
      <x:c r="C635"/>
      <x:c r="D635"/>
      <x:c r="E635"/>
      <x:c r="F635"/>
      <x:c r="G635"/>
      <x:c r="H635"/>
      <x:c r="I635"/>
      <x:c r="J635"/>
      <x:c r="K635" s="56"/>
      <x:c r="L635"/>
      <x:c r="M635"/>
      <x:c r="N635" s="56"/>
      <x:c r="O635"/>
      <x:c r="P635"/>
      <x:c r="Q635" s="56"/>
      <x:c r="R635"/>
      <x:c r="S635"/>
      <x:c r="T635" s="56"/>
      <x:c r="U635"/>
      <x:c r="V635"/>
      <x:c r="W635" s="36"/>
      <x:c r="X635" s="56"/>
      <x:c r="Y635"/>
      <x:c r="Z635"/>
      <x:c r="AA635"/>
      <x:c r="AB635"/>
    </x:row>
    <x:row r="636">
      <x:c r="A636"/>
      <x:c r="B636"/>
      <x:c r="C636"/>
      <x:c r="D636"/>
      <x:c r="E636"/>
      <x:c r="F636"/>
      <x:c r="G636"/>
      <x:c r="H636"/>
      <x:c r="I636"/>
      <x:c r="J636"/>
      <x:c r="K636" s="56"/>
      <x:c r="L636"/>
      <x:c r="M636"/>
      <x:c r="N636" s="56"/>
      <x:c r="O636"/>
      <x:c r="P636"/>
      <x:c r="Q636" s="56"/>
      <x:c r="R636"/>
      <x:c r="S636"/>
      <x:c r="T636" s="56"/>
      <x:c r="U636"/>
      <x:c r="V636"/>
      <x:c r="W636" s="36"/>
      <x:c r="X636" s="56"/>
      <x:c r="Y636"/>
      <x:c r="Z636"/>
      <x:c r="AA636"/>
      <x:c r="AB636"/>
    </x:row>
    <x:row r="637">
      <x:c r="A637"/>
      <x:c r="B637"/>
      <x:c r="C637"/>
      <x:c r="D637"/>
      <x:c r="E637"/>
      <x:c r="F637"/>
      <x:c r="G637"/>
      <x:c r="H637"/>
      <x:c r="I637"/>
      <x:c r="J637"/>
      <x:c r="K637" s="56"/>
      <x:c r="L637"/>
      <x:c r="M637"/>
      <x:c r="N637" s="56"/>
      <x:c r="O637"/>
      <x:c r="P637"/>
      <x:c r="Q637" s="56"/>
      <x:c r="R637"/>
      <x:c r="S637"/>
      <x:c r="T637" s="56"/>
      <x:c r="U637"/>
      <x:c r="V637"/>
      <x:c r="W637" s="36"/>
      <x:c r="X637" s="56"/>
      <x:c r="Y637"/>
      <x:c r="Z637"/>
      <x:c r="AA637"/>
      <x:c r="AB637"/>
    </x:row>
    <x:row r="638">
      <x:c r="A638"/>
      <x:c r="B638"/>
      <x:c r="C638"/>
      <x:c r="D638"/>
      <x:c r="E638"/>
      <x:c r="F638"/>
      <x:c r="G638"/>
      <x:c r="H638"/>
      <x:c r="I638"/>
      <x:c r="J638"/>
      <x:c r="K638" s="56"/>
      <x:c r="L638"/>
      <x:c r="M638"/>
      <x:c r="N638" s="56"/>
      <x:c r="O638"/>
      <x:c r="P638"/>
      <x:c r="Q638" s="56"/>
      <x:c r="R638"/>
      <x:c r="S638"/>
      <x:c r="T638" s="56"/>
      <x:c r="U638"/>
      <x:c r="V638"/>
      <x:c r="W638" s="36"/>
      <x:c r="X638" s="56"/>
      <x:c r="Y638"/>
      <x:c r="Z638"/>
      <x:c r="AA638"/>
      <x:c r="AB638"/>
    </x:row>
    <x:row r="639">
      <x:c r="A639"/>
      <x:c r="B639"/>
      <x:c r="C639"/>
      <x:c r="D639"/>
      <x:c r="E639"/>
      <x:c r="F639"/>
      <x:c r="G639"/>
      <x:c r="H639"/>
      <x:c r="I639"/>
      <x:c r="J639"/>
      <x:c r="K639" s="56"/>
      <x:c r="L639"/>
      <x:c r="M639"/>
      <x:c r="N639" s="56"/>
      <x:c r="O639"/>
      <x:c r="P639"/>
      <x:c r="Q639" s="56"/>
      <x:c r="R639"/>
      <x:c r="S639"/>
      <x:c r="T639" s="56"/>
      <x:c r="U639"/>
      <x:c r="V639"/>
      <x:c r="W639" s="36"/>
      <x:c r="X639" s="56"/>
      <x:c r="Y639"/>
      <x:c r="Z639"/>
      <x:c r="AA639"/>
      <x:c r="AB639"/>
    </x:row>
    <x:row r="640">
      <x:c r="A640"/>
      <x:c r="B640"/>
      <x:c r="C640"/>
      <x:c r="D640"/>
      <x:c r="E640"/>
      <x:c r="F640"/>
      <x:c r="G640"/>
      <x:c r="H640"/>
      <x:c r="I640"/>
      <x:c r="J640"/>
      <x:c r="K640" s="56"/>
      <x:c r="L640"/>
      <x:c r="M640"/>
      <x:c r="N640" s="56"/>
      <x:c r="O640"/>
      <x:c r="P640"/>
      <x:c r="Q640" s="56"/>
      <x:c r="R640"/>
      <x:c r="S640"/>
      <x:c r="T640" s="56"/>
      <x:c r="U640"/>
      <x:c r="V640"/>
      <x:c r="W640" s="36"/>
      <x:c r="X640" s="56"/>
      <x:c r="Y640"/>
      <x:c r="Z640"/>
      <x:c r="AA640"/>
      <x:c r="AB640"/>
    </x:row>
    <x:row r="641">
      <x:c r="A641"/>
      <x:c r="B641"/>
      <x:c r="C641"/>
      <x:c r="D641"/>
      <x:c r="E641"/>
      <x:c r="F641"/>
      <x:c r="G641"/>
      <x:c r="H641"/>
      <x:c r="I641"/>
      <x:c r="J641"/>
      <x:c r="K641" s="56"/>
      <x:c r="L641"/>
      <x:c r="M641"/>
      <x:c r="N641" s="56"/>
      <x:c r="O641"/>
      <x:c r="P641"/>
      <x:c r="Q641" s="56"/>
      <x:c r="R641"/>
      <x:c r="S641"/>
      <x:c r="T641" s="56"/>
      <x:c r="U641"/>
      <x:c r="V641"/>
      <x:c r="W641" s="36"/>
      <x:c r="X641" s="56"/>
      <x:c r="Y641"/>
      <x:c r="Z641"/>
      <x:c r="AA641"/>
      <x:c r="AB641"/>
    </x:row>
    <x:row r="642">
      <x:c r="A642"/>
      <x:c r="B642"/>
      <x:c r="C642"/>
      <x:c r="D642"/>
      <x:c r="E642"/>
      <x:c r="F642"/>
      <x:c r="G642"/>
      <x:c r="H642"/>
      <x:c r="I642"/>
      <x:c r="J642"/>
      <x:c r="K642" s="56"/>
      <x:c r="L642"/>
      <x:c r="M642"/>
      <x:c r="N642" s="56"/>
      <x:c r="O642"/>
      <x:c r="P642"/>
      <x:c r="Q642" s="56"/>
      <x:c r="R642"/>
      <x:c r="S642"/>
      <x:c r="T642" s="56"/>
      <x:c r="U642"/>
      <x:c r="V642"/>
      <x:c r="W642" s="36"/>
      <x:c r="X642" s="56"/>
      <x:c r="Y642"/>
      <x:c r="Z642"/>
      <x:c r="AA642"/>
      <x:c r="AB642"/>
    </x:row>
    <x:row r="643">
      <x:c r="A643"/>
      <x:c r="B643"/>
      <x:c r="C643"/>
      <x:c r="D643"/>
      <x:c r="E643"/>
      <x:c r="F643"/>
      <x:c r="G643"/>
      <x:c r="H643"/>
      <x:c r="I643"/>
      <x:c r="J643"/>
      <x:c r="K643" s="56"/>
      <x:c r="L643"/>
      <x:c r="M643"/>
      <x:c r="N643" s="56"/>
      <x:c r="O643"/>
      <x:c r="P643"/>
      <x:c r="Q643" s="56"/>
      <x:c r="R643"/>
      <x:c r="S643"/>
      <x:c r="T643" s="56"/>
      <x:c r="U643"/>
      <x:c r="V643"/>
      <x:c r="W643" s="36"/>
      <x:c r="X643" s="56"/>
      <x:c r="Y643"/>
      <x:c r="Z643"/>
      <x:c r="AA643"/>
      <x:c r="AB643"/>
    </x:row>
    <x:row r="644">
      <x:c r="A644"/>
      <x:c r="B644"/>
      <x:c r="C644"/>
      <x:c r="D644"/>
      <x:c r="E644"/>
      <x:c r="F644"/>
      <x:c r="G644"/>
      <x:c r="H644"/>
      <x:c r="I644"/>
      <x:c r="J644"/>
      <x:c r="K644" s="56"/>
      <x:c r="L644"/>
      <x:c r="M644"/>
      <x:c r="N644" s="56"/>
      <x:c r="O644"/>
      <x:c r="P644"/>
      <x:c r="Q644" s="56"/>
      <x:c r="R644"/>
      <x:c r="S644"/>
      <x:c r="T644" s="56"/>
      <x:c r="U644"/>
      <x:c r="V644"/>
      <x:c r="W644" s="36"/>
      <x:c r="X644" s="56"/>
      <x:c r="Y644"/>
      <x:c r="Z644"/>
      <x:c r="AA644"/>
      <x:c r="AB644"/>
    </x:row>
    <x:row r="645">
      <x:c r="A645"/>
      <x:c r="B645"/>
      <x:c r="C645"/>
      <x:c r="D645"/>
      <x:c r="E645"/>
      <x:c r="F645"/>
      <x:c r="G645"/>
      <x:c r="H645"/>
      <x:c r="I645"/>
      <x:c r="J645"/>
      <x:c r="K645" s="56"/>
      <x:c r="L645"/>
      <x:c r="M645"/>
      <x:c r="N645" s="56"/>
      <x:c r="O645"/>
      <x:c r="P645"/>
      <x:c r="Q645" s="56"/>
      <x:c r="R645"/>
      <x:c r="S645"/>
      <x:c r="T645" s="56"/>
      <x:c r="U645"/>
      <x:c r="V645"/>
      <x:c r="W645" s="36"/>
      <x:c r="X645" s="56"/>
      <x:c r="Y645"/>
      <x:c r="Z645"/>
      <x:c r="AA645"/>
      <x:c r="AB645"/>
    </x:row>
    <x:row r="646">
      <x:c r="A646"/>
      <x:c r="B646"/>
      <x:c r="C646"/>
      <x:c r="D646"/>
      <x:c r="E646"/>
      <x:c r="F646"/>
      <x:c r="G646"/>
      <x:c r="H646"/>
      <x:c r="I646"/>
      <x:c r="J646"/>
      <x:c r="K646" s="56"/>
      <x:c r="L646"/>
      <x:c r="M646"/>
      <x:c r="N646" s="56"/>
      <x:c r="O646"/>
      <x:c r="P646"/>
      <x:c r="Q646" s="56"/>
      <x:c r="R646"/>
      <x:c r="S646"/>
      <x:c r="T646" s="56"/>
      <x:c r="U646"/>
      <x:c r="V646"/>
      <x:c r="W646" s="36"/>
      <x:c r="X646" s="56"/>
      <x:c r="Y646"/>
      <x:c r="Z646"/>
      <x:c r="AA646"/>
      <x:c r="AB646"/>
    </x:row>
    <x:row r="647">
      <x:c r="A647"/>
      <x:c r="B647"/>
      <x:c r="C647"/>
      <x:c r="D647"/>
      <x:c r="E647"/>
      <x:c r="F647"/>
      <x:c r="G647"/>
      <x:c r="H647"/>
      <x:c r="I647"/>
      <x:c r="J647"/>
      <x:c r="K647" s="56"/>
      <x:c r="L647"/>
      <x:c r="M647"/>
      <x:c r="N647" s="56"/>
      <x:c r="O647"/>
      <x:c r="P647"/>
      <x:c r="Q647" s="56"/>
      <x:c r="R647"/>
      <x:c r="S647"/>
      <x:c r="T647" s="56"/>
      <x:c r="U647"/>
      <x:c r="V647"/>
      <x:c r="W647" s="36"/>
      <x:c r="X647" s="56"/>
      <x:c r="Y647"/>
      <x:c r="Z647"/>
      <x:c r="AA647"/>
      <x:c r="AB647"/>
    </x:row>
    <x:row r="648">
      <x:c r="A648"/>
      <x:c r="B648"/>
      <x:c r="C648"/>
      <x:c r="D648"/>
      <x:c r="E648"/>
      <x:c r="F648"/>
      <x:c r="G648"/>
      <x:c r="H648"/>
      <x:c r="I648"/>
      <x:c r="J648"/>
      <x:c r="K648" s="56"/>
      <x:c r="L648"/>
      <x:c r="M648"/>
      <x:c r="N648" s="56"/>
      <x:c r="O648"/>
      <x:c r="P648"/>
      <x:c r="Q648" s="56"/>
      <x:c r="R648"/>
      <x:c r="S648"/>
      <x:c r="T648" s="56"/>
      <x:c r="U648"/>
      <x:c r="V648"/>
      <x:c r="W648" s="36"/>
      <x:c r="X648" s="56"/>
      <x:c r="Y648"/>
      <x:c r="Z648"/>
      <x:c r="AA648"/>
      <x:c r="AB648"/>
    </x:row>
    <x:row r="649">
      <x:c r="A649"/>
      <x:c r="B649"/>
      <x:c r="C649"/>
      <x:c r="D649"/>
      <x:c r="E649"/>
      <x:c r="F649"/>
      <x:c r="G649"/>
      <x:c r="H649"/>
      <x:c r="I649"/>
      <x:c r="J649"/>
      <x:c r="K649" s="56"/>
      <x:c r="L649"/>
      <x:c r="M649"/>
      <x:c r="N649" s="56"/>
      <x:c r="O649"/>
      <x:c r="P649"/>
      <x:c r="Q649" s="56"/>
      <x:c r="R649"/>
      <x:c r="S649"/>
      <x:c r="T649" s="56"/>
      <x:c r="U649"/>
      <x:c r="V649"/>
      <x:c r="W649" s="36"/>
      <x:c r="X649" s="56"/>
      <x:c r="Y649"/>
      <x:c r="Z649"/>
      <x:c r="AA649"/>
      <x:c r="AB649"/>
    </x:row>
    <x:row r="650">
      <x:c r="A650"/>
      <x:c r="B650"/>
      <x:c r="C650"/>
      <x:c r="D650"/>
      <x:c r="E650"/>
      <x:c r="F650"/>
      <x:c r="G650"/>
      <x:c r="H650"/>
      <x:c r="I650"/>
      <x:c r="J650"/>
      <x:c r="K650" s="56"/>
      <x:c r="L650"/>
      <x:c r="M650"/>
      <x:c r="N650" s="56"/>
      <x:c r="O650"/>
      <x:c r="P650"/>
      <x:c r="Q650" s="56"/>
      <x:c r="R650"/>
      <x:c r="S650"/>
      <x:c r="T650" s="56"/>
      <x:c r="U650"/>
      <x:c r="V650"/>
      <x:c r="W650" s="36"/>
      <x:c r="X650" s="56"/>
      <x:c r="Y650"/>
      <x:c r="Z650"/>
      <x:c r="AA650"/>
      <x:c r="AB650"/>
    </x:row>
    <x:row r="651">
      <x:c r="A651"/>
      <x:c r="B651"/>
      <x:c r="C651"/>
      <x:c r="D651"/>
      <x:c r="E651"/>
      <x:c r="F651"/>
      <x:c r="G651"/>
      <x:c r="H651"/>
      <x:c r="I651"/>
      <x:c r="J651"/>
      <x:c r="K651" s="56"/>
      <x:c r="L651"/>
      <x:c r="M651"/>
      <x:c r="N651" s="56"/>
      <x:c r="O651"/>
      <x:c r="P651"/>
      <x:c r="Q651" s="56"/>
      <x:c r="R651"/>
      <x:c r="S651"/>
      <x:c r="T651" s="56"/>
      <x:c r="U651"/>
      <x:c r="V651"/>
      <x:c r="W651" s="36"/>
      <x:c r="X651" s="56"/>
      <x:c r="Y651"/>
      <x:c r="Z651"/>
      <x:c r="AA651"/>
      <x:c r="AB651"/>
    </x:row>
    <x:row r="652">
      <x:c r="A652"/>
      <x:c r="B652"/>
      <x:c r="C652"/>
      <x:c r="D652"/>
      <x:c r="E652"/>
      <x:c r="F652"/>
      <x:c r="G652"/>
      <x:c r="H652"/>
      <x:c r="I652"/>
      <x:c r="J652"/>
      <x:c r="K652" s="56"/>
      <x:c r="L652"/>
      <x:c r="M652"/>
      <x:c r="N652" s="56"/>
      <x:c r="O652"/>
      <x:c r="P652"/>
      <x:c r="Q652" s="56"/>
      <x:c r="R652"/>
      <x:c r="S652"/>
      <x:c r="T652" s="56"/>
      <x:c r="U652"/>
      <x:c r="V652"/>
      <x:c r="W652" s="36"/>
      <x:c r="X652" s="56"/>
      <x:c r="Y652"/>
      <x:c r="Z652"/>
      <x:c r="AA652"/>
      <x:c r="AB652"/>
    </x:row>
    <x:row r="653">
      <x:c r="A653"/>
      <x:c r="B653"/>
      <x:c r="C653"/>
      <x:c r="D653"/>
      <x:c r="E653"/>
      <x:c r="F653"/>
      <x:c r="G653"/>
      <x:c r="H653"/>
      <x:c r="I653"/>
      <x:c r="J653"/>
      <x:c r="K653" s="56"/>
      <x:c r="L653"/>
      <x:c r="M653"/>
      <x:c r="N653" s="56"/>
      <x:c r="O653"/>
      <x:c r="P653"/>
      <x:c r="Q653" s="56"/>
      <x:c r="R653"/>
      <x:c r="S653"/>
      <x:c r="T653" s="56"/>
      <x:c r="U653"/>
      <x:c r="V653"/>
      <x:c r="W653" s="36"/>
      <x:c r="X653" s="56"/>
      <x:c r="Y653"/>
      <x:c r="Z653"/>
      <x:c r="AA653"/>
      <x:c r="AB653"/>
    </x:row>
    <x:row r="654">
      <x:c r="A654"/>
      <x:c r="B654"/>
      <x:c r="C654"/>
      <x:c r="D654"/>
      <x:c r="E654"/>
      <x:c r="F654"/>
      <x:c r="G654"/>
      <x:c r="H654"/>
      <x:c r="I654"/>
      <x:c r="J654"/>
      <x:c r="K654" s="56"/>
      <x:c r="L654"/>
      <x:c r="M654"/>
      <x:c r="N654" s="56"/>
      <x:c r="O654"/>
      <x:c r="P654"/>
      <x:c r="Q654" s="56"/>
      <x:c r="R654"/>
      <x:c r="S654"/>
      <x:c r="T654" s="56"/>
      <x:c r="U654"/>
      <x:c r="V654"/>
      <x:c r="W654" s="36"/>
      <x:c r="X654" s="56"/>
      <x:c r="Y654"/>
      <x:c r="Z654"/>
      <x:c r="AA654"/>
      <x:c r="AB654"/>
    </x:row>
    <x:row r="655">
      <x:c r="A655"/>
      <x:c r="B655"/>
      <x:c r="C655"/>
      <x:c r="D655"/>
      <x:c r="E655"/>
      <x:c r="F655"/>
      <x:c r="G655"/>
      <x:c r="H655"/>
      <x:c r="I655"/>
      <x:c r="J655"/>
      <x:c r="K655" s="56"/>
      <x:c r="L655"/>
      <x:c r="M655"/>
      <x:c r="N655" s="56"/>
      <x:c r="O655"/>
      <x:c r="P655"/>
      <x:c r="Q655" s="56"/>
      <x:c r="R655"/>
      <x:c r="S655"/>
      <x:c r="T655" s="56"/>
      <x:c r="U655"/>
      <x:c r="V655"/>
      <x:c r="W655" s="36"/>
      <x:c r="X655" s="56"/>
      <x:c r="Y655"/>
      <x:c r="Z655"/>
      <x:c r="AA655"/>
      <x:c r="AB655"/>
    </x:row>
    <x:row r="656">
      <x:c r="A656"/>
      <x:c r="B656"/>
      <x:c r="C656"/>
      <x:c r="D656"/>
      <x:c r="E656"/>
      <x:c r="F656"/>
      <x:c r="G656"/>
      <x:c r="H656"/>
      <x:c r="I656"/>
      <x:c r="J656"/>
      <x:c r="K656" s="56"/>
      <x:c r="L656"/>
      <x:c r="M656"/>
      <x:c r="N656" s="56"/>
      <x:c r="O656"/>
      <x:c r="P656"/>
      <x:c r="Q656" s="56"/>
      <x:c r="R656"/>
      <x:c r="S656"/>
      <x:c r="T656" s="56"/>
      <x:c r="U656"/>
      <x:c r="V656"/>
      <x:c r="W656" s="36"/>
      <x:c r="X656" s="56"/>
      <x:c r="Y656"/>
      <x:c r="Z656"/>
      <x:c r="AA656"/>
      <x:c r="AB656"/>
    </x:row>
    <x:row r="657">
      <x:c r="A657"/>
      <x:c r="B657"/>
      <x:c r="C657"/>
      <x:c r="D657"/>
      <x:c r="E657"/>
      <x:c r="F657"/>
      <x:c r="G657"/>
      <x:c r="H657"/>
      <x:c r="I657"/>
      <x:c r="J657"/>
      <x:c r="K657" s="56"/>
      <x:c r="L657"/>
      <x:c r="M657"/>
      <x:c r="N657" s="56"/>
      <x:c r="O657"/>
      <x:c r="P657"/>
      <x:c r="Q657" s="56"/>
      <x:c r="R657"/>
      <x:c r="S657"/>
      <x:c r="T657" s="56"/>
      <x:c r="U657"/>
      <x:c r="V657"/>
      <x:c r="W657" s="36"/>
      <x:c r="X657" s="56"/>
      <x:c r="Y657"/>
      <x:c r="Z657"/>
      <x:c r="AA657"/>
      <x:c r="AB657"/>
    </x:row>
    <x:row r="658">
      <x:c r="A658"/>
      <x:c r="B658"/>
      <x:c r="C658"/>
      <x:c r="D658"/>
      <x:c r="E658"/>
      <x:c r="F658"/>
      <x:c r="G658"/>
      <x:c r="H658"/>
      <x:c r="I658"/>
      <x:c r="J658"/>
      <x:c r="K658" s="56"/>
      <x:c r="L658"/>
      <x:c r="M658"/>
      <x:c r="N658" s="56"/>
      <x:c r="O658"/>
      <x:c r="P658"/>
      <x:c r="Q658" s="56"/>
      <x:c r="R658"/>
      <x:c r="S658"/>
      <x:c r="T658" s="56"/>
      <x:c r="U658"/>
      <x:c r="V658"/>
      <x:c r="W658" s="36"/>
      <x:c r="X658" s="56"/>
      <x:c r="Y658"/>
      <x:c r="Z658"/>
      <x:c r="AA658"/>
      <x:c r="AB658"/>
    </x:row>
    <x:row r="659">
      <x:c r="A659"/>
      <x:c r="B659"/>
      <x:c r="C659"/>
      <x:c r="D659"/>
      <x:c r="E659"/>
      <x:c r="F659"/>
      <x:c r="G659"/>
      <x:c r="H659"/>
      <x:c r="I659"/>
      <x:c r="J659"/>
      <x:c r="K659" s="56"/>
      <x:c r="L659"/>
      <x:c r="M659"/>
      <x:c r="N659" s="56"/>
      <x:c r="O659"/>
      <x:c r="P659"/>
      <x:c r="Q659" s="56"/>
      <x:c r="R659"/>
      <x:c r="S659"/>
      <x:c r="T659" s="56"/>
      <x:c r="U659"/>
      <x:c r="V659"/>
      <x:c r="W659" s="36"/>
      <x:c r="X659" s="56"/>
      <x:c r="Y659"/>
      <x:c r="Z659"/>
      <x:c r="AA659"/>
      <x:c r="AB659"/>
    </x:row>
    <x:row r="660">
      <x:c r="A660"/>
      <x:c r="B660"/>
      <x:c r="C660"/>
      <x:c r="D660"/>
      <x:c r="E660"/>
      <x:c r="F660"/>
      <x:c r="G660"/>
      <x:c r="H660"/>
      <x:c r="I660"/>
      <x:c r="J660"/>
      <x:c r="K660" s="56"/>
      <x:c r="L660"/>
      <x:c r="M660"/>
      <x:c r="N660" s="56"/>
      <x:c r="O660"/>
      <x:c r="P660"/>
      <x:c r="Q660" s="56"/>
      <x:c r="R660"/>
      <x:c r="S660"/>
      <x:c r="T660" s="56"/>
      <x:c r="U660"/>
      <x:c r="V660"/>
      <x:c r="W660" s="36"/>
      <x:c r="X660" s="56"/>
      <x:c r="Y660"/>
      <x:c r="Z660"/>
      <x:c r="AA660"/>
      <x:c r="AB660"/>
    </x:row>
    <x:row r="661">
      <x:c r="A661"/>
      <x:c r="B661"/>
      <x:c r="C661"/>
      <x:c r="D661"/>
      <x:c r="E661"/>
      <x:c r="F661"/>
      <x:c r="G661"/>
      <x:c r="H661"/>
      <x:c r="I661"/>
      <x:c r="J661"/>
      <x:c r="K661" s="56"/>
      <x:c r="L661"/>
      <x:c r="M661"/>
      <x:c r="N661" s="56"/>
      <x:c r="O661"/>
      <x:c r="P661"/>
      <x:c r="Q661" s="56"/>
      <x:c r="R661"/>
      <x:c r="S661"/>
      <x:c r="T661" s="56"/>
      <x:c r="U661"/>
      <x:c r="V661"/>
      <x:c r="W661" s="36"/>
      <x:c r="X661" s="56"/>
      <x:c r="Y661"/>
      <x:c r="Z661"/>
      <x:c r="AA661"/>
      <x:c r="AB661"/>
    </x:row>
    <x:row r="662">
      <x:c r="A662"/>
      <x:c r="B662"/>
      <x:c r="C662"/>
      <x:c r="D662"/>
      <x:c r="E662"/>
      <x:c r="F662"/>
      <x:c r="G662"/>
      <x:c r="H662"/>
      <x:c r="I662"/>
      <x:c r="J662"/>
      <x:c r="K662" s="56"/>
      <x:c r="L662"/>
      <x:c r="M662"/>
      <x:c r="N662" s="56"/>
      <x:c r="O662"/>
      <x:c r="P662"/>
      <x:c r="Q662" s="56"/>
      <x:c r="R662"/>
      <x:c r="S662"/>
      <x:c r="T662" s="56"/>
      <x:c r="U662"/>
      <x:c r="V662"/>
      <x:c r="W662" s="36"/>
      <x:c r="X662" s="56"/>
      <x:c r="Y662"/>
      <x:c r="Z662"/>
      <x:c r="AA662"/>
      <x:c r="AB662"/>
    </x:row>
    <x:row r="663">
      <x:c r="A663"/>
      <x:c r="B663"/>
      <x:c r="C663"/>
      <x:c r="D663"/>
      <x:c r="E663"/>
      <x:c r="F663"/>
      <x:c r="G663"/>
      <x:c r="H663"/>
      <x:c r="I663"/>
      <x:c r="J663"/>
      <x:c r="K663" s="56"/>
      <x:c r="L663"/>
      <x:c r="M663"/>
      <x:c r="N663" s="56"/>
      <x:c r="O663"/>
      <x:c r="P663"/>
      <x:c r="Q663" s="56"/>
      <x:c r="R663"/>
      <x:c r="S663"/>
      <x:c r="T663" s="56"/>
      <x:c r="U663"/>
      <x:c r="V663"/>
      <x:c r="W663" s="36"/>
      <x:c r="X663" s="56"/>
      <x:c r="Y663"/>
      <x:c r="Z663"/>
      <x:c r="AA663"/>
      <x:c r="AB663"/>
    </x:row>
    <x:row r="664">
      <x:c r="A664"/>
      <x:c r="B664"/>
      <x:c r="C664"/>
      <x:c r="D664"/>
      <x:c r="E664"/>
      <x:c r="F664"/>
      <x:c r="G664"/>
      <x:c r="H664"/>
      <x:c r="I664"/>
      <x:c r="J664"/>
      <x:c r="K664" s="56"/>
      <x:c r="L664"/>
      <x:c r="M664"/>
      <x:c r="N664" s="56"/>
      <x:c r="O664"/>
      <x:c r="P664"/>
      <x:c r="Q664" s="56"/>
      <x:c r="R664"/>
      <x:c r="S664"/>
      <x:c r="T664" s="56"/>
      <x:c r="U664"/>
      <x:c r="V664"/>
      <x:c r="W664" s="36"/>
      <x:c r="X664" s="56"/>
      <x:c r="Y664"/>
      <x:c r="Z664"/>
      <x:c r="AA664"/>
      <x:c r="AB664"/>
    </x:row>
    <x:row r="665">
      <x:c r="A665"/>
      <x:c r="B665"/>
      <x:c r="C665"/>
      <x:c r="D665"/>
      <x:c r="E665"/>
      <x:c r="F665"/>
      <x:c r="G665"/>
      <x:c r="H665"/>
      <x:c r="I665"/>
      <x:c r="J665"/>
      <x:c r="K665" s="56"/>
      <x:c r="L665"/>
      <x:c r="M665"/>
      <x:c r="N665" s="56"/>
      <x:c r="O665"/>
      <x:c r="P665"/>
      <x:c r="Q665" s="56"/>
      <x:c r="R665"/>
      <x:c r="S665"/>
      <x:c r="T665" s="56"/>
      <x:c r="U665"/>
      <x:c r="V665"/>
      <x:c r="W665" s="36"/>
      <x:c r="X665" s="56"/>
      <x:c r="Y665"/>
      <x:c r="Z665"/>
      <x:c r="AA665"/>
      <x:c r="AB665"/>
    </x:row>
    <x:row r="666">
      <x:c r="A666"/>
      <x:c r="B666"/>
      <x:c r="C666"/>
      <x:c r="D666"/>
      <x:c r="E666"/>
      <x:c r="F666"/>
      <x:c r="G666"/>
      <x:c r="H666"/>
      <x:c r="I666"/>
      <x:c r="J666"/>
      <x:c r="K666" s="56"/>
      <x:c r="L666"/>
      <x:c r="M666"/>
      <x:c r="N666" s="56"/>
      <x:c r="O666"/>
      <x:c r="P666"/>
      <x:c r="Q666" s="56"/>
      <x:c r="R666"/>
      <x:c r="S666"/>
      <x:c r="T666" s="56"/>
      <x:c r="U666"/>
      <x:c r="V666"/>
      <x:c r="W666" s="36"/>
      <x:c r="X666" s="56"/>
      <x:c r="Y666"/>
      <x:c r="Z666"/>
      <x:c r="AA666"/>
      <x:c r="AB666"/>
    </x:row>
    <x:row r="667">
      <x:c r="A667"/>
      <x:c r="B667"/>
      <x:c r="C667"/>
      <x:c r="D667"/>
      <x:c r="E667"/>
      <x:c r="F667"/>
      <x:c r="G667"/>
      <x:c r="H667"/>
      <x:c r="I667"/>
      <x:c r="J667"/>
      <x:c r="K667" s="56"/>
      <x:c r="L667"/>
      <x:c r="M667"/>
      <x:c r="N667" s="56"/>
      <x:c r="O667"/>
      <x:c r="P667"/>
      <x:c r="Q667" s="56"/>
      <x:c r="R667"/>
      <x:c r="S667"/>
      <x:c r="T667" s="56"/>
      <x:c r="U667"/>
      <x:c r="V667"/>
      <x:c r="W667" s="36"/>
      <x:c r="X667" s="56"/>
      <x:c r="Y667"/>
      <x:c r="Z667"/>
      <x:c r="AA667"/>
      <x:c r="AB667"/>
    </x:row>
    <x:row r="668">
      <x:c r="A668"/>
      <x:c r="B668"/>
      <x:c r="C668"/>
      <x:c r="D668"/>
      <x:c r="E668"/>
      <x:c r="F668"/>
      <x:c r="G668"/>
      <x:c r="H668"/>
      <x:c r="I668"/>
      <x:c r="J668"/>
      <x:c r="K668" s="56"/>
      <x:c r="L668"/>
      <x:c r="M668"/>
      <x:c r="N668" s="56"/>
      <x:c r="O668"/>
      <x:c r="P668"/>
      <x:c r="Q668" s="56"/>
      <x:c r="R668"/>
      <x:c r="S668"/>
      <x:c r="T668" s="56"/>
      <x:c r="U668"/>
      <x:c r="V668"/>
      <x:c r="W668" s="36"/>
      <x:c r="X668" s="56"/>
      <x:c r="Y668"/>
      <x:c r="Z668"/>
      <x:c r="AA668"/>
      <x:c r="AB668"/>
    </x:row>
    <x:row r="669">
      <x:c r="A669"/>
      <x:c r="B669"/>
      <x:c r="C669"/>
      <x:c r="D669"/>
      <x:c r="E669"/>
      <x:c r="F669"/>
      <x:c r="G669"/>
      <x:c r="H669"/>
      <x:c r="I669"/>
      <x:c r="J669"/>
      <x:c r="K669" s="56"/>
      <x:c r="L669"/>
      <x:c r="M669"/>
      <x:c r="N669" s="56"/>
      <x:c r="O669"/>
      <x:c r="P669"/>
      <x:c r="Q669" s="56"/>
      <x:c r="R669"/>
      <x:c r="S669"/>
      <x:c r="T669" s="56"/>
      <x:c r="U669"/>
      <x:c r="V669"/>
      <x:c r="W669" s="36"/>
      <x:c r="X669" s="56"/>
      <x:c r="Y669"/>
      <x:c r="Z669"/>
      <x:c r="AA669"/>
      <x:c r="AB669"/>
    </x:row>
    <x:row r="670">
      <x:c r="A670"/>
      <x:c r="B670"/>
      <x:c r="C670"/>
      <x:c r="D670"/>
      <x:c r="E670"/>
      <x:c r="F670"/>
      <x:c r="G670"/>
      <x:c r="H670"/>
      <x:c r="I670"/>
      <x:c r="J670"/>
      <x:c r="K670" s="56"/>
      <x:c r="L670"/>
      <x:c r="M670"/>
      <x:c r="N670" s="56"/>
      <x:c r="O670"/>
      <x:c r="P670"/>
      <x:c r="Q670" s="56"/>
      <x:c r="R670"/>
      <x:c r="S670"/>
      <x:c r="T670" s="56"/>
      <x:c r="U670"/>
      <x:c r="V670"/>
      <x:c r="W670" s="36"/>
      <x:c r="X670" s="56"/>
      <x:c r="Y670"/>
      <x:c r="Z670"/>
      <x:c r="AA670"/>
      <x:c r="AB670"/>
    </x:row>
    <x:row r="671">
      <x:c r="A671"/>
      <x:c r="B671"/>
      <x:c r="C671"/>
      <x:c r="D671"/>
      <x:c r="E671"/>
      <x:c r="F671"/>
      <x:c r="G671"/>
      <x:c r="H671"/>
      <x:c r="I671"/>
      <x:c r="J671"/>
      <x:c r="K671" s="56"/>
      <x:c r="L671"/>
      <x:c r="M671"/>
      <x:c r="N671" s="56"/>
      <x:c r="O671"/>
      <x:c r="P671"/>
      <x:c r="Q671" s="56"/>
      <x:c r="R671"/>
      <x:c r="S671"/>
      <x:c r="T671" s="56"/>
      <x:c r="U671"/>
      <x:c r="V671"/>
      <x:c r="W671" s="36"/>
      <x:c r="X671" s="56"/>
      <x:c r="Y671"/>
      <x:c r="Z671"/>
      <x:c r="AA671"/>
      <x:c r="AB671"/>
    </x:row>
    <x:row r="672">
      <x:c r="A672"/>
      <x:c r="B672"/>
      <x:c r="C672"/>
      <x:c r="D672"/>
      <x:c r="E672"/>
      <x:c r="F672"/>
      <x:c r="G672"/>
      <x:c r="H672"/>
      <x:c r="I672"/>
      <x:c r="J672"/>
      <x:c r="K672" s="56"/>
      <x:c r="L672"/>
      <x:c r="M672"/>
      <x:c r="N672" s="56"/>
      <x:c r="O672"/>
      <x:c r="P672"/>
      <x:c r="Q672" s="56"/>
      <x:c r="R672"/>
      <x:c r="S672"/>
      <x:c r="T672" s="56"/>
      <x:c r="U672"/>
      <x:c r="V672"/>
      <x:c r="W672" s="36"/>
      <x:c r="X672" s="56"/>
      <x:c r="Y672"/>
      <x:c r="Z672"/>
      <x:c r="AA672"/>
      <x:c r="AB672"/>
    </x:row>
    <x:row r="673">
      <x:c r="A673"/>
      <x:c r="B673"/>
      <x:c r="C673"/>
      <x:c r="D673"/>
      <x:c r="E673"/>
      <x:c r="F673"/>
      <x:c r="G673"/>
      <x:c r="H673"/>
      <x:c r="I673"/>
      <x:c r="J673"/>
      <x:c r="K673" s="56"/>
      <x:c r="L673"/>
      <x:c r="M673"/>
      <x:c r="N673" s="56"/>
      <x:c r="O673"/>
      <x:c r="P673"/>
      <x:c r="Q673" s="56"/>
      <x:c r="R673"/>
      <x:c r="S673"/>
      <x:c r="T673" s="56"/>
      <x:c r="U673"/>
      <x:c r="V673"/>
      <x:c r="W673" s="36"/>
      <x:c r="X673" s="56"/>
      <x:c r="Y673"/>
      <x:c r="Z673"/>
      <x:c r="AA673"/>
      <x:c r="AB673"/>
    </x:row>
    <x:row r="674">
      <x:c r="A674"/>
      <x:c r="B674"/>
      <x:c r="C674"/>
      <x:c r="D674"/>
      <x:c r="E674"/>
      <x:c r="F674"/>
      <x:c r="G674"/>
      <x:c r="H674"/>
      <x:c r="I674"/>
      <x:c r="J674"/>
      <x:c r="K674" s="56"/>
      <x:c r="L674"/>
      <x:c r="M674"/>
      <x:c r="N674" s="56"/>
      <x:c r="O674"/>
      <x:c r="P674"/>
      <x:c r="Q674" s="56"/>
      <x:c r="R674"/>
      <x:c r="S674"/>
      <x:c r="T674" s="56"/>
      <x:c r="U674"/>
      <x:c r="V674"/>
      <x:c r="W674" s="36"/>
      <x:c r="X674" s="56"/>
      <x:c r="Y674"/>
      <x:c r="Z674"/>
      <x:c r="AA674"/>
      <x:c r="AB674"/>
    </x:row>
    <x:row r="675">
      <x:c r="A675"/>
      <x:c r="B675"/>
      <x:c r="C675"/>
      <x:c r="D675"/>
      <x:c r="E675"/>
      <x:c r="F675"/>
      <x:c r="G675"/>
      <x:c r="H675"/>
      <x:c r="I675"/>
      <x:c r="J675"/>
      <x:c r="K675" s="56"/>
      <x:c r="L675"/>
      <x:c r="M675"/>
      <x:c r="N675" s="56"/>
      <x:c r="O675"/>
      <x:c r="P675"/>
      <x:c r="Q675" s="56"/>
      <x:c r="R675"/>
      <x:c r="S675"/>
      <x:c r="T675" s="56"/>
      <x:c r="U675"/>
      <x:c r="V675"/>
      <x:c r="W675" s="36"/>
      <x:c r="X675" s="56"/>
      <x:c r="Y675"/>
      <x:c r="Z675"/>
      <x:c r="AA675"/>
      <x:c r="AB675"/>
    </x:row>
    <x:row r="676">
      <x:c r="A676"/>
      <x:c r="B676"/>
      <x:c r="C676"/>
      <x:c r="D676"/>
      <x:c r="E676"/>
      <x:c r="F676"/>
      <x:c r="G676"/>
      <x:c r="H676"/>
      <x:c r="I676"/>
      <x:c r="J676"/>
      <x:c r="K676" s="56"/>
      <x:c r="L676"/>
      <x:c r="M676"/>
      <x:c r="N676" s="56"/>
      <x:c r="O676"/>
      <x:c r="P676"/>
      <x:c r="Q676" s="56"/>
      <x:c r="R676"/>
      <x:c r="S676"/>
      <x:c r="T676" s="56"/>
      <x:c r="U676"/>
      <x:c r="V676"/>
      <x:c r="W676" s="36"/>
      <x:c r="X676" s="56"/>
      <x:c r="Y676"/>
      <x:c r="Z676"/>
      <x:c r="AA676"/>
      <x:c r="AB676"/>
    </x:row>
    <x:row r="677">
      <x:c r="A677"/>
      <x:c r="B677"/>
      <x:c r="C677"/>
      <x:c r="D677"/>
      <x:c r="E677"/>
      <x:c r="F677"/>
      <x:c r="G677"/>
      <x:c r="H677"/>
      <x:c r="I677"/>
      <x:c r="J677"/>
      <x:c r="K677" s="56"/>
      <x:c r="L677"/>
      <x:c r="M677"/>
      <x:c r="N677" s="56"/>
      <x:c r="O677"/>
      <x:c r="P677"/>
      <x:c r="Q677" s="56"/>
      <x:c r="R677"/>
      <x:c r="S677"/>
      <x:c r="T677" s="56"/>
      <x:c r="U677"/>
      <x:c r="V677"/>
      <x:c r="W677" s="36"/>
      <x:c r="X677" s="56"/>
      <x:c r="Y677"/>
      <x:c r="Z677"/>
      <x:c r="AA677"/>
      <x:c r="AB677"/>
    </x:row>
    <x:row r="678">
      <x:c r="A678"/>
      <x:c r="B678"/>
      <x:c r="C678"/>
      <x:c r="D678"/>
      <x:c r="E678"/>
      <x:c r="F678"/>
      <x:c r="G678"/>
      <x:c r="H678"/>
      <x:c r="I678"/>
      <x:c r="J678"/>
      <x:c r="K678" s="56"/>
      <x:c r="L678"/>
      <x:c r="M678"/>
      <x:c r="N678" s="56"/>
      <x:c r="O678"/>
      <x:c r="P678"/>
      <x:c r="Q678" s="56"/>
      <x:c r="R678"/>
      <x:c r="S678"/>
      <x:c r="T678" s="56"/>
      <x:c r="U678"/>
      <x:c r="V678"/>
      <x:c r="W678" s="36"/>
      <x:c r="X678" s="56"/>
      <x:c r="Y678"/>
      <x:c r="Z678"/>
      <x:c r="AA678"/>
      <x:c r="AB678"/>
    </x:row>
    <x:row r="679">
      <x:c r="A679"/>
      <x:c r="B679"/>
      <x:c r="C679"/>
      <x:c r="D679"/>
      <x:c r="E679"/>
      <x:c r="F679"/>
      <x:c r="G679"/>
      <x:c r="H679"/>
      <x:c r="I679"/>
      <x:c r="J679"/>
      <x:c r="K679" s="56"/>
      <x:c r="L679"/>
      <x:c r="M679"/>
      <x:c r="N679" s="56"/>
      <x:c r="O679"/>
      <x:c r="P679"/>
      <x:c r="Q679" s="56"/>
      <x:c r="R679"/>
      <x:c r="S679"/>
      <x:c r="T679" s="56"/>
      <x:c r="U679"/>
      <x:c r="V679"/>
      <x:c r="W679" s="36"/>
      <x:c r="X679" s="56"/>
      <x:c r="Y679"/>
      <x:c r="Z679"/>
      <x:c r="AA679"/>
      <x:c r="AB679"/>
    </x:row>
    <x:row r="680">
      <x:c r="A680"/>
      <x:c r="B680"/>
      <x:c r="C680"/>
      <x:c r="D680"/>
      <x:c r="E680"/>
      <x:c r="F680"/>
      <x:c r="G680"/>
      <x:c r="H680"/>
      <x:c r="I680"/>
      <x:c r="J680"/>
      <x:c r="K680" s="56"/>
      <x:c r="L680"/>
      <x:c r="M680"/>
      <x:c r="N680" s="56"/>
      <x:c r="O680"/>
      <x:c r="P680"/>
      <x:c r="Q680" s="56"/>
      <x:c r="R680"/>
      <x:c r="S680"/>
      <x:c r="T680" s="56"/>
      <x:c r="U680"/>
      <x:c r="V680"/>
      <x:c r="W680" s="36"/>
      <x:c r="X680" s="56"/>
      <x:c r="Y680"/>
      <x:c r="Z680"/>
      <x:c r="AA680"/>
      <x:c r="AB680"/>
    </x:row>
    <x:row r="681">
      <x:c r="A681"/>
      <x:c r="B681"/>
      <x:c r="C681"/>
      <x:c r="D681"/>
      <x:c r="E681"/>
      <x:c r="F681"/>
      <x:c r="G681"/>
      <x:c r="H681"/>
      <x:c r="I681"/>
      <x:c r="J681"/>
      <x:c r="K681" s="56"/>
      <x:c r="L681"/>
      <x:c r="M681"/>
      <x:c r="N681" s="56"/>
      <x:c r="O681"/>
      <x:c r="P681"/>
      <x:c r="Q681" s="56"/>
      <x:c r="R681"/>
      <x:c r="S681"/>
      <x:c r="T681" s="56"/>
      <x:c r="U681"/>
      <x:c r="V681"/>
      <x:c r="W681" s="36"/>
      <x:c r="X681" s="56"/>
      <x:c r="Y681"/>
      <x:c r="Z681"/>
      <x:c r="AA681"/>
      <x:c r="AB681"/>
    </x:row>
    <x:row r="682">
      <x:c r="A682"/>
      <x:c r="B682"/>
      <x:c r="C682"/>
      <x:c r="D682"/>
      <x:c r="E682"/>
      <x:c r="F682"/>
      <x:c r="G682"/>
      <x:c r="H682"/>
      <x:c r="I682"/>
      <x:c r="J682"/>
      <x:c r="K682" s="56"/>
      <x:c r="L682"/>
      <x:c r="M682"/>
      <x:c r="N682" s="56"/>
      <x:c r="O682"/>
      <x:c r="P682"/>
      <x:c r="Q682" s="56"/>
      <x:c r="R682"/>
      <x:c r="S682"/>
      <x:c r="T682" s="56"/>
      <x:c r="U682"/>
      <x:c r="V682"/>
      <x:c r="W682" s="36"/>
      <x:c r="X682" s="56"/>
      <x:c r="Y682"/>
      <x:c r="Z682"/>
      <x:c r="AA682"/>
      <x:c r="AB682"/>
    </x:row>
    <x:row r="683">
      <x:c r="A683"/>
      <x:c r="B683"/>
      <x:c r="C683"/>
      <x:c r="D683"/>
      <x:c r="E683"/>
      <x:c r="F683"/>
      <x:c r="G683"/>
      <x:c r="H683"/>
      <x:c r="I683"/>
      <x:c r="J683"/>
      <x:c r="K683" s="56"/>
      <x:c r="L683"/>
      <x:c r="M683"/>
      <x:c r="N683" s="56"/>
      <x:c r="O683"/>
      <x:c r="P683"/>
      <x:c r="Q683" s="56"/>
      <x:c r="R683"/>
      <x:c r="S683"/>
      <x:c r="T683" s="56"/>
      <x:c r="U683"/>
      <x:c r="V683"/>
      <x:c r="W683" s="36"/>
      <x:c r="X683" s="56"/>
      <x:c r="Y683"/>
      <x:c r="Z683"/>
      <x:c r="AA683"/>
      <x:c r="AB683"/>
    </x:row>
    <x:row r="684">
      <x:c r="A684"/>
      <x:c r="B684"/>
      <x:c r="C684"/>
      <x:c r="D684"/>
      <x:c r="E684"/>
      <x:c r="F684"/>
      <x:c r="G684"/>
      <x:c r="H684"/>
      <x:c r="I684"/>
      <x:c r="J684"/>
      <x:c r="K684" s="56"/>
      <x:c r="L684"/>
      <x:c r="M684"/>
      <x:c r="N684" s="56"/>
      <x:c r="O684"/>
      <x:c r="P684"/>
      <x:c r="Q684" s="56"/>
      <x:c r="R684"/>
      <x:c r="S684"/>
      <x:c r="T684" s="56"/>
      <x:c r="U684"/>
      <x:c r="V684"/>
      <x:c r="W684" s="36"/>
      <x:c r="X684" s="56"/>
      <x:c r="Y684"/>
      <x:c r="Z684"/>
      <x:c r="AA684"/>
      <x:c r="AB684"/>
    </x:row>
    <x:row r="685">
      <x:c r="A685"/>
      <x:c r="B685"/>
      <x:c r="C685"/>
      <x:c r="D685"/>
      <x:c r="E685"/>
      <x:c r="F685"/>
      <x:c r="G685"/>
      <x:c r="H685"/>
      <x:c r="I685"/>
      <x:c r="J685"/>
      <x:c r="K685" s="56"/>
      <x:c r="L685"/>
      <x:c r="M685"/>
      <x:c r="N685" s="56"/>
      <x:c r="O685"/>
      <x:c r="P685"/>
      <x:c r="Q685" s="56"/>
      <x:c r="R685"/>
      <x:c r="S685"/>
      <x:c r="T685" s="56"/>
      <x:c r="U685"/>
      <x:c r="V685"/>
      <x:c r="W685" s="36"/>
      <x:c r="X685" s="56"/>
      <x:c r="Y685"/>
      <x:c r="Z685"/>
      <x:c r="AA685"/>
      <x:c r="AB685"/>
    </x:row>
    <x:row r="686">
      <x:c r="A686"/>
      <x:c r="B686"/>
      <x:c r="C686"/>
      <x:c r="D686"/>
      <x:c r="E686"/>
      <x:c r="F686"/>
      <x:c r="G686"/>
      <x:c r="H686"/>
      <x:c r="I686"/>
      <x:c r="J686"/>
      <x:c r="K686" s="56"/>
      <x:c r="L686"/>
      <x:c r="M686"/>
      <x:c r="N686" s="56"/>
      <x:c r="O686"/>
      <x:c r="P686"/>
      <x:c r="Q686" s="56"/>
      <x:c r="R686"/>
      <x:c r="S686"/>
      <x:c r="T686" s="56"/>
      <x:c r="U686"/>
      <x:c r="V686"/>
      <x:c r="W686" s="36"/>
      <x:c r="X686" s="56"/>
      <x:c r="Y686"/>
      <x:c r="Z686"/>
      <x:c r="AA686"/>
      <x:c r="AB686"/>
    </x:row>
    <x:row r="687">
      <x:c r="A687"/>
      <x:c r="B687"/>
      <x:c r="C687"/>
      <x:c r="D687"/>
      <x:c r="E687"/>
      <x:c r="F687"/>
      <x:c r="G687"/>
      <x:c r="H687"/>
      <x:c r="I687"/>
      <x:c r="J687"/>
      <x:c r="K687" s="56"/>
      <x:c r="L687"/>
      <x:c r="M687"/>
      <x:c r="N687" s="56"/>
      <x:c r="O687"/>
      <x:c r="P687"/>
      <x:c r="Q687" s="56"/>
      <x:c r="R687"/>
      <x:c r="S687"/>
      <x:c r="T687" s="56"/>
      <x:c r="U687"/>
      <x:c r="V687"/>
      <x:c r="W687" s="36"/>
      <x:c r="X687" s="56"/>
      <x:c r="Y687"/>
      <x:c r="Z687"/>
      <x:c r="AA687"/>
      <x:c r="AB687"/>
    </x:row>
    <x:row r="688">
      <x:c r="A688"/>
      <x:c r="B688"/>
      <x:c r="C688"/>
      <x:c r="D688"/>
      <x:c r="E688"/>
      <x:c r="F688"/>
      <x:c r="G688"/>
      <x:c r="H688"/>
      <x:c r="I688"/>
      <x:c r="J688"/>
      <x:c r="K688" s="56"/>
      <x:c r="L688"/>
      <x:c r="M688"/>
      <x:c r="N688" s="56"/>
      <x:c r="O688"/>
      <x:c r="P688"/>
      <x:c r="Q688" s="56"/>
      <x:c r="R688"/>
      <x:c r="S688"/>
      <x:c r="T688" s="56"/>
      <x:c r="U688"/>
      <x:c r="V688"/>
      <x:c r="W688" s="36"/>
      <x:c r="X688" s="56"/>
      <x:c r="Y688"/>
      <x:c r="Z688"/>
      <x:c r="AA688"/>
      <x:c r="AB688"/>
    </x:row>
    <x:row r="689">
      <x:c r="A689"/>
      <x:c r="B689"/>
      <x:c r="C689"/>
      <x:c r="D689"/>
      <x:c r="E689"/>
      <x:c r="F689"/>
      <x:c r="G689"/>
      <x:c r="H689"/>
      <x:c r="I689"/>
      <x:c r="J689"/>
      <x:c r="K689" s="56"/>
      <x:c r="L689"/>
      <x:c r="M689"/>
      <x:c r="N689" s="56"/>
      <x:c r="O689"/>
      <x:c r="P689"/>
      <x:c r="Q689" s="56"/>
      <x:c r="R689"/>
      <x:c r="S689"/>
      <x:c r="T689" s="56"/>
      <x:c r="U689"/>
      <x:c r="V689"/>
      <x:c r="W689" s="36"/>
      <x:c r="X689" s="56"/>
      <x:c r="Y689"/>
      <x:c r="Z689"/>
      <x:c r="AA689"/>
      <x:c r="AB689"/>
    </x:row>
    <x:row r="690">
      <x:c r="A690"/>
      <x:c r="B690"/>
      <x:c r="C690"/>
      <x:c r="D690"/>
      <x:c r="E690"/>
      <x:c r="F690"/>
      <x:c r="G690"/>
      <x:c r="H690"/>
      <x:c r="I690"/>
      <x:c r="J690"/>
      <x:c r="K690" s="56"/>
      <x:c r="L690"/>
      <x:c r="M690"/>
      <x:c r="N690" s="56"/>
      <x:c r="O690"/>
      <x:c r="P690"/>
      <x:c r="Q690" s="56"/>
      <x:c r="R690"/>
      <x:c r="S690"/>
      <x:c r="T690" s="56"/>
      <x:c r="U690"/>
      <x:c r="V690"/>
      <x:c r="W690" s="36"/>
      <x:c r="X690" s="56"/>
      <x:c r="Y690"/>
      <x:c r="Z690"/>
      <x:c r="AA690"/>
      <x:c r="AB690"/>
    </x:row>
    <x:row r="691">
      <x:c r="A691"/>
      <x:c r="B691"/>
      <x:c r="C691"/>
      <x:c r="D691"/>
      <x:c r="E691"/>
      <x:c r="F691"/>
      <x:c r="G691"/>
      <x:c r="H691"/>
      <x:c r="I691"/>
      <x:c r="J691"/>
      <x:c r="K691" s="56"/>
      <x:c r="L691"/>
      <x:c r="M691"/>
      <x:c r="N691" s="56"/>
      <x:c r="O691"/>
      <x:c r="P691"/>
      <x:c r="Q691" s="56"/>
      <x:c r="R691"/>
      <x:c r="S691"/>
      <x:c r="T691" s="56"/>
      <x:c r="U691"/>
      <x:c r="V691"/>
      <x:c r="W691" s="36"/>
      <x:c r="X691" s="56"/>
      <x:c r="Y691"/>
      <x:c r="Z691"/>
      <x:c r="AA691"/>
      <x:c r="AB691"/>
    </x:row>
    <x:row r="692">
      <x:c r="A692"/>
      <x:c r="B692"/>
      <x:c r="C692"/>
      <x:c r="D692"/>
      <x:c r="E692"/>
      <x:c r="F692"/>
      <x:c r="G692"/>
      <x:c r="H692"/>
      <x:c r="I692"/>
      <x:c r="J692"/>
      <x:c r="K692" s="56"/>
      <x:c r="L692"/>
      <x:c r="M692"/>
      <x:c r="N692" s="56"/>
      <x:c r="O692"/>
      <x:c r="P692"/>
      <x:c r="Q692" s="56"/>
      <x:c r="R692"/>
      <x:c r="S692"/>
      <x:c r="T692" s="56"/>
      <x:c r="U692"/>
      <x:c r="V692"/>
      <x:c r="W692" s="36"/>
      <x:c r="X692" s="56"/>
      <x:c r="Y692"/>
      <x:c r="Z692"/>
      <x:c r="AA692"/>
      <x:c r="AB692"/>
    </x:row>
    <x:row r="693">
      <x:c r="A693"/>
      <x:c r="B693"/>
      <x:c r="C693"/>
      <x:c r="D693"/>
      <x:c r="E693"/>
      <x:c r="F693"/>
      <x:c r="G693"/>
      <x:c r="H693"/>
      <x:c r="I693"/>
      <x:c r="J693"/>
      <x:c r="K693" s="56"/>
      <x:c r="L693"/>
      <x:c r="M693"/>
      <x:c r="N693" s="56"/>
      <x:c r="O693"/>
      <x:c r="P693"/>
      <x:c r="Q693" s="56"/>
      <x:c r="R693"/>
      <x:c r="S693"/>
      <x:c r="T693" s="56"/>
      <x:c r="U693"/>
      <x:c r="V693"/>
      <x:c r="W693" s="36"/>
      <x:c r="X693" s="56"/>
      <x:c r="Y693"/>
      <x:c r="Z693"/>
      <x:c r="AA693"/>
      <x:c r="AB693"/>
    </x:row>
    <x:row r="694">
      <x:c r="A694"/>
      <x:c r="B694"/>
      <x:c r="C694"/>
      <x:c r="D694"/>
      <x:c r="E694"/>
      <x:c r="F694"/>
      <x:c r="G694"/>
      <x:c r="H694"/>
      <x:c r="I694"/>
      <x:c r="J694"/>
      <x:c r="K694" s="56"/>
      <x:c r="L694"/>
      <x:c r="M694"/>
      <x:c r="N694" s="56"/>
      <x:c r="O694"/>
      <x:c r="P694"/>
      <x:c r="Q694" s="56"/>
      <x:c r="R694"/>
      <x:c r="S694"/>
      <x:c r="T694" s="56"/>
      <x:c r="U694"/>
      <x:c r="V694"/>
      <x:c r="W694" s="36"/>
      <x:c r="X694" s="56"/>
      <x:c r="Y694"/>
      <x:c r="Z694"/>
      <x:c r="AA694"/>
      <x:c r="AB694"/>
    </x:row>
    <x:row r="695">
      <x:c r="A695"/>
      <x:c r="B695"/>
      <x:c r="C695"/>
      <x:c r="D695"/>
      <x:c r="E695"/>
      <x:c r="F695"/>
      <x:c r="G695"/>
      <x:c r="H695"/>
      <x:c r="I695"/>
      <x:c r="J695"/>
      <x:c r="K695" s="56"/>
      <x:c r="L695"/>
      <x:c r="M695"/>
      <x:c r="N695" s="56"/>
      <x:c r="O695"/>
      <x:c r="P695"/>
      <x:c r="Q695" s="56"/>
      <x:c r="R695"/>
      <x:c r="S695"/>
      <x:c r="T695" s="56"/>
      <x:c r="U695"/>
      <x:c r="V695"/>
      <x:c r="W695" s="36"/>
      <x:c r="X695" s="56"/>
      <x:c r="Y695"/>
      <x:c r="Z695"/>
      <x:c r="AA695"/>
      <x:c r="AB695"/>
    </x:row>
    <x:row r="696">
      <x:c r="A696"/>
      <x:c r="B696"/>
      <x:c r="C696"/>
      <x:c r="D696"/>
      <x:c r="E696"/>
      <x:c r="F696"/>
      <x:c r="G696"/>
      <x:c r="H696"/>
      <x:c r="I696"/>
      <x:c r="J696"/>
      <x:c r="K696" s="56"/>
      <x:c r="L696"/>
      <x:c r="M696"/>
      <x:c r="N696" s="56"/>
      <x:c r="O696"/>
      <x:c r="P696"/>
      <x:c r="Q696" s="56"/>
      <x:c r="R696"/>
      <x:c r="S696"/>
      <x:c r="T696" s="56"/>
      <x:c r="U696"/>
      <x:c r="V696"/>
      <x:c r="W696" s="36"/>
      <x:c r="X696" s="56"/>
      <x:c r="Y696"/>
      <x:c r="Z696"/>
      <x:c r="AA696"/>
      <x:c r="AB696"/>
    </x:row>
    <x:row r="697">
      <x:c r="A697"/>
      <x:c r="B697"/>
      <x:c r="C697"/>
      <x:c r="D697"/>
      <x:c r="E697"/>
      <x:c r="F697"/>
      <x:c r="G697"/>
      <x:c r="H697"/>
      <x:c r="I697"/>
      <x:c r="J697"/>
      <x:c r="K697" s="56"/>
      <x:c r="L697"/>
      <x:c r="M697"/>
      <x:c r="N697" s="56"/>
      <x:c r="O697"/>
      <x:c r="P697"/>
      <x:c r="Q697" s="56"/>
      <x:c r="R697"/>
      <x:c r="S697"/>
      <x:c r="T697" s="56"/>
      <x:c r="U697"/>
      <x:c r="V697"/>
      <x:c r="W697" s="36"/>
      <x:c r="X697" s="56"/>
      <x:c r="Y697"/>
      <x:c r="Z697"/>
      <x:c r="AA697"/>
      <x:c r="AB697"/>
    </x:row>
    <x:row r="698">
      <x:c r="A698"/>
      <x:c r="B698"/>
      <x:c r="C698"/>
      <x:c r="D698"/>
      <x:c r="E698"/>
      <x:c r="F698"/>
      <x:c r="G698"/>
      <x:c r="H698"/>
      <x:c r="I698"/>
      <x:c r="J698"/>
      <x:c r="K698" s="56"/>
      <x:c r="L698"/>
      <x:c r="M698"/>
      <x:c r="N698" s="56"/>
      <x:c r="O698"/>
      <x:c r="P698"/>
      <x:c r="Q698" s="56"/>
      <x:c r="R698"/>
      <x:c r="S698"/>
      <x:c r="T698" s="56"/>
      <x:c r="U698"/>
      <x:c r="V698"/>
      <x:c r="W698" s="36"/>
      <x:c r="X698" s="56"/>
      <x:c r="Y698"/>
      <x:c r="Z698"/>
      <x:c r="AA698"/>
      <x:c r="AB698"/>
    </x:row>
    <x:row r="699">
      <x:c r="A699"/>
      <x:c r="B699"/>
      <x:c r="C699"/>
      <x:c r="D699"/>
      <x:c r="E699"/>
      <x:c r="F699"/>
      <x:c r="G699"/>
      <x:c r="H699"/>
      <x:c r="I699"/>
      <x:c r="J699"/>
      <x:c r="K699" s="56"/>
      <x:c r="L699"/>
      <x:c r="M699"/>
      <x:c r="N699" s="56"/>
      <x:c r="O699"/>
      <x:c r="P699"/>
      <x:c r="Q699" s="56"/>
      <x:c r="R699"/>
      <x:c r="S699"/>
      <x:c r="T699" s="56"/>
      <x:c r="U699"/>
      <x:c r="V699"/>
      <x:c r="W699" s="36"/>
      <x:c r="X699" s="56"/>
      <x:c r="Y699"/>
      <x:c r="Z699"/>
      <x:c r="AA699"/>
      <x:c r="AB699"/>
    </x:row>
    <x:row r="700">
      <x:c r="A700"/>
      <x:c r="B700"/>
      <x:c r="C700"/>
      <x:c r="D700"/>
      <x:c r="E700"/>
      <x:c r="F700"/>
      <x:c r="G700"/>
      <x:c r="H700"/>
      <x:c r="I700"/>
      <x:c r="J700"/>
      <x:c r="K700" s="56"/>
      <x:c r="L700"/>
      <x:c r="M700"/>
      <x:c r="N700" s="56"/>
      <x:c r="O700"/>
      <x:c r="P700"/>
      <x:c r="Q700" s="56"/>
      <x:c r="R700"/>
      <x:c r="S700"/>
      <x:c r="T700" s="56"/>
      <x:c r="U700"/>
      <x:c r="V700"/>
      <x:c r="W700" s="36"/>
      <x:c r="X700" s="56"/>
      <x:c r="Y700"/>
      <x:c r="Z700"/>
      <x:c r="AA700"/>
      <x:c r="AB700"/>
    </x:row>
    <x:row r="701">
      <x:c r="A701"/>
      <x:c r="B701"/>
      <x:c r="C701"/>
      <x:c r="D701"/>
      <x:c r="E701"/>
      <x:c r="F701"/>
      <x:c r="G701"/>
      <x:c r="H701"/>
      <x:c r="I701"/>
      <x:c r="J701"/>
      <x:c r="K701" s="56"/>
      <x:c r="L701"/>
      <x:c r="M701"/>
      <x:c r="N701" s="56"/>
      <x:c r="O701"/>
      <x:c r="P701"/>
      <x:c r="Q701" s="56"/>
      <x:c r="R701"/>
      <x:c r="S701"/>
      <x:c r="T701" s="56"/>
      <x:c r="U701"/>
      <x:c r="V701"/>
      <x:c r="W701" s="36"/>
      <x:c r="X701" s="56"/>
      <x:c r="Y701"/>
      <x:c r="Z701"/>
      <x:c r="AA701"/>
      <x:c r="AB701"/>
    </x:row>
    <x:row r="702">
      <x:c r="A702"/>
      <x:c r="B702"/>
      <x:c r="C702"/>
      <x:c r="D702"/>
      <x:c r="E702"/>
      <x:c r="F702"/>
      <x:c r="G702"/>
      <x:c r="H702"/>
      <x:c r="I702"/>
      <x:c r="J702"/>
      <x:c r="K702" s="56"/>
      <x:c r="L702"/>
      <x:c r="M702"/>
      <x:c r="N702" s="56"/>
      <x:c r="O702"/>
      <x:c r="P702"/>
      <x:c r="Q702" s="56"/>
      <x:c r="R702"/>
      <x:c r="S702"/>
      <x:c r="T702" s="56"/>
      <x:c r="U702"/>
      <x:c r="V702"/>
      <x:c r="W702" s="36"/>
      <x:c r="X702" s="56"/>
      <x:c r="Y702"/>
      <x:c r="Z702"/>
      <x:c r="AA702"/>
      <x:c r="AB702"/>
    </x:row>
    <x:row r="703">
      <x:c r="A703"/>
      <x:c r="B703"/>
      <x:c r="C703"/>
      <x:c r="D703"/>
      <x:c r="E703"/>
      <x:c r="F703"/>
      <x:c r="G703"/>
      <x:c r="H703"/>
      <x:c r="I703"/>
      <x:c r="J703"/>
      <x:c r="K703" s="56"/>
      <x:c r="L703"/>
      <x:c r="M703"/>
      <x:c r="N703" s="56"/>
      <x:c r="O703"/>
      <x:c r="P703"/>
      <x:c r="Q703" s="56"/>
      <x:c r="R703"/>
      <x:c r="S703"/>
      <x:c r="T703" s="56"/>
      <x:c r="U703"/>
      <x:c r="V703"/>
      <x:c r="W703" s="36"/>
      <x:c r="X703" s="56"/>
      <x:c r="Y703"/>
      <x:c r="Z703"/>
      <x:c r="AA703"/>
      <x:c r="AB703"/>
    </x:row>
    <x:row r="704">
      <x:c r="A704"/>
      <x:c r="B704"/>
      <x:c r="C704"/>
      <x:c r="D704"/>
      <x:c r="E704"/>
      <x:c r="F704"/>
      <x:c r="G704"/>
      <x:c r="H704"/>
      <x:c r="I704"/>
      <x:c r="J704"/>
      <x:c r="K704" s="56"/>
      <x:c r="L704"/>
      <x:c r="M704"/>
      <x:c r="N704" s="56"/>
      <x:c r="O704"/>
      <x:c r="P704"/>
      <x:c r="Q704" s="56"/>
      <x:c r="R704"/>
      <x:c r="S704"/>
      <x:c r="T704" s="56"/>
      <x:c r="U704"/>
      <x:c r="V704"/>
      <x:c r="W704" s="36"/>
      <x:c r="X704" s="56"/>
      <x:c r="Y704"/>
      <x:c r="Z704"/>
      <x:c r="AA704"/>
      <x:c r="AB704"/>
    </x:row>
    <x:row r="705">
      <x:c r="A705"/>
      <x:c r="B705"/>
      <x:c r="C705"/>
      <x:c r="D705"/>
      <x:c r="E705"/>
      <x:c r="F705"/>
      <x:c r="G705"/>
      <x:c r="H705"/>
      <x:c r="I705"/>
      <x:c r="J705"/>
      <x:c r="K705" s="56"/>
      <x:c r="L705"/>
      <x:c r="M705"/>
      <x:c r="N705" s="56"/>
      <x:c r="O705"/>
      <x:c r="P705"/>
      <x:c r="Q705" s="56"/>
      <x:c r="R705"/>
      <x:c r="S705"/>
      <x:c r="T705" s="56"/>
      <x:c r="U705"/>
      <x:c r="V705"/>
      <x:c r="W705" s="36"/>
      <x:c r="X705" s="56"/>
      <x:c r="Y705"/>
      <x:c r="Z705"/>
      <x:c r="AA705"/>
      <x:c r="AB705"/>
    </x:row>
    <x:row r="706">
      <x:c r="A706"/>
      <x:c r="B706"/>
      <x:c r="C706"/>
      <x:c r="D706"/>
      <x:c r="E706"/>
      <x:c r="F706"/>
      <x:c r="G706"/>
      <x:c r="H706"/>
      <x:c r="I706"/>
      <x:c r="J706"/>
      <x:c r="K706" s="56"/>
      <x:c r="L706"/>
      <x:c r="M706"/>
      <x:c r="N706" s="56"/>
      <x:c r="O706"/>
      <x:c r="P706"/>
      <x:c r="Q706" s="56"/>
      <x:c r="R706"/>
      <x:c r="S706"/>
      <x:c r="T706" s="56"/>
      <x:c r="U706"/>
      <x:c r="V706"/>
      <x:c r="W706" s="36"/>
      <x:c r="X706" s="56"/>
      <x:c r="Y706"/>
      <x:c r="Z706"/>
      <x:c r="AA706"/>
      <x:c r="AB706"/>
    </x:row>
    <x:row r="707">
      <x:c r="A707"/>
      <x:c r="B707"/>
      <x:c r="C707"/>
      <x:c r="D707"/>
      <x:c r="E707"/>
      <x:c r="F707"/>
      <x:c r="G707"/>
      <x:c r="H707"/>
      <x:c r="I707"/>
      <x:c r="J707"/>
      <x:c r="K707" s="56"/>
      <x:c r="L707"/>
      <x:c r="M707"/>
      <x:c r="N707" s="56"/>
      <x:c r="O707"/>
      <x:c r="P707"/>
      <x:c r="Q707" s="56"/>
      <x:c r="R707"/>
      <x:c r="S707"/>
      <x:c r="T707" s="56"/>
      <x:c r="U707"/>
      <x:c r="V707"/>
      <x:c r="W707" s="36"/>
      <x:c r="X707" s="56"/>
      <x:c r="Y707"/>
      <x:c r="Z707"/>
      <x:c r="AA707"/>
      <x:c r="AB707"/>
    </x:row>
    <x:row r="708">
      <x:c r="A708"/>
      <x:c r="B708"/>
      <x:c r="C708"/>
      <x:c r="D708"/>
      <x:c r="E708"/>
      <x:c r="F708"/>
      <x:c r="G708"/>
      <x:c r="H708"/>
      <x:c r="I708"/>
      <x:c r="J708"/>
      <x:c r="K708" s="56"/>
      <x:c r="L708"/>
      <x:c r="M708"/>
      <x:c r="N708" s="56"/>
      <x:c r="O708"/>
      <x:c r="P708"/>
      <x:c r="Q708" s="56"/>
      <x:c r="R708"/>
      <x:c r="S708"/>
      <x:c r="T708" s="56"/>
      <x:c r="U708"/>
      <x:c r="V708"/>
      <x:c r="W708" s="36"/>
      <x:c r="X708" s="56"/>
      <x:c r="Y708"/>
      <x:c r="Z708"/>
      <x:c r="AA708"/>
      <x:c r="AB708"/>
    </x:row>
    <x:row r="709">
      <x:c r="A709"/>
      <x:c r="B709"/>
      <x:c r="C709"/>
      <x:c r="D709"/>
      <x:c r="E709"/>
      <x:c r="F709"/>
      <x:c r="G709"/>
      <x:c r="H709"/>
      <x:c r="I709"/>
      <x:c r="J709"/>
      <x:c r="K709" s="56"/>
      <x:c r="L709"/>
      <x:c r="M709"/>
      <x:c r="N709" s="56"/>
      <x:c r="O709"/>
      <x:c r="P709"/>
      <x:c r="Q709" s="56"/>
      <x:c r="R709"/>
      <x:c r="S709"/>
      <x:c r="T709" s="56"/>
      <x:c r="U709"/>
      <x:c r="V709"/>
      <x:c r="W709" s="36"/>
      <x:c r="X709" s="56"/>
      <x:c r="Y709"/>
      <x:c r="Z709"/>
      <x:c r="AA709"/>
      <x:c r="AB709"/>
    </x:row>
    <x:row r="710">
      <x:c r="A710"/>
      <x:c r="B710"/>
      <x:c r="C710"/>
      <x:c r="D710"/>
      <x:c r="E710"/>
      <x:c r="F710"/>
      <x:c r="G710"/>
      <x:c r="H710"/>
      <x:c r="I710"/>
      <x:c r="J710"/>
      <x:c r="K710" s="56"/>
      <x:c r="L710"/>
      <x:c r="M710"/>
      <x:c r="N710" s="56"/>
      <x:c r="O710"/>
      <x:c r="P710"/>
      <x:c r="Q710" s="56"/>
      <x:c r="R710"/>
      <x:c r="S710"/>
      <x:c r="T710" s="56"/>
      <x:c r="U710"/>
      <x:c r="V710"/>
      <x:c r="W710" s="36"/>
      <x:c r="X710" s="56"/>
      <x:c r="Y710"/>
      <x:c r="Z710"/>
      <x:c r="AA710"/>
      <x:c r="AB710"/>
    </x:row>
    <x:row r="711">
      <x:c r="A711"/>
      <x:c r="B711"/>
      <x:c r="C711"/>
      <x:c r="D711"/>
      <x:c r="E711"/>
      <x:c r="F711"/>
      <x:c r="G711"/>
      <x:c r="H711"/>
      <x:c r="I711"/>
      <x:c r="J711"/>
      <x:c r="K711" s="56"/>
      <x:c r="L711"/>
      <x:c r="M711"/>
      <x:c r="N711" s="56"/>
      <x:c r="O711"/>
      <x:c r="P711"/>
      <x:c r="Q711" s="56"/>
      <x:c r="R711"/>
      <x:c r="S711"/>
      <x:c r="T711" s="56"/>
      <x:c r="U711"/>
      <x:c r="V711"/>
      <x:c r="W711" s="36"/>
      <x:c r="X711" s="56"/>
      <x:c r="Y711"/>
      <x:c r="Z711"/>
      <x:c r="AA711"/>
      <x:c r="AB711"/>
    </x:row>
    <x:row r="712">
      <x:c r="A712"/>
      <x:c r="B712"/>
      <x:c r="C712"/>
      <x:c r="D712"/>
      <x:c r="E712"/>
      <x:c r="F712"/>
      <x:c r="G712"/>
      <x:c r="H712"/>
      <x:c r="I712"/>
      <x:c r="J712"/>
      <x:c r="K712" s="56"/>
      <x:c r="L712"/>
      <x:c r="M712"/>
      <x:c r="N712" s="56"/>
      <x:c r="O712"/>
      <x:c r="P712"/>
      <x:c r="Q712" s="56"/>
      <x:c r="R712"/>
      <x:c r="S712"/>
      <x:c r="T712" s="56"/>
      <x:c r="U712"/>
      <x:c r="V712"/>
      <x:c r="W712" s="36"/>
      <x:c r="X712" s="56"/>
      <x:c r="Y712"/>
      <x:c r="Z712"/>
      <x:c r="AA712"/>
      <x:c r="AB712"/>
    </x:row>
    <x:row r="713">
      <x:c r="A713"/>
      <x:c r="B713"/>
      <x:c r="C713"/>
      <x:c r="D713"/>
      <x:c r="E713"/>
      <x:c r="F713"/>
      <x:c r="G713"/>
      <x:c r="H713"/>
      <x:c r="I713"/>
      <x:c r="J713"/>
      <x:c r="K713" s="56"/>
      <x:c r="L713"/>
      <x:c r="M713"/>
      <x:c r="N713" s="56"/>
      <x:c r="O713"/>
      <x:c r="P713"/>
      <x:c r="Q713" s="56"/>
      <x:c r="R713"/>
      <x:c r="S713"/>
      <x:c r="T713" s="56"/>
      <x:c r="U713"/>
      <x:c r="V713"/>
      <x:c r="W713" s="36"/>
      <x:c r="X713" s="56"/>
      <x:c r="Y713"/>
      <x:c r="Z713"/>
      <x:c r="AA713"/>
      <x:c r="AB713"/>
    </x:row>
    <x:row r="714">
      <x:c r="A714"/>
      <x:c r="B714"/>
      <x:c r="C714"/>
      <x:c r="D714"/>
      <x:c r="E714"/>
      <x:c r="F714"/>
      <x:c r="G714"/>
      <x:c r="H714"/>
      <x:c r="I714"/>
      <x:c r="J714"/>
      <x:c r="K714" s="56"/>
      <x:c r="L714"/>
      <x:c r="M714"/>
      <x:c r="N714" s="56"/>
      <x:c r="O714"/>
      <x:c r="P714"/>
      <x:c r="Q714" s="56"/>
      <x:c r="R714"/>
      <x:c r="S714"/>
      <x:c r="T714" s="56"/>
      <x:c r="U714"/>
      <x:c r="V714"/>
      <x:c r="W714" s="36"/>
      <x:c r="X714" s="56"/>
      <x:c r="Y714"/>
      <x:c r="Z714"/>
      <x:c r="AA714"/>
      <x:c r="AB714"/>
    </x:row>
    <x:row r="715">
      <x:c r="A715"/>
      <x:c r="B715"/>
      <x:c r="C715"/>
      <x:c r="D715"/>
      <x:c r="E715"/>
      <x:c r="F715"/>
      <x:c r="G715"/>
      <x:c r="H715"/>
      <x:c r="I715"/>
      <x:c r="J715"/>
      <x:c r="K715" s="56"/>
      <x:c r="L715"/>
      <x:c r="M715"/>
      <x:c r="N715" s="56"/>
      <x:c r="O715"/>
      <x:c r="P715"/>
      <x:c r="Q715" s="56"/>
      <x:c r="R715"/>
      <x:c r="S715"/>
      <x:c r="T715" s="56"/>
      <x:c r="U715"/>
      <x:c r="V715"/>
      <x:c r="W715" s="36"/>
      <x:c r="X715" s="56"/>
      <x:c r="Y715"/>
      <x:c r="Z715"/>
      <x:c r="AA715"/>
      <x:c r="AB715"/>
    </x:row>
    <x:row r="716">
      <x:c r="A716"/>
      <x:c r="B716"/>
      <x:c r="C716"/>
      <x:c r="D716"/>
      <x:c r="E716"/>
      <x:c r="F716"/>
      <x:c r="G716"/>
      <x:c r="H716"/>
      <x:c r="I716"/>
      <x:c r="J716"/>
      <x:c r="K716" s="56"/>
      <x:c r="L716"/>
      <x:c r="M716"/>
      <x:c r="N716" s="56"/>
      <x:c r="O716"/>
      <x:c r="P716"/>
      <x:c r="Q716" s="56"/>
      <x:c r="R716"/>
      <x:c r="S716"/>
      <x:c r="T716" s="56"/>
      <x:c r="U716"/>
      <x:c r="V716"/>
      <x:c r="W716" s="36"/>
      <x:c r="X716" s="56"/>
      <x:c r="Y716"/>
      <x:c r="Z716"/>
      <x:c r="AA716"/>
      <x:c r="AB716"/>
    </x:row>
    <x:row r="717">
      <x:c r="A717"/>
      <x:c r="B717"/>
      <x:c r="C717"/>
      <x:c r="D717"/>
      <x:c r="E717"/>
      <x:c r="F717"/>
      <x:c r="G717"/>
      <x:c r="H717"/>
      <x:c r="I717"/>
      <x:c r="J717"/>
      <x:c r="K717" s="56"/>
      <x:c r="L717"/>
      <x:c r="M717"/>
      <x:c r="N717" s="56"/>
      <x:c r="O717"/>
      <x:c r="P717"/>
      <x:c r="Q717" s="56"/>
      <x:c r="R717"/>
      <x:c r="S717"/>
      <x:c r="T717" s="56"/>
      <x:c r="U717"/>
      <x:c r="V717"/>
      <x:c r="W717" s="36"/>
      <x:c r="X717" s="56"/>
      <x:c r="Y717"/>
      <x:c r="Z717"/>
      <x:c r="AA717"/>
      <x:c r="AB717"/>
    </x:row>
    <x:row r="718">
      <x:c r="A718"/>
      <x:c r="B718"/>
      <x:c r="C718"/>
      <x:c r="D718"/>
      <x:c r="E718"/>
      <x:c r="F718"/>
      <x:c r="G718"/>
      <x:c r="H718"/>
      <x:c r="I718"/>
      <x:c r="J718"/>
      <x:c r="K718" s="56"/>
      <x:c r="L718"/>
      <x:c r="M718"/>
      <x:c r="N718" s="56"/>
      <x:c r="O718"/>
      <x:c r="P718"/>
      <x:c r="Q718" s="56"/>
      <x:c r="R718"/>
      <x:c r="S718"/>
      <x:c r="T718" s="56"/>
      <x:c r="U718"/>
      <x:c r="V718"/>
      <x:c r="W718" s="36"/>
      <x:c r="X718" s="56"/>
      <x:c r="Y718"/>
      <x:c r="Z718"/>
      <x:c r="AA718"/>
      <x:c r="AB718"/>
    </x:row>
    <x:row r="719">
      <x:c r="A719"/>
      <x:c r="B719"/>
      <x:c r="C719"/>
      <x:c r="D719"/>
      <x:c r="E719"/>
      <x:c r="F719"/>
      <x:c r="G719"/>
      <x:c r="H719"/>
      <x:c r="I719"/>
      <x:c r="J719"/>
      <x:c r="K719" s="56"/>
      <x:c r="L719"/>
      <x:c r="M719"/>
      <x:c r="N719" s="56"/>
      <x:c r="O719"/>
      <x:c r="P719"/>
      <x:c r="Q719" s="56"/>
      <x:c r="R719"/>
      <x:c r="S719"/>
      <x:c r="T719" s="56"/>
      <x:c r="U719"/>
      <x:c r="V719"/>
      <x:c r="W719" s="36"/>
      <x:c r="X719" s="56"/>
      <x:c r="Y719"/>
      <x:c r="Z719"/>
      <x:c r="AA719"/>
      <x:c r="AB719"/>
    </x:row>
    <x:row r="720">
      <x:c r="A720"/>
      <x:c r="B720"/>
      <x:c r="C720"/>
      <x:c r="D720"/>
      <x:c r="E720"/>
      <x:c r="F720"/>
      <x:c r="G720"/>
      <x:c r="H720"/>
      <x:c r="I720"/>
      <x:c r="J720"/>
      <x:c r="K720" s="56"/>
      <x:c r="L720"/>
      <x:c r="M720"/>
      <x:c r="N720" s="56"/>
      <x:c r="O720"/>
      <x:c r="P720"/>
      <x:c r="Q720" s="56"/>
      <x:c r="R720"/>
      <x:c r="S720"/>
      <x:c r="T720" s="56"/>
      <x:c r="U720"/>
      <x:c r="V720"/>
      <x:c r="W720" s="36"/>
      <x:c r="X720" s="56"/>
      <x:c r="Y720"/>
      <x:c r="Z720"/>
      <x:c r="AA720"/>
      <x:c r="AB720"/>
    </x:row>
    <x:row r="721">
      <x:c r="A721"/>
      <x:c r="B721"/>
      <x:c r="C721"/>
      <x:c r="D721"/>
      <x:c r="E721"/>
      <x:c r="F721"/>
      <x:c r="G721"/>
      <x:c r="H721"/>
      <x:c r="I721"/>
      <x:c r="J721"/>
      <x:c r="K721" s="56"/>
      <x:c r="L721"/>
      <x:c r="M721"/>
      <x:c r="N721" s="56"/>
      <x:c r="O721"/>
      <x:c r="P721"/>
      <x:c r="Q721" s="56"/>
      <x:c r="R721"/>
      <x:c r="S721"/>
      <x:c r="T721" s="56"/>
      <x:c r="U721"/>
      <x:c r="V721"/>
      <x:c r="W721" s="36"/>
      <x:c r="X721" s="56"/>
      <x:c r="Y721"/>
      <x:c r="Z721"/>
      <x:c r="AA721"/>
      <x:c r="AB721"/>
    </x:row>
    <x:row r="722">
      <x:c r="A722"/>
      <x:c r="B722"/>
      <x:c r="C722"/>
      <x:c r="D722"/>
      <x:c r="E722"/>
      <x:c r="F722"/>
      <x:c r="G722"/>
      <x:c r="H722"/>
      <x:c r="I722"/>
      <x:c r="J722"/>
      <x:c r="K722" s="56"/>
      <x:c r="L722"/>
      <x:c r="M722"/>
      <x:c r="N722" s="56"/>
      <x:c r="O722"/>
      <x:c r="P722"/>
      <x:c r="Q722" s="56"/>
      <x:c r="R722"/>
      <x:c r="S722"/>
      <x:c r="T722" s="56"/>
      <x:c r="U722"/>
      <x:c r="V722"/>
      <x:c r="W722" s="36"/>
      <x:c r="X722" s="56"/>
      <x:c r="Y722"/>
      <x:c r="Z722"/>
      <x:c r="AA722"/>
      <x:c r="AB722"/>
    </x:row>
    <x:row r="723">
      <x:c r="A723"/>
      <x:c r="B723"/>
      <x:c r="C723"/>
      <x:c r="D723"/>
      <x:c r="E723"/>
      <x:c r="F723"/>
      <x:c r="G723"/>
      <x:c r="H723"/>
      <x:c r="I723"/>
      <x:c r="J723"/>
      <x:c r="K723" s="56"/>
      <x:c r="L723"/>
      <x:c r="M723"/>
      <x:c r="N723" s="56"/>
      <x:c r="O723"/>
      <x:c r="P723"/>
      <x:c r="Q723" s="56"/>
      <x:c r="R723"/>
      <x:c r="S723"/>
      <x:c r="T723" s="56"/>
      <x:c r="U723"/>
      <x:c r="V723"/>
      <x:c r="W723" s="36"/>
      <x:c r="X723" s="56"/>
      <x:c r="Y723"/>
      <x:c r="Z723"/>
      <x:c r="AA723"/>
      <x:c r="AB723"/>
    </x:row>
    <x:row r="724">
      <x:c r="A724"/>
      <x:c r="B724"/>
      <x:c r="C724"/>
      <x:c r="D724"/>
      <x:c r="E724"/>
      <x:c r="F724"/>
      <x:c r="G724"/>
      <x:c r="H724"/>
      <x:c r="I724"/>
      <x:c r="J724"/>
      <x:c r="K724" s="56"/>
      <x:c r="L724"/>
      <x:c r="M724"/>
      <x:c r="N724" s="56"/>
      <x:c r="O724"/>
      <x:c r="P724"/>
      <x:c r="Q724" s="56"/>
      <x:c r="R724"/>
      <x:c r="S724"/>
      <x:c r="T724" s="56"/>
      <x:c r="U724"/>
      <x:c r="V724"/>
      <x:c r="W724" s="36"/>
      <x:c r="X724" s="56"/>
      <x:c r="Y724"/>
      <x:c r="Z724"/>
      <x:c r="AA724"/>
      <x:c r="AB724"/>
    </x:row>
    <x:row r="725">
      <x:c r="A725"/>
      <x:c r="B725"/>
      <x:c r="C725"/>
      <x:c r="D725"/>
      <x:c r="E725"/>
      <x:c r="F725"/>
      <x:c r="G725"/>
      <x:c r="H725"/>
      <x:c r="I725"/>
      <x:c r="J725"/>
      <x:c r="K725" s="56"/>
      <x:c r="L725"/>
      <x:c r="M725"/>
      <x:c r="N725" s="56"/>
      <x:c r="O725"/>
      <x:c r="P725"/>
      <x:c r="Q725" s="56"/>
      <x:c r="R725"/>
      <x:c r="S725"/>
      <x:c r="T725" s="56"/>
      <x:c r="U725"/>
      <x:c r="V725"/>
      <x:c r="W725" s="36"/>
      <x:c r="X725" s="56"/>
      <x:c r="Y725"/>
      <x:c r="Z725"/>
      <x:c r="AA725"/>
      <x:c r="AB725"/>
    </x:row>
    <x:row r="726">
      <x:c r="A726"/>
      <x:c r="B726"/>
      <x:c r="C726"/>
      <x:c r="D726"/>
      <x:c r="E726"/>
      <x:c r="F726"/>
      <x:c r="G726"/>
      <x:c r="H726"/>
      <x:c r="I726"/>
      <x:c r="J726"/>
      <x:c r="K726" s="56"/>
      <x:c r="L726"/>
      <x:c r="M726"/>
      <x:c r="N726" s="56"/>
      <x:c r="O726"/>
      <x:c r="P726"/>
      <x:c r="Q726" s="56"/>
      <x:c r="R726"/>
      <x:c r="S726"/>
      <x:c r="T726" s="56"/>
      <x:c r="U726"/>
      <x:c r="V726"/>
      <x:c r="W726" s="36"/>
      <x:c r="X726" s="56"/>
      <x:c r="Y726"/>
      <x:c r="Z726"/>
      <x:c r="AA726"/>
      <x:c r="AB726"/>
    </x:row>
    <x:row r="727">
      <x:c r="A727"/>
      <x:c r="B727"/>
      <x:c r="C727"/>
      <x:c r="D727"/>
      <x:c r="E727"/>
      <x:c r="F727"/>
      <x:c r="G727"/>
      <x:c r="H727"/>
      <x:c r="I727"/>
      <x:c r="J727"/>
      <x:c r="K727" s="56"/>
      <x:c r="L727"/>
      <x:c r="M727"/>
      <x:c r="N727" s="56"/>
      <x:c r="O727"/>
      <x:c r="P727"/>
      <x:c r="Q727" s="56"/>
      <x:c r="R727"/>
      <x:c r="S727"/>
      <x:c r="T727" s="56"/>
      <x:c r="U727"/>
      <x:c r="V727"/>
      <x:c r="W727" s="36"/>
      <x:c r="X727" s="56"/>
      <x:c r="Y727"/>
      <x:c r="Z727"/>
      <x:c r="AA727"/>
      <x:c r="AB727"/>
    </x:row>
    <x:row r="728">
      <x:c r="A728"/>
      <x:c r="B728"/>
      <x:c r="C728"/>
      <x:c r="D728"/>
      <x:c r="E728"/>
      <x:c r="F728"/>
      <x:c r="G728"/>
      <x:c r="H728"/>
      <x:c r="I728"/>
      <x:c r="J728"/>
      <x:c r="K728" s="56"/>
      <x:c r="L728"/>
      <x:c r="M728"/>
      <x:c r="N728" s="56"/>
      <x:c r="O728"/>
      <x:c r="P728"/>
      <x:c r="Q728" s="56"/>
      <x:c r="R728"/>
      <x:c r="S728"/>
      <x:c r="T728" s="56"/>
      <x:c r="U728"/>
      <x:c r="V728"/>
      <x:c r="W728" s="36"/>
      <x:c r="X728" s="56"/>
      <x:c r="Y728"/>
      <x:c r="Z728"/>
      <x:c r="AA728"/>
      <x:c r="AB728"/>
    </x:row>
    <x:row r="729">
      <x:c r="A729"/>
      <x:c r="B729"/>
      <x:c r="C729"/>
      <x:c r="D729"/>
      <x:c r="E729"/>
      <x:c r="F729"/>
      <x:c r="G729"/>
      <x:c r="H729"/>
      <x:c r="I729"/>
      <x:c r="J729"/>
      <x:c r="K729" s="56"/>
      <x:c r="L729"/>
      <x:c r="M729"/>
      <x:c r="N729" s="56"/>
      <x:c r="O729"/>
      <x:c r="P729"/>
      <x:c r="Q729" s="56"/>
      <x:c r="R729"/>
      <x:c r="S729"/>
      <x:c r="T729" s="56"/>
      <x:c r="U729"/>
      <x:c r="V729"/>
      <x:c r="W729" s="36"/>
      <x:c r="X729" s="56"/>
      <x:c r="Y729"/>
      <x:c r="Z729"/>
      <x:c r="AA729"/>
      <x:c r="AB729"/>
    </x:row>
    <x:row r="730">
      <x:c r="A730"/>
      <x:c r="B730"/>
      <x:c r="C730"/>
      <x:c r="D730"/>
      <x:c r="E730"/>
      <x:c r="F730"/>
      <x:c r="G730"/>
      <x:c r="H730"/>
      <x:c r="I730"/>
      <x:c r="J730"/>
      <x:c r="K730" s="56"/>
      <x:c r="L730"/>
      <x:c r="M730"/>
      <x:c r="N730" s="56"/>
      <x:c r="O730"/>
      <x:c r="P730"/>
      <x:c r="Q730" s="56"/>
      <x:c r="R730"/>
      <x:c r="S730"/>
      <x:c r="T730" s="56"/>
      <x:c r="U730"/>
      <x:c r="V730"/>
      <x:c r="W730" s="36"/>
      <x:c r="X730" s="56"/>
      <x:c r="Y730"/>
      <x:c r="Z730"/>
      <x:c r="AA730"/>
      <x:c r="AB730"/>
    </x:row>
    <x:row r="731">
      <x:c r="A731"/>
      <x:c r="B731"/>
      <x:c r="C731"/>
      <x:c r="D731"/>
      <x:c r="E731"/>
      <x:c r="F731"/>
      <x:c r="G731"/>
      <x:c r="H731"/>
      <x:c r="I731"/>
      <x:c r="J731"/>
      <x:c r="K731" s="56"/>
      <x:c r="L731"/>
      <x:c r="M731"/>
      <x:c r="N731" s="56"/>
      <x:c r="O731"/>
      <x:c r="P731"/>
      <x:c r="Q731" s="56"/>
      <x:c r="R731"/>
      <x:c r="S731"/>
      <x:c r="T731" s="56"/>
      <x:c r="U731"/>
      <x:c r="V731"/>
      <x:c r="W731" s="36"/>
      <x:c r="X731" s="56"/>
      <x:c r="Y731"/>
      <x:c r="Z731"/>
      <x:c r="AA731"/>
      <x:c r="AB731"/>
    </x:row>
    <x:row r="732">
      <x:c r="A732"/>
      <x:c r="B732"/>
      <x:c r="C732"/>
      <x:c r="D732"/>
      <x:c r="E732"/>
      <x:c r="F732"/>
      <x:c r="G732"/>
      <x:c r="H732"/>
      <x:c r="I732"/>
      <x:c r="J732"/>
      <x:c r="K732" s="56"/>
      <x:c r="L732"/>
      <x:c r="M732"/>
      <x:c r="N732" s="56"/>
      <x:c r="O732"/>
      <x:c r="P732"/>
      <x:c r="Q732" s="56"/>
      <x:c r="R732"/>
      <x:c r="S732"/>
      <x:c r="T732" s="56"/>
      <x:c r="U732"/>
      <x:c r="V732"/>
      <x:c r="W732" s="36"/>
      <x:c r="X732" s="56"/>
      <x:c r="Y732"/>
      <x:c r="Z732"/>
      <x:c r="AA732"/>
      <x:c r="AB732"/>
    </x:row>
    <x:row r="733">
      <x:c r="A733"/>
      <x:c r="B733"/>
      <x:c r="C733"/>
      <x:c r="D733"/>
      <x:c r="E733"/>
      <x:c r="F733"/>
      <x:c r="G733"/>
      <x:c r="H733"/>
      <x:c r="I733"/>
      <x:c r="J733"/>
      <x:c r="K733" s="56"/>
      <x:c r="L733"/>
      <x:c r="M733"/>
      <x:c r="N733" s="56"/>
      <x:c r="O733"/>
      <x:c r="P733"/>
      <x:c r="Q733" s="56"/>
      <x:c r="R733"/>
      <x:c r="S733"/>
      <x:c r="T733" s="56"/>
      <x:c r="U733"/>
      <x:c r="V733"/>
      <x:c r="W733" s="36"/>
      <x:c r="X733" s="56"/>
      <x:c r="Y733"/>
      <x:c r="Z733"/>
      <x:c r="AA733"/>
      <x:c r="AB733"/>
    </x:row>
    <x:row r="734">
      <x:c r="A734"/>
      <x:c r="B734"/>
      <x:c r="C734"/>
      <x:c r="D734"/>
      <x:c r="E734"/>
      <x:c r="F734"/>
      <x:c r="G734"/>
      <x:c r="H734"/>
      <x:c r="I734"/>
      <x:c r="J734"/>
      <x:c r="K734" s="56"/>
      <x:c r="L734"/>
      <x:c r="M734"/>
      <x:c r="N734" s="56"/>
      <x:c r="O734"/>
      <x:c r="P734"/>
      <x:c r="Q734" s="56"/>
      <x:c r="R734"/>
      <x:c r="S734"/>
      <x:c r="T734" s="56"/>
      <x:c r="U734"/>
      <x:c r="V734"/>
      <x:c r="W734" s="36"/>
      <x:c r="X734" s="56"/>
      <x:c r="Y734"/>
      <x:c r="Z734"/>
      <x:c r="AA734"/>
      <x:c r="AB734"/>
    </x:row>
    <x:row r="735">
      <x:c r="A735"/>
      <x:c r="B735"/>
      <x:c r="C735"/>
      <x:c r="D735"/>
      <x:c r="E735"/>
      <x:c r="F735"/>
      <x:c r="G735"/>
      <x:c r="H735"/>
      <x:c r="I735"/>
      <x:c r="J735"/>
      <x:c r="K735" s="56"/>
      <x:c r="L735"/>
      <x:c r="M735"/>
      <x:c r="N735" s="56"/>
      <x:c r="O735"/>
      <x:c r="P735"/>
      <x:c r="Q735" s="56"/>
      <x:c r="R735"/>
      <x:c r="S735"/>
      <x:c r="T735" s="56"/>
      <x:c r="U735"/>
      <x:c r="V735"/>
      <x:c r="W735" s="36"/>
      <x:c r="X735" s="56"/>
      <x:c r="Y735"/>
      <x:c r="Z735"/>
      <x:c r="AA735"/>
      <x:c r="AB735"/>
    </x:row>
    <x:row r="736">
      <x:c r="A736"/>
      <x:c r="B736"/>
      <x:c r="C736"/>
      <x:c r="D736"/>
      <x:c r="E736"/>
      <x:c r="F736"/>
      <x:c r="G736"/>
      <x:c r="H736"/>
      <x:c r="I736"/>
      <x:c r="J736"/>
      <x:c r="K736" s="56"/>
      <x:c r="L736"/>
      <x:c r="M736"/>
      <x:c r="N736" s="56"/>
      <x:c r="O736"/>
      <x:c r="P736"/>
      <x:c r="Q736" s="56"/>
      <x:c r="R736"/>
      <x:c r="S736"/>
      <x:c r="T736" s="56"/>
      <x:c r="U736"/>
      <x:c r="V736"/>
      <x:c r="W736" s="36"/>
      <x:c r="X736" s="56"/>
      <x:c r="Y736"/>
      <x:c r="Z736"/>
      <x:c r="AA736"/>
      <x:c r="AB736"/>
    </x:row>
    <x:row r="737">
      <x:c r="A737"/>
      <x:c r="B737"/>
      <x:c r="C737"/>
      <x:c r="D737"/>
      <x:c r="E737"/>
      <x:c r="F737"/>
      <x:c r="G737"/>
      <x:c r="H737"/>
      <x:c r="I737"/>
      <x:c r="J737"/>
      <x:c r="K737" s="56"/>
      <x:c r="L737"/>
      <x:c r="M737"/>
      <x:c r="N737" s="56"/>
      <x:c r="O737"/>
      <x:c r="P737"/>
      <x:c r="Q737" s="56"/>
      <x:c r="R737"/>
      <x:c r="S737"/>
      <x:c r="T737" s="56"/>
      <x:c r="U737"/>
      <x:c r="V737"/>
      <x:c r="W737" s="36"/>
      <x:c r="X737" s="56"/>
      <x:c r="Y737"/>
      <x:c r="Z737"/>
      <x:c r="AA737"/>
      <x:c r="AB737"/>
    </x:row>
    <x:row r="738">
      <x:c r="A738"/>
      <x:c r="B738"/>
      <x:c r="C738"/>
      <x:c r="D738"/>
      <x:c r="E738"/>
      <x:c r="F738"/>
      <x:c r="G738"/>
      <x:c r="H738"/>
      <x:c r="I738"/>
      <x:c r="J738"/>
      <x:c r="K738" s="56"/>
      <x:c r="L738"/>
      <x:c r="M738"/>
      <x:c r="N738" s="56"/>
      <x:c r="O738"/>
      <x:c r="P738"/>
      <x:c r="Q738" s="56"/>
      <x:c r="R738"/>
      <x:c r="S738"/>
      <x:c r="T738" s="56"/>
      <x:c r="U738"/>
      <x:c r="V738"/>
      <x:c r="W738" s="36"/>
      <x:c r="X738" s="56"/>
      <x:c r="Y738"/>
      <x:c r="Z738"/>
      <x:c r="AA738"/>
      <x:c r="AB738"/>
    </x:row>
    <x:row r="739">
      <x:c r="A739"/>
      <x:c r="B739"/>
      <x:c r="C739"/>
      <x:c r="D739"/>
      <x:c r="E739"/>
      <x:c r="F739"/>
      <x:c r="G739"/>
      <x:c r="H739"/>
      <x:c r="I739"/>
      <x:c r="J739"/>
      <x:c r="K739" s="56"/>
      <x:c r="L739"/>
      <x:c r="M739"/>
      <x:c r="N739" s="56"/>
      <x:c r="O739"/>
      <x:c r="P739"/>
      <x:c r="Q739" s="56"/>
      <x:c r="R739"/>
      <x:c r="S739"/>
      <x:c r="T739" s="56"/>
      <x:c r="U739"/>
      <x:c r="V739"/>
      <x:c r="W739" s="36"/>
      <x:c r="X739" s="56"/>
      <x:c r="Y739"/>
      <x:c r="Z739"/>
      <x:c r="AA739"/>
      <x:c r="AB739"/>
    </x:row>
    <x:row r="740">
      <x:c r="A740"/>
      <x:c r="B740"/>
      <x:c r="C740"/>
      <x:c r="D740"/>
      <x:c r="E740"/>
      <x:c r="F740"/>
      <x:c r="G740"/>
      <x:c r="H740"/>
      <x:c r="I740"/>
      <x:c r="J740"/>
      <x:c r="K740" s="56"/>
      <x:c r="L740"/>
      <x:c r="M740"/>
      <x:c r="N740" s="56"/>
      <x:c r="O740"/>
      <x:c r="P740"/>
      <x:c r="Q740" s="56"/>
      <x:c r="R740"/>
      <x:c r="S740"/>
      <x:c r="T740" s="56"/>
      <x:c r="U740"/>
      <x:c r="V740"/>
      <x:c r="W740" s="36"/>
      <x:c r="X740" s="56"/>
      <x:c r="Y740"/>
      <x:c r="Z740"/>
      <x:c r="AA740"/>
      <x:c r="AB740"/>
    </x:row>
    <x:row r="741">
      <x:c r="A741"/>
      <x:c r="B741"/>
      <x:c r="C741"/>
      <x:c r="D741"/>
      <x:c r="E741"/>
      <x:c r="F741"/>
      <x:c r="G741"/>
      <x:c r="H741"/>
      <x:c r="I741"/>
      <x:c r="J741"/>
      <x:c r="K741" s="56"/>
      <x:c r="L741"/>
      <x:c r="M741"/>
      <x:c r="N741" s="56"/>
      <x:c r="O741"/>
      <x:c r="P741"/>
      <x:c r="Q741" s="56"/>
      <x:c r="R741"/>
      <x:c r="S741"/>
      <x:c r="T741" s="56"/>
      <x:c r="U741"/>
      <x:c r="V741"/>
      <x:c r="W741" s="36"/>
      <x:c r="X741" s="56"/>
      <x:c r="Y741"/>
      <x:c r="Z741"/>
      <x:c r="AA741"/>
      <x:c r="AB741"/>
    </x:row>
    <x:row r="742">
      <x:c r="A742"/>
      <x:c r="B742"/>
      <x:c r="C742"/>
      <x:c r="D742"/>
      <x:c r="E742"/>
      <x:c r="F742"/>
      <x:c r="G742"/>
      <x:c r="H742"/>
      <x:c r="I742"/>
      <x:c r="J742"/>
      <x:c r="K742" s="56"/>
      <x:c r="L742"/>
      <x:c r="M742"/>
      <x:c r="N742" s="56"/>
      <x:c r="O742"/>
      <x:c r="P742"/>
      <x:c r="Q742" s="56"/>
      <x:c r="R742"/>
      <x:c r="S742"/>
      <x:c r="T742" s="56"/>
      <x:c r="U742"/>
      <x:c r="V742"/>
      <x:c r="W742" s="36"/>
      <x:c r="X742" s="56"/>
      <x:c r="Y742"/>
      <x:c r="Z742"/>
      <x:c r="AA742"/>
      <x:c r="AB742"/>
    </x:row>
    <x:row r="743">
      <x:c r="A743"/>
      <x:c r="B743"/>
      <x:c r="C743"/>
      <x:c r="D743"/>
      <x:c r="E743"/>
      <x:c r="F743"/>
      <x:c r="G743"/>
      <x:c r="H743"/>
      <x:c r="I743"/>
      <x:c r="J743"/>
      <x:c r="K743" s="56"/>
      <x:c r="L743"/>
      <x:c r="M743"/>
      <x:c r="N743" s="56"/>
      <x:c r="O743"/>
      <x:c r="P743"/>
      <x:c r="Q743" s="56"/>
      <x:c r="R743"/>
      <x:c r="S743"/>
      <x:c r="T743" s="56"/>
      <x:c r="U743"/>
      <x:c r="V743"/>
      <x:c r="W743" s="36"/>
      <x:c r="X743" s="56"/>
      <x:c r="Y743"/>
      <x:c r="Z743"/>
      <x:c r="AA743"/>
      <x:c r="AB743"/>
    </x:row>
    <x:row r="744">
      <x:c r="A744"/>
      <x:c r="B744"/>
      <x:c r="C744"/>
      <x:c r="D744"/>
      <x:c r="E744"/>
      <x:c r="F744"/>
      <x:c r="G744"/>
      <x:c r="H744"/>
      <x:c r="I744"/>
      <x:c r="J744"/>
      <x:c r="K744" s="56"/>
      <x:c r="L744"/>
      <x:c r="M744"/>
      <x:c r="N744" s="56"/>
      <x:c r="O744"/>
      <x:c r="P744"/>
      <x:c r="Q744" s="56"/>
      <x:c r="R744"/>
      <x:c r="S744"/>
      <x:c r="T744" s="56"/>
      <x:c r="U744"/>
      <x:c r="V744"/>
      <x:c r="W744" s="36"/>
      <x:c r="X744" s="56"/>
      <x:c r="Y744"/>
      <x:c r="Z744"/>
      <x:c r="AA744"/>
      <x:c r="AB744"/>
    </x:row>
    <x:row r="745">
      <x:c r="A745"/>
      <x:c r="B745"/>
      <x:c r="C745"/>
      <x:c r="D745"/>
      <x:c r="E745"/>
      <x:c r="F745"/>
      <x:c r="G745"/>
      <x:c r="H745"/>
      <x:c r="I745"/>
      <x:c r="J745"/>
      <x:c r="K745" s="56"/>
      <x:c r="L745"/>
      <x:c r="M745"/>
      <x:c r="N745" s="56"/>
      <x:c r="O745"/>
      <x:c r="P745"/>
      <x:c r="Q745" s="56"/>
      <x:c r="R745"/>
      <x:c r="S745"/>
      <x:c r="T745" s="56"/>
      <x:c r="U745"/>
      <x:c r="V745"/>
      <x:c r="W745" s="36"/>
      <x:c r="X745" s="56"/>
      <x:c r="Y745"/>
      <x:c r="Z745"/>
      <x:c r="AA745"/>
      <x:c r="AB745"/>
    </x:row>
    <x:row r="746">
      <x:c r="A746"/>
      <x:c r="B746"/>
      <x:c r="C746"/>
      <x:c r="D746"/>
      <x:c r="E746"/>
      <x:c r="F746"/>
      <x:c r="G746"/>
      <x:c r="H746"/>
      <x:c r="I746"/>
      <x:c r="J746"/>
      <x:c r="K746" s="56"/>
      <x:c r="L746"/>
      <x:c r="M746"/>
      <x:c r="N746" s="56"/>
      <x:c r="O746"/>
      <x:c r="P746"/>
      <x:c r="Q746" s="56"/>
      <x:c r="R746"/>
      <x:c r="S746"/>
      <x:c r="T746" s="56"/>
      <x:c r="U746"/>
      <x:c r="V746"/>
      <x:c r="W746" s="36"/>
      <x:c r="X746" s="56"/>
      <x:c r="Y746"/>
      <x:c r="Z746"/>
      <x:c r="AA746"/>
      <x:c r="AB746"/>
    </x:row>
    <x:row r="747">
      <x:c r="A747"/>
      <x:c r="B747"/>
      <x:c r="C747"/>
      <x:c r="D747"/>
      <x:c r="E747"/>
      <x:c r="F747"/>
      <x:c r="G747"/>
      <x:c r="H747"/>
      <x:c r="I747"/>
      <x:c r="J747"/>
      <x:c r="K747" s="56"/>
      <x:c r="L747"/>
      <x:c r="M747"/>
      <x:c r="N747" s="56"/>
      <x:c r="O747"/>
      <x:c r="P747"/>
      <x:c r="Q747" s="56"/>
      <x:c r="R747"/>
      <x:c r="S747"/>
      <x:c r="T747" s="56"/>
      <x:c r="U747"/>
      <x:c r="V747"/>
      <x:c r="W747" s="36"/>
      <x:c r="X747" s="56"/>
      <x:c r="Y747"/>
      <x:c r="Z747"/>
      <x:c r="AA747"/>
      <x:c r="AB747"/>
    </x:row>
    <x:row r="748">
      <x:c r="A748"/>
      <x:c r="B748"/>
      <x:c r="C748"/>
      <x:c r="D748"/>
      <x:c r="E748"/>
      <x:c r="F748"/>
      <x:c r="G748"/>
      <x:c r="H748"/>
      <x:c r="I748"/>
      <x:c r="J748"/>
      <x:c r="K748" s="56"/>
      <x:c r="L748"/>
      <x:c r="M748"/>
      <x:c r="N748" s="56"/>
      <x:c r="O748"/>
      <x:c r="P748"/>
      <x:c r="Q748" s="56"/>
      <x:c r="R748"/>
      <x:c r="S748"/>
      <x:c r="T748" s="56"/>
      <x:c r="U748"/>
      <x:c r="V748"/>
      <x:c r="W748" s="36"/>
      <x:c r="X748" s="56"/>
      <x:c r="Y748"/>
      <x:c r="Z748"/>
      <x:c r="AA748"/>
      <x:c r="AB748"/>
    </x:row>
    <x:row r="749">
      <x:c r="A749"/>
      <x:c r="B749"/>
      <x:c r="C749"/>
      <x:c r="D749"/>
      <x:c r="E749"/>
      <x:c r="F749"/>
      <x:c r="G749"/>
      <x:c r="H749"/>
      <x:c r="I749"/>
      <x:c r="J749"/>
      <x:c r="K749" s="56"/>
      <x:c r="L749"/>
      <x:c r="M749"/>
      <x:c r="N749" s="56"/>
      <x:c r="O749"/>
      <x:c r="P749"/>
      <x:c r="Q749" s="56"/>
      <x:c r="R749"/>
      <x:c r="S749"/>
      <x:c r="T749" s="56"/>
      <x:c r="U749"/>
      <x:c r="V749"/>
      <x:c r="W749" s="36"/>
      <x:c r="X749" s="56"/>
      <x:c r="Y749"/>
      <x:c r="Z749"/>
      <x:c r="AA749"/>
      <x:c r="AB749"/>
    </x:row>
    <x:row r="750">
      <x:c r="A750"/>
      <x:c r="B750"/>
      <x:c r="C750"/>
      <x:c r="D750"/>
      <x:c r="E750"/>
      <x:c r="F750"/>
      <x:c r="G750"/>
      <x:c r="H750"/>
      <x:c r="I750"/>
      <x:c r="J750"/>
      <x:c r="K750" s="56"/>
      <x:c r="L750"/>
      <x:c r="M750"/>
      <x:c r="N750" s="56"/>
      <x:c r="O750"/>
      <x:c r="P750"/>
      <x:c r="Q750" s="56"/>
      <x:c r="R750"/>
      <x:c r="S750"/>
      <x:c r="T750" s="56"/>
      <x:c r="U750"/>
      <x:c r="V750"/>
      <x:c r="W750" s="36"/>
      <x:c r="X750" s="56"/>
      <x:c r="Y750"/>
      <x:c r="Z750"/>
      <x:c r="AA750"/>
      <x:c r="AB750"/>
    </x:row>
    <x:row r="751">
      <x:c r="A751"/>
      <x:c r="B751"/>
      <x:c r="C751"/>
      <x:c r="D751"/>
      <x:c r="E751"/>
      <x:c r="F751"/>
      <x:c r="G751"/>
      <x:c r="H751"/>
      <x:c r="I751"/>
      <x:c r="J751"/>
      <x:c r="K751" s="56"/>
      <x:c r="L751"/>
      <x:c r="M751"/>
      <x:c r="N751" s="56"/>
      <x:c r="O751"/>
      <x:c r="P751"/>
      <x:c r="Q751" s="56"/>
      <x:c r="R751"/>
      <x:c r="S751"/>
      <x:c r="T751" s="56"/>
      <x:c r="U751"/>
      <x:c r="V751"/>
      <x:c r="W751" s="36"/>
      <x:c r="X751" s="56"/>
      <x:c r="Y751"/>
      <x:c r="Z751"/>
      <x:c r="AA751"/>
      <x:c r="AB751"/>
    </x:row>
    <x:row r="752">
      <x:c r="A752"/>
      <x:c r="B752"/>
      <x:c r="C752"/>
      <x:c r="D752"/>
      <x:c r="E752"/>
      <x:c r="F752"/>
      <x:c r="G752"/>
      <x:c r="H752"/>
      <x:c r="I752"/>
      <x:c r="J752"/>
      <x:c r="K752" s="56"/>
      <x:c r="L752"/>
      <x:c r="M752"/>
      <x:c r="N752" s="56"/>
      <x:c r="O752"/>
      <x:c r="P752"/>
      <x:c r="Q752" s="56"/>
      <x:c r="R752"/>
      <x:c r="S752"/>
      <x:c r="T752" s="56"/>
      <x:c r="U752"/>
      <x:c r="V752"/>
      <x:c r="W752" s="36"/>
      <x:c r="X752" s="56"/>
      <x:c r="Y752"/>
      <x:c r="Z752"/>
      <x:c r="AA752"/>
      <x:c r="AB752"/>
    </x:row>
    <x:row r="753">
      <x:c r="A753"/>
      <x:c r="B753"/>
      <x:c r="C753"/>
      <x:c r="D753"/>
      <x:c r="E753"/>
      <x:c r="F753"/>
      <x:c r="G753"/>
      <x:c r="H753"/>
      <x:c r="I753"/>
      <x:c r="J753"/>
      <x:c r="K753" s="56"/>
      <x:c r="L753"/>
      <x:c r="M753"/>
      <x:c r="N753" s="56"/>
      <x:c r="O753"/>
      <x:c r="P753"/>
      <x:c r="Q753" s="56"/>
      <x:c r="R753"/>
      <x:c r="S753"/>
      <x:c r="T753" s="56"/>
      <x:c r="U753"/>
      <x:c r="V753"/>
      <x:c r="W753" s="36"/>
      <x:c r="X753" s="56"/>
      <x:c r="Y753"/>
      <x:c r="Z753"/>
      <x:c r="AA753"/>
      <x:c r="AB753"/>
    </x:row>
    <x:row r="754">
      <x:c r="A754"/>
      <x:c r="B754"/>
      <x:c r="C754"/>
      <x:c r="D754"/>
      <x:c r="E754"/>
      <x:c r="F754"/>
      <x:c r="G754"/>
      <x:c r="H754"/>
      <x:c r="I754"/>
      <x:c r="J754"/>
      <x:c r="K754" s="56"/>
      <x:c r="L754"/>
      <x:c r="M754"/>
      <x:c r="N754" s="56"/>
      <x:c r="O754"/>
      <x:c r="P754"/>
      <x:c r="Q754" s="56"/>
      <x:c r="R754"/>
      <x:c r="S754"/>
      <x:c r="T754" s="56"/>
      <x:c r="U754"/>
      <x:c r="V754"/>
      <x:c r="W754" s="36"/>
      <x:c r="X754" s="56"/>
      <x:c r="Y754"/>
      <x:c r="Z754"/>
      <x:c r="AA754"/>
      <x:c r="AB754"/>
    </x:row>
    <x:row r="755">
      <x:c r="A755"/>
      <x:c r="B755"/>
      <x:c r="C755"/>
      <x:c r="D755"/>
      <x:c r="E755"/>
      <x:c r="F755"/>
      <x:c r="G755"/>
      <x:c r="H755"/>
      <x:c r="I755"/>
      <x:c r="J755"/>
      <x:c r="K755" s="56"/>
      <x:c r="L755"/>
      <x:c r="M755"/>
      <x:c r="N755" s="56"/>
      <x:c r="O755"/>
      <x:c r="P755"/>
      <x:c r="Q755" s="56"/>
      <x:c r="R755"/>
      <x:c r="S755"/>
      <x:c r="T755" s="56"/>
      <x:c r="U755"/>
      <x:c r="V755"/>
      <x:c r="W755" s="36"/>
      <x:c r="X755" s="56"/>
      <x:c r="Y755"/>
      <x:c r="Z755"/>
      <x:c r="AA755"/>
      <x:c r="AB755"/>
    </x:row>
    <x:row r="756">
      <x:c r="A756"/>
      <x:c r="B756"/>
      <x:c r="C756"/>
      <x:c r="D756"/>
      <x:c r="E756"/>
      <x:c r="F756"/>
      <x:c r="G756"/>
      <x:c r="H756"/>
      <x:c r="I756"/>
      <x:c r="J756"/>
      <x:c r="K756" s="56"/>
      <x:c r="L756"/>
      <x:c r="M756"/>
      <x:c r="N756" s="56"/>
      <x:c r="O756"/>
      <x:c r="P756"/>
      <x:c r="Q756" s="56"/>
      <x:c r="R756"/>
      <x:c r="S756"/>
      <x:c r="T756" s="56"/>
      <x:c r="U756"/>
      <x:c r="V756"/>
      <x:c r="W756" s="36"/>
      <x:c r="X756" s="56"/>
      <x:c r="Y756"/>
      <x:c r="Z756"/>
      <x:c r="AA756"/>
      <x:c r="AB756"/>
    </x:row>
    <x:row r="757">
      <x:c r="A757"/>
      <x:c r="B757"/>
      <x:c r="C757"/>
      <x:c r="D757"/>
      <x:c r="E757"/>
      <x:c r="F757"/>
      <x:c r="G757"/>
      <x:c r="H757"/>
      <x:c r="I757"/>
      <x:c r="J757"/>
      <x:c r="K757" s="56"/>
      <x:c r="L757"/>
      <x:c r="M757"/>
      <x:c r="N757" s="56"/>
      <x:c r="O757"/>
      <x:c r="P757"/>
      <x:c r="Q757" s="56"/>
      <x:c r="R757"/>
      <x:c r="S757"/>
      <x:c r="T757" s="56"/>
      <x:c r="U757"/>
      <x:c r="V757"/>
      <x:c r="W757" s="36"/>
      <x:c r="X757" s="56"/>
      <x:c r="Y757"/>
      <x:c r="Z757"/>
      <x:c r="AA757"/>
      <x:c r="AB757"/>
    </x:row>
    <x:row r="758">
      <x:c r="A758"/>
      <x:c r="B758"/>
      <x:c r="C758"/>
      <x:c r="D758"/>
      <x:c r="E758"/>
      <x:c r="F758"/>
      <x:c r="G758"/>
      <x:c r="H758"/>
      <x:c r="I758"/>
      <x:c r="J758"/>
      <x:c r="K758" s="56"/>
      <x:c r="L758"/>
      <x:c r="M758"/>
      <x:c r="N758" s="56"/>
      <x:c r="O758"/>
      <x:c r="P758"/>
      <x:c r="Q758" s="56"/>
      <x:c r="R758"/>
      <x:c r="S758"/>
      <x:c r="T758" s="56"/>
      <x:c r="U758"/>
      <x:c r="V758"/>
      <x:c r="W758" s="36"/>
      <x:c r="X758" s="56"/>
      <x:c r="Y758"/>
      <x:c r="Z758"/>
      <x:c r="AA758"/>
      <x:c r="AB758"/>
    </x:row>
    <x:row r="759">
      <x:c r="A759"/>
      <x:c r="B759"/>
      <x:c r="C759"/>
      <x:c r="D759"/>
      <x:c r="E759"/>
      <x:c r="F759"/>
      <x:c r="G759"/>
      <x:c r="H759"/>
      <x:c r="I759"/>
      <x:c r="J759"/>
      <x:c r="K759" s="56"/>
      <x:c r="L759"/>
      <x:c r="M759"/>
      <x:c r="N759" s="56"/>
      <x:c r="O759"/>
      <x:c r="P759"/>
      <x:c r="Q759" s="56"/>
      <x:c r="R759"/>
      <x:c r="S759"/>
      <x:c r="T759" s="56"/>
      <x:c r="U759"/>
      <x:c r="V759"/>
      <x:c r="W759" s="36"/>
      <x:c r="X759" s="56"/>
      <x:c r="Y759"/>
      <x:c r="Z759"/>
      <x:c r="AA759"/>
      <x:c r="AB759"/>
    </x:row>
    <x:row r="760">
      <x:c r="A760"/>
      <x:c r="B760"/>
      <x:c r="C760"/>
      <x:c r="D760"/>
      <x:c r="E760"/>
      <x:c r="F760"/>
      <x:c r="G760"/>
      <x:c r="H760"/>
      <x:c r="I760"/>
      <x:c r="J760"/>
      <x:c r="K760" s="56"/>
      <x:c r="L760"/>
      <x:c r="M760"/>
      <x:c r="N760" s="56"/>
      <x:c r="O760"/>
      <x:c r="P760"/>
      <x:c r="Q760" s="56"/>
      <x:c r="R760"/>
      <x:c r="S760"/>
      <x:c r="T760" s="56"/>
      <x:c r="U760"/>
      <x:c r="V760"/>
      <x:c r="W760" s="36"/>
      <x:c r="X760" s="56"/>
      <x:c r="Y760"/>
      <x:c r="Z760"/>
      <x:c r="AA760"/>
      <x:c r="AB760"/>
    </x:row>
    <x:row r="761">
      <x:c r="A761"/>
      <x:c r="B761"/>
      <x:c r="C761"/>
      <x:c r="D761"/>
      <x:c r="E761"/>
      <x:c r="F761"/>
      <x:c r="G761"/>
      <x:c r="H761"/>
      <x:c r="I761"/>
      <x:c r="J761"/>
      <x:c r="K761" s="56"/>
      <x:c r="L761"/>
      <x:c r="M761"/>
      <x:c r="N761" s="56"/>
      <x:c r="O761"/>
      <x:c r="P761"/>
      <x:c r="Q761" s="56"/>
      <x:c r="R761"/>
      <x:c r="S761"/>
      <x:c r="T761" s="56"/>
      <x:c r="U761"/>
      <x:c r="V761"/>
      <x:c r="W761" s="36"/>
      <x:c r="X761" s="56"/>
      <x:c r="Y761"/>
      <x:c r="Z761"/>
      <x:c r="AA761"/>
      <x:c r="AB761"/>
    </x:row>
    <x:row r="762">
      <x:c r="A762"/>
      <x:c r="B762"/>
      <x:c r="C762"/>
      <x:c r="D762"/>
      <x:c r="E762"/>
      <x:c r="F762"/>
      <x:c r="G762"/>
      <x:c r="H762"/>
      <x:c r="I762"/>
      <x:c r="J762"/>
      <x:c r="K762" s="56"/>
      <x:c r="L762"/>
      <x:c r="M762"/>
      <x:c r="N762" s="56"/>
      <x:c r="O762"/>
      <x:c r="P762"/>
      <x:c r="Q762" s="56"/>
      <x:c r="R762"/>
      <x:c r="S762"/>
      <x:c r="T762" s="56"/>
      <x:c r="U762"/>
      <x:c r="V762"/>
      <x:c r="W762" s="36"/>
      <x:c r="X762" s="56"/>
      <x:c r="Y762"/>
      <x:c r="Z762"/>
      <x:c r="AA762"/>
      <x:c r="AB762"/>
    </x:row>
    <x:row r="763">
      <x:c r="A763"/>
      <x:c r="B763"/>
      <x:c r="C763"/>
      <x:c r="D763"/>
      <x:c r="E763"/>
      <x:c r="F763"/>
      <x:c r="G763"/>
      <x:c r="H763"/>
      <x:c r="I763"/>
      <x:c r="J763"/>
      <x:c r="K763" s="56"/>
      <x:c r="L763"/>
      <x:c r="M763"/>
      <x:c r="N763" s="56"/>
      <x:c r="O763"/>
      <x:c r="P763"/>
      <x:c r="Q763" s="56"/>
      <x:c r="R763"/>
      <x:c r="S763"/>
      <x:c r="T763" s="56"/>
      <x:c r="U763"/>
      <x:c r="V763"/>
      <x:c r="W763" s="36"/>
      <x:c r="X763" s="56"/>
      <x:c r="Y763"/>
      <x:c r="Z763"/>
      <x:c r="AA763"/>
      <x:c r="AB763"/>
    </x:row>
    <x:row r="764">
      <x:c r="A764"/>
      <x:c r="B764"/>
      <x:c r="C764"/>
      <x:c r="D764"/>
      <x:c r="E764"/>
      <x:c r="F764"/>
      <x:c r="G764"/>
      <x:c r="H764"/>
      <x:c r="I764"/>
      <x:c r="J764"/>
      <x:c r="K764" s="56"/>
      <x:c r="L764"/>
      <x:c r="M764"/>
      <x:c r="N764" s="56"/>
      <x:c r="O764"/>
      <x:c r="P764"/>
      <x:c r="Q764" s="56"/>
      <x:c r="R764"/>
      <x:c r="S764"/>
      <x:c r="T764" s="56"/>
      <x:c r="U764"/>
      <x:c r="V764"/>
      <x:c r="W764" s="36"/>
      <x:c r="X764" s="56"/>
      <x:c r="Y764"/>
      <x:c r="Z764"/>
      <x:c r="AA764"/>
      <x:c r="AB764"/>
    </x:row>
    <x:row r="765">
      <x:c r="A765"/>
      <x:c r="B765"/>
      <x:c r="C765"/>
      <x:c r="D765"/>
      <x:c r="E765"/>
      <x:c r="F765"/>
      <x:c r="G765"/>
      <x:c r="H765"/>
      <x:c r="I765"/>
      <x:c r="J765"/>
      <x:c r="K765" s="56"/>
      <x:c r="L765"/>
      <x:c r="M765"/>
      <x:c r="N765" s="56"/>
      <x:c r="O765"/>
      <x:c r="P765"/>
      <x:c r="Q765" s="56"/>
      <x:c r="R765"/>
      <x:c r="S765"/>
      <x:c r="T765" s="56"/>
      <x:c r="U765"/>
      <x:c r="V765"/>
      <x:c r="W765" s="36"/>
      <x:c r="X765" s="56"/>
      <x:c r="Y765"/>
      <x:c r="Z765"/>
      <x:c r="AA765"/>
      <x:c r="AB765"/>
    </x:row>
    <x:row r="766">
      <x:c r="A766"/>
      <x:c r="B766"/>
      <x:c r="C766"/>
      <x:c r="D766"/>
      <x:c r="E766"/>
      <x:c r="F766"/>
      <x:c r="G766"/>
      <x:c r="H766"/>
      <x:c r="I766"/>
      <x:c r="J766"/>
      <x:c r="K766" s="56"/>
      <x:c r="L766"/>
      <x:c r="M766"/>
      <x:c r="N766" s="56"/>
      <x:c r="O766"/>
      <x:c r="P766"/>
      <x:c r="Q766" s="56"/>
      <x:c r="R766"/>
      <x:c r="S766"/>
      <x:c r="T766" s="56"/>
      <x:c r="U766"/>
      <x:c r="V766"/>
      <x:c r="W766" s="36"/>
      <x:c r="X766" s="56"/>
      <x:c r="Y766"/>
      <x:c r="Z766"/>
      <x:c r="AA766"/>
      <x:c r="AB766"/>
    </x:row>
    <x:row r="767">
      <x:c r="A767"/>
      <x:c r="B767"/>
      <x:c r="C767"/>
      <x:c r="D767"/>
      <x:c r="E767"/>
      <x:c r="F767"/>
      <x:c r="G767"/>
      <x:c r="H767"/>
      <x:c r="I767"/>
      <x:c r="J767"/>
      <x:c r="K767" s="56"/>
      <x:c r="L767"/>
      <x:c r="M767"/>
      <x:c r="N767" s="56"/>
      <x:c r="O767"/>
      <x:c r="P767"/>
      <x:c r="Q767" s="56"/>
      <x:c r="R767"/>
      <x:c r="S767"/>
      <x:c r="T767" s="56"/>
      <x:c r="U767"/>
      <x:c r="V767"/>
      <x:c r="W767" s="36"/>
      <x:c r="X767" s="56"/>
      <x:c r="Y767"/>
      <x:c r="Z767"/>
      <x:c r="AA767"/>
      <x:c r="AB767"/>
    </x:row>
    <x:row r="768">
      <x:c r="A768"/>
      <x:c r="B768"/>
      <x:c r="C768"/>
      <x:c r="D768"/>
      <x:c r="E768"/>
      <x:c r="F768"/>
      <x:c r="G768"/>
      <x:c r="H768"/>
      <x:c r="I768"/>
      <x:c r="J768"/>
      <x:c r="K768" s="56"/>
      <x:c r="L768"/>
      <x:c r="M768"/>
      <x:c r="N768" s="56"/>
      <x:c r="O768"/>
      <x:c r="P768"/>
      <x:c r="Q768" s="56"/>
      <x:c r="R768"/>
      <x:c r="S768"/>
      <x:c r="T768" s="56"/>
      <x:c r="U768"/>
      <x:c r="V768"/>
      <x:c r="W768" s="36"/>
      <x:c r="X768" s="56"/>
      <x:c r="Y768"/>
      <x:c r="Z768"/>
      <x:c r="AA768"/>
      <x:c r="AB768"/>
    </x:row>
    <x:row r="769">
      <x:c r="A769"/>
      <x:c r="B769"/>
      <x:c r="C769"/>
      <x:c r="D769"/>
      <x:c r="E769"/>
      <x:c r="F769"/>
      <x:c r="G769"/>
      <x:c r="H769"/>
      <x:c r="I769"/>
      <x:c r="J769"/>
      <x:c r="K769" s="56"/>
      <x:c r="L769"/>
      <x:c r="M769"/>
      <x:c r="N769" s="56"/>
      <x:c r="O769"/>
      <x:c r="P769"/>
      <x:c r="Q769" s="56"/>
      <x:c r="R769"/>
      <x:c r="S769"/>
      <x:c r="T769" s="56"/>
      <x:c r="U769"/>
      <x:c r="V769"/>
      <x:c r="W769" s="36"/>
      <x:c r="X769" s="56"/>
      <x:c r="Y769"/>
      <x:c r="Z769"/>
      <x:c r="AA769"/>
      <x:c r="AB769"/>
    </x:row>
    <x:row r="770">
      <x:c r="A770"/>
      <x:c r="B770"/>
      <x:c r="C770"/>
      <x:c r="D770"/>
      <x:c r="E770"/>
      <x:c r="F770"/>
      <x:c r="G770"/>
      <x:c r="H770"/>
      <x:c r="I770"/>
      <x:c r="J770"/>
      <x:c r="K770" s="56"/>
      <x:c r="L770"/>
      <x:c r="M770"/>
      <x:c r="N770" s="56"/>
      <x:c r="O770"/>
      <x:c r="P770"/>
      <x:c r="Q770" s="56"/>
      <x:c r="R770"/>
      <x:c r="S770"/>
      <x:c r="T770" s="56"/>
      <x:c r="U770"/>
      <x:c r="V770"/>
      <x:c r="W770" s="36"/>
      <x:c r="X770" s="56"/>
      <x:c r="Y770"/>
      <x:c r="Z770"/>
      <x:c r="AA770"/>
      <x:c r="AB770"/>
    </x:row>
    <x:row r="771">
      <x:c r="A771"/>
      <x:c r="B771"/>
      <x:c r="C771"/>
      <x:c r="D771"/>
      <x:c r="E771"/>
      <x:c r="F771"/>
      <x:c r="G771"/>
      <x:c r="H771"/>
      <x:c r="I771"/>
      <x:c r="J771"/>
      <x:c r="K771" s="56"/>
      <x:c r="L771"/>
      <x:c r="M771"/>
      <x:c r="N771" s="56"/>
      <x:c r="O771"/>
      <x:c r="P771"/>
      <x:c r="Q771" s="56"/>
      <x:c r="R771"/>
      <x:c r="S771"/>
      <x:c r="T771" s="56"/>
      <x:c r="U771"/>
      <x:c r="V771"/>
      <x:c r="W771" s="36"/>
      <x:c r="X771" s="56"/>
      <x:c r="Y771"/>
      <x:c r="Z771"/>
      <x:c r="AA771"/>
      <x:c r="AB771"/>
    </x:row>
    <x:row r="772">
      <x:c r="A772"/>
      <x:c r="B772"/>
      <x:c r="C772"/>
      <x:c r="D772"/>
      <x:c r="E772"/>
      <x:c r="F772"/>
      <x:c r="G772"/>
      <x:c r="H772"/>
      <x:c r="I772"/>
      <x:c r="J772"/>
      <x:c r="K772" s="56"/>
      <x:c r="L772"/>
      <x:c r="M772"/>
      <x:c r="N772" s="56"/>
      <x:c r="O772"/>
      <x:c r="P772"/>
      <x:c r="Q772" s="56"/>
      <x:c r="R772"/>
      <x:c r="S772"/>
      <x:c r="T772" s="56"/>
      <x:c r="U772"/>
      <x:c r="V772"/>
      <x:c r="W772" s="36"/>
      <x:c r="X772" s="56"/>
      <x:c r="Y772"/>
      <x:c r="Z772"/>
      <x:c r="AA772"/>
      <x:c r="AB772"/>
    </x:row>
    <x:row r="773">
      <x:c r="A773"/>
      <x:c r="B773"/>
      <x:c r="C773"/>
      <x:c r="D773"/>
      <x:c r="E773"/>
      <x:c r="F773"/>
      <x:c r="G773"/>
      <x:c r="H773"/>
      <x:c r="I773"/>
      <x:c r="J773"/>
      <x:c r="K773" s="56"/>
      <x:c r="L773"/>
      <x:c r="M773"/>
      <x:c r="N773" s="56"/>
      <x:c r="O773"/>
      <x:c r="P773"/>
      <x:c r="Q773" s="56"/>
      <x:c r="R773"/>
      <x:c r="S773"/>
      <x:c r="T773" s="56"/>
      <x:c r="U773"/>
      <x:c r="V773"/>
      <x:c r="W773" s="36"/>
      <x:c r="X773" s="56"/>
      <x:c r="Y773"/>
      <x:c r="Z773"/>
      <x:c r="AA773"/>
      <x:c r="AB773"/>
    </x:row>
    <x:row r="774">
      <x:c r="A774"/>
      <x:c r="B774"/>
      <x:c r="C774"/>
      <x:c r="D774"/>
      <x:c r="E774"/>
      <x:c r="F774"/>
      <x:c r="G774"/>
      <x:c r="H774"/>
      <x:c r="I774"/>
      <x:c r="J774"/>
      <x:c r="K774" s="56"/>
      <x:c r="L774"/>
      <x:c r="M774"/>
      <x:c r="N774" s="56"/>
      <x:c r="O774"/>
      <x:c r="P774"/>
      <x:c r="Q774" s="56"/>
      <x:c r="R774"/>
      <x:c r="S774"/>
      <x:c r="T774" s="56"/>
      <x:c r="U774"/>
      <x:c r="V774"/>
      <x:c r="W774" s="36"/>
      <x:c r="X774" s="56"/>
      <x:c r="Y774"/>
      <x:c r="Z774"/>
      <x:c r="AA774"/>
      <x:c r="AB774"/>
    </x:row>
    <x:row r="775">
      <x:c r="A775"/>
      <x:c r="B775"/>
      <x:c r="C775"/>
      <x:c r="D775"/>
      <x:c r="E775"/>
      <x:c r="F775"/>
      <x:c r="G775"/>
      <x:c r="H775"/>
      <x:c r="I775"/>
      <x:c r="J775"/>
      <x:c r="K775" s="56"/>
      <x:c r="L775"/>
      <x:c r="M775"/>
      <x:c r="N775" s="56"/>
      <x:c r="O775"/>
      <x:c r="P775"/>
      <x:c r="Q775" s="56"/>
      <x:c r="R775"/>
      <x:c r="S775"/>
      <x:c r="T775" s="56"/>
      <x:c r="U775"/>
      <x:c r="V775"/>
      <x:c r="W775" s="36"/>
      <x:c r="X775" s="56"/>
      <x:c r="Y775"/>
      <x:c r="Z775"/>
      <x:c r="AA775"/>
      <x:c r="AB775"/>
    </x:row>
    <x:row r="776">
      <x:c r="A776"/>
      <x:c r="B776"/>
      <x:c r="C776"/>
      <x:c r="D776"/>
      <x:c r="E776"/>
      <x:c r="F776"/>
      <x:c r="G776"/>
      <x:c r="H776"/>
      <x:c r="I776"/>
      <x:c r="J776"/>
      <x:c r="K776" s="56"/>
      <x:c r="L776"/>
      <x:c r="M776"/>
      <x:c r="N776" s="56"/>
      <x:c r="O776"/>
      <x:c r="P776"/>
      <x:c r="Q776" s="56"/>
      <x:c r="R776"/>
      <x:c r="S776"/>
      <x:c r="T776" s="56"/>
      <x:c r="U776"/>
      <x:c r="V776"/>
      <x:c r="W776" s="36"/>
      <x:c r="X776" s="56"/>
      <x:c r="Y776"/>
      <x:c r="Z776"/>
      <x:c r="AA776"/>
      <x:c r="AB776"/>
    </x:row>
    <x:row r="777">
      <x:c r="A777"/>
      <x:c r="B777"/>
      <x:c r="C777"/>
      <x:c r="D777"/>
      <x:c r="E777"/>
      <x:c r="F777"/>
      <x:c r="G777"/>
      <x:c r="H777"/>
      <x:c r="I777"/>
      <x:c r="J777"/>
      <x:c r="K777" s="56"/>
      <x:c r="L777"/>
      <x:c r="M777"/>
      <x:c r="N777" s="56"/>
      <x:c r="O777"/>
      <x:c r="P777"/>
      <x:c r="Q777" s="56"/>
      <x:c r="R777"/>
      <x:c r="S777"/>
      <x:c r="T777" s="56"/>
      <x:c r="U777"/>
      <x:c r="V777"/>
      <x:c r="W777" s="36"/>
      <x:c r="X777" s="56"/>
      <x:c r="Y777"/>
      <x:c r="Z777"/>
      <x:c r="AA777"/>
      <x:c r="AB777"/>
    </x:row>
    <x:row r="778">
      <x:c r="A778"/>
      <x:c r="B778"/>
      <x:c r="C778"/>
      <x:c r="D778"/>
      <x:c r="E778"/>
      <x:c r="F778"/>
      <x:c r="G778"/>
      <x:c r="H778"/>
      <x:c r="I778"/>
      <x:c r="J778"/>
      <x:c r="K778" s="56"/>
      <x:c r="L778"/>
      <x:c r="M778"/>
      <x:c r="N778" s="56"/>
      <x:c r="O778"/>
      <x:c r="P778"/>
      <x:c r="Q778" s="56"/>
      <x:c r="R778"/>
      <x:c r="S778"/>
      <x:c r="T778" s="56"/>
      <x:c r="U778"/>
      <x:c r="V778"/>
      <x:c r="W778" s="36"/>
      <x:c r="X778" s="56"/>
      <x:c r="Y778"/>
      <x:c r="Z778"/>
      <x:c r="AA778"/>
      <x:c r="AB778"/>
    </x:row>
    <x:row r="779">
      <x:c r="A779"/>
      <x:c r="B779"/>
      <x:c r="C779"/>
      <x:c r="D779"/>
      <x:c r="E779"/>
      <x:c r="F779"/>
      <x:c r="G779"/>
      <x:c r="H779"/>
      <x:c r="I779"/>
      <x:c r="J779"/>
      <x:c r="K779" s="56"/>
      <x:c r="L779"/>
      <x:c r="M779"/>
      <x:c r="N779" s="56"/>
      <x:c r="O779"/>
      <x:c r="P779"/>
      <x:c r="Q779" s="56"/>
      <x:c r="R779"/>
      <x:c r="S779"/>
      <x:c r="T779" s="56"/>
      <x:c r="U779"/>
      <x:c r="V779"/>
      <x:c r="W779" s="36"/>
      <x:c r="X779" s="56"/>
      <x:c r="Y779"/>
      <x:c r="Z779"/>
      <x:c r="AA779"/>
      <x:c r="AB779"/>
    </x:row>
    <x:row r="780">
      <x:c r="A780"/>
      <x:c r="B780"/>
      <x:c r="C780"/>
      <x:c r="D780"/>
      <x:c r="E780"/>
      <x:c r="F780"/>
      <x:c r="G780"/>
      <x:c r="H780"/>
      <x:c r="I780"/>
      <x:c r="J780"/>
      <x:c r="K780" s="56"/>
      <x:c r="L780"/>
      <x:c r="M780"/>
      <x:c r="N780" s="56"/>
      <x:c r="O780"/>
      <x:c r="P780"/>
      <x:c r="Q780" s="56"/>
      <x:c r="R780"/>
      <x:c r="S780"/>
      <x:c r="T780" s="56"/>
      <x:c r="U780"/>
      <x:c r="V780"/>
      <x:c r="W780" s="36"/>
      <x:c r="X780" s="56"/>
      <x:c r="Y780"/>
      <x:c r="Z780"/>
      <x:c r="AA780"/>
      <x:c r="AB780"/>
    </x:row>
    <x:row r="781">
      <x:c r="A781"/>
      <x:c r="B781"/>
      <x:c r="C781"/>
      <x:c r="D781"/>
      <x:c r="E781"/>
      <x:c r="F781"/>
      <x:c r="G781"/>
      <x:c r="H781"/>
      <x:c r="I781"/>
      <x:c r="J781"/>
      <x:c r="K781" s="56"/>
      <x:c r="L781"/>
      <x:c r="M781"/>
      <x:c r="N781" s="56"/>
      <x:c r="O781"/>
      <x:c r="P781"/>
      <x:c r="Q781" s="56"/>
      <x:c r="R781"/>
      <x:c r="S781"/>
      <x:c r="T781" s="56"/>
      <x:c r="U781"/>
      <x:c r="V781"/>
      <x:c r="W781" s="36"/>
      <x:c r="X781" s="56"/>
      <x:c r="Y781"/>
      <x:c r="Z781"/>
      <x:c r="AA781"/>
      <x:c r="AB781"/>
    </x:row>
    <x:row r="782">
      <x:c r="A782"/>
      <x:c r="B782"/>
      <x:c r="C782"/>
      <x:c r="D782"/>
      <x:c r="E782"/>
      <x:c r="F782"/>
      <x:c r="G782"/>
      <x:c r="H782"/>
      <x:c r="I782"/>
      <x:c r="J782"/>
      <x:c r="K782" s="56"/>
      <x:c r="L782"/>
      <x:c r="M782"/>
      <x:c r="N782" s="56"/>
      <x:c r="O782"/>
      <x:c r="P782"/>
      <x:c r="Q782" s="56"/>
      <x:c r="R782"/>
      <x:c r="S782"/>
      <x:c r="T782" s="56"/>
      <x:c r="U782"/>
      <x:c r="V782"/>
      <x:c r="W782" s="36"/>
      <x:c r="X782" s="56"/>
      <x:c r="Y782"/>
      <x:c r="Z782"/>
      <x:c r="AA782"/>
      <x:c r="AB782"/>
    </x:row>
    <x:row r="783">
      <x:c r="A783"/>
      <x:c r="B783"/>
      <x:c r="C783"/>
      <x:c r="D783"/>
      <x:c r="E783"/>
      <x:c r="F783"/>
      <x:c r="G783"/>
      <x:c r="H783"/>
      <x:c r="I783"/>
      <x:c r="J783"/>
      <x:c r="K783" s="56"/>
      <x:c r="L783"/>
      <x:c r="M783"/>
      <x:c r="N783" s="56"/>
      <x:c r="O783"/>
      <x:c r="P783"/>
      <x:c r="Q783" s="56"/>
      <x:c r="R783"/>
      <x:c r="S783"/>
      <x:c r="T783" s="56"/>
      <x:c r="U783"/>
      <x:c r="V783"/>
      <x:c r="W783" s="36"/>
      <x:c r="X783" s="56"/>
      <x:c r="Y783"/>
      <x:c r="Z783"/>
      <x:c r="AA783"/>
      <x:c r="AB783"/>
    </x:row>
    <x:row r="784">
      <x:c r="A784"/>
      <x:c r="B784"/>
      <x:c r="C784"/>
      <x:c r="D784"/>
      <x:c r="E784"/>
      <x:c r="F784"/>
      <x:c r="G784"/>
      <x:c r="H784"/>
      <x:c r="I784"/>
      <x:c r="J784"/>
      <x:c r="K784" s="56"/>
      <x:c r="L784"/>
      <x:c r="M784"/>
      <x:c r="N784" s="56"/>
      <x:c r="O784"/>
      <x:c r="P784"/>
      <x:c r="Q784" s="56"/>
      <x:c r="R784"/>
      <x:c r="S784"/>
      <x:c r="T784" s="56"/>
      <x:c r="U784"/>
      <x:c r="V784"/>
      <x:c r="W784" s="36"/>
      <x:c r="X784" s="56"/>
      <x:c r="Y784"/>
      <x:c r="Z784"/>
      <x:c r="AA784"/>
      <x:c r="AB784"/>
    </x:row>
    <x:row r="785">
      <x:c r="A785"/>
      <x:c r="B785"/>
      <x:c r="C785"/>
      <x:c r="D785"/>
      <x:c r="E785"/>
      <x:c r="F785"/>
      <x:c r="G785"/>
      <x:c r="H785"/>
      <x:c r="I785"/>
      <x:c r="J785"/>
      <x:c r="K785" s="56"/>
      <x:c r="L785"/>
      <x:c r="M785"/>
      <x:c r="N785" s="56"/>
      <x:c r="O785"/>
      <x:c r="P785"/>
      <x:c r="Q785" s="56"/>
      <x:c r="R785"/>
      <x:c r="S785"/>
      <x:c r="T785" s="56"/>
      <x:c r="U785"/>
      <x:c r="V785"/>
      <x:c r="W785" s="36"/>
      <x:c r="X785" s="56"/>
      <x:c r="Y785"/>
      <x:c r="Z785"/>
      <x:c r="AA785"/>
      <x:c r="AB785"/>
    </x:row>
    <x:row r="786">
      <x:c r="A786"/>
      <x:c r="B786"/>
      <x:c r="C786"/>
      <x:c r="D786"/>
      <x:c r="E786"/>
      <x:c r="F786"/>
      <x:c r="G786"/>
      <x:c r="H786"/>
      <x:c r="I786"/>
      <x:c r="J786"/>
      <x:c r="K786" s="56"/>
      <x:c r="L786"/>
      <x:c r="M786"/>
      <x:c r="N786" s="56"/>
      <x:c r="O786"/>
      <x:c r="P786"/>
      <x:c r="Q786" s="56"/>
      <x:c r="R786"/>
      <x:c r="S786"/>
      <x:c r="T786" s="56"/>
      <x:c r="U786"/>
      <x:c r="V786"/>
      <x:c r="W786" s="36"/>
      <x:c r="X786" s="56"/>
      <x:c r="Y786"/>
      <x:c r="Z786"/>
      <x:c r="AA786"/>
      <x:c r="AB786"/>
    </x:row>
    <x:row r="787">
      <x:c r="A787"/>
      <x:c r="B787"/>
      <x:c r="C787"/>
      <x:c r="D787"/>
      <x:c r="E787"/>
      <x:c r="F787"/>
      <x:c r="G787"/>
      <x:c r="H787"/>
      <x:c r="I787"/>
      <x:c r="J787"/>
      <x:c r="K787" s="56"/>
      <x:c r="L787"/>
      <x:c r="M787"/>
      <x:c r="N787" s="56"/>
      <x:c r="O787"/>
      <x:c r="P787"/>
      <x:c r="Q787" s="56"/>
      <x:c r="R787"/>
      <x:c r="S787"/>
      <x:c r="T787" s="56"/>
      <x:c r="U787"/>
      <x:c r="V787"/>
      <x:c r="W787" s="36"/>
      <x:c r="X787" s="56"/>
      <x:c r="Y787"/>
      <x:c r="Z787"/>
      <x:c r="AA787"/>
      <x:c r="AB787"/>
    </x:row>
    <x:row r="788">
      <x:c r="A788"/>
      <x:c r="B788"/>
      <x:c r="C788"/>
      <x:c r="D788"/>
      <x:c r="E788"/>
      <x:c r="F788"/>
      <x:c r="G788"/>
      <x:c r="H788"/>
      <x:c r="I788"/>
      <x:c r="J788"/>
      <x:c r="K788" s="56"/>
      <x:c r="L788"/>
      <x:c r="M788"/>
      <x:c r="N788" s="56"/>
      <x:c r="O788"/>
      <x:c r="P788"/>
      <x:c r="Q788" s="56"/>
      <x:c r="R788"/>
      <x:c r="S788"/>
      <x:c r="T788" s="56"/>
      <x:c r="U788"/>
      <x:c r="V788"/>
      <x:c r="W788" s="36"/>
      <x:c r="X788" s="56"/>
      <x:c r="Y788"/>
      <x:c r="Z788"/>
      <x:c r="AA788"/>
      <x:c r="AB788"/>
    </x:row>
    <x:row r="789">
      <x:c r="A789"/>
      <x:c r="B789"/>
      <x:c r="C789"/>
      <x:c r="D789"/>
      <x:c r="E789"/>
      <x:c r="F789"/>
      <x:c r="G789"/>
      <x:c r="H789"/>
      <x:c r="I789"/>
      <x:c r="J789"/>
      <x:c r="K789" s="56"/>
      <x:c r="L789"/>
      <x:c r="M789"/>
      <x:c r="N789" s="56"/>
      <x:c r="O789"/>
      <x:c r="P789"/>
      <x:c r="Q789" s="56"/>
      <x:c r="R789"/>
      <x:c r="S789"/>
      <x:c r="T789" s="56"/>
      <x:c r="U789"/>
      <x:c r="V789"/>
      <x:c r="W789" s="36"/>
      <x:c r="X789" s="56"/>
      <x:c r="Y789"/>
      <x:c r="Z789"/>
      <x:c r="AA789"/>
      <x:c r="AB789"/>
    </x:row>
    <x:row r="790">
      <x:c r="A790"/>
      <x:c r="B790"/>
      <x:c r="C790"/>
      <x:c r="D790"/>
      <x:c r="E790"/>
      <x:c r="F790"/>
      <x:c r="G790"/>
      <x:c r="H790"/>
      <x:c r="I790"/>
      <x:c r="J790"/>
      <x:c r="K790" s="56"/>
      <x:c r="L790"/>
      <x:c r="M790"/>
      <x:c r="N790" s="56"/>
      <x:c r="O790"/>
      <x:c r="P790"/>
      <x:c r="Q790" s="56"/>
      <x:c r="R790"/>
      <x:c r="S790"/>
      <x:c r="T790" s="56"/>
      <x:c r="U790"/>
      <x:c r="V790"/>
      <x:c r="W790" s="36"/>
      <x:c r="X790" s="56"/>
      <x:c r="Y790"/>
      <x:c r="Z790"/>
      <x:c r="AA790"/>
      <x:c r="AB790"/>
    </x:row>
    <x:row r="791">
      <x:c r="A791"/>
      <x:c r="B791"/>
      <x:c r="C791"/>
      <x:c r="D791"/>
      <x:c r="E791"/>
      <x:c r="F791"/>
      <x:c r="G791"/>
      <x:c r="H791"/>
      <x:c r="I791"/>
      <x:c r="J791"/>
      <x:c r="K791" s="56"/>
      <x:c r="L791"/>
      <x:c r="M791"/>
      <x:c r="N791" s="56"/>
      <x:c r="O791"/>
      <x:c r="P791"/>
      <x:c r="Q791" s="56"/>
      <x:c r="R791"/>
      <x:c r="S791"/>
      <x:c r="T791" s="56"/>
      <x:c r="U791"/>
      <x:c r="V791"/>
      <x:c r="W791" s="36"/>
      <x:c r="X791" s="56"/>
      <x:c r="Y791"/>
      <x:c r="Z791"/>
      <x:c r="AA791"/>
      <x:c r="AB791"/>
    </x:row>
    <x:row r="792">
      <x:c r="A792"/>
      <x:c r="B792"/>
      <x:c r="C792"/>
      <x:c r="D792"/>
      <x:c r="E792"/>
      <x:c r="F792"/>
      <x:c r="G792"/>
      <x:c r="H792"/>
      <x:c r="I792"/>
      <x:c r="J792"/>
      <x:c r="K792" s="56"/>
      <x:c r="L792"/>
      <x:c r="M792"/>
      <x:c r="N792" s="56"/>
      <x:c r="O792"/>
      <x:c r="P792"/>
      <x:c r="Q792" s="56"/>
      <x:c r="R792"/>
      <x:c r="S792"/>
      <x:c r="T792" s="56"/>
      <x:c r="U792"/>
      <x:c r="V792"/>
      <x:c r="W792" s="36"/>
      <x:c r="X792" s="56"/>
      <x:c r="Y792"/>
      <x:c r="Z792"/>
      <x:c r="AA792"/>
      <x:c r="AB792"/>
    </x:row>
    <x:row r="793">
      <x:c r="A793"/>
      <x:c r="B793"/>
      <x:c r="C793"/>
      <x:c r="D793"/>
      <x:c r="E793"/>
      <x:c r="F793"/>
      <x:c r="G793"/>
      <x:c r="H793"/>
      <x:c r="I793"/>
      <x:c r="J793"/>
      <x:c r="K793" s="56"/>
      <x:c r="L793"/>
      <x:c r="M793"/>
      <x:c r="N793" s="56"/>
      <x:c r="O793"/>
      <x:c r="P793"/>
      <x:c r="Q793" s="56"/>
      <x:c r="R793"/>
      <x:c r="S793"/>
      <x:c r="T793" s="56"/>
      <x:c r="U793"/>
      <x:c r="V793"/>
      <x:c r="W793" s="36"/>
      <x:c r="X793" s="56"/>
      <x:c r="Y793"/>
      <x:c r="Z793"/>
      <x:c r="AA793"/>
      <x:c r="AB793"/>
    </x:row>
    <x:row r="794">
      <x:c r="A794"/>
      <x:c r="B794"/>
      <x:c r="C794"/>
      <x:c r="D794"/>
      <x:c r="E794"/>
      <x:c r="F794"/>
      <x:c r="G794"/>
      <x:c r="H794"/>
      <x:c r="I794"/>
      <x:c r="J794"/>
      <x:c r="K794" s="56"/>
      <x:c r="L794"/>
      <x:c r="M794"/>
      <x:c r="N794" s="56"/>
      <x:c r="O794"/>
      <x:c r="P794"/>
      <x:c r="Q794" s="56"/>
      <x:c r="R794"/>
      <x:c r="S794"/>
      <x:c r="T794" s="56"/>
      <x:c r="U794"/>
      <x:c r="V794"/>
      <x:c r="W794" s="36"/>
      <x:c r="X794" s="56"/>
      <x:c r="Y794"/>
      <x:c r="Z794"/>
      <x:c r="AA794"/>
      <x:c r="AB794"/>
    </x:row>
    <x:row r="795">
      <x:c r="A795"/>
      <x:c r="B795"/>
      <x:c r="C795"/>
      <x:c r="D795"/>
      <x:c r="E795"/>
      <x:c r="F795"/>
      <x:c r="G795"/>
      <x:c r="H795"/>
      <x:c r="I795"/>
      <x:c r="J795"/>
      <x:c r="K795" s="56"/>
      <x:c r="L795"/>
      <x:c r="M795"/>
      <x:c r="N795" s="56"/>
      <x:c r="O795"/>
      <x:c r="P795"/>
      <x:c r="Q795" s="56"/>
      <x:c r="R795"/>
      <x:c r="S795"/>
      <x:c r="T795" s="56"/>
      <x:c r="U795"/>
      <x:c r="V795"/>
      <x:c r="W795" s="36"/>
      <x:c r="X795" s="56"/>
      <x:c r="Y795"/>
      <x:c r="Z795"/>
      <x:c r="AA795"/>
      <x:c r="AB795"/>
    </x:row>
    <x:row r="796">
      <x:c r="A796"/>
      <x:c r="B796"/>
      <x:c r="C796"/>
      <x:c r="D796"/>
      <x:c r="E796"/>
      <x:c r="F796"/>
      <x:c r="G796"/>
      <x:c r="H796"/>
      <x:c r="I796"/>
      <x:c r="J796"/>
      <x:c r="K796" s="56"/>
      <x:c r="L796"/>
      <x:c r="M796"/>
      <x:c r="N796" s="56"/>
      <x:c r="O796"/>
      <x:c r="P796"/>
      <x:c r="Q796" s="56"/>
      <x:c r="R796"/>
      <x:c r="S796"/>
      <x:c r="T796" s="56"/>
      <x:c r="U796"/>
      <x:c r="V796"/>
      <x:c r="W796" s="36"/>
      <x:c r="X796" s="56"/>
      <x:c r="Y796"/>
      <x:c r="Z796"/>
      <x:c r="AA796"/>
      <x:c r="AB796"/>
    </x:row>
    <x:row r="797">
      <x:c r="A797"/>
      <x:c r="B797"/>
      <x:c r="C797"/>
      <x:c r="D797"/>
      <x:c r="E797"/>
      <x:c r="F797"/>
      <x:c r="G797"/>
      <x:c r="H797"/>
      <x:c r="I797"/>
      <x:c r="J797"/>
      <x:c r="K797" s="56"/>
      <x:c r="L797"/>
      <x:c r="M797"/>
      <x:c r="N797" s="56"/>
      <x:c r="O797"/>
      <x:c r="P797"/>
      <x:c r="Q797" s="56"/>
      <x:c r="R797"/>
      <x:c r="S797"/>
      <x:c r="T797" s="56"/>
      <x:c r="U797"/>
      <x:c r="V797"/>
      <x:c r="W797" s="36"/>
      <x:c r="X797" s="56"/>
      <x:c r="Y797"/>
      <x:c r="Z797"/>
      <x:c r="AA797"/>
      <x:c r="AB797"/>
    </x:row>
    <x:row r="798">
      <x:c r="A798"/>
      <x:c r="B798"/>
      <x:c r="C798"/>
      <x:c r="D798"/>
      <x:c r="E798"/>
      <x:c r="F798"/>
      <x:c r="G798"/>
      <x:c r="H798"/>
      <x:c r="I798"/>
      <x:c r="J798"/>
      <x:c r="K798" s="56"/>
      <x:c r="L798"/>
      <x:c r="M798"/>
      <x:c r="N798" s="56"/>
      <x:c r="O798"/>
      <x:c r="P798"/>
      <x:c r="Q798" s="56"/>
      <x:c r="R798"/>
      <x:c r="S798"/>
      <x:c r="T798" s="56"/>
      <x:c r="U798"/>
      <x:c r="V798"/>
      <x:c r="W798" s="36"/>
      <x:c r="X798" s="56"/>
      <x:c r="Y798"/>
      <x:c r="Z798"/>
      <x:c r="AA798"/>
      <x:c r="AB798"/>
    </x:row>
    <x:row r="799">
      <x:c r="A799"/>
      <x:c r="B799"/>
      <x:c r="C799"/>
      <x:c r="D799"/>
      <x:c r="E799"/>
      <x:c r="F799"/>
      <x:c r="G799"/>
      <x:c r="H799"/>
      <x:c r="I799"/>
      <x:c r="J799"/>
      <x:c r="K799" s="56"/>
      <x:c r="L799"/>
      <x:c r="M799"/>
      <x:c r="N799" s="56"/>
      <x:c r="O799"/>
      <x:c r="P799"/>
      <x:c r="Q799" s="56"/>
      <x:c r="R799"/>
      <x:c r="S799"/>
      <x:c r="T799" s="56"/>
      <x:c r="U799"/>
      <x:c r="V799"/>
      <x:c r="W799" s="36"/>
      <x:c r="X799" s="56"/>
      <x:c r="Y799"/>
      <x:c r="Z799"/>
      <x:c r="AA799"/>
      <x:c r="AB799"/>
    </x:row>
    <x:row r="800">
      <x:c r="A800"/>
      <x:c r="B800"/>
      <x:c r="C800"/>
      <x:c r="D800"/>
      <x:c r="E800"/>
      <x:c r="F800"/>
      <x:c r="G800"/>
      <x:c r="H800"/>
      <x:c r="I800"/>
      <x:c r="J800"/>
      <x:c r="K800" s="56"/>
      <x:c r="L800"/>
      <x:c r="M800"/>
      <x:c r="N800" s="56"/>
      <x:c r="O800"/>
      <x:c r="P800"/>
      <x:c r="Q800" s="56"/>
      <x:c r="R800"/>
      <x:c r="S800"/>
      <x:c r="T800" s="56"/>
      <x:c r="U800"/>
      <x:c r="V800"/>
      <x:c r="W800" s="36"/>
      <x:c r="X800" s="56"/>
      <x:c r="Y800"/>
      <x:c r="Z800"/>
      <x:c r="AA800"/>
      <x:c r="AB800"/>
    </x:row>
    <x:row r="801">
      <x:c r="A801"/>
      <x:c r="B801"/>
      <x:c r="C801"/>
      <x:c r="D801"/>
      <x:c r="E801"/>
      <x:c r="F801"/>
      <x:c r="G801"/>
      <x:c r="H801"/>
      <x:c r="I801"/>
      <x:c r="J801"/>
      <x:c r="K801" s="56"/>
      <x:c r="L801"/>
      <x:c r="M801"/>
      <x:c r="N801" s="56"/>
      <x:c r="O801"/>
      <x:c r="P801"/>
      <x:c r="Q801" s="56"/>
      <x:c r="R801"/>
      <x:c r="S801"/>
      <x:c r="T801" s="56"/>
      <x:c r="U801"/>
      <x:c r="V801"/>
      <x:c r="W801" s="36"/>
      <x:c r="X801" s="56"/>
      <x:c r="Y801"/>
      <x:c r="Z801"/>
      <x:c r="AA801"/>
      <x:c r="AB801"/>
    </x:row>
    <x:row r="802">
      <x:c r="A802"/>
      <x:c r="B802"/>
      <x:c r="C802"/>
      <x:c r="D802"/>
      <x:c r="E802"/>
      <x:c r="F802"/>
      <x:c r="G802"/>
      <x:c r="H802"/>
      <x:c r="I802"/>
      <x:c r="J802"/>
      <x:c r="K802" s="56"/>
      <x:c r="L802"/>
      <x:c r="M802"/>
      <x:c r="N802" s="56"/>
      <x:c r="O802"/>
      <x:c r="P802"/>
      <x:c r="Q802" s="56"/>
      <x:c r="R802"/>
      <x:c r="S802"/>
      <x:c r="T802" s="56"/>
      <x:c r="U802"/>
      <x:c r="V802"/>
      <x:c r="W802" s="36"/>
      <x:c r="X802" s="56"/>
      <x:c r="Y802"/>
      <x:c r="Z802"/>
      <x:c r="AA802"/>
      <x:c r="AB802"/>
    </x:row>
    <x:row r="803">
      <x:c r="A803"/>
      <x:c r="B803"/>
      <x:c r="C803"/>
      <x:c r="D803"/>
      <x:c r="E803"/>
      <x:c r="F803"/>
      <x:c r="G803"/>
      <x:c r="H803"/>
      <x:c r="I803"/>
      <x:c r="J803"/>
      <x:c r="K803" s="56"/>
      <x:c r="L803"/>
      <x:c r="M803"/>
      <x:c r="N803" s="56"/>
      <x:c r="O803"/>
      <x:c r="P803"/>
      <x:c r="Q803" s="56"/>
      <x:c r="R803"/>
      <x:c r="S803"/>
      <x:c r="T803" s="56"/>
      <x:c r="U803"/>
      <x:c r="V803"/>
      <x:c r="W803" s="36"/>
      <x:c r="X803" s="56"/>
      <x:c r="Y803"/>
      <x:c r="Z803"/>
      <x:c r="AA803"/>
      <x:c r="AB803"/>
    </x:row>
    <x:row r="804">
      <x:c r="A804"/>
      <x:c r="B804"/>
      <x:c r="C804"/>
      <x:c r="D804"/>
      <x:c r="E804"/>
      <x:c r="F804"/>
      <x:c r="G804"/>
      <x:c r="H804"/>
      <x:c r="I804"/>
      <x:c r="J804"/>
      <x:c r="K804" s="56"/>
      <x:c r="L804"/>
      <x:c r="M804"/>
      <x:c r="N804" s="56"/>
      <x:c r="O804"/>
      <x:c r="P804"/>
      <x:c r="Q804" s="56"/>
      <x:c r="R804"/>
      <x:c r="S804"/>
      <x:c r="T804" s="56"/>
      <x:c r="U804"/>
      <x:c r="V804"/>
      <x:c r="W804" s="36"/>
      <x:c r="X804" s="56"/>
      <x:c r="Y804"/>
      <x:c r="Z804"/>
      <x:c r="AA804"/>
      <x:c r="AB804"/>
    </x:row>
    <x:row r="805">
      <x:c r="A805"/>
      <x:c r="B805"/>
      <x:c r="C805"/>
      <x:c r="D805"/>
      <x:c r="E805"/>
      <x:c r="F805"/>
      <x:c r="G805"/>
      <x:c r="H805"/>
      <x:c r="I805"/>
      <x:c r="J805"/>
      <x:c r="K805" s="56"/>
      <x:c r="L805"/>
      <x:c r="M805"/>
      <x:c r="N805" s="56"/>
      <x:c r="O805"/>
      <x:c r="P805"/>
      <x:c r="Q805" s="56"/>
      <x:c r="R805"/>
      <x:c r="S805"/>
      <x:c r="T805" s="56"/>
      <x:c r="U805"/>
      <x:c r="V805"/>
      <x:c r="W805" s="36"/>
      <x:c r="X805" s="56"/>
      <x:c r="Y805"/>
      <x:c r="Z805"/>
      <x:c r="AA805"/>
      <x:c r="AB805"/>
    </x:row>
    <x:row r="806">
      <x:c r="A806"/>
      <x:c r="B806"/>
      <x:c r="C806"/>
      <x:c r="D806"/>
      <x:c r="E806"/>
      <x:c r="F806"/>
      <x:c r="G806"/>
      <x:c r="H806"/>
      <x:c r="I806"/>
      <x:c r="J806"/>
      <x:c r="K806" s="56"/>
      <x:c r="L806"/>
      <x:c r="M806"/>
      <x:c r="N806" s="56"/>
      <x:c r="O806"/>
      <x:c r="P806"/>
      <x:c r="Q806" s="56"/>
      <x:c r="R806"/>
      <x:c r="S806"/>
      <x:c r="T806" s="56"/>
      <x:c r="U806"/>
      <x:c r="V806"/>
      <x:c r="W806" s="36"/>
      <x:c r="X806" s="56"/>
      <x:c r="Y806"/>
      <x:c r="Z806"/>
      <x:c r="AA806"/>
      <x:c r="AB806"/>
    </x:row>
    <x:row r="807">
      <x:c r="A807"/>
      <x:c r="B807"/>
      <x:c r="C807"/>
      <x:c r="D807"/>
      <x:c r="E807"/>
      <x:c r="F807"/>
      <x:c r="G807"/>
      <x:c r="H807"/>
      <x:c r="I807"/>
      <x:c r="J807"/>
      <x:c r="K807" s="56"/>
      <x:c r="L807"/>
      <x:c r="M807"/>
      <x:c r="N807" s="56"/>
      <x:c r="O807"/>
      <x:c r="P807"/>
      <x:c r="Q807" s="56"/>
      <x:c r="R807"/>
      <x:c r="S807"/>
      <x:c r="T807" s="56"/>
      <x:c r="U807"/>
      <x:c r="V807"/>
      <x:c r="W807" s="36"/>
      <x:c r="X807" s="56"/>
      <x:c r="Y807"/>
      <x:c r="Z807"/>
      <x:c r="AA807"/>
      <x:c r="AB807"/>
    </x:row>
    <x:row r="808">
      <x:c r="A808"/>
      <x:c r="B808"/>
      <x:c r="C808"/>
      <x:c r="D808"/>
      <x:c r="E808"/>
      <x:c r="F808"/>
      <x:c r="G808"/>
      <x:c r="H808"/>
      <x:c r="I808"/>
      <x:c r="J808"/>
      <x:c r="K808" s="56"/>
      <x:c r="L808"/>
      <x:c r="M808"/>
      <x:c r="N808" s="56"/>
      <x:c r="O808"/>
      <x:c r="P808"/>
      <x:c r="Q808" s="56"/>
      <x:c r="R808"/>
      <x:c r="S808"/>
      <x:c r="T808" s="56"/>
      <x:c r="U808"/>
      <x:c r="V808"/>
      <x:c r="W808" s="36"/>
      <x:c r="X808" s="56"/>
      <x:c r="Y808"/>
      <x:c r="Z808"/>
      <x:c r="AA808"/>
      <x:c r="AB808"/>
    </x:row>
    <x:row r="809">
      <x:c r="A809"/>
      <x:c r="B809"/>
      <x:c r="C809"/>
      <x:c r="D809"/>
      <x:c r="E809"/>
      <x:c r="F809"/>
      <x:c r="G809"/>
      <x:c r="H809"/>
      <x:c r="I809"/>
      <x:c r="J809"/>
      <x:c r="K809" s="56"/>
      <x:c r="L809"/>
      <x:c r="M809"/>
      <x:c r="N809" s="56"/>
      <x:c r="O809"/>
      <x:c r="P809"/>
      <x:c r="Q809" s="56"/>
      <x:c r="R809"/>
      <x:c r="S809"/>
      <x:c r="T809" s="56"/>
      <x:c r="U809"/>
      <x:c r="V809"/>
      <x:c r="W809" s="36"/>
      <x:c r="X809" s="56"/>
      <x:c r="Y809"/>
      <x:c r="Z809"/>
      <x:c r="AA809"/>
      <x:c r="AB809"/>
    </x:row>
    <x:row r="810">
      <x:c r="A810"/>
      <x:c r="B810"/>
      <x:c r="C810"/>
      <x:c r="D810"/>
      <x:c r="E810"/>
      <x:c r="F810"/>
      <x:c r="G810"/>
      <x:c r="H810"/>
      <x:c r="I810"/>
      <x:c r="J810"/>
      <x:c r="K810" s="56"/>
      <x:c r="L810"/>
      <x:c r="M810"/>
      <x:c r="N810" s="56"/>
      <x:c r="O810"/>
      <x:c r="P810"/>
      <x:c r="Q810" s="56"/>
      <x:c r="R810"/>
      <x:c r="S810"/>
      <x:c r="T810" s="56"/>
      <x:c r="U810"/>
      <x:c r="V810"/>
      <x:c r="W810" s="36"/>
      <x:c r="X810" s="56"/>
      <x:c r="Y810"/>
      <x:c r="Z810"/>
      <x:c r="AA810"/>
      <x:c r="AB810"/>
    </x:row>
    <x:row r="811">
      <x:c r="A811"/>
      <x:c r="B811"/>
      <x:c r="C811"/>
      <x:c r="D811"/>
      <x:c r="E811"/>
      <x:c r="F811"/>
      <x:c r="G811"/>
      <x:c r="H811"/>
      <x:c r="I811"/>
      <x:c r="J811"/>
      <x:c r="K811" s="56"/>
      <x:c r="L811"/>
      <x:c r="M811"/>
      <x:c r="N811" s="56"/>
      <x:c r="O811"/>
      <x:c r="P811"/>
      <x:c r="Q811" s="56"/>
      <x:c r="R811"/>
      <x:c r="S811"/>
      <x:c r="T811" s="56"/>
      <x:c r="U811"/>
      <x:c r="V811"/>
      <x:c r="W811" s="36"/>
      <x:c r="X811" s="56"/>
      <x:c r="Y811"/>
      <x:c r="Z811"/>
      <x:c r="AA811"/>
      <x:c r="AB811"/>
    </x:row>
    <x:row r="812">
      <x:c r="A812"/>
      <x:c r="B812"/>
      <x:c r="C812"/>
      <x:c r="D812"/>
      <x:c r="E812"/>
      <x:c r="F812"/>
      <x:c r="G812"/>
      <x:c r="H812"/>
      <x:c r="I812"/>
      <x:c r="J812"/>
      <x:c r="K812" s="56"/>
      <x:c r="L812"/>
      <x:c r="M812"/>
      <x:c r="N812" s="56"/>
      <x:c r="O812"/>
      <x:c r="P812"/>
      <x:c r="Q812" s="56"/>
      <x:c r="R812"/>
      <x:c r="S812"/>
      <x:c r="T812" s="56"/>
      <x:c r="U812"/>
      <x:c r="V812"/>
      <x:c r="W812" s="36"/>
      <x:c r="X812" s="56"/>
      <x:c r="Y812"/>
      <x:c r="Z812"/>
      <x:c r="AA812"/>
      <x:c r="AB812"/>
    </x:row>
    <x:row r="813">
      <x:c r="A813"/>
      <x:c r="B813"/>
      <x:c r="C813"/>
      <x:c r="D813"/>
      <x:c r="E813"/>
      <x:c r="F813"/>
      <x:c r="G813"/>
      <x:c r="H813"/>
      <x:c r="I813"/>
      <x:c r="J813"/>
      <x:c r="K813" s="56"/>
      <x:c r="L813"/>
      <x:c r="M813"/>
      <x:c r="N813" s="56"/>
      <x:c r="O813"/>
      <x:c r="P813"/>
      <x:c r="Q813" s="56"/>
      <x:c r="R813"/>
      <x:c r="S813"/>
      <x:c r="T813" s="56"/>
      <x:c r="U813"/>
      <x:c r="V813"/>
      <x:c r="W813" s="36"/>
      <x:c r="X813" s="56"/>
      <x:c r="Y813"/>
      <x:c r="Z813"/>
      <x:c r="AA813"/>
      <x:c r="AB813"/>
    </x:row>
    <x:row r="814">
      <x:c r="A814"/>
      <x:c r="B814"/>
      <x:c r="C814"/>
      <x:c r="D814"/>
      <x:c r="E814"/>
      <x:c r="F814"/>
      <x:c r="G814"/>
      <x:c r="H814"/>
      <x:c r="I814"/>
      <x:c r="J814"/>
      <x:c r="K814" s="56"/>
      <x:c r="L814"/>
      <x:c r="M814"/>
      <x:c r="N814" s="56"/>
      <x:c r="O814"/>
      <x:c r="P814"/>
      <x:c r="Q814" s="56"/>
      <x:c r="R814"/>
      <x:c r="S814"/>
      <x:c r="T814" s="56"/>
      <x:c r="U814"/>
      <x:c r="V814"/>
      <x:c r="W814" s="36"/>
      <x:c r="X814" s="56"/>
      <x:c r="Y814"/>
      <x:c r="Z814"/>
      <x:c r="AA814"/>
      <x:c r="AB814"/>
    </x:row>
    <x:row r="815">
      <x:c r="A815"/>
      <x:c r="B815"/>
      <x:c r="C815"/>
      <x:c r="D815"/>
      <x:c r="E815"/>
      <x:c r="F815"/>
      <x:c r="G815"/>
      <x:c r="H815"/>
      <x:c r="I815"/>
      <x:c r="J815"/>
      <x:c r="K815" s="56"/>
      <x:c r="L815"/>
      <x:c r="M815"/>
      <x:c r="N815" s="56"/>
      <x:c r="O815"/>
      <x:c r="P815"/>
      <x:c r="Q815" s="56"/>
      <x:c r="R815"/>
      <x:c r="S815"/>
      <x:c r="T815" s="56"/>
      <x:c r="U815"/>
      <x:c r="V815"/>
      <x:c r="W815" s="36"/>
      <x:c r="X815" s="56"/>
      <x:c r="Y815"/>
      <x:c r="Z815"/>
      <x:c r="AA815"/>
      <x:c r="AB815"/>
    </x:row>
    <x:row r="816">
      <x:c r="A816"/>
      <x:c r="B816"/>
      <x:c r="C816"/>
      <x:c r="D816"/>
      <x:c r="E816"/>
      <x:c r="F816"/>
      <x:c r="G816"/>
      <x:c r="H816"/>
      <x:c r="I816"/>
      <x:c r="J816"/>
      <x:c r="K816" s="56"/>
      <x:c r="L816"/>
      <x:c r="M816"/>
      <x:c r="N816" s="56"/>
      <x:c r="O816"/>
      <x:c r="P816"/>
      <x:c r="Q816" s="56"/>
      <x:c r="R816"/>
      <x:c r="S816"/>
      <x:c r="T816" s="56"/>
      <x:c r="U816"/>
      <x:c r="V816"/>
      <x:c r="W816" s="36"/>
      <x:c r="X816" s="56"/>
      <x:c r="Y816"/>
      <x:c r="Z816"/>
      <x:c r="AA816"/>
      <x:c r="AB816"/>
    </x:row>
    <x:row r="817">
      <x:c r="A817"/>
      <x:c r="B817"/>
      <x:c r="C817"/>
      <x:c r="D817"/>
      <x:c r="E817"/>
      <x:c r="F817"/>
      <x:c r="G817"/>
      <x:c r="H817"/>
      <x:c r="I817"/>
      <x:c r="J817"/>
      <x:c r="K817" s="56"/>
      <x:c r="L817"/>
      <x:c r="M817"/>
      <x:c r="N817" s="56"/>
      <x:c r="O817"/>
      <x:c r="P817"/>
      <x:c r="Q817" s="56"/>
      <x:c r="R817"/>
      <x:c r="S817"/>
      <x:c r="T817" s="56"/>
      <x:c r="U817"/>
      <x:c r="V817"/>
      <x:c r="W817" s="36"/>
      <x:c r="X817" s="56"/>
      <x:c r="Y817"/>
      <x:c r="Z817"/>
      <x:c r="AA817"/>
      <x:c r="AB817"/>
    </x:row>
    <x:row r="818">
      <x:c r="A818"/>
      <x:c r="B818"/>
      <x:c r="C818"/>
      <x:c r="D818"/>
      <x:c r="E818"/>
      <x:c r="F818"/>
      <x:c r="G818"/>
      <x:c r="H818"/>
      <x:c r="I818"/>
      <x:c r="J818"/>
      <x:c r="K818" s="56"/>
      <x:c r="L818"/>
      <x:c r="M818"/>
      <x:c r="N818" s="56"/>
      <x:c r="O818"/>
      <x:c r="P818"/>
      <x:c r="Q818" s="56"/>
      <x:c r="R818"/>
      <x:c r="S818"/>
      <x:c r="T818" s="56"/>
      <x:c r="U818"/>
      <x:c r="V818"/>
      <x:c r="W818" s="36"/>
      <x:c r="X818" s="56"/>
      <x:c r="Y818"/>
      <x:c r="Z818"/>
      <x:c r="AA818"/>
      <x:c r="AB818"/>
    </x:row>
    <x:row r="819">
      <x:c r="A819"/>
      <x:c r="B819"/>
      <x:c r="C819"/>
      <x:c r="D819"/>
      <x:c r="E819"/>
      <x:c r="F819"/>
      <x:c r="G819"/>
      <x:c r="H819"/>
      <x:c r="I819"/>
      <x:c r="J819"/>
      <x:c r="K819" s="56"/>
      <x:c r="L819"/>
      <x:c r="M819"/>
      <x:c r="N819" s="56"/>
      <x:c r="O819"/>
      <x:c r="P819"/>
      <x:c r="Q819" s="56"/>
      <x:c r="R819"/>
      <x:c r="S819"/>
      <x:c r="T819" s="56"/>
      <x:c r="U819"/>
      <x:c r="V819"/>
      <x:c r="W819" s="36"/>
      <x:c r="X819" s="56"/>
      <x:c r="Y819"/>
      <x:c r="Z819"/>
      <x:c r="AA819"/>
      <x:c r="AB819"/>
    </x:row>
    <x:row r="820">
      <x:c r="A820"/>
      <x:c r="B820"/>
      <x:c r="C820"/>
      <x:c r="D820"/>
      <x:c r="E820"/>
      <x:c r="F820"/>
      <x:c r="G820"/>
      <x:c r="H820"/>
      <x:c r="I820"/>
      <x:c r="J820"/>
      <x:c r="K820" s="56"/>
      <x:c r="L820"/>
      <x:c r="M820"/>
      <x:c r="N820" s="56"/>
      <x:c r="O820"/>
      <x:c r="P820"/>
      <x:c r="Q820" s="56"/>
      <x:c r="R820"/>
      <x:c r="S820"/>
      <x:c r="T820" s="56"/>
      <x:c r="U820"/>
      <x:c r="V820"/>
      <x:c r="W820" s="36"/>
      <x:c r="X820" s="56"/>
      <x:c r="Y820"/>
      <x:c r="Z820"/>
      <x:c r="AA820"/>
      <x:c r="AB820"/>
    </x:row>
    <x:row r="821">
      <x:c r="A821"/>
      <x:c r="B821"/>
      <x:c r="C821"/>
      <x:c r="D821"/>
      <x:c r="E821"/>
      <x:c r="F821"/>
      <x:c r="G821"/>
      <x:c r="H821"/>
      <x:c r="I821"/>
      <x:c r="J821"/>
      <x:c r="K821" s="56"/>
      <x:c r="L821"/>
      <x:c r="M821"/>
      <x:c r="N821" s="56"/>
      <x:c r="O821"/>
      <x:c r="P821"/>
      <x:c r="Q821" s="56"/>
      <x:c r="R821"/>
      <x:c r="S821"/>
      <x:c r="T821" s="56"/>
      <x:c r="U821"/>
      <x:c r="V821"/>
      <x:c r="W821" s="36"/>
      <x:c r="X821" s="56"/>
      <x:c r="Y821"/>
      <x:c r="Z821"/>
      <x:c r="AA821"/>
      <x:c r="AB821"/>
    </x:row>
    <x:row r="822">
      <x:c r="A822"/>
      <x:c r="B822"/>
      <x:c r="C822"/>
      <x:c r="D822"/>
      <x:c r="E822"/>
      <x:c r="F822"/>
      <x:c r="G822"/>
      <x:c r="H822"/>
      <x:c r="I822"/>
      <x:c r="J822"/>
      <x:c r="K822" s="56"/>
      <x:c r="L822"/>
      <x:c r="M822"/>
      <x:c r="N822" s="56"/>
      <x:c r="O822"/>
      <x:c r="P822"/>
      <x:c r="Q822" s="56"/>
      <x:c r="R822"/>
      <x:c r="S822"/>
      <x:c r="T822" s="56"/>
      <x:c r="U822"/>
      <x:c r="V822"/>
      <x:c r="W822" s="36"/>
      <x:c r="X822" s="56"/>
      <x:c r="Y822"/>
      <x:c r="Z822"/>
      <x:c r="AA822"/>
      <x:c r="AB822"/>
    </x:row>
    <x:row r="823">
      <x:c r="A823"/>
      <x:c r="B823"/>
      <x:c r="C823"/>
      <x:c r="D823"/>
      <x:c r="E823"/>
      <x:c r="F823"/>
      <x:c r="G823"/>
      <x:c r="H823"/>
      <x:c r="I823"/>
      <x:c r="J823"/>
      <x:c r="K823" s="56"/>
      <x:c r="L823"/>
      <x:c r="M823"/>
      <x:c r="N823" s="56"/>
      <x:c r="O823"/>
      <x:c r="P823"/>
      <x:c r="Q823" s="56"/>
      <x:c r="R823"/>
      <x:c r="S823"/>
      <x:c r="T823" s="56"/>
      <x:c r="U823"/>
      <x:c r="V823"/>
      <x:c r="W823" s="36"/>
      <x:c r="X823" s="56"/>
      <x:c r="Y823"/>
      <x:c r="Z823"/>
      <x:c r="AA823"/>
      <x:c r="AB823"/>
    </x:row>
    <x:row r="824">
      <x:c r="A824"/>
      <x:c r="B824"/>
      <x:c r="C824"/>
      <x:c r="D824"/>
      <x:c r="E824"/>
      <x:c r="F824"/>
      <x:c r="G824"/>
      <x:c r="H824"/>
      <x:c r="I824"/>
      <x:c r="J824"/>
      <x:c r="K824" s="56"/>
      <x:c r="L824"/>
      <x:c r="M824"/>
      <x:c r="N824" s="56"/>
      <x:c r="O824"/>
      <x:c r="P824"/>
      <x:c r="Q824" s="56"/>
      <x:c r="R824"/>
      <x:c r="S824"/>
      <x:c r="T824" s="56"/>
      <x:c r="U824"/>
      <x:c r="V824"/>
      <x:c r="W824" s="36"/>
      <x:c r="X824" s="56"/>
      <x:c r="Y824"/>
      <x:c r="Z824"/>
      <x:c r="AA824"/>
      <x:c r="AB824"/>
    </x:row>
    <x:row r="825">
      <x:c r="A825"/>
      <x:c r="B825"/>
      <x:c r="C825"/>
      <x:c r="D825"/>
      <x:c r="E825"/>
      <x:c r="F825"/>
      <x:c r="G825"/>
      <x:c r="H825"/>
      <x:c r="I825"/>
      <x:c r="J825"/>
      <x:c r="K825" s="56"/>
      <x:c r="L825"/>
      <x:c r="M825"/>
      <x:c r="N825" s="56"/>
      <x:c r="O825"/>
      <x:c r="P825"/>
      <x:c r="Q825" s="56"/>
      <x:c r="R825"/>
      <x:c r="S825"/>
      <x:c r="T825" s="56"/>
      <x:c r="U825"/>
      <x:c r="V825"/>
      <x:c r="W825" s="36"/>
      <x:c r="X825" s="56"/>
      <x:c r="Y825"/>
      <x:c r="Z825"/>
      <x:c r="AA825"/>
      <x:c r="AB825"/>
    </x:row>
    <x:row r="826">
      <x:c r="A826"/>
      <x:c r="B826"/>
      <x:c r="C826"/>
      <x:c r="D826"/>
      <x:c r="E826"/>
      <x:c r="F826"/>
      <x:c r="G826"/>
      <x:c r="H826"/>
      <x:c r="I826"/>
      <x:c r="J826"/>
      <x:c r="K826" s="56"/>
      <x:c r="L826"/>
      <x:c r="M826"/>
      <x:c r="N826" s="56"/>
      <x:c r="O826"/>
      <x:c r="P826"/>
      <x:c r="Q826" s="56"/>
      <x:c r="R826"/>
      <x:c r="S826"/>
      <x:c r="T826" s="56"/>
      <x:c r="U826"/>
      <x:c r="V826"/>
      <x:c r="W826" s="36"/>
      <x:c r="X826" s="56"/>
      <x:c r="Y826"/>
      <x:c r="Z826"/>
      <x:c r="AA826"/>
      <x:c r="AB826"/>
    </x:row>
    <x:row r="827">
      <x:c r="A827"/>
      <x:c r="B827"/>
      <x:c r="C827"/>
      <x:c r="D827"/>
      <x:c r="E827"/>
      <x:c r="F827"/>
      <x:c r="G827"/>
      <x:c r="H827"/>
      <x:c r="I827"/>
      <x:c r="J827"/>
      <x:c r="K827" s="56"/>
      <x:c r="L827"/>
      <x:c r="M827"/>
      <x:c r="N827" s="56"/>
      <x:c r="O827"/>
      <x:c r="P827"/>
      <x:c r="Q827" s="56"/>
      <x:c r="R827"/>
      <x:c r="S827"/>
      <x:c r="T827" s="56"/>
      <x:c r="U827"/>
      <x:c r="V827"/>
      <x:c r="W827" s="36"/>
      <x:c r="X827" s="56"/>
      <x:c r="Y827"/>
      <x:c r="Z827"/>
      <x:c r="AA827"/>
      <x:c r="AB827"/>
    </x:row>
    <x:row r="828">
      <x:c r="A828"/>
      <x:c r="B828"/>
      <x:c r="C828"/>
      <x:c r="D828"/>
      <x:c r="E828"/>
      <x:c r="F828"/>
      <x:c r="G828"/>
      <x:c r="H828"/>
      <x:c r="I828"/>
      <x:c r="J828"/>
      <x:c r="K828" s="56"/>
      <x:c r="L828"/>
      <x:c r="M828"/>
      <x:c r="N828" s="56"/>
      <x:c r="O828"/>
      <x:c r="P828"/>
      <x:c r="Q828" s="56"/>
      <x:c r="R828"/>
      <x:c r="S828"/>
      <x:c r="T828" s="56"/>
      <x:c r="U828"/>
      <x:c r="V828"/>
      <x:c r="W828" s="36"/>
      <x:c r="X828" s="56"/>
      <x:c r="Y828"/>
      <x:c r="Z828"/>
      <x:c r="AA828"/>
      <x:c r="AB828"/>
    </x:row>
    <x:row r="829">
      <x:c r="A829"/>
      <x:c r="B829"/>
      <x:c r="C829"/>
      <x:c r="D829"/>
      <x:c r="E829"/>
      <x:c r="F829"/>
      <x:c r="G829"/>
      <x:c r="H829"/>
      <x:c r="I829"/>
      <x:c r="J829"/>
      <x:c r="K829" s="56"/>
      <x:c r="L829"/>
      <x:c r="M829"/>
      <x:c r="N829" s="56"/>
      <x:c r="O829"/>
      <x:c r="P829"/>
      <x:c r="Q829" s="56"/>
      <x:c r="R829"/>
      <x:c r="S829"/>
      <x:c r="T829" s="56"/>
      <x:c r="U829"/>
      <x:c r="V829"/>
      <x:c r="W829" s="36"/>
      <x:c r="X829" s="56"/>
      <x:c r="Y829"/>
      <x:c r="Z829"/>
      <x:c r="AA829"/>
      <x:c r="AB829"/>
    </x:row>
    <x:row r="830">
      <x:c r="A830"/>
      <x:c r="B830"/>
      <x:c r="C830"/>
      <x:c r="D830"/>
      <x:c r="E830"/>
      <x:c r="F830"/>
      <x:c r="G830"/>
      <x:c r="H830"/>
      <x:c r="I830"/>
      <x:c r="J830"/>
      <x:c r="K830" s="56"/>
      <x:c r="L830"/>
      <x:c r="M830"/>
      <x:c r="N830" s="56"/>
      <x:c r="O830"/>
      <x:c r="P830"/>
      <x:c r="Q830" s="56"/>
      <x:c r="R830"/>
      <x:c r="S830"/>
      <x:c r="T830" s="56"/>
      <x:c r="U830"/>
      <x:c r="V830"/>
      <x:c r="W830" s="36"/>
      <x:c r="X830" s="56"/>
      <x:c r="Y830"/>
      <x:c r="Z830"/>
      <x:c r="AA830"/>
      <x:c r="AB830"/>
    </x:row>
    <x:row r="831">
      <x:c r="A831"/>
      <x:c r="B831"/>
      <x:c r="C831"/>
      <x:c r="D831"/>
      <x:c r="E831"/>
      <x:c r="F831"/>
      <x:c r="G831"/>
      <x:c r="H831"/>
      <x:c r="I831"/>
      <x:c r="J831"/>
      <x:c r="K831" s="56"/>
      <x:c r="L831"/>
      <x:c r="M831"/>
      <x:c r="N831" s="56"/>
      <x:c r="O831"/>
      <x:c r="P831"/>
      <x:c r="Q831" s="56"/>
      <x:c r="R831"/>
      <x:c r="S831"/>
      <x:c r="T831" s="56"/>
      <x:c r="U831"/>
      <x:c r="V831"/>
      <x:c r="W831" s="36"/>
      <x:c r="X831" s="56"/>
      <x:c r="Y831"/>
      <x:c r="Z831"/>
      <x:c r="AA831"/>
      <x:c r="AB831"/>
    </x:row>
    <x:row r="832">
      <x:c r="A832"/>
      <x:c r="B832"/>
      <x:c r="C832"/>
      <x:c r="D832"/>
      <x:c r="E832"/>
      <x:c r="F832"/>
      <x:c r="G832"/>
      <x:c r="H832"/>
      <x:c r="I832"/>
      <x:c r="J832"/>
      <x:c r="K832" s="56"/>
      <x:c r="L832"/>
      <x:c r="M832"/>
      <x:c r="N832" s="56"/>
      <x:c r="O832"/>
      <x:c r="P832"/>
      <x:c r="Q832" s="56"/>
      <x:c r="R832"/>
      <x:c r="S832"/>
      <x:c r="T832" s="56"/>
      <x:c r="U832"/>
      <x:c r="V832"/>
      <x:c r="W832" s="36"/>
      <x:c r="X832" s="56"/>
      <x:c r="Y832"/>
      <x:c r="Z832"/>
      <x:c r="AA832"/>
      <x:c r="AB832"/>
    </x:row>
    <x:row r="833">
      <x:c r="A833"/>
      <x:c r="B833"/>
      <x:c r="C833"/>
      <x:c r="D833"/>
      <x:c r="E833"/>
      <x:c r="F833"/>
      <x:c r="G833"/>
      <x:c r="H833"/>
      <x:c r="I833"/>
      <x:c r="J833"/>
      <x:c r="K833" s="56"/>
      <x:c r="L833"/>
      <x:c r="M833"/>
      <x:c r="N833" s="56"/>
      <x:c r="O833"/>
      <x:c r="P833"/>
      <x:c r="Q833" s="56"/>
      <x:c r="R833"/>
      <x:c r="S833"/>
      <x:c r="T833" s="56"/>
      <x:c r="U833"/>
      <x:c r="V833"/>
      <x:c r="W833" s="36"/>
      <x:c r="X833" s="56"/>
      <x:c r="Y833"/>
      <x:c r="Z833"/>
      <x:c r="AA833"/>
      <x:c r="AB833"/>
    </x:row>
    <x:row r="834">
      <x:c r="A834"/>
      <x:c r="B834"/>
      <x:c r="C834"/>
      <x:c r="D834"/>
      <x:c r="E834"/>
      <x:c r="F834"/>
      <x:c r="G834"/>
      <x:c r="H834"/>
      <x:c r="I834"/>
      <x:c r="J834"/>
      <x:c r="K834" s="56"/>
      <x:c r="L834"/>
      <x:c r="M834"/>
      <x:c r="N834" s="56"/>
      <x:c r="O834"/>
      <x:c r="P834"/>
      <x:c r="Q834" s="56"/>
      <x:c r="R834"/>
      <x:c r="S834"/>
      <x:c r="T834" s="56"/>
      <x:c r="U834"/>
      <x:c r="V834"/>
      <x:c r="W834" s="36"/>
      <x:c r="X834" s="56"/>
      <x:c r="Y834"/>
      <x:c r="Z834"/>
      <x:c r="AA834"/>
      <x:c r="AB834"/>
    </x:row>
    <x:row r="835">
      <x:c r="A835"/>
      <x:c r="B835"/>
      <x:c r="C835"/>
      <x:c r="D835"/>
      <x:c r="E835"/>
      <x:c r="F835"/>
      <x:c r="G835"/>
      <x:c r="H835"/>
      <x:c r="I835"/>
      <x:c r="J835"/>
      <x:c r="K835" s="56"/>
      <x:c r="L835"/>
      <x:c r="M835"/>
      <x:c r="N835" s="56"/>
      <x:c r="O835"/>
      <x:c r="P835"/>
      <x:c r="Q835" s="56"/>
      <x:c r="R835"/>
      <x:c r="S835"/>
      <x:c r="T835" s="56"/>
      <x:c r="U835"/>
      <x:c r="V835"/>
      <x:c r="W835" s="36"/>
      <x:c r="X835" s="56"/>
      <x:c r="Y835"/>
      <x:c r="Z835"/>
      <x:c r="AA835"/>
      <x:c r="AB835"/>
    </x:row>
    <x:row r="836">
      <x:c r="A836"/>
      <x:c r="B836"/>
      <x:c r="C836"/>
      <x:c r="D836"/>
      <x:c r="E836"/>
      <x:c r="F836"/>
      <x:c r="G836"/>
      <x:c r="H836"/>
      <x:c r="I836"/>
      <x:c r="J836"/>
      <x:c r="K836" s="56"/>
      <x:c r="L836"/>
      <x:c r="M836"/>
      <x:c r="N836" s="56"/>
      <x:c r="O836"/>
      <x:c r="P836"/>
      <x:c r="Q836" s="56"/>
      <x:c r="R836"/>
      <x:c r="S836"/>
      <x:c r="T836" s="56"/>
      <x:c r="U836"/>
      <x:c r="V836"/>
      <x:c r="W836" s="36"/>
      <x:c r="X836" s="56"/>
      <x:c r="Y836"/>
      <x:c r="Z836"/>
      <x:c r="AA836"/>
      <x:c r="AB836"/>
    </x:row>
    <x:row r="837">
      <x:c r="A837"/>
      <x:c r="B837"/>
      <x:c r="C837"/>
      <x:c r="D837"/>
      <x:c r="E837"/>
      <x:c r="F837"/>
      <x:c r="G837"/>
      <x:c r="H837"/>
      <x:c r="I837"/>
      <x:c r="J837"/>
      <x:c r="K837" s="56"/>
      <x:c r="L837"/>
      <x:c r="M837"/>
      <x:c r="N837" s="56"/>
      <x:c r="O837"/>
      <x:c r="P837"/>
      <x:c r="Q837" s="56"/>
      <x:c r="R837"/>
      <x:c r="S837"/>
      <x:c r="T837" s="56"/>
      <x:c r="U837"/>
      <x:c r="V837"/>
      <x:c r="W837" s="36"/>
      <x:c r="X837" s="56"/>
      <x:c r="Y837"/>
      <x:c r="Z837"/>
      <x:c r="AA837"/>
      <x:c r="AB837"/>
    </x:row>
    <x:row r="838">
      <x:c r="A838"/>
      <x:c r="B838"/>
      <x:c r="C838"/>
      <x:c r="D838"/>
      <x:c r="E838"/>
      <x:c r="F838"/>
      <x:c r="G838"/>
      <x:c r="H838"/>
      <x:c r="I838"/>
      <x:c r="J838"/>
      <x:c r="K838" s="56"/>
      <x:c r="L838"/>
      <x:c r="M838"/>
      <x:c r="N838" s="56"/>
      <x:c r="O838"/>
      <x:c r="P838"/>
      <x:c r="Q838" s="56"/>
      <x:c r="R838"/>
      <x:c r="S838"/>
      <x:c r="T838" s="56"/>
      <x:c r="U838"/>
      <x:c r="V838"/>
      <x:c r="W838" s="36"/>
      <x:c r="X838" s="56"/>
      <x:c r="Y838"/>
      <x:c r="Z838"/>
      <x:c r="AA838"/>
      <x:c r="AB838"/>
    </x:row>
    <x:row r="839">
      <x:c r="A839"/>
      <x:c r="B839"/>
      <x:c r="C839"/>
      <x:c r="D839"/>
      <x:c r="E839"/>
      <x:c r="F839"/>
      <x:c r="G839"/>
      <x:c r="H839"/>
      <x:c r="I839"/>
      <x:c r="J839"/>
      <x:c r="K839" s="56"/>
      <x:c r="L839"/>
      <x:c r="M839"/>
      <x:c r="N839" s="56"/>
      <x:c r="O839"/>
      <x:c r="P839"/>
      <x:c r="Q839" s="56"/>
      <x:c r="R839"/>
      <x:c r="S839"/>
      <x:c r="T839" s="56"/>
      <x:c r="U839"/>
      <x:c r="V839"/>
      <x:c r="W839" s="36"/>
      <x:c r="X839" s="56"/>
      <x:c r="Y839"/>
      <x:c r="Z839"/>
      <x:c r="AA839"/>
      <x:c r="AB839"/>
    </x:row>
    <x:row r="840">
      <x:c r="A840"/>
      <x:c r="B840"/>
      <x:c r="C840"/>
      <x:c r="D840"/>
      <x:c r="E840"/>
      <x:c r="F840"/>
      <x:c r="G840"/>
      <x:c r="H840"/>
      <x:c r="I840"/>
      <x:c r="J840"/>
      <x:c r="K840" s="56"/>
      <x:c r="L840"/>
      <x:c r="M840"/>
      <x:c r="N840" s="56"/>
      <x:c r="O840"/>
      <x:c r="P840"/>
      <x:c r="Q840" s="56"/>
      <x:c r="R840"/>
      <x:c r="S840"/>
      <x:c r="T840" s="56"/>
      <x:c r="U840"/>
      <x:c r="V840"/>
      <x:c r="W840" s="36"/>
      <x:c r="X840" s="56"/>
      <x:c r="Y840"/>
      <x:c r="Z840"/>
      <x:c r="AA840"/>
      <x:c r="AB840"/>
    </x:row>
    <x:row r="841">
      <x:c r="A841"/>
      <x:c r="B841"/>
      <x:c r="C841"/>
      <x:c r="D841"/>
      <x:c r="E841"/>
      <x:c r="F841"/>
      <x:c r="G841"/>
      <x:c r="H841"/>
      <x:c r="I841"/>
      <x:c r="J841"/>
      <x:c r="K841" s="56"/>
      <x:c r="L841"/>
      <x:c r="M841"/>
      <x:c r="N841" s="56"/>
      <x:c r="O841"/>
      <x:c r="P841"/>
      <x:c r="Q841" s="56"/>
      <x:c r="R841"/>
      <x:c r="S841"/>
      <x:c r="T841" s="56"/>
      <x:c r="U841"/>
      <x:c r="V841"/>
      <x:c r="W841" s="36"/>
      <x:c r="X841" s="56"/>
      <x:c r="Y841"/>
      <x:c r="Z841"/>
      <x:c r="AA841"/>
      <x:c r="AB841"/>
    </x:row>
    <x:row r="842">
      <x:c r="A842"/>
      <x:c r="B842"/>
      <x:c r="C842"/>
      <x:c r="D842"/>
      <x:c r="E842"/>
      <x:c r="F842"/>
      <x:c r="G842"/>
      <x:c r="H842"/>
      <x:c r="I842"/>
      <x:c r="J842"/>
      <x:c r="K842" s="56"/>
      <x:c r="L842"/>
      <x:c r="M842"/>
      <x:c r="N842" s="56"/>
      <x:c r="O842"/>
      <x:c r="P842"/>
      <x:c r="Q842" s="56"/>
      <x:c r="R842"/>
      <x:c r="S842"/>
      <x:c r="T842" s="56"/>
      <x:c r="U842"/>
      <x:c r="V842"/>
      <x:c r="W842" s="36"/>
      <x:c r="X842" s="56"/>
      <x:c r="Y842"/>
      <x:c r="Z842"/>
      <x:c r="AA842"/>
      <x:c r="AB842"/>
    </x:row>
    <x:row r="843">
      <x:c r="A843"/>
      <x:c r="B843"/>
      <x:c r="C843"/>
      <x:c r="D843"/>
      <x:c r="E843"/>
      <x:c r="F843"/>
      <x:c r="G843"/>
      <x:c r="H843"/>
      <x:c r="I843"/>
      <x:c r="J843"/>
      <x:c r="K843" s="56"/>
      <x:c r="L843"/>
      <x:c r="M843"/>
      <x:c r="N843" s="56"/>
      <x:c r="O843"/>
      <x:c r="P843"/>
      <x:c r="Q843" s="56"/>
      <x:c r="R843"/>
      <x:c r="S843"/>
      <x:c r="T843" s="56"/>
      <x:c r="U843"/>
      <x:c r="V843"/>
      <x:c r="W843" s="36"/>
      <x:c r="X843" s="56"/>
      <x:c r="Y843"/>
      <x:c r="Z843"/>
      <x:c r="AA843"/>
      <x:c r="AB843"/>
    </x:row>
    <x:row r="844">
      <x:c r="A844"/>
      <x:c r="B844"/>
      <x:c r="C844"/>
      <x:c r="D844"/>
      <x:c r="E844"/>
      <x:c r="F844"/>
      <x:c r="G844"/>
      <x:c r="H844"/>
      <x:c r="I844"/>
      <x:c r="J844"/>
      <x:c r="K844" s="56"/>
      <x:c r="L844"/>
      <x:c r="M844"/>
      <x:c r="N844" s="56"/>
      <x:c r="O844"/>
      <x:c r="P844"/>
      <x:c r="Q844" s="56"/>
      <x:c r="R844"/>
      <x:c r="S844"/>
      <x:c r="T844" s="56"/>
      <x:c r="U844"/>
      <x:c r="V844"/>
      <x:c r="W844" s="36"/>
      <x:c r="X844" s="56"/>
      <x:c r="Y844"/>
      <x:c r="Z844"/>
      <x:c r="AA844"/>
      <x:c r="AB844"/>
    </x:row>
    <x:row r="845">
      <x:c r="A845"/>
      <x:c r="B845"/>
      <x:c r="C845"/>
      <x:c r="D845"/>
      <x:c r="E845"/>
      <x:c r="F845"/>
      <x:c r="G845"/>
      <x:c r="H845"/>
      <x:c r="I845"/>
      <x:c r="J845"/>
      <x:c r="K845" s="56"/>
      <x:c r="L845"/>
      <x:c r="M845"/>
      <x:c r="N845" s="56"/>
      <x:c r="O845"/>
      <x:c r="P845"/>
      <x:c r="Q845" s="56"/>
      <x:c r="R845"/>
      <x:c r="S845"/>
      <x:c r="T845" s="56"/>
      <x:c r="U845"/>
      <x:c r="V845"/>
      <x:c r="W845" s="36"/>
      <x:c r="X845" s="56"/>
      <x:c r="Y845"/>
      <x:c r="Z845"/>
      <x:c r="AA845"/>
      <x:c r="AB845"/>
    </x:row>
    <x:row r="846">
      <x:c r="A846"/>
      <x:c r="B846"/>
      <x:c r="C846"/>
      <x:c r="D846"/>
      <x:c r="E846"/>
      <x:c r="F846"/>
      <x:c r="G846"/>
      <x:c r="H846"/>
      <x:c r="I846"/>
      <x:c r="J846"/>
      <x:c r="K846" s="56"/>
      <x:c r="L846"/>
      <x:c r="M846"/>
      <x:c r="N846" s="56"/>
      <x:c r="O846"/>
      <x:c r="P846"/>
      <x:c r="Q846" s="56"/>
      <x:c r="R846"/>
      <x:c r="S846"/>
      <x:c r="T846" s="56"/>
      <x:c r="U846"/>
      <x:c r="V846"/>
      <x:c r="W846" s="36"/>
      <x:c r="X846" s="56"/>
      <x:c r="Y846"/>
      <x:c r="Z846"/>
      <x:c r="AA846"/>
      <x:c r="AB846"/>
    </x:row>
    <x:row r="847">
      <x:c r="A847"/>
      <x:c r="B847"/>
      <x:c r="C847"/>
      <x:c r="D847"/>
      <x:c r="E847"/>
      <x:c r="F847"/>
      <x:c r="G847"/>
      <x:c r="H847"/>
      <x:c r="I847"/>
      <x:c r="J847"/>
      <x:c r="K847" s="56"/>
      <x:c r="L847"/>
      <x:c r="M847"/>
      <x:c r="N847" s="56"/>
      <x:c r="O847"/>
      <x:c r="P847"/>
      <x:c r="Q847" s="56"/>
      <x:c r="R847"/>
      <x:c r="S847"/>
      <x:c r="T847" s="56"/>
      <x:c r="U847"/>
      <x:c r="V847"/>
      <x:c r="W847" s="36"/>
      <x:c r="X847" s="56"/>
      <x:c r="Y847"/>
      <x:c r="Z847"/>
      <x:c r="AA847"/>
      <x:c r="AB847"/>
    </x:row>
    <x:row r="848">
      <x:c r="A848"/>
      <x:c r="B848"/>
      <x:c r="C848"/>
      <x:c r="D848"/>
      <x:c r="E848"/>
      <x:c r="F848"/>
      <x:c r="G848"/>
      <x:c r="H848"/>
      <x:c r="I848"/>
      <x:c r="J848"/>
      <x:c r="K848" s="56"/>
      <x:c r="L848"/>
      <x:c r="M848"/>
      <x:c r="N848" s="56"/>
      <x:c r="O848"/>
      <x:c r="P848"/>
      <x:c r="Q848" s="56"/>
      <x:c r="R848"/>
      <x:c r="S848"/>
      <x:c r="T848" s="56"/>
      <x:c r="U848"/>
      <x:c r="V848"/>
      <x:c r="W848" s="36"/>
      <x:c r="X848" s="56"/>
      <x:c r="Y848"/>
      <x:c r="Z848"/>
      <x:c r="AA848"/>
      <x:c r="AB848"/>
    </x:row>
    <x:row r="849">
      <x:c r="A849"/>
      <x:c r="B849"/>
      <x:c r="C849"/>
      <x:c r="D849"/>
      <x:c r="E849"/>
      <x:c r="F849"/>
      <x:c r="G849"/>
      <x:c r="H849"/>
      <x:c r="I849"/>
      <x:c r="J849"/>
      <x:c r="K849" s="56"/>
      <x:c r="L849"/>
      <x:c r="M849"/>
      <x:c r="N849" s="56"/>
      <x:c r="O849"/>
      <x:c r="P849"/>
      <x:c r="Q849" s="56"/>
      <x:c r="R849"/>
      <x:c r="S849"/>
      <x:c r="T849" s="56"/>
      <x:c r="U849"/>
      <x:c r="V849"/>
      <x:c r="W849" s="36"/>
      <x:c r="X849" s="56"/>
      <x:c r="Y849"/>
      <x:c r="Z849"/>
      <x:c r="AA849"/>
      <x:c r="AB849"/>
    </x:row>
    <x:row r="850">
      <x:c r="A850"/>
      <x:c r="B850"/>
      <x:c r="C850"/>
      <x:c r="D850"/>
      <x:c r="E850"/>
      <x:c r="F850"/>
      <x:c r="G850"/>
      <x:c r="H850"/>
      <x:c r="I850"/>
      <x:c r="J850"/>
      <x:c r="K850" s="56"/>
      <x:c r="L850"/>
      <x:c r="M850"/>
      <x:c r="N850" s="56"/>
      <x:c r="O850"/>
      <x:c r="P850"/>
      <x:c r="Q850" s="56"/>
      <x:c r="R850"/>
      <x:c r="S850"/>
      <x:c r="T850" s="56"/>
      <x:c r="U850"/>
      <x:c r="V850"/>
      <x:c r="W850" s="36"/>
      <x:c r="X850" s="56"/>
      <x:c r="Y850"/>
      <x:c r="Z850"/>
      <x:c r="AA850"/>
      <x:c r="AB850"/>
    </x:row>
    <x:row r="851">
      <x:c r="A851"/>
      <x:c r="B851"/>
      <x:c r="C851"/>
      <x:c r="D851"/>
      <x:c r="E851"/>
      <x:c r="F851"/>
      <x:c r="G851"/>
      <x:c r="H851"/>
      <x:c r="I851"/>
      <x:c r="J851"/>
      <x:c r="K851" s="56"/>
      <x:c r="L851"/>
      <x:c r="M851"/>
      <x:c r="N851" s="56"/>
      <x:c r="O851"/>
      <x:c r="P851"/>
      <x:c r="Q851" s="56"/>
      <x:c r="R851"/>
      <x:c r="S851"/>
      <x:c r="T851" s="56"/>
      <x:c r="U851"/>
      <x:c r="V851"/>
      <x:c r="W851" s="36"/>
      <x:c r="X851" s="56"/>
      <x:c r="Y851"/>
      <x:c r="Z851"/>
      <x:c r="AA851"/>
      <x:c r="AB851"/>
    </x:row>
    <x:row r="852">
      <x:c r="A852"/>
      <x:c r="B852"/>
      <x:c r="C852"/>
      <x:c r="D852"/>
      <x:c r="E852"/>
      <x:c r="F852"/>
      <x:c r="G852"/>
      <x:c r="H852"/>
      <x:c r="I852"/>
      <x:c r="J852"/>
      <x:c r="K852" s="56"/>
      <x:c r="L852"/>
      <x:c r="M852"/>
      <x:c r="N852" s="56"/>
      <x:c r="O852"/>
      <x:c r="P852"/>
      <x:c r="Q852" s="56"/>
      <x:c r="R852"/>
      <x:c r="S852"/>
      <x:c r="T852" s="56"/>
      <x:c r="U852"/>
      <x:c r="V852"/>
      <x:c r="W852" s="36"/>
      <x:c r="X852" s="56"/>
      <x:c r="Y852"/>
      <x:c r="Z852"/>
      <x:c r="AA852"/>
      <x:c r="AB852"/>
    </x:row>
    <x:row r="853">
      <x:c r="A853"/>
      <x:c r="B853"/>
      <x:c r="C853"/>
      <x:c r="D853"/>
      <x:c r="E853"/>
      <x:c r="F853"/>
      <x:c r="G853"/>
      <x:c r="H853"/>
      <x:c r="I853"/>
      <x:c r="J853"/>
      <x:c r="K853" s="56"/>
      <x:c r="L853"/>
      <x:c r="M853"/>
      <x:c r="N853" s="56"/>
      <x:c r="O853"/>
      <x:c r="P853"/>
      <x:c r="Q853" s="56"/>
      <x:c r="R853"/>
      <x:c r="S853"/>
      <x:c r="T853" s="56"/>
      <x:c r="U853"/>
      <x:c r="V853"/>
      <x:c r="W853" s="36"/>
      <x:c r="X853" s="56"/>
      <x:c r="Y853"/>
      <x:c r="Z853"/>
      <x:c r="AA853"/>
      <x:c r="AB853"/>
    </x:row>
    <x:row r="854">
      <x:c r="A854"/>
      <x:c r="B854"/>
      <x:c r="C854"/>
      <x:c r="D854"/>
      <x:c r="E854"/>
      <x:c r="F854"/>
      <x:c r="G854"/>
      <x:c r="H854"/>
      <x:c r="I854"/>
      <x:c r="J854"/>
      <x:c r="K854" s="56"/>
      <x:c r="L854"/>
      <x:c r="M854"/>
      <x:c r="N854" s="56"/>
      <x:c r="O854"/>
      <x:c r="P854"/>
      <x:c r="Q854" s="56"/>
      <x:c r="R854"/>
      <x:c r="S854"/>
      <x:c r="T854" s="56"/>
      <x:c r="U854"/>
      <x:c r="V854"/>
      <x:c r="W854" s="36"/>
      <x:c r="X854" s="56"/>
      <x:c r="Y854"/>
      <x:c r="Z854"/>
      <x:c r="AA854"/>
      <x:c r="AB854"/>
    </x:row>
    <x:row r="855">
      <x:c r="A855"/>
      <x:c r="B855"/>
      <x:c r="C855"/>
      <x:c r="D855"/>
      <x:c r="E855"/>
      <x:c r="F855"/>
      <x:c r="G855"/>
      <x:c r="H855"/>
      <x:c r="I855"/>
      <x:c r="J855"/>
      <x:c r="K855" s="56"/>
      <x:c r="L855"/>
      <x:c r="M855"/>
      <x:c r="N855" s="56"/>
      <x:c r="O855"/>
      <x:c r="P855"/>
      <x:c r="Q855" s="56"/>
      <x:c r="R855"/>
      <x:c r="S855"/>
      <x:c r="T855" s="56"/>
      <x:c r="U855"/>
      <x:c r="V855"/>
      <x:c r="W855" s="36"/>
      <x:c r="X855" s="56"/>
      <x:c r="Y855"/>
      <x:c r="Z855"/>
      <x:c r="AA855"/>
      <x:c r="AB855"/>
    </x:row>
    <x:row r="856">
      <x:c r="A856"/>
      <x:c r="B856"/>
      <x:c r="C856"/>
      <x:c r="D856"/>
      <x:c r="E856"/>
      <x:c r="F856"/>
      <x:c r="G856"/>
      <x:c r="H856"/>
      <x:c r="I856"/>
      <x:c r="J856"/>
      <x:c r="K856" s="56"/>
      <x:c r="L856"/>
      <x:c r="M856"/>
      <x:c r="N856" s="56"/>
      <x:c r="O856"/>
      <x:c r="P856"/>
      <x:c r="Q856" s="56"/>
      <x:c r="R856"/>
      <x:c r="S856"/>
      <x:c r="T856" s="56"/>
      <x:c r="U856"/>
      <x:c r="V856"/>
      <x:c r="W856" s="36"/>
      <x:c r="X856" s="56"/>
      <x:c r="Y856"/>
      <x:c r="Z856"/>
      <x:c r="AA856"/>
      <x:c r="AB856"/>
    </x:row>
    <x:row r="857">
      <x:c r="A857"/>
      <x:c r="B857"/>
      <x:c r="C857"/>
      <x:c r="D857"/>
      <x:c r="E857"/>
      <x:c r="F857"/>
      <x:c r="G857"/>
      <x:c r="H857"/>
      <x:c r="I857"/>
      <x:c r="J857"/>
      <x:c r="K857" s="56"/>
      <x:c r="L857"/>
      <x:c r="M857"/>
      <x:c r="N857" s="56"/>
      <x:c r="O857"/>
      <x:c r="P857"/>
      <x:c r="Q857" s="56"/>
      <x:c r="R857"/>
      <x:c r="S857"/>
      <x:c r="T857" s="56"/>
      <x:c r="U857"/>
      <x:c r="V857"/>
      <x:c r="W857" s="36"/>
      <x:c r="X857" s="56"/>
      <x:c r="Y857"/>
      <x:c r="Z857"/>
      <x:c r="AA857"/>
      <x:c r="AB857"/>
    </x:row>
    <x:row r="858">
      <x:c r="A858"/>
      <x:c r="B858"/>
      <x:c r="C858"/>
      <x:c r="D858"/>
      <x:c r="E858"/>
      <x:c r="F858"/>
      <x:c r="G858"/>
      <x:c r="H858"/>
      <x:c r="I858"/>
      <x:c r="J858"/>
      <x:c r="K858" s="56"/>
      <x:c r="L858"/>
      <x:c r="M858"/>
      <x:c r="N858" s="56"/>
      <x:c r="O858"/>
      <x:c r="P858"/>
      <x:c r="Q858" s="56"/>
      <x:c r="R858"/>
      <x:c r="S858"/>
      <x:c r="T858" s="56"/>
      <x:c r="U858"/>
      <x:c r="V858"/>
      <x:c r="W858" s="36"/>
      <x:c r="X858" s="56"/>
      <x:c r="Y858"/>
      <x:c r="Z858"/>
      <x:c r="AA858"/>
      <x:c r="AB858"/>
    </x:row>
    <x:row r="859">
      <x:c r="A859"/>
      <x:c r="B859"/>
      <x:c r="C859"/>
      <x:c r="D859"/>
      <x:c r="E859"/>
      <x:c r="F859"/>
      <x:c r="G859"/>
      <x:c r="H859"/>
      <x:c r="I859"/>
      <x:c r="J859"/>
      <x:c r="K859" s="56"/>
      <x:c r="L859"/>
      <x:c r="M859"/>
      <x:c r="N859" s="56"/>
      <x:c r="O859"/>
      <x:c r="P859"/>
      <x:c r="Q859" s="56"/>
      <x:c r="R859"/>
      <x:c r="S859"/>
      <x:c r="T859" s="56"/>
      <x:c r="U859"/>
      <x:c r="V859"/>
      <x:c r="W859" s="36"/>
      <x:c r="X859" s="56"/>
      <x:c r="Y859"/>
      <x:c r="Z859"/>
      <x:c r="AA859"/>
      <x:c r="AB859"/>
    </x:row>
    <x:row r="860">
      <x:c r="A860"/>
      <x:c r="B860"/>
      <x:c r="C860"/>
      <x:c r="D860"/>
      <x:c r="E860"/>
      <x:c r="F860"/>
      <x:c r="G860"/>
      <x:c r="H860"/>
      <x:c r="I860"/>
      <x:c r="J860"/>
      <x:c r="K860" s="56"/>
      <x:c r="L860"/>
      <x:c r="M860"/>
      <x:c r="N860" s="56"/>
      <x:c r="O860"/>
      <x:c r="P860"/>
      <x:c r="Q860" s="56"/>
      <x:c r="R860"/>
      <x:c r="S860"/>
      <x:c r="T860" s="56"/>
      <x:c r="U860"/>
      <x:c r="V860"/>
      <x:c r="W860" s="36"/>
      <x:c r="X860" s="56"/>
      <x:c r="Y860"/>
      <x:c r="Z860"/>
      <x:c r="AA860"/>
      <x:c r="AB860"/>
    </x:row>
    <x:row r="861">
      <x:c r="A861"/>
      <x:c r="B861"/>
      <x:c r="C861"/>
      <x:c r="D861"/>
      <x:c r="E861"/>
      <x:c r="F861"/>
      <x:c r="G861"/>
      <x:c r="H861"/>
      <x:c r="I861"/>
      <x:c r="J861"/>
      <x:c r="K861" s="56"/>
      <x:c r="L861"/>
      <x:c r="M861"/>
      <x:c r="N861" s="56"/>
      <x:c r="O861"/>
      <x:c r="P861"/>
      <x:c r="Q861" s="56"/>
      <x:c r="R861"/>
      <x:c r="S861"/>
      <x:c r="T861" s="56"/>
      <x:c r="U861"/>
      <x:c r="V861"/>
      <x:c r="W861" s="36"/>
      <x:c r="X861" s="56"/>
      <x:c r="Y861"/>
      <x:c r="Z861"/>
      <x:c r="AA861"/>
      <x:c r="AB861"/>
    </x:row>
    <x:row r="862">
      <x:c r="A862"/>
      <x:c r="B862"/>
      <x:c r="C862"/>
      <x:c r="D862"/>
      <x:c r="E862"/>
      <x:c r="F862"/>
      <x:c r="G862"/>
      <x:c r="H862"/>
      <x:c r="I862"/>
      <x:c r="J862"/>
      <x:c r="K862" s="56"/>
      <x:c r="L862"/>
      <x:c r="M862"/>
      <x:c r="N862" s="56"/>
      <x:c r="O862"/>
      <x:c r="P862"/>
      <x:c r="Q862" s="56"/>
      <x:c r="R862"/>
      <x:c r="S862"/>
      <x:c r="T862" s="56"/>
      <x:c r="U862"/>
      <x:c r="V862"/>
      <x:c r="W862" s="36"/>
      <x:c r="X862" s="56"/>
      <x:c r="Y862"/>
      <x:c r="Z862"/>
      <x:c r="AA862"/>
      <x:c r="AB862"/>
    </x:row>
    <x:row r="863">
      <x:c r="A863"/>
      <x:c r="B863"/>
      <x:c r="C863"/>
      <x:c r="D863"/>
      <x:c r="E863"/>
      <x:c r="F863"/>
      <x:c r="G863"/>
      <x:c r="H863"/>
      <x:c r="I863"/>
      <x:c r="J863"/>
      <x:c r="K863" s="56"/>
      <x:c r="L863"/>
      <x:c r="M863"/>
      <x:c r="N863" s="56"/>
      <x:c r="O863"/>
      <x:c r="P863"/>
      <x:c r="Q863" s="56"/>
      <x:c r="R863"/>
      <x:c r="S863"/>
      <x:c r="T863" s="56"/>
      <x:c r="U863"/>
      <x:c r="V863"/>
      <x:c r="W863" s="36"/>
      <x:c r="X863" s="56"/>
      <x:c r="Y863"/>
      <x:c r="Z863"/>
      <x:c r="AA863"/>
      <x:c r="AB863"/>
    </x:row>
    <x:row r="864">
      <x:c r="A864"/>
      <x:c r="B864"/>
      <x:c r="C864"/>
      <x:c r="D864"/>
      <x:c r="E864"/>
      <x:c r="F864"/>
      <x:c r="G864"/>
      <x:c r="H864"/>
      <x:c r="I864"/>
      <x:c r="J864"/>
      <x:c r="K864" s="56"/>
      <x:c r="L864"/>
      <x:c r="M864"/>
      <x:c r="N864" s="56"/>
      <x:c r="O864"/>
      <x:c r="P864"/>
      <x:c r="Q864" s="56"/>
      <x:c r="R864"/>
      <x:c r="S864"/>
      <x:c r="T864" s="56"/>
      <x:c r="U864"/>
      <x:c r="V864"/>
      <x:c r="W864" s="36"/>
      <x:c r="X864" s="56"/>
      <x:c r="Y864"/>
      <x:c r="Z864"/>
      <x:c r="AA864"/>
      <x:c r="AB864"/>
    </x:row>
    <x:row r="865">
      <x:c r="A865"/>
      <x:c r="B865"/>
      <x:c r="C865"/>
      <x:c r="D865"/>
      <x:c r="E865"/>
      <x:c r="F865"/>
      <x:c r="G865"/>
      <x:c r="H865"/>
      <x:c r="I865"/>
      <x:c r="J865"/>
      <x:c r="K865" s="56"/>
      <x:c r="L865"/>
      <x:c r="M865"/>
      <x:c r="N865" s="56"/>
      <x:c r="O865"/>
      <x:c r="P865"/>
      <x:c r="Q865" s="56"/>
      <x:c r="R865"/>
      <x:c r="S865"/>
      <x:c r="T865" s="56"/>
      <x:c r="U865"/>
      <x:c r="V865"/>
      <x:c r="W865" s="36"/>
      <x:c r="X865" s="56"/>
      <x:c r="Y865"/>
      <x:c r="Z865"/>
      <x:c r="AA865"/>
      <x:c r="AB865"/>
    </x:row>
    <x:row r="866">
      <x:c r="A866"/>
      <x:c r="B866"/>
      <x:c r="C866"/>
      <x:c r="D866"/>
      <x:c r="E866"/>
      <x:c r="F866"/>
      <x:c r="G866"/>
      <x:c r="H866"/>
      <x:c r="I866"/>
      <x:c r="J866"/>
      <x:c r="K866" s="56"/>
      <x:c r="L866"/>
      <x:c r="M866"/>
      <x:c r="N866" s="56"/>
      <x:c r="O866"/>
      <x:c r="P866"/>
      <x:c r="Q866" s="56"/>
      <x:c r="R866"/>
      <x:c r="S866"/>
      <x:c r="T866" s="56"/>
      <x:c r="U866"/>
      <x:c r="V866"/>
      <x:c r="W866" s="36"/>
      <x:c r="X866" s="56"/>
      <x:c r="Y866"/>
      <x:c r="Z866"/>
      <x:c r="AA866"/>
      <x:c r="AB866"/>
    </x:row>
    <x:row r="867">
      <x:c r="A867"/>
      <x:c r="B867"/>
      <x:c r="C867"/>
      <x:c r="D867"/>
      <x:c r="E867"/>
      <x:c r="F867"/>
      <x:c r="G867"/>
      <x:c r="H867"/>
      <x:c r="I867"/>
      <x:c r="J867"/>
      <x:c r="K867" s="56"/>
      <x:c r="L867"/>
      <x:c r="M867"/>
      <x:c r="N867" s="56"/>
      <x:c r="O867"/>
      <x:c r="P867"/>
      <x:c r="Q867" s="56"/>
      <x:c r="R867"/>
      <x:c r="S867"/>
      <x:c r="T867" s="56"/>
      <x:c r="U867"/>
      <x:c r="V867"/>
      <x:c r="W867" s="36"/>
      <x:c r="X867" s="56"/>
      <x:c r="Y867"/>
      <x:c r="Z867"/>
      <x:c r="AA867"/>
      <x:c r="AB867"/>
    </x:row>
    <x:row r="868">
      <x:c r="A868"/>
      <x:c r="B868"/>
      <x:c r="C868"/>
      <x:c r="D868"/>
      <x:c r="E868"/>
      <x:c r="F868"/>
      <x:c r="G868"/>
      <x:c r="H868"/>
      <x:c r="I868"/>
      <x:c r="J868"/>
      <x:c r="K868" s="56"/>
      <x:c r="L868"/>
      <x:c r="M868"/>
      <x:c r="N868" s="56"/>
      <x:c r="O868"/>
      <x:c r="P868"/>
      <x:c r="Q868" s="56"/>
      <x:c r="R868"/>
      <x:c r="S868"/>
      <x:c r="T868" s="56"/>
      <x:c r="U868"/>
      <x:c r="V868"/>
      <x:c r="W868" s="36"/>
      <x:c r="X868" s="56"/>
      <x:c r="Y868"/>
      <x:c r="Z868"/>
      <x:c r="AA868"/>
      <x:c r="AB868"/>
    </x:row>
    <x:row r="869">
      <x:c r="A869"/>
      <x:c r="B869"/>
      <x:c r="C869"/>
      <x:c r="D869"/>
      <x:c r="E869"/>
      <x:c r="F869"/>
      <x:c r="G869"/>
      <x:c r="H869"/>
      <x:c r="I869"/>
      <x:c r="J869"/>
      <x:c r="K869" s="56"/>
      <x:c r="L869"/>
      <x:c r="M869"/>
      <x:c r="N869" s="56"/>
      <x:c r="O869"/>
      <x:c r="P869"/>
      <x:c r="Q869" s="56"/>
      <x:c r="R869"/>
      <x:c r="S869"/>
      <x:c r="T869" s="56"/>
      <x:c r="U869"/>
      <x:c r="V869"/>
      <x:c r="W869" s="36"/>
      <x:c r="X869" s="56"/>
      <x:c r="Y869"/>
      <x:c r="Z869"/>
      <x:c r="AA869"/>
      <x:c r="AB869"/>
    </x:row>
    <x:row r="870">
      <x:c r="A870"/>
      <x:c r="B870"/>
      <x:c r="C870"/>
      <x:c r="D870"/>
      <x:c r="E870"/>
      <x:c r="F870"/>
      <x:c r="G870"/>
      <x:c r="H870"/>
      <x:c r="I870"/>
      <x:c r="J870"/>
      <x:c r="K870" s="56"/>
      <x:c r="L870"/>
      <x:c r="M870"/>
      <x:c r="N870" s="56"/>
      <x:c r="O870"/>
      <x:c r="P870"/>
      <x:c r="Q870" s="56"/>
      <x:c r="R870"/>
      <x:c r="S870"/>
      <x:c r="T870" s="56"/>
      <x:c r="U870"/>
      <x:c r="V870"/>
      <x:c r="W870" s="36"/>
      <x:c r="X870" s="56"/>
      <x:c r="Y870"/>
      <x:c r="Z870"/>
      <x:c r="AA870"/>
      <x:c r="AB870"/>
    </x:row>
    <x:row r="871">
      <x:c r="A871"/>
      <x:c r="B871"/>
      <x:c r="C871"/>
      <x:c r="D871"/>
      <x:c r="E871"/>
      <x:c r="F871"/>
      <x:c r="G871"/>
      <x:c r="H871"/>
      <x:c r="I871"/>
      <x:c r="J871"/>
      <x:c r="K871" s="56"/>
      <x:c r="L871"/>
      <x:c r="M871"/>
      <x:c r="N871" s="56"/>
      <x:c r="O871"/>
      <x:c r="P871"/>
      <x:c r="Q871" s="56"/>
      <x:c r="R871"/>
      <x:c r="S871"/>
      <x:c r="T871" s="56"/>
      <x:c r="U871"/>
      <x:c r="V871"/>
      <x:c r="W871" s="36"/>
      <x:c r="X871" s="56"/>
      <x:c r="Y871"/>
      <x:c r="Z871"/>
      <x:c r="AA871"/>
      <x:c r="AB871"/>
    </x:row>
    <x:row r="872">
      <x:c r="A872"/>
      <x:c r="B872"/>
      <x:c r="C872"/>
      <x:c r="D872"/>
      <x:c r="E872"/>
      <x:c r="F872"/>
      <x:c r="G872"/>
      <x:c r="H872"/>
      <x:c r="I872"/>
      <x:c r="J872"/>
      <x:c r="K872" s="56"/>
      <x:c r="L872"/>
      <x:c r="M872"/>
      <x:c r="N872" s="56"/>
      <x:c r="O872"/>
      <x:c r="P872"/>
      <x:c r="Q872" s="56"/>
      <x:c r="R872"/>
      <x:c r="S872"/>
      <x:c r="T872" s="56"/>
      <x:c r="U872"/>
      <x:c r="V872"/>
      <x:c r="W872" s="36"/>
      <x:c r="X872" s="56"/>
      <x:c r="Y872"/>
      <x:c r="Z872"/>
      <x:c r="AA872"/>
      <x:c r="AB872"/>
    </x:row>
    <x:row r="873">
      <x:c r="A873"/>
      <x:c r="B873"/>
      <x:c r="C873"/>
      <x:c r="D873"/>
      <x:c r="E873"/>
      <x:c r="F873"/>
      <x:c r="G873"/>
      <x:c r="H873"/>
      <x:c r="I873"/>
      <x:c r="J873"/>
      <x:c r="K873" s="56"/>
      <x:c r="L873"/>
      <x:c r="M873"/>
      <x:c r="N873" s="56"/>
      <x:c r="O873"/>
      <x:c r="P873"/>
      <x:c r="Q873" s="56"/>
      <x:c r="R873"/>
      <x:c r="S873"/>
      <x:c r="T873" s="56"/>
      <x:c r="U873"/>
      <x:c r="V873"/>
      <x:c r="W873" s="36"/>
      <x:c r="X873" s="56"/>
      <x:c r="Y873"/>
      <x:c r="Z873"/>
      <x:c r="AA873"/>
      <x:c r="AB873"/>
    </x:row>
    <x:row r="874">
      <x:c r="A874"/>
      <x:c r="B874"/>
      <x:c r="C874"/>
      <x:c r="D874"/>
      <x:c r="E874"/>
      <x:c r="F874"/>
      <x:c r="G874"/>
      <x:c r="H874"/>
      <x:c r="I874"/>
      <x:c r="J874"/>
      <x:c r="K874" s="56"/>
      <x:c r="L874"/>
      <x:c r="M874"/>
      <x:c r="N874" s="56"/>
      <x:c r="O874"/>
      <x:c r="P874"/>
      <x:c r="Q874" s="56"/>
      <x:c r="R874"/>
      <x:c r="S874"/>
      <x:c r="T874" s="56"/>
      <x:c r="U874"/>
      <x:c r="V874"/>
      <x:c r="W874" s="36"/>
      <x:c r="X874" s="56"/>
      <x:c r="Y874"/>
      <x:c r="Z874"/>
      <x:c r="AA874"/>
      <x:c r="AB874"/>
    </x:row>
    <x:row r="875">
      <x:c r="A875"/>
      <x:c r="B875"/>
      <x:c r="C875"/>
      <x:c r="D875"/>
      <x:c r="E875"/>
      <x:c r="F875"/>
      <x:c r="G875"/>
      <x:c r="H875"/>
      <x:c r="I875"/>
      <x:c r="J875"/>
      <x:c r="K875" s="56"/>
      <x:c r="L875"/>
      <x:c r="M875"/>
      <x:c r="N875" s="56"/>
      <x:c r="O875"/>
      <x:c r="P875"/>
      <x:c r="Q875" s="56"/>
      <x:c r="R875"/>
      <x:c r="S875"/>
      <x:c r="T875" s="56"/>
      <x:c r="U875"/>
      <x:c r="V875"/>
      <x:c r="W875" s="36"/>
      <x:c r="X875" s="56"/>
      <x:c r="Y875"/>
      <x:c r="Z875"/>
      <x:c r="AA875"/>
      <x:c r="AB875"/>
    </x:row>
    <x:row r="876">
      <x:c r="A876"/>
      <x:c r="B876"/>
      <x:c r="C876"/>
      <x:c r="D876"/>
      <x:c r="E876"/>
      <x:c r="F876"/>
      <x:c r="G876"/>
      <x:c r="H876"/>
      <x:c r="I876"/>
      <x:c r="J876"/>
      <x:c r="K876" s="56"/>
      <x:c r="L876"/>
      <x:c r="M876"/>
      <x:c r="N876" s="56"/>
      <x:c r="O876"/>
      <x:c r="P876"/>
      <x:c r="Q876" s="56"/>
      <x:c r="R876"/>
      <x:c r="S876"/>
      <x:c r="T876" s="56"/>
      <x:c r="U876"/>
      <x:c r="V876"/>
      <x:c r="W876" s="36"/>
      <x:c r="X876" s="56"/>
      <x:c r="Y876"/>
      <x:c r="Z876"/>
      <x:c r="AA876"/>
      <x:c r="AB876"/>
    </x:row>
    <x:row r="877">
      <x:c r="A877"/>
      <x:c r="B877"/>
      <x:c r="C877"/>
      <x:c r="D877"/>
      <x:c r="E877"/>
      <x:c r="F877"/>
      <x:c r="G877"/>
      <x:c r="H877"/>
      <x:c r="I877"/>
      <x:c r="J877"/>
      <x:c r="K877" s="56"/>
      <x:c r="L877"/>
      <x:c r="M877"/>
      <x:c r="N877" s="56"/>
      <x:c r="O877"/>
      <x:c r="P877"/>
      <x:c r="Q877" s="56"/>
      <x:c r="R877"/>
      <x:c r="S877"/>
      <x:c r="T877" s="56"/>
      <x:c r="U877"/>
      <x:c r="V877"/>
      <x:c r="W877" s="36"/>
      <x:c r="X877" s="56"/>
      <x:c r="Y877"/>
      <x:c r="Z877"/>
      <x:c r="AA877"/>
      <x:c r="AB877"/>
    </x:row>
    <x:row r="878">
      <x:c r="A878"/>
      <x:c r="B878"/>
      <x:c r="C878"/>
      <x:c r="D878"/>
      <x:c r="E878"/>
      <x:c r="F878"/>
      <x:c r="G878"/>
      <x:c r="H878"/>
      <x:c r="I878"/>
      <x:c r="J878"/>
      <x:c r="K878" s="56"/>
      <x:c r="L878"/>
      <x:c r="M878"/>
      <x:c r="N878" s="56"/>
      <x:c r="O878"/>
      <x:c r="P878"/>
      <x:c r="Q878" s="56"/>
      <x:c r="R878"/>
      <x:c r="S878"/>
      <x:c r="T878" s="56"/>
      <x:c r="U878"/>
      <x:c r="V878"/>
      <x:c r="W878" s="36"/>
      <x:c r="X878" s="56"/>
      <x:c r="Y878"/>
      <x:c r="Z878"/>
      <x:c r="AA878"/>
      <x:c r="AB878"/>
    </x:row>
    <x:row r="879">
      <x:c r="A879"/>
      <x:c r="B879"/>
      <x:c r="C879"/>
      <x:c r="D879"/>
      <x:c r="E879"/>
      <x:c r="F879"/>
      <x:c r="G879"/>
      <x:c r="H879"/>
      <x:c r="I879"/>
      <x:c r="J879"/>
      <x:c r="K879" s="56"/>
      <x:c r="L879"/>
      <x:c r="M879"/>
      <x:c r="N879" s="56"/>
      <x:c r="O879"/>
      <x:c r="P879"/>
      <x:c r="Q879" s="56"/>
      <x:c r="R879"/>
      <x:c r="S879"/>
      <x:c r="T879" s="56"/>
      <x:c r="U879"/>
      <x:c r="V879"/>
      <x:c r="W879" s="36"/>
      <x:c r="X879" s="56"/>
      <x:c r="Y879"/>
      <x:c r="Z879"/>
      <x:c r="AA879"/>
      <x:c r="AB879"/>
    </x:row>
    <x:row r="880">
      <x:c r="A880"/>
      <x:c r="B880"/>
      <x:c r="C880"/>
      <x:c r="D880"/>
      <x:c r="E880"/>
      <x:c r="F880"/>
      <x:c r="G880"/>
      <x:c r="H880"/>
      <x:c r="I880"/>
      <x:c r="J880"/>
      <x:c r="K880" s="56"/>
      <x:c r="L880"/>
      <x:c r="M880"/>
      <x:c r="N880" s="56"/>
      <x:c r="O880"/>
      <x:c r="P880"/>
      <x:c r="Q880" s="56"/>
      <x:c r="R880"/>
      <x:c r="S880"/>
      <x:c r="T880" s="56"/>
      <x:c r="U880"/>
      <x:c r="V880"/>
      <x:c r="W880" s="36"/>
      <x:c r="X880" s="56"/>
      <x:c r="Y880"/>
      <x:c r="Z880"/>
      <x:c r="AA880"/>
      <x:c r="AB880"/>
    </x:row>
    <x:row r="881">
      <x:c r="A881"/>
      <x:c r="B881"/>
      <x:c r="C881"/>
      <x:c r="D881"/>
      <x:c r="E881"/>
      <x:c r="F881"/>
      <x:c r="G881"/>
      <x:c r="H881"/>
      <x:c r="I881"/>
      <x:c r="J881"/>
      <x:c r="K881" s="56"/>
      <x:c r="L881"/>
      <x:c r="M881"/>
      <x:c r="N881" s="56"/>
      <x:c r="O881"/>
      <x:c r="P881"/>
      <x:c r="Q881" s="56"/>
      <x:c r="R881"/>
      <x:c r="S881"/>
      <x:c r="T881" s="56"/>
      <x:c r="U881"/>
      <x:c r="V881"/>
      <x:c r="W881" s="36"/>
      <x:c r="X881" s="56"/>
      <x:c r="Y881"/>
      <x:c r="Z881"/>
      <x:c r="AA881"/>
      <x:c r="AB881"/>
    </x:row>
    <x:row r="882">
      <x:c r="A882"/>
      <x:c r="B882"/>
      <x:c r="C882"/>
      <x:c r="D882"/>
      <x:c r="E882"/>
      <x:c r="F882"/>
      <x:c r="G882"/>
      <x:c r="H882"/>
      <x:c r="I882"/>
      <x:c r="J882"/>
      <x:c r="K882" s="56"/>
      <x:c r="L882"/>
      <x:c r="M882"/>
      <x:c r="N882" s="56"/>
      <x:c r="O882"/>
      <x:c r="P882"/>
      <x:c r="Q882" s="56"/>
      <x:c r="R882"/>
      <x:c r="S882"/>
      <x:c r="T882" s="56"/>
      <x:c r="U882"/>
      <x:c r="V882"/>
      <x:c r="W882" s="36"/>
      <x:c r="X882" s="56"/>
      <x:c r="Y882"/>
      <x:c r="Z882"/>
      <x:c r="AA882"/>
      <x:c r="AB882"/>
    </x:row>
    <x:row r="883">
      <x:c r="A883"/>
      <x:c r="B883"/>
      <x:c r="C883"/>
      <x:c r="D883"/>
      <x:c r="E883"/>
      <x:c r="F883"/>
      <x:c r="G883"/>
      <x:c r="H883"/>
      <x:c r="I883"/>
      <x:c r="J883"/>
      <x:c r="K883" s="56"/>
      <x:c r="L883"/>
      <x:c r="M883"/>
      <x:c r="N883" s="56"/>
      <x:c r="O883"/>
      <x:c r="P883"/>
      <x:c r="Q883" s="56"/>
      <x:c r="R883"/>
      <x:c r="S883"/>
      <x:c r="T883" s="56"/>
      <x:c r="U883"/>
      <x:c r="V883"/>
      <x:c r="W883" s="36"/>
      <x:c r="X883" s="56"/>
      <x:c r="Y883"/>
      <x:c r="Z883"/>
      <x:c r="AA883"/>
      <x:c r="AB883"/>
    </x:row>
    <x:row r="884">
      <x:c r="A884"/>
      <x:c r="B884"/>
      <x:c r="C884"/>
      <x:c r="D884"/>
      <x:c r="E884"/>
      <x:c r="F884"/>
      <x:c r="G884"/>
      <x:c r="H884"/>
      <x:c r="I884"/>
      <x:c r="J884"/>
      <x:c r="K884" s="56"/>
      <x:c r="L884"/>
      <x:c r="M884"/>
      <x:c r="N884" s="56"/>
      <x:c r="O884"/>
      <x:c r="P884"/>
      <x:c r="Q884" s="56"/>
      <x:c r="R884"/>
      <x:c r="S884"/>
      <x:c r="T884" s="56"/>
      <x:c r="U884"/>
      <x:c r="V884"/>
      <x:c r="W884" s="36"/>
      <x:c r="X884" s="56"/>
      <x:c r="Y884"/>
      <x:c r="Z884"/>
      <x:c r="AA884"/>
      <x:c r="AB884"/>
    </x:row>
    <x:row r="885">
      <x:c r="A885"/>
      <x:c r="B885"/>
      <x:c r="C885"/>
      <x:c r="D885"/>
      <x:c r="E885"/>
      <x:c r="F885"/>
      <x:c r="G885"/>
      <x:c r="H885"/>
      <x:c r="I885"/>
      <x:c r="J885"/>
      <x:c r="K885" s="56"/>
      <x:c r="L885"/>
      <x:c r="M885"/>
      <x:c r="N885" s="56"/>
      <x:c r="O885"/>
      <x:c r="P885"/>
      <x:c r="Q885" s="56"/>
      <x:c r="R885"/>
      <x:c r="S885"/>
      <x:c r="T885" s="56"/>
      <x:c r="U885"/>
      <x:c r="V885"/>
      <x:c r="W885" s="36"/>
      <x:c r="X885" s="56"/>
      <x:c r="Y885"/>
      <x:c r="Z885"/>
      <x:c r="AA885"/>
      <x:c r="AB885"/>
    </x:row>
    <x:row r="886">
      <x:c r="A886"/>
      <x:c r="B886"/>
      <x:c r="C886"/>
      <x:c r="D886"/>
      <x:c r="E886"/>
      <x:c r="F886"/>
      <x:c r="G886"/>
      <x:c r="H886"/>
      <x:c r="I886"/>
      <x:c r="J886"/>
      <x:c r="K886" s="56"/>
      <x:c r="L886"/>
      <x:c r="M886"/>
      <x:c r="N886" s="56"/>
      <x:c r="O886"/>
      <x:c r="P886"/>
      <x:c r="Q886" s="56"/>
      <x:c r="R886"/>
      <x:c r="S886"/>
      <x:c r="T886" s="56"/>
      <x:c r="U886"/>
      <x:c r="V886"/>
      <x:c r="W886" s="36"/>
      <x:c r="X886" s="56"/>
      <x:c r="Y886"/>
      <x:c r="Z886"/>
      <x:c r="AA886"/>
      <x:c r="AB886"/>
    </x:row>
    <x:row r="887">
      <x:c r="A887"/>
      <x:c r="B887"/>
      <x:c r="C887"/>
      <x:c r="D887"/>
      <x:c r="E887"/>
      <x:c r="F887"/>
      <x:c r="G887"/>
      <x:c r="H887"/>
      <x:c r="I887"/>
      <x:c r="J887"/>
      <x:c r="K887" s="56"/>
      <x:c r="L887"/>
      <x:c r="M887"/>
      <x:c r="N887" s="56"/>
      <x:c r="O887"/>
      <x:c r="P887"/>
      <x:c r="Q887" s="56"/>
      <x:c r="R887"/>
      <x:c r="S887"/>
      <x:c r="T887" s="56"/>
      <x:c r="U887"/>
      <x:c r="V887"/>
      <x:c r="W887" s="36"/>
      <x:c r="X887" s="56"/>
      <x:c r="Y887"/>
      <x:c r="Z887"/>
      <x:c r="AA887"/>
      <x:c r="AB887"/>
    </x:row>
    <x:row r="888">
      <x:c r="A888"/>
      <x:c r="B888"/>
      <x:c r="C888"/>
      <x:c r="D888"/>
      <x:c r="E888"/>
      <x:c r="F888"/>
      <x:c r="G888"/>
      <x:c r="H888"/>
      <x:c r="I888"/>
      <x:c r="J888"/>
      <x:c r="K888" s="56"/>
      <x:c r="L888"/>
      <x:c r="M888"/>
      <x:c r="N888" s="56"/>
      <x:c r="O888"/>
      <x:c r="P888"/>
      <x:c r="Q888" s="56"/>
      <x:c r="R888"/>
      <x:c r="S888"/>
      <x:c r="T888" s="56"/>
      <x:c r="U888"/>
      <x:c r="V888"/>
      <x:c r="W888" s="36"/>
      <x:c r="X888" s="56"/>
      <x:c r="Y888"/>
      <x:c r="Z888"/>
      <x:c r="AA888"/>
      <x:c r="AB888"/>
    </x:row>
    <x:row r="889">
      <x:c r="A889"/>
      <x:c r="B889"/>
      <x:c r="C889"/>
      <x:c r="D889"/>
      <x:c r="E889"/>
      <x:c r="F889"/>
      <x:c r="G889"/>
      <x:c r="H889"/>
      <x:c r="I889"/>
      <x:c r="J889"/>
      <x:c r="K889" s="56"/>
      <x:c r="L889"/>
      <x:c r="M889"/>
      <x:c r="N889" s="56"/>
      <x:c r="O889"/>
      <x:c r="P889"/>
      <x:c r="Q889" s="56"/>
      <x:c r="R889"/>
      <x:c r="S889"/>
      <x:c r="T889" s="56"/>
      <x:c r="U889"/>
      <x:c r="V889"/>
      <x:c r="W889" s="36"/>
      <x:c r="X889" s="56"/>
      <x:c r="Y889"/>
      <x:c r="Z889"/>
      <x:c r="AA889"/>
      <x:c r="AB889"/>
    </x:row>
    <x:row r="890">
      <x:c r="A890"/>
      <x:c r="B890"/>
      <x:c r="C890"/>
      <x:c r="D890"/>
      <x:c r="E890"/>
      <x:c r="F890"/>
      <x:c r="G890"/>
      <x:c r="H890"/>
      <x:c r="I890"/>
      <x:c r="J890"/>
      <x:c r="K890" s="56"/>
      <x:c r="L890"/>
      <x:c r="M890"/>
      <x:c r="N890" s="56"/>
      <x:c r="O890"/>
      <x:c r="P890"/>
      <x:c r="Q890" s="56"/>
      <x:c r="R890"/>
      <x:c r="S890"/>
      <x:c r="T890" s="56"/>
      <x:c r="U890"/>
      <x:c r="V890"/>
      <x:c r="W890" s="36"/>
      <x:c r="X890" s="56"/>
      <x:c r="Y890"/>
      <x:c r="Z890"/>
      <x:c r="AA890"/>
      <x:c r="AB890"/>
    </x:row>
    <x:row r="891">
      <x:c r="A891"/>
      <x:c r="B891"/>
      <x:c r="C891"/>
      <x:c r="D891"/>
      <x:c r="E891"/>
      <x:c r="F891"/>
      <x:c r="G891"/>
      <x:c r="H891"/>
      <x:c r="I891"/>
      <x:c r="J891"/>
      <x:c r="K891" s="56"/>
      <x:c r="L891"/>
      <x:c r="M891"/>
      <x:c r="N891" s="56"/>
      <x:c r="O891"/>
      <x:c r="P891"/>
      <x:c r="Q891" s="56"/>
      <x:c r="R891"/>
      <x:c r="S891"/>
      <x:c r="T891" s="56"/>
      <x:c r="U891"/>
      <x:c r="V891"/>
      <x:c r="W891" s="36"/>
      <x:c r="X891" s="56"/>
      <x:c r="Y891"/>
      <x:c r="Z891"/>
      <x:c r="AA891"/>
      <x:c r="AB891"/>
    </x:row>
    <x:row r="892">
      <x:c r="A892"/>
      <x:c r="B892"/>
      <x:c r="C892"/>
      <x:c r="D892"/>
      <x:c r="E892"/>
      <x:c r="F892"/>
      <x:c r="G892"/>
      <x:c r="H892"/>
      <x:c r="I892"/>
      <x:c r="J892"/>
      <x:c r="K892" s="56"/>
      <x:c r="L892"/>
      <x:c r="M892"/>
      <x:c r="N892" s="56"/>
      <x:c r="O892"/>
      <x:c r="P892"/>
      <x:c r="Q892" s="56"/>
      <x:c r="R892"/>
      <x:c r="S892"/>
      <x:c r="T892" s="56"/>
      <x:c r="U892"/>
      <x:c r="V892"/>
      <x:c r="W892" s="36"/>
      <x:c r="X892" s="56"/>
      <x:c r="Y892"/>
      <x:c r="Z892"/>
      <x:c r="AA892"/>
      <x:c r="AB892"/>
    </x:row>
    <x:row r="893">
      <x:c r="A893"/>
      <x:c r="B893"/>
      <x:c r="C893"/>
      <x:c r="D893"/>
      <x:c r="E893"/>
      <x:c r="F893"/>
      <x:c r="G893"/>
      <x:c r="H893"/>
      <x:c r="I893"/>
      <x:c r="J893"/>
      <x:c r="K893" s="56"/>
      <x:c r="L893"/>
      <x:c r="M893"/>
      <x:c r="N893" s="56"/>
      <x:c r="O893"/>
      <x:c r="P893"/>
      <x:c r="Q893" s="56"/>
      <x:c r="R893"/>
      <x:c r="S893"/>
      <x:c r="T893" s="56"/>
      <x:c r="U893"/>
      <x:c r="V893"/>
      <x:c r="W893" s="36"/>
      <x:c r="X893" s="56"/>
      <x:c r="Y893"/>
      <x:c r="Z893"/>
      <x:c r="AA893"/>
      <x:c r="AB893"/>
    </x:row>
    <x:row r="894">
      <x:c r="A894"/>
      <x:c r="B894"/>
      <x:c r="C894"/>
      <x:c r="D894"/>
      <x:c r="E894"/>
      <x:c r="F894"/>
      <x:c r="G894"/>
      <x:c r="H894"/>
      <x:c r="I894"/>
      <x:c r="J894"/>
      <x:c r="K894" s="56"/>
      <x:c r="L894"/>
      <x:c r="M894"/>
      <x:c r="N894" s="56"/>
      <x:c r="O894"/>
      <x:c r="P894"/>
      <x:c r="Q894" s="56"/>
      <x:c r="R894"/>
      <x:c r="S894"/>
      <x:c r="T894" s="56"/>
      <x:c r="U894"/>
      <x:c r="V894"/>
      <x:c r="W894" s="36"/>
      <x:c r="X894" s="56"/>
      <x:c r="Y894"/>
      <x:c r="Z894"/>
      <x:c r="AA894"/>
      <x:c r="AB894"/>
    </x:row>
    <x:row r="895">
      <x:c r="A895"/>
      <x:c r="B895"/>
      <x:c r="C895"/>
      <x:c r="D895"/>
      <x:c r="E895"/>
      <x:c r="F895"/>
      <x:c r="G895"/>
      <x:c r="H895"/>
      <x:c r="I895"/>
      <x:c r="J895"/>
      <x:c r="K895" s="56"/>
      <x:c r="L895"/>
      <x:c r="M895"/>
      <x:c r="N895" s="56"/>
      <x:c r="O895"/>
      <x:c r="P895"/>
      <x:c r="Q895" s="56"/>
      <x:c r="R895"/>
      <x:c r="S895"/>
      <x:c r="T895" s="56"/>
      <x:c r="U895"/>
      <x:c r="V895"/>
      <x:c r="W895" s="36"/>
      <x:c r="X895" s="56"/>
      <x:c r="Y895"/>
      <x:c r="Z895"/>
      <x:c r="AA895"/>
      <x:c r="AB895"/>
    </x:row>
    <x:row r="896">
      <x:c r="A896"/>
      <x:c r="B896"/>
      <x:c r="C896"/>
      <x:c r="D896"/>
      <x:c r="E896"/>
      <x:c r="F896"/>
      <x:c r="G896"/>
      <x:c r="H896"/>
      <x:c r="I896"/>
      <x:c r="J896"/>
      <x:c r="K896" s="56"/>
      <x:c r="L896"/>
      <x:c r="M896"/>
      <x:c r="N896" s="56"/>
      <x:c r="O896"/>
      <x:c r="P896"/>
      <x:c r="Q896" s="56"/>
      <x:c r="R896"/>
      <x:c r="S896"/>
      <x:c r="T896" s="56"/>
      <x:c r="U896"/>
      <x:c r="V896"/>
      <x:c r="W896" s="36"/>
      <x:c r="X896" s="56"/>
      <x:c r="Y896"/>
      <x:c r="Z896"/>
      <x:c r="AA896"/>
      <x:c r="AB896"/>
    </x:row>
    <x:row r="897">
      <x:c r="A897"/>
      <x:c r="B897"/>
      <x:c r="C897"/>
      <x:c r="D897"/>
      <x:c r="E897"/>
      <x:c r="F897"/>
      <x:c r="G897"/>
      <x:c r="H897"/>
      <x:c r="I897"/>
      <x:c r="J897"/>
      <x:c r="K897" s="56"/>
      <x:c r="L897"/>
      <x:c r="M897"/>
      <x:c r="N897" s="56"/>
      <x:c r="O897"/>
      <x:c r="P897"/>
      <x:c r="Q897" s="56"/>
      <x:c r="R897"/>
      <x:c r="S897"/>
      <x:c r="T897" s="56"/>
      <x:c r="U897"/>
      <x:c r="V897"/>
      <x:c r="W897" s="36"/>
      <x:c r="X897" s="56"/>
      <x:c r="Y897"/>
      <x:c r="Z897"/>
      <x:c r="AA897"/>
      <x:c r="AB897"/>
    </x:row>
    <x:row r="898">
      <x:c r="A898"/>
      <x:c r="B898"/>
      <x:c r="C898"/>
      <x:c r="D898"/>
      <x:c r="E898"/>
      <x:c r="F898"/>
      <x:c r="G898"/>
      <x:c r="H898"/>
      <x:c r="I898"/>
      <x:c r="J898"/>
      <x:c r="K898" s="56"/>
      <x:c r="L898"/>
      <x:c r="M898"/>
      <x:c r="N898" s="56"/>
      <x:c r="O898"/>
      <x:c r="P898"/>
      <x:c r="Q898" s="56"/>
      <x:c r="R898"/>
      <x:c r="S898"/>
      <x:c r="T898" s="56"/>
      <x:c r="U898"/>
      <x:c r="V898"/>
      <x:c r="W898" s="36"/>
      <x:c r="X898" s="56"/>
      <x:c r="Y898"/>
      <x:c r="Z898"/>
      <x:c r="AA898"/>
      <x:c r="AB898"/>
    </x:row>
    <x:row r="899">
      <x:c r="A899"/>
      <x:c r="B899"/>
      <x:c r="C899"/>
      <x:c r="D899"/>
      <x:c r="E899"/>
      <x:c r="F899"/>
      <x:c r="G899"/>
      <x:c r="H899"/>
      <x:c r="I899"/>
      <x:c r="J899"/>
      <x:c r="K899" s="56"/>
      <x:c r="L899"/>
      <x:c r="M899"/>
      <x:c r="N899" s="56"/>
      <x:c r="O899"/>
      <x:c r="P899"/>
      <x:c r="Q899" s="56"/>
      <x:c r="R899"/>
      <x:c r="S899"/>
      <x:c r="T899" s="56"/>
      <x:c r="U899"/>
      <x:c r="V899"/>
      <x:c r="W899" s="36"/>
      <x:c r="X899" s="56"/>
      <x:c r="Y899"/>
      <x:c r="Z899"/>
      <x:c r="AA899"/>
      <x:c r="AB899"/>
    </x:row>
    <x:row r="900">
      <x:c r="A900"/>
      <x:c r="B900"/>
      <x:c r="C900"/>
      <x:c r="D900"/>
      <x:c r="E900"/>
      <x:c r="F900"/>
      <x:c r="G900"/>
      <x:c r="H900"/>
      <x:c r="I900"/>
      <x:c r="J900"/>
      <x:c r="K900" s="56"/>
      <x:c r="L900"/>
      <x:c r="M900"/>
      <x:c r="N900" s="56"/>
      <x:c r="O900"/>
      <x:c r="P900"/>
      <x:c r="Q900" s="56"/>
      <x:c r="R900"/>
      <x:c r="S900"/>
      <x:c r="T900" s="56"/>
      <x:c r="U900"/>
      <x:c r="V900"/>
      <x:c r="W900" s="36"/>
      <x:c r="X900" s="56"/>
      <x:c r="Y900"/>
      <x:c r="Z900"/>
      <x:c r="AA900"/>
      <x:c r="AB900"/>
    </x:row>
    <x:row r="901">
      <x:c r="A901"/>
      <x:c r="B901"/>
      <x:c r="C901"/>
      <x:c r="D901"/>
      <x:c r="E901"/>
      <x:c r="F901"/>
      <x:c r="G901"/>
      <x:c r="H901"/>
      <x:c r="I901"/>
      <x:c r="J901"/>
      <x:c r="K901" s="56"/>
      <x:c r="L901"/>
      <x:c r="M901"/>
      <x:c r="N901" s="56"/>
      <x:c r="O901"/>
      <x:c r="P901"/>
      <x:c r="Q901" s="56"/>
      <x:c r="R901"/>
      <x:c r="S901"/>
      <x:c r="T901" s="56"/>
      <x:c r="U901"/>
      <x:c r="V901"/>
      <x:c r="W901" s="36"/>
      <x:c r="X901" s="56"/>
      <x:c r="Y901"/>
      <x:c r="Z901"/>
      <x:c r="AA901"/>
      <x:c r="AB901"/>
    </x:row>
    <x:row r="902">
      <x:c r="A902"/>
      <x:c r="B902"/>
      <x:c r="C902"/>
      <x:c r="D902"/>
      <x:c r="E902"/>
      <x:c r="F902"/>
      <x:c r="G902"/>
      <x:c r="H902"/>
      <x:c r="I902"/>
      <x:c r="J902"/>
      <x:c r="K902" s="56"/>
      <x:c r="L902"/>
      <x:c r="M902"/>
      <x:c r="N902" s="56"/>
      <x:c r="O902"/>
      <x:c r="P902"/>
      <x:c r="Q902" s="56"/>
      <x:c r="R902"/>
      <x:c r="S902"/>
      <x:c r="T902" s="56"/>
      <x:c r="U902"/>
      <x:c r="V902"/>
      <x:c r="W902" s="36"/>
      <x:c r="X902" s="56"/>
      <x:c r="Y902"/>
      <x:c r="Z902"/>
      <x:c r="AA902"/>
      <x:c r="AB902"/>
    </x:row>
    <x:row r="903">
      <x:c r="A903"/>
      <x:c r="B903"/>
      <x:c r="C903"/>
      <x:c r="D903"/>
      <x:c r="E903"/>
      <x:c r="F903"/>
      <x:c r="G903"/>
      <x:c r="H903"/>
      <x:c r="I903"/>
      <x:c r="J903"/>
      <x:c r="K903" s="56"/>
      <x:c r="L903"/>
      <x:c r="M903"/>
      <x:c r="N903" s="56"/>
      <x:c r="O903"/>
      <x:c r="P903"/>
      <x:c r="Q903" s="56"/>
      <x:c r="R903"/>
      <x:c r="S903"/>
      <x:c r="T903" s="56"/>
      <x:c r="U903"/>
      <x:c r="V903"/>
      <x:c r="W903" s="36"/>
      <x:c r="X903" s="56"/>
      <x:c r="Y903"/>
      <x:c r="Z903"/>
      <x:c r="AA903"/>
      <x:c r="AB903"/>
    </x:row>
    <x:row r="904">
      <x:c r="A904"/>
      <x:c r="B904"/>
      <x:c r="C904"/>
      <x:c r="D904"/>
      <x:c r="E904"/>
      <x:c r="F904"/>
      <x:c r="G904"/>
      <x:c r="H904"/>
      <x:c r="I904"/>
      <x:c r="J904"/>
      <x:c r="K904" s="56"/>
      <x:c r="L904"/>
      <x:c r="M904"/>
      <x:c r="N904" s="56"/>
      <x:c r="O904"/>
      <x:c r="P904"/>
      <x:c r="Q904" s="56"/>
      <x:c r="R904"/>
      <x:c r="S904"/>
      <x:c r="T904" s="56"/>
      <x:c r="U904"/>
      <x:c r="V904"/>
      <x:c r="W904" s="36"/>
      <x:c r="X904" s="56"/>
      <x:c r="Y904"/>
      <x:c r="Z904"/>
      <x:c r="AA904"/>
      <x:c r="AB904"/>
    </x:row>
    <x:row r="905">
      <x:c r="A905"/>
      <x:c r="B905"/>
      <x:c r="C905"/>
      <x:c r="D905"/>
      <x:c r="E905"/>
      <x:c r="F905"/>
      <x:c r="G905"/>
      <x:c r="H905"/>
      <x:c r="I905"/>
      <x:c r="J905"/>
      <x:c r="K905" s="56"/>
      <x:c r="L905"/>
      <x:c r="M905"/>
      <x:c r="N905" s="56"/>
      <x:c r="O905"/>
      <x:c r="P905"/>
      <x:c r="Q905" s="56"/>
      <x:c r="R905"/>
      <x:c r="S905"/>
      <x:c r="T905" s="56"/>
      <x:c r="U905"/>
      <x:c r="V905"/>
      <x:c r="W905" s="36"/>
      <x:c r="X905" s="56"/>
      <x:c r="Y905"/>
      <x:c r="Z905"/>
      <x:c r="AA905"/>
      <x:c r="AB905"/>
    </x:row>
    <x:row r="906">
      <x:c r="A906"/>
      <x:c r="B906"/>
      <x:c r="C906"/>
      <x:c r="D906"/>
      <x:c r="E906"/>
      <x:c r="F906"/>
      <x:c r="G906"/>
      <x:c r="H906"/>
      <x:c r="I906"/>
      <x:c r="J906"/>
      <x:c r="K906" s="56"/>
      <x:c r="L906"/>
      <x:c r="M906"/>
      <x:c r="N906" s="56"/>
      <x:c r="O906"/>
      <x:c r="P906"/>
      <x:c r="Q906" s="56"/>
      <x:c r="R906"/>
      <x:c r="S906"/>
      <x:c r="T906" s="56"/>
      <x:c r="U906"/>
      <x:c r="V906"/>
      <x:c r="W906" s="36"/>
      <x:c r="X906" s="56"/>
      <x:c r="Y906"/>
      <x:c r="Z906"/>
      <x:c r="AA906"/>
      <x:c r="AB906"/>
    </x:row>
    <x:row r="907">
      <x:c r="A907"/>
      <x:c r="B907"/>
      <x:c r="C907"/>
      <x:c r="D907"/>
      <x:c r="E907"/>
      <x:c r="F907"/>
      <x:c r="G907"/>
      <x:c r="H907"/>
      <x:c r="I907"/>
      <x:c r="J907"/>
      <x:c r="K907" s="56"/>
      <x:c r="L907"/>
      <x:c r="M907"/>
      <x:c r="N907" s="56"/>
      <x:c r="O907"/>
      <x:c r="P907"/>
      <x:c r="Q907" s="56"/>
      <x:c r="R907"/>
      <x:c r="S907"/>
      <x:c r="T907" s="56"/>
      <x:c r="U907"/>
      <x:c r="V907"/>
      <x:c r="W907" s="36"/>
      <x:c r="X907" s="56"/>
      <x:c r="Y907"/>
      <x:c r="Z907"/>
      <x:c r="AA907"/>
      <x:c r="AB907"/>
    </x:row>
    <x:row r="908">
      <x:c r="A908"/>
      <x:c r="B908"/>
      <x:c r="C908"/>
      <x:c r="D908"/>
      <x:c r="E908"/>
      <x:c r="F908"/>
      <x:c r="G908"/>
      <x:c r="H908"/>
      <x:c r="I908"/>
      <x:c r="J908"/>
      <x:c r="K908" s="56"/>
      <x:c r="L908"/>
      <x:c r="M908"/>
      <x:c r="N908" s="56"/>
      <x:c r="O908"/>
      <x:c r="P908"/>
      <x:c r="Q908" s="56"/>
      <x:c r="R908"/>
      <x:c r="S908"/>
      <x:c r="T908" s="56"/>
      <x:c r="U908"/>
      <x:c r="V908"/>
      <x:c r="W908" s="36"/>
      <x:c r="X908" s="56"/>
      <x:c r="Y908"/>
      <x:c r="Z908"/>
      <x:c r="AA908"/>
      <x:c r="AB908"/>
    </x:row>
    <x:row r="909">
      <x:c r="A909"/>
      <x:c r="B909"/>
      <x:c r="C909"/>
      <x:c r="D909"/>
      <x:c r="E909"/>
      <x:c r="F909"/>
      <x:c r="G909"/>
      <x:c r="H909"/>
      <x:c r="I909"/>
      <x:c r="J909"/>
      <x:c r="K909" s="56"/>
      <x:c r="L909"/>
      <x:c r="M909"/>
      <x:c r="N909" s="56"/>
      <x:c r="O909"/>
      <x:c r="P909"/>
      <x:c r="Q909" s="56"/>
      <x:c r="R909"/>
      <x:c r="S909"/>
      <x:c r="T909" s="56"/>
      <x:c r="U909"/>
      <x:c r="V909"/>
      <x:c r="W909" s="36"/>
      <x:c r="X909" s="56"/>
      <x:c r="Y909"/>
      <x:c r="Z909"/>
      <x:c r="AA909"/>
      <x:c r="AB909"/>
    </x:row>
    <x:row r="910">
      <x:c r="A910"/>
      <x:c r="B910"/>
      <x:c r="C910"/>
      <x:c r="D910"/>
      <x:c r="E910"/>
      <x:c r="F910"/>
      <x:c r="G910"/>
      <x:c r="H910"/>
      <x:c r="I910"/>
      <x:c r="J910"/>
      <x:c r="K910" s="56"/>
      <x:c r="L910"/>
      <x:c r="M910"/>
      <x:c r="N910" s="56"/>
      <x:c r="O910"/>
      <x:c r="P910"/>
      <x:c r="Q910" s="56"/>
      <x:c r="R910"/>
      <x:c r="S910"/>
      <x:c r="T910" s="56"/>
      <x:c r="U910"/>
      <x:c r="V910"/>
      <x:c r="W910" s="36"/>
      <x:c r="X910" s="56"/>
      <x:c r="Y910"/>
      <x:c r="Z910"/>
      <x:c r="AA910"/>
      <x:c r="AB910"/>
    </x:row>
    <x:row r="911">
      <x:c r="A911"/>
      <x:c r="B911"/>
      <x:c r="C911"/>
      <x:c r="D911"/>
      <x:c r="E911"/>
      <x:c r="F911"/>
      <x:c r="G911"/>
      <x:c r="H911"/>
      <x:c r="I911"/>
      <x:c r="J911"/>
      <x:c r="K911" s="56"/>
      <x:c r="L911"/>
      <x:c r="M911"/>
      <x:c r="N911" s="56"/>
      <x:c r="O911"/>
      <x:c r="P911"/>
      <x:c r="Q911" s="56"/>
      <x:c r="R911"/>
      <x:c r="S911"/>
      <x:c r="T911" s="56"/>
      <x:c r="U911"/>
      <x:c r="V911"/>
      <x:c r="W911" s="36"/>
      <x:c r="X911" s="56"/>
      <x:c r="Y911"/>
      <x:c r="Z911"/>
      <x:c r="AA911"/>
      <x:c r="AB911"/>
    </x:row>
    <x:row r="912">
      <x:c r="A912"/>
      <x:c r="B912"/>
      <x:c r="C912"/>
      <x:c r="D912"/>
      <x:c r="E912"/>
      <x:c r="F912"/>
      <x:c r="G912"/>
      <x:c r="H912"/>
      <x:c r="I912"/>
      <x:c r="J912"/>
      <x:c r="K912" s="56"/>
      <x:c r="L912"/>
      <x:c r="M912"/>
      <x:c r="N912" s="56"/>
      <x:c r="O912"/>
      <x:c r="P912"/>
      <x:c r="Q912" s="56"/>
      <x:c r="R912"/>
      <x:c r="S912"/>
      <x:c r="T912" s="56"/>
      <x:c r="U912"/>
      <x:c r="V912"/>
      <x:c r="W912" s="36"/>
      <x:c r="X912" s="56"/>
      <x:c r="Y912"/>
      <x:c r="Z912"/>
      <x:c r="AA912"/>
      <x:c r="AB912"/>
    </x:row>
    <x:row r="913">
      <x:c r="A913"/>
      <x:c r="B913"/>
      <x:c r="C913"/>
      <x:c r="D913"/>
      <x:c r="E913"/>
      <x:c r="F913"/>
      <x:c r="G913"/>
      <x:c r="H913"/>
      <x:c r="I913"/>
      <x:c r="J913"/>
      <x:c r="K913" s="56"/>
      <x:c r="L913"/>
      <x:c r="M913"/>
      <x:c r="N913" s="56"/>
      <x:c r="O913"/>
      <x:c r="P913"/>
      <x:c r="Q913" s="56"/>
      <x:c r="R913"/>
      <x:c r="S913"/>
      <x:c r="T913" s="56"/>
      <x:c r="U913"/>
      <x:c r="V913"/>
      <x:c r="W913" s="36"/>
      <x:c r="X913" s="56"/>
      <x:c r="Y913"/>
      <x:c r="Z913"/>
      <x:c r="AA913"/>
      <x:c r="AB913"/>
    </x:row>
    <x:row r="914">
      <x:c r="A914"/>
      <x:c r="B914"/>
      <x:c r="C914"/>
      <x:c r="D914"/>
      <x:c r="E914"/>
      <x:c r="F914"/>
      <x:c r="G914"/>
      <x:c r="H914"/>
      <x:c r="I914"/>
      <x:c r="J914"/>
      <x:c r="K914" s="56"/>
      <x:c r="L914"/>
      <x:c r="M914"/>
      <x:c r="N914" s="56"/>
      <x:c r="O914"/>
      <x:c r="P914"/>
      <x:c r="Q914" s="56"/>
      <x:c r="R914"/>
      <x:c r="S914"/>
      <x:c r="T914" s="56"/>
      <x:c r="U914"/>
      <x:c r="V914"/>
      <x:c r="W914" s="36"/>
      <x:c r="X914" s="56"/>
      <x:c r="Y914"/>
      <x:c r="Z914"/>
      <x:c r="AA914"/>
      <x:c r="AB914"/>
    </x:row>
    <x:row r="915">
      <x:c r="A915"/>
      <x:c r="B915"/>
      <x:c r="C915"/>
      <x:c r="D915"/>
      <x:c r="E915"/>
      <x:c r="F915"/>
      <x:c r="G915"/>
      <x:c r="H915"/>
      <x:c r="I915"/>
      <x:c r="J915"/>
      <x:c r="K915" s="56"/>
      <x:c r="L915"/>
      <x:c r="M915"/>
      <x:c r="N915" s="56"/>
      <x:c r="O915"/>
      <x:c r="P915"/>
      <x:c r="Q915" s="56"/>
      <x:c r="R915"/>
      <x:c r="S915"/>
      <x:c r="T915" s="56"/>
      <x:c r="U915"/>
      <x:c r="V915"/>
      <x:c r="W915" s="36"/>
      <x:c r="X915" s="56"/>
      <x:c r="Y915"/>
      <x:c r="Z915"/>
      <x:c r="AA915"/>
      <x:c r="AB915"/>
    </x:row>
    <x:row r="916">
      <x:c r="A916"/>
      <x:c r="B916"/>
      <x:c r="C916"/>
      <x:c r="D916"/>
      <x:c r="E916"/>
      <x:c r="F916"/>
      <x:c r="G916"/>
      <x:c r="H916"/>
      <x:c r="I916"/>
      <x:c r="J916"/>
      <x:c r="K916" s="56"/>
      <x:c r="L916"/>
      <x:c r="M916"/>
      <x:c r="N916" s="56"/>
      <x:c r="O916"/>
      <x:c r="P916"/>
      <x:c r="Q916" s="56"/>
      <x:c r="R916"/>
      <x:c r="S916"/>
      <x:c r="T916" s="56"/>
      <x:c r="U916"/>
      <x:c r="V916"/>
      <x:c r="W916" s="36"/>
      <x:c r="X916" s="56"/>
      <x:c r="Y916"/>
      <x:c r="Z916"/>
      <x:c r="AA916"/>
      <x:c r="AB916"/>
    </x:row>
    <x:row r="917">
      <x:c r="A917"/>
      <x:c r="B917"/>
      <x:c r="C917"/>
      <x:c r="D917"/>
      <x:c r="E917"/>
      <x:c r="F917"/>
      <x:c r="G917"/>
      <x:c r="H917"/>
      <x:c r="I917"/>
      <x:c r="J917"/>
      <x:c r="K917" s="56"/>
      <x:c r="L917"/>
      <x:c r="M917"/>
      <x:c r="N917" s="56"/>
      <x:c r="O917"/>
      <x:c r="P917"/>
      <x:c r="Q917" s="56"/>
      <x:c r="R917"/>
      <x:c r="S917"/>
      <x:c r="T917" s="56"/>
      <x:c r="U917"/>
      <x:c r="V917"/>
      <x:c r="W917" s="36"/>
      <x:c r="X917" s="56"/>
      <x:c r="Y917"/>
      <x:c r="Z917"/>
      <x:c r="AA917"/>
      <x:c r="AB917"/>
    </x:row>
    <x:row r="918">
      <x:c r="A918"/>
      <x:c r="B918"/>
      <x:c r="C918"/>
      <x:c r="D918"/>
      <x:c r="E918"/>
      <x:c r="F918"/>
      <x:c r="G918"/>
      <x:c r="H918"/>
      <x:c r="I918"/>
      <x:c r="J918"/>
      <x:c r="K918" s="56"/>
      <x:c r="L918"/>
      <x:c r="M918"/>
      <x:c r="N918" s="56"/>
      <x:c r="O918"/>
      <x:c r="P918"/>
      <x:c r="Q918" s="56"/>
      <x:c r="R918"/>
      <x:c r="S918"/>
      <x:c r="T918" s="56"/>
      <x:c r="U918"/>
      <x:c r="V918"/>
      <x:c r="W918" s="36"/>
      <x:c r="X918" s="56"/>
      <x:c r="Y918"/>
      <x:c r="Z918"/>
      <x:c r="AA918"/>
      <x:c r="AB918"/>
    </x:row>
    <x:row r="919">
      <x:c r="A919"/>
      <x:c r="B919"/>
      <x:c r="C919"/>
      <x:c r="D919"/>
      <x:c r="E919"/>
      <x:c r="F919"/>
      <x:c r="G919"/>
      <x:c r="H919"/>
      <x:c r="I919"/>
      <x:c r="J919"/>
      <x:c r="K919" s="56"/>
      <x:c r="L919"/>
      <x:c r="M919"/>
      <x:c r="N919" s="56"/>
      <x:c r="O919"/>
      <x:c r="P919"/>
      <x:c r="Q919" s="56"/>
      <x:c r="R919"/>
      <x:c r="S919"/>
      <x:c r="T919" s="56"/>
      <x:c r="U919"/>
      <x:c r="V919"/>
      <x:c r="W919" s="36"/>
      <x:c r="X919" s="56"/>
      <x:c r="Y919"/>
      <x:c r="Z919"/>
      <x:c r="AA919"/>
      <x:c r="AB919"/>
    </x:row>
    <x:row r="920">
      <x:c r="A920"/>
      <x:c r="B920"/>
      <x:c r="C920"/>
      <x:c r="D920"/>
      <x:c r="E920"/>
      <x:c r="F920"/>
      <x:c r="G920"/>
      <x:c r="H920"/>
      <x:c r="I920"/>
      <x:c r="J920"/>
      <x:c r="K920" s="56"/>
      <x:c r="L920"/>
      <x:c r="M920"/>
      <x:c r="N920" s="56"/>
      <x:c r="O920"/>
      <x:c r="P920"/>
      <x:c r="Q920" s="56"/>
      <x:c r="R920"/>
      <x:c r="S920"/>
      <x:c r="T920" s="56"/>
      <x:c r="U920"/>
      <x:c r="V920"/>
      <x:c r="W920" s="36"/>
      <x:c r="X920" s="56"/>
      <x:c r="Y920"/>
      <x:c r="Z920"/>
      <x:c r="AA920"/>
      <x:c r="AB920"/>
    </x:row>
    <x:row r="921">
      <x:c r="A921"/>
      <x:c r="B921"/>
      <x:c r="C921"/>
      <x:c r="D921"/>
      <x:c r="E921"/>
      <x:c r="F921"/>
      <x:c r="G921"/>
      <x:c r="H921"/>
      <x:c r="I921"/>
      <x:c r="J921"/>
      <x:c r="K921" s="56"/>
      <x:c r="L921"/>
      <x:c r="M921"/>
      <x:c r="N921" s="56"/>
      <x:c r="O921"/>
      <x:c r="P921"/>
      <x:c r="Q921" s="56"/>
      <x:c r="R921"/>
      <x:c r="S921"/>
      <x:c r="T921" s="56"/>
      <x:c r="U921"/>
      <x:c r="V921"/>
      <x:c r="W921" s="36"/>
      <x:c r="X921" s="56"/>
      <x:c r="Y921"/>
      <x:c r="Z921"/>
      <x:c r="AA921"/>
      <x:c r="AB921"/>
    </x:row>
    <x:row r="922">
      <x:c r="A922"/>
      <x:c r="B922"/>
      <x:c r="C922"/>
      <x:c r="D922"/>
      <x:c r="E922"/>
      <x:c r="F922"/>
      <x:c r="G922"/>
      <x:c r="H922"/>
      <x:c r="I922"/>
      <x:c r="J922"/>
      <x:c r="K922" s="56"/>
      <x:c r="L922"/>
      <x:c r="M922"/>
      <x:c r="N922" s="56"/>
      <x:c r="O922"/>
      <x:c r="P922"/>
      <x:c r="Q922" s="56"/>
      <x:c r="R922"/>
      <x:c r="S922"/>
      <x:c r="T922" s="56"/>
      <x:c r="U922"/>
      <x:c r="V922"/>
      <x:c r="W922" s="36"/>
      <x:c r="X922" s="56"/>
      <x:c r="Y922"/>
      <x:c r="Z922"/>
      <x:c r="AA922"/>
      <x:c r="AB922"/>
    </x:row>
    <x:row r="923">
      <x:c r="A923"/>
      <x:c r="B923"/>
      <x:c r="C923"/>
      <x:c r="D923"/>
      <x:c r="E923"/>
      <x:c r="F923"/>
      <x:c r="G923"/>
      <x:c r="H923"/>
      <x:c r="I923"/>
      <x:c r="J923"/>
      <x:c r="K923" s="56"/>
      <x:c r="L923"/>
      <x:c r="M923"/>
      <x:c r="N923" s="56"/>
      <x:c r="O923"/>
      <x:c r="P923"/>
      <x:c r="Q923" s="56"/>
      <x:c r="R923"/>
      <x:c r="S923"/>
      <x:c r="T923" s="56"/>
      <x:c r="U923"/>
      <x:c r="V923"/>
      <x:c r="W923" s="36"/>
      <x:c r="X923" s="56"/>
      <x:c r="Y923"/>
      <x:c r="Z923"/>
      <x:c r="AA923"/>
      <x:c r="AB923"/>
    </x:row>
    <x:row r="924">
      <x:c r="A924"/>
      <x:c r="B924"/>
      <x:c r="C924"/>
      <x:c r="D924"/>
      <x:c r="E924"/>
      <x:c r="F924"/>
      <x:c r="G924"/>
      <x:c r="H924"/>
      <x:c r="I924"/>
      <x:c r="J924"/>
      <x:c r="K924" s="56"/>
      <x:c r="L924"/>
      <x:c r="M924"/>
      <x:c r="N924" s="56"/>
      <x:c r="O924"/>
      <x:c r="P924"/>
      <x:c r="Q924" s="56"/>
      <x:c r="R924"/>
      <x:c r="S924"/>
      <x:c r="T924" s="56"/>
      <x:c r="U924"/>
      <x:c r="V924"/>
      <x:c r="W924" s="36"/>
      <x:c r="X924" s="56"/>
      <x:c r="Y924"/>
      <x:c r="Z924"/>
      <x:c r="AA924"/>
      <x:c r="AB924"/>
    </x:row>
    <x:row r="925">
      <x:c r="A925"/>
      <x:c r="B925"/>
      <x:c r="C925"/>
      <x:c r="D925"/>
      <x:c r="E925"/>
      <x:c r="F925"/>
      <x:c r="G925"/>
      <x:c r="H925"/>
      <x:c r="I925"/>
      <x:c r="J925"/>
      <x:c r="K925" s="56"/>
      <x:c r="L925"/>
      <x:c r="M925"/>
      <x:c r="N925" s="56"/>
      <x:c r="O925"/>
      <x:c r="P925"/>
      <x:c r="Q925" s="56"/>
      <x:c r="R925"/>
      <x:c r="S925"/>
      <x:c r="T925" s="56"/>
      <x:c r="U925"/>
      <x:c r="V925"/>
      <x:c r="W925" s="36"/>
      <x:c r="X925" s="56"/>
      <x:c r="Y925"/>
      <x:c r="Z925"/>
      <x:c r="AA925"/>
      <x:c r="AB925"/>
    </x:row>
    <x:row r="926">
      <x:c r="A926"/>
      <x:c r="B926"/>
      <x:c r="C926"/>
      <x:c r="D926"/>
      <x:c r="E926"/>
      <x:c r="F926"/>
      <x:c r="G926"/>
      <x:c r="H926"/>
      <x:c r="I926"/>
      <x:c r="J926"/>
      <x:c r="K926" s="56"/>
      <x:c r="L926"/>
      <x:c r="M926"/>
      <x:c r="N926" s="56"/>
      <x:c r="O926"/>
      <x:c r="P926"/>
      <x:c r="Q926" s="56"/>
      <x:c r="R926"/>
      <x:c r="S926"/>
      <x:c r="T926" s="56"/>
      <x:c r="U926"/>
      <x:c r="V926"/>
      <x:c r="W926" s="36"/>
      <x:c r="X926" s="56"/>
      <x:c r="Y926"/>
      <x:c r="Z926"/>
      <x:c r="AA926"/>
      <x:c r="AB926"/>
    </x:row>
    <x:row r="927">
      <x:c r="A927"/>
      <x:c r="B927"/>
      <x:c r="C927"/>
      <x:c r="D927"/>
      <x:c r="E927"/>
      <x:c r="F927"/>
      <x:c r="G927"/>
      <x:c r="H927"/>
      <x:c r="I927"/>
      <x:c r="J927"/>
      <x:c r="K927" s="56"/>
      <x:c r="L927"/>
      <x:c r="M927"/>
      <x:c r="N927" s="56"/>
      <x:c r="O927"/>
      <x:c r="P927"/>
      <x:c r="Q927" s="56"/>
      <x:c r="R927"/>
      <x:c r="S927"/>
      <x:c r="T927" s="56"/>
      <x:c r="U927"/>
      <x:c r="V927"/>
      <x:c r="W927" s="36"/>
      <x:c r="X927" s="56"/>
      <x:c r="Y927"/>
      <x:c r="Z927"/>
      <x:c r="AA927"/>
      <x:c r="AB927"/>
    </x:row>
    <x:row r="928">
      <x:c r="A928"/>
      <x:c r="B928"/>
      <x:c r="C928"/>
      <x:c r="D928"/>
      <x:c r="E928"/>
      <x:c r="F928"/>
      <x:c r="G928"/>
      <x:c r="H928"/>
      <x:c r="I928"/>
      <x:c r="J928"/>
      <x:c r="K928" s="56"/>
      <x:c r="L928"/>
      <x:c r="M928"/>
      <x:c r="N928" s="56"/>
      <x:c r="O928"/>
      <x:c r="P928"/>
      <x:c r="Q928" s="56"/>
      <x:c r="R928"/>
      <x:c r="S928"/>
      <x:c r="T928" s="56"/>
      <x:c r="U928"/>
      <x:c r="V928"/>
      <x:c r="W928" s="36"/>
      <x:c r="X928" s="56"/>
      <x:c r="Y928"/>
      <x:c r="Z928"/>
      <x:c r="AA928"/>
      <x:c r="AB928"/>
    </x:row>
    <x:row r="929">
      <x:c r="A929"/>
      <x:c r="B929"/>
      <x:c r="C929"/>
      <x:c r="D929"/>
      <x:c r="E929"/>
      <x:c r="F929"/>
      <x:c r="G929"/>
      <x:c r="H929"/>
      <x:c r="I929"/>
      <x:c r="J929"/>
      <x:c r="K929" s="56"/>
      <x:c r="L929"/>
      <x:c r="M929"/>
      <x:c r="N929" s="56"/>
      <x:c r="O929"/>
      <x:c r="P929"/>
      <x:c r="Q929" s="56"/>
      <x:c r="R929"/>
      <x:c r="S929"/>
      <x:c r="T929" s="56"/>
      <x:c r="U929"/>
      <x:c r="V929"/>
      <x:c r="W929" s="36"/>
      <x:c r="X929" s="56"/>
      <x:c r="Y929"/>
      <x:c r="Z929"/>
      <x:c r="AA929"/>
      <x:c r="AB929"/>
    </x:row>
    <x:row r="930">
      <x:c r="A930"/>
      <x:c r="B930"/>
      <x:c r="C930"/>
      <x:c r="D930"/>
      <x:c r="E930"/>
      <x:c r="F930"/>
      <x:c r="G930"/>
      <x:c r="H930"/>
      <x:c r="I930"/>
      <x:c r="J930"/>
      <x:c r="K930" s="56"/>
      <x:c r="L930"/>
      <x:c r="M930"/>
      <x:c r="N930" s="56"/>
      <x:c r="O930"/>
      <x:c r="P930"/>
      <x:c r="Q930" s="56"/>
      <x:c r="R930"/>
      <x:c r="S930"/>
      <x:c r="T930" s="56"/>
      <x:c r="U930"/>
      <x:c r="V930"/>
      <x:c r="W930" s="36"/>
      <x:c r="X930" s="56"/>
      <x:c r="Y930"/>
      <x:c r="Z930"/>
      <x:c r="AA930"/>
      <x:c r="AB930"/>
    </x:row>
    <x:row r="931">
      <x:c r="A931"/>
      <x:c r="B931"/>
      <x:c r="C931"/>
      <x:c r="D931"/>
      <x:c r="E931"/>
      <x:c r="F931"/>
      <x:c r="G931"/>
      <x:c r="H931"/>
      <x:c r="I931"/>
      <x:c r="J931"/>
      <x:c r="K931" s="56"/>
      <x:c r="L931"/>
      <x:c r="M931"/>
      <x:c r="N931" s="56"/>
      <x:c r="O931"/>
      <x:c r="P931"/>
      <x:c r="Q931" s="56"/>
      <x:c r="R931"/>
      <x:c r="S931"/>
      <x:c r="T931" s="56"/>
      <x:c r="U931"/>
      <x:c r="V931"/>
      <x:c r="W931" s="36"/>
      <x:c r="X931" s="56"/>
      <x:c r="Y931"/>
      <x:c r="Z931"/>
      <x:c r="AA931"/>
      <x:c r="AB931"/>
    </x:row>
    <x:row r="932">
      <x:c r="A932"/>
      <x:c r="B932"/>
      <x:c r="C932"/>
      <x:c r="D932"/>
      <x:c r="E932"/>
      <x:c r="F932"/>
      <x:c r="G932"/>
      <x:c r="H932"/>
      <x:c r="I932"/>
      <x:c r="J932"/>
      <x:c r="K932" s="56"/>
      <x:c r="L932"/>
      <x:c r="M932"/>
      <x:c r="N932" s="56"/>
      <x:c r="O932"/>
      <x:c r="P932"/>
      <x:c r="Q932" s="56"/>
      <x:c r="R932"/>
      <x:c r="S932"/>
      <x:c r="T932" s="56"/>
      <x:c r="U932"/>
      <x:c r="V932"/>
      <x:c r="W932" s="36"/>
      <x:c r="X932" s="56"/>
      <x:c r="Y932"/>
      <x:c r="Z932"/>
      <x:c r="AA932"/>
      <x:c r="AB932"/>
    </x:row>
    <x:row r="933">
      <x:c r="A933"/>
      <x:c r="B933"/>
      <x:c r="C933"/>
      <x:c r="D933"/>
      <x:c r="E933"/>
      <x:c r="F933"/>
      <x:c r="G933"/>
      <x:c r="H933"/>
      <x:c r="I933"/>
      <x:c r="J933"/>
      <x:c r="K933" s="56"/>
      <x:c r="L933"/>
      <x:c r="M933"/>
      <x:c r="N933" s="56"/>
      <x:c r="O933"/>
      <x:c r="P933"/>
      <x:c r="Q933" s="56"/>
      <x:c r="R933"/>
      <x:c r="S933"/>
      <x:c r="T933" s="56"/>
      <x:c r="U933"/>
      <x:c r="V933"/>
      <x:c r="W933" s="36"/>
      <x:c r="X933" s="56"/>
      <x:c r="Y933"/>
      <x:c r="Z933"/>
      <x:c r="AA933"/>
      <x:c r="AB933"/>
    </x:row>
    <x:row r="934">
      <x:c r="A934"/>
      <x:c r="B934"/>
      <x:c r="C934"/>
      <x:c r="D934"/>
      <x:c r="E934"/>
      <x:c r="F934"/>
      <x:c r="G934"/>
      <x:c r="H934"/>
      <x:c r="I934"/>
      <x:c r="J934"/>
      <x:c r="K934" s="56"/>
      <x:c r="L934"/>
      <x:c r="M934"/>
      <x:c r="N934" s="56"/>
      <x:c r="O934"/>
      <x:c r="P934"/>
      <x:c r="Q934" s="56"/>
      <x:c r="R934"/>
      <x:c r="S934"/>
      <x:c r="T934" s="56"/>
      <x:c r="U934"/>
      <x:c r="V934"/>
      <x:c r="W934" s="36"/>
      <x:c r="X934" s="56"/>
      <x:c r="Y934"/>
      <x:c r="Z934"/>
      <x:c r="AA934"/>
      <x:c r="AB934"/>
    </x:row>
    <x:row r="935">
      <x:c r="A935"/>
      <x:c r="B935"/>
      <x:c r="C935"/>
      <x:c r="D935"/>
      <x:c r="E935"/>
      <x:c r="F935"/>
      <x:c r="G935"/>
      <x:c r="H935"/>
      <x:c r="I935"/>
      <x:c r="J935"/>
      <x:c r="K935" s="56"/>
      <x:c r="L935"/>
      <x:c r="M935"/>
      <x:c r="N935" s="56"/>
      <x:c r="O935"/>
      <x:c r="P935"/>
      <x:c r="Q935" s="56"/>
      <x:c r="R935"/>
      <x:c r="S935"/>
      <x:c r="T935" s="56"/>
      <x:c r="U935"/>
      <x:c r="V935"/>
      <x:c r="W935" s="36"/>
      <x:c r="X935" s="56"/>
      <x:c r="Y935"/>
      <x:c r="Z935"/>
      <x:c r="AA935"/>
      <x:c r="AB935"/>
    </x:row>
    <x:row r="936">
      <x:c r="A936"/>
      <x:c r="B936"/>
      <x:c r="C936"/>
      <x:c r="D936"/>
      <x:c r="E936"/>
      <x:c r="F936"/>
      <x:c r="G936"/>
      <x:c r="H936"/>
      <x:c r="I936"/>
      <x:c r="J936"/>
      <x:c r="K936" s="56"/>
      <x:c r="L936"/>
      <x:c r="M936"/>
      <x:c r="N936" s="56"/>
      <x:c r="O936"/>
      <x:c r="P936"/>
      <x:c r="Q936" s="56"/>
      <x:c r="R936"/>
      <x:c r="S936"/>
      <x:c r="T936" s="56"/>
      <x:c r="U936"/>
      <x:c r="V936"/>
      <x:c r="W936" s="36"/>
      <x:c r="X936" s="56"/>
      <x:c r="Y936"/>
      <x:c r="Z936"/>
      <x:c r="AA936"/>
      <x:c r="AB936"/>
    </x:row>
    <x:row r="937">
      <x:c r="A937"/>
      <x:c r="B937"/>
      <x:c r="C937"/>
      <x:c r="D937"/>
      <x:c r="E937"/>
      <x:c r="F937"/>
      <x:c r="G937"/>
      <x:c r="H937"/>
      <x:c r="I937"/>
      <x:c r="J937"/>
      <x:c r="K937" s="56"/>
      <x:c r="L937"/>
      <x:c r="M937"/>
      <x:c r="N937" s="56"/>
      <x:c r="O937"/>
      <x:c r="P937"/>
      <x:c r="Q937" s="56"/>
      <x:c r="R937"/>
      <x:c r="S937"/>
      <x:c r="T937" s="56"/>
      <x:c r="U937"/>
      <x:c r="V937"/>
      <x:c r="W937" s="36"/>
      <x:c r="X937" s="56"/>
      <x:c r="Y937"/>
      <x:c r="Z937"/>
      <x:c r="AA937"/>
      <x:c r="AB937"/>
    </x:row>
    <x:row r="938">
      <x:c r="A938"/>
      <x:c r="B938"/>
      <x:c r="C938"/>
      <x:c r="D938"/>
      <x:c r="E938"/>
      <x:c r="F938"/>
      <x:c r="G938"/>
      <x:c r="H938"/>
      <x:c r="I938"/>
      <x:c r="J938"/>
      <x:c r="K938" s="56"/>
      <x:c r="L938"/>
      <x:c r="M938"/>
      <x:c r="N938" s="56"/>
      <x:c r="O938"/>
      <x:c r="P938"/>
      <x:c r="Q938" s="56"/>
      <x:c r="R938"/>
      <x:c r="S938"/>
      <x:c r="T938" s="56"/>
      <x:c r="U938"/>
      <x:c r="V938"/>
      <x:c r="W938" s="36"/>
      <x:c r="X938" s="56"/>
      <x:c r="Y938"/>
      <x:c r="Z938"/>
      <x:c r="AA938"/>
      <x:c r="AB938"/>
    </x:row>
    <x:row r="939">
      <x:c r="A939"/>
      <x:c r="B939"/>
      <x:c r="C939"/>
      <x:c r="D939"/>
      <x:c r="E939"/>
      <x:c r="F939"/>
      <x:c r="G939"/>
      <x:c r="H939"/>
      <x:c r="I939"/>
      <x:c r="J939"/>
      <x:c r="K939" s="56"/>
      <x:c r="L939"/>
      <x:c r="M939"/>
      <x:c r="N939" s="56"/>
      <x:c r="O939"/>
      <x:c r="P939"/>
      <x:c r="Q939" s="56"/>
      <x:c r="R939"/>
      <x:c r="S939"/>
      <x:c r="T939" s="56"/>
      <x:c r="U939"/>
      <x:c r="V939"/>
      <x:c r="W939" s="36"/>
      <x:c r="X939" s="56"/>
      <x:c r="Y939"/>
      <x:c r="Z939"/>
      <x:c r="AA939"/>
      <x:c r="AB939"/>
    </x:row>
    <x:row r="940">
      <x:c r="A940"/>
      <x:c r="B940"/>
      <x:c r="C940"/>
      <x:c r="D940"/>
      <x:c r="E940"/>
      <x:c r="F940"/>
      <x:c r="G940"/>
      <x:c r="H940"/>
      <x:c r="I940"/>
      <x:c r="J940"/>
      <x:c r="K940" s="56"/>
      <x:c r="L940"/>
      <x:c r="M940"/>
      <x:c r="N940" s="56"/>
      <x:c r="O940"/>
      <x:c r="P940"/>
      <x:c r="Q940" s="56"/>
      <x:c r="R940"/>
      <x:c r="S940"/>
      <x:c r="T940" s="56"/>
      <x:c r="U940"/>
      <x:c r="V940"/>
      <x:c r="W940" s="36"/>
      <x:c r="X940" s="56"/>
      <x:c r="Y940"/>
      <x:c r="Z940"/>
      <x:c r="AA940"/>
      <x:c r="AB940"/>
    </x:row>
    <x:row r="941">
      <x:c r="A941"/>
      <x:c r="B941"/>
      <x:c r="C941"/>
      <x:c r="D941"/>
      <x:c r="E941"/>
      <x:c r="F941"/>
      <x:c r="G941"/>
      <x:c r="H941"/>
      <x:c r="I941"/>
      <x:c r="J941"/>
      <x:c r="K941" s="56"/>
      <x:c r="L941"/>
      <x:c r="M941"/>
      <x:c r="N941" s="56"/>
      <x:c r="O941"/>
      <x:c r="P941"/>
      <x:c r="Q941" s="56"/>
      <x:c r="R941"/>
      <x:c r="S941"/>
      <x:c r="T941" s="56"/>
      <x:c r="U941"/>
      <x:c r="V941"/>
      <x:c r="W941" s="36"/>
      <x:c r="X941" s="56"/>
      <x:c r="Y941"/>
      <x:c r="Z941"/>
      <x:c r="AA941"/>
      <x:c r="AB941"/>
    </x:row>
    <x:row r="942">
      <x:c r="A942"/>
      <x:c r="B942"/>
      <x:c r="C942"/>
      <x:c r="D942"/>
      <x:c r="E942"/>
      <x:c r="F942"/>
      <x:c r="G942"/>
      <x:c r="H942"/>
      <x:c r="I942"/>
      <x:c r="J942"/>
      <x:c r="K942" s="56"/>
      <x:c r="L942"/>
      <x:c r="M942"/>
      <x:c r="N942" s="56"/>
      <x:c r="O942"/>
      <x:c r="P942"/>
      <x:c r="Q942" s="56"/>
      <x:c r="R942"/>
      <x:c r="S942"/>
      <x:c r="T942" s="56"/>
      <x:c r="U942"/>
      <x:c r="V942"/>
      <x:c r="W942" s="36"/>
      <x:c r="X942" s="56"/>
      <x:c r="Y942"/>
      <x:c r="Z942"/>
      <x:c r="AA942"/>
      <x:c r="AB942"/>
    </x:row>
    <x:row r="943">
      <x:c r="A943"/>
      <x:c r="B943"/>
      <x:c r="C943"/>
      <x:c r="D943"/>
      <x:c r="E943"/>
      <x:c r="F943"/>
      <x:c r="G943"/>
      <x:c r="H943"/>
      <x:c r="I943"/>
      <x:c r="J943"/>
      <x:c r="K943" s="56"/>
      <x:c r="L943"/>
      <x:c r="M943"/>
      <x:c r="N943" s="56"/>
      <x:c r="O943"/>
      <x:c r="P943"/>
      <x:c r="Q943" s="56"/>
      <x:c r="R943"/>
      <x:c r="S943"/>
      <x:c r="T943" s="56"/>
      <x:c r="U943"/>
      <x:c r="V943"/>
      <x:c r="W943" s="36"/>
      <x:c r="X943" s="56"/>
      <x:c r="Y943"/>
      <x:c r="Z943"/>
      <x:c r="AA943"/>
      <x:c r="AB943"/>
    </x:row>
    <x:row r="944">
      <x:c r="A944"/>
      <x:c r="B944"/>
      <x:c r="C944"/>
      <x:c r="D944"/>
      <x:c r="E944"/>
      <x:c r="F944"/>
      <x:c r="G944"/>
      <x:c r="H944"/>
      <x:c r="I944"/>
      <x:c r="J944"/>
      <x:c r="K944" s="56"/>
      <x:c r="L944"/>
      <x:c r="M944"/>
      <x:c r="N944" s="56"/>
      <x:c r="O944"/>
      <x:c r="P944"/>
      <x:c r="Q944" s="56"/>
      <x:c r="R944"/>
      <x:c r="S944"/>
      <x:c r="T944" s="56"/>
      <x:c r="U944"/>
      <x:c r="V944"/>
      <x:c r="W944" s="36"/>
      <x:c r="X944" s="56"/>
      <x:c r="Y944"/>
      <x:c r="Z944"/>
      <x:c r="AA944"/>
      <x:c r="AB944"/>
    </x:row>
    <x:row r="945">
      <x:c r="A945"/>
      <x:c r="B945"/>
      <x:c r="C945"/>
      <x:c r="D945"/>
      <x:c r="E945"/>
      <x:c r="F945"/>
      <x:c r="G945"/>
      <x:c r="H945"/>
      <x:c r="I945"/>
      <x:c r="J945"/>
      <x:c r="K945" s="56"/>
      <x:c r="L945"/>
      <x:c r="M945"/>
      <x:c r="N945" s="56"/>
      <x:c r="O945"/>
      <x:c r="P945"/>
      <x:c r="Q945" s="56"/>
      <x:c r="R945"/>
      <x:c r="S945"/>
      <x:c r="T945" s="56"/>
      <x:c r="U945"/>
      <x:c r="V945"/>
      <x:c r="W945" s="36"/>
      <x:c r="X945" s="56"/>
      <x:c r="Y945"/>
      <x:c r="Z945"/>
      <x:c r="AA945"/>
      <x:c r="AB945"/>
    </x:row>
    <x:row r="946">
      <x:c r="A946"/>
      <x:c r="B946"/>
      <x:c r="C946"/>
      <x:c r="D946"/>
      <x:c r="E946"/>
      <x:c r="F946"/>
      <x:c r="G946"/>
      <x:c r="H946"/>
      <x:c r="I946"/>
      <x:c r="J946"/>
      <x:c r="K946" s="56"/>
      <x:c r="L946"/>
      <x:c r="M946"/>
      <x:c r="N946" s="56"/>
      <x:c r="O946"/>
      <x:c r="P946"/>
      <x:c r="Q946" s="56"/>
      <x:c r="R946"/>
      <x:c r="S946"/>
      <x:c r="T946" s="56"/>
      <x:c r="U946"/>
      <x:c r="V946"/>
      <x:c r="W946" s="36"/>
      <x:c r="X946" s="56"/>
      <x:c r="Y946"/>
      <x:c r="Z946"/>
      <x:c r="AA946"/>
      <x:c r="AB946"/>
    </x:row>
    <x:row r="947">
      <x:c r="A947"/>
      <x:c r="B947"/>
      <x:c r="C947"/>
      <x:c r="D947"/>
      <x:c r="E947"/>
      <x:c r="F947"/>
      <x:c r="G947"/>
      <x:c r="H947"/>
      <x:c r="I947"/>
      <x:c r="J947"/>
      <x:c r="K947" s="56"/>
      <x:c r="L947"/>
      <x:c r="M947"/>
      <x:c r="N947" s="56"/>
      <x:c r="O947"/>
      <x:c r="P947"/>
      <x:c r="Q947" s="56"/>
      <x:c r="R947"/>
      <x:c r="S947"/>
      <x:c r="T947" s="56"/>
      <x:c r="U947"/>
      <x:c r="V947"/>
      <x:c r="W947" s="36"/>
      <x:c r="X947" s="56"/>
      <x:c r="Y947"/>
      <x:c r="Z947"/>
      <x:c r="AA947"/>
      <x:c r="AB947"/>
    </x:row>
    <x:row r="948">
      <x:c r="A948"/>
      <x:c r="B948"/>
      <x:c r="C948"/>
      <x:c r="D948"/>
      <x:c r="E948"/>
      <x:c r="F948"/>
      <x:c r="G948"/>
      <x:c r="H948"/>
      <x:c r="I948"/>
      <x:c r="J948"/>
      <x:c r="K948" s="56"/>
      <x:c r="L948"/>
      <x:c r="M948"/>
      <x:c r="N948" s="56"/>
      <x:c r="O948"/>
      <x:c r="P948"/>
      <x:c r="Q948" s="56"/>
      <x:c r="R948"/>
      <x:c r="S948"/>
      <x:c r="T948" s="56"/>
      <x:c r="U948"/>
      <x:c r="V948"/>
      <x:c r="W948" s="36"/>
      <x:c r="X948" s="56"/>
      <x:c r="Y948"/>
      <x:c r="Z948"/>
      <x:c r="AA948"/>
      <x:c r="AB948"/>
    </x:row>
    <x:row r="949">
      <x:c r="A949"/>
      <x:c r="B949"/>
      <x:c r="C949"/>
      <x:c r="D949"/>
      <x:c r="E949"/>
      <x:c r="F949"/>
      <x:c r="G949"/>
      <x:c r="H949"/>
      <x:c r="I949"/>
      <x:c r="J949"/>
      <x:c r="K949" s="56"/>
      <x:c r="L949"/>
      <x:c r="M949"/>
      <x:c r="N949" s="56"/>
      <x:c r="O949"/>
      <x:c r="P949"/>
      <x:c r="Q949" s="56"/>
      <x:c r="R949"/>
      <x:c r="S949"/>
      <x:c r="T949" s="56"/>
      <x:c r="U949"/>
      <x:c r="V949"/>
      <x:c r="W949" s="36"/>
      <x:c r="X949" s="56"/>
      <x:c r="Y949"/>
      <x:c r="Z949"/>
      <x:c r="AA949"/>
      <x:c r="AB949"/>
    </x:row>
    <x:row r="950">
      <x:c r="A950"/>
      <x:c r="B950"/>
      <x:c r="C950"/>
      <x:c r="D950"/>
      <x:c r="E950"/>
      <x:c r="F950"/>
      <x:c r="G950"/>
      <x:c r="H950"/>
      <x:c r="I950"/>
      <x:c r="J950"/>
      <x:c r="K950" s="56"/>
      <x:c r="L950"/>
      <x:c r="M950"/>
      <x:c r="N950" s="56"/>
      <x:c r="O950"/>
      <x:c r="P950"/>
      <x:c r="Q950" s="56"/>
      <x:c r="R950"/>
      <x:c r="S950"/>
      <x:c r="T950" s="56"/>
      <x:c r="U950"/>
      <x:c r="V950"/>
      <x:c r="W950" s="36"/>
      <x:c r="X950" s="56"/>
      <x:c r="Y950"/>
      <x:c r="Z950"/>
      <x:c r="AA950"/>
      <x:c r="AB950"/>
    </x:row>
    <x:row r="951">
      <x:c r="A951"/>
      <x:c r="B951"/>
      <x:c r="C951"/>
      <x:c r="D951"/>
      <x:c r="E951"/>
      <x:c r="F951"/>
      <x:c r="G951"/>
      <x:c r="H951"/>
      <x:c r="I951"/>
      <x:c r="J951"/>
      <x:c r="K951" s="56"/>
      <x:c r="L951"/>
      <x:c r="M951"/>
      <x:c r="N951" s="56"/>
      <x:c r="O951"/>
      <x:c r="P951"/>
      <x:c r="Q951" s="56"/>
      <x:c r="R951"/>
      <x:c r="S951"/>
      <x:c r="T951" s="56"/>
      <x:c r="U951"/>
      <x:c r="V951"/>
      <x:c r="W951" s="36"/>
      <x:c r="X951" s="56"/>
      <x:c r="Y951"/>
      <x:c r="Z951"/>
      <x:c r="AA951"/>
      <x:c r="AB951"/>
    </x:row>
    <x:row r="952">
      <x:c r="A952"/>
      <x:c r="B952"/>
      <x:c r="C952"/>
      <x:c r="D952"/>
      <x:c r="E952"/>
      <x:c r="F952"/>
      <x:c r="G952"/>
      <x:c r="H952"/>
      <x:c r="I952"/>
      <x:c r="J952"/>
      <x:c r="K952" s="56"/>
      <x:c r="L952"/>
      <x:c r="M952"/>
      <x:c r="N952" s="56"/>
      <x:c r="O952"/>
      <x:c r="P952"/>
      <x:c r="Q952" s="56"/>
      <x:c r="R952"/>
      <x:c r="S952"/>
      <x:c r="T952" s="56"/>
      <x:c r="U952"/>
      <x:c r="V952"/>
      <x:c r="W952" s="36"/>
      <x:c r="X952" s="56"/>
      <x:c r="Y952"/>
      <x:c r="Z952"/>
      <x:c r="AA952"/>
      <x:c r="AB952"/>
    </x:row>
    <x:row r="953">
      <x:c r="A953"/>
      <x:c r="B953"/>
      <x:c r="C953"/>
      <x:c r="D953"/>
      <x:c r="E953"/>
      <x:c r="F953"/>
      <x:c r="G953"/>
      <x:c r="H953"/>
      <x:c r="I953"/>
      <x:c r="J953"/>
      <x:c r="K953" s="56"/>
      <x:c r="L953"/>
      <x:c r="M953"/>
      <x:c r="N953" s="56"/>
      <x:c r="O953"/>
      <x:c r="P953"/>
      <x:c r="Q953" s="56"/>
      <x:c r="R953"/>
      <x:c r="S953"/>
      <x:c r="T953" s="56"/>
      <x:c r="U953"/>
      <x:c r="V953"/>
      <x:c r="W953" s="36"/>
      <x:c r="X953" s="56"/>
      <x:c r="Y953"/>
      <x:c r="Z953"/>
      <x:c r="AA953"/>
      <x:c r="AB953"/>
    </x:row>
    <x:row r="954">
      <x:c r="A954"/>
      <x:c r="B954"/>
      <x:c r="C954"/>
      <x:c r="D954"/>
      <x:c r="E954"/>
      <x:c r="F954"/>
      <x:c r="G954"/>
      <x:c r="H954"/>
      <x:c r="I954"/>
      <x:c r="J954"/>
      <x:c r="K954" s="56"/>
      <x:c r="L954"/>
      <x:c r="M954"/>
      <x:c r="N954" s="56"/>
      <x:c r="O954"/>
      <x:c r="P954"/>
      <x:c r="Q954" s="56"/>
      <x:c r="R954"/>
      <x:c r="S954"/>
      <x:c r="T954" s="56"/>
      <x:c r="U954"/>
      <x:c r="V954"/>
      <x:c r="W954" s="36"/>
      <x:c r="X954" s="56"/>
      <x:c r="Y954"/>
      <x:c r="Z954"/>
      <x:c r="AA954"/>
      <x:c r="AB954"/>
    </x:row>
    <x:row r="955">
      <x:c r="A955"/>
      <x:c r="B955"/>
      <x:c r="C955"/>
      <x:c r="D955"/>
      <x:c r="E955"/>
      <x:c r="F955"/>
      <x:c r="G955"/>
      <x:c r="H955"/>
      <x:c r="I955"/>
      <x:c r="J955"/>
      <x:c r="K955" s="56"/>
      <x:c r="L955"/>
      <x:c r="M955"/>
      <x:c r="N955" s="56"/>
      <x:c r="O955"/>
      <x:c r="P955"/>
      <x:c r="Q955" s="56"/>
      <x:c r="R955"/>
      <x:c r="S955"/>
      <x:c r="T955" s="56"/>
      <x:c r="U955"/>
      <x:c r="V955"/>
      <x:c r="W955" s="36"/>
      <x:c r="X955" s="56"/>
      <x:c r="Y955"/>
      <x:c r="Z955"/>
      <x:c r="AA955"/>
      <x:c r="AB955"/>
    </x:row>
    <x:row r="956">
      <x:c r="A956"/>
      <x:c r="B956"/>
      <x:c r="C956"/>
      <x:c r="D956"/>
      <x:c r="E956"/>
      <x:c r="F956"/>
      <x:c r="G956"/>
      <x:c r="H956"/>
      <x:c r="I956"/>
      <x:c r="J956"/>
      <x:c r="K956" s="56"/>
      <x:c r="L956"/>
      <x:c r="M956"/>
      <x:c r="N956" s="56"/>
      <x:c r="O956"/>
      <x:c r="P956"/>
      <x:c r="Q956" s="56"/>
      <x:c r="R956"/>
      <x:c r="S956"/>
      <x:c r="T956" s="56"/>
      <x:c r="U956"/>
      <x:c r="V956"/>
      <x:c r="W956" s="36"/>
      <x:c r="X956" s="56"/>
      <x:c r="Y956"/>
      <x:c r="Z956"/>
      <x:c r="AA956"/>
      <x:c r="AB956"/>
    </x:row>
    <x:row r="957">
      <x:c r="A957"/>
      <x:c r="B957"/>
      <x:c r="C957"/>
      <x:c r="D957"/>
      <x:c r="E957"/>
      <x:c r="F957"/>
      <x:c r="G957"/>
      <x:c r="H957"/>
      <x:c r="I957"/>
      <x:c r="J957"/>
      <x:c r="K957" s="56"/>
      <x:c r="L957"/>
      <x:c r="M957"/>
      <x:c r="N957" s="56"/>
      <x:c r="O957"/>
      <x:c r="P957"/>
      <x:c r="Q957" s="56"/>
      <x:c r="R957"/>
      <x:c r="S957"/>
      <x:c r="T957" s="56"/>
      <x:c r="U957"/>
      <x:c r="V957"/>
      <x:c r="W957" s="36"/>
      <x:c r="X957" s="56"/>
      <x:c r="Y957"/>
      <x:c r="Z957"/>
      <x:c r="AA957"/>
      <x:c r="AB957"/>
    </x:row>
    <x:row r="958">
      <x:c r="A958"/>
      <x:c r="B958"/>
      <x:c r="C958"/>
      <x:c r="D958"/>
      <x:c r="E958"/>
      <x:c r="F958"/>
      <x:c r="G958"/>
      <x:c r="H958"/>
      <x:c r="I958"/>
      <x:c r="J958"/>
      <x:c r="K958" s="56"/>
      <x:c r="L958"/>
      <x:c r="M958"/>
      <x:c r="N958" s="56"/>
      <x:c r="O958"/>
      <x:c r="P958"/>
      <x:c r="Q958" s="56"/>
      <x:c r="R958"/>
      <x:c r="S958"/>
      <x:c r="T958" s="56"/>
      <x:c r="U958"/>
      <x:c r="V958"/>
      <x:c r="W958" s="36"/>
      <x:c r="X958" s="56"/>
      <x:c r="Y958"/>
      <x:c r="Z958"/>
      <x:c r="AA958"/>
      <x:c r="AB958"/>
    </x:row>
    <x:row r="959">
      <x:c r="A959"/>
      <x:c r="B959"/>
      <x:c r="C959"/>
      <x:c r="D959"/>
      <x:c r="E959"/>
      <x:c r="F959"/>
      <x:c r="G959"/>
      <x:c r="H959"/>
      <x:c r="I959"/>
      <x:c r="J959"/>
      <x:c r="K959" s="56"/>
      <x:c r="L959"/>
      <x:c r="M959"/>
      <x:c r="N959" s="56"/>
      <x:c r="O959"/>
      <x:c r="P959"/>
      <x:c r="Q959" s="56"/>
      <x:c r="R959"/>
      <x:c r="S959"/>
      <x:c r="T959" s="56"/>
      <x:c r="U959"/>
      <x:c r="V959"/>
      <x:c r="W959" s="36"/>
      <x:c r="X959" s="56"/>
      <x:c r="Y959"/>
      <x:c r="Z959"/>
      <x:c r="AA959"/>
      <x:c r="AB959"/>
    </x:row>
    <x:row r="960">
      <x:c r="A960"/>
      <x:c r="B960"/>
      <x:c r="C960"/>
      <x:c r="D960"/>
      <x:c r="E960"/>
      <x:c r="F960"/>
      <x:c r="G960"/>
      <x:c r="H960"/>
      <x:c r="I960"/>
      <x:c r="J960"/>
      <x:c r="K960" s="56"/>
      <x:c r="L960"/>
      <x:c r="M960"/>
      <x:c r="N960" s="56"/>
      <x:c r="O960"/>
      <x:c r="P960"/>
      <x:c r="Q960" s="56"/>
      <x:c r="R960"/>
      <x:c r="S960"/>
      <x:c r="T960" s="56"/>
      <x:c r="U960"/>
      <x:c r="V960"/>
      <x:c r="W960" s="36"/>
      <x:c r="X960" s="56"/>
      <x:c r="Y960"/>
      <x:c r="Z960"/>
      <x:c r="AA960"/>
      <x:c r="AB960"/>
    </x:row>
    <x:row r="961">
      <x:c r="A961"/>
      <x:c r="B961"/>
      <x:c r="C961"/>
      <x:c r="D961"/>
      <x:c r="E961"/>
      <x:c r="F961"/>
      <x:c r="G961"/>
      <x:c r="H961"/>
      <x:c r="I961"/>
      <x:c r="J961"/>
      <x:c r="K961" s="56"/>
      <x:c r="L961"/>
      <x:c r="M961"/>
      <x:c r="N961" s="56"/>
      <x:c r="O961"/>
      <x:c r="P961"/>
      <x:c r="Q961" s="56"/>
      <x:c r="R961"/>
      <x:c r="S961"/>
      <x:c r="T961" s="56"/>
      <x:c r="U961"/>
      <x:c r="V961"/>
      <x:c r="W961" s="36"/>
      <x:c r="X961" s="56"/>
      <x:c r="Y961"/>
      <x:c r="Z961"/>
      <x:c r="AA961"/>
      <x:c r="AB961"/>
    </x:row>
    <x:row r="962">
      <x:c r="A962"/>
      <x:c r="B962"/>
      <x:c r="C962"/>
      <x:c r="D962"/>
      <x:c r="E962"/>
      <x:c r="F962"/>
      <x:c r="G962"/>
      <x:c r="H962"/>
      <x:c r="I962"/>
      <x:c r="J962"/>
      <x:c r="K962" s="56"/>
      <x:c r="L962"/>
      <x:c r="M962"/>
      <x:c r="N962" s="56"/>
      <x:c r="O962"/>
      <x:c r="P962"/>
      <x:c r="Q962" s="56"/>
      <x:c r="R962"/>
      <x:c r="S962"/>
      <x:c r="T962" s="56"/>
      <x:c r="U962"/>
      <x:c r="V962"/>
      <x:c r="W962" s="36"/>
      <x:c r="X962" s="56"/>
      <x:c r="Y962"/>
      <x:c r="Z962"/>
      <x:c r="AA962"/>
      <x:c r="AB962"/>
    </x:row>
    <x:row r="963">
      <x:c r="A963"/>
      <x:c r="B963"/>
      <x:c r="C963"/>
      <x:c r="D963"/>
      <x:c r="E963"/>
      <x:c r="F963"/>
      <x:c r="G963"/>
      <x:c r="H963"/>
      <x:c r="I963"/>
      <x:c r="J963"/>
      <x:c r="K963" s="56"/>
      <x:c r="L963"/>
      <x:c r="M963"/>
      <x:c r="N963" s="56"/>
      <x:c r="O963"/>
      <x:c r="P963"/>
      <x:c r="Q963" s="56"/>
      <x:c r="R963"/>
      <x:c r="S963"/>
      <x:c r="T963" s="56"/>
      <x:c r="U963"/>
      <x:c r="V963"/>
      <x:c r="W963" s="36"/>
      <x:c r="X963" s="56"/>
      <x:c r="Y963"/>
      <x:c r="Z963"/>
      <x:c r="AA963"/>
      <x:c r="AB963"/>
    </x:row>
    <x:row r="964">
      <x:c r="A964"/>
      <x:c r="B964"/>
      <x:c r="C964"/>
      <x:c r="D964"/>
      <x:c r="E964"/>
      <x:c r="F964"/>
      <x:c r="G964"/>
      <x:c r="H964"/>
      <x:c r="I964"/>
      <x:c r="J964"/>
      <x:c r="K964" s="56"/>
      <x:c r="L964"/>
      <x:c r="M964"/>
      <x:c r="N964" s="56"/>
      <x:c r="O964"/>
      <x:c r="P964"/>
      <x:c r="Q964" s="56"/>
      <x:c r="R964"/>
      <x:c r="S964"/>
      <x:c r="T964" s="56"/>
      <x:c r="U964"/>
      <x:c r="V964"/>
      <x:c r="W964" s="36"/>
      <x:c r="X964" s="56"/>
      <x:c r="Y964"/>
      <x:c r="Z964"/>
      <x:c r="AA964"/>
      <x:c r="AB964"/>
    </x:row>
    <x:row r="965">
      <x:c r="A965"/>
      <x:c r="B965"/>
      <x:c r="C965"/>
      <x:c r="D965"/>
      <x:c r="E965"/>
      <x:c r="F965"/>
      <x:c r="G965"/>
      <x:c r="H965"/>
      <x:c r="I965"/>
      <x:c r="J965"/>
      <x:c r="K965" s="56"/>
      <x:c r="L965"/>
      <x:c r="M965"/>
      <x:c r="N965" s="56"/>
      <x:c r="O965"/>
      <x:c r="P965"/>
      <x:c r="Q965" s="56"/>
      <x:c r="R965"/>
      <x:c r="S965"/>
      <x:c r="T965" s="56"/>
      <x:c r="U965"/>
      <x:c r="V965"/>
      <x:c r="W965" s="36"/>
      <x:c r="X965" s="56"/>
      <x:c r="Y965"/>
      <x:c r="Z965"/>
      <x:c r="AA965"/>
      <x:c r="AB965"/>
    </x:row>
    <x:row r="966">
      <x:c r="A966"/>
      <x:c r="B966"/>
      <x:c r="C966"/>
      <x:c r="D966"/>
      <x:c r="E966"/>
      <x:c r="F966"/>
      <x:c r="G966"/>
      <x:c r="H966"/>
      <x:c r="I966"/>
      <x:c r="J966"/>
      <x:c r="K966" s="56"/>
      <x:c r="L966"/>
      <x:c r="M966"/>
      <x:c r="N966" s="56"/>
      <x:c r="O966"/>
      <x:c r="P966"/>
      <x:c r="Q966" s="56"/>
      <x:c r="R966"/>
      <x:c r="S966"/>
      <x:c r="T966" s="56"/>
      <x:c r="U966"/>
      <x:c r="V966"/>
      <x:c r="W966" s="36"/>
      <x:c r="X966" s="56"/>
      <x:c r="Y966"/>
      <x:c r="Z966"/>
      <x:c r="AA966"/>
      <x:c r="AB966"/>
    </x:row>
    <x:row r="967">
      <x:c r="A967"/>
      <x:c r="B967"/>
      <x:c r="C967"/>
      <x:c r="D967"/>
      <x:c r="E967"/>
      <x:c r="F967"/>
      <x:c r="G967"/>
      <x:c r="H967"/>
      <x:c r="I967"/>
      <x:c r="J967"/>
      <x:c r="K967" s="56"/>
      <x:c r="L967"/>
      <x:c r="M967"/>
      <x:c r="N967" s="56"/>
      <x:c r="O967"/>
      <x:c r="P967"/>
      <x:c r="Q967" s="56"/>
      <x:c r="R967"/>
      <x:c r="S967"/>
      <x:c r="T967" s="56"/>
      <x:c r="U967"/>
      <x:c r="V967"/>
      <x:c r="W967" s="36"/>
      <x:c r="X967" s="56"/>
      <x:c r="Y967"/>
      <x:c r="Z967"/>
      <x:c r="AA967"/>
      <x:c r="AB967"/>
    </x:row>
    <x:row r="968">
      <x:c r="A968"/>
      <x:c r="B968"/>
      <x:c r="C968"/>
      <x:c r="D968"/>
      <x:c r="E968"/>
      <x:c r="F968"/>
      <x:c r="G968"/>
      <x:c r="H968"/>
      <x:c r="I968"/>
      <x:c r="J968"/>
      <x:c r="K968" s="56"/>
      <x:c r="L968"/>
      <x:c r="M968"/>
      <x:c r="N968" s="56"/>
      <x:c r="O968"/>
      <x:c r="P968"/>
      <x:c r="Q968" s="56"/>
      <x:c r="R968"/>
      <x:c r="S968"/>
      <x:c r="T968" s="56"/>
      <x:c r="U968"/>
      <x:c r="V968"/>
      <x:c r="W968" s="36"/>
      <x:c r="X968" s="56"/>
      <x:c r="Y968"/>
      <x:c r="Z968"/>
      <x:c r="AA968"/>
      <x:c r="AB968"/>
    </x:row>
    <x:row r="969">
      <x:c r="A969"/>
      <x:c r="B969"/>
      <x:c r="C969"/>
      <x:c r="D969"/>
      <x:c r="E969"/>
      <x:c r="F969"/>
      <x:c r="G969"/>
      <x:c r="H969"/>
      <x:c r="I969"/>
      <x:c r="J969"/>
      <x:c r="K969" s="56"/>
      <x:c r="L969"/>
      <x:c r="M969"/>
      <x:c r="N969" s="56"/>
      <x:c r="O969"/>
      <x:c r="P969"/>
      <x:c r="Q969" s="56"/>
      <x:c r="R969"/>
      <x:c r="S969"/>
      <x:c r="T969" s="56"/>
      <x:c r="U969"/>
      <x:c r="V969"/>
      <x:c r="W969" s="36"/>
      <x:c r="X969" s="56"/>
      <x:c r="Y969"/>
      <x:c r="Z969"/>
      <x:c r="AA969"/>
      <x:c r="AB969"/>
    </x:row>
    <x:row r="970">
      <x:c r="A970"/>
      <x:c r="B970"/>
      <x:c r="C970"/>
      <x:c r="D970"/>
      <x:c r="E970"/>
      <x:c r="F970"/>
      <x:c r="G970"/>
      <x:c r="H970"/>
      <x:c r="I970"/>
      <x:c r="J970"/>
      <x:c r="K970" s="56"/>
      <x:c r="L970"/>
      <x:c r="M970"/>
      <x:c r="N970" s="56"/>
      <x:c r="O970"/>
      <x:c r="P970"/>
      <x:c r="Q970" s="56"/>
      <x:c r="R970"/>
      <x:c r="S970"/>
      <x:c r="T970" s="56"/>
      <x:c r="U970"/>
      <x:c r="V970"/>
      <x:c r="W970" s="36"/>
      <x:c r="X970" s="56"/>
      <x:c r="Y970"/>
      <x:c r="Z970"/>
      <x:c r="AA970"/>
      <x:c r="AB970"/>
    </x:row>
    <x:row r="971">
      <x:c r="A971"/>
      <x:c r="B971"/>
      <x:c r="C971"/>
      <x:c r="D971"/>
      <x:c r="E971"/>
      <x:c r="F971"/>
      <x:c r="G971"/>
      <x:c r="H971"/>
      <x:c r="I971"/>
      <x:c r="J971"/>
      <x:c r="K971" s="56"/>
      <x:c r="L971"/>
      <x:c r="M971"/>
      <x:c r="N971" s="56"/>
      <x:c r="O971"/>
      <x:c r="P971"/>
      <x:c r="Q971" s="56"/>
      <x:c r="R971"/>
      <x:c r="S971"/>
      <x:c r="T971" s="56"/>
      <x:c r="U971"/>
      <x:c r="V971"/>
      <x:c r="W971" s="36"/>
      <x:c r="X971" s="56"/>
      <x:c r="Y971"/>
      <x:c r="Z971"/>
      <x:c r="AA971"/>
      <x:c r="AB971"/>
    </x:row>
    <x:row r="972">
      <x:c r="A972"/>
      <x:c r="B972"/>
      <x:c r="C972"/>
      <x:c r="D972"/>
      <x:c r="E972"/>
      <x:c r="F972"/>
      <x:c r="G972"/>
      <x:c r="H972"/>
      <x:c r="I972"/>
      <x:c r="J972"/>
      <x:c r="K972" s="56"/>
      <x:c r="L972"/>
      <x:c r="M972"/>
      <x:c r="N972" s="56"/>
      <x:c r="O972"/>
      <x:c r="P972"/>
      <x:c r="Q972" s="56"/>
      <x:c r="R972"/>
      <x:c r="S972"/>
      <x:c r="T972" s="56"/>
      <x:c r="U972"/>
      <x:c r="V972"/>
      <x:c r="W972" s="36"/>
      <x:c r="X972" s="56"/>
      <x:c r="Y972"/>
      <x:c r="Z972"/>
      <x:c r="AA972"/>
      <x:c r="AB972"/>
    </x:row>
    <x:row r="973">
      <x:c r="A973"/>
      <x:c r="B973"/>
      <x:c r="C973"/>
      <x:c r="D973"/>
      <x:c r="E973"/>
      <x:c r="F973"/>
      <x:c r="G973"/>
      <x:c r="H973"/>
      <x:c r="I973"/>
      <x:c r="J973"/>
      <x:c r="K973" s="56"/>
      <x:c r="L973"/>
      <x:c r="M973"/>
      <x:c r="N973" s="56"/>
      <x:c r="O973"/>
      <x:c r="P973"/>
      <x:c r="Q973" s="56"/>
      <x:c r="R973"/>
      <x:c r="S973"/>
      <x:c r="T973" s="56"/>
      <x:c r="U973"/>
      <x:c r="V973"/>
      <x:c r="W973" s="36"/>
      <x:c r="X973" s="56"/>
      <x:c r="Y973"/>
      <x:c r="Z973"/>
      <x:c r="AA973"/>
      <x:c r="AB973"/>
    </x:row>
    <x:row r="974">
      <x:c r="A974"/>
      <x:c r="B974"/>
      <x:c r="C974"/>
      <x:c r="D974"/>
      <x:c r="E974"/>
      <x:c r="F974"/>
      <x:c r="G974"/>
      <x:c r="H974"/>
      <x:c r="I974"/>
      <x:c r="J974"/>
      <x:c r="K974" s="56"/>
      <x:c r="L974"/>
      <x:c r="M974"/>
      <x:c r="N974" s="56"/>
      <x:c r="O974"/>
      <x:c r="P974"/>
      <x:c r="Q974" s="56"/>
      <x:c r="R974"/>
      <x:c r="S974"/>
      <x:c r="T974" s="56"/>
      <x:c r="U974"/>
      <x:c r="V974"/>
      <x:c r="W974" s="36"/>
      <x:c r="X974" s="56"/>
      <x:c r="Y974"/>
      <x:c r="Z974"/>
      <x:c r="AA974"/>
      <x:c r="AB974"/>
    </x:row>
    <x:row r="975">
      <x:c r="A975"/>
      <x:c r="B975"/>
      <x:c r="C975"/>
      <x:c r="D975"/>
      <x:c r="E975"/>
      <x:c r="F975"/>
      <x:c r="G975"/>
      <x:c r="H975"/>
      <x:c r="I975"/>
      <x:c r="J975"/>
      <x:c r="K975" s="56"/>
      <x:c r="L975"/>
      <x:c r="M975"/>
      <x:c r="N975" s="56"/>
      <x:c r="O975"/>
      <x:c r="P975"/>
      <x:c r="Q975" s="56"/>
      <x:c r="R975"/>
      <x:c r="S975"/>
      <x:c r="T975" s="56"/>
      <x:c r="U975"/>
      <x:c r="V975"/>
      <x:c r="W975" s="36"/>
      <x:c r="X975" s="56"/>
      <x:c r="Y975"/>
      <x:c r="Z975"/>
      <x:c r="AA975"/>
      <x:c r="AB975"/>
    </x:row>
    <x:row r="976">
      <x:c r="A976"/>
      <x:c r="B976"/>
      <x:c r="C976"/>
      <x:c r="D976"/>
      <x:c r="E976"/>
      <x:c r="F976"/>
      <x:c r="G976"/>
      <x:c r="H976"/>
      <x:c r="I976"/>
      <x:c r="J976"/>
      <x:c r="K976" s="56"/>
      <x:c r="L976"/>
      <x:c r="M976"/>
      <x:c r="N976" s="56"/>
      <x:c r="O976"/>
      <x:c r="P976"/>
      <x:c r="Q976" s="56"/>
      <x:c r="R976"/>
      <x:c r="S976"/>
      <x:c r="T976" s="56"/>
      <x:c r="U976"/>
      <x:c r="V976"/>
      <x:c r="W976" s="36"/>
      <x:c r="X976" s="56"/>
      <x:c r="Y976"/>
      <x:c r="Z976"/>
      <x:c r="AA976"/>
      <x:c r="AB976"/>
    </x:row>
    <x:row r="977">
      <x:c r="A977"/>
      <x:c r="B977"/>
      <x:c r="C977"/>
      <x:c r="D977"/>
      <x:c r="E977"/>
      <x:c r="F977"/>
      <x:c r="G977"/>
      <x:c r="H977"/>
      <x:c r="I977"/>
      <x:c r="J977"/>
      <x:c r="K977" s="56"/>
      <x:c r="L977"/>
      <x:c r="M977"/>
      <x:c r="N977" s="56"/>
      <x:c r="O977"/>
      <x:c r="P977"/>
      <x:c r="Q977" s="56"/>
      <x:c r="R977"/>
      <x:c r="S977"/>
      <x:c r="T977" s="56"/>
      <x:c r="U977"/>
      <x:c r="V977"/>
      <x:c r="W977" s="36"/>
      <x:c r="X977" s="56"/>
      <x:c r="Y977"/>
      <x:c r="Z977"/>
      <x:c r="AA977"/>
      <x:c r="AB977"/>
    </x:row>
    <x:row r="978">
      <x:c r="A978"/>
      <x:c r="B978"/>
      <x:c r="C978"/>
      <x:c r="D978"/>
      <x:c r="E978"/>
      <x:c r="F978"/>
      <x:c r="G978"/>
      <x:c r="H978"/>
      <x:c r="I978"/>
      <x:c r="J978"/>
      <x:c r="K978" s="56"/>
      <x:c r="L978"/>
      <x:c r="M978"/>
      <x:c r="N978" s="56"/>
      <x:c r="O978"/>
      <x:c r="P978"/>
      <x:c r="Q978" s="56"/>
      <x:c r="R978"/>
      <x:c r="S978"/>
      <x:c r="T978" s="56"/>
      <x:c r="U978"/>
      <x:c r="V978"/>
      <x:c r="W978" s="36"/>
      <x:c r="X978" s="56"/>
      <x:c r="Y978"/>
      <x:c r="Z978"/>
      <x:c r="AA978"/>
      <x:c r="AB978"/>
    </x:row>
    <x:row r="979">
      <x:c r="A979"/>
      <x:c r="B979"/>
      <x:c r="C979"/>
      <x:c r="D979"/>
      <x:c r="E979"/>
      <x:c r="F979"/>
      <x:c r="G979"/>
      <x:c r="H979"/>
      <x:c r="I979"/>
      <x:c r="J979"/>
      <x:c r="K979" s="56"/>
      <x:c r="L979"/>
      <x:c r="M979"/>
      <x:c r="N979" s="56"/>
      <x:c r="O979"/>
      <x:c r="P979"/>
      <x:c r="Q979" s="56"/>
      <x:c r="R979"/>
      <x:c r="S979"/>
      <x:c r="T979" s="56"/>
      <x:c r="U979"/>
      <x:c r="V979"/>
      <x:c r="W979" s="36"/>
      <x:c r="X979" s="56"/>
      <x:c r="Y979"/>
      <x:c r="Z979"/>
      <x:c r="AA979"/>
      <x:c r="AB979"/>
    </x:row>
    <x:row r="980">
      <x:c r="A980"/>
      <x:c r="B980"/>
      <x:c r="C980"/>
      <x:c r="D980"/>
      <x:c r="E980"/>
      <x:c r="F980"/>
      <x:c r="G980"/>
      <x:c r="H980"/>
      <x:c r="I980"/>
      <x:c r="J980"/>
      <x:c r="K980" s="56"/>
      <x:c r="L980"/>
      <x:c r="M980"/>
      <x:c r="N980" s="56"/>
      <x:c r="O980"/>
      <x:c r="P980"/>
      <x:c r="Q980" s="56"/>
      <x:c r="R980"/>
      <x:c r="S980"/>
      <x:c r="T980" s="56"/>
      <x:c r="U980"/>
      <x:c r="V980"/>
      <x:c r="W980" s="36"/>
      <x:c r="X980" s="56"/>
      <x:c r="Y980"/>
      <x:c r="Z980"/>
      <x:c r="AA980"/>
      <x:c r="AB980"/>
    </x:row>
    <x:row r="981">
      <x:c r="A981"/>
      <x:c r="B981"/>
      <x:c r="C981"/>
      <x:c r="D981"/>
      <x:c r="E981"/>
      <x:c r="F981"/>
      <x:c r="G981"/>
      <x:c r="H981"/>
      <x:c r="I981"/>
      <x:c r="J981"/>
      <x:c r="K981" s="56"/>
      <x:c r="L981"/>
      <x:c r="M981"/>
      <x:c r="N981" s="56"/>
      <x:c r="O981"/>
      <x:c r="P981"/>
      <x:c r="Q981" s="56"/>
      <x:c r="R981"/>
      <x:c r="S981"/>
      <x:c r="T981" s="56"/>
      <x:c r="U981"/>
      <x:c r="V981"/>
      <x:c r="W981" s="36"/>
      <x:c r="X981" s="56"/>
      <x:c r="Y981"/>
      <x:c r="Z981"/>
      <x:c r="AA981"/>
      <x:c r="AB981"/>
    </x:row>
    <x:row r="982">
      <x:c r="A982"/>
      <x:c r="B982"/>
      <x:c r="C982"/>
      <x:c r="D982"/>
      <x:c r="E982"/>
      <x:c r="F982"/>
      <x:c r="G982"/>
      <x:c r="H982"/>
      <x:c r="I982"/>
      <x:c r="J982"/>
      <x:c r="K982" s="56"/>
      <x:c r="L982"/>
      <x:c r="M982"/>
      <x:c r="N982" s="56"/>
      <x:c r="O982"/>
      <x:c r="P982"/>
      <x:c r="Q982" s="56"/>
      <x:c r="R982"/>
      <x:c r="S982"/>
      <x:c r="T982" s="56"/>
      <x:c r="U982"/>
      <x:c r="V982"/>
      <x:c r="W982" s="36"/>
      <x:c r="X982" s="56"/>
      <x:c r="Y982"/>
      <x:c r="Z982"/>
      <x:c r="AA982"/>
      <x:c r="AB982"/>
    </x:row>
    <x:row r="983">
      <x:c r="A983"/>
      <x:c r="B983"/>
      <x:c r="C983"/>
      <x:c r="D983"/>
      <x:c r="E983"/>
      <x:c r="F983"/>
      <x:c r="G983"/>
      <x:c r="H983"/>
      <x:c r="I983"/>
      <x:c r="J983"/>
      <x:c r="K983" s="56"/>
      <x:c r="L983"/>
      <x:c r="M983"/>
      <x:c r="N983" s="56"/>
      <x:c r="O983"/>
      <x:c r="P983"/>
      <x:c r="Q983" s="56"/>
      <x:c r="R983"/>
      <x:c r="S983"/>
      <x:c r="T983" s="56"/>
      <x:c r="U983"/>
      <x:c r="V983"/>
      <x:c r="W983" s="36"/>
      <x:c r="X983" s="56"/>
      <x:c r="Y983"/>
      <x:c r="Z983"/>
      <x:c r="AA983"/>
      <x:c r="AB983"/>
    </x:row>
    <x:row r="984">
      <x:c r="A984"/>
      <x:c r="B984"/>
      <x:c r="C984"/>
      <x:c r="D984"/>
      <x:c r="E984"/>
      <x:c r="F984"/>
      <x:c r="G984"/>
      <x:c r="H984"/>
      <x:c r="I984"/>
      <x:c r="J984"/>
      <x:c r="K984" s="56"/>
      <x:c r="L984"/>
      <x:c r="M984"/>
      <x:c r="N984" s="56"/>
      <x:c r="O984"/>
      <x:c r="P984"/>
      <x:c r="Q984" s="56"/>
      <x:c r="R984"/>
      <x:c r="S984"/>
      <x:c r="T984" s="56"/>
      <x:c r="U984"/>
      <x:c r="V984"/>
      <x:c r="W984" s="36"/>
      <x:c r="X984" s="56"/>
      <x:c r="Y984"/>
      <x:c r="Z984"/>
      <x:c r="AA984"/>
      <x:c r="AB984"/>
    </x:row>
    <x:row r="985">
      <x:c r="A985"/>
      <x:c r="B985"/>
      <x:c r="C985"/>
      <x:c r="D985"/>
      <x:c r="E985"/>
      <x:c r="F985"/>
      <x:c r="G985"/>
      <x:c r="H985"/>
      <x:c r="I985"/>
      <x:c r="J985"/>
      <x:c r="K985" s="56"/>
      <x:c r="L985"/>
      <x:c r="M985"/>
      <x:c r="N985" s="56"/>
      <x:c r="O985"/>
      <x:c r="P985"/>
      <x:c r="Q985" s="56"/>
      <x:c r="R985"/>
      <x:c r="S985"/>
      <x:c r="T985" s="56"/>
      <x:c r="U985"/>
      <x:c r="V985"/>
      <x:c r="W985" s="36"/>
      <x:c r="X985" s="56"/>
      <x:c r="Y985"/>
      <x:c r="Z985"/>
      <x:c r="AA985"/>
      <x:c r="AB985"/>
    </x:row>
    <x:row r="986">
      <x:c r="A986"/>
      <x:c r="B986"/>
      <x:c r="C986"/>
      <x:c r="D986"/>
      <x:c r="E986"/>
      <x:c r="F986"/>
      <x:c r="G986"/>
      <x:c r="H986"/>
      <x:c r="I986"/>
      <x:c r="J986"/>
      <x:c r="K986" s="56"/>
      <x:c r="L986"/>
      <x:c r="M986"/>
      <x:c r="N986" s="56"/>
      <x:c r="O986"/>
      <x:c r="P986"/>
      <x:c r="Q986" s="56"/>
      <x:c r="R986"/>
      <x:c r="S986"/>
      <x:c r="T986" s="56"/>
      <x:c r="U986"/>
      <x:c r="V986"/>
      <x:c r="W986" s="36"/>
      <x:c r="X986" s="56"/>
      <x:c r="Y986"/>
      <x:c r="Z986"/>
      <x:c r="AA986"/>
      <x:c r="AB986"/>
    </x:row>
    <x:row r="987">
      <x:c r="A987"/>
      <x:c r="B987"/>
      <x:c r="C987"/>
      <x:c r="D987"/>
      <x:c r="E987"/>
      <x:c r="F987"/>
      <x:c r="G987"/>
      <x:c r="H987"/>
      <x:c r="I987"/>
      <x:c r="J987"/>
      <x:c r="K987" s="56"/>
      <x:c r="L987"/>
      <x:c r="M987"/>
      <x:c r="N987" s="56"/>
      <x:c r="O987"/>
      <x:c r="P987"/>
      <x:c r="Q987" s="56"/>
      <x:c r="R987"/>
      <x:c r="S987"/>
      <x:c r="T987" s="56"/>
      <x:c r="U987"/>
      <x:c r="V987"/>
      <x:c r="W987" s="36"/>
      <x:c r="X987" s="56"/>
      <x:c r="Y987"/>
      <x:c r="Z987"/>
      <x:c r="AA987"/>
      <x:c r="AB987"/>
    </x:row>
    <x:row r="988">
      <x:c r="A988"/>
      <x:c r="B988"/>
      <x:c r="C988"/>
      <x:c r="D988"/>
      <x:c r="E988"/>
      <x:c r="F988"/>
      <x:c r="G988"/>
      <x:c r="H988"/>
      <x:c r="I988"/>
      <x:c r="J988"/>
      <x:c r="K988" s="56"/>
      <x:c r="L988"/>
      <x:c r="M988"/>
      <x:c r="N988" s="56"/>
      <x:c r="O988"/>
      <x:c r="P988"/>
      <x:c r="Q988" s="56"/>
      <x:c r="R988"/>
      <x:c r="S988"/>
      <x:c r="T988" s="56"/>
      <x:c r="U988"/>
      <x:c r="V988"/>
      <x:c r="W988" s="36"/>
      <x:c r="X988" s="56"/>
      <x:c r="Y988"/>
      <x:c r="Z988"/>
      <x:c r="AA988"/>
      <x:c r="AB988"/>
    </x:row>
    <x:row r="989">
      <x:c r="A989"/>
      <x:c r="B989"/>
      <x:c r="C989"/>
      <x:c r="D989"/>
      <x:c r="E989"/>
      <x:c r="F989"/>
      <x:c r="G989"/>
      <x:c r="H989"/>
      <x:c r="I989"/>
      <x:c r="J989"/>
      <x:c r="K989" s="56"/>
      <x:c r="L989"/>
      <x:c r="M989"/>
      <x:c r="N989" s="56"/>
      <x:c r="O989"/>
      <x:c r="P989"/>
      <x:c r="Q989" s="56"/>
      <x:c r="R989"/>
      <x:c r="S989"/>
      <x:c r="T989" s="56"/>
      <x:c r="U989"/>
      <x:c r="V989"/>
      <x:c r="W989" s="36"/>
      <x:c r="X989" s="56"/>
      <x:c r="Y989"/>
      <x:c r="Z989"/>
      <x:c r="AA989"/>
      <x:c r="AB989"/>
    </x:row>
    <x:row r="990">
      <x:c r="A990"/>
      <x:c r="B990"/>
      <x:c r="C990"/>
      <x:c r="D990"/>
      <x:c r="E990"/>
      <x:c r="F990"/>
      <x:c r="G990"/>
      <x:c r="H990"/>
      <x:c r="I990"/>
      <x:c r="J990"/>
      <x:c r="K990" s="56"/>
      <x:c r="L990"/>
      <x:c r="M990"/>
      <x:c r="N990" s="56"/>
      <x:c r="O990"/>
      <x:c r="P990"/>
      <x:c r="Q990" s="56"/>
      <x:c r="R990"/>
      <x:c r="S990"/>
      <x:c r="T990" s="56"/>
      <x:c r="U990"/>
      <x:c r="V990"/>
      <x:c r="W990" s="36"/>
      <x:c r="X990" s="56"/>
      <x:c r="Y990"/>
      <x:c r="Z990"/>
      <x:c r="AA990"/>
      <x:c r="AB990"/>
    </x:row>
    <x:row r="991">
      <x:c r="A991"/>
      <x:c r="B991"/>
      <x:c r="C991"/>
      <x:c r="D991"/>
      <x:c r="E991"/>
      <x:c r="F991"/>
      <x:c r="G991"/>
      <x:c r="H991"/>
      <x:c r="I991"/>
      <x:c r="J991"/>
      <x:c r="K991" s="56"/>
      <x:c r="L991"/>
      <x:c r="M991"/>
      <x:c r="N991" s="56"/>
      <x:c r="O991"/>
      <x:c r="P991"/>
      <x:c r="Q991" s="56"/>
      <x:c r="R991"/>
      <x:c r="S991"/>
      <x:c r="T991" s="56"/>
      <x:c r="U991"/>
      <x:c r="V991"/>
      <x:c r="W991" s="36"/>
      <x:c r="X991" s="56"/>
      <x:c r="Y991"/>
      <x:c r="Z991"/>
      <x:c r="AA991"/>
      <x:c r="AB991"/>
    </x:row>
    <x:row r="992">
      <x:c r="A992"/>
      <x:c r="B992"/>
      <x:c r="C992"/>
      <x:c r="D992"/>
      <x:c r="E992"/>
      <x:c r="F992"/>
      <x:c r="G992"/>
      <x:c r="H992"/>
      <x:c r="I992"/>
      <x:c r="J992"/>
      <x:c r="K992" s="56"/>
      <x:c r="L992"/>
      <x:c r="M992"/>
      <x:c r="N992" s="56"/>
      <x:c r="O992"/>
      <x:c r="P992"/>
      <x:c r="Q992" s="56"/>
      <x:c r="R992"/>
      <x:c r="S992"/>
      <x:c r="T992" s="56"/>
      <x:c r="U992"/>
      <x:c r="V992"/>
      <x:c r="W992" s="36"/>
      <x:c r="X992" s="56"/>
      <x:c r="Y992"/>
      <x:c r="Z992"/>
      <x:c r="AA992"/>
      <x:c r="AB992"/>
    </x:row>
    <x:row r="993">
      <x:c r="A993"/>
      <x:c r="B993"/>
      <x:c r="C993"/>
      <x:c r="D993"/>
      <x:c r="E993"/>
      <x:c r="F993"/>
      <x:c r="G993"/>
      <x:c r="H993"/>
      <x:c r="I993"/>
      <x:c r="J993"/>
      <x:c r="K993" s="56"/>
      <x:c r="L993"/>
      <x:c r="M993"/>
      <x:c r="N993" s="56"/>
      <x:c r="O993"/>
      <x:c r="P993"/>
      <x:c r="Q993" s="56"/>
      <x:c r="R993"/>
      <x:c r="S993"/>
      <x:c r="T993" s="56"/>
      <x:c r="U993"/>
      <x:c r="V993"/>
      <x:c r="W993" s="36"/>
      <x:c r="X993" s="56"/>
      <x:c r="Y993"/>
      <x:c r="Z993"/>
      <x:c r="AA993"/>
      <x:c r="AB993"/>
    </x:row>
    <x:row r="994">
      <x:c r="A994"/>
      <x:c r="B994"/>
      <x:c r="C994"/>
      <x:c r="D994"/>
      <x:c r="E994"/>
      <x:c r="F994"/>
      <x:c r="G994"/>
      <x:c r="H994"/>
      <x:c r="I994"/>
      <x:c r="J994"/>
      <x:c r="K994" s="56"/>
      <x:c r="L994"/>
      <x:c r="M994"/>
      <x:c r="N994" s="56"/>
      <x:c r="O994"/>
      <x:c r="P994"/>
      <x:c r="Q994" s="56"/>
      <x:c r="R994"/>
      <x:c r="S994"/>
      <x:c r="T994" s="56"/>
      <x:c r="U994"/>
      <x:c r="V994"/>
      <x:c r="W994" s="36"/>
      <x:c r="X994" s="56"/>
      <x:c r="Y994"/>
      <x:c r="Z994"/>
      <x:c r="AA994"/>
      <x:c r="AB994"/>
    </x:row>
    <x:row r="995">
      <x:c r="A995"/>
      <x:c r="B995"/>
      <x:c r="C995"/>
      <x:c r="D995"/>
      <x:c r="E995"/>
      <x:c r="F995"/>
      <x:c r="G995"/>
      <x:c r="H995"/>
      <x:c r="I995"/>
      <x:c r="J995"/>
      <x:c r="K995" s="56"/>
      <x:c r="L995"/>
      <x:c r="M995"/>
      <x:c r="N995" s="56"/>
      <x:c r="O995"/>
      <x:c r="P995"/>
      <x:c r="Q995" s="56"/>
      <x:c r="R995"/>
      <x:c r="S995"/>
      <x:c r="T995" s="56"/>
      <x:c r="U995"/>
      <x:c r="V995"/>
      <x:c r="W995" s="36"/>
      <x:c r="X995" s="56"/>
      <x:c r="Y995"/>
      <x:c r="Z995"/>
      <x:c r="AA995"/>
      <x:c r="AB995"/>
    </x:row>
    <x:row r="996">
      <x:c r="A996"/>
      <x:c r="B996"/>
      <x:c r="C996"/>
      <x:c r="D996"/>
      <x:c r="E996"/>
      <x:c r="F996"/>
      <x:c r="G996"/>
      <x:c r="H996"/>
      <x:c r="I996"/>
      <x:c r="J996"/>
      <x:c r="K996" s="56"/>
      <x:c r="L996"/>
      <x:c r="M996"/>
      <x:c r="N996" s="56"/>
      <x:c r="O996"/>
      <x:c r="P996"/>
      <x:c r="Q996" s="56"/>
      <x:c r="R996"/>
      <x:c r="S996"/>
      <x:c r="T996" s="56"/>
      <x:c r="U996"/>
      <x:c r="V996"/>
      <x:c r="W996" s="36"/>
      <x:c r="X996" s="56"/>
      <x:c r="Y996"/>
      <x:c r="Z996"/>
      <x:c r="AA996"/>
      <x:c r="AB996"/>
    </x:row>
    <x:row r="997">
      <x:c r="A997"/>
      <x:c r="B997"/>
      <x:c r="C997"/>
      <x:c r="D997"/>
      <x:c r="E997"/>
      <x:c r="F997"/>
      <x:c r="G997"/>
      <x:c r="H997"/>
      <x:c r="I997"/>
      <x:c r="J997"/>
      <x:c r="K997" s="56"/>
      <x:c r="L997"/>
      <x:c r="M997"/>
      <x:c r="N997" s="56"/>
      <x:c r="O997"/>
      <x:c r="P997"/>
      <x:c r="Q997" s="56"/>
      <x:c r="R997"/>
      <x:c r="S997"/>
      <x:c r="T997" s="56"/>
      <x:c r="U997"/>
      <x:c r="V997"/>
      <x:c r="W997" s="36"/>
      <x:c r="X997" s="56"/>
      <x:c r="Y997"/>
      <x:c r="Z997"/>
      <x:c r="AA997"/>
      <x:c r="AB997"/>
    </x:row>
  </x:sheetData>
  <x:conditionalFormatting sqref="K2:K997">
    <x:cfRule type="expression" dxfId="56" priority="42">
      <x:formula>OR(K2="",K2="No data")</x:formula>
    </x:cfRule>
    <x:cfRule type="expression" dxfId="57" priority="43">
      <x:formula>K2=0</x:formula>
    </x:cfRule>
    <x:cfRule type="expression" dxfId="58" priority="44">
      <x:formula>K2=1</x:formula>
    </x:cfRule>
    <x:cfRule type="expression" dxfId="59" priority="45">
      <x:formula>K2=2</x:formula>
    </x:cfRule>
    <x:cfRule type="expression" dxfId="60" priority="46">
      <x:formula>K2=3</x:formula>
    </x:cfRule>
    <x:cfRule type="expression" dxfId="61" priority="47">
      <x:formula>K2=4</x:formula>
    </x:cfRule>
    <x:cfRule type="expression" dxfId="62" priority="48">
      <x:formula>K2=5</x:formula>
    </x:cfRule>
    <x:cfRule type="expression" dxfId="63" priority="49">
      <x:formula>K2=6</x:formula>
    </x:cfRule>
    <x:cfRule type="expression" dxfId="64" priority="50">
      <x:formula>K2=7</x:formula>
    </x:cfRule>
    <x:cfRule type="expression" dxfId="65" priority="51">
      <x:formula>K2=8</x:formula>
    </x:cfRule>
    <x:cfRule type="expression" dxfId="66" priority="52">
      <x:formula>K2=9</x:formula>
    </x:cfRule>
    <x:cfRule type="expression" dxfId="67" priority="53">
      <x:formula>K2=10</x:formula>
    </x:cfRule>
  </x:conditionalFormatting>
  <x:conditionalFormatting sqref="N2:N997">
    <x:cfRule type="expression" dxfId="68" priority="54">
      <x:formula>OR(N2="",N2="No data")</x:formula>
    </x:cfRule>
    <x:cfRule type="expression" dxfId="69" priority="55">
      <x:formula>N2=0</x:formula>
    </x:cfRule>
    <x:cfRule type="expression" dxfId="70" priority="56">
      <x:formula>N2=1</x:formula>
    </x:cfRule>
    <x:cfRule type="expression" dxfId="71" priority="57">
      <x:formula>N2=2</x:formula>
    </x:cfRule>
    <x:cfRule type="expression" dxfId="72" priority="58">
      <x:formula>N2=3</x:formula>
    </x:cfRule>
    <x:cfRule type="expression" dxfId="73" priority="59">
      <x:formula>N2=4</x:formula>
    </x:cfRule>
    <x:cfRule type="expression" dxfId="74" priority="60">
      <x:formula>N2=5</x:formula>
    </x:cfRule>
    <x:cfRule type="expression" dxfId="75" priority="61">
      <x:formula>N2=6</x:formula>
    </x:cfRule>
    <x:cfRule type="expression" dxfId="76" priority="62">
      <x:formula>N2=7</x:formula>
    </x:cfRule>
    <x:cfRule type="expression" dxfId="77" priority="63">
      <x:formula>N2=8</x:formula>
    </x:cfRule>
    <x:cfRule type="expression" dxfId="78" priority="64">
      <x:formula>N2=9</x:formula>
    </x:cfRule>
    <x:cfRule type="expression" dxfId="79" priority="65">
      <x:formula>N2=10</x:formula>
    </x:cfRule>
  </x:conditionalFormatting>
  <x:conditionalFormatting sqref="Q2:Q997">
    <x:cfRule type="expression" dxfId="80" priority="66">
      <x:formula>OR(Q2="",Q2="No data")</x:formula>
    </x:cfRule>
    <x:cfRule type="expression" dxfId="81" priority="67">
      <x:formula>Q2=0</x:formula>
    </x:cfRule>
    <x:cfRule type="expression" dxfId="82" priority="68">
      <x:formula>Q2=1</x:formula>
    </x:cfRule>
    <x:cfRule type="expression" dxfId="83" priority="69">
      <x:formula>Q2=2</x:formula>
    </x:cfRule>
    <x:cfRule type="expression" dxfId="84" priority="70">
      <x:formula>Q2=3</x:formula>
    </x:cfRule>
    <x:cfRule type="expression" dxfId="85" priority="71">
      <x:formula>Q2=4</x:formula>
    </x:cfRule>
    <x:cfRule type="expression" dxfId="86" priority="72">
      <x:formula>Q2=5</x:formula>
    </x:cfRule>
    <x:cfRule type="expression" dxfId="87" priority="73">
      <x:formula>Q2=6</x:formula>
    </x:cfRule>
    <x:cfRule type="expression" dxfId="88" priority="74">
      <x:formula>Q2=7</x:formula>
    </x:cfRule>
    <x:cfRule type="expression" dxfId="89" priority="75">
      <x:formula>Q2=8</x:formula>
    </x:cfRule>
    <x:cfRule type="expression" dxfId="90" priority="76">
      <x:formula>Q2=9</x:formula>
    </x:cfRule>
    <x:cfRule type="expression" dxfId="91" priority="77">
      <x:formula>Q2=10</x:formula>
    </x:cfRule>
  </x:conditionalFormatting>
  <x:conditionalFormatting sqref="T2:T997">
    <x:cfRule type="expression" dxfId="92" priority="78">
      <x:formula>OR(T2="",T2="No data")</x:formula>
    </x:cfRule>
    <x:cfRule type="expression" dxfId="93" priority="79">
      <x:formula>T2=0</x:formula>
    </x:cfRule>
    <x:cfRule type="expression" dxfId="94" priority="80">
      <x:formula>T2=1</x:formula>
    </x:cfRule>
    <x:cfRule type="expression" dxfId="95" priority="81">
      <x:formula>T2=2</x:formula>
    </x:cfRule>
    <x:cfRule type="expression" dxfId="96" priority="82">
      <x:formula>T2=3</x:formula>
    </x:cfRule>
    <x:cfRule type="expression" dxfId="97" priority="83">
      <x:formula>T2=4</x:formula>
    </x:cfRule>
    <x:cfRule type="expression" dxfId="98" priority="84">
      <x:formula>T2=5</x:formula>
    </x:cfRule>
    <x:cfRule type="expression" dxfId="99" priority="85">
      <x:formula>T2=6</x:formula>
    </x:cfRule>
    <x:cfRule type="expression" dxfId="100" priority="86">
      <x:formula>T2=7</x:formula>
    </x:cfRule>
    <x:cfRule type="expression" dxfId="101" priority="87">
      <x:formula>T2=8</x:formula>
    </x:cfRule>
    <x:cfRule type="expression" dxfId="102" priority="88">
      <x:formula>T2=9</x:formula>
    </x:cfRule>
    <x:cfRule type="expression" dxfId="103" priority="89">
      <x:formula>T2=10</x:formula>
    </x:cfRule>
  </x:conditionalFormatting>
  <x:conditionalFormatting sqref="X2:X997">
    <x:cfRule type="expression" dxfId="104" priority="90">
      <x:formula>OR(X2="",X2="No data")</x:formula>
    </x:cfRule>
    <x:cfRule type="expression" dxfId="105" priority="91">
      <x:formula>X2=0</x:formula>
    </x:cfRule>
    <x:cfRule type="expression" dxfId="106" priority="92">
      <x:formula>X2=1</x:formula>
    </x:cfRule>
    <x:cfRule type="expression" dxfId="107" priority="93">
      <x:formula>X2=2</x:formula>
    </x:cfRule>
    <x:cfRule type="expression" dxfId="108" priority="94">
      <x:formula>X2=3</x:formula>
    </x:cfRule>
    <x:cfRule type="expression" dxfId="109" priority="95">
      <x:formula>X2=4</x:formula>
    </x:cfRule>
    <x:cfRule type="expression" dxfId="110" priority="96">
      <x:formula>X2=5</x:formula>
    </x:cfRule>
    <x:cfRule type="expression" dxfId="111" priority="97">
      <x:formula>X2=6</x:formula>
    </x:cfRule>
    <x:cfRule type="expression" dxfId="112" priority="98">
      <x:formula>X2=7</x:formula>
    </x:cfRule>
    <x:cfRule type="expression" dxfId="113" priority="99">
      <x:formula>X2=8</x:formula>
    </x:cfRule>
    <x:cfRule type="expression" dxfId="114" priority="100">
      <x:formula>X2=9</x:formula>
    </x:cfRule>
    <x:cfRule type="expression" dxfId="115" priority="101">
      <x:formula>X2=10</x:formula>
    </x:cfRule>
  </x:conditionalFormatting>
  <x:dataValidations count="8">
    <x:dataValidation type="decimal" errorStyle="warning" operator="between" allowBlank="1" showErrorMessage="1" errorTitle="Invalid 0–10 score" error="Enter a numeric score from 0 to 10, or leave blank when not assessed." sqref="K2:K997">
      <x:formula1>0</x:formula1>
      <x:formula2>10</x:formula2>
    </x:dataValidation>
    <x:dataValidation type="whole" errorStyle="warning" operator="between" allowBlank="1" showErrorMessage="1" errorTitle="Invalid 0–5 confidence" error="Enter a whole-number confidence rating from 0 to 5, or leave blank." sqref="L2:L997">
      <x:formula1>0</x:formula1>
      <x:formula2>5</x:formula2>
    </x:dataValidation>
    <x:dataValidation type="decimal" errorStyle="warning" operator="between" allowBlank="1" showErrorMessage="1" errorTitle="Invalid 0–10 score" error="Enter a numeric score from 0 to 10, or leave blank when not assessed." sqref="N2:N997">
      <x:formula1>0</x:formula1>
      <x:formula2>10</x:formula2>
    </x:dataValidation>
    <x:dataValidation type="whole" errorStyle="warning" operator="between" allowBlank="1" showErrorMessage="1" errorTitle="Invalid 0–5 confidence" error="Enter a whole-number confidence rating from 0 to 5, or leave blank." sqref="O2:O997">
      <x:formula1>0</x:formula1>
      <x:formula2>5</x:formula2>
    </x:dataValidation>
    <x:dataValidation type="decimal" errorStyle="warning" operator="between" allowBlank="1" showErrorMessage="1" errorTitle="Invalid 0–10 score" error="Enter a numeric score from 0 to 10, or leave blank when not assessed." sqref="Q2:Q997">
      <x:formula1>0</x:formula1>
      <x:formula2>10</x:formula2>
    </x:dataValidation>
    <x:dataValidation type="whole" errorStyle="warning" operator="between" allowBlank="1" showErrorMessage="1" errorTitle="Invalid 0–5 confidence" error="Enter a whole-number confidence rating from 0 to 5, or leave blank." sqref="R2:R997">
      <x:formula1>0</x:formula1>
      <x:formula2>5</x:formula2>
    </x:dataValidation>
    <x:dataValidation type="decimal" errorStyle="warning" operator="between" allowBlank="1" showErrorMessage="1" errorTitle="Invalid 0–10 score" error="Enter a numeric score from 0 to 10, or leave blank when not assessed." sqref="T2:T997">
      <x:formula1>0</x:formula1>
      <x:formula2>10</x:formula2>
    </x:dataValidation>
    <x:dataValidation type="whole" errorStyle="warning" operator="between" allowBlank="1" showErrorMessage="1" errorTitle="Invalid 0–5 confidence" error="Enter a whole-number confidence rating from 0 to 5, or leave blank." sqref="U2:U997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240563068b642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34" hidden="0" customWidth="1"/>
    <x:col min="10" max="10" width="42" hidden="0" customWidth="1"/>
    <x:col min="11" max="11" width="28" hidden="0" customWidth="1"/>
    <x:col min="12" max="12" width="13" hidden="0" customWidth="1"/>
    <x:col min="13" max="13" width="13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 ht="28" customHeight="1">
      <x:c r="A1" s="370" t="str">
        <x:v>Evidence_Key</x:v>
      </x:c>
      <x:c r="B1" s="370" t="str">
        <x:v>Country_Name</x:v>
      </x:c>
      <x:c r="C1" s="370" t="str">
        <x:v>ISO3</x:v>
      </x:c>
      <x:c r="D1" s="370" t="str">
        <x:v>Actor</x:v>
      </x:c>
      <x:c r="E1" s="370" t="str">
        <x:v>Main_Factor</x:v>
      </x:c>
      <x:c r="F1" s="370" t="str">
        <x:v>Subfactor</x:v>
      </x:c>
      <x:c r="G1" s="370" t="str">
        <x:v>Evidence_Score_0_10</x:v>
      </x:c>
      <x:c r="H1" s="370" t="str">
        <x:v>Confidence_0_5</x:v>
      </x:c>
      <x:c r="I1" s="370" t="str">
        <x:v>Evidence_Title</x:v>
      </x:c>
      <x:c r="J1" s="370" t="str">
        <x:v>Evidence_URL</x:v>
      </x:c>
      <x:c r="K1" s="370" t="str">
        <x:v>Source_Type</x:v>
      </x:c>
      <x:c r="L1" s="370" t="str">
        <x:v>Date_Observed</x:v>
      </x:c>
      <x:c r="M1" s="370" t="str">
        <x:v>Date_Added</x:v>
      </x:c>
      <x:c r="N1" s="370" t="str">
        <x:v>Verified_By</x:v>
      </x:c>
      <x:c r="O1" s="370" t="str">
        <x:v>Verification_Status</x:v>
      </x:c>
      <x:c r="P1" s="370" t="str">
        <x:v>Notes</x:v>
      </x:c>
    </x:row>
    <x:row r="2" ht="24" customHeight="1">
      <x:c r="A2" s="20" t="str">
        <x:v>AFG|Russia|Propaganda ecosystems</x:v>
      </x:c>
      <x:c r="B2" s="20" t="str">
        <x:v>Afghanistan</x:v>
      </x:c>
      <x:c r="C2" s="20" t="str">
        <x:v>AFG</x:v>
      </x:c>
      <x:c r="D2" s="20" t="str">
        <x:v>Russia</x:v>
      </x:c>
      <x:c r="E2" s="20" t="str">
        <x:v>Russian influence</x:v>
      </x:c>
      <x:c r="F2" s="20" t="str">
        <x:v>Propaganda ecosystems</x:v>
      </x:c>
      <x:c r="G2" s="384" t="n">
        <x:v>2</x:v>
      </x:c>
      <x:c r="H2" s="396" t="n">
        <x:v>2</x:v>
      </x:c>
      <x:c r="I2" s="20" t="str">
        <x:v>EEAS/EUvsDisinfo FIMI source register</x:v>
      </x:c>
      <x:c r="J2" s="397" t="str">
        <x:v>https://www.eeas.europa.eu/eeas/4th-eeas-annual-report-foreign-information-manipulation-and-interference-threats_en</x:v>
      </x:c>
      <x:c r="K2" s="20" t="str">
        <x:v>Primary source-register URL; automated screening score</x:v>
      </x:c>
      <x:c r="L2" s="20" t="str">
        <x:v>2026-05-20</x:v>
      </x:c>
      <x:c r="M2" s="20" t="str">
        <x:v>2026-05-20</x:v>
      </x:c>
      <x:c r="N2" s="20" t="str">
        <x:v>GPT-5.5 Pro</x:v>
      </x:c>
      <x:c r="O2" s="20" t="str">
        <x:v>Needs review</x:v>
      </x:c>
      <x:c r="P2" s="20" t="str">
        <x:v>Screening score for Russia / Propaganda ecosystems in Afghanistan; verify with country-specific evidence before final use.</x:v>
      </x:c>
    </x:row>
    <x:row r="3" ht="24" customHeight="1">
      <x:c r="A3" s="20" t="str">
        <x:v>AFG|Russia|PMC presence</x:v>
      </x:c>
      <x:c r="B3" s="20" t="str">
        <x:v>Afghanistan</x:v>
      </x:c>
      <x:c r="C3" s="20" t="str">
        <x:v>AFG</x:v>
      </x:c>
      <x:c r="D3" s="20" t="str">
        <x:v>Russia</x:v>
      </x:c>
      <x:c r="E3" s="20" t="str">
        <x:v>Russian influence</x:v>
      </x:c>
      <x:c r="F3" s="20" t="str">
        <x:v>PMC presence</x:v>
      </x:c>
      <x:c r="G3" s="384" t="n">
        <x:v>1</x:v>
      </x:c>
      <x:c r="H3" s="396" t="n">
        <x:v>2</x:v>
      </x:c>
      <x:c r="I3" s="20" t="str">
        <x:v>Treasury and Council of the EU Wagner/PMC source register</x:v>
      </x:c>
      <x:c r="J3" s="397" t="str">
        <x:v>https://www.consilium.europa.eu/en/press/press-releases/2023/02/25/wagner-group-council-adds-11-individuals-and-7-entities-to-eu-sanctions-lists/</x:v>
      </x:c>
      <x:c r="K3" s="20" t="str">
        <x:v>Primary source-register URL; automated screening score</x:v>
      </x:c>
      <x:c r="L3" s="20" t="str">
        <x:v>2026-05-20</x:v>
      </x:c>
      <x:c r="M3" s="20" t="str">
        <x:v>2026-05-20</x:v>
      </x:c>
      <x:c r="N3" s="20" t="str">
        <x:v>GPT-5.5 Pro</x:v>
      </x:c>
      <x:c r="O3" s="20" t="str">
        <x:v>Needs review</x:v>
      </x:c>
      <x:c r="P3" s="20" t="str">
        <x:v>Screening score for Russia / PMC presence in Afghanistan; verify with country-specific evidence before final use.</x:v>
      </x:c>
    </x:row>
    <x:row r="4" ht="24" customHeight="1">
      <x:c r="A4" s="20" t="str">
        <x:v>AFG|Russia|Election interference</x:v>
      </x:c>
      <x:c r="B4" s="20" t="str">
        <x:v>Afghanistan</x:v>
      </x:c>
      <x:c r="C4" s="20" t="str">
        <x:v>AFG</x:v>
      </x:c>
      <x:c r="D4" s="20" t="str">
        <x:v>Russia</x:v>
      </x:c>
      <x:c r="E4" s="20" t="str">
        <x:v>Russian influence</x:v>
      </x:c>
      <x:c r="F4" s="20" t="str">
        <x:v>Election interference</x:v>
      </x:c>
      <x:c r="G4" s="384" t="n">
        <x:v>0</x:v>
      </x:c>
      <x:c r="H4" s="396" t="n">
        <x:v>1</x:v>
      </x:c>
      <x:c r="I4" s="20" t="str">
        <x:v>ODNI/EEAS election-FIMI source register</x:v>
      </x:c>
      <x:c r="J4" s="397" t="str">
        <x:v>https://www.dni.gov/files/ODNI/documents/assessments/ATA-2026-Unclassified-Report.pdf</x:v>
      </x:c>
      <x:c r="K4" s="20" t="str">
        <x:v>Primary source-register URL; automated screening score</x:v>
      </x:c>
      <x:c r="L4" s="20" t="str">
        <x:v>2026-05-20</x:v>
      </x:c>
      <x:c r="M4" s="20" t="str">
        <x:v>2026-05-20</x:v>
      </x:c>
      <x:c r="N4" s="20" t="str">
        <x:v>GPT-5.5 Pro</x:v>
      </x:c>
      <x:c r="O4" s="20" t="str">
        <x:v>Needs review</x:v>
      </x:c>
      <x:c r="P4" s="20" t="str">
        <x:v>Screening score for Russia / Election interference in Afghanistan; verify with country-specific evidence before final use.</x:v>
      </x:c>
    </x:row>
    <x:row r="5" ht="24" customHeight="1">
      <x:c r="A5" s="20" t="str">
        <x:v>AFG|Russia|Security contractors</x:v>
      </x:c>
      <x:c r="B5" s="20" t="str">
        <x:v>Afghanistan</x:v>
      </x:c>
      <x:c r="C5" s="20" t="str">
        <x:v>AFG</x:v>
      </x:c>
      <x:c r="D5" s="20" t="str">
        <x:v>Russia</x:v>
      </x:c>
      <x:c r="E5" s="20" t="str">
        <x:v>Russian influence</x:v>
      </x:c>
      <x:c r="F5" s="20" t="str">
        <x:v>Security contractors</x:v>
      </x:c>
      <x:c r="G5" s="384" t="n">
        <x:v>1</x:v>
      </x:c>
      <x:c r="H5" s="396" t="n">
        <x:v>2</x:v>
      </x:c>
      <x:c r="I5" s="20" t="str">
        <x:v>Council of the EU/Treasury Wagner-security source register</x:v>
      </x:c>
      <x:c r="J5" s="397" t="str">
        <x:v>https://www.consilium.europa.eu/en/press/press-releases/2023/02/25/wagner-group-council-adds-11-individuals-and-7-entities-to-eu-sanctions-lists/</x:v>
      </x:c>
      <x:c r="K5" s="20" t="str">
        <x:v>Primary source-register URL; automated screening score</x:v>
      </x:c>
      <x:c r="L5" s="20" t="str">
        <x:v>2026-05-20</x:v>
      </x:c>
      <x:c r="M5" s="20" t="str">
        <x:v>2026-05-20</x:v>
      </x:c>
      <x:c r="N5" s="20" t="str">
        <x:v>GPT-5.5 Pro</x:v>
      </x:c>
      <x:c r="O5" s="20" t="str">
        <x:v>Needs review</x:v>
      </x:c>
      <x:c r="P5" s="20" t="str">
        <x:v>Screening score for Russia / Security contractors in Afghanistan; verify with country-specific evidence before final use.</x:v>
      </x:c>
    </x:row>
    <x:row r="6" ht="24" customHeight="1">
      <x:c r="A6" s="20" t="str">
        <x:v>AFG|China|Propaganda ecosystems</x:v>
      </x:c>
      <x:c r="B6" s="20" t="str">
        <x:v>Afghanistan</x:v>
      </x:c>
      <x:c r="C6" s="20" t="str">
        <x:v>AFG</x:v>
      </x:c>
      <x:c r="D6" s="20" t="str">
        <x:v>China</x:v>
      </x:c>
      <x:c r="E6" s="20" t="str">
        <x:v>Chinese influence</x:v>
      </x:c>
      <x:c r="F6" s="20" t="str">
        <x:v>Propaganda ecosystems</x:v>
      </x:c>
      <x:c r="G6" s="384" t="n">
        <x:v>3</x:v>
      </x:c>
      <x:c r="H6" s="396" t="n">
        <x:v>3</x:v>
      </x:c>
      <x:c r="I6" s="20" t="str">
        <x:v>EEAS/ODNI China FIMI source register</x:v>
      </x:c>
      <x:c r="J6" s="397" t="str">
        <x:v>https://www.eeas.europa.eu/eeas/4th-eeas-annual-report-foreign-information-manipulation-and-interference-threats_en</x:v>
      </x:c>
      <x:c r="K6" s="20" t="str">
        <x:v>Primary source-register URL; automated screening score</x:v>
      </x:c>
      <x:c r="L6" s="20" t="str">
        <x:v>2026-05-20</x:v>
      </x:c>
      <x:c r="M6" s="20" t="str">
        <x:v>2026-05-20</x:v>
      </x:c>
      <x:c r="N6" s="20" t="str">
        <x:v>GPT-5.5 Pro</x:v>
      </x:c>
      <x:c r="O6" s="20" t="str">
        <x:v>Needs review</x:v>
      </x:c>
      <x:c r="P6" s="20" t="str">
        <x:v>Screening score for China / Propaganda ecosystems in Afghanistan; verify with country-specific evidence before final use.</x:v>
      </x:c>
    </x:row>
    <x:row r="7" ht="24" customHeight="1">
      <x:c r="A7" s="20" t="str">
        <x:v>AFG|China|PMC presence</x:v>
      </x:c>
      <x:c r="B7" s="20" t="str">
        <x:v>Afghanistan</x:v>
      </x:c>
      <x:c r="C7" s="20" t="str">
        <x:v>AFG</x:v>
      </x:c>
      <x:c r="D7" s="20" t="str">
        <x:v>China</x:v>
      </x:c>
      <x:c r="E7" s="20" t="str">
        <x:v>Chinese influence</x:v>
      </x:c>
      <x:c r="F7" s="20" t="str">
        <x:v>PMC presence</x:v>
      </x:c>
      <x:c r="G7" s="384" t="n">
        <x:v>1</x:v>
      </x:c>
      <x:c r="H7" s="396" t="n">
        <x:v>2</x:v>
      </x:c>
      <x:c r="I7" s="20" t="str">
        <x:v>MERICS/Carnegie Chinese overseas PSC source register</x:v>
      </x:c>
      <x:c r="J7" s="397" t="str">
        <x:v>https://merics.org/en/report/guardians-belt-and-road</x:v>
      </x:c>
      <x:c r="K7" s="20" t="str">
        <x:v>Primary source-register URL; automated screening score</x:v>
      </x:c>
      <x:c r="L7" s="20" t="str">
        <x:v>2026-05-20</x:v>
      </x:c>
      <x:c r="M7" s="20" t="str">
        <x:v>2026-05-20</x:v>
      </x:c>
      <x:c r="N7" s="20" t="str">
        <x:v>GPT-5.5 Pro</x:v>
      </x:c>
      <x:c r="O7" s="20" t="str">
        <x:v>Needs review</x:v>
      </x:c>
      <x:c r="P7" s="20" t="str">
        <x:v>Screening score for China / PMC presence in Afghanistan; verify with country-specific evidence before final use.</x:v>
      </x:c>
    </x:row>
    <x:row r="8" ht="24" customHeight="1">
      <x:c r="A8" s="20" t="str">
        <x:v>AFG|China|Election interference</x:v>
      </x:c>
      <x:c r="B8" s="20" t="str">
        <x:v>Afghanistan</x:v>
      </x:c>
      <x:c r="C8" s="20" t="str">
        <x:v>AFG</x:v>
      </x:c>
      <x:c r="D8" s="20" t="str">
        <x:v>China</x:v>
      </x:c>
      <x:c r="E8" s="20" t="str">
        <x:v>Chinese influence</x:v>
      </x:c>
      <x:c r="F8" s="20" t="str">
        <x:v>Election interference</x:v>
      </x:c>
      <x:c r="G8" s="384" t="n">
        <x:v>1</x:v>
      </x:c>
      <x:c r="H8" s="396" t="n">
        <x:v>2</x:v>
      </x:c>
      <x:c r="I8" s="20" t="str">
        <x:v>EEAS/ODNI China election-FIMI source register</x:v>
      </x:c>
      <x:c r="J8" s="397" t="str">
        <x:v>https://www.eeas.europa.eu/eeas/4th-eeas-annual-report-foreign-information-manipulation-and-interference-threats_en</x:v>
      </x:c>
      <x:c r="K8" s="20" t="str">
        <x:v>Primary source-register URL; automated screening score</x:v>
      </x:c>
      <x:c r="L8" s="20" t="str">
        <x:v>2026-05-20</x:v>
      </x:c>
      <x:c r="M8" s="20" t="str">
        <x:v>2026-05-20</x:v>
      </x:c>
      <x:c r="N8" s="20" t="str">
        <x:v>GPT-5.5 Pro</x:v>
      </x:c>
      <x:c r="O8" s="20" t="str">
        <x:v>Needs review</x:v>
      </x:c>
      <x:c r="P8" s="20" t="str">
        <x:v>Screening score for China / Election interference in Afghanistan; verify with country-specific evidence before final use.</x:v>
      </x:c>
    </x:row>
    <x:row r="9" ht="24" customHeight="1">
      <x:c r="A9" s="20" t="str">
        <x:v>AFG|China|Security contractors</x:v>
      </x:c>
      <x:c r="B9" s="20" t="str">
        <x:v>Afghanistan</x:v>
      </x:c>
      <x:c r="C9" s="20" t="str">
        <x:v>AFG</x:v>
      </x:c>
      <x:c r="D9" s="20" t="str">
        <x:v>China</x:v>
      </x:c>
      <x:c r="E9" s="20" t="str">
        <x:v>Chinese influence</x:v>
      </x:c>
      <x:c r="F9" s="20" t="str">
        <x:v>Security contractors</x:v>
      </x:c>
      <x:c r="G9" s="384" t="n">
        <x:v>2</x:v>
      </x:c>
      <x:c r="H9" s="396" t="n">
        <x:v>2</x:v>
      </x:c>
      <x:c r="I9" s="20" t="str">
        <x:v>MERICS/Carnegie Chinese security contractor source register</x:v>
      </x:c>
      <x:c r="J9" s="397" t="str">
        <x:v>https://merics.org/en/report/guardians-belt-and-road</x:v>
      </x:c>
      <x:c r="K9" s="20" t="str">
        <x:v>Primary source-register URL; automated screening score</x:v>
      </x:c>
      <x:c r="L9" s="20" t="str">
        <x:v>2026-05-20</x:v>
      </x:c>
      <x:c r="M9" s="20" t="str">
        <x:v>2026-05-20</x:v>
      </x:c>
      <x:c r="N9" s="20" t="str">
        <x:v>GPT-5.5 Pro</x:v>
      </x:c>
      <x:c r="O9" s="20" t="str">
        <x:v>Needs review</x:v>
      </x:c>
      <x:c r="P9" s="20" t="str">
        <x:v>Screening score for China / Security contractors in Afghanistan; verify with country-specific evidence before final use.</x:v>
      </x:c>
    </x:row>
    <x:row r="10" ht="24" customHeight="1">
      <x:c r="A10" s="20" t="str">
        <x:v>AFG|United States|Propaganda ecosystems</x:v>
      </x:c>
      <x:c r="B10" s="20" t="str">
        <x:v>Afghanistan</x:v>
      </x:c>
      <x:c r="C10" s="20" t="str">
        <x:v>AFG</x:v>
      </x:c>
      <x:c r="D10" s="20" t="str">
        <x:v>United States</x:v>
      </x:c>
      <x:c r="E10" s="20" t="str">
        <x:v>American influence</x:v>
      </x:c>
      <x:c r="F10" s="20" t="str">
        <x:v>Propaganda ecosystems</x:v>
      </x:c>
      <x:c r="G10" s="384" t="n">
        <x:v>8</x:v>
      </x:c>
      <x:c r="H10" s="396" t="n">
        <x:v>4</x:v>
      </x:c>
      <x:c r="I10" s="20" t="str">
        <x:v>USAGM public media source register</x:v>
      </x:c>
      <x:c r="J10" s="397" t="str">
        <x:v>https://www.usagm.gov/our-work/strategy-and-results/strategic-priorities/research-reports/</x:v>
      </x:c>
      <x:c r="K10" s="20" t="str">
        <x:v>Primary source-register URL; automated screening score</x:v>
      </x:c>
      <x:c r="L10" s="20" t="str">
        <x:v>2026-05-20</x:v>
      </x:c>
      <x:c r="M10" s="20" t="str">
        <x:v>2026-05-20</x:v>
      </x:c>
      <x:c r="N10" s="20" t="str">
        <x:v>GPT-5.5 Pro</x:v>
      </x:c>
      <x:c r="O10" s="20" t="str">
        <x:v>Needs review</x:v>
      </x:c>
      <x:c r="P10" s="20" t="str">
        <x:v>Screening score for United States / Propaganda ecosystems in Afghanistan; verify with country-specific evidence before final use.</x:v>
      </x:c>
    </x:row>
    <x:row r="11" ht="24" customHeight="1">
      <x:c r="A11" s="20" t="str">
        <x:v>AFG|United States|PMC presence</x:v>
      </x:c>
      <x:c r="B11" s="20" t="str">
        <x:v>Afghanistan</x:v>
      </x:c>
      <x:c r="C11" s="20" t="str">
        <x:v>AFG</x:v>
      </x:c>
      <x:c r="D11" s="20" t="str">
        <x:v>United States</x:v>
      </x:c>
      <x:c r="E11" s="20" t="str">
        <x:v>American influence</x:v>
      </x:c>
      <x:c r="F11" s="20" t="str">
        <x:v>PMC presence</x:v>
      </x:c>
      <x:c r="G11" s="384" t="n">
        <x:v>9</x:v>
      </x:c>
      <x:c r="H11" s="396" t="n">
        <x:v>5</x:v>
      </x:c>
      <x:c r="I11" s="20" t="str">
        <x:v>SAM/Greenbook U.S. security assistance contractor source register</x:v>
      </x:c>
      <x:c r="J11" s="397" t="str">
        <x:v>https://internationalpolicy.org/programs/sam/</x:v>
      </x:c>
      <x:c r="K11" s="20" t="str">
        <x:v>Primary source-register URL; automated screening score</x:v>
      </x:c>
      <x:c r="L11" s="20" t="str">
        <x:v>2026-05-20</x:v>
      </x:c>
      <x:c r="M11" s="20" t="str">
        <x:v>2026-05-20</x:v>
      </x:c>
      <x:c r="N11" s="20" t="str">
        <x:v>GPT-5.5 Pro</x:v>
      </x:c>
      <x:c r="O11" s="20" t="str">
        <x:v>Needs review</x:v>
      </x:c>
      <x:c r="P11" s="20" t="str">
        <x:v>Screening score for United States / PMC presence in Afghanistan; verify with country-specific evidence before final use.</x:v>
      </x:c>
    </x:row>
    <x:row r="12" ht="24" customHeight="1">
      <x:c r="A12" s="20" t="str">
        <x:v>AFG|United States|Election interference</x:v>
      </x:c>
      <x:c r="B12" s="20" t="str">
        <x:v>Afghanistan</x:v>
      </x:c>
      <x:c r="C12" s="20" t="str">
        <x:v>AFG</x:v>
      </x:c>
      <x:c r="D12" s="20" t="str">
        <x:v>United States</x:v>
      </x:c>
      <x:c r="E12" s="20" t="str">
        <x:v>American influence</x:v>
      </x:c>
      <x:c r="F12" s="20" t="str">
        <x:v>Election interference</x:v>
      </x:c>
      <x:c r="G12" s="384" t="n">
        <x:v>2</x:v>
      </x:c>
      <x:c r="H12" s="396" t="n">
        <x:v>2</x:v>
      </x:c>
      <x:c r="I12" s="20" t="str">
        <x:v>NED/Greenbook democracy assistance source register</x:v>
      </x:c>
      <x:c r="J12" s="397" t="str">
        <x:v>https://www.ned.org/ned-grantmaking/</x:v>
      </x:c>
      <x:c r="K12" s="20" t="str">
        <x:v>Primary source-register URL; automated screening score</x:v>
      </x:c>
      <x:c r="L12" s="20" t="str">
        <x:v>2026-05-20</x:v>
      </x:c>
      <x:c r="M12" s="20" t="str">
        <x:v>2026-05-20</x:v>
      </x:c>
      <x:c r="N12" s="20" t="str">
        <x:v>GPT-5.5 Pro</x:v>
      </x:c>
      <x:c r="O12" s="20" t="str">
        <x:v>Needs review</x:v>
      </x:c>
      <x:c r="P12" s="20" t="str">
        <x:v>Screening score for United States / Election interference in Afghanistan; verify with country-specific evidence before final use.</x:v>
      </x:c>
    </x:row>
    <x:row r="13" ht="24" customHeight="1">
      <x:c r="A13" s="20" t="str">
        <x:v>AFG|United States|Security contractors</x:v>
      </x:c>
      <x:c r="B13" s="20" t="str">
        <x:v>Afghanistan</x:v>
      </x:c>
      <x:c r="C13" s="20" t="str">
        <x:v>AFG</x:v>
      </x:c>
      <x:c r="D13" s="20" t="str">
        <x:v>United States</x:v>
      </x:c>
      <x:c r="E13" s="20" t="str">
        <x:v>American influence</x:v>
      </x:c>
      <x:c r="F13" s="20" t="str">
        <x:v>Security contractors</x:v>
      </x:c>
      <x:c r="G13" s="384" t="n">
        <x:v>9</x:v>
      </x:c>
      <x:c r="H13" s="396" t="n">
        <x:v>5</x:v>
      </x:c>
      <x:c r="I13" s="20" t="str">
        <x:v>SAM/Greenbook U.S. security contractor source register</x:v>
      </x:c>
      <x:c r="J13" s="397" t="str">
        <x:v>https://internationalpolicy.org/programs/sam/</x:v>
      </x:c>
      <x:c r="K13" s="20" t="str">
        <x:v>Primary source-register URL; automated screening score</x:v>
      </x:c>
      <x:c r="L13" s="20" t="str">
        <x:v>2026-05-20</x:v>
      </x:c>
      <x:c r="M13" s="20" t="str">
        <x:v>2026-05-20</x:v>
      </x:c>
      <x:c r="N13" s="20" t="str">
        <x:v>GPT-5.5 Pro</x:v>
      </x:c>
      <x:c r="O13" s="20" t="str">
        <x:v>Needs review</x:v>
      </x:c>
      <x:c r="P13" s="20" t="str">
        <x:v>Screening score for United States / Security contractors in Afghanistan; verify with country-specific evidence before final use.</x:v>
      </x:c>
    </x:row>
    <x:row r="14" ht="24" customHeight="1">
      <x:c r="A14" s="20" t="str">
        <x:v>AFG|European Union|Propaganda ecosystems</x:v>
      </x:c>
      <x:c r="B14" s="20" t="str">
        <x:v>Afghanistan</x:v>
      </x:c>
      <x:c r="C14" s="20" t="str">
        <x:v>AFG</x:v>
      </x:c>
      <x:c r="D14" s="20" t="str">
        <x:v>European Union</x:v>
      </x:c>
      <x:c r="E14" s="20" t="str">
        <x:v>EU influence</x:v>
      </x:c>
      <x:c r="F14" s="20" t="str">
        <x:v>Propaganda ecosystems</x:v>
      </x:c>
      <x:c r="G14" s="384" t="n">
        <x:v>2</x:v>
      </x:c>
      <x:c r="H14" s="396" t="n">
        <x:v>2</x:v>
      </x:c>
      <x:c r="I14" s="20" t="str">
        <x:v>EEAS public diplomacy source register</x:v>
      </x:c>
      <x:c r="J14" s="397" t="str">
        <x:v>https://www.eeas.europa.eu/eeas/public-diplomacy_en</x:v>
      </x:c>
      <x:c r="K14" s="20" t="str">
        <x:v>Primary source-register URL; automated screening score</x:v>
      </x:c>
      <x:c r="L14" s="20" t="str">
        <x:v>2026-05-20</x:v>
      </x:c>
      <x:c r="M14" s="20" t="str">
        <x:v>2026-05-20</x:v>
      </x:c>
      <x:c r="N14" s="20" t="str">
        <x:v>GPT-5.5 Pro</x:v>
      </x:c>
      <x:c r="O14" s="20" t="str">
        <x:v>Needs review</x:v>
      </x:c>
      <x:c r="P14" s="20" t="str">
        <x:v>Screening score for European Union / Propaganda ecosystems in Afghanistan; verify with country-specific evidence before final use.</x:v>
      </x:c>
    </x:row>
    <x:row r="15" ht="24" customHeight="1">
      <x:c r="A15" s="20" t="str">
        <x:v>AFG|European Union|PMC presence</x:v>
      </x:c>
      <x:c r="B15" s="20" t="str">
        <x:v>Afghanistan</x:v>
      </x:c>
      <x:c r="C15" s="20" t="str">
        <x:v>AFG</x:v>
      </x:c>
      <x:c r="D15" s="20" t="str">
        <x:v>European Union</x:v>
      </x:c>
      <x:c r="E15" s="20" t="str">
        <x:v>EU influence</x:v>
      </x:c>
      <x:c r="F15" s="20" t="str">
        <x:v>PMC presence</x:v>
      </x:c>
      <x:c r="G15" s="384" t="n">
        <x:v>0</x:v>
      </x:c>
      <x:c r="H15" s="396" t="n">
        <x:v>1</x:v>
      </x:c>
      <x:c r="I15" s="20" t="str">
        <x:v>EEAS CSDP missions source register</x:v>
      </x:c>
      <x:c r="J15" s="397" t="str">
        <x:v>https://www.eeas.europa.eu/eeas/missions-and-operations_en</x:v>
      </x:c>
      <x:c r="K15" s="20" t="str">
        <x:v>Primary source-register URL; automated screening score</x:v>
      </x:c>
      <x:c r="L15" s="20" t="str">
        <x:v>2026-05-20</x:v>
      </x:c>
      <x:c r="M15" s="20" t="str">
        <x:v>2026-05-20</x:v>
      </x:c>
      <x:c r="N15" s="20" t="str">
        <x:v>GPT-5.5 Pro</x:v>
      </x:c>
      <x:c r="O15" s="20" t="str">
        <x:v>Needs review</x:v>
      </x:c>
      <x:c r="P15" s="20" t="str">
        <x:v>Screening score for European Union / PMC presence in Afghanistan; verify with country-specific evidence before final use.</x:v>
      </x:c>
    </x:row>
    <x:row r="16" ht="24" customHeight="1">
      <x:c r="A16" s="20" t="str">
        <x:v>AFG|European Union|Election interference</x:v>
      </x:c>
      <x:c r="B16" s="20" t="str">
        <x:v>Afghanistan</x:v>
      </x:c>
      <x:c r="C16" s="20" t="str">
        <x:v>AFG</x:v>
      </x:c>
      <x:c r="D16" s="20" t="str">
        <x:v>European Union</x:v>
      </x:c>
      <x:c r="E16" s="20" t="str">
        <x:v>EU influence</x:v>
      </x:c>
      <x:c r="F16" s="20" t="str">
        <x:v>Election interference</x:v>
      </x:c>
      <x:c r="G16" s="384" t="n">
        <x:v>1</x:v>
      </x:c>
      <x:c r="H16" s="396" t="n">
        <x:v>2</x:v>
      </x:c>
      <x:c r="I16" s="20" t="str">
        <x:v>EEAS EU election observation source register</x:v>
      </x:c>
      <x:c r="J16" s="397" t="str">
        <x:v>https://www.eeas.europa.eu/eeas/eu-election-observation-missions-1_en?page_lang=en</x:v>
      </x:c>
      <x:c r="K16" s="20" t="str">
        <x:v>Primary source-register URL; automated screening score</x:v>
      </x:c>
      <x:c r="L16" s="20" t="str">
        <x:v>2026-05-20</x:v>
      </x:c>
      <x:c r="M16" s="20" t="str">
        <x:v>2026-05-20</x:v>
      </x:c>
      <x:c r="N16" s="20" t="str">
        <x:v>GPT-5.5 Pro</x:v>
      </x:c>
      <x:c r="O16" s="20" t="str">
        <x:v>Needs review</x:v>
      </x:c>
      <x:c r="P16" s="20" t="str">
        <x:v>Screening score for European Union / Election interference in Afghanistan; verify with country-specific evidence before final use.</x:v>
      </x:c>
    </x:row>
    <x:row r="17" ht="24" customHeight="1">
      <x:c r="A17" s="20" t="str">
        <x:v>AFG|European Union|Security contractors</x:v>
      </x:c>
      <x:c r="B17" s="20" t="str">
        <x:v>Afghanistan</x:v>
      </x:c>
      <x:c r="C17" s="20" t="str">
        <x:v>AFG</x:v>
      </x:c>
      <x:c r="D17" s="20" t="str">
        <x:v>European Union</x:v>
      </x:c>
      <x:c r="E17" s="20" t="str">
        <x:v>EU influence</x:v>
      </x:c>
      <x:c r="F17" s="20" t="str">
        <x:v>Security contractors</x:v>
      </x:c>
      <x:c r="G17" s="384" t="n">
        <x:v>2</x:v>
      </x:c>
      <x:c r="H17" s="396" t="n">
        <x:v>2</x:v>
      </x:c>
      <x:c r="I17" s="20" t="str">
        <x:v>EEAS CSDP / Global Gateway security source register</x:v>
      </x:c>
      <x:c r="J17" s="397" t="str">
        <x:v>https://www.eeas.europa.eu/eeas/missions-and-operations_en</x:v>
      </x:c>
      <x:c r="K17" s="20" t="str">
        <x:v>Primary source-register URL; automated screening score</x:v>
      </x:c>
      <x:c r="L17" s="20" t="str">
        <x:v>2026-05-20</x:v>
      </x:c>
      <x:c r="M17" s="20" t="str">
        <x:v>2026-05-20</x:v>
      </x:c>
      <x:c r="N17" s="20" t="str">
        <x:v>GPT-5.5 Pro</x:v>
      </x:c>
      <x:c r="O17" s="20" t="str">
        <x:v>Needs review</x:v>
      </x:c>
      <x:c r="P17" s="20" t="str">
        <x:v>Screening score for European Union / Security contractors in Afghanistan; verify with country-specific evidence before final use.</x:v>
      </x:c>
    </x:row>
    <x:row r="18" ht="24" customHeight="1">
      <x:c r="A18" s="20" t="str">
        <x:v>DZA|Russia|Propaganda ecosystems</x:v>
      </x:c>
      <x:c r="B18" s="20" t="str">
        <x:v>Algeria</x:v>
      </x:c>
      <x:c r="C18" s="20" t="str">
        <x:v>DZA</x:v>
      </x:c>
      <x:c r="D18" s="20" t="str">
        <x:v>Russia</x:v>
      </x:c>
      <x:c r="E18" s="20" t="str">
        <x:v>Russian influence</x:v>
      </x:c>
      <x:c r="F18" s="20" t="str">
        <x:v>Propaganda ecosystems</x:v>
      </x:c>
      <x:c r="G18" s="384" t="n">
        <x:v>5</x:v>
      </x:c>
      <x:c r="H18" s="396" t="n">
        <x:v>3</x:v>
      </x:c>
      <x:c r="I18" s="20" t="str">
        <x:v>EEAS/EUvsDisinfo FIMI source register</x:v>
      </x:c>
      <x:c r="J18" s="397" t="str">
        <x:v>https://www.eeas.europa.eu/eeas/4th-eeas-annual-report-foreign-information-manipulation-and-interference-threats_en</x:v>
      </x:c>
      <x:c r="K18" s="20" t="str">
        <x:v>Primary source-register URL; automated screening score</x:v>
      </x:c>
      <x:c r="L18" s="20" t="str">
        <x:v>2026-05-20</x:v>
      </x:c>
      <x:c r="M18" s="20" t="str">
        <x:v>2026-05-20</x:v>
      </x:c>
      <x:c r="N18" s="20" t="str">
        <x:v>GPT-5.5 Pro</x:v>
      </x:c>
      <x:c r="O18" s="20" t="str">
        <x:v>Needs review</x:v>
      </x:c>
      <x:c r="P18" s="20" t="str">
        <x:v>Screening score for Russia / Propaganda ecosystems in Algeria; verify with country-specific evidence before final use.</x:v>
      </x:c>
    </x:row>
    <x:row r="19" ht="24" customHeight="1">
      <x:c r="A19" s="20" t="str">
        <x:v>DZA|Russia|PMC presence</x:v>
      </x:c>
      <x:c r="B19" s="20" t="str">
        <x:v>Algeria</x:v>
      </x:c>
      <x:c r="C19" s="20" t="str">
        <x:v>DZA</x:v>
      </x:c>
      <x:c r="D19" s="20" t="str">
        <x:v>Russia</x:v>
      </x:c>
      <x:c r="E19" s="20" t="str">
        <x:v>Russian influence</x:v>
      </x:c>
      <x:c r="F19" s="20" t="str">
        <x:v>PMC presence</x:v>
      </x:c>
      <x:c r="G19" s="384" t="n">
        <x:v>1</x:v>
      </x:c>
      <x:c r="H19" s="396" t="n">
        <x:v>2</x:v>
      </x:c>
      <x:c r="I19" s="20" t="str">
        <x:v>Treasury and Council of the EU Wagner/PMC source register</x:v>
      </x:c>
      <x:c r="J19" s="397" t="str">
        <x:v>https://www.consilium.europa.eu/en/press/press-releases/2023/02/25/wagner-group-council-adds-11-individuals-and-7-entities-to-eu-sanctions-lists/</x:v>
      </x:c>
      <x:c r="K19" s="20" t="str">
        <x:v>Primary source-register URL; automated screening score</x:v>
      </x:c>
      <x:c r="L19" s="20" t="str">
        <x:v>2026-05-20</x:v>
      </x:c>
      <x:c r="M19" s="20" t="str">
        <x:v>2026-05-20</x:v>
      </x:c>
      <x:c r="N19" s="20" t="str">
        <x:v>GPT-5.5 Pro</x:v>
      </x:c>
      <x:c r="O19" s="20" t="str">
        <x:v>Needs review</x:v>
      </x:c>
      <x:c r="P19" s="20" t="str">
        <x:v>Screening score for Russia / PMC presence in Algeria; verify with country-specific evidence before final use.</x:v>
      </x:c>
    </x:row>
    <x:row r="20" ht="24" customHeight="1">
      <x:c r="A20" s="20" t="str">
        <x:v>DZA|Russia|Election interference</x:v>
      </x:c>
      <x:c r="B20" s="20" t="str">
        <x:v>Algeria</x:v>
      </x:c>
      <x:c r="C20" s="20" t="str">
        <x:v>DZA</x:v>
      </x:c>
      <x:c r="D20" s="20" t="str">
        <x:v>Russia</x:v>
      </x:c>
      <x:c r="E20" s="20" t="str">
        <x:v>Russian influence</x:v>
      </x:c>
      <x:c r="F20" s="20" t="str">
        <x:v>Election interference</x:v>
      </x:c>
      <x:c r="G20" s="384" t="n">
        <x:v>1</x:v>
      </x:c>
      <x:c r="H20" s="396" t="n">
        <x:v>2</x:v>
      </x:c>
      <x:c r="I20" s="20" t="str">
        <x:v>ODNI/EEAS election-FIMI source register</x:v>
      </x:c>
      <x:c r="J20" s="397" t="str">
        <x:v>https://www.dni.gov/files/ODNI/documents/assessments/ATA-2026-Unclassified-Report.pdf</x:v>
      </x:c>
      <x:c r="K20" s="20" t="str">
        <x:v>Primary source-register URL; automated screening score</x:v>
      </x:c>
      <x:c r="L20" s="20" t="str">
        <x:v>2026-05-20</x:v>
      </x:c>
      <x:c r="M20" s="20" t="str">
        <x:v>2026-05-20</x:v>
      </x:c>
      <x:c r="N20" s="20" t="str">
        <x:v>GPT-5.5 Pro</x:v>
      </x:c>
      <x:c r="O20" s="20" t="str">
        <x:v>Needs review</x:v>
      </x:c>
      <x:c r="P20" s="20" t="str">
        <x:v>Screening score for Russia / Election interference in Algeria; verify with country-specific evidence before final use.</x:v>
      </x:c>
    </x:row>
    <x:row r="21" ht="24" customHeight="1">
      <x:c r="A21" s="20" t="str">
        <x:v>DZA|Russia|Security contractors</x:v>
      </x:c>
      <x:c r="B21" s="20" t="str">
        <x:v>Algeria</x:v>
      </x:c>
      <x:c r="C21" s="20" t="str">
        <x:v>DZA</x:v>
      </x:c>
      <x:c r="D21" s="20" t="str">
        <x:v>Russia</x:v>
      </x:c>
      <x:c r="E21" s="20" t="str">
        <x:v>Russian influence</x:v>
      </x:c>
      <x:c r="F21" s="20" t="str">
        <x:v>Security contractors</x:v>
      </x:c>
      <x:c r="G21" s="384" t="n">
        <x:v>1</x:v>
      </x:c>
      <x:c r="H21" s="396" t="n">
        <x:v>2</x:v>
      </x:c>
      <x:c r="I21" s="20" t="str">
        <x:v>Council of the EU/Treasury Wagner-security source register</x:v>
      </x:c>
      <x:c r="J21" s="397" t="str">
        <x:v>https://www.consilium.europa.eu/en/press/press-releases/2023/02/25/wagner-group-council-adds-11-individuals-and-7-entities-to-eu-sanctions-lists/</x:v>
      </x:c>
      <x:c r="K21" s="20" t="str">
        <x:v>Primary source-register URL; automated screening score</x:v>
      </x:c>
      <x:c r="L21" s="20" t="str">
        <x:v>2026-05-20</x:v>
      </x:c>
      <x:c r="M21" s="20" t="str">
        <x:v>2026-05-20</x:v>
      </x:c>
      <x:c r="N21" s="20" t="str">
        <x:v>GPT-5.5 Pro</x:v>
      </x:c>
      <x:c r="O21" s="20" t="str">
        <x:v>Needs review</x:v>
      </x:c>
      <x:c r="P21" s="20" t="str">
        <x:v>Screening score for Russia / Security contractors in Algeria; verify with country-specific evidence before final use.</x:v>
      </x:c>
    </x:row>
    <x:row r="22" ht="24" customHeight="1">
      <x:c r="A22" s="20" t="str">
        <x:v>DZA|China|Propaganda ecosystems</x:v>
      </x:c>
      <x:c r="B22" s="20" t="str">
        <x:v>Algeria</x:v>
      </x:c>
      <x:c r="C22" s="20" t="str">
        <x:v>DZA</x:v>
      </x:c>
      <x:c r="D22" s="20" t="str">
        <x:v>China</x:v>
      </x:c>
      <x:c r="E22" s="20" t="str">
        <x:v>Chinese influence</x:v>
      </x:c>
      <x:c r="F22" s="20" t="str">
        <x:v>Propaganda ecosystems</x:v>
      </x:c>
      <x:c r="G22" s="384" t="n">
        <x:v>5</x:v>
      </x:c>
      <x:c r="H22" s="396" t="n">
        <x:v>3</x:v>
      </x:c>
      <x:c r="I22" s="20" t="str">
        <x:v>EEAS/ODNI China FIMI source register</x:v>
      </x:c>
      <x:c r="J22" s="397" t="str">
        <x:v>https://www.eeas.europa.eu/eeas/4th-eeas-annual-report-foreign-information-manipulation-and-interference-threats_en</x:v>
      </x:c>
      <x:c r="K22" s="20" t="str">
        <x:v>Primary source-register URL; automated screening score</x:v>
      </x:c>
      <x:c r="L22" s="20" t="str">
        <x:v>2026-05-20</x:v>
      </x:c>
      <x:c r="M22" s="20" t="str">
        <x:v>2026-05-20</x:v>
      </x:c>
      <x:c r="N22" s="20" t="str">
        <x:v>GPT-5.5 Pro</x:v>
      </x:c>
      <x:c r="O22" s="20" t="str">
        <x:v>Needs review</x:v>
      </x:c>
      <x:c r="P22" s="20" t="str">
        <x:v>Screening score for China / Propaganda ecosystems in Algeria; verify with country-specific evidence before final use.</x:v>
      </x:c>
    </x:row>
    <x:row r="23" ht="24" customHeight="1">
      <x:c r="A23" s="20" t="str">
        <x:v>DZA|China|PMC presence</x:v>
      </x:c>
      <x:c r="B23" s="20" t="str">
        <x:v>Algeria</x:v>
      </x:c>
      <x:c r="C23" s="20" t="str">
        <x:v>DZA</x:v>
      </x:c>
      <x:c r="D23" s="20" t="str">
        <x:v>China</x:v>
      </x:c>
      <x:c r="E23" s="20" t="str">
        <x:v>Chinese influence</x:v>
      </x:c>
      <x:c r="F23" s="20" t="str">
        <x:v>PMC presence</x:v>
      </x:c>
      <x:c r="G23" s="384" t="n">
        <x:v>1</x:v>
      </x:c>
      <x:c r="H23" s="396" t="n">
        <x:v>2</x:v>
      </x:c>
      <x:c r="I23" s="20" t="str">
        <x:v>MERICS/Carnegie Chinese overseas PSC source register</x:v>
      </x:c>
      <x:c r="J23" s="397" t="str">
        <x:v>https://merics.org/en/report/guardians-belt-and-road</x:v>
      </x:c>
      <x:c r="K23" s="20" t="str">
        <x:v>Primary source-register URL; automated screening score</x:v>
      </x:c>
      <x:c r="L23" s="20" t="str">
        <x:v>2026-05-20</x:v>
      </x:c>
      <x:c r="M23" s="20" t="str">
        <x:v>2026-05-20</x:v>
      </x:c>
      <x:c r="N23" s="20" t="str">
        <x:v>GPT-5.5 Pro</x:v>
      </x:c>
      <x:c r="O23" s="20" t="str">
        <x:v>Needs review</x:v>
      </x:c>
      <x:c r="P23" s="20" t="str">
        <x:v>Screening score for China / PMC presence in Algeria; verify with country-specific evidence before final use.</x:v>
      </x:c>
    </x:row>
    <x:row r="24" ht="24" customHeight="1">
      <x:c r="A24" s="20" t="str">
        <x:v>DZA|China|Election interference</x:v>
      </x:c>
      <x:c r="B24" s="20" t="str">
        <x:v>Algeria</x:v>
      </x:c>
      <x:c r="C24" s="20" t="str">
        <x:v>DZA</x:v>
      </x:c>
      <x:c r="D24" s="20" t="str">
        <x:v>China</x:v>
      </x:c>
      <x:c r="E24" s="20" t="str">
        <x:v>Chinese influence</x:v>
      </x:c>
      <x:c r="F24" s="20" t="str">
        <x:v>Election interference</x:v>
      </x:c>
      <x:c r="G24" s="384" t="n">
        <x:v>1</x:v>
      </x:c>
      <x:c r="H24" s="396" t="n">
        <x:v>2</x:v>
      </x:c>
      <x:c r="I24" s="20" t="str">
        <x:v>EEAS/ODNI China election-FIMI source register</x:v>
      </x:c>
      <x:c r="J24" s="397" t="str">
        <x:v>https://www.eeas.europa.eu/eeas/4th-eeas-annual-report-foreign-information-manipulation-and-interference-threats_en</x:v>
      </x:c>
      <x:c r="K24" s="20" t="str">
        <x:v>Primary source-register URL; automated screening score</x:v>
      </x:c>
      <x:c r="L24" s="20" t="str">
        <x:v>2026-05-20</x:v>
      </x:c>
      <x:c r="M24" s="20" t="str">
        <x:v>2026-05-20</x:v>
      </x:c>
      <x:c r="N24" s="20" t="str">
        <x:v>GPT-5.5 Pro</x:v>
      </x:c>
      <x:c r="O24" s="20" t="str">
        <x:v>Needs review</x:v>
      </x:c>
      <x:c r="P24" s="20" t="str">
        <x:v>Screening score for China / Election interference in Algeria; verify with country-specific evidence before final use.</x:v>
      </x:c>
    </x:row>
    <x:row r="25" ht="24" customHeight="1">
      <x:c r="A25" s="20" t="str">
        <x:v>DZA|China|Security contractors</x:v>
      </x:c>
      <x:c r="B25" s="20" t="str">
        <x:v>Algeria</x:v>
      </x:c>
      <x:c r="C25" s="20" t="str">
        <x:v>DZA</x:v>
      </x:c>
      <x:c r="D25" s="20" t="str">
        <x:v>China</x:v>
      </x:c>
      <x:c r="E25" s="20" t="str">
        <x:v>Chinese influence</x:v>
      </x:c>
      <x:c r="F25" s="20" t="str">
        <x:v>Security contractors</x:v>
      </x:c>
      <x:c r="G25" s="384" t="n">
        <x:v>3</x:v>
      </x:c>
      <x:c r="H25" s="396" t="n">
        <x:v>3</x:v>
      </x:c>
      <x:c r="I25" s="20" t="str">
        <x:v>MERICS/Carnegie Chinese security contractor source register</x:v>
      </x:c>
      <x:c r="J25" s="397" t="str">
        <x:v>https://merics.org/en/report/guardians-belt-and-road</x:v>
      </x:c>
      <x:c r="K25" s="20" t="str">
        <x:v>Primary source-register URL; automated screening score</x:v>
      </x:c>
      <x:c r="L25" s="20" t="str">
        <x:v>2026-05-20</x:v>
      </x:c>
      <x:c r="M25" s="20" t="str">
        <x:v>2026-05-20</x:v>
      </x:c>
      <x:c r="N25" s="20" t="str">
        <x:v>GPT-5.5 Pro</x:v>
      </x:c>
      <x:c r="O25" s="20" t="str">
        <x:v>Needs review</x:v>
      </x:c>
      <x:c r="P25" s="20" t="str">
        <x:v>Screening score for China / Security contractors in Algeria; verify with country-specific evidence before final use.</x:v>
      </x:c>
    </x:row>
    <x:row r="26" ht="24" customHeight="1">
      <x:c r="A26" s="20" t="str">
        <x:v>DZA|United States|Propaganda ecosystems</x:v>
      </x:c>
      <x:c r="B26" s="20" t="str">
        <x:v>Algeria</x:v>
      </x:c>
      <x:c r="C26" s="20" t="str">
        <x:v>DZA</x:v>
      </x:c>
      <x:c r="D26" s="20" t="str">
        <x:v>United States</x:v>
      </x:c>
      <x:c r="E26" s="20" t="str">
        <x:v>American influence</x:v>
      </x:c>
      <x:c r="F26" s="20" t="str">
        <x:v>Propaganda ecosystems</x:v>
      </x:c>
      <x:c r="G26" s="384" t="n">
        <x:v>4</x:v>
      </x:c>
      <x:c r="H26" s="396" t="n">
        <x:v>3</x:v>
      </x:c>
      <x:c r="I26" s="20" t="str">
        <x:v>USAGM public media source register</x:v>
      </x:c>
      <x:c r="J26" s="397" t="str">
        <x:v>https://www.usagm.gov/our-work/strategy-and-results/strategic-priorities/research-reports/</x:v>
      </x:c>
      <x:c r="K26" s="20" t="str">
        <x:v>Primary source-register URL; automated screening score</x:v>
      </x:c>
      <x:c r="L26" s="20" t="str">
        <x:v>2026-05-20</x:v>
      </x:c>
      <x:c r="M26" s="20" t="str">
        <x:v>2026-05-20</x:v>
      </x:c>
      <x:c r="N26" s="20" t="str">
        <x:v>GPT-5.5 Pro</x:v>
      </x:c>
      <x:c r="O26" s="20" t="str">
        <x:v>Needs review</x:v>
      </x:c>
      <x:c r="P26" s="20" t="str">
        <x:v>Screening score for United States / Propaganda ecosystems in Algeria; verify with country-specific evidence before final use.</x:v>
      </x:c>
    </x:row>
    <x:row r="27" ht="24" customHeight="1">
      <x:c r="A27" s="20" t="str">
        <x:v>DZA|United States|PMC presence</x:v>
      </x:c>
      <x:c r="B27" s="20" t="str">
        <x:v>Algeria</x:v>
      </x:c>
      <x:c r="C27" s="20" t="str">
        <x:v>DZA</x:v>
      </x:c>
      <x:c r="D27" s="20" t="str">
        <x:v>United States</x:v>
      </x:c>
      <x:c r="E27" s="20" t="str">
        <x:v>American influence</x:v>
      </x:c>
      <x:c r="F27" s="20" t="str">
        <x:v>PMC presence</x:v>
      </x:c>
      <x:c r="G27" s="384" t="n">
        <x:v>2</x:v>
      </x:c>
      <x:c r="H27" s="396" t="n">
        <x:v>2</x:v>
      </x:c>
      <x:c r="I27" s="20" t="str">
        <x:v>SAM/Greenbook U.S. security assistance contractor source register</x:v>
      </x:c>
      <x:c r="J27" s="397" t="str">
        <x:v>https://internationalpolicy.org/programs/sam/</x:v>
      </x:c>
      <x:c r="K27" s="20" t="str">
        <x:v>Primary source-register URL; automated screening score</x:v>
      </x:c>
      <x:c r="L27" s="20" t="str">
        <x:v>2026-05-20</x:v>
      </x:c>
      <x:c r="M27" s="20" t="str">
        <x:v>2026-05-20</x:v>
      </x:c>
      <x:c r="N27" s="20" t="str">
        <x:v>GPT-5.5 Pro</x:v>
      </x:c>
      <x:c r="O27" s="20" t="str">
        <x:v>Needs review</x:v>
      </x:c>
      <x:c r="P27" s="20" t="str">
        <x:v>Screening score for United States / PMC presence in Algeria; verify with country-specific evidence before final use.</x:v>
      </x:c>
    </x:row>
    <x:row r="28" ht="24" customHeight="1">
      <x:c r="A28" s="20" t="str">
        <x:v>DZA|United States|Election interference</x:v>
      </x:c>
      <x:c r="B28" s="20" t="str">
        <x:v>Algeria</x:v>
      </x:c>
      <x:c r="C28" s="20" t="str">
        <x:v>DZA</x:v>
      </x:c>
      <x:c r="D28" s="20" t="str">
        <x:v>United States</x:v>
      </x:c>
      <x:c r="E28" s="20" t="str">
        <x:v>American influence</x:v>
      </x:c>
      <x:c r="F28" s="20" t="str">
        <x:v>Election interference</x:v>
      </x:c>
      <x:c r="G28" s="384" t="n">
        <x:v>2</x:v>
      </x:c>
      <x:c r="H28" s="396" t="n">
        <x:v>2</x:v>
      </x:c>
      <x:c r="I28" s="20" t="str">
        <x:v>NED/Greenbook democracy assistance source register</x:v>
      </x:c>
      <x:c r="J28" s="397" t="str">
        <x:v>https://www.ned.org/ned-grantmaking/</x:v>
      </x:c>
      <x:c r="K28" s="20" t="str">
        <x:v>Primary source-register URL; automated screening score</x:v>
      </x:c>
      <x:c r="L28" s="20" t="str">
        <x:v>2026-05-20</x:v>
      </x:c>
      <x:c r="M28" s="20" t="str">
        <x:v>2026-05-20</x:v>
      </x:c>
      <x:c r="N28" s="20" t="str">
        <x:v>GPT-5.5 Pro</x:v>
      </x:c>
      <x:c r="O28" s="20" t="str">
        <x:v>Needs review</x:v>
      </x:c>
      <x:c r="P28" s="20" t="str">
        <x:v>Screening score for United States / Election interference in Algeria; verify with country-specific evidence before final use.</x:v>
      </x:c>
    </x:row>
    <x:row r="29" ht="24" customHeight="1">
      <x:c r="A29" s="20" t="str">
        <x:v>DZA|United States|Security contractors</x:v>
      </x:c>
      <x:c r="B29" s="20" t="str">
        <x:v>Algeria</x:v>
      </x:c>
      <x:c r="C29" s="20" t="str">
        <x:v>DZA</x:v>
      </x:c>
      <x:c r="D29" s="20" t="str">
        <x:v>United States</x:v>
      </x:c>
      <x:c r="E29" s="20" t="str">
        <x:v>American influence</x:v>
      </x:c>
      <x:c r="F29" s="20" t="str">
        <x:v>Security contractors</x:v>
      </x:c>
      <x:c r="G29" s="384" t="n">
        <x:v>3</x:v>
      </x:c>
      <x:c r="H29" s="396" t="n">
        <x:v>3</x:v>
      </x:c>
      <x:c r="I29" s="20" t="str">
        <x:v>SAM/Greenbook U.S. security contractor source register</x:v>
      </x:c>
      <x:c r="J29" s="397" t="str">
        <x:v>https://internationalpolicy.org/programs/sam/</x:v>
      </x:c>
      <x:c r="K29" s="20" t="str">
        <x:v>Primary source-register URL; automated screening score</x:v>
      </x:c>
      <x:c r="L29" s="20" t="str">
        <x:v>2026-05-20</x:v>
      </x:c>
      <x:c r="M29" s="20" t="str">
        <x:v>2026-05-20</x:v>
      </x:c>
      <x:c r="N29" s="20" t="str">
        <x:v>GPT-5.5 Pro</x:v>
      </x:c>
      <x:c r="O29" s="20" t="str">
        <x:v>Needs review</x:v>
      </x:c>
      <x:c r="P29" s="20" t="str">
        <x:v>Screening score for United States / Security contractors in Algeria; verify with country-specific evidence before final use.</x:v>
      </x:c>
    </x:row>
    <x:row r="30" ht="24" customHeight="1">
      <x:c r="A30" s="20" t="str">
        <x:v>DZA|European Union|Propaganda ecosystems</x:v>
      </x:c>
      <x:c r="B30" s="20" t="str">
        <x:v>Algeria</x:v>
      </x:c>
      <x:c r="C30" s="20" t="str">
        <x:v>DZA</x:v>
      </x:c>
      <x:c r="D30" s="20" t="str">
        <x:v>European Union</x:v>
      </x:c>
      <x:c r="E30" s="20" t="str">
        <x:v>EU influence</x:v>
      </x:c>
      <x:c r="F30" s="20" t="str">
        <x:v>Propaganda ecosystems</x:v>
      </x:c>
      <x:c r="G30" s="384" t="n">
        <x:v>3</x:v>
      </x:c>
      <x:c r="H30" s="396" t="n">
        <x:v>3</x:v>
      </x:c>
      <x:c r="I30" s="20" t="str">
        <x:v>EEAS public diplomacy source register</x:v>
      </x:c>
      <x:c r="J30" s="397" t="str">
        <x:v>https://www.eeas.europa.eu/eeas/public-diplomacy_en</x:v>
      </x:c>
      <x:c r="K30" s="20" t="str">
        <x:v>Primary source-register URL; automated screening score</x:v>
      </x:c>
      <x:c r="L30" s="20" t="str">
        <x:v>2026-05-20</x:v>
      </x:c>
      <x:c r="M30" s="20" t="str">
        <x:v>2026-05-20</x:v>
      </x:c>
      <x:c r="N30" s="20" t="str">
        <x:v>GPT-5.5 Pro</x:v>
      </x:c>
      <x:c r="O30" s="20" t="str">
        <x:v>Needs review</x:v>
      </x:c>
      <x:c r="P30" s="20" t="str">
        <x:v>Screening score for European Union / Propaganda ecosystems in Algeria; verify with country-specific evidence before final use.</x:v>
      </x:c>
    </x:row>
    <x:row r="31" ht="24" customHeight="1">
      <x:c r="A31" s="20" t="str">
        <x:v>DZA|European Union|PMC presence</x:v>
      </x:c>
      <x:c r="B31" s="20" t="str">
        <x:v>Algeria</x:v>
      </x:c>
      <x:c r="C31" s="20" t="str">
        <x:v>DZA</x:v>
      </x:c>
      <x:c r="D31" s="20" t="str">
        <x:v>European Union</x:v>
      </x:c>
      <x:c r="E31" s="20" t="str">
        <x:v>EU influence</x:v>
      </x:c>
      <x:c r="F31" s="20" t="str">
        <x:v>PMC presence</x:v>
      </x:c>
      <x:c r="G31" s="384" t="n">
        <x:v>0</x:v>
      </x:c>
      <x:c r="H31" s="396" t="n">
        <x:v>1</x:v>
      </x:c>
      <x:c r="I31" s="20" t="str">
        <x:v>EEAS CSDP missions source register</x:v>
      </x:c>
      <x:c r="J31" s="397" t="str">
        <x:v>https://www.eeas.europa.eu/eeas/missions-and-operations_en</x:v>
      </x:c>
      <x:c r="K31" s="20" t="str">
        <x:v>Primary source-register URL; automated screening score</x:v>
      </x:c>
      <x:c r="L31" s="20" t="str">
        <x:v>2026-05-20</x:v>
      </x:c>
      <x:c r="M31" s="20" t="str">
        <x:v>2026-05-20</x:v>
      </x:c>
      <x:c r="N31" s="20" t="str">
        <x:v>GPT-5.5 Pro</x:v>
      </x:c>
      <x:c r="O31" s="20" t="str">
        <x:v>Needs review</x:v>
      </x:c>
      <x:c r="P31" s="20" t="str">
        <x:v>Screening score for European Union / PMC presence in Algeria; verify with country-specific evidence before final use.</x:v>
      </x:c>
    </x:row>
    <x:row r="32" ht="24" customHeight="1">
      <x:c r="A32" s="20" t="str">
        <x:v>DZA|European Union|Election interference</x:v>
      </x:c>
      <x:c r="B32" s="20" t="str">
        <x:v>Algeria</x:v>
      </x:c>
      <x:c r="C32" s="20" t="str">
        <x:v>DZA</x:v>
      </x:c>
      <x:c r="D32" s="20" t="str">
        <x:v>European Union</x:v>
      </x:c>
      <x:c r="E32" s="20" t="str">
        <x:v>EU influence</x:v>
      </x:c>
      <x:c r="F32" s="20" t="str">
        <x:v>Election interference</x:v>
      </x:c>
      <x:c r="G32" s="384" t="n">
        <x:v>1</x:v>
      </x:c>
      <x:c r="H32" s="396" t="n">
        <x:v>2</x:v>
      </x:c>
      <x:c r="I32" s="20" t="str">
        <x:v>EEAS EU election observation source register</x:v>
      </x:c>
      <x:c r="J32" s="397" t="str">
        <x:v>https://www.eeas.europa.eu/eeas/eu-election-observation-missions-1_en?page_lang=en</x:v>
      </x:c>
      <x:c r="K32" s="20" t="str">
        <x:v>Primary source-register URL; automated screening score</x:v>
      </x:c>
      <x:c r="L32" s="20" t="str">
        <x:v>2026-05-20</x:v>
      </x:c>
      <x:c r="M32" s="20" t="str">
        <x:v>2026-05-20</x:v>
      </x:c>
      <x:c r="N32" s="20" t="str">
        <x:v>GPT-5.5 Pro</x:v>
      </x:c>
      <x:c r="O32" s="20" t="str">
        <x:v>Needs review</x:v>
      </x:c>
      <x:c r="P32" s="20" t="str">
        <x:v>Screening score for European Union / Election interference in Algeria; verify with country-specific evidence before final use.</x:v>
      </x:c>
    </x:row>
    <x:row r="33" ht="24" customHeight="1">
      <x:c r="A33" s="20" t="str">
        <x:v>DZA|European Union|Security contractors</x:v>
      </x:c>
      <x:c r="B33" s="20" t="str">
        <x:v>Algeria</x:v>
      </x:c>
      <x:c r="C33" s="20" t="str">
        <x:v>DZA</x:v>
      </x:c>
      <x:c r="D33" s="20" t="str">
        <x:v>European Union</x:v>
      </x:c>
      <x:c r="E33" s="20" t="str">
        <x:v>EU influence</x:v>
      </x:c>
      <x:c r="F33" s="20" t="str">
        <x:v>Security contractors</x:v>
      </x:c>
      <x:c r="G33" s="384" t="n">
        <x:v>2</x:v>
      </x:c>
      <x:c r="H33" s="396" t="n">
        <x:v>2</x:v>
      </x:c>
      <x:c r="I33" s="20" t="str">
        <x:v>EEAS CSDP / Global Gateway security source register</x:v>
      </x:c>
      <x:c r="J33" s="397" t="str">
        <x:v>https://www.eeas.europa.eu/eeas/missions-and-operations_en</x:v>
      </x:c>
      <x:c r="K33" s="20" t="str">
        <x:v>Primary source-register URL; automated screening score</x:v>
      </x:c>
      <x:c r="L33" s="20" t="str">
        <x:v>2026-05-20</x:v>
      </x:c>
      <x:c r="M33" s="20" t="str">
        <x:v>2026-05-20</x:v>
      </x:c>
      <x:c r="N33" s="20" t="str">
        <x:v>GPT-5.5 Pro</x:v>
      </x:c>
      <x:c r="O33" s="20" t="str">
        <x:v>Needs review</x:v>
      </x:c>
      <x:c r="P33" s="20" t="str">
        <x:v>Screening score for European Union / Security contractors in Algeria; verify with country-specific evidence before final use.</x:v>
      </x:c>
    </x:row>
    <x:row r="34" ht="24" customHeight="1">
      <x:c r="A34" s="20" t="str">
        <x:v>ARG|Russia|Propaganda ecosystems</x:v>
      </x:c>
      <x:c r="B34" s="20" t="str">
        <x:v>Argentina</x:v>
      </x:c>
      <x:c r="C34" s="20" t="str">
        <x:v>ARG</x:v>
      </x:c>
      <x:c r="D34" s="20" t="str">
        <x:v>Russia</x:v>
      </x:c>
      <x:c r="E34" s="20" t="str">
        <x:v>Russian influence</x:v>
      </x:c>
      <x:c r="F34" s="20" t="str">
        <x:v>Propaganda ecosystems</x:v>
      </x:c>
      <x:c r="G34" s="384" t="n">
        <x:v>3</x:v>
      </x:c>
      <x:c r="H34" s="396" t="n">
        <x:v>3</x:v>
      </x:c>
      <x:c r="I34" s="20" t="str">
        <x:v>EEAS/EUvsDisinfo FIMI source register</x:v>
      </x:c>
      <x:c r="J34" s="397" t="str">
        <x:v>https://www.eeas.europa.eu/eeas/4th-eeas-annual-report-foreign-information-manipulation-and-interference-threats_en</x:v>
      </x:c>
      <x:c r="K34" s="20" t="str">
        <x:v>Primary source-register URL; automated screening score</x:v>
      </x:c>
      <x:c r="L34" s="20" t="str">
        <x:v>2026-05-20</x:v>
      </x:c>
      <x:c r="M34" s="20" t="str">
        <x:v>2026-05-20</x:v>
      </x:c>
      <x:c r="N34" s="20" t="str">
        <x:v>GPT-5.5 Pro</x:v>
      </x:c>
      <x:c r="O34" s="20" t="str">
        <x:v>Needs review</x:v>
      </x:c>
      <x:c r="P34" s="20" t="str">
        <x:v>Screening score for Russia / Propaganda ecosystems in Argentina; verify with country-specific evidence before final use.</x:v>
      </x:c>
    </x:row>
    <x:row r="35" ht="24" customHeight="1">
      <x:c r="A35" s="20" t="str">
        <x:v>ARG|Russia|PMC presence</x:v>
      </x:c>
      <x:c r="B35" s="20" t="str">
        <x:v>Argentina</x:v>
      </x:c>
      <x:c r="C35" s="20" t="str">
        <x:v>ARG</x:v>
      </x:c>
      <x:c r="D35" s="20" t="str">
        <x:v>Russia</x:v>
      </x:c>
      <x:c r="E35" s="20" t="str">
        <x:v>Russian influence</x:v>
      </x:c>
      <x:c r="F35" s="20" t="str">
        <x:v>PMC presence</x:v>
      </x:c>
      <x:c r="G35" s="384" t="n">
        <x:v>0</x:v>
      </x:c>
      <x:c r="H35" s="396" t="n">
        <x:v>1</x:v>
      </x:c>
      <x:c r="I35" s="20" t="str">
        <x:v>Treasury and Council of the EU Wagner/PMC source register</x:v>
      </x:c>
      <x:c r="J35" s="397" t="str">
        <x:v>https://www.consilium.europa.eu/en/press/press-releases/2023/02/25/wagner-group-council-adds-11-individuals-and-7-entities-to-eu-sanctions-lists/</x:v>
      </x:c>
      <x:c r="K35" s="20" t="str">
        <x:v>Primary source-register URL; automated screening score</x:v>
      </x:c>
      <x:c r="L35" s="20" t="str">
        <x:v>2026-05-20</x:v>
      </x:c>
      <x:c r="M35" s="20" t="str">
        <x:v>2026-05-20</x:v>
      </x:c>
      <x:c r="N35" s="20" t="str">
        <x:v>GPT-5.5 Pro</x:v>
      </x:c>
      <x:c r="O35" s="20" t="str">
        <x:v>Needs review</x:v>
      </x:c>
      <x:c r="P35" s="20" t="str">
        <x:v>Screening score for Russia / PMC presence in Argentina; verify with country-specific evidence before final use.</x:v>
      </x:c>
    </x:row>
    <x:row r="36" ht="24" customHeight="1">
      <x:c r="A36" s="20" t="str">
        <x:v>ARG|Russia|Election interference</x:v>
      </x:c>
      <x:c r="B36" s="20" t="str">
        <x:v>Argentina</x:v>
      </x:c>
      <x:c r="C36" s="20" t="str">
        <x:v>ARG</x:v>
      </x:c>
      <x:c r="D36" s="20" t="str">
        <x:v>Russia</x:v>
      </x:c>
      <x:c r="E36" s="20" t="str">
        <x:v>Russian influence</x:v>
      </x:c>
      <x:c r="F36" s="20" t="str">
        <x:v>Election interference</x:v>
      </x:c>
      <x:c r="G36" s="384" t="n">
        <x:v>2</x:v>
      </x:c>
      <x:c r="H36" s="396" t="n">
        <x:v>2</x:v>
      </x:c>
      <x:c r="I36" s="20" t="str">
        <x:v>ODNI/EEAS election-FIMI source register</x:v>
      </x:c>
      <x:c r="J36" s="397" t="str">
        <x:v>https://www.dni.gov/files/ODNI/documents/assessments/ATA-2026-Unclassified-Report.pdf</x:v>
      </x:c>
      <x:c r="K36" s="20" t="str">
        <x:v>Primary source-register URL; automated screening score</x:v>
      </x:c>
      <x:c r="L36" s="20" t="str">
        <x:v>2026-05-20</x:v>
      </x:c>
      <x:c r="M36" s="20" t="str">
        <x:v>2026-05-20</x:v>
      </x:c>
      <x:c r="N36" s="20" t="str">
        <x:v>GPT-5.5 Pro</x:v>
      </x:c>
      <x:c r="O36" s="20" t="str">
        <x:v>Needs review</x:v>
      </x:c>
      <x:c r="P36" s="20" t="str">
        <x:v>Screening score for Russia / Election interference in Argentina; verify with country-specific evidence before final use.</x:v>
      </x:c>
    </x:row>
    <x:row r="37" ht="24" customHeight="1">
      <x:c r="A37" s="20" t="str">
        <x:v>ARG|Russia|Security contractors</x:v>
      </x:c>
      <x:c r="B37" s="20" t="str">
        <x:v>Argentina</x:v>
      </x:c>
      <x:c r="C37" s="20" t="str">
        <x:v>ARG</x:v>
      </x:c>
      <x:c r="D37" s="20" t="str">
        <x:v>Russia</x:v>
      </x:c>
      <x:c r="E37" s="20" t="str">
        <x:v>Russian influence</x:v>
      </x:c>
      <x:c r="F37" s="20" t="str">
        <x:v>Security contractors</x:v>
      </x:c>
      <x:c r="G37" s="384" t="n">
        <x:v>0</x:v>
      </x:c>
      <x:c r="H37" s="396" t="n">
        <x:v>1</x:v>
      </x:c>
      <x:c r="I37" s="20" t="str">
        <x:v>Council of the EU/Treasury Wagner-security source register</x:v>
      </x:c>
      <x:c r="J37" s="397" t="str">
        <x:v>https://www.consilium.europa.eu/en/press/press-releases/2023/02/25/wagner-group-council-adds-11-individuals-and-7-entities-to-eu-sanctions-lists/</x:v>
      </x:c>
      <x:c r="K37" s="20" t="str">
        <x:v>Primary source-register URL; automated screening score</x:v>
      </x:c>
      <x:c r="L37" s="20" t="str">
        <x:v>2026-05-20</x:v>
      </x:c>
      <x:c r="M37" s="20" t="str">
        <x:v>2026-05-20</x:v>
      </x:c>
      <x:c r="N37" s="20" t="str">
        <x:v>GPT-5.5 Pro</x:v>
      </x:c>
      <x:c r="O37" s="20" t="str">
        <x:v>Needs review</x:v>
      </x:c>
      <x:c r="P37" s="20" t="str">
        <x:v>Screening score for Russia / Security contractors in Argentina; verify with country-specific evidence before final use.</x:v>
      </x:c>
    </x:row>
    <x:row r="38" ht="24" customHeight="1">
      <x:c r="A38" s="20" t="str">
        <x:v>ARG|China|Propaganda ecosystems</x:v>
      </x:c>
      <x:c r="B38" s="20" t="str">
        <x:v>Argentina</x:v>
      </x:c>
      <x:c r="C38" s="20" t="str">
        <x:v>ARG</x:v>
      </x:c>
      <x:c r="D38" s="20" t="str">
        <x:v>China</x:v>
      </x:c>
      <x:c r="E38" s="20" t="str">
        <x:v>Chinese influence</x:v>
      </x:c>
      <x:c r="F38" s="20" t="str">
        <x:v>Propaganda ecosystems</x:v>
      </x:c>
      <x:c r="G38" s="384" t="n">
        <x:v>4</x:v>
      </x:c>
      <x:c r="H38" s="396" t="n">
        <x:v>3</x:v>
      </x:c>
      <x:c r="I38" s="20" t="str">
        <x:v>EEAS/ODNI China FIMI source register</x:v>
      </x:c>
      <x:c r="J38" s="397" t="str">
        <x:v>https://www.eeas.europa.eu/eeas/4th-eeas-annual-report-foreign-information-manipulation-and-interference-threats_en</x:v>
      </x:c>
      <x:c r="K38" s="20" t="str">
        <x:v>Primary source-register URL; automated screening score</x:v>
      </x:c>
      <x:c r="L38" s="20" t="str">
        <x:v>2026-05-20</x:v>
      </x:c>
      <x:c r="M38" s="20" t="str">
        <x:v>2026-05-20</x:v>
      </x:c>
      <x:c r="N38" s="20" t="str">
        <x:v>GPT-5.5 Pro</x:v>
      </x:c>
      <x:c r="O38" s="20" t="str">
        <x:v>Needs review</x:v>
      </x:c>
      <x:c r="P38" s="20" t="str">
        <x:v>Screening score for China / Propaganda ecosystems in Argentina; verify with country-specific evidence before final use.</x:v>
      </x:c>
    </x:row>
    <x:row r="39" ht="24" customHeight="1">
      <x:c r="A39" s="20" t="str">
        <x:v>ARG|China|PMC presence</x:v>
      </x:c>
      <x:c r="B39" s="20" t="str">
        <x:v>Argentina</x:v>
      </x:c>
      <x:c r="C39" s="20" t="str">
        <x:v>ARG</x:v>
      </x:c>
      <x:c r="D39" s="20" t="str">
        <x:v>China</x:v>
      </x:c>
      <x:c r="E39" s="20" t="str">
        <x:v>Chinese influence</x:v>
      </x:c>
      <x:c r="F39" s="20" t="str">
        <x:v>PMC presence</x:v>
      </x:c>
      <x:c r="G39" s="384" t="n">
        <x:v>0</x:v>
      </x:c>
      <x:c r="H39" s="396" t="n">
        <x:v>1</x:v>
      </x:c>
      <x:c r="I39" s="20" t="str">
        <x:v>MERICS/Carnegie Chinese overseas PSC source register</x:v>
      </x:c>
      <x:c r="J39" s="397" t="str">
        <x:v>https://merics.org/en/report/guardians-belt-and-road</x:v>
      </x:c>
      <x:c r="K39" s="20" t="str">
        <x:v>Primary source-register URL; automated screening score</x:v>
      </x:c>
      <x:c r="L39" s="20" t="str">
        <x:v>2026-05-20</x:v>
      </x:c>
      <x:c r="M39" s="20" t="str">
        <x:v>2026-05-20</x:v>
      </x:c>
      <x:c r="N39" s="20" t="str">
        <x:v>GPT-5.5 Pro</x:v>
      </x:c>
      <x:c r="O39" s="20" t="str">
        <x:v>Needs review</x:v>
      </x:c>
      <x:c r="P39" s="20" t="str">
        <x:v>Screening score for China / PMC presence in Argentina; verify with country-specific evidence before final use.</x:v>
      </x:c>
    </x:row>
    <x:row r="40" ht="24" customHeight="1">
      <x:c r="A40" s="20" t="str">
        <x:v>ARG|China|Election interference</x:v>
      </x:c>
      <x:c r="B40" s="20" t="str">
        <x:v>Argentina</x:v>
      </x:c>
      <x:c r="C40" s="20" t="str">
        <x:v>ARG</x:v>
      </x:c>
      <x:c r="D40" s="20" t="str">
        <x:v>China</x:v>
      </x:c>
      <x:c r="E40" s="20" t="str">
        <x:v>Chinese influence</x:v>
      </x:c>
      <x:c r="F40" s="20" t="str">
        <x:v>Election interference</x:v>
      </x:c>
      <x:c r="G40" s="384" t="n">
        <x:v>2</x:v>
      </x:c>
      <x:c r="H40" s="396" t="n">
        <x:v>2</x:v>
      </x:c>
      <x:c r="I40" s="20" t="str">
        <x:v>EEAS/ODNI China election-FIMI source register</x:v>
      </x:c>
      <x:c r="J40" s="397" t="str">
        <x:v>https://www.eeas.europa.eu/eeas/4th-eeas-annual-report-foreign-information-manipulation-and-interference-threats_en</x:v>
      </x:c>
      <x:c r="K40" s="20" t="str">
        <x:v>Primary source-register URL; automated screening score</x:v>
      </x:c>
      <x:c r="L40" s="20" t="str">
        <x:v>2026-05-20</x:v>
      </x:c>
      <x:c r="M40" s="20" t="str">
        <x:v>2026-05-20</x:v>
      </x:c>
      <x:c r="N40" s="20" t="str">
        <x:v>GPT-5.5 Pro</x:v>
      </x:c>
      <x:c r="O40" s="20" t="str">
        <x:v>Needs review</x:v>
      </x:c>
      <x:c r="P40" s="20" t="str">
        <x:v>Screening score for China / Election interference in Argentina; verify with country-specific evidence before final use.</x:v>
      </x:c>
    </x:row>
    <x:row r="41" ht="24" customHeight="1">
      <x:c r="A41" s="20" t="str">
        <x:v>ARG|China|Security contractors</x:v>
      </x:c>
      <x:c r="B41" s="20" t="str">
        <x:v>Argentina</x:v>
      </x:c>
      <x:c r="C41" s="20" t="str">
        <x:v>ARG</x:v>
      </x:c>
      <x:c r="D41" s="20" t="str">
        <x:v>China</x:v>
      </x:c>
      <x:c r="E41" s="20" t="str">
        <x:v>Chinese influence</x:v>
      </x:c>
      <x:c r="F41" s="20" t="str">
        <x:v>Security contractors</x:v>
      </x:c>
      <x:c r="G41" s="384" t="n">
        <x:v>0</x:v>
      </x:c>
      <x:c r="H41" s="396" t="n">
        <x:v>1</x:v>
      </x:c>
      <x:c r="I41" s="20" t="str">
        <x:v>MERICS/Carnegie Chinese security contractor source register</x:v>
      </x:c>
      <x:c r="J41" s="397" t="str">
        <x:v>https://merics.org/en/report/guardians-belt-and-road</x:v>
      </x:c>
      <x:c r="K41" s="20" t="str">
        <x:v>Primary source-register URL; automated screening score</x:v>
      </x:c>
      <x:c r="L41" s="20" t="str">
        <x:v>2026-05-20</x:v>
      </x:c>
      <x:c r="M41" s="20" t="str">
        <x:v>2026-05-20</x:v>
      </x:c>
      <x:c r="N41" s="20" t="str">
        <x:v>GPT-5.5 Pro</x:v>
      </x:c>
      <x:c r="O41" s="20" t="str">
        <x:v>Needs review</x:v>
      </x:c>
      <x:c r="P41" s="20" t="str">
        <x:v>Screening score for China / Security contractors in Argentina; verify with country-specific evidence before final use.</x:v>
      </x:c>
    </x:row>
    <x:row r="42" ht="24" customHeight="1">
      <x:c r="A42" s="20" t="str">
        <x:v>ARG|United States|Propaganda ecosystems</x:v>
      </x:c>
      <x:c r="B42" s="20" t="str">
        <x:v>Argentina</x:v>
      </x:c>
      <x:c r="C42" s="20" t="str">
        <x:v>ARG</x:v>
      </x:c>
      <x:c r="D42" s="20" t="str">
        <x:v>United States</x:v>
      </x:c>
      <x:c r="E42" s="20" t="str">
        <x:v>American influence</x:v>
      </x:c>
      <x:c r="F42" s="20" t="str">
        <x:v>Propaganda ecosystems</x:v>
      </x:c>
      <x:c r="G42" s="384" t="n">
        <x:v>3</x:v>
      </x:c>
      <x:c r="H42" s="396" t="n">
        <x:v>3</x:v>
      </x:c>
      <x:c r="I42" s="20" t="str">
        <x:v>USAGM public media source register</x:v>
      </x:c>
      <x:c r="J42" s="397" t="str">
        <x:v>https://www.usagm.gov/our-work/strategy-and-results/strategic-priorities/research-reports/</x:v>
      </x:c>
      <x:c r="K42" s="20" t="str">
        <x:v>Primary source-register URL; automated screening score</x:v>
      </x:c>
      <x:c r="L42" s="20" t="str">
        <x:v>2026-05-20</x:v>
      </x:c>
      <x:c r="M42" s="20" t="str">
        <x:v>2026-05-20</x:v>
      </x:c>
      <x:c r="N42" s="20" t="str">
        <x:v>GPT-5.5 Pro</x:v>
      </x:c>
      <x:c r="O42" s="20" t="str">
        <x:v>Needs review</x:v>
      </x:c>
      <x:c r="P42" s="20" t="str">
        <x:v>Screening score for United States / Propaganda ecosystems in Argentina; verify with country-specific evidence before final use.</x:v>
      </x:c>
    </x:row>
    <x:row r="43" ht="24" customHeight="1">
      <x:c r="A43" s="20" t="str">
        <x:v>ARG|United States|PMC presence</x:v>
      </x:c>
      <x:c r="B43" s="20" t="str">
        <x:v>Argentina</x:v>
      </x:c>
      <x:c r="C43" s="20" t="str">
        <x:v>ARG</x:v>
      </x:c>
      <x:c r="D43" s="20" t="str">
        <x:v>United States</x:v>
      </x:c>
      <x:c r="E43" s="20" t="str">
        <x:v>American influence</x:v>
      </x:c>
      <x:c r="F43" s="20" t="str">
        <x:v>PMC presence</x:v>
      </x:c>
      <x:c r="G43" s="384" t="n">
        <x:v>2</x:v>
      </x:c>
      <x:c r="H43" s="396" t="n">
        <x:v>2</x:v>
      </x:c>
      <x:c r="I43" s="20" t="str">
        <x:v>SAM/Greenbook U.S. security assistance contractor source register</x:v>
      </x:c>
      <x:c r="J43" s="397" t="str">
        <x:v>https://internationalpolicy.org/programs/sam/</x:v>
      </x:c>
      <x:c r="K43" s="20" t="str">
        <x:v>Primary source-register URL; automated screening score</x:v>
      </x:c>
      <x:c r="L43" s="20" t="str">
        <x:v>2026-05-20</x:v>
      </x:c>
      <x:c r="M43" s="20" t="str">
        <x:v>2026-05-20</x:v>
      </x:c>
      <x:c r="N43" s="20" t="str">
        <x:v>GPT-5.5 Pro</x:v>
      </x:c>
      <x:c r="O43" s="20" t="str">
        <x:v>Needs review</x:v>
      </x:c>
      <x:c r="P43" s="20" t="str">
        <x:v>Screening score for United States / PMC presence in Argentina; verify with country-specific evidence before final use.</x:v>
      </x:c>
    </x:row>
    <x:row r="44" ht="24" customHeight="1">
      <x:c r="A44" s="20" t="str">
        <x:v>ARG|United States|Election interference</x:v>
      </x:c>
      <x:c r="B44" s="20" t="str">
        <x:v>Argentina</x:v>
      </x:c>
      <x:c r="C44" s="20" t="str">
        <x:v>ARG</x:v>
      </x:c>
      <x:c r="D44" s="20" t="str">
        <x:v>United States</x:v>
      </x:c>
      <x:c r="E44" s="20" t="str">
        <x:v>American influence</x:v>
      </x:c>
      <x:c r="F44" s="20" t="str">
        <x:v>Election interference</x:v>
      </x:c>
      <x:c r="G44" s="384" t="n">
        <x:v>2</x:v>
      </x:c>
      <x:c r="H44" s="396" t="n">
        <x:v>2</x:v>
      </x:c>
      <x:c r="I44" s="20" t="str">
        <x:v>NED/Greenbook democracy assistance source register</x:v>
      </x:c>
      <x:c r="J44" s="397" t="str">
        <x:v>https://www.ned.org/ned-grantmaking/</x:v>
      </x:c>
      <x:c r="K44" s="20" t="str">
        <x:v>Primary source-register URL; automated screening score</x:v>
      </x:c>
      <x:c r="L44" s="20" t="str">
        <x:v>2026-05-20</x:v>
      </x:c>
      <x:c r="M44" s="20" t="str">
        <x:v>2026-05-20</x:v>
      </x:c>
      <x:c r="N44" s="20" t="str">
        <x:v>GPT-5.5 Pro</x:v>
      </x:c>
      <x:c r="O44" s="20" t="str">
        <x:v>Needs review</x:v>
      </x:c>
      <x:c r="P44" s="20" t="str">
        <x:v>Screening score for United States / Election interference in Argentina; verify with country-specific evidence before final use.</x:v>
      </x:c>
    </x:row>
    <x:row r="45" ht="24" customHeight="1">
      <x:c r="A45" s="20" t="str">
        <x:v>ARG|United States|Security contractors</x:v>
      </x:c>
      <x:c r="B45" s="20" t="str">
        <x:v>Argentina</x:v>
      </x:c>
      <x:c r="C45" s="20" t="str">
        <x:v>ARG</x:v>
      </x:c>
      <x:c r="D45" s="20" t="str">
        <x:v>United States</x:v>
      </x:c>
      <x:c r="E45" s="20" t="str">
        <x:v>American influence</x:v>
      </x:c>
      <x:c r="F45" s="20" t="str">
        <x:v>Security contractors</x:v>
      </x:c>
      <x:c r="G45" s="384" t="n">
        <x:v>4</x:v>
      </x:c>
      <x:c r="H45" s="396" t="n">
        <x:v>3</x:v>
      </x:c>
      <x:c r="I45" s="20" t="str">
        <x:v>SAM/Greenbook U.S. security contractor source register</x:v>
      </x:c>
      <x:c r="J45" s="397" t="str">
        <x:v>https://internationalpolicy.org/programs/sam/</x:v>
      </x:c>
      <x:c r="K45" s="20" t="str">
        <x:v>Primary source-register URL; automated screening score</x:v>
      </x:c>
      <x:c r="L45" s="20" t="str">
        <x:v>2026-05-20</x:v>
      </x:c>
      <x:c r="M45" s="20" t="str">
        <x:v>2026-05-20</x:v>
      </x:c>
      <x:c r="N45" s="20" t="str">
        <x:v>GPT-5.5 Pro</x:v>
      </x:c>
      <x:c r="O45" s="20" t="str">
        <x:v>Needs review</x:v>
      </x:c>
      <x:c r="P45" s="20" t="str">
        <x:v>Screening score for United States / Security contractors in Argentina; verify with country-specific evidence before final use.</x:v>
      </x:c>
    </x:row>
    <x:row r="46" ht="24" customHeight="1">
      <x:c r="A46" s="20" t="str">
        <x:v>ARG|European Union|Propaganda ecosystems</x:v>
      </x:c>
      <x:c r="B46" s="20" t="str">
        <x:v>Argentina</x:v>
      </x:c>
      <x:c r="C46" s="20" t="str">
        <x:v>ARG</x:v>
      </x:c>
      <x:c r="D46" s="20" t="str">
        <x:v>European Union</x:v>
      </x:c>
      <x:c r="E46" s="20" t="str">
        <x:v>EU influence</x:v>
      </x:c>
      <x:c r="F46" s="20" t="str">
        <x:v>Propaganda ecosystems</x:v>
      </x:c>
      <x:c r="G46" s="384" t="n">
        <x:v>3</x:v>
      </x:c>
      <x:c r="H46" s="396" t="n">
        <x:v>3</x:v>
      </x:c>
      <x:c r="I46" s="20" t="str">
        <x:v>EEAS public diplomacy source register</x:v>
      </x:c>
      <x:c r="J46" s="397" t="str">
        <x:v>https://www.eeas.europa.eu/eeas/public-diplomacy_en</x:v>
      </x:c>
      <x:c r="K46" s="20" t="str">
        <x:v>Primary source-register URL; automated screening score</x:v>
      </x:c>
      <x:c r="L46" s="20" t="str">
        <x:v>2026-05-20</x:v>
      </x:c>
      <x:c r="M46" s="20" t="str">
        <x:v>2026-05-20</x:v>
      </x:c>
      <x:c r="N46" s="20" t="str">
        <x:v>GPT-5.5 Pro</x:v>
      </x:c>
      <x:c r="O46" s="20" t="str">
        <x:v>Needs review</x:v>
      </x:c>
      <x:c r="P46" s="20" t="str">
        <x:v>Screening score for European Union / Propaganda ecosystems in Argentina; verify with country-specific evidence before final use.</x:v>
      </x:c>
    </x:row>
    <x:row r="47" ht="24" customHeight="1">
      <x:c r="A47" s="20" t="str">
        <x:v>ARG|European Union|PMC presence</x:v>
      </x:c>
      <x:c r="B47" s="20" t="str">
        <x:v>Argentina</x:v>
      </x:c>
      <x:c r="C47" s="20" t="str">
        <x:v>ARG</x:v>
      </x:c>
      <x:c r="D47" s="20" t="str">
        <x:v>European Union</x:v>
      </x:c>
      <x:c r="E47" s="20" t="str">
        <x:v>EU influence</x:v>
      </x:c>
      <x:c r="F47" s="20" t="str">
        <x:v>PMC presence</x:v>
      </x:c>
      <x:c r="G47" s="384" t="n">
        <x:v>0</x:v>
      </x:c>
      <x:c r="H47" s="396" t="n">
        <x:v>1</x:v>
      </x:c>
      <x:c r="I47" s="20" t="str">
        <x:v>EEAS CSDP missions source register</x:v>
      </x:c>
      <x:c r="J47" s="397" t="str">
        <x:v>https://www.eeas.europa.eu/eeas/missions-and-operations_en</x:v>
      </x:c>
      <x:c r="K47" s="20" t="str">
        <x:v>Primary source-register URL; automated screening score</x:v>
      </x:c>
      <x:c r="L47" s="20" t="str">
        <x:v>2026-05-20</x:v>
      </x:c>
      <x:c r="M47" s="20" t="str">
        <x:v>2026-05-20</x:v>
      </x:c>
      <x:c r="N47" s="20" t="str">
        <x:v>GPT-5.5 Pro</x:v>
      </x:c>
      <x:c r="O47" s="20" t="str">
        <x:v>Needs review</x:v>
      </x:c>
      <x:c r="P47" s="20" t="str">
        <x:v>Screening score for European Union / PMC presence in Argentina; verify with country-specific evidence before final use.</x:v>
      </x:c>
    </x:row>
    <x:row r="48" ht="24" customHeight="1">
      <x:c r="A48" s="20" t="str">
        <x:v>ARG|European Union|Election interference</x:v>
      </x:c>
      <x:c r="B48" s="20" t="str">
        <x:v>Argentina</x:v>
      </x:c>
      <x:c r="C48" s="20" t="str">
        <x:v>ARG</x:v>
      </x:c>
      <x:c r="D48" s="20" t="str">
        <x:v>European Union</x:v>
      </x:c>
      <x:c r="E48" s="20" t="str">
        <x:v>EU influence</x:v>
      </x:c>
      <x:c r="F48" s="20" t="str">
        <x:v>Election interference</x:v>
      </x:c>
      <x:c r="G48" s="384" t="n">
        <x:v>1</x:v>
      </x:c>
      <x:c r="H48" s="396" t="n">
        <x:v>2</x:v>
      </x:c>
      <x:c r="I48" s="20" t="str">
        <x:v>EEAS EU election observation source register</x:v>
      </x:c>
      <x:c r="J48" s="397" t="str">
        <x:v>https://www.eeas.europa.eu/eeas/eu-election-observation-missions-1_en?page_lang=en</x:v>
      </x:c>
      <x:c r="K48" s="20" t="str">
        <x:v>Primary source-register URL; automated screening score</x:v>
      </x:c>
      <x:c r="L48" s="20" t="str">
        <x:v>2026-05-20</x:v>
      </x:c>
      <x:c r="M48" s="20" t="str">
        <x:v>2026-05-20</x:v>
      </x:c>
      <x:c r="N48" s="20" t="str">
        <x:v>GPT-5.5 Pro</x:v>
      </x:c>
      <x:c r="O48" s="20" t="str">
        <x:v>Needs review</x:v>
      </x:c>
      <x:c r="P48" s="20" t="str">
        <x:v>Screening score for European Union / Election interference in Argentina; verify with country-specific evidence before final use.</x:v>
      </x:c>
    </x:row>
    <x:row r="49" ht="24" customHeight="1">
      <x:c r="A49" s="20" t="str">
        <x:v>ARG|European Union|Security contractors</x:v>
      </x:c>
      <x:c r="B49" s="20" t="str">
        <x:v>Argentina</x:v>
      </x:c>
      <x:c r="C49" s="20" t="str">
        <x:v>ARG</x:v>
      </x:c>
      <x:c r="D49" s="20" t="str">
        <x:v>European Union</x:v>
      </x:c>
      <x:c r="E49" s="20" t="str">
        <x:v>EU influence</x:v>
      </x:c>
      <x:c r="F49" s="20" t="str">
        <x:v>Security contractors</x:v>
      </x:c>
      <x:c r="G49" s="384" t="n">
        <x:v>2</x:v>
      </x:c>
      <x:c r="H49" s="396" t="n">
        <x:v>2</x:v>
      </x:c>
      <x:c r="I49" s="20" t="str">
        <x:v>EEAS CSDP / Global Gateway security source register</x:v>
      </x:c>
      <x:c r="J49" s="397" t="str">
        <x:v>https://www.eeas.europa.eu/eeas/missions-and-operations_en</x:v>
      </x:c>
      <x:c r="K49" s="20" t="str">
        <x:v>Primary source-register URL; automated screening score</x:v>
      </x:c>
      <x:c r="L49" s="20" t="str">
        <x:v>2026-05-20</x:v>
      </x:c>
      <x:c r="M49" s="20" t="str">
        <x:v>2026-05-20</x:v>
      </x:c>
      <x:c r="N49" s="20" t="str">
        <x:v>GPT-5.5 Pro</x:v>
      </x:c>
      <x:c r="O49" s="20" t="str">
        <x:v>Needs review</x:v>
      </x:c>
      <x:c r="P49" s="20" t="str">
        <x:v>Screening score for European Union / Security contractors in Argentina; verify with country-specific evidence before final use.</x:v>
      </x:c>
    </x:row>
    <x:row r="50" ht="24" customHeight="1">
      <x:c r="A50" s="20" t="str">
        <x:v>ARM|Russia|Propaganda ecosystems</x:v>
      </x:c>
      <x:c r="B50" s="20" t="str">
        <x:v>Armenia</x:v>
      </x:c>
      <x:c r="C50" s="20" t="str">
        <x:v>ARM</x:v>
      </x:c>
      <x:c r="D50" s="20" t="str">
        <x:v>Russia</x:v>
      </x:c>
      <x:c r="E50" s="20" t="str">
        <x:v>Russian influence</x:v>
      </x:c>
      <x:c r="F50" s="20" t="str">
        <x:v>Propaganda ecosystems</x:v>
      </x:c>
      <x:c r="G50" s="384" t="n">
        <x:v>7</x:v>
      </x:c>
      <x:c r="H50" s="396" t="n">
        <x:v>4</x:v>
      </x:c>
      <x:c r="I50" s="20" t="str">
        <x:v>EEAS/EUvsDisinfo FIMI source register</x:v>
      </x:c>
      <x:c r="J50" s="397" t="str">
        <x:v>https://www.eeas.europa.eu/eeas/4th-eeas-annual-report-foreign-information-manipulation-and-interference-threats_en</x:v>
      </x:c>
      <x:c r="K50" s="20" t="str">
        <x:v>Primary source-register URL; automated screening score</x:v>
      </x:c>
      <x:c r="L50" s="20" t="str">
        <x:v>2026-05-20</x:v>
      </x:c>
      <x:c r="M50" s="20" t="str">
        <x:v>2026-05-20</x:v>
      </x:c>
      <x:c r="N50" s="20" t="str">
        <x:v>GPT-5.5 Pro</x:v>
      </x:c>
      <x:c r="O50" s="20" t="str">
        <x:v>Needs review</x:v>
      </x:c>
      <x:c r="P50" s="20" t="str">
        <x:v>Screening score for Russia / Propaganda ecosystems in Armenia; verify with country-specific evidence before final use.</x:v>
      </x:c>
    </x:row>
    <x:row r="51" ht="24" customHeight="1">
      <x:c r="A51" s="20" t="str">
        <x:v>ARM|Russia|PMC presence</x:v>
      </x:c>
      <x:c r="B51" s="20" t="str">
        <x:v>Armenia</x:v>
      </x:c>
      <x:c r="C51" s="20" t="str">
        <x:v>ARM</x:v>
      </x:c>
      <x:c r="D51" s="20" t="str">
        <x:v>Russia</x:v>
      </x:c>
      <x:c r="E51" s="20" t="str">
        <x:v>Russian influence</x:v>
      </x:c>
      <x:c r="F51" s="20" t="str">
        <x:v>PMC presence</x:v>
      </x:c>
      <x:c r="G51" s="384" t="n">
        <x:v>0</x:v>
      </x:c>
      <x:c r="H51" s="396" t="n">
        <x:v>1</x:v>
      </x:c>
      <x:c r="I51" s="20" t="str">
        <x:v>Treasury and Council of the EU Wagner/PMC source register</x:v>
      </x:c>
      <x:c r="J51" s="397" t="str">
        <x:v>https://www.consilium.europa.eu/en/press/press-releases/2023/02/25/wagner-group-council-adds-11-individuals-and-7-entities-to-eu-sanctions-lists/</x:v>
      </x:c>
      <x:c r="K51" s="20" t="str">
        <x:v>Primary source-register URL; automated screening score</x:v>
      </x:c>
      <x:c r="L51" s="20" t="str">
        <x:v>2026-05-20</x:v>
      </x:c>
      <x:c r="M51" s="20" t="str">
        <x:v>2026-05-20</x:v>
      </x:c>
      <x:c r="N51" s="20" t="str">
        <x:v>GPT-5.5 Pro</x:v>
      </x:c>
      <x:c r="O51" s="20" t="str">
        <x:v>Needs review</x:v>
      </x:c>
      <x:c r="P51" s="20" t="str">
        <x:v>Screening score for Russia / PMC presence in Armenia; verify with country-specific evidence before final use.</x:v>
      </x:c>
    </x:row>
    <x:row r="52" ht="24" customHeight="1">
      <x:c r="A52" s="20" t="str">
        <x:v>ARM|Russia|Election interference</x:v>
      </x:c>
      <x:c r="B52" s="20" t="str">
        <x:v>Armenia</x:v>
      </x:c>
      <x:c r="C52" s="20" t="str">
        <x:v>ARM</x:v>
      </x:c>
      <x:c r="D52" s="20" t="str">
        <x:v>Russia</x:v>
      </x:c>
      <x:c r="E52" s="20" t="str">
        <x:v>Russian influence</x:v>
      </x:c>
      <x:c r="F52" s="20" t="str">
        <x:v>Election interference</x:v>
      </x:c>
      <x:c r="G52" s="384" t="n">
        <x:v>0</x:v>
      </x:c>
      <x:c r="H52" s="396" t="n">
        <x:v>1</x:v>
      </x:c>
      <x:c r="I52" s="20" t="str">
        <x:v>ODNI/EEAS election-FIMI source register</x:v>
      </x:c>
      <x:c r="J52" s="397" t="str">
        <x:v>https://www.dni.gov/files/ODNI/documents/assessments/ATA-2026-Unclassified-Report.pdf</x:v>
      </x:c>
      <x:c r="K52" s="20" t="str">
        <x:v>Primary source-register URL; automated screening score</x:v>
      </x:c>
      <x:c r="L52" s="20" t="str">
        <x:v>2026-05-20</x:v>
      </x:c>
      <x:c r="M52" s="20" t="str">
        <x:v>2026-05-20</x:v>
      </x:c>
      <x:c r="N52" s="20" t="str">
        <x:v>GPT-5.5 Pro</x:v>
      </x:c>
      <x:c r="O52" s="20" t="str">
        <x:v>Needs review</x:v>
      </x:c>
      <x:c r="P52" s="20" t="str">
        <x:v>Screening score for Russia / Election interference in Armenia; verify with country-specific evidence before final use.</x:v>
      </x:c>
    </x:row>
    <x:row r="53" ht="24" customHeight="1">
      <x:c r="A53" s="20" t="str">
        <x:v>ARM|Russia|Security contractors</x:v>
      </x:c>
      <x:c r="B53" s="20" t="str">
        <x:v>Armenia</x:v>
      </x:c>
      <x:c r="C53" s="20" t="str">
        <x:v>ARM</x:v>
      </x:c>
      <x:c r="D53" s="20" t="str">
        <x:v>Russia</x:v>
      </x:c>
      <x:c r="E53" s="20" t="str">
        <x:v>Russian influence</x:v>
      </x:c>
      <x:c r="F53" s="20" t="str">
        <x:v>Security contractors</x:v>
      </x:c>
      <x:c r="G53" s="384" t="n">
        <x:v>0</x:v>
      </x:c>
      <x:c r="H53" s="396" t="n">
        <x:v>1</x:v>
      </x:c>
      <x:c r="I53" s="20" t="str">
        <x:v>Council of the EU/Treasury Wagner-security source register</x:v>
      </x:c>
      <x:c r="J53" s="397" t="str">
        <x:v>https://www.consilium.europa.eu/en/press/press-releases/2023/02/25/wagner-group-council-adds-11-individuals-and-7-entities-to-eu-sanctions-lists/</x:v>
      </x:c>
      <x:c r="K53" s="20" t="str">
        <x:v>Primary source-register URL; automated screening score</x:v>
      </x:c>
      <x:c r="L53" s="20" t="str">
        <x:v>2026-05-20</x:v>
      </x:c>
      <x:c r="M53" s="20" t="str">
        <x:v>2026-05-20</x:v>
      </x:c>
      <x:c r="N53" s="20" t="str">
        <x:v>GPT-5.5 Pro</x:v>
      </x:c>
      <x:c r="O53" s="20" t="str">
        <x:v>Needs review</x:v>
      </x:c>
      <x:c r="P53" s="20" t="str">
        <x:v>Screening score for Russia / Security contractors in Armenia; verify with country-specific evidence before final use.</x:v>
      </x:c>
    </x:row>
    <x:row r="54" ht="24" customHeight="1">
      <x:c r="A54" s="20" t="str">
        <x:v>ARM|China|Propaganda ecosystems</x:v>
      </x:c>
      <x:c r="B54" s="20" t="str">
        <x:v>Armenia</x:v>
      </x:c>
      <x:c r="C54" s="20" t="str">
        <x:v>ARM</x:v>
      </x:c>
      <x:c r="D54" s="20" t="str">
        <x:v>China</x:v>
      </x:c>
      <x:c r="E54" s="20" t="str">
        <x:v>Chinese influence</x:v>
      </x:c>
      <x:c r="F54" s="20" t="str">
        <x:v>Propaganda ecosystems</x:v>
      </x:c>
      <x:c r="G54" s="384" t="n">
        <x:v>3</x:v>
      </x:c>
      <x:c r="H54" s="396" t="n">
        <x:v>3</x:v>
      </x:c>
      <x:c r="I54" s="20" t="str">
        <x:v>EEAS/ODNI China FIMI source register</x:v>
      </x:c>
      <x:c r="J54" s="397" t="str">
        <x:v>https://www.eeas.europa.eu/eeas/4th-eeas-annual-report-foreign-information-manipulation-and-interference-threats_en</x:v>
      </x:c>
      <x:c r="K54" s="20" t="str">
        <x:v>Primary source-register URL; automated screening score</x:v>
      </x:c>
      <x:c r="L54" s="20" t="str">
        <x:v>2026-05-20</x:v>
      </x:c>
      <x:c r="M54" s="20" t="str">
        <x:v>2026-05-20</x:v>
      </x:c>
      <x:c r="N54" s="20" t="str">
        <x:v>GPT-5.5 Pro</x:v>
      </x:c>
      <x:c r="O54" s="20" t="str">
        <x:v>Needs review</x:v>
      </x:c>
      <x:c r="P54" s="20" t="str">
        <x:v>Screening score for China / Propaganda ecosystems in Armenia; verify with country-specific evidence before final use.</x:v>
      </x:c>
    </x:row>
    <x:row r="55" ht="24" customHeight="1">
      <x:c r="A55" s="20" t="str">
        <x:v>ARM|China|PMC presence</x:v>
      </x:c>
      <x:c r="B55" s="20" t="str">
        <x:v>Armenia</x:v>
      </x:c>
      <x:c r="C55" s="20" t="str">
        <x:v>ARM</x:v>
      </x:c>
      <x:c r="D55" s="20" t="str">
        <x:v>China</x:v>
      </x:c>
      <x:c r="E55" s="20" t="str">
        <x:v>Chinese influence</x:v>
      </x:c>
      <x:c r="F55" s="20" t="str">
        <x:v>PMC presence</x:v>
      </x:c>
      <x:c r="G55" s="384" t="n">
        <x:v>0</x:v>
      </x:c>
      <x:c r="H55" s="396" t="n">
        <x:v>1</x:v>
      </x:c>
      <x:c r="I55" s="20" t="str">
        <x:v>MERICS/Carnegie Chinese overseas PSC source register</x:v>
      </x:c>
      <x:c r="J55" s="397" t="str">
        <x:v>https://merics.org/en/report/guardians-belt-and-road</x:v>
      </x:c>
      <x:c r="K55" s="20" t="str">
        <x:v>Primary source-register URL; automated screening score</x:v>
      </x:c>
      <x:c r="L55" s="20" t="str">
        <x:v>2026-05-20</x:v>
      </x:c>
      <x:c r="M55" s="20" t="str">
        <x:v>2026-05-20</x:v>
      </x:c>
      <x:c r="N55" s="20" t="str">
        <x:v>GPT-5.5 Pro</x:v>
      </x:c>
      <x:c r="O55" s="20" t="str">
        <x:v>Needs review</x:v>
      </x:c>
      <x:c r="P55" s="20" t="str">
        <x:v>Screening score for China / PMC presence in Armenia; verify with country-specific evidence before final use.</x:v>
      </x:c>
    </x:row>
    <x:row r="56" ht="24" customHeight="1">
      <x:c r="A56" s="20" t="str">
        <x:v>ARM|China|Election interference</x:v>
      </x:c>
      <x:c r="B56" s="20" t="str">
        <x:v>Armenia</x:v>
      </x:c>
      <x:c r="C56" s="20" t="str">
        <x:v>ARM</x:v>
      </x:c>
      <x:c r="D56" s="20" t="str">
        <x:v>China</x:v>
      </x:c>
      <x:c r="E56" s="20" t="str">
        <x:v>Chinese influence</x:v>
      </x:c>
      <x:c r="F56" s="20" t="str">
        <x:v>Election interference</x:v>
      </x:c>
      <x:c r="G56" s="384" t="n">
        <x:v>1</x:v>
      </x:c>
      <x:c r="H56" s="396" t="n">
        <x:v>2</x:v>
      </x:c>
      <x:c r="I56" s="20" t="str">
        <x:v>EEAS/ODNI China election-FIMI source register</x:v>
      </x:c>
      <x:c r="J56" s="397" t="str">
        <x:v>https://www.eeas.europa.eu/eeas/4th-eeas-annual-report-foreign-information-manipulation-and-interference-threats_en</x:v>
      </x:c>
      <x:c r="K56" s="20" t="str">
        <x:v>Primary source-register URL; automated screening score</x:v>
      </x:c>
      <x:c r="L56" s="20" t="str">
        <x:v>2026-05-20</x:v>
      </x:c>
      <x:c r="M56" s="20" t="str">
        <x:v>2026-05-20</x:v>
      </x:c>
      <x:c r="N56" s="20" t="str">
        <x:v>GPT-5.5 Pro</x:v>
      </x:c>
      <x:c r="O56" s="20" t="str">
        <x:v>Needs review</x:v>
      </x:c>
      <x:c r="P56" s="20" t="str">
        <x:v>Screening score for China / Election interference in Armenia; verify with country-specific evidence before final use.</x:v>
      </x:c>
    </x:row>
    <x:row r="57" ht="24" customHeight="1">
      <x:c r="A57" s="20" t="str">
        <x:v>ARM|China|Security contractors</x:v>
      </x:c>
      <x:c r="B57" s="20" t="str">
        <x:v>Armenia</x:v>
      </x:c>
      <x:c r="C57" s="20" t="str">
        <x:v>ARM</x:v>
      </x:c>
      <x:c r="D57" s="20" t="str">
        <x:v>China</x:v>
      </x:c>
      <x:c r="E57" s="20" t="str">
        <x:v>Chinese influence</x:v>
      </x:c>
      <x:c r="F57" s="20" t="str">
        <x:v>Security contractors</x:v>
      </x:c>
      <x:c r="G57" s="384" t="n">
        <x:v>1</x:v>
      </x:c>
      <x:c r="H57" s="396" t="n">
        <x:v>2</x:v>
      </x:c>
      <x:c r="I57" s="20" t="str">
        <x:v>MERICS/Carnegie Chinese security contractor source register</x:v>
      </x:c>
      <x:c r="J57" s="397" t="str">
        <x:v>https://merics.org/en/report/guardians-belt-and-road</x:v>
      </x:c>
      <x:c r="K57" s="20" t="str">
        <x:v>Primary source-register URL; automated screening score</x:v>
      </x:c>
      <x:c r="L57" s="20" t="str">
        <x:v>2026-05-20</x:v>
      </x:c>
      <x:c r="M57" s="20" t="str">
        <x:v>2026-05-20</x:v>
      </x:c>
      <x:c r="N57" s="20" t="str">
        <x:v>GPT-5.5 Pro</x:v>
      </x:c>
      <x:c r="O57" s="20" t="str">
        <x:v>Needs review</x:v>
      </x:c>
      <x:c r="P57" s="20" t="str">
        <x:v>Screening score for China / Security contractors in Armenia; verify with country-specific evidence before final use.</x:v>
      </x:c>
    </x:row>
    <x:row r="58" ht="24" customHeight="1">
      <x:c r="A58" s="20" t="str">
        <x:v>ARM|United States|Propaganda ecosystems</x:v>
      </x:c>
      <x:c r="B58" s="20" t="str">
        <x:v>Armenia</x:v>
      </x:c>
      <x:c r="C58" s="20" t="str">
        <x:v>ARM</x:v>
      </x:c>
      <x:c r="D58" s="20" t="str">
        <x:v>United States</x:v>
      </x:c>
      <x:c r="E58" s="20" t="str">
        <x:v>American influence</x:v>
      </x:c>
      <x:c r="F58" s="20" t="str">
        <x:v>Propaganda ecosystems</x:v>
      </x:c>
      <x:c r="G58" s="384" t="n">
        <x:v>6</x:v>
      </x:c>
      <x:c r="H58" s="396" t="n">
        <x:v>4</x:v>
      </x:c>
      <x:c r="I58" s="20" t="str">
        <x:v>USAGM public media source register</x:v>
      </x:c>
      <x:c r="J58" s="397" t="str">
        <x:v>https://www.usagm.gov/our-work/strategy-and-results/strategic-priorities/research-reports/</x:v>
      </x:c>
      <x:c r="K58" s="20" t="str">
        <x:v>Primary source-register URL; automated screening score</x:v>
      </x:c>
      <x:c r="L58" s="20" t="str">
        <x:v>2026-05-20</x:v>
      </x:c>
      <x:c r="M58" s="20" t="str">
        <x:v>2026-05-20</x:v>
      </x:c>
      <x:c r="N58" s="20" t="str">
        <x:v>GPT-5.5 Pro</x:v>
      </x:c>
      <x:c r="O58" s="20" t="str">
        <x:v>Needs review</x:v>
      </x:c>
      <x:c r="P58" s="20" t="str">
        <x:v>Screening score for United States / Propaganda ecosystems in Armenia; verify with country-specific evidence before final use.</x:v>
      </x:c>
    </x:row>
    <x:row r="59" ht="24" customHeight="1">
      <x:c r="A59" s="20" t="str">
        <x:v>ARM|United States|PMC presence</x:v>
      </x:c>
      <x:c r="B59" s="20" t="str">
        <x:v>Armenia</x:v>
      </x:c>
      <x:c r="C59" s="20" t="str">
        <x:v>ARM</x:v>
      </x:c>
      <x:c r="D59" s="20" t="str">
        <x:v>United States</x:v>
      </x:c>
      <x:c r="E59" s="20" t="str">
        <x:v>American influence</x:v>
      </x:c>
      <x:c r="F59" s="20" t="str">
        <x:v>PMC presence</x:v>
      </x:c>
      <x:c r="G59" s="384" t="n">
        <x:v>1</x:v>
      </x:c>
      <x:c r="H59" s="396" t="n">
        <x:v>2</x:v>
      </x:c>
      <x:c r="I59" s="20" t="str">
        <x:v>SAM/Greenbook U.S. security assistance contractor source register</x:v>
      </x:c>
      <x:c r="J59" s="397" t="str">
        <x:v>https://internationalpolicy.org/programs/sam/</x:v>
      </x:c>
      <x:c r="K59" s="20" t="str">
        <x:v>Primary source-register URL; automated screening score</x:v>
      </x:c>
      <x:c r="L59" s="20" t="str">
        <x:v>2026-05-20</x:v>
      </x:c>
      <x:c r="M59" s="20" t="str">
        <x:v>2026-05-20</x:v>
      </x:c>
      <x:c r="N59" s="20" t="str">
        <x:v>GPT-5.5 Pro</x:v>
      </x:c>
      <x:c r="O59" s="20" t="str">
        <x:v>Needs review</x:v>
      </x:c>
      <x:c r="P59" s="20" t="str">
        <x:v>Screening score for United States / PMC presence in Armenia; verify with country-specific evidence before final use.</x:v>
      </x:c>
    </x:row>
    <x:row r="60" ht="24" customHeight="1">
      <x:c r="A60" s="20" t="str">
        <x:v>ARM|United States|Election interference</x:v>
      </x:c>
      <x:c r="B60" s="20" t="str">
        <x:v>Armenia</x:v>
      </x:c>
      <x:c r="C60" s="20" t="str">
        <x:v>ARM</x:v>
      </x:c>
      <x:c r="D60" s="20" t="str">
        <x:v>United States</x:v>
      </x:c>
      <x:c r="E60" s="20" t="str">
        <x:v>American influence</x:v>
      </x:c>
      <x:c r="F60" s="20" t="str">
        <x:v>Election interference</x:v>
      </x:c>
      <x:c r="G60" s="384" t="n">
        <x:v>3</x:v>
      </x:c>
      <x:c r="H60" s="396" t="n">
        <x:v>3</x:v>
      </x:c>
      <x:c r="I60" s="20" t="str">
        <x:v>NED/Greenbook democracy assistance source register</x:v>
      </x:c>
      <x:c r="J60" s="397" t="str">
        <x:v>https://www.ned.org/ned-grantmaking/</x:v>
      </x:c>
      <x:c r="K60" s="20" t="str">
        <x:v>Primary source-register URL; automated screening score</x:v>
      </x:c>
      <x:c r="L60" s="20" t="str">
        <x:v>2026-05-20</x:v>
      </x:c>
      <x:c r="M60" s="20" t="str">
        <x:v>2026-05-20</x:v>
      </x:c>
      <x:c r="N60" s="20" t="str">
        <x:v>GPT-5.5 Pro</x:v>
      </x:c>
      <x:c r="O60" s="20" t="str">
        <x:v>Needs review</x:v>
      </x:c>
      <x:c r="P60" s="20" t="str">
        <x:v>Screening score for United States / Election interference in Armenia; verify with country-specific evidence before final use.</x:v>
      </x:c>
    </x:row>
    <x:row r="61" ht="24" customHeight="1">
      <x:c r="A61" s="20" t="str">
        <x:v>ARM|United States|Security contractors</x:v>
      </x:c>
      <x:c r="B61" s="20" t="str">
        <x:v>Armenia</x:v>
      </x:c>
      <x:c r="C61" s="20" t="str">
        <x:v>ARM</x:v>
      </x:c>
      <x:c r="D61" s="20" t="str">
        <x:v>United States</x:v>
      </x:c>
      <x:c r="E61" s="20" t="str">
        <x:v>American influence</x:v>
      </x:c>
      <x:c r="F61" s="20" t="str">
        <x:v>Security contractors</x:v>
      </x:c>
      <x:c r="G61" s="384" t="n">
        <x:v>2</x:v>
      </x:c>
      <x:c r="H61" s="396" t="n">
        <x:v>2</x:v>
      </x:c>
      <x:c r="I61" s="20" t="str">
        <x:v>SAM/Greenbook U.S. security contractor source register</x:v>
      </x:c>
      <x:c r="J61" s="397" t="str">
        <x:v>https://internationalpolicy.org/programs/sam/</x:v>
      </x:c>
      <x:c r="K61" s="20" t="str">
        <x:v>Primary source-register URL; automated screening score</x:v>
      </x:c>
      <x:c r="L61" s="20" t="str">
        <x:v>2026-05-20</x:v>
      </x:c>
      <x:c r="M61" s="20" t="str">
        <x:v>2026-05-20</x:v>
      </x:c>
      <x:c r="N61" s="20" t="str">
        <x:v>GPT-5.5 Pro</x:v>
      </x:c>
      <x:c r="O61" s="20" t="str">
        <x:v>Needs review</x:v>
      </x:c>
      <x:c r="P61" s="20" t="str">
        <x:v>Screening score for United States / Security contractors in Armenia; verify with country-specific evidence before final use.</x:v>
      </x:c>
    </x:row>
    <x:row r="62" ht="24" customHeight="1">
      <x:c r="A62" s="20" t="str">
        <x:v>ARM|European Union|Propaganda ecosystems</x:v>
      </x:c>
      <x:c r="B62" s="20" t="str">
        <x:v>Armenia</x:v>
      </x:c>
      <x:c r="C62" s="20" t="str">
        <x:v>ARM</x:v>
      </x:c>
      <x:c r="D62" s="20" t="str">
        <x:v>European Union</x:v>
      </x:c>
      <x:c r="E62" s="20" t="str">
        <x:v>EU influence</x:v>
      </x:c>
      <x:c r="F62" s="20" t="str">
        <x:v>Propaganda ecosystems</x:v>
      </x:c>
      <x:c r="G62" s="384" t="n">
        <x:v>7</x:v>
      </x:c>
      <x:c r="H62" s="396" t="n">
        <x:v>4</x:v>
      </x:c>
      <x:c r="I62" s="20" t="str">
        <x:v>EEAS public diplomacy source register</x:v>
      </x:c>
      <x:c r="J62" s="397" t="str">
        <x:v>https://www.eeas.europa.eu/eeas/public-diplomacy_en</x:v>
      </x:c>
      <x:c r="K62" s="20" t="str">
        <x:v>Primary source-register URL; automated screening score</x:v>
      </x:c>
      <x:c r="L62" s="20" t="str">
        <x:v>2026-05-20</x:v>
      </x:c>
      <x:c r="M62" s="20" t="str">
        <x:v>2026-05-20</x:v>
      </x:c>
      <x:c r="N62" s="20" t="str">
        <x:v>GPT-5.5 Pro</x:v>
      </x:c>
      <x:c r="O62" s="20" t="str">
        <x:v>Needs review</x:v>
      </x:c>
      <x:c r="P62" s="20" t="str">
        <x:v>Screening score for European Union / Propaganda ecosystems in Armenia; verify with country-specific evidence before final use.</x:v>
      </x:c>
    </x:row>
    <x:row r="63" ht="24" customHeight="1">
      <x:c r="A63" s="20" t="str">
        <x:v>ARM|European Union|PMC presence</x:v>
      </x:c>
      <x:c r="B63" s="20" t="str">
        <x:v>Armenia</x:v>
      </x:c>
      <x:c r="C63" s="20" t="str">
        <x:v>ARM</x:v>
      </x:c>
      <x:c r="D63" s="20" t="str">
        <x:v>European Union</x:v>
      </x:c>
      <x:c r="E63" s="20" t="str">
        <x:v>EU influence</x:v>
      </x:c>
      <x:c r="F63" s="20" t="str">
        <x:v>PMC presence</x:v>
      </x:c>
      <x:c r="G63" s="384" t="n">
        <x:v>1</x:v>
      </x:c>
      <x:c r="H63" s="396" t="n">
        <x:v>2</x:v>
      </x:c>
      <x:c r="I63" s="20" t="str">
        <x:v>EEAS CSDP missions source register</x:v>
      </x:c>
      <x:c r="J63" s="397" t="str">
        <x:v>https://www.eeas.europa.eu/eeas/missions-and-operations_en</x:v>
      </x:c>
      <x:c r="K63" s="20" t="str">
        <x:v>Primary source-register URL; automated screening score</x:v>
      </x:c>
      <x:c r="L63" s="20" t="str">
        <x:v>2026-05-20</x:v>
      </x:c>
      <x:c r="M63" s="20" t="str">
        <x:v>2026-05-20</x:v>
      </x:c>
      <x:c r="N63" s="20" t="str">
        <x:v>GPT-5.5 Pro</x:v>
      </x:c>
      <x:c r="O63" s="20" t="str">
        <x:v>Needs review</x:v>
      </x:c>
      <x:c r="P63" s="20" t="str">
        <x:v>Screening score for European Union / PMC presence in Armenia; verify with country-specific evidence before final use.</x:v>
      </x:c>
    </x:row>
    <x:row r="64" ht="24" customHeight="1">
      <x:c r="A64" s="20" t="str">
        <x:v>ARM|European Union|Election interference</x:v>
      </x:c>
      <x:c r="B64" s="20" t="str">
        <x:v>Armenia</x:v>
      </x:c>
      <x:c r="C64" s="20" t="str">
        <x:v>ARM</x:v>
      </x:c>
      <x:c r="D64" s="20" t="str">
        <x:v>European Union</x:v>
      </x:c>
      <x:c r="E64" s="20" t="str">
        <x:v>EU influence</x:v>
      </x:c>
      <x:c r="F64" s="20" t="str">
        <x:v>Election interference</x:v>
      </x:c>
      <x:c r="G64" s="384" t="n">
        <x:v>3</x:v>
      </x:c>
      <x:c r="H64" s="396" t="n">
        <x:v>3</x:v>
      </x:c>
      <x:c r="I64" s="20" t="str">
        <x:v>EEAS EU election observation source register</x:v>
      </x:c>
      <x:c r="J64" s="397" t="str">
        <x:v>https://www.eeas.europa.eu/eeas/eu-election-observation-missions-1_en?page_lang=en</x:v>
      </x:c>
      <x:c r="K64" s="20" t="str">
        <x:v>Primary source-register URL; automated screening score</x:v>
      </x:c>
      <x:c r="L64" s="20" t="str">
        <x:v>2026-05-20</x:v>
      </x:c>
      <x:c r="M64" s="20" t="str">
        <x:v>2026-05-20</x:v>
      </x:c>
      <x:c r="N64" s="20" t="str">
        <x:v>GPT-5.5 Pro</x:v>
      </x:c>
      <x:c r="O64" s="20" t="str">
        <x:v>Needs review</x:v>
      </x:c>
      <x:c r="P64" s="20" t="str">
        <x:v>Screening score for European Union / Election interference in Armenia; verify with country-specific evidence before final use.</x:v>
      </x:c>
    </x:row>
    <x:row r="65" ht="24" customHeight="1">
      <x:c r="A65" s="20" t="str">
        <x:v>ARM|European Union|Security contractors</x:v>
      </x:c>
      <x:c r="B65" s="20" t="str">
        <x:v>Armenia</x:v>
      </x:c>
      <x:c r="C65" s="20" t="str">
        <x:v>ARM</x:v>
      </x:c>
      <x:c r="D65" s="20" t="str">
        <x:v>European Union</x:v>
      </x:c>
      <x:c r="E65" s="20" t="str">
        <x:v>EU influence</x:v>
      </x:c>
      <x:c r="F65" s="20" t="str">
        <x:v>Security contractors</x:v>
      </x:c>
      <x:c r="G65" s="384" t="n">
        <x:v>5</x:v>
      </x:c>
      <x:c r="H65" s="396" t="n">
        <x:v>3</x:v>
      </x:c>
      <x:c r="I65" s="20" t="str">
        <x:v>EEAS CSDP / Global Gateway security source register</x:v>
      </x:c>
      <x:c r="J65" s="397" t="str">
        <x:v>https://www.eeas.europa.eu/eeas/missions-and-operations_en</x:v>
      </x:c>
      <x:c r="K65" s="20" t="str">
        <x:v>Primary source-register URL; automated screening score</x:v>
      </x:c>
      <x:c r="L65" s="20" t="str">
        <x:v>2026-05-20</x:v>
      </x:c>
      <x:c r="M65" s="20" t="str">
        <x:v>2026-05-20</x:v>
      </x:c>
      <x:c r="N65" s="20" t="str">
        <x:v>GPT-5.5 Pro</x:v>
      </x:c>
      <x:c r="O65" s="20" t="str">
        <x:v>Needs review</x:v>
      </x:c>
      <x:c r="P65" s="20" t="str">
        <x:v>Screening score for European Union / Security contractors in Armenia; verify with country-specific evidence before final use.</x:v>
      </x:c>
    </x:row>
    <x:row r="66" ht="24" customHeight="1">
      <x:c r="A66" s="20" t="str">
        <x:v>AUS|Russia|Propaganda ecosystems</x:v>
      </x:c>
      <x:c r="B66" s="20" t="str">
        <x:v>Australia</x:v>
      </x:c>
      <x:c r="C66" s="20" t="str">
        <x:v>AUS</x:v>
      </x:c>
      <x:c r="D66" s="20" t="str">
        <x:v>Russia</x:v>
      </x:c>
      <x:c r="E66" s="20" t="str">
        <x:v>Russian influence</x:v>
      </x:c>
      <x:c r="F66" s="20" t="str">
        <x:v>Propaganda ecosystems</x:v>
      </x:c>
      <x:c r="G66" s="384" t="n">
        <x:v>2</x:v>
      </x:c>
      <x:c r="H66" s="396" t="n">
        <x:v>2</x:v>
      </x:c>
      <x:c r="I66" s="20" t="str">
        <x:v>EEAS/EUvsDisinfo FIMI source register</x:v>
      </x:c>
      <x:c r="J66" s="397" t="str">
        <x:v>https://www.eeas.europa.eu/eeas/4th-eeas-annual-report-foreign-information-manipulation-and-interference-threats_en</x:v>
      </x:c>
      <x:c r="K66" s="20" t="str">
        <x:v>Primary source-register URL; automated screening score</x:v>
      </x:c>
      <x:c r="L66" s="20" t="str">
        <x:v>2026-05-20</x:v>
      </x:c>
      <x:c r="M66" s="20" t="str">
        <x:v>2026-05-20</x:v>
      </x:c>
      <x:c r="N66" s="20" t="str">
        <x:v>GPT-5.5 Pro</x:v>
      </x:c>
      <x:c r="O66" s="20" t="str">
        <x:v>Needs review</x:v>
      </x:c>
      <x:c r="P66" s="20" t="str">
        <x:v>Screening score for Russia / Propaganda ecosystems in Australia; verify with country-specific evidence before final use.</x:v>
      </x:c>
    </x:row>
    <x:row r="67" ht="24" customHeight="1">
      <x:c r="A67" s="20" t="str">
        <x:v>AUS|Russia|PMC presence</x:v>
      </x:c>
      <x:c r="B67" s="20" t="str">
        <x:v>Australia</x:v>
      </x:c>
      <x:c r="C67" s="20" t="str">
        <x:v>AUS</x:v>
      </x:c>
      <x:c r="D67" s="20" t="str">
        <x:v>Russia</x:v>
      </x:c>
      <x:c r="E67" s="20" t="str">
        <x:v>Russian influence</x:v>
      </x:c>
      <x:c r="F67" s="20" t="str">
        <x:v>PMC presence</x:v>
      </x:c>
      <x:c r="G67" s="384" t="n">
        <x:v>0</x:v>
      </x:c>
      <x:c r="H67" s="396" t="n">
        <x:v>1</x:v>
      </x:c>
      <x:c r="I67" s="20" t="str">
        <x:v>Treasury and Council of the EU Wagner/PMC source register</x:v>
      </x:c>
      <x:c r="J67" s="397" t="str">
        <x:v>https://www.consilium.europa.eu/en/press/press-releases/2023/02/25/wagner-group-council-adds-11-individuals-and-7-entities-to-eu-sanctions-lists/</x:v>
      </x:c>
      <x:c r="K67" s="20" t="str">
        <x:v>Primary source-register URL; automated screening score</x:v>
      </x:c>
      <x:c r="L67" s="20" t="str">
        <x:v>2026-05-20</x:v>
      </x:c>
      <x:c r="M67" s="20" t="str">
        <x:v>2026-05-20</x:v>
      </x:c>
      <x:c r="N67" s="20" t="str">
        <x:v>GPT-5.5 Pro</x:v>
      </x:c>
      <x:c r="O67" s="20" t="str">
        <x:v>Needs review</x:v>
      </x:c>
      <x:c r="P67" s="20" t="str">
        <x:v>Screening score for Russia / PMC presence in Australia; verify with country-specific evidence before final use.</x:v>
      </x:c>
    </x:row>
    <x:row r="68" ht="24" customHeight="1">
      <x:c r="A68" s="20" t="str">
        <x:v>AUS|Russia|Election interference</x:v>
      </x:c>
      <x:c r="B68" s="20" t="str">
        <x:v>Australia</x:v>
      </x:c>
      <x:c r="C68" s="20" t="str">
        <x:v>AUS</x:v>
      </x:c>
      <x:c r="D68" s="20" t="str">
        <x:v>Russia</x:v>
      </x:c>
      <x:c r="E68" s="20" t="str">
        <x:v>Russian influence</x:v>
      </x:c>
      <x:c r="F68" s="20" t="str">
        <x:v>Election interference</x:v>
      </x:c>
      <x:c r="G68" s="384" t="n">
        <x:v>4</x:v>
      </x:c>
      <x:c r="H68" s="396" t="n">
        <x:v>3</x:v>
      </x:c>
      <x:c r="I68" s="20" t="str">
        <x:v>ODNI/EEAS election-FIMI source register</x:v>
      </x:c>
      <x:c r="J68" s="397" t="str">
        <x:v>https://www.dni.gov/files/ODNI/documents/assessments/ATA-2026-Unclassified-Report.pdf</x:v>
      </x:c>
      <x:c r="K68" s="20" t="str">
        <x:v>Primary source-register URL; automated screening score</x:v>
      </x:c>
      <x:c r="L68" s="20" t="str">
        <x:v>2026-05-20</x:v>
      </x:c>
      <x:c r="M68" s="20" t="str">
        <x:v>2026-05-20</x:v>
      </x:c>
      <x:c r="N68" s="20" t="str">
        <x:v>GPT-5.5 Pro</x:v>
      </x:c>
      <x:c r="O68" s="20" t="str">
        <x:v>Needs review</x:v>
      </x:c>
      <x:c r="P68" s="20" t="str">
        <x:v>Screening score for Russia / Election interference in Australia; verify with country-specific evidence before final use.</x:v>
      </x:c>
    </x:row>
    <x:row r="69" ht="24" customHeight="1">
      <x:c r="A69" s="20" t="str">
        <x:v>AUS|Russia|Security contractors</x:v>
      </x:c>
      <x:c r="B69" s="20" t="str">
        <x:v>Australia</x:v>
      </x:c>
      <x:c r="C69" s="20" t="str">
        <x:v>AUS</x:v>
      </x:c>
      <x:c r="D69" s="20" t="str">
        <x:v>Russia</x:v>
      </x:c>
      <x:c r="E69" s="20" t="str">
        <x:v>Russian influence</x:v>
      </x:c>
      <x:c r="F69" s="20" t="str">
        <x:v>Security contractors</x:v>
      </x:c>
      <x:c r="G69" s="384" t="n">
        <x:v>0</x:v>
      </x:c>
      <x:c r="H69" s="396" t="n">
        <x:v>1</x:v>
      </x:c>
      <x:c r="I69" s="20" t="str">
        <x:v>Council of the EU/Treasury Wagner-security source register</x:v>
      </x:c>
      <x:c r="J69" s="397" t="str">
        <x:v>https://www.consilium.europa.eu/en/press/press-releases/2023/02/25/wagner-group-council-adds-11-individuals-and-7-entities-to-eu-sanctions-lists/</x:v>
      </x:c>
      <x:c r="K69" s="20" t="str">
        <x:v>Primary source-register URL; automated screening score</x:v>
      </x:c>
      <x:c r="L69" s="20" t="str">
        <x:v>2026-05-20</x:v>
      </x:c>
      <x:c r="M69" s="20" t="str">
        <x:v>2026-05-20</x:v>
      </x:c>
      <x:c r="N69" s="20" t="str">
        <x:v>GPT-5.5 Pro</x:v>
      </x:c>
      <x:c r="O69" s="20" t="str">
        <x:v>Needs review</x:v>
      </x:c>
      <x:c r="P69" s="20" t="str">
        <x:v>Screening score for Russia / Security contractors in Australia; verify with country-specific evidence before final use.</x:v>
      </x:c>
    </x:row>
    <x:row r="70" ht="24" customHeight="1">
      <x:c r="A70" s="20" t="str">
        <x:v>AUS|China|Propaganda ecosystems</x:v>
      </x:c>
      <x:c r="B70" s="20" t="str">
        <x:v>Australia</x:v>
      </x:c>
      <x:c r="C70" s="20" t="str">
        <x:v>AUS</x:v>
      </x:c>
      <x:c r="D70" s="20" t="str">
        <x:v>China</x:v>
      </x:c>
      <x:c r="E70" s="20" t="str">
        <x:v>Chinese influence</x:v>
      </x:c>
      <x:c r="F70" s="20" t="str">
        <x:v>Propaganda ecosystems</x:v>
      </x:c>
      <x:c r="G70" s="384" t="n">
        <x:v>6</x:v>
      </x:c>
      <x:c r="H70" s="396" t="n">
        <x:v>4</x:v>
      </x:c>
      <x:c r="I70" s="20" t="str">
        <x:v>EEAS/ODNI China FIMI source register</x:v>
      </x:c>
      <x:c r="J70" s="397" t="str">
        <x:v>https://www.eeas.europa.eu/eeas/4th-eeas-annual-report-foreign-information-manipulation-and-interference-threats_en</x:v>
      </x:c>
      <x:c r="K70" s="20" t="str">
        <x:v>Primary source-register URL; automated screening score</x:v>
      </x:c>
      <x:c r="L70" s="20" t="str">
        <x:v>2026-05-20</x:v>
      </x:c>
      <x:c r="M70" s="20" t="str">
        <x:v>2026-05-20</x:v>
      </x:c>
      <x:c r="N70" s="20" t="str">
        <x:v>GPT-5.5 Pro</x:v>
      </x:c>
      <x:c r="O70" s="20" t="str">
        <x:v>Needs review</x:v>
      </x:c>
      <x:c r="P70" s="20" t="str">
        <x:v>Screening score for China / Propaganda ecosystems in Australia; verify with country-specific evidence before final use.</x:v>
      </x:c>
    </x:row>
    <x:row r="71" ht="24" customHeight="1">
      <x:c r="A71" s="20" t="str">
        <x:v>AUS|China|PMC presence</x:v>
      </x:c>
      <x:c r="B71" s="20" t="str">
        <x:v>Australia</x:v>
      </x:c>
      <x:c r="C71" s="20" t="str">
        <x:v>AUS</x:v>
      </x:c>
      <x:c r="D71" s="20" t="str">
        <x:v>China</x:v>
      </x:c>
      <x:c r="E71" s="20" t="str">
        <x:v>Chinese influence</x:v>
      </x:c>
      <x:c r="F71" s="20" t="str">
        <x:v>PMC presence</x:v>
      </x:c>
      <x:c r="G71" s="384" t="n">
        <x:v>0</x:v>
      </x:c>
      <x:c r="H71" s="396" t="n">
        <x:v>1</x:v>
      </x:c>
      <x:c r="I71" s="20" t="str">
        <x:v>MERICS/Carnegie Chinese overseas PSC source register</x:v>
      </x:c>
      <x:c r="J71" s="397" t="str">
        <x:v>https://merics.org/en/report/guardians-belt-and-road</x:v>
      </x:c>
      <x:c r="K71" s="20" t="str">
        <x:v>Primary source-register URL; automated screening score</x:v>
      </x:c>
      <x:c r="L71" s="20" t="str">
        <x:v>2026-05-20</x:v>
      </x:c>
      <x:c r="M71" s="20" t="str">
        <x:v>2026-05-20</x:v>
      </x:c>
      <x:c r="N71" s="20" t="str">
        <x:v>GPT-5.5 Pro</x:v>
      </x:c>
      <x:c r="O71" s="20" t="str">
        <x:v>Needs review</x:v>
      </x:c>
      <x:c r="P71" s="20" t="str">
        <x:v>Screening score for China / PMC presence in Australia; verify with country-specific evidence before final use.</x:v>
      </x:c>
    </x:row>
    <x:row r="72" ht="24" customHeight="1">
      <x:c r="A72" s="20" t="str">
        <x:v>AUS|China|Election interference</x:v>
      </x:c>
      <x:c r="B72" s="20" t="str">
        <x:v>Australia</x:v>
      </x:c>
      <x:c r="C72" s="20" t="str">
        <x:v>AUS</x:v>
      </x:c>
      <x:c r="D72" s="20" t="str">
        <x:v>China</x:v>
      </x:c>
      <x:c r="E72" s="20" t="str">
        <x:v>Chinese influence</x:v>
      </x:c>
      <x:c r="F72" s="20" t="str">
        <x:v>Election interference</x:v>
      </x:c>
      <x:c r="G72" s="384" t="n">
        <x:v>4</x:v>
      </x:c>
      <x:c r="H72" s="396" t="n">
        <x:v>3</x:v>
      </x:c>
      <x:c r="I72" s="20" t="str">
        <x:v>EEAS/ODNI China election-FIMI source register</x:v>
      </x:c>
      <x:c r="J72" s="397" t="str">
        <x:v>https://www.eeas.europa.eu/eeas/4th-eeas-annual-report-foreign-information-manipulation-and-interference-threats_en</x:v>
      </x:c>
      <x:c r="K72" s="20" t="str">
        <x:v>Primary source-register URL; automated screening score</x:v>
      </x:c>
      <x:c r="L72" s="20" t="str">
        <x:v>2026-05-20</x:v>
      </x:c>
      <x:c r="M72" s="20" t="str">
        <x:v>2026-05-20</x:v>
      </x:c>
      <x:c r="N72" s="20" t="str">
        <x:v>GPT-5.5 Pro</x:v>
      </x:c>
      <x:c r="O72" s="20" t="str">
        <x:v>Needs review</x:v>
      </x:c>
      <x:c r="P72" s="20" t="str">
        <x:v>Screening score for China / Election interference in Australia; verify with country-specific evidence before final use.</x:v>
      </x:c>
    </x:row>
    <x:row r="73" ht="24" customHeight="1">
      <x:c r="A73" s="20" t="str">
        <x:v>AUS|China|Security contractors</x:v>
      </x:c>
      <x:c r="B73" s="20" t="str">
        <x:v>Australia</x:v>
      </x:c>
      <x:c r="C73" s="20" t="str">
        <x:v>AUS</x:v>
      </x:c>
      <x:c r="D73" s="20" t="str">
        <x:v>China</x:v>
      </x:c>
      <x:c r="E73" s="20" t="str">
        <x:v>Chinese influence</x:v>
      </x:c>
      <x:c r="F73" s="20" t="str">
        <x:v>Security contractors</x:v>
      </x:c>
      <x:c r="G73" s="384" t="n">
        <x:v>1</x:v>
      </x:c>
      <x:c r="H73" s="396" t="n">
        <x:v>2</x:v>
      </x:c>
      <x:c r="I73" s="20" t="str">
        <x:v>MERICS/Carnegie Chinese security contractor source register</x:v>
      </x:c>
      <x:c r="J73" s="397" t="str">
        <x:v>https://merics.org/en/report/guardians-belt-and-road</x:v>
      </x:c>
      <x:c r="K73" s="20" t="str">
        <x:v>Primary source-register URL; automated screening score</x:v>
      </x:c>
      <x:c r="L73" s="20" t="str">
        <x:v>2026-05-20</x:v>
      </x:c>
      <x:c r="M73" s="20" t="str">
        <x:v>2026-05-20</x:v>
      </x:c>
      <x:c r="N73" s="20" t="str">
        <x:v>GPT-5.5 Pro</x:v>
      </x:c>
      <x:c r="O73" s="20" t="str">
        <x:v>Needs review</x:v>
      </x:c>
      <x:c r="P73" s="20" t="str">
        <x:v>Screening score for China / Security contractors in Australia; verify with country-specific evidence before final use.</x:v>
      </x:c>
    </x:row>
    <x:row r="74" ht="24" customHeight="1">
      <x:c r="A74" s="20" t="str">
        <x:v>AUS|United States|Propaganda ecosystems</x:v>
      </x:c>
      <x:c r="B74" s="20" t="str">
        <x:v>Australia</x:v>
      </x:c>
      <x:c r="C74" s="20" t="str">
        <x:v>AUS</x:v>
      </x:c>
      <x:c r="D74" s="20" t="str">
        <x:v>United States</x:v>
      </x:c>
      <x:c r="E74" s="20" t="str">
        <x:v>American influence</x:v>
      </x:c>
      <x:c r="F74" s="20" t="str">
        <x:v>Propaganda ecosystems</x:v>
      </x:c>
      <x:c r="G74" s="384" t="n">
        <x:v>5</x:v>
      </x:c>
      <x:c r="H74" s="396" t="n">
        <x:v>3</x:v>
      </x:c>
      <x:c r="I74" s="20" t="str">
        <x:v>USAGM public media source register</x:v>
      </x:c>
      <x:c r="J74" s="397" t="str">
        <x:v>https://www.usagm.gov/our-work/strategy-and-results/strategic-priorities/research-reports/</x:v>
      </x:c>
      <x:c r="K74" s="20" t="str">
        <x:v>Primary source-register URL; automated screening score</x:v>
      </x:c>
      <x:c r="L74" s="20" t="str">
        <x:v>2026-05-20</x:v>
      </x:c>
      <x:c r="M74" s="20" t="str">
        <x:v>2026-05-20</x:v>
      </x:c>
      <x:c r="N74" s="20" t="str">
        <x:v>GPT-5.5 Pro</x:v>
      </x:c>
      <x:c r="O74" s="20" t="str">
        <x:v>Needs review</x:v>
      </x:c>
      <x:c r="P74" s="20" t="str">
        <x:v>Screening score for United States / Propaganda ecosystems in Australia; verify with country-specific evidence before final use.</x:v>
      </x:c>
    </x:row>
    <x:row r="75" ht="24" customHeight="1">
      <x:c r="A75" s="20" t="str">
        <x:v>AUS|United States|PMC presence</x:v>
      </x:c>
      <x:c r="B75" s="20" t="str">
        <x:v>Australia</x:v>
      </x:c>
      <x:c r="C75" s="20" t="str">
        <x:v>AUS</x:v>
      </x:c>
      <x:c r="D75" s="20" t="str">
        <x:v>United States</x:v>
      </x:c>
      <x:c r="E75" s="20" t="str">
        <x:v>American influence</x:v>
      </x:c>
      <x:c r="F75" s="20" t="str">
        <x:v>PMC presence</x:v>
      </x:c>
      <x:c r="G75" s="384" t="n">
        <x:v>4</x:v>
      </x:c>
      <x:c r="H75" s="396" t="n">
        <x:v>3</x:v>
      </x:c>
      <x:c r="I75" s="20" t="str">
        <x:v>SAM/Greenbook U.S. security assistance contractor source register</x:v>
      </x:c>
      <x:c r="J75" s="397" t="str">
        <x:v>https://internationalpolicy.org/programs/sam/</x:v>
      </x:c>
      <x:c r="K75" s="20" t="str">
        <x:v>Primary source-register URL; automated screening score</x:v>
      </x:c>
      <x:c r="L75" s="20" t="str">
        <x:v>2026-05-20</x:v>
      </x:c>
      <x:c r="M75" s="20" t="str">
        <x:v>2026-05-20</x:v>
      </x:c>
      <x:c r="N75" s="20" t="str">
        <x:v>GPT-5.5 Pro</x:v>
      </x:c>
      <x:c r="O75" s="20" t="str">
        <x:v>Needs review</x:v>
      </x:c>
      <x:c r="P75" s="20" t="str">
        <x:v>Screening score for United States / PMC presence in Australia; verify with country-specific evidence before final use.</x:v>
      </x:c>
    </x:row>
    <x:row r="76" ht="24" customHeight="1">
      <x:c r="A76" s="20" t="str">
        <x:v>AUS|United States|Election interference</x:v>
      </x:c>
      <x:c r="B76" s="20" t="str">
        <x:v>Australia</x:v>
      </x:c>
      <x:c r="C76" s="20" t="str">
        <x:v>AUS</x:v>
      </x:c>
      <x:c r="D76" s="20" t="str">
        <x:v>United States</x:v>
      </x:c>
      <x:c r="E76" s="20" t="str">
        <x:v>American influence</x:v>
      </x:c>
      <x:c r="F76" s="20" t="str">
        <x:v>Election interference</x:v>
      </x:c>
      <x:c r="G76" s="384" t="n">
        <x:v>1</x:v>
      </x:c>
      <x:c r="H76" s="396" t="n">
        <x:v>2</x:v>
      </x:c>
      <x:c r="I76" s="20" t="str">
        <x:v>NED/Greenbook democracy assistance source register</x:v>
      </x:c>
      <x:c r="J76" s="397" t="str">
        <x:v>https://www.ned.org/ned-grantmaking/</x:v>
      </x:c>
      <x:c r="K76" s="20" t="str">
        <x:v>Primary source-register URL; automated screening score</x:v>
      </x:c>
      <x:c r="L76" s="20" t="str">
        <x:v>2026-05-20</x:v>
      </x:c>
      <x:c r="M76" s="20" t="str">
        <x:v>2026-05-20</x:v>
      </x:c>
      <x:c r="N76" s="20" t="str">
        <x:v>GPT-5.5 Pro</x:v>
      </x:c>
      <x:c r="O76" s="20" t="str">
        <x:v>Needs review</x:v>
      </x:c>
      <x:c r="P76" s="20" t="str">
        <x:v>Screening score for United States / Election interference in Australia; verify with country-specific evidence before final use.</x:v>
      </x:c>
    </x:row>
    <x:row r="77" ht="24" customHeight="1">
      <x:c r="A77" s="20" t="str">
        <x:v>AUS|United States|Security contractors</x:v>
      </x:c>
      <x:c r="B77" s="20" t="str">
        <x:v>Australia</x:v>
      </x:c>
      <x:c r="C77" s="20" t="str">
        <x:v>AUS</x:v>
      </x:c>
      <x:c r="D77" s="20" t="str">
        <x:v>United States</x:v>
      </x:c>
      <x:c r="E77" s="20" t="str">
        <x:v>American influence</x:v>
      </x:c>
      <x:c r="F77" s="20" t="str">
        <x:v>Security contractors</x:v>
      </x:c>
      <x:c r="G77" s="384" t="n">
        <x:v>7</x:v>
      </x:c>
      <x:c r="H77" s="396" t="n">
        <x:v>4</x:v>
      </x:c>
      <x:c r="I77" s="20" t="str">
        <x:v>SAM/Greenbook U.S. security contractor source register</x:v>
      </x:c>
      <x:c r="J77" s="397" t="str">
        <x:v>https://internationalpolicy.org/programs/sam/</x:v>
      </x:c>
      <x:c r="K77" s="20" t="str">
        <x:v>Primary source-register URL; automated screening score</x:v>
      </x:c>
      <x:c r="L77" s="20" t="str">
        <x:v>2026-05-20</x:v>
      </x:c>
      <x:c r="M77" s="20" t="str">
        <x:v>2026-05-20</x:v>
      </x:c>
      <x:c r="N77" s="20" t="str">
        <x:v>GPT-5.5 Pro</x:v>
      </x:c>
      <x:c r="O77" s="20" t="str">
        <x:v>Needs review</x:v>
      </x:c>
      <x:c r="P77" s="20" t="str">
        <x:v>Screening score for United States / Security contractors in Australia; verify with country-specific evidence before final use.</x:v>
      </x:c>
    </x:row>
    <x:row r="78" ht="24" customHeight="1">
      <x:c r="A78" s="20" t="str">
        <x:v>AUS|European Union|Propaganda ecosystems</x:v>
      </x:c>
      <x:c r="B78" s="20" t="str">
        <x:v>Australia</x:v>
      </x:c>
      <x:c r="C78" s="20" t="str">
        <x:v>AUS</x:v>
      </x:c>
      <x:c r="D78" s="20" t="str">
        <x:v>European Union</x:v>
      </x:c>
      <x:c r="E78" s="20" t="str">
        <x:v>EU influence</x:v>
      </x:c>
      <x:c r="F78" s="20" t="str">
        <x:v>Propaganda ecosystems</x:v>
      </x:c>
      <x:c r="G78" s="384" t="n">
        <x:v>3</x:v>
      </x:c>
      <x:c r="H78" s="396" t="n">
        <x:v>3</x:v>
      </x:c>
      <x:c r="I78" s="20" t="str">
        <x:v>EEAS public diplomacy source register</x:v>
      </x:c>
      <x:c r="J78" s="397" t="str">
        <x:v>https://www.eeas.europa.eu/eeas/public-diplomacy_en</x:v>
      </x:c>
      <x:c r="K78" s="20" t="str">
        <x:v>Primary source-register URL; automated screening score</x:v>
      </x:c>
      <x:c r="L78" s="20" t="str">
        <x:v>2026-05-20</x:v>
      </x:c>
      <x:c r="M78" s="20" t="str">
        <x:v>2026-05-20</x:v>
      </x:c>
      <x:c r="N78" s="20" t="str">
        <x:v>GPT-5.5 Pro</x:v>
      </x:c>
      <x:c r="O78" s="20" t="str">
        <x:v>Needs review</x:v>
      </x:c>
      <x:c r="P78" s="20" t="str">
        <x:v>Screening score for European Union / Propaganda ecosystems in Australia; verify with country-specific evidence before final use.</x:v>
      </x:c>
    </x:row>
    <x:row r="79" ht="24" customHeight="1">
      <x:c r="A79" s="20" t="str">
        <x:v>AUS|European Union|PMC presence</x:v>
      </x:c>
      <x:c r="B79" s="20" t="str">
        <x:v>Australia</x:v>
      </x:c>
      <x:c r="C79" s="20" t="str">
        <x:v>AUS</x:v>
      </x:c>
      <x:c r="D79" s="20" t="str">
        <x:v>European Union</x:v>
      </x:c>
      <x:c r="E79" s="20" t="str">
        <x:v>EU influence</x:v>
      </x:c>
      <x:c r="F79" s="20" t="str">
        <x:v>PMC presence</x:v>
      </x:c>
      <x:c r="G79" s="384" t="n">
        <x:v>0</x:v>
      </x:c>
      <x:c r="H79" s="396" t="n">
        <x:v>1</x:v>
      </x:c>
      <x:c r="I79" s="20" t="str">
        <x:v>EEAS CSDP missions source register</x:v>
      </x:c>
      <x:c r="J79" s="397" t="str">
        <x:v>https://www.eeas.europa.eu/eeas/missions-and-operations_en</x:v>
      </x:c>
      <x:c r="K79" s="20" t="str">
        <x:v>Primary source-register URL; automated screening score</x:v>
      </x:c>
      <x:c r="L79" s="20" t="str">
        <x:v>2026-05-20</x:v>
      </x:c>
      <x:c r="M79" s="20" t="str">
        <x:v>2026-05-20</x:v>
      </x:c>
      <x:c r="N79" s="20" t="str">
        <x:v>GPT-5.5 Pro</x:v>
      </x:c>
      <x:c r="O79" s="20" t="str">
        <x:v>Needs review</x:v>
      </x:c>
      <x:c r="P79" s="20" t="str">
        <x:v>Screening score for European Union / PMC presence in Australia; verify with country-specific evidence before final use.</x:v>
      </x:c>
    </x:row>
    <x:row r="80" ht="24" customHeight="1">
      <x:c r="A80" s="20" t="str">
        <x:v>AUS|European Union|Election interference</x:v>
      </x:c>
      <x:c r="B80" s="20" t="str">
        <x:v>Australia</x:v>
      </x:c>
      <x:c r="C80" s="20" t="str">
        <x:v>AUS</x:v>
      </x:c>
      <x:c r="D80" s="20" t="str">
        <x:v>European Union</x:v>
      </x:c>
      <x:c r="E80" s="20" t="str">
        <x:v>EU influence</x:v>
      </x:c>
      <x:c r="F80" s="20" t="str">
        <x:v>Election interference</x:v>
      </x:c>
      <x:c r="G80" s="384" t="n">
        <x:v>1</x:v>
      </x:c>
      <x:c r="H80" s="396" t="n">
        <x:v>2</x:v>
      </x:c>
      <x:c r="I80" s="20" t="str">
        <x:v>EEAS EU election observation source register</x:v>
      </x:c>
      <x:c r="J80" s="397" t="str">
        <x:v>https://www.eeas.europa.eu/eeas/eu-election-observation-missions-1_en?page_lang=en</x:v>
      </x:c>
      <x:c r="K80" s="20" t="str">
        <x:v>Primary source-register URL; automated screening score</x:v>
      </x:c>
      <x:c r="L80" s="20" t="str">
        <x:v>2026-05-20</x:v>
      </x:c>
      <x:c r="M80" s="20" t="str">
        <x:v>2026-05-20</x:v>
      </x:c>
      <x:c r="N80" s="20" t="str">
        <x:v>GPT-5.5 Pro</x:v>
      </x:c>
      <x:c r="O80" s="20" t="str">
        <x:v>Needs review</x:v>
      </x:c>
      <x:c r="P80" s="20" t="str">
        <x:v>Screening score for European Union / Election interference in Australia; verify with country-specific evidence before final use.</x:v>
      </x:c>
    </x:row>
    <x:row r="81" ht="24" customHeight="1">
      <x:c r="A81" s="20" t="str">
        <x:v>AUS|European Union|Security contractors</x:v>
      </x:c>
      <x:c r="B81" s="20" t="str">
        <x:v>Australia</x:v>
      </x:c>
      <x:c r="C81" s="20" t="str">
        <x:v>AUS</x:v>
      </x:c>
      <x:c r="D81" s="20" t="str">
        <x:v>European Union</x:v>
      </x:c>
      <x:c r="E81" s="20" t="str">
        <x:v>EU influence</x:v>
      </x:c>
      <x:c r="F81" s="20" t="str">
        <x:v>Security contractors</x:v>
      </x:c>
      <x:c r="G81" s="384" t="n">
        <x:v>3</x:v>
      </x:c>
      <x:c r="H81" s="396" t="n">
        <x:v>3</x:v>
      </x:c>
      <x:c r="I81" s="20" t="str">
        <x:v>EEAS CSDP / Global Gateway security source register</x:v>
      </x:c>
      <x:c r="J81" s="397" t="str">
        <x:v>https://www.eeas.europa.eu/eeas/missions-and-operations_en</x:v>
      </x:c>
      <x:c r="K81" s="20" t="str">
        <x:v>Primary source-register URL; automated screening score</x:v>
      </x:c>
      <x:c r="L81" s="20" t="str">
        <x:v>2026-05-20</x:v>
      </x:c>
      <x:c r="M81" s="20" t="str">
        <x:v>2026-05-20</x:v>
      </x:c>
      <x:c r="N81" s="20" t="str">
        <x:v>GPT-5.5 Pro</x:v>
      </x:c>
      <x:c r="O81" s="20" t="str">
        <x:v>Needs review</x:v>
      </x:c>
      <x:c r="P81" s="20" t="str">
        <x:v>Screening score for European Union / Security contractors in Australia; verify with country-specific evidence before final use.</x:v>
      </x:c>
    </x:row>
    <x:row r="82" ht="24" customHeight="1">
      <x:c r="A82" s="20" t="str">
        <x:v>AUT|Russia|Propaganda ecosystems</x:v>
      </x:c>
      <x:c r="B82" s="20" t="str">
        <x:v>Austria</x:v>
      </x:c>
      <x:c r="C82" s="20" t="str">
        <x:v>AUT</x:v>
      </x:c>
      <x:c r="D82" s="20" t="str">
        <x:v>Russia</x:v>
      </x:c>
      <x:c r="E82" s="20" t="str">
        <x:v>Russian influence</x:v>
      </x:c>
      <x:c r="F82" s="20" t="str">
        <x:v>Propaganda ecosystems</x:v>
      </x:c>
      <x:c r="G82" s="384" t="n">
        <x:v>5</x:v>
      </x:c>
      <x:c r="H82" s="396" t="n">
        <x:v>3</x:v>
      </x:c>
      <x:c r="I82" s="20" t="str">
        <x:v>EEAS/EUvsDisinfo FIMI source register</x:v>
      </x:c>
      <x:c r="J82" s="397" t="str">
        <x:v>https://www.eeas.europa.eu/eeas/4th-eeas-annual-report-foreign-information-manipulation-and-interference-threats_en</x:v>
      </x:c>
      <x:c r="K82" s="20" t="str">
        <x:v>Primary source-register URL; automated screening score</x:v>
      </x:c>
      <x:c r="L82" s="20" t="str">
        <x:v>2026-05-20</x:v>
      </x:c>
      <x:c r="M82" s="20" t="str">
        <x:v>2026-05-20</x:v>
      </x:c>
      <x:c r="N82" s="20" t="str">
        <x:v>GPT-5.5 Pro</x:v>
      </x:c>
      <x:c r="O82" s="20" t="str">
        <x:v>Needs review</x:v>
      </x:c>
      <x:c r="P82" s="20" t="str">
        <x:v>Screening score for Russia / Propaganda ecosystems in Austria; verify with country-specific evidence before final use.</x:v>
      </x:c>
    </x:row>
    <x:row r="83" ht="24" customHeight="1">
      <x:c r="A83" s="20" t="str">
        <x:v>AUT|Russia|PMC presence</x:v>
      </x:c>
      <x:c r="B83" s="20" t="str">
        <x:v>Austria</x:v>
      </x:c>
      <x:c r="C83" s="20" t="str">
        <x:v>AUT</x:v>
      </x:c>
      <x:c r="D83" s="20" t="str">
        <x:v>Russia</x:v>
      </x:c>
      <x:c r="E83" s="20" t="str">
        <x:v>Russian influence</x:v>
      </x:c>
      <x:c r="F83" s="20" t="str">
        <x:v>PMC presence</x:v>
      </x:c>
      <x:c r="G83" s="384" t="n">
        <x:v>0</x:v>
      </x:c>
      <x:c r="H83" s="396" t="n">
        <x:v>1</x:v>
      </x:c>
      <x:c r="I83" s="20" t="str">
        <x:v>Treasury and Council of the EU Wagner/PMC source register</x:v>
      </x:c>
      <x:c r="J83" s="397" t="str">
        <x:v>https://www.consilium.europa.eu/en/press/press-releases/2023/02/25/wagner-group-council-adds-11-individuals-and-7-entities-to-eu-sanctions-lists/</x:v>
      </x:c>
      <x:c r="K83" s="20" t="str">
        <x:v>Primary source-register URL; automated screening score</x:v>
      </x:c>
      <x:c r="L83" s="20" t="str">
        <x:v>2026-05-20</x:v>
      </x:c>
      <x:c r="M83" s="20" t="str">
        <x:v>2026-05-20</x:v>
      </x:c>
      <x:c r="N83" s="20" t="str">
        <x:v>GPT-5.5 Pro</x:v>
      </x:c>
      <x:c r="O83" s="20" t="str">
        <x:v>Needs review</x:v>
      </x:c>
      <x:c r="P83" s="20" t="str">
        <x:v>Screening score for Russia / PMC presence in Austria; verify with country-specific evidence before final use.</x:v>
      </x:c>
    </x:row>
    <x:row r="84" ht="24" customHeight="1">
      <x:c r="A84" s="20" t="str">
        <x:v>AUT|Russia|Election interference</x:v>
      </x:c>
      <x:c r="B84" s="20" t="str">
        <x:v>Austria</x:v>
      </x:c>
      <x:c r="C84" s="20" t="str">
        <x:v>AUT</x:v>
      </x:c>
      <x:c r="D84" s="20" t="str">
        <x:v>Russia</x:v>
      </x:c>
      <x:c r="E84" s="20" t="str">
        <x:v>Russian influence</x:v>
      </x:c>
      <x:c r="F84" s="20" t="str">
        <x:v>Election interference</x:v>
      </x:c>
      <x:c r="G84" s="384" t="n">
        <x:v>5</x:v>
      </x:c>
      <x:c r="H84" s="396" t="n">
        <x:v>3</x:v>
      </x:c>
      <x:c r="I84" s="20" t="str">
        <x:v>ODNI/EEAS election-FIMI source register</x:v>
      </x:c>
      <x:c r="J84" s="397" t="str">
        <x:v>https://www.dni.gov/files/ODNI/documents/assessments/ATA-2026-Unclassified-Report.pdf</x:v>
      </x:c>
      <x:c r="K84" s="20" t="str">
        <x:v>Primary source-register URL; automated screening score</x:v>
      </x:c>
      <x:c r="L84" s="20" t="str">
        <x:v>2026-05-20</x:v>
      </x:c>
      <x:c r="M84" s="20" t="str">
        <x:v>2026-05-20</x:v>
      </x:c>
      <x:c r="N84" s="20" t="str">
        <x:v>GPT-5.5 Pro</x:v>
      </x:c>
      <x:c r="O84" s="20" t="str">
        <x:v>Needs review</x:v>
      </x:c>
      <x:c r="P84" s="20" t="str">
        <x:v>Screening score for Russia / Election interference in Austria; verify with country-specific evidence before final use.</x:v>
      </x:c>
    </x:row>
    <x:row r="85" ht="24" customHeight="1">
      <x:c r="A85" s="20" t="str">
        <x:v>AUT|Russia|Security contractors</x:v>
      </x:c>
      <x:c r="B85" s="20" t="str">
        <x:v>Austria</x:v>
      </x:c>
      <x:c r="C85" s="20" t="str">
        <x:v>AUT</x:v>
      </x:c>
      <x:c r="D85" s="20" t="str">
        <x:v>Russia</x:v>
      </x:c>
      <x:c r="E85" s="20" t="str">
        <x:v>Russian influence</x:v>
      </x:c>
      <x:c r="F85" s="20" t="str">
        <x:v>Security contractors</x:v>
      </x:c>
      <x:c r="G85" s="384" t="n">
        <x:v>0</x:v>
      </x:c>
      <x:c r="H85" s="396" t="n">
        <x:v>1</x:v>
      </x:c>
      <x:c r="I85" s="20" t="str">
        <x:v>Council of the EU/Treasury Wagner-security source register</x:v>
      </x:c>
      <x:c r="J85" s="397" t="str">
        <x:v>https://www.consilium.europa.eu/en/press/press-releases/2023/02/25/wagner-group-council-adds-11-individuals-and-7-entities-to-eu-sanctions-lists/</x:v>
      </x:c>
      <x:c r="K85" s="20" t="str">
        <x:v>Primary source-register URL; automated screening score</x:v>
      </x:c>
      <x:c r="L85" s="20" t="str">
        <x:v>2026-05-20</x:v>
      </x:c>
      <x:c r="M85" s="20" t="str">
        <x:v>2026-05-20</x:v>
      </x:c>
      <x:c r="N85" s="20" t="str">
        <x:v>GPT-5.5 Pro</x:v>
      </x:c>
      <x:c r="O85" s="20" t="str">
        <x:v>Needs review</x:v>
      </x:c>
      <x:c r="P85" s="20" t="str">
        <x:v>Screening score for Russia / Security contractors in Austria; verify with country-specific evidence before final use.</x:v>
      </x:c>
    </x:row>
    <x:row r="86" ht="24" customHeight="1">
      <x:c r="A86" s="20" t="str">
        <x:v>AUT|China|Propaganda ecosystems</x:v>
      </x:c>
      <x:c r="B86" s="20" t="str">
        <x:v>Austria</x:v>
      </x:c>
      <x:c r="C86" s="20" t="str">
        <x:v>AUT</x:v>
      </x:c>
      <x:c r="D86" s="20" t="str">
        <x:v>China</x:v>
      </x:c>
      <x:c r="E86" s="20" t="str">
        <x:v>Chinese influence</x:v>
      </x:c>
      <x:c r="F86" s="20" t="str">
        <x:v>Propaganda ecosystems</x:v>
      </x:c>
      <x:c r="G86" s="384" t="n">
        <x:v>4</x:v>
      </x:c>
      <x:c r="H86" s="396" t="n">
        <x:v>3</x:v>
      </x:c>
      <x:c r="I86" s="20" t="str">
        <x:v>EEAS/ODNI China FIMI source register</x:v>
      </x:c>
      <x:c r="J86" s="397" t="str">
        <x:v>https://www.eeas.europa.eu/eeas/4th-eeas-annual-report-foreign-information-manipulation-and-interference-threats_en</x:v>
      </x:c>
      <x:c r="K86" s="20" t="str">
        <x:v>Primary source-register URL; automated screening score</x:v>
      </x:c>
      <x:c r="L86" s="20" t="str">
        <x:v>2026-05-20</x:v>
      </x:c>
      <x:c r="M86" s="20" t="str">
        <x:v>2026-05-20</x:v>
      </x:c>
      <x:c r="N86" s="20" t="str">
        <x:v>GPT-5.5 Pro</x:v>
      </x:c>
      <x:c r="O86" s="20" t="str">
        <x:v>Needs review</x:v>
      </x:c>
      <x:c r="P86" s="20" t="str">
        <x:v>Screening score for China / Propaganda ecosystems in Austria; verify with country-specific evidence before final use.</x:v>
      </x:c>
    </x:row>
    <x:row r="87" ht="24" customHeight="1">
      <x:c r="A87" s="20" t="str">
        <x:v>AUT|China|PMC presence</x:v>
      </x:c>
      <x:c r="B87" s="20" t="str">
        <x:v>Austria</x:v>
      </x:c>
      <x:c r="C87" s="20" t="str">
        <x:v>AUT</x:v>
      </x:c>
      <x:c r="D87" s="20" t="str">
        <x:v>China</x:v>
      </x:c>
      <x:c r="E87" s="20" t="str">
        <x:v>Chinese influence</x:v>
      </x:c>
      <x:c r="F87" s="20" t="str">
        <x:v>PMC presence</x:v>
      </x:c>
      <x:c r="G87" s="384" t="n">
        <x:v>0</x:v>
      </x:c>
      <x:c r="H87" s="396" t="n">
        <x:v>1</x:v>
      </x:c>
      <x:c r="I87" s="20" t="str">
        <x:v>MERICS/Carnegie Chinese overseas PSC source register</x:v>
      </x:c>
      <x:c r="J87" s="397" t="str">
        <x:v>https://merics.org/en/report/guardians-belt-and-road</x:v>
      </x:c>
      <x:c r="K87" s="20" t="str">
        <x:v>Primary source-register URL; automated screening score</x:v>
      </x:c>
      <x:c r="L87" s="20" t="str">
        <x:v>2026-05-20</x:v>
      </x:c>
      <x:c r="M87" s="20" t="str">
        <x:v>2026-05-20</x:v>
      </x:c>
      <x:c r="N87" s="20" t="str">
        <x:v>GPT-5.5 Pro</x:v>
      </x:c>
      <x:c r="O87" s="20" t="str">
        <x:v>Needs review</x:v>
      </x:c>
      <x:c r="P87" s="20" t="str">
        <x:v>Screening score for China / PMC presence in Austria; verify with country-specific evidence before final use.</x:v>
      </x:c>
    </x:row>
    <x:row r="88" ht="24" customHeight="1">
      <x:c r="A88" s="20" t="str">
        <x:v>AUT|China|Election interference</x:v>
      </x:c>
      <x:c r="B88" s="20" t="str">
        <x:v>Austria</x:v>
      </x:c>
      <x:c r="C88" s="20" t="str">
        <x:v>AUT</x:v>
      </x:c>
      <x:c r="D88" s="20" t="str">
        <x:v>China</x:v>
      </x:c>
      <x:c r="E88" s="20" t="str">
        <x:v>Chinese influence</x:v>
      </x:c>
      <x:c r="F88" s="20" t="str">
        <x:v>Election interference</x:v>
      </x:c>
      <x:c r="G88" s="384" t="n">
        <x:v>2</x:v>
      </x:c>
      <x:c r="H88" s="396" t="n">
        <x:v>2</x:v>
      </x:c>
      <x:c r="I88" s="20" t="str">
        <x:v>EEAS/ODNI China election-FIMI source register</x:v>
      </x:c>
      <x:c r="J88" s="397" t="str">
        <x:v>https://www.eeas.europa.eu/eeas/4th-eeas-annual-report-foreign-information-manipulation-and-interference-threats_en</x:v>
      </x:c>
      <x:c r="K88" s="20" t="str">
        <x:v>Primary source-register URL; automated screening score</x:v>
      </x:c>
      <x:c r="L88" s="20" t="str">
        <x:v>2026-05-20</x:v>
      </x:c>
      <x:c r="M88" s="20" t="str">
        <x:v>2026-05-20</x:v>
      </x:c>
      <x:c r="N88" s="20" t="str">
        <x:v>GPT-5.5 Pro</x:v>
      </x:c>
      <x:c r="O88" s="20" t="str">
        <x:v>Needs review</x:v>
      </x:c>
      <x:c r="P88" s="20" t="str">
        <x:v>Screening score for China / Election interference in Austria; verify with country-specific evidence before final use.</x:v>
      </x:c>
    </x:row>
    <x:row r="89" ht="24" customHeight="1">
      <x:c r="A89" s="20" t="str">
        <x:v>AUT|China|Security contractors</x:v>
      </x:c>
      <x:c r="B89" s="20" t="str">
        <x:v>Austria</x:v>
      </x:c>
      <x:c r="C89" s="20" t="str">
        <x:v>AUT</x:v>
      </x:c>
      <x:c r="D89" s="20" t="str">
        <x:v>China</x:v>
      </x:c>
      <x:c r="E89" s="20" t="str">
        <x:v>Chinese influence</x:v>
      </x:c>
      <x:c r="F89" s="20" t="str">
        <x:v>Security contractors</x:v>
      </x:c>
      <x:c r="G89" s="384" t="n">
        <x:v>0</x:v>
      </x:c>
      <x:c r="H89" s="396" t="n">
        <x:v>1</x:v>
      </x:c>
      <x:c r="I89" s="20" t="str">
        <x:v>MERICS/Carnegie Chinese security contractor source register</x:v>
      </x:c>
      <x:c r="J89" s="397" t="str">
        <x:v>https://merics.org/en/report/guardians-belt-and-road</x:v>
      </x:c>
      <x:c r="K89" s="20" t="str">
        <x:v>Primary source-register URL; automated screening score</x:v>
      </x:c>
      <x:c r="L89" s="20" t="str">
        <x:v>2026-05-20</x:v>
      </x:c>
      <x:c r="M89" s="20" t="str">
        <x:v>2026-05-20</x:v>
      </x:c>
      <x:c r="N89" s="20" t="str">
        <x:v>GPT-5.5 Pro</x:v>
      </x:c>
      <x:c r="O89" s="20" t="str">
        <x:v>Needs review</x:v>
      </x:c>
      <x:c r="P89" s="20" t="str">
        <x:v>Screening score for China / Security contractors in Austria; verify with country-specific evidence before final use.</x:v>
      </x:c>
    </x:row>
    <x:row r="90" ht="24" customHeight="1">
      <x:c r="A90" s="20" t="str">
        <x:v>AUT|United States|Propaganda ecosystems</x:v>
      </x:c>
      <x:c r="B90" s="20" t="str">
        <x:v>Austria</x:v>
      </x:c>
      <x:c r="C90" s="20" t="str">
        <x:v>AUT</x:v>
      </x:c>
      <x:c r="D90" s="20" t="str">
        <x:v>United States</x:v>
      </x:c>
      <x:c r="E90" s="20" t="str">
        <x:v>American influence</x:v>
      </x:c>
      <x:c r="F90" s="20" t="str">
        <x:v>Propaganda ecosystems</x:v>
      </x:c>
      <x:c r="G90" s="384" t="n">
        <x:v>4</x:v>
      </x:c>
      <x:c r="H90" s="396" t="n">
        <x:v>3</x:v>
      </x:c>
      <x:c r="I90" s="20" t="str">
        <x:v>USAGM public media source register</x:v>
      </x:c>
      <x:c r="J90" s="397" t="str">
        <x:v>https://www.usagm.gov/our-work/strategy-and-results/strategic-priorities/research-reports/</x:v>
      </x:c>
      <x:c r="K90" s="20" t="str">
        <x:v>Primary source-register URL; automated screening score</x:v>
      </x:c>
      <x:c r="L90" s="20" t="str">
        <x:v>2026-05-20</x:v>
      </x:c>
      <x:c r="M90" s="20" t="str">
        <x:v>2026-05-20</x:v>
      </x:c>
      <x:c r="N90" s="20" t="str">
        <x:v>GPT-5.5 Pro</x:v>
      </x:c>
      <x:c r="O90" s="20" t="str">
        <x:v>Needs review</x:v>
      </x:c>
      <x:c r="P90" s="20" t="str">
        <x:v>Screening score for United States / Propaganda ecosystems in Austria; verify with country-specific evidence before final use.</x:v>
      </x:c>
    </x:row>
    <x:row r="91" ht="24" customHeight="1">
      <x:c r="A91" s="20" t="str">
        <x:v>AUT|United States|PMC presence</x:v>
      </x:c>
      <x:c r="B91" s="20" t="str">
        <x:v>Austria</x:v>
      </x:c>
      <x:c r="C91" s="20" t="str">
        <x:v>AUT</x:v>
      </x:c>
      <x:c r="D91" s="20" t="str">
        <x:v>United States</x:v>
      </x:c>
      <x:c r="E91" s="20" t="str">
        <x:v>American influence</x:v>
      </x:c>
      <x:c r="F91" s="20" t="str">
        <x:v>PMC presence</x:v>
      </x:c>
      <x:c r="G91" s="384" t="n">
        <x:v>3</x:v>
      </x:c>
      <x:c r="H91" s="396" t="n">
        <x:v>3</x:v>
      </x:c>
      <x:c r="I91" s="20" t="str">
        <x:v>SAM/Greenbook U.S. security assistance contractor source register</x:v>
      </x:c>
      <x:c r="J91" s="397" t="str">
        <x:v>https://internationalpolicy.org/programs/sam/</x:v>
      </x:c>
      <x:c r="K91" s="20" t="str">
        <x:v>Primary source-register URL; automated screening score</x:v>
      </x:c>
      <x:c r="L91" s="20" t="str">
        <x:v>2026-05-20</x:v>
      </x:c>
      <x:c r="M91" s="20" t="str">
        <x:v>2026-05-20</x:v>
      </x:c>
      <x:c r="N91" s="20" t="str">
        <x:v>GPT-5.5 Pro</x:v>
      </x:c>
      <x:c r="O91" s="20" t="str">
        <x:v>Needs review</x:v>
      </x:c>
      <x:c r="P91" s="20" t="str">
        <x:v>Screening score for United States / PMC presence in Austria; verify with country-specific evidence before final use.</x:v>
      </x:c>
    </x:row>
    <x:row r="92" ht="24" customHeight="1">
      <x:c r="A92" s="20" t="str">
        <x:v>AUT|United States|Election interference</x:v>
      </x:c>
      <x:c r="B92" s="20" t="str">
        <x:v>Austria</x:v>
      </x:c>
      <x:c r="C92" s="20" t="str">
        <x:v>AUT</x:v>
      </x:c>
      <x:c r="D92" s="20" t="str">
        <x:v>United States</x:v>
      </x:c>
      <x:c r="E92" s="20" t="str">
        <x:v>American influence</x:v>
      </x:c>
      <x:c r="F92" s="20" t="str">
        <x:v>Election interference</x:v>
      </x:c>
      <x:c r="G92" s="384" t="n">
        <x:v>1</x:v>
      </x:c>
      <x:c r="H92" s="396" t="n">
        <x:v>2</x:v>
      </x:c>
      <x:c r="I92" s="20" t="str">
        <x:v>NED/Greenbook democracy assistance source register</x:v>
      </x:c>
      <x:c r="J92" s="397" t="str">
        <x:v>https://www.ned.org/ned-grantmaking/</x:v>
      </x:c>
      <x:c r="K92" s="20" t="str">
        <x:v>Primary source-register URL; automated screening score</x:v>
      </x:c>
      <x:c r="L92" s="20" t="str">
        <x:v>2026-05-20</x:v>
      </x:c>
      <x:c r="M92" s="20" t="str">
        <x:v>2026-05-20</x:v>
      </x:c>
      <x:c r="N92" s="20" t="str">
        <x:v>GPT-5.5 Pro</x:v>
      </x:c>
      <x:c r="O92" s="20" t="str">
        <x:v>Needs review</x:v>
      </x:c>
      <x:c r="P92" s="20" t="str">
        <x:v>Screening score for United States / Election interference in Austria; verify with country-specific evidence before final use.</x:v>
      </x:c>
    </x:row>
    <x:row r="93" ht="24" customHeight="1">
      <x:c r="A93" s="20" t="str">
        <x:v>AUT|United States|Security contractors</x:v>
      </x:c>
      <x:c r="B93" s="20" t="str">
        <x:v>Austria</x:v>
      </x:c>
      <x:c r="C93" s="20" t="str">
        <x:v>AUT</x:v>
      </x:c>
      <x:c r="D93" s="20" t="str">
        <x:v>United States</x:v>
      </x:c>
      <x:c r="E93" s="20" t="str">
        <x:v>American influence</x:v>
      </x:c>
      <x:c r="F93" s="20" t="str">
        <x:v>Security contractors</x:v>
      </x:c>
      <x:c r="G93" s="384" t="n">
        <x:v>6</x:v>
      </x:c>
      <x:c r="H93" s="396" t="n">
        <x:v>4</x:v>
      </x:c>
      <x:c r="I93" s="20" t="str">
        <x:v>SAM/Greenbook U.S. security contractor source register</x:v>
      </x:c>
      <x:c r="J93" s="397" t="str">
        <x:v>https://internationalpolicy.org/programs/sam/</x:v>
      </x:c>
      <x:c r="K93" s="20" t="str">
        <x:v>Primary source-register URL; automated screening score</x:v>
      </x:c>
      <x:c r="L93" s="20" t="str">
        <x:v>2026-05-20</x:v>
      </x:c>
      <x:c r="M93" s="20" t="str">
        <x:v>2026-05-20</x:v>
      </x:c>
      <x:c r="N93" s="20" t="str">
        <x:v>GPT-5.5 Pro</x:v>
      </x:c>
      <x:c r="O93" s="20" t="str">
        <x:v>Needs review</x:v>
      </x:c>
      <x:c r="P93" s="20" t="str">
        <x:v>Screening score for United States / Security contractors in Austria; verify with country-specific evidence before final use.</x:v>
      </x:c>
    </x:row>
    <x:row r="94" ht="24" customHeight="1">
      <x:c r="A94" s="20" t="str">
        <x:v>AUT|European Union|Propaganda ecosystems</x:v>
      </x:c>
      <x:c r="B94" s="20" t="str">
        <x:v>Austria</x:v>
      </x:c>
      <x:c r="C94" s="20" t="str">
        <x:v>AUT</x:v>
      </x:c>
      <x:c r="D94" s="20" t="str">
        <x:v>European Union</x:v>
      </x:c>
      <x:c r="E94" s="20" t="str">
        <x:v>EU influence</x:v>
      </x:c>
      <x:c r="F94" s="20" t="str">
        <x:v>Propaganda ecosystems</x:v>
      </x:c>
      <x:c r="G94" s="384" t="n">
        <x:v>9</x:v>
      </x:c>
      <x:c r="H94" s="396" t="n">
        <x:v>5</x:v>
      </x:c>
      <x:c r="I94" s="20" t="str">
        <x:v>EEAS public diplomacy source register</x:v>
      </x:c>
      <x:c r="J94" s="397" t="str">
        <x:v>https://www.eeas.europa.eu/eeas/public-diplomacy_en</x:v>
      </x:c>
      <x:c r="K94" s="20" t="str">
        <x:v>Primary source-register URL; automated screening score</x:v>
      </x:c>
      <x:c r="L94" s="20" t="str">
        <x:v>2026-05-20</x:v>
      </x:c>
      <x:c r="M94" s="20" t="str">
        <x:v>2026-05-20</x:v>
      </x:c>
      <x:c r="N94" s="20" t="str">
        <x:v>GPT-5.5 Pro</x:v>
      </x:c>
      <x:c r="O94" s="20" t="str">
        <x:v>Needs review</x:v>
      </x:c>
      <x:c r="P94" s="20" t="str">
        <x:v>Screening score for European Union / Propaganda ecosystems in Austria; verify with country-specific evidence before final use.</x:v>
      </x:c>
    </x:row>
    <x:row r="95" ht="24" customHeight="1">
      <x:c r="A95" s="20" t="str">
        <x:v>AUT|European Union|PMC presence</x:v>
      </x:c>
      <x:c r="B95" s="20" t="str">
        <x:v>Austria</x:v>
      </x:c>
      <x:c r="C95" s="20" t="str">
        <x:v>AUT</x:v>
      </x:c>
      <x:c r="D95" s="20" t="str">
        <x:v>European Union</x:v>
      </x:c>
      <x:c r="E95" s="20" t="str">
        <x:v>EU influence</x:v>
      </x:c>
      <x:c r="F95" s="20" t="str">
        <x:v>PMC presence</x:v>
      </x:c>
      <x:c r="G95" s="384" t="n">
        <x:v>0</x:v>
      </x:c>
      <x:c r="H95" s="396" t="n">
        <x:v>1</x:v>
      </x:c>
      <x:c r="I95" s="20" t="str">
        <x:v>EEAS CSDP missions source register</x:v>
      </x:c>
      <x:c r="J95" s="397" t="str">
        <x:v>https://www.eeas.europa.eu/eeas/missions-and-operations_en</x:v>
      </x:c>
      <x:c r="K95" s="20" t="str">
        <x:v>Primary source-register URL; automated screening score</x:v>
      </x:c>
      <x:c r="L95" s="20" t="str">
        <x:v>2026-05-20</x:v>
      </x:c>
      <x:c r="M95" s="20" t="str">
        <x:v>2026-05-20</x:v>
      </x:c>
      <x:c r="N95" s="20" t="str">
        <x:v>GPT-5.5 Pro</x:v>
      </x:c>
      <x:c r="O95" s="20" t="str">
        <x:v>Needs review</x:v>
      </x:c>
      <x:c r="P95" s="20" t="str">
        <x:v>Screening score for European Union / PMC presence in Austria; verify with country-specific evidence before final use.</x:v>
      </x:c>
    </x:row>
    <x:row r="96" ht="24" customHeight="1">
      <x:c r="A96" s="20" t="str">
        <x:v>AUT|European Union|Election interference</x:v>
      </x:c>
      <x:c r="B96" s="20" t="str">
        <x:v>Austria</x:v>
      </x:c>
      <x:c r="C96" s="20" t="str">
        <x:v>AUT</x:v>
      </x:c>
      <x:c r="D96" s="20" t="str">
        <x:v>European Union</x:v>
      </x:c>
      <x:c r="E96" s="20" t="str">
        <x:v>EU influence</x:v>
      </x:c>
      <x:c r="F96" s="20" t="str">
        <x:v>Election interference</x:v>
      </x:c>
      <x:c r="G96" s="384" t="n">
        <x:v>2</x:v>
      </x:c>
      <x:c r="H96" s="396" t="n">
        <x:v>2</x:v>
      </x:c>
      <x:c r="I96" s="20" t="str">
        <x:v>EEAS EU election observation source register</x:v>
      </x:c>
      <x:c r="J96" s="397" t="str">
        <x:v>https://www.eeas.europa.eu/eeas/eu-election-observation-missions-1_en?page_lang=en</x:v>
      </x:c>
      <x:c r="K96" s="20" t="str">
        <x:v>Primary source-register URL; automated screening score</x:v>
      </x:c>
      <x:c r="L96" s="20" t="str">
        <x:v>2026-05-20</x:v>
      </x:c>
      <x:c r="M96" s="20" t="str">
        <x:v>2026-05-20</x:v>
      </x:c>
      <x:c r="N96" s="20" t="str">
        <x:v>GPT-5.5 Pro</x:v>
      </x:c>
      <x:c r="O96" s="20" t="str">
        <x:v>Needs review</x:v>
      </x:c>
      <x:c r="P96" s="20" t="str">
        <x:v>Screening score for European Union / Election interference in Austria; verify with country-specific evidence before final use.</x:v>
      </x:c>
    </x:row>
    <x:row r="97" ht="24" customHeight="1">
      <x:c r="A97" s="20" t="str">
        <x:v>AUT|European Union|Security contractors</x:v>
      </x:c>
      <x:c r="B97" s="20" t="str">
        <x:v>Austria</x:v>
      </x:c>
      <x:c r="C97" s="20" t="str">
        <x:v>AUT</x:v>
      </x:c>
      <x:c r="D97" s="20" t="str">
        <x:v>European Union</x:v>
      </x:c>
      <x:c r="E97" s="20" t="str">
        <x:v>EU influence</x:v>
      </x:c>
      <x:c r="F97" s="20" t="str">
        <x:v>Security contractors</x:v>
      </x:c>
      <x:c r="G97" s="384" t="n">
        <x:v>5</x:v>
      </x:c>
      <x:c r="H97" s="396" t="n">
        <x:v>3</x:v>
      </x:c>
      <x:c r="I97" s="20" t="str">
        <x:v>EEAS CSDP / Global Gateway security source register</x:v>
      </x:c>
      <x:c r="J97" s="397" t="str">
        <x:v>https://www.eeas.europa.eu/eeas/missions-and-operations_en</x:v>
      </x:c>
      <x:c r="K97" s="20" t="str">
        <x:v>Primary source-register URL; automated screening score</x:v>
      </x:c>
      <x:c r="L97" s="20" t="str">
        <x:v>2026-05-20</x:v>
      </x:c>
      <x:c r="M97" s="20" t="str">
        <x:v>2026-05-20</x:v>
      </x:c>
      <x:c r="N97" s="20" t="str">
        <x:v>GPT-5.5 Pro</x:v>
      </x:c>
      <x:c r="O97" s="20" t="str">
        <x:v>Needs review</x:v>
      </x:c>
      <x:c r="P97" s="20" t="str">
        <x:v>Screening score for European Union / Security contractors in Austria; verify with country-specific evidence before final use.</x:v>
      </x:c>
    </x:row>
    <x:row r="98" ht="24" customHeight="1">
      <x:c r="A98" s="20" t="str">
        <x:v>AZE|Russia|Propaganda ecosystems</x:v>
      </x:c>
      <x:c r="B98" s="20" t="str">
        <x:v>Azerbaijan</x:v>
      </x:c>
      <x:c r="C98" s="20" t="str">
        <x:v>AZE</x:v>
      </x:c>
      <x:c r="D98" s="20" t="str">
        <x:v>Russia</x:v>
      </x:c>
      <x:c r="E98" s="20" t="str">
        <x:v>Russian influence</x:v>
      </x:c>
      <x:c r="F98" s="20" t="str">
        <x:v>Propaganda ecosystems</x:v>
      </x:c>
      <x:c r="G98" s="384" t="n">
        <x:v>6</x:v>
      </x:c>
      <x:c r="H98" s="396" t="n">
        <x:v>4</x:v>
      </x:c>
      <x:c r="I98" s="20" t="str">
        <x:v>EEAS/EUvsDisinfo FIMI source register</x:v>
      </x:c>
      <x:c r="J98" s="397" t="str">
        <x:v>https://www.eeas.europa.eu/eeas/4th-eeas-annual-report-foreign-information-manipulation-and-interference-threats_en</x:v>
      </x:c>
      <x:c r="K98" s="20" t="str">
        <x:v>Primary source-register URL; automated screening score</x:v>
      </x:c>
      <x:c r="L98" s="20" t="str">
        <x:v>2026-05-20</x:v>
      </x:c>
      <x:c r="M98" s="20" t="str">
        <x:v>2026-05-20</x:v>
      </x:c>
      <x:c r="N98" s="20" t="str">
        <x:v>GPT-5.5 Pro</x:v>
      </x:c>
      <x:c r="O98" s="20" t="str">
        <x:v>Needs review</x:v>
      </x:c>
      <x:c r="P98" s="20" t="str">
        <x:v>Screening score for Russia / Propaganda ecosystems in Azerbaijan; verify with country-specific evidence before final use.</x:v>
      </x:c>
    </x:row>
    <x:row r="99" ht="24" customHeight="1">
      <x:c r="A99" s="20" t="str">
        <x:v>AZE|Russia|PMC presence</x:v>
      </x:c>
      <x:c r="B99" s="20" t="str">
        <x:v>Azerbaijan</x:v>
      </x:c>
      <x:c r="C99" s="20" t="str">
        <x:v>AZE</x:v>
      </x:c>
      <x:c r="D99" s="20" t="str">
        <x:v>Russia</x:v>
      </x:c>
      <x:c r="E99" s="20" t="str">
        <x:v>Russian influence</x:v>
      </x:c>
      <x:c r="F99" s="20" t="str">
        <x:v>PMC presence</x:v>
      </x:c>
      <x:c r="G99" s="384" t="n">
        <x:v>0</x:v>
      </x:c>
      <x:c r="H99" s="396" t="n">
        <x:v>1</x:v>
      </x:c>
      <x:c r="I99" s="20" t="str">
        <x:v>Treasury and Council of the EU Wagner/PMC source register</x:v>
      </x:c>
      <x:c r="J99" s="397" t="str">
        <x:v>https://www.consilium.europa.eu/en/press/press-releases/2023/02/25/wagner-group-council-adds-11-individuals-and-7-entities-to-eu-sanctions-lists/</x:v>
      </x:c>
      <x:c r="K99" s="20" t="str">
        <x:v>Primary source-register URL; automated screening score</x:v>
      </x:c>
      <x:c r="L99" s="20" t="str">
        <x:v>2026-05-20</x:v>
      </x:c>
      <x:c r="M99" s="20" t="str">
        <x:v>2026-05-20</x:v>
      </x:c>
      <x:c r="N99" s="20" t="str">
        <x:v>GPT-5.5 Pro</x:v>
      </x:c>
      <x:c r="O99" s="20" t="str">
        <x:v>Needs review</x:v>
      </x:c>
      <x:c r="P99" s="20" t="str">
        <x:v>Screening score for Russia / PMC presence in Azerbaijan; verify with country-specific evidence before final use.</x:v>
      </x:c>
    </x:row>
    <x:row r="100" ht="24" customHeight="1">
      <x:c r="A100" s="20" t="str">
        <x:v>AZE|Russia|Election interference</x:v>
      </x:c>
      <x:c r="B100" s="20" t="str">
        <x:v>Azerbaijan</x:v>
      </x:c>
      <x:c r="C100" s="20" t="str">
        <x:v>AZE</x:v>
      </x:c>
      <x:c r="D100" s="20" t="str">
        <x:v>Russia</x:v>
      </x:c>
      <x:c r="E100" s="20" t="str">
        <x:v>Russian influence</x:v>
      </x:c>
      <x:c r="F100" s="20" t="str">
        <x:v>Election interference</x:v>
      </x:c>
      <x:c r="G100" s="384" t="n">
        <x:v>0</x:v>
      </x:c>
      <x:c r="H100" s="396" t="n">
        <x:v>1</x:v>
      </x:c>
      <x:c r="I100" s="20" t="str">
        <x:v>ODNI/EEAS election-FIMI source register</x:v>
      </x:c>
      <x:c r="J100" s="397" t="str">
        <x:v>https://www.dni.gov/files/ODNI/documents/assessments/ATA-2026-Unclassified-Report.pdf</x:v>
      </x:c>
      <x:c r="K100" s="20" t="str">
        <x:v>Primary source-register URL; automated screening score</x:v>
      </x:c>
      <x:c r="L100" s="20" t="str">
        <x:v>2026-05-20</x:v>
      </x:c>
      <x:c r="M100" s="20" t="str">
        <x:v>2026-05-20</x:v>
      </x:c>
      <x:c r="N100" s="20" t="str">
        <x:v>GPT-5.5 Pro</x:v>
      </x:c>
      <x:c r="O100" s="20" t="str">
        <x:v>Needs review</x:v>
      </x:c>
      <x:c r="P100" s="20" t="str">
        <x:v>Screening score for Russia / Election interference in Azerbaijan; verify with country-specific evidence before final use.</x:v>
      </x:c>
    </x:row>
    <x:row r="101" ht="24" customHeight="1">
      <x:c r="A101" s="20" t="str">
        <x:v>AZE|Russia|Security contractors</x:v>
      </x:c>
      <x:c r="B101" s="20" t="str">
        <x:v>Azerbaijan</x:v>
      </x:c>
      <x:c r="C101" s="20" t="str">
        <x:v>AZE</x:v>
      </x:c>
      <x:c r="D101" s="20" t="str">
        <x:v>Russia</x:v>
      </x:c>
      <x:c r="E101" s="20" t="str">
        <x:v>Russian influence</x:v>
      </x:c>
      <x:c r="F101" s="20" t="str">
        <x:v>Security contractors</x:v>
      </x:c>
      <x:c r="G101" s="384" t="n">
        <x:v>0</x:v>
      </x:c>
      <x:c r="H101" s="396" t="n">
        <x:v>1</x:v>
      </x:c>
      <x:c r="I101" s="20" t="str">
        <x:v>Council of the EU/Treasury Wagner-security source register</x:v>
      </x:c>
      <x:c r="J101" s="397" t="str">
        <x:v>https://www.consilium.europa.eu/en/press/press-releases/2023/02/25/wagner-group-council-adds-11-individuals-and-7-entities-to-eu-sanctions-lists/</x:v>
      </x:c>
      <x:c r="K101" s="20" t="str">
        <x:v>Primary source-register URL; automated screening score</x:v>
      </x:c>
      <x:c r="L101" s="20" t="str">
        <x:v>2026-05-20</x:v>
      </x:c>
      <x:c r="M101" s="20" t="str">
        <x:v>2026-05-20</x:v>
      </x:c>
      <x:c r="N101" s="20" t="str">
        <x:v>GPT-5.5 Pro</x:v>
      </x:c>
      <x:c r="O101" s="20" t="str">
        <x:v>Needs review</x:v>
      </x:c>
      <x:c r="P101" s="20" t="str">
        <x:v>Screening score for Russia / Security contractors in Azerbaijan; verify with country-specific evidence before final use.</x:v>
      </x:c>
    </x:row>
    <x:row r="102" ht="24" customHeight="1">
      <x:c r="A102" s="20" t="str">
        <x:v>AZE|China|Propaganda ecosystems</x:v>
      </x:c>
      <x:c r="B102" s="20" t="str">
        <x:v>Azerbaijan</x:v>
      </x:c>
      <x:c r="C102" s="20" t="str">
        <x:v>AZE</x:v>
      </x:c>
      <x:c r="D102" s="20" t="str">
        <x:v>China</x:v>
      </x:c>
      <x:c r="E102" s="20" t="str">
        <x:v>Chinese influence</x:v>
      </x:c>
      <x:c r="F102" s="20" t="str">
        <x:v>Propaganda ecosystems</x:v>
      </x:c>
      <x:c r="G102" s="384" t="n">
        <x:v>3</x:v>
      </x:c>
      <x:c r="H102" s="396" t="n">
        <x:v>3</x:v>
      </x:c>
      <x:c r="I102" s="20" t="str">
        <x:v>EEAS/ODNI China FIMI source register</x:v>
      </x:c>
      <x:c r="J102" s="397" t="str">
        <x:v>https://www.eeas.europa.eu/eeas/4th-eeas-annual-report-foreign-information-manipulation-and-interference-threats_en</x:v>
      </x:c>
      <x:c r="K102" s="20" t="str">
        <x:v>Primary source-register URL; automated screening score</x:v>
      </x:c>
      <x:c r="L102" s="20" t="str">
        <x:v>2026-05-20</x:v>
      </x:c>
      <x:c r="M102" s="20" t="str">
        <x:v>2026-05-20</x:v>
      </x:c>
      <x:c r="N102" s="20" t="str">
        <x:v>GPT-5.5 Pro</x:v>
      </x:c>
      <x:c r="O102" s="20" t="str">
        <x:v>Needs review</x:v>
      </x:c>
      <x:c r="P102" s="20" t="str">
        <x:v>Screening score for China / Propaganda ecosystems in Azerbaijan; verify with country-specific evidence before final use.</x:v>
      </x:c>
    </x:row>
    <x:row r="103" ht="24" customHeight="1">
      <x:c r="A103" s="20" t="str">
        <x:v>AZE|China|PMC presence</x:v>
      </x:c>
      <x:c r="B103" s="20" t="str">
        <x:v>Azerbaijan</x:v>
      </x:c>
      <x:c r="C103" s="20" t="str">
        <x:v>AZE</x:v>
      </x:c>
      <x:c r="D103" s="20" t="str">
        <x:v>China</x:v>
      </x:c>
      <x:c r="E103" s="20" t="str">
        <x:v>Chinese influence</x:v>
      </x:c>
      <x:c r="F103" s="20" t="str">
        <x:v>PMC presence</x:v>
      </x:c>
      <x:c r="G103" s="384" t="n">
        <x:v>0</x:v>
      </x:c>
      <x:c r="H103" s="396" t="n">
        <x:v>1</x:v>
      </x:c>
      <x:c r="I103" s="20" t="str">
        <x:v>MERICS/Carnegie Chinese overseas PSC source register</x:v>
      </x:c>
      <x:c r="J103" s="397" t="str">
        <x:v>https://merics.org/en/report/guardians-belt-and-road</x:v>
      </x:c>
      <x:c r="K103" s="20" t="str">
        <x:v>Primary source-register URL; automated screening score</x:v>
      </x:c>
      <x:c r="L103" s="20" t="str">
        <x:v>2026-05-20</x:v>
      </x:c>
      <x:c r="M103" s="20" t="str">
        <x:v>2026-05-20</x:v>
      </x:c>
      <x:c r="N103" s="20" t="str">
        <x:v>GPT-5.5 Pro</x:v>
      </x:c>
      <x:c r="O103" s="20" t="str">
        <x:v>Needs review</x:v>
      </x:c>
      <x:c r="P103" s="20" t="str">
        <x:v>Screening score for China / PMC presence in Azerbaijan; verify with country-specific evidence before final use.</x:v>
      </x:c>
    </x:row>
    <x:row r="104" ht="24" customHeight="1">
      <x:c r="A104" s="20" t="str">
        <x:v>AZE|China|Election interference</x:v>
      </x:c>
      <x:c r="B104" s="20" t="str">
        <x:v>Azerbaijan</x:v>
      </x:c>
      <x:c r="C104" s="20" t="str">
        <x:v>AZE</x:v>
      </x:c>
      <x:c r="D104" s="20" t="str">
        <x:v>China</x:v>
      </x:c>
      <x:c r="E104" s="20" t="str">
        <x:v>Chinese influence</x:v>
      </x:c>
      <x:c r="F104" s="20" t="str">
        <x:v>Election interference</x:v>
      </x:c>
      <x:c r="G104" s="384" t="n">
        <x:v>1</x:v>
      </x:c>
      <x:c r="H104" s="396" t="n">
        <x:v>2</x:v>
      </x:c>
      <x:c r="I104" s="20" t="str">
        <x:v>EEAS/ODNI China election-FIMI source register</x:v>
      </x:c>
      <x:c r="J104" s="397" t="str">
        <x:v>https://www.eeas.europa.eu/eeas/4th-eeas-annual-report-foreign-information-manipulation-and-interference-threats_en</x:v>
      </x:c>
      <x:c r="K104" s="20" t="str">
        <x:v>Primary source-register URL; automated screening score</x:v>
      </x:c>
      <x:c r="L104" s="20" t="str">
        <x:v>2026-05-20</x:v>
      </x:c>
      <x:c r="M104" s="20" t="str">
        <x:v>2026-05-20</x:v>
      </x:c>
      <x:c r="N104" s="20" t="str">
        <x:v>GPT-5.5 Pro</x:v>
      </x:c>
      <x:c r="O104" s="20" t="str">
        <x:v>Needs review</x:v>
      </x:c>
      <x:c r="P104" s="20" t="str">
        <x:v>Screening score for China / Election interference in Azerbaijan; verify with country-specific evidence before final use.</x:v>
      </x:c>
    </x:row>
    <x:row r="105" ht="24" customHeight="1">
      <x:c r="A105" s="20" t="str">
        <x:v>AZE|China|Security contractors</x:v>
      </x:c>
      <x:c r="B105" s="20" t="str">
        <x:v>Azerbaijan</x:v>
      </x:c>
      <x:c r="C105" s="20" t="str">
        <x:v>AZE</x:v>
      </x:c>
      <x:c r="D105" s="20" t="str">
        <x:v>China</x:v>
      </x:c>
      <x:c r="E105" s="20" t="str">
        <x:v>Chinese influence</x:v>
      </x:c>
      <x:c r="F105" s="20" t="str">
        <x:v>Security contractors</x:v>
      </x:c>
      <x:c r="G105" s="384" t="n">
        <x:v>1</x:v>
      </x:c>
      <x:c r="H105" s="396" t="n">
        <x:v>2</x:v>
      </x:c>
      <x:c r="I105" s="20" t="str">
        <x:v>MERICS/Carnegie Chinese security contractor source register</x:v>
      </x:c>
      <x:c r="J105" s="397" t="str">
        <x:v>https://merics.org/en/report/guardians-belt-and-road</x:v>
      </x:c>
      <x:c r="K105" s="20" t="str">
        <x:v>Primary source-register URL; automated screening score</x:v>
      </x:c>
      <x:c r="L105" s="20" t="str">
        <x:v>2026-05-20</x:v>
      </x:c>
      <x:c r="M105" s="20" t="str">
        <x:v>2026-05-20</x:v>
      </x:c>
      <x:c r="N105" s="20" t="str">
        <x:v>GPT-5.5 Pro</x:v>
      </x:c>
      <x:c r="O105" s="20" t="str">
        <x:v>Needs review</x:v>
      </x:c>
      <x:c r="P105" s="20" t="str">
        <x:v>Screening score for China / Security contractors in Azerbaijan; verify with country-specific evidence before final use.</x:v>
      </x:c>
    </x:row>
    <x:row r="106" ht="24" customHeight="1">
      <x:c r="A106" s="20" t="str">
        <x:v>AZE|United States|Propaganda ecosystems</x:v>
      </x:c>
      <x:c r="B106" s="20" t="str">
        <x:v>Azerbaijan</x:v>
      </x:c>
      <x:c r="C106" s="20" t="str">
        <x:v>AZE</x:v>
      </x:c>
      <x:c r="D106" s="20" t="str">
        <x:v>United States</x:v>
      </x:c>
      <x:c r="E106" s="20" t="str">
        <x:v>American influence</x:v>
      </x:c>
      <x:c r="F106" s="20" t="str">
        <x:v>Propaganda ecosystems</x:v>
      </x:c>
      <x:c r="G106" s="384" t="n">
        <x:v>3</x:v>
      </x:c>
      <x:c r="H106" s="396" t="n">
        <x:v>3</x:v>
      </x:c>
      <x:c r="I106" s="20" t="str">
        <x:v>USAGM public media source register</x:v>
      </x:c>
      <x:c r="J106" s="397" t="str">
        <x:v>https://www.usagm.gov/our-work/strategy-and-results/strategic-priorities/research-reports/</x:v>
      </x:c>
      <x:c r="K106" s="20" t="str">
        <x:v>Primary source-register URL; automated screening score</x:v>
      </x:c>
      <x:c r="L106" s="20" t="str">
        <x:v>2026-05-20</x:v>
      </x:c>
      <x:c r="M106" s="20" t="str">
        <x:v>2026-05-20</x:v>
      </x:c>
      <x:c r="N106" s="20" t="str">
        <x:v>GPT-5.5 Pro</x:v>
      </x:c>
      <x:c r="O106" s="20" t="str">
        <x:v>Needs review</x:v>
      </x:c>
      <x:c r="P106" s="20" t="str">
        <x:v>Screening score for United States / Propaganda ecosystems in Azerbaijan; verify with country-specific evidence before final use.</x:v>
      </x:c>
    </x:row>
    <x:row r="107" ht="24" customHeight="1">
      <x:c r="A107" s="20" t="str">
        <x:v>AZE|United States|PMC presence</x:v>
      </x:c>
      <x:c r="B107" s="20" t="str">
        <x:v>Azerbaijan</x:v>
      </x:c>
      <x:c r="C107" s="20" t="str">
        <x:v>AZE</x:v>
      </x:c>
      <x:c r="D107" s="20" t="str">
        <x:v>United States</x:v>
      </x:c>
      <x:c r="E107" s="20" t="str">
        <x:v>American influence</x:v>
      </x:c>
      <x:c r="F107" s="20" t="str">
        <x:v>PMC presence</x:v>
      </x:c>
      <x:c r="G107" s="384" t="n">
        <x:v>1</x:v>
      </x:c>
      <x:c r="H107" s="396" t="n">
        <x:v>2</x:v>
      </x:c>
      <x:c r="I107" s="20" t="str">
        <x:v>SAM/Greenbook U.S. security assistance contractor source register</x:v>
      </x:c>
      <x:c r="J107" s="397" t="str">
        <x:v>https://internationalpolicy.org/programs/sam/</x:v>
      </x:c>
      <x:c r="K107" s="20" t="str">
        <x:v>Primary source-register URL; automated screening score</x:v>
      </x:c>
      <x:c r="L107" s="20" t="str">
        <x:v>2026-05-20</x:v>
      </x:c>
      <x:c r="M107" s="20" t="str">
        <x:v>2026-05-20</x:v>
      </x:c>
      <x:c r="N107" s="20" t="str">
        <x:v>GPT-5.5 Pro</x:v>
      </x:c>
      <x:c r="O107" s="20" t="str">
        <x:v>Needs review</x:v>
      </x:c>
      <x:c r="P107" s="20" t="str">
        <x:v>Screening score for United States / PMC presence in Azerbaijan; verify with country-specific evidence before final use.</x:v>
      </x:c>
    </x:row>
    <x:row r="108" ht="24" customHeight="1">
      <x:c r="A108" s="20" t="str">
        <x:v>AZE|United States|Election interference</x:v>
      </x:c>
      <x:c r="B108" s="20" t="str">
        <x:v>Azerbaijan</x:v>
      </x:c>
      <x:c r="C108" s="20" t="str">
        <x:v>AZE</x:v>
      </x:c>
      <x:c r="D108" s="20" t="str">
        <x:v>United States</x:v>
      </x:c>
      <x:c r="E108" s="20" t="str">
        <x:v>American influence</x:v>
      </x:c>
      <x:c r="F108" s="20" t="str">
        <x:v>Election interference</x:v>
      </x:c>
      <x:c r="G108" s="384" t="n">
        <x:v>2</x:v>
      </x:c>
      <x:c r="H108" s="396" t="n">
        <x:v>2</x:v>
      </x:c>
      <x:c r="I108" s="20" t="str">
        <x:v>NED/Greenbook democracy assistance source register</x:v>
      </x:c>
      <x:c r="J108" s="397" t="str">
        <x:v>https://www.ned.org/ned-grantmaking/</x:v>
      </x:c>
      <x:c r="K108" s="20" t="str">
        <x:v>Primary source-register URL; automated screening score</x:v>
      </x:c>
      <x:c r="L108" s="20" t="str">
        <x:v>2026-05-20</x:v>
      </x:c>
      <x:c r="M108" s="20" t="str">
        <x:v>2026-05-20</x:v>
      </x:c>
      <x:c r="N108" s="20" t="str">
        <x:v>GPT-5.5 Pro</x:v>
      </x:c>
      <x:c r="O108" s="20" t="str">
        <x:v>Needs review</x:v>
      </x:c>
      <x:c r="P108" s="20" t="str">
        <x:v>Screening score for United States / Election interference in Azerbaijan; verify with country-specific evidence before final use.</x:v>
      </x:c>
    </x:row>
    <x:row r="109" ht="24" customHeight="1">
      <x:c r="A109" s="20" t="str">
        <x:v>AZE|United States|Security contractors</x:v>
      </x:c>
      <x:c r="B109" s="20" t="str">
        <x:v>Azerbaijan</x:v>
      </x:c>
      <x:c r="C109" s="20" t="str">
        <x:v>AZE</x:v>
      </x:c>
      <x:c r="D109" s="20" t="str">
        <x:v>United States</x:v>
      </x:c>
      <x:c r="E109" s="20" t="str">
        <x:v>American influence</x:v>
      </x:c>
      <x:c r="F109" s="20" t="str">
        <x:v>Security contractors</x:v>
      </x:c>
      <x:c r="G109" s="384" t="n">
        <x:v>2</x:v>
      </x:c>
      <x:c r="H109" s="396" t="n">
        <x:v>2</x:v>
      </x:c>
      <x:c r="I109" s="20" t="str">
        <x:v>SAM/Greenbook U.S. security contractor source register</x:v>
      </x:c>
      <x:c r="J109" s="397" t="str">
        <x:v>https://internationalpolicy.org/programs/sam/</x:v>
      </x:c>
      <x:c r="K109" s="20" t="str">
        <x:v>Primary source-register URL; automated screening score</x:v>
      </x:c>
      <x:c r="L109" s="20" t="str">
        <x:v>2026-05-20</x:v>
      </x:c>
      <x:c r="M109" s="20" t="str">
        <x:v>2026-05-20</x:v>
      </x:c>
      <x:c r="N109" s="20" t="str">
        <x:v>GPT-5.5 Pro</x:v>
      </x:c>
      <x:c r="O109" s="20" t="str">
        <x:v>Needs review</x:v>
      </x:c>
      <x:c r="P109" s="20" t="str">
        <x:v>Screening score for United States / Security contractors in Azerbaijan; verify with country-specific evidence before final use.</x:v>
      </x:c>
    </x:row>
    <x:row r="110" ht="24" customHeight="1">
      <x:c r="A110" s="20" t="str">
        <x:v>AZE|European Union|Propaganda ecosystems</x:v>
      </x:c>
      <x:c r="B110" s="20" t="str">
        <x:v>Azerbaijan</x:v>
      </x:c>
      <x:c r="C110" s="20" t="str">
        <x:v>AZE</x:v>
      </x:c>
      <x:c r="D110" s="20" t="str">
        <x:v>European Union</x:v>
      </x:c>
      <x:c r="E110" s="20" t="str">
        <x:v>EU influence</x:v>
      </x:c>
      <x:c r="F110" s="20" t="str">
        <x:v>Propaganda ecosystems</x:v>
      </x:c>
      <x:c r="G110" s="384" t="n">
        <x:v>2</x:v>
      </x:c>
      <x:c r="H110" s="396" t="n">
        <x:v>2</x:v>
      </x:c>
      <x:c r="I110" s="20" t="str">
        <x:v>EEAS public diplomacy source register</x:v>
      </x:c>
      <x:c r="J110" s="397" t="str">
        <x:v>https://www.eeas.europa.eu/eeas/public-diplomacy_en</x:v>
      </x:c>
      <x:c r="K110" s="20" t="str">
        <x:v>Primary source-register URL; automated screening score</x:v>
      </x:c>
      <x:c r="L110" s="20" t="str">
        <x:v>2026-05-20</x:v>
      </x:c>
      <x:c r="M110" s="20" t="str">
        <x:v>2026-05-20</x:v>
      </x:c>
      <x:c r="N110" s="20" t="str">
        <x:v>GPT-5.5 Pro</x:v>
      </x:c>
      <x:c r="O110" s="20" t="str">
        <x:v>Needs review</x:v>
      </x:c>
      <x:c r="P110" s="20" t="str">
        <x:v>Screening score for European Union / Propaganda ecosystems in Azerbaijan; verify with country-specific evidence before final use.</x:v>
      </x:c>
    </x:row>
    <x:row r="111" ht="24" customHeight="1">
      <x:c r="A111" s="20" t="str">
        <x:v>AZE|European Union|PMC presence</x:v>
      </x:c>
      <x:c r="B111" s="20" t="str">
        <x:v>Azerbaijan</x:v>
      </x:c>
      <x:c r="C111" s="20" t="str">
        <x:v>AZE</x:v>
      </x:c>
      <x:c r="D111" s="20" t="str">
        <x:v>European Union</x:v>
      </x:c>
      <x:c r="E111" s="20" t="str">
        <x:v>EU influence</x:v>
      </x:c>
      <x:c r="F111" s="20" t="str">
        <x:v>PMC presence</x:v>
      </x:c>
      <x:c r="G111" s="384" t="n">
        <x:v>0</x:v>
      </x:c>
      <x:c r="H111" s="396" t="n">
        <x:v>1</x:v>
      </x:c>
      <x:c r="I111" s="20" t="str">
        <x:v>EEAS CSDP missions source register</x:v>
      </x:c>
      <x:c r="J111" s="397" t="str">
        <x:v>https://www.eeas.europa.eu/eeas/missions-and-operations_en</x:v>
      </x:c>
      <x:c r="K111" s="20" t="str">
        <x:v>Primary source-register URL; automated screening score</x:v>
      </x:c>
      <x:c r="L111" s="20" t="str">
        <x:v>2026-05-20</x:v>
      </x:c>
      <x:c r="M111" s="20" t="str">
        <x:v>2026-05-20</x:v>
      </x:c>
      <x:c r="N111" s="20" t="str">
        <x:v>GPT-5.5 Pro</x:v>
      </x:c>
      <x:c r="O111" s="20" t="str">
        <x:v>Needs review</x:v>
      </x:c>
      <x:c r="P111" s="20" t="str">
        <x:v>Screening score for European Union / PMC presence in Azerbaijan; verify with country-specific evidence before final use.</x:v>
      </x:c>
    </x:row>
    <x:row r="112" ht="24" customHeight="1">
      <x:c r="A112" s="20" t="str">
        <x:v>AZE|European Union|Election interference</x:v>
      </x:c>
      <x:c r="B112" s="20" t="str">
        <x:v>Azerbaijan</x:v>
      </x:c>
      <x:c r="C112" s="20" t="str">
        <x:v>AZE</x:v>
      </x:c>
      <x:c r="D112" s="20" t="str">
        <x:v>European Union</x:v>
      </x:c>
      <x:c r="E112" s="20" t="str">
        <x:v>EU influence</x:v>
      </x:c>
      <x:c r="F112" s="20" t="str">
        <x:v>Election interference</x:v>
      </x:c>
      <x:c r="G112" s="384" t="n">
        <x:v>1</x:v>
      </x:c>
      <x:c r="H112" s="396" t="n">
        <x:v>2</x:v>
      </x:c>
      <x:c r="I112" s="20" t="str">
        <x:v>EEAS EU election observation source register</x:v>
      </x:c>
      <x:c r="J112" s="397" t="str">
        <x:v>https://www.eeas.europa.eu/eeas/eu-election-observation-missions-1_en?page_lang=en</x:v>
      </x:c>
      <x:c r="K112" s="20" t="str">
        <x:v>Primary source-register URL; automated screening score</x:v>
      </x:c>
      <x:c r="L112" s="20" t="str">
        <x:v>2026-05-20</x:v>
      </x:c>
      <x:c r="M112" s="20" t="str">
        <x:v>2026-05-20</x:v>
      </x:c>
      <x:c r="N112" s="20" t="str">
        <x:v>GPT-5.5 Pro</x:v>
      </x:c>
      <x:c r="O112" s="20" t="str">
        <x:v>Needs review</x:v>
      </x:c>
      <x:c r="P112" s="20" t="str">
        <x:v>Screening score for European Union / Election interference in Azerbaijan; verify with country-specific evidence before final use.</x:v>
      </x:c>
    </x:row>
    <x:row r="113" ht="24" customHeight="1">
      <x:c r="A113" s="20" t="str">
        <x:v>AZE|European Union|Security contractors</x:v>
      </x:c>
      <x:c r="B113" s="20" t="str">
        <x:v>Azerbaijan</x:v>
      </x:c>
      <x:c r="C113" s="20" t="str">
        <x:v>AZE</x:v>
      </x:c>
      <x:c r="D113" s="20" t="str">
        <x:v>European Union</x:v>
      </x:c>
      <x:c r="E113" s="20" t="str">
        <x:v>EU influence</x:v>
      </x:c>
      <x:c r="F113" s="20" t="str">
        <x:v>Security contractors</x:v>
      </x:c>
      <x:c r="G113" s="384" t="n">
        <x:v>2</x:v>
      </x:c>
      <x:c r="H113" s="396" t="n">
        <x:v>2</x:v>
      </x:c>
      <x:c r="I113" s="20" t="str">
        <x:v>EEAS CSDP / Global Gateway security source register</x:v>
      </x:c>
      <x:c r="J113" s="397" t="str">
        <x:v>https://www.eeas.europa.eu/eeas/missions-and-operations_en</x:v>
      </x:c>
      <x:c r="K113" s="20" t="str">
        <x:v>Primary source-register URL; automated screening score</x:v>
      </x:c>
      <x:c r="L113" s="20" t="str">
        <x:v>2026-05-20</x:v>
      </x:c>
      <x:c r="M113" s="20" t="str">
        <x:v>2026-05-20</x:v>
      </x:c>
      <x:c r="N113" s="20" t="str">
        <x:v>GPT-5.5 Pro</x:v>
      </x:c>
      <x:c r="O113" s="20" t="str">
        <x:v>Needs review</x:v>
      </x:c>
      <x:c r="P113" s="20" t="str">
        <x:v>Screening score for European Union / Security contractors in Azerbaijan; verify with country-specific evidence before final use.</x:v>
      </x:c>
    </x:row>
    <x:row r="114" ht="24" customHeight="1">
      <x:c r="A114" s="20" t="str">
        <x:v>BHR|Russia|Propaganda ecosystems</x:v>
      </x:c>
      <x:c r="B114" s="20" t="str">
        <x:v>Bahrain</x:v>
      </x:c>
      <x:c r="C114" s="20" t="str">
        <x:v>BHR</x:v>
      </x:c>
      <x:c r="D114" s="20" t="str">
        <x:v>Russia</x:v>
      </x:c>
      <x:c r="E114" s="20" t="str">
        <x:v>Russian influence</x:v>
      </x:c>
      <x:c r="F114" s="20" t="str">
        <x:v>Propaganda ecosystems</x:v>
      </x:c>
      <x:c r="G114" s="384" t="n">
        <x:v>2</x:v>
      </x:c>
      <x:c r="H114" s="396" t="n">
        <x:v>2</x:v>
      </x:c>
      <x:c r="I114" s="20" t="str">
        <x:v>EEAS/EUvsDisinfo FIMI source register</x:v>
      </x:c>
      <x:c r="J114" s="397" t="str">
        <x:v>https://www.eeas.europa.eu/eeas/4th-eeas-annual-report-foreign-information-manipulation-and-interference-threats_en</x:v>
      </x:c>
      <x:c r="K114" s="20" t="str">
        <x:v>Primary source-register URL; automated screening score</x:v>
      </x:c>
      <x:c r="L114" s="20" t="str">
        <x:v>2026-05-20</x:v>
      </x:c>
      <x:c r="M114" s="20" t="str">
        <x:v>2026-05-20</x:v>
      </x:c>
      <x:c r="N114" s="20" t="str">
        <x:v>GPT-5.5 Pro</x:v>
      </x:c>
      <x:c r="O114" s="20" t="str">
        <x:v>Needs review</x:v>
      </x:c>
      <x:c r="P114" s="20" t="str">
        <x:v>Screening score for Russia / Propaganda ecosystems in Bahrain; verify with country-specific evidence before final use.</x:v>
      </x:c>
    </x:row>
    <x:row r="115" ht="24" customHeight="1">
      <x:c r="A115" s="20" t="str">
        <x:v>BHR|Russia|PMC presence</x:v>
      </x:c>
      <x:c r="B115" s="20" t="str">
        <x:v>Bahrain</x:v>
      </x:c>
      <x:c r="C115" s="20" t="str">
        <x:v>BHR</x:v>
      </x:c>
      <x:c r="D115" s="20" t="str">
        <x:v>Russia</x:v>
      </x:c>
      <x:c r="E115" s="20" t="str">
        <x:v>Russian influence</x:v>
      </x:c>
      <x:c r="F115" s="20" t="str">
        <x:v>PMC presence</x:v>
      </x:c>
      <x:c r="G115" s="384" t="n">
        <x:v>0</x:v>
      </x:c>
      <x:c r="H115" s="396" t="n">
        <x:v>1</x:v>
      </x:c>
      <x:c r="I115" s="20" t="str">
        <x:v>Treasury and Council of the EU Wagner/PMC source register</x:v>
      </x:c>
      <x:c r="J115" s="397" t="str">
        <x:v>https://www.consilium.europa.eu/en/press/press-releases/2023/02/25/wagner-group-council-adds-11-individuals-and-7-entities-to-eu-sanctions-lists/</x:v>
      </x:c>
      <x:c r="K115" s="20" t="str">
        <x:v>Primary source-register URL; automated screening score</x:v>
      </x:c>
      <x:c r="L115" s="20" t="str">
        <x:v>2026-05-20</x:v>
      </x:c>
      <x:c r="M115" s="20" t="str">
        <x:v>2026-05-20</x:v>
      </x:c>
      <x:c r="N115" s="20" t="str">
        <x:v>GPT-5.5 Pro</x:v>
      </x:c>
      <x:c r="O115" s="20" t="str">
        <x:v>Needs review</x:v>
      </x:c>
      <x:c r="P115" s="20" t="str">
        <x:v>Screening score for Russia / PMC presence in Bahrain; verify with country-specific evidence before final use.</x:v>
      </x:c>
    </x:row>
    <x:row r="116" ht="24" customHeight="1">
      <x:c r="A116" s="20" t="str">
        <x:v>BHR|Russia|Election interference</x:v>
      </x:c>
      <x:c r="B116" s="20" t="str">
        <x:v>Bahrain</x:v>
      </x:c>
      <x:c r="C116" s="20" t="str">
        <x:v>BHR</x:v>
      </x:c>
      <x:c r="D116" s="20" t="str">
        <x:v>Russia</x:v>
      </x:c>
      <x:c r="E116" s="20" t="str">
        <x:v>Russian influence</x:v>
      </x:c>
      <x:c r="F116" s="20" t="str">
        <x:v>Election interference</x:v>
      </x:c>
      <x:c r="G116" s="384" t="n">
        <x:v>0</x:v>
      </x:c>
      <x:c r="H116" s="396" t="n">
        <x:v>1</x:v>
      </x:c>
      <x:c r="I116" s="20" t="str">
        <x:v>ODNI/EEAS election-FIMI source register</x:v>
      </x:c>
      <x:c r="J116" s="397" t="str">
        <x:v>https://www.dni.gov/files/ODNI/documents/assessments/ATA-2026-Unclassified-Report.pdf</x:v>
      </x:c>
      <x:c r="K116" s="20" t="str">
        <x:v>Primary source-register URL; automated screening score</x:v>
      </x:c>
      <x:c r="L116" s="20" t="str">
        <x:v>2026-05-20</x:v>
      </x:c>
      <x:c r="M116" s="20" t="str">
        <x:v>2026-05-20</x:v>
      </x:c>
      <x:c r="N116" s="20" t="str">
        <x:v>GPT-5.5 Pro</x:v>
      </x:c>
      <x:c r="O116" s="20" t="str">
        <x:v>Needs review</x:v>
      </x:c>
      <x:c r="P116" s="20" t="str">
        <x:v>Screening score for Russia / Election interference in Bahrain; verify with country-specific evidence before final use.</x:v>
      </x:c>
    </x:row>
    <x:row r="117" ht="24" customHeight="1">
      <x:c r="A117" s="20" t="str">
        <x:v>BHR|Russia|Security contractors</x:v>
      </x:c>
      <x:c r="B117" s="20" t="str">
        <x:v>Bahrain</x:v>
      </x:c>
      <x:c r="C117" s="20" t="str">
        <x:v>BHR</x:v>
      </x:c>
      <x:c r="D117" s="20" t="str">
        <x:v>Russia</x:v>
      </x:c>
      <x:c r="E117" s="20" t="str">
        <x:v>Russian influence</x:v>
      </x:c>
      <x:c r="F117" s="20" t="str">
        <x:v>Security contractors</x:v>
      </x:c>
      <x:c r="G117" s="384" t="n">
        <x:v>0</x:v>
      </x:c>
      <x:c r="H117" s="396" t="n">
        <x:v>1</x:v>
      </x:c>
      <x:c r="I117" s="20" t="str">
        <x:v>Council of the EU/Treasury Wagner-security source register</x:v>
      </x:c>
      <x:c r="J117" s="397" t="str">
        <x:v>https://www.consilium.europa.eu/en/press/press-releases/2023/02/25/wagner-group-council-adds-11-individuals-and-7-entities-to-eu-sanctions-lists/</x:v>
      </x:c>
      <x:c r="K117" s="20" t="str">
        <x:v>Primary source-register URL; automated screening score</x:v>
      </x:c>
      <x:c r="L117" s="20" t="str">
        <x:v>2026-05-20</x:v>
      </x:c>
      <x:c r="M117" s="20" t="str">
        <x:v>2026-05-20</x:v>
      </x:c>
      <x:c r="N117" s="20" t="str">
        <x:v>GPT-5.5 Pro</x:v>
      </x:c>
      <x:c r="O117" s="20" t="str">
        <x:v>Needs review</x:v>
      </x:c>
      <x:c r="P117" s="20" t="str">
        <x:v>Screening score for Russia / Security contractors in Bahrain; verify with country-specific evidence before final use.</x:v>
      </x:c>
    </x:row>
    <x:row r="118" ht="24" customHeight="1">
      <x:c r="A118" s="20" t="str">
        <x:v>BHR|China|Propaganda ecosystems</x:v>
      </x:c>
      <x:c r="B118" s="20" t="str">
        <x:v>Bahrain</x:v>
      </x:c>
      <x:c r="C118" s="20" t="str">
        <x:v>BHR</x:v>
      </x:c>
      <x:c r="D118" s="20" t="str">
        <x:v>China</x:v>
      </x:c>
      <x:c r="E118" s="20" t="str">
        <x:v>Chinese influence</x:v>
      </x:c>
      <x:c r="F118" s="20" t="str">
        <x:v>Propaganda ecosystems</x:v>
      </x:c>
      <x:c r="G118" s="384" t="n">
        <x:v>3</x:v>
      </x:c>
      <x:c r="H118" s="396" t="n">
        <x:v>3</x:v>
      </x:c>
      <x:c r="I118" s="20" t="str">
        <x:v>EEAS/ODNI China FIMI source register</x:v>
      </x:c>
      <x:c r="J118" s="397" t="str">
        <x:v>https://www.eeas.europa.eu/eeas/4th-eeas-annual-report-foreign-information-manipulation-and-interference-threats_en</x:v>
      </x:c>
      <x:c r="K118" s="20" t="str">
        <x:v>Primary source-register URL; automated screening score</x:v>
      </x:c>
      <x:c r="L118" s="20" t="str">
        <x:v>2026-05-20</x:v>
      </x:c>
      <x:c r="M118" s="20" t="str">
        <x:v>2026-05-20</x:v>
      </x:c>
      <x:c r="N118" s="20" t="str">
        <x:v>GPT-5.5 Pro</x:v>
      </x:c>
      <x:c r="O118" s="20" t="str">
        <x:v>Needs review</x:v>
      </x:c>
      <x:c r="P118" s="20" t="str">
        <x:v>Screening score for China / Propaganda ecosystems in Bahrain; verify with country-specific evidence before final use.</x:v>
      </x:c>
    </x:row>
    <x:row r="119" ht="24" customHeight="1">
      <x:c r="A119" s="20" t="str">
        <x:v>BHR|China|PMC presence</x:v>
      </x:c>
      <x:c r="B119" s="20" t="str">
        <x:v>Bahrain</x:v>
      </x:c>
      <x:c r="C119" s="20" t="str">
        <x:v>BHR</x:v>
      </x:c>
      <x:c r="D119" s="20" t="str">
        <x:v>China</x:v>
      </x:c>
      <x:c r="E119" s="20" t="str">
        <x:v>Chinese influence</x:v>
      </x:c>
      <x:c r="F119" s="20" t="str">
        <x:v>PMC presence</x:v>
      </x:c>
      <x:c r="G119" s="384" t="n">
        <x:v>0</x:v>
      </x:c>
      <x:c r="H119" s="396" t="n">
        <x:v>1</x:v>
      </x:c>
      <x:c r="I119" s="20" t="str">
        <x:v>MERICS/Carnegie Chinese overseas PSC source register</x:v>
      </x:c>
      <x:c r="J119" s="397" t="str">
        <x:v>https://merics.org/en/report/guardians-belt-and-road</x:v>
      </x:c>
      <x:c r="K119" s="20" t="str">
        <x:v>Primary source-register URL; automated screening score</x:v>
      </x:c>
      <x:c r="L119" s="20" t="str">
        <x:v>2026-05-20</x:v>
      </x:c>
      <x:c r="M119" s="20" t="str">
        <x:v>2026-05-20</x:v>
      </x:c>
      <x:c r="N119" s="20" t="str">
        <x:v>GPT-5.5 Pro</x:v>
      </x:c>
      <x:c r="O119" s="20" t="str">
        <x:v>Needs review</x:v>
      </x:c>
      <x:c r="P119" s="20" t="str">
        <x:v>Screening score for China / PMC presence in Bahrain; verify with country-specific evidence before final use.</x:v>
      </x:c>
    </x:row>
    <x:row r="120" ht="24" customHeight="1">
      <x:c r="A120" s="20" t="str">
        <x:v>BHR|China|Election interference</x:v>
      </x:c>
      <x:c r="B120" s="20" t="str">
        <x:v>Bahrain</x:v>
      </x:c>
      <x:c r="C120" s="20" t="str">
        <x:v>BHR</x:v>
      </x:c>
      <x:c r="D120" s="20" t="str">
        <x:v>China</x:v>
      </x:c>
      <x:c r="E120" s="20" t="str">
        <x:v>Chinese influence</x:v>
      </x:c>
      <x:c r="F120" s="20" t="str">
        <x:v>Election interference</x:v>
      </x:c>
      <x:c r="G120" s="384" t="n">
        <x:v>1</x:v>
      </x:c>
      <x:c r="H120" s="396" t="n">
        <x:v>2</x:v>
      </x:c>
      <x:c r="I120" s="20" t="str">
        <x:v>EEAS/ODNI China election-FIMI source register</x:v>
      </x:c>
      <x:c r="J120" s="397" t="str">
        <x:v>https://www.eeas.europa.eu/eeas/4th-eeas-annual-report-foreign-information-manipulation-and-interference-threats_en</x:v>
      </x:c>
      <x:c r="K120" s="20" t="str">
        <x:v>Primary source-register URL; automated screening score</x:v>
      </x:c>
      <x:c r="L120" s="20" t="str">
        <x:v>2026-05-20</x:v>
      </x:c>
      <x:c r="M120" s="20" t="str">
        <x:v>2026-05-20</x:v>
      </x:c>
      <x:c r="N120" s="20" t="str">
        <x:v>GPT-5.5 Pro</x:v>
      </x:c>
      <x:c r="O120" s="20" t="str">
        <x:v>Needs review</x:v>
      </x:c>
      <x:c r="P120" s="20" t="str">
        <x:v>Screening score for China / Election interference in Bahrain; verify with country-specific evidence before final use.</x:v>
      </x:c>
    </x:row>
    <x:row r="121" ht="24" customHeight="1">
      <x:c r="A121" s="20" t="str">
        <x:v>BHR|China|Security contractors</x:v>
      </x:c>
      <x:c r="B121" s="20" t="str">
        <x:v>Bahrain</x:v>
      </x:c>
      <x:c r="C121" s="20" t="str">
        <x:v>BHR</x:v>
      </x:c>
      <x:c r="D121" s="20" t="str">
        <x:v>China</x:v>
      </x:c>
      <x:c r="E121" s="20" t="str">
        <x:v>Chinese influence</x:v>
      </x:c>
      <x:c r="F121" s="20" t="str">
        <x:v>Security contractors</x:v>
      </x:c>
      <x:c r="G121" s="384" t="n">
        <x:v>1</x:v>
      </x:c>
      <x:c r="H121" s="396" t="n">
        <x:v>2</x:v>
      </x:c>
      <x:c r="I121" s="20" t="str">
        <x:v>MERICS/Carnegie Chinese security contractor source register</x:v>
      </x:c>
      <x:c r="J121" s="397" t="str">
        <x:v>https://merics.org/en/report/guardians-belt-and-road</x:v>
      </x:c>
      <x:c r="K121" s="20" t="str">
        <x:v>Primary source-register URL; automated screening score</x:v>
      </x:c>
      <x:c r="L121" s="20" t="str">
        <x:v>2026-05-20</x:v>
      </x:c>
      <x:c r="M121" s="20" t="str">
        <x:v>2026-05-20</x:v>
      </x:c>
      <x:c r="N121" s="20" t="str">
        <x:v>GPT-5.5 Pro</x:v>
      </x:c>
      <x:c r="O121" s="20" t="str">
        <x:v>Needs review</x:v>
      </x:c>
      <x:c r="P121" s="20" t="str">
        <x:v>Screening score for China / Security contractors in Bahrain; verify with country-specific evidence before final use.</x:v>
      </x:c>
    </x:row>
    <x:row r="122" ht="24" customHeight="1">
      <x:c r="A122" s="20" t="str">
        <x:v>BHR|United States|Propaganda ecosystems</x:v>
      </x:c>
      <x:c r="B122" s="20" t="str">
        <x:v>Bahrain</x:v>
      </x:c>
      <x:c r="C122" s="20" t="str">
        <x:v>BHR</x:v>
      </x:c>
      <x:c r="D122" s="20" t="str">
        <x:v>United States</x:v>
      </x:c>
      <x:c r="E122" s="20" t="str">
        <x:v>American influence</x:v>
      </x:c>
      <x:c r="F122" s="20" t="str">
        <x:v>Propaganda ecosystems</x:v>
      </x:c>
      <x:c r="G122" s="384" t="n">
        <x:v>5</x:v>
      </x:c>
      <x:c r="H122" s="396" t="n">
        <x:v>3</x:v>
      </x:c>
      <x:c r="I122" s="20" t="str">
        <x:v>USAGM public media source register</x:v>
      </x:c>
      <x:c r="J122" s="397" t="str">
        <x:v>https://www.usagm.gov/our-work/strategy-and-results/strategic-priorities/research-reports/</x:v>
      </x:c>
      <x:c r="K122" s="20" t="str">
        <x:v>Primary source-register URL; automated screening score</x:v>
      </x:c>
      <x:c r="L122" s="20" t="str">
        <x:v>2026-05-20</x:v>
      </x:c>
      <x:c r="M122" s="20" t="str">
        <x:v>2026-05-20</x:v>
      </x:c>
      <x:c r="N122" s="20" t="str">
        <x:v>GPT-5.5 Pro</x:v>
      </x:c>
      <x:c r="O122" s="20" t="str">
        <x:v>Needs review</x:v>
      </x:c>
      <x:c r="P122" s="20" t="str">
        <x:v>Screening score for United States / Propaganda ecosystems in Bahrain; verify with country-specific evidence before final use.</x:v>
      </x:c>
    </x:row>
    <x:row r="123" ht="24" customHeight="1">
      <x:c r="A123" s="20" t="str">
        <x:v>BHR|United States|PMC presence</x:v>
      </x:c>
      <x:c r="B123" s="20" t="str">
        <x:v>Bahrain</x:v>
      </x:c>
      <x:c r="C123" s="20" t="str">
        <x:v>BHR</x:v>
      </x:c>
      <x:c r="D123" s="20" t="str">
        <x:v>United States</x:v>
      </x:c>
      <x:c r="E123" s="20" t="str">
        <x:v>American influence</x:v>
      </x:c>
      <x:c r="F123" s="20" t="str">
        <x:v>PMC presence</x:v>
      </x:c>
      <x:c r="G123" s="384" t="n">
        <x:v>5</x:v>
      </x:c>
      <x:c r="H123" s="396" t="n">
        <x:v>3</x:v>
      </x:c>
      <x:c r="I123" s="20" t="str">
        <x:v>SAM/Greenbook U.S. security assistance contractor source register</x:v>
      </x:c>
      <x:c r="J123" s="397" t="str">
        <x:v>https://internationalpolicy.org/programs/sam/</x:v>
      </x:c>
      <x:c r="K123" s="20" t="str">
        <x:v>Primary source-register URL; automated screening score</x:v>
      </x:c>
      <x:c r="L123" s="20" t="str">
        <x:v>2026-05-20</x:v>
      </x:c>
      <x:c r="M123" s="20" t="str">
        <x:v>2026-05-20</x:v>
      </x:c>
      <x:c r="N123" s="20" t="str">
        <x:v>GPT-5.5 Pro</x:v>
      </x:c>
      <x:c r="O123" s="20" t="str">
        <x:v>Needs review</x:v>
      </x:c>
      <x:c r="P123" s="20" t="str">
        <x:v>Screening score for United States / PMC presence in Bahrain; verify with country-specific evidence before final use.</x:v>
      </x:c>
    </x:row>
    <x:row r="124" ht="24" customHeight="1">
      <x:c r="A124" s="20" t="str">
        <x:v>BHR|United States|Election interference</x:v>
      </x:c>
      <x:c r="B124" s="20" t="str">
        <x:v>Bahrain</x:v>
      </x:c>
      <x:c r="C124" s="20" t="str">
        <x:v>BHR</x:v>
      </x:c>
      <x:c r="D124" s="20" t="str">
        <x:v>United States</x:v>
      </x:c>
      <x:c r="E124" s="20" t="str">
        <x:v>American influence</x:v>
      </x:c>
      <x:c r="F124" s="20" t="str">
        <x:v>Election interference</x:v>
      </x:c>
      <x:c r="G124" s="384" t="n">
        <x:v>2</x:v>
      </x:c>
      <x:c r="H124" s="396" t="n">
        <x:v>2</x:v>
      </x:c>
      <x:c r="I124" s="20" t="str">
        <x:v>NED/Greenbook democracy assistance source register</x:v>
      </x:c>
      <x:c r="J124" s="397" t="str">
        <x:v>https://www.ned.org/ned-grantmaking/</x:v>
      </x:c>
      <x:c r="K124" s="20" t="str">
        <x:v>Primary source-register URL; automated screening score</x:v>
      </x:c>
      <x:c r="L124" s="20" t="str">
        <x:v>2026-05-20</x:v>
      </x:c>
      <x:c r="M124" s="20" t="str">
        <x:v>2026-05-20</x:v>
      </x:c>
      <x:c r="N124" s="20" t="str">
        <x:v>GPT-5.5 Pro</x:v>
      </x:c>
      <x:c r="O124" s="20" t="str">
        <x:v>Needs review</x:v>
      </x:c>
      <x:c r="P124" s="20" t="str">
        <x:v>Screening score for United States / Election interference in Bahrain; verify with country-specific evidence before final use.</x:v>
      </x:c>
    </x:row>
    <x:row r="125" ht="24" customHeight="1">
      <x:c r="A125" s="20" t="str">
        <x:v>BHR|United States|Security contractors</x:v>
      </x:c>
      <x:c r="B125" s="20" t="str">
        <x:v>Bahrain</x:v>
      </x:c>
      <x:c r="C125" s="20" t="str">
        <x:v>BHR</x:v>
      </x:c>
      <x:c r="D125" s="20" t="str">
        <x:v>United States</x:v>
      </x:c>
      <x:c r="E125" s="20" t="str">
        <x:v>American influence</x:v>
      </x:c>
      <x:c r="F125" s="20" t="str">
        <x:v>Security contractors</x:v>
      </x:c>
      <x:c r="G125" s="384" t="n">
        <x:v>7</x:v>
      </x:c>
      <x:c r="H125" s="396" t="n">
        <x:v>4</x:v>
      </x:c>
      <x:c r="I125" s="20" t="str">
        <x:v>SAM/Greenbook U.S. security contractor source register</x:v>
      </x:c>
      <x:c r="J125" s="397" t="str">
        <x:v>https://internationalpolicy.org/programs/sam/</x:v>
      </x:c>
      <x:c r="K125" s="20" t="str">
        <x:v>Primary source-register URL; automated screening score</x:v>
      </x:c>
      <x:c r="L125" s="20" t="str">
        <x:v>2026-05-20</x:v>
      </x:c>
      <x:c r="M125" s="20" t="str">
        <x:v>2026-05-20</x:v>
      </x:c>
      <x:c r="N125" s="20" t="str">
        <x:v>GPT-5.5 Pro</x:v>
      </x:c>
      <x:c r="O125" s="20" t="str">
        <x:v>Needs review</x:v>
      </x:c>
      <x:c r="P125" s="20" t="str">
        <x:v>Screening score for United States / Security contractors in Bahrain; verify with country-specific evidence before final use.</x:v>
      </x:c>
    </x:row>
    <x:row r="126" ht="24" customHeight="1">
      <x:c r="A126" s="20" t="str">
        <x:v>BHR|European Union|Propaganda ecosystems</x:v>
      </x:c>
      <x:c r="B126" s="20" t="str">
        <x:v>Bahrain</x:v>
      </x:c>
      <x:c r="C126" s="20" t="str">
        <x:v>BHR</x:v>
      </x:c>
      <x:c r="D126" s="20" t="str">
        <x:v>European Union</x:v>
      </x:c>
      <x:c r="E126" s="20" t="str">
        <x:v>EU influence</x:v>
      </x:c>
      <x:c r="F126" s="20" t="str">
        <x:v>Propaganda ecosystems</x:v>
      </x:c>
      <x:c r="G126" s="384" t="n">
        <x:v>2</x:v>
      </x:c>
      <x:c r="H126" s="396" t="n">
        <x:v>2</x:v>
      </x:c>
      <x:c r="I126" s="20" t="str">
        <x:v>EEAS public diplomacy source register</x:v>
      </x:c>
      <x:c r="J126" s="397" t="str">
        <x:v>https://www.eeas.europa.eu/eeas/public-diplomacy_en</x:v>
      </x:c>
      <x:c r="K126" s="20" t="str">
        <x:v>Primary source-register URL; automated screening score</x:v>
      </x:c>
      <x:c r="L126" s="20" t="str">
        <x:v>2026-05-20</x:v>
      </x:c>
      <x:c r="M126" s="20" t="str">
        <x:v>2026-05-20</x:v>
      </x:c>
      <x:c r="N126" s="20" t="str">
        <x:v>GPT-5.5 Pro</x:v>
      </x:c>
      <x:c r="O126" s="20" t="str">
        <x:v>Needs review</x:v>
      </x:c>
      <x:c r="P126" s="20" t="str">
        <x:v>Screening score for European Union / Propaganda ecosystems in Bahrain; verify with country-specific evidence before final use.</x:v>
      </x:c>
    </x:row>
    <x:row r="127" ht="24" customHeight="1">
      <x:c r="A127" s="20" t="str">
        <x:v>BHR|European Union|PMC presence</x:v>
      </x:c>
      <x:c r="B127" s="20" t="str">
        <x:v>Bahrain</x:v>
      </x:c>
      <x:c r="C127" s="20" t="str">
        <x:v>BHR</x:v>
      </x:c>
      <x:c r="D127" s="20" t="str">
        <x:v>European Union</x:v>
      </x:c>
      <x:c r="E127" s="20" t="str">
        <x:v>EU influence</x:v>
      </x:c>
      <x:c r="F127" s="20" t="str">
        <x:v>PMC presence</x:v>
      </x:c>
      <x:c r="G127" s="384" t="n">
        <x:v>0</x:v>
      </x:c>
      <x:c r="H127" s="396" t="n">
        <x:v>1</x:v>
      </x:c>
      <x:c r="I127" s="20" t="str">
        <x:v>EEAS CSDP missions source register</x:v>
      </x:c>
      <x:c r="J127" s="397" t="str">
        <x:v>https://www.eeas.europa.eu/eeas/missions-and-operations_en</x:v>
      </x:c>
      <x:c r="K127" s="20" t="str">
        <x:v>Primary source-register URL; automated screening score</x:v>
      </x:c>
      <x:c r="L127" s="20" t="str">
        <x:v>2026-05-20</x:v>
      </x:c>
      <x:c r="M127" s="20" t="str">
        <x:v>2026-05-20</x:v>
      </x:c>
      <x:c r="N127" s="20" t="str">
        <x:v>GPT-5.5 Pro</x:v>
      </x:c>
      <x:c r="O127" s="20" t="str">
        <x:v>Needs review</x:v>
      </x:c>
      <x:c r="P127" s="20" t="str">
        <x:v>Screening score for European Union / PMC presence in Bahrain; verify with country-specific evidence before final use.</x:v>
      </x:c>
    </x:row>
    <x:row r="128" ht="24" customHeight="1">
      <x:c r="A128" s="20" t="str">
        <x:v>BHR|European Union|Election interference</x:v>
      </x:c>
      <x:c r="B128" s="20" t="str">
        <x:v>Bahrain</x:v>
      </x:c>
      <x:c r="C128" s="20" t="str">
        <x:v>BHR</x:v>
      </x:c>
      <x:c r="D128" s="20" t="str">
        <x:v>European Union</x:v>
      </x:c>
      <x:c r="E128" s="20" t="str">
        <x:v>EU influence</x:v>
      </x:c>
      <x:c r="F128" s="20" t="str">
        <x:v>Election interference</x:v>
      </x:c>
      <x:c r="G128" s="384" t="n">
        <x:v>1</x:v>
      </x:c>
      <x:c r="H128" s="396" t="n">
        <x:v>2</x:v>
      </x:c>
      <x:c r="I128" s="20" t="str">
        <x:v>EEAS EU election observation source register</x:v>
      </x:c>
      <x:c r="J128" s="397" t="str">
        <x:v>https://www.eeas.europa.eu/eeas/eu-election-observation-missions-1_en?page_lang=en</x:v>
      </x:c>
      <x:c r="K128" s="20" t="str">
        <x:v>Primary source-register URL; automated screening score</x:v>
      </x:c>
      <x:c r="L128" s="20" t="str">
        <x:v>2026-05-20</x:v>
      </x:c>
      <x:c r="M128" s="20" t="str">
        <x:v>2026-05-20</x:v>
      </x:c>
      <x:c r="N128" s="20" t="str">
        <x:v>GPT-5.5 Pro</x:v>
      </x:c>
      <x:c r="O128" s="20" t="str">
        <x:v>Needs review</x:v>
      </x:c>
      <x:c r="P128" s="20" t="str">
        <x:v>Screening score for European Union / Election interference in Bahrain; verify with country-specific evidence before final use.</x:v>
      </x:c>
    </x:row>
    <x:row r="129" ht="24" customHeight="1">
      <x:c r="A129" s="20" t="str">
        <x:v>BHR|European Union|Security contractors</x:v>
      </x:c>
      <x:c r="B129" s="20" t="str">
        <x:v>Bahrain</x:v>
      </x:c>
      <x:c r="C129" s="20" t="str">
        <x:v>BHR</x:v>
      </x:c>
      <x:c r="D129" s="20" t="str">
        <x:v>European Union</x:v>
      </x:c>
      <x:c r="E129" s="20" t="str">
        <x:v>EU influence</x:v>
      </x:c>
      <x:c r="F129" s="20" t="str">
        <x:v>Security contractors</x:v>
      </x:c>
      <x:c r="G129" s="384" t="n">
        <x:v>2</x:v>
      </x:c>
      <x:c r="H129" s="396" t="n">
        <x:v>2</x:v>
      </x:c>
      <x:c r="I129" s="20" t="str">
        <x:v>EEAS CSDP / Global Gateway security source register</x:v>
      </x:c>
      <x:c r="J129" s="397" t="str">
        <x:v>https://www.eeas.europa.eu/eeas/missions-and-operations_en</x:v>
      </x:c>
      <x:c r="K129" s="20" t="str">
        <x:v>Primary source-register URL; automated screening score</x:v>
      </x:c>
      <x:c r="L129" s="20" t="str">
        <x:v>2026-05-20</x:v>
      </x:c>
      <x:c r="M129" s="20" t="str">
        <x:v>2026-05-20</x:v>
      </x:c>
      <x:c r="N129" s="20" t="str">
        <x:v>GPT-5.5 Pro</x:v>
      </x:c>
      <x:c r="O129" s="20" t="str">
        <x:v>Needs review</x:v>
      </x:c>
      <x:c r="P129" s="20" t="str">
        <x:v>Screening score for European Union / Security contractors in Bahrain; verify with country-specific evidence before final use.</x:v>
      </x:c>
    </x:row>
    <x:row r="130" ht="24" customHeight="1">
      <x:c r="A130" s="20" t="str">
        <x:v>BLR|Russia|Propaganda ecosystems</x:v>
      </x:c>
      <x:c r="B130" s="20" t="str">
        <x:v>Belarus</x:v>
      </x:c>
      <x:c r="C130" s="20" t="str">
        <x:v>BLR</x:v>
      </x:c>
      <x:c r="D130" s="20" t="str">
        <x:v>Russia</x:v>
      </x:c>
      <x:c r="E130" s="20" t="str">
        <x:v>Russian influence</x:v>
      </x:c>
      <x:c r="F130" s="20" t="str">
        <x:v>Propaganda ecosystems</x:v>
      </x:c>
      <x:c r="G130" s="384" t="n">
        <x:v>9</x:v>
      </x:c>
      <x:c r="H130" s="396" t="n">
        <x:v>5</x:v>
      </x:c>
      <x:c r="I130" s="20" t="str">
        <x:v>EEAS/EUvsDisinfo FIMI source register</x:v>
      </x:c>
      <x:c r="J130" s="397" t="str">
        <x:v>https://www.eeas.europa.eu/eeas/4th-eeas-annual-report-foreign-information-manipulation-and-interference-threats_en</x:v>
      </x:c>
      <x:c r="K130" s="20" t="str">
        <x:v>Primary source-register URL; automated screening score</x:v>
      </x:c>
      <x:c r="L130" s="20" t="str">
        <x:v>2026-05-20</x:v>
      </x:c>
      <x:c r="M130" s="20" t="str">
        <x:v>2026-05-20</x:v>
      </x:c>
      <x:c r="N130" s="20" t="str">
        <x:v>GPT-5.5 Pro</x:v>
      </x:c>
      <x:c r="O130" s="20" t="str">
        <x:v>Needs review</x:v>
      </x:c>
      <x:c r="P130" s="20" t="str">
        <x:v>Screening score for Russia / Propaganda ecosystems in Belarus; verify with country-specific evidence before final use.</x:v>
      </x:c>
    </x:row>
    <x:row r="131" ht="24" customHeight="1">
      <x:c r="A131" s="20" t="str">
        <x:v>BLR|Russia|PMC presence</x:v>
      </x:c>
      <x:c r="B131" s="20" t="str">
        <x:v>Belarus</x:v>
      </x:c>
      <x:c r="C131" s="20" t="str">
        <x:v>BLR</x:v>
      </x:c>
      <x:c r="D131" s="20" t="str">
        <x:v>Russia</x:v>
      </x:c>
      <x:c r="E131" s="20" t="str">
        <x:v>Russian influence</x:v>
      </x:c>
      <x:c r="F131" s="20" t="str">
        <x:v>PMC presence</x:v>
      </x:c>
      <x:c r="G131" s="384" t="n">
        <x:v>6</x:v>
      </x:c>
      <x:c r="H131" s="396" t="n">
        <x:v>4</x:v>
      </x:c>
      <x:c r="I131" s="20" t="str">
        <x:v>Treasury and Council of the EU Wagner/PMC source register</x:v>
      </x:c>
      <x:c r="J131" s="397" t="str">
        <x:v>https://www.consilium.europa.eu/en/press/press-releases/2023/02/25/wagner-group-council-adds-11-individuals-and-7-entities-to-eu-sanctions-lists/</x:v>
      </x:c>
      <x:c r="K131" s="20" t="str">
        <x:v>Primary source-register URL; automated screening score</x:v>
      </x:c>
      <x:c r="L131" s="20" t="str">
        <x:v>2026-05-20</x:v>
      </x:c>
      <x:c r="M131" s="20" t="str">
        <x:v>2026-05-20</x:v>
      </x:c>
      <x:c r="N131" s="20" t="str">
        <x:v>GPT-5.5 Pro</x:v>
      </x:c>
      <x:c r="O131" s="20" t="str">
        <x:v>Needs review</x:v>
      </x:c>
      <x:c r="P131" s="20" t="str">
        <x:v>Screening score for Russia / PMC presence in Belarus; verify with country-specific evidence before final use.</x:v>
      </x:c>
    </x:row>
    <x:row r="132" ht="24" customHeight="1">
      <x:c r="A132" s="20" t="str">
        <x:v>BLR|Russia|Election interference</x:v>
      </x:c>
      <x:c r="B132" s="20" t="str">
        <x:v>Belarus</x:v>
      </x:c>
      <x:c r="C132" s="20" t="str">
        <x:v>BLR</x:v>
      </x:c>
      <x:c r="D132" s="20" t="str">
        <x:v>Russia</x:v>
      </x:c>
      <x:c r="E132" s="20" t="str">
        <x:v>Russian influence</x:v>
      </x:c>
      <x:c r="F132" s="20" t="str">
        <x:v>Election interference</x:v>
      </x:c>
      <x:c r="G132" s="384" t="n">
        <x:v>7</x:v>
      </x:c>
      <x:c r="H132" s="396" t="n">
        <x:v>4</x:v>
      </x:c>
      <x:c r="I132" s="20" t="str">
        <x:v>ODNI/EEAS election-FIMI source register</x:v>
      </x:c>
      <x:c r="J132" s="397" t="str">
        <x:v>https://www.dni.gov/files/ODNI/documents/assessments/ATA-2026-Unclassified-Report.pdf</x:v>
      </x:c>
      <x:c r="K132" s="20" t="str">
        <x:v>Primary source-register URL; automated screening score</x:v>
      </x:c>
      <x:c r="L132" s="20" t="str">
        <x:v>2026-05-20</x:v>
      </x:c>
      <x:c r="M132" s="20" t="str">
        <x:v>2026-05-20</x:v>
      </x:c>
      <x:c r="N132" s="20" t="str">
        <x:v>GPT-5.5 Pro</x:v>
      </x:c>
      <x:c r="O132" s="20" t="str">
        <x:v>Needs review</x:v>
      </x:c>
      <x:c r="P132" s="20" t="str">
        <x:v>Screening score for Russia / Election interference in Belarus; verify with country-specific evidence before final use.</x:v>
      </x:c>
    </x:row>
    <x:row r="133" ht="24" customHeight="1">
      <x:c r="A133" s="20" t="str">
        <x:v>BLR|Russia|Security contractors</x:v>
      </x:c>
      <x:c r="B133" s="20" t="str">
        <x:v>Belarus</x:v>
      </x:c>
      <x:c r="C133" s="20" t="str">
        <x:v>BLR</x:v>
      </x:c>
      <x:c r="D133" s="20" t="str">
        <x:v>Russia</x:v>
      </x:c>
      <x:c r="E133" s="20" t="str">
        <x:v>Russian influence</x:v>
      </x:c>
      <x:c r="F133" s="20" t="str">
        <x:v>Security contractors</x:v>
      </x:c>
      <x:c r="G133" s="384" t="n">
        <x:v>6</x:v>
      </x:c>
      <x:c r="H133" s="396" t="n">
        <x:v>4</x:v>
      </x:c>
      <x:c r="I133" s="20" t="str">
        <x:v>Council of the EU/Treasury Wagner-security source register</x:v>
      </x:c>
      <x:c r="J133" s="397" t="str">
        <x:v>https://www.consilium.europa.eu/en/press/press-releases/2023/02/25/wagner-group-council-adds-11-individuals-and-7-entities-to-eu-sanctions-lists/</x:v>
      </x:c>
      <x:c r="K133" s="20" t="str">
        <x:v>Primary source-register URL; automated screening score</x:v>
      </x:c>
      <x:c r="L133" s="20" t="str">
        <x:v>2026-05-20</x:v>
      </x:c>
      <x:c r="M133" s="20" t="str">
        <x:v>2026-05-20</x:v>
      </x:c>
      <x:c r="N133" s="20" t="str">
        <x:v>GPT-5.5 Pro</x:v>
      </x:c>
      <x:c r="O133" s="20" t="str">
        <x:v>Needs review</x:v>
      </x:c>
      <x:c r="P133" s="20" t="str">
        <x:v>Screening score for Russia / Security contractors in Belarus; verify with country-specific evidence before final use.</x:v>
      </x:c>
    </x:row>
    <x:row r="134" ht="24" customHeight="1">
      <x:c r="A134" s="20" t="str">
        <x:v>BLR|China|Propaganda ecosystems</x:v>
      </x:c>
      <x:c r="B134" s="20" t="str">
        <x:v>Belarus</x:v>
      </x:c>
      <x:c r="C134" s="20" t="str">
        <x:v>BLR</x:v>
      </x:c>
      <x:c r="D134" s="20" t="str">
        <x:v>China</x:v>
      </x:c>
      <x:c r="E134" s="20" t="str">
        <x:v>Chinese influence</x:v>
      </x:c>
      <x:c r="F134" s="20" t="str">
        <x:v>Propaganda ecosystems</x:v>
      </x:c>
      <x:c r="G134" s="384" t="n">
        <x:v>4</x:v>
      </x:c>
      <x:c r="H134" s="396" t="n">
        <x:v>3</x:v>
      </x:c>
      <x:c r="I134" s="20" t="str">
        <x:v>EEAS/ODNI China FIMI source register</x:v>
      </x:c>
      <x:c r="J134" s="397" t="str">
        <x:v>https://www.eeas.europa.eu/eeas/4th-eeas-annual-report-foreign-information-manipulation-and-interference-threats_en</x:v>
      </x:c>
      <x:c r="K134" s="20" t="str">
        <x:v>Primary source-register URL; automated screening score</x:v>
      </x:c>
      <x:c r="L134" s="20" t="str">
        <x:v>2026-05-20</x:v>
      </x:c>
      <x:c r="M134" s="20" t="str">
        <x:v>2026-05-20</x:v>
      </x:c>
      <x:c r="N134" s="20" t="str">
        <x:v>GPT-5.5 Pro</x:v>
      </x:c>
      <x:c r="O134" s="20" t="str">
        <x:v>Needs review</x:v>
      </x:c>
      <x:c r="P134" s="20" t="str">
        <x:v>Screening score for China / Propaganda ecosystems in Belarus; verify with country-specific evidence before final use.</x:v>
      </x:c>
    </x:row>
    <x:row r="135" ht="24" customHeight="1">
      <x:c r="A135" s="20" t="str">
        <x:v>BLR|China|PMC presence</x:v>
      </x:c>
      <x:c r="B135" s="20" t="str">
        <x:v>Belarus</x:v>
      </x:c>
      <x:c r="C135" s="20" t="str">
        <x:v>BLR</x:v>
      </x:c>
      <x:c r="D135" s="20" t="str">
        <x:v>China</x:v>
      </x:c>
      <x:c r="E135" s="20" t="str">
        <x:v>Chinese influence</x:v>
      </x:c>
      <x:c r="F135" s="20" t="str">
        <x:v>PMC presence</x:v>
      </x:c>
      <x:c r="G135" s="384" t="n">
        <x:v>0</x:v>
      </x:c>
      <x:c r="H135" s="396" t="n">
        <x:v>1</x:v>
      </x:c>
      <x:c r="I135" s="20" t="str">
        <x:v>MERICS/Carnegie Chinese overseas PSC source register</x:v>
      </x:c>
      <x:c r="J135" s="397" t="str">
        <x:v>https://merics.org/en/report/guardians-belt-and-road</x:v>
      </x:c>
      <x:c r="K135" s="20" t="str">
        <x:v>Primary source-register URL; automated screening score</x:v>
      </x:c>
      <x:c r="L135" s="20" t="str">
        <x:v>2026-05-20</x:v>
      </x:c>
      <x:c r="M135" s="20" t="str">
        <x:v>2026-05-20</x:v>
      </x:c>
      <x:c r="N135" s="20" t="str">
        <x:v>GPT-5.5 Pro</x:v>
      </x:c>
      <x:c r="O135" s="20" t="str">
        <x:v>Needs review</x:v>
      </x:c>
      <x:c r="P135" s="20" t="str">
        <x:v>Screening score for China / PMC presence in Belarus; verify with country-specific evidence before final use.</x:v>
      </x:c>
    </x:row>
    <x:row r="136" ht="24" customHeight="1">
      <x:c r="A136" s="20" t="str">
        <x:v>BLR|China|Election interference</x:v>
      </x:c>
      <x:c r="B136" s="20" t="str">
        <x:v>Belarus</x:v>
      </x:c>
      <x:c r="C136" s="20" t="str">
        <x:v>BLR</x:v>
      </x:c>
      <x:c r="D136" s="20" t="str">
        <x:v>China</x:v>
      </x:c>
      <x:c r="E136" s="20" t="str">
        <x:v>Chinese influence</x:v>
      </x:c>
      <x:c r="F136" s="20" t="str">
        <x:v>Election interference</x:v>
      </x:c>
      <x:c r="G136" s="384" t="n">
        <x:v>2</x:v>
      </x:c>
      <x:c r="H136" s="396" t="n">
        <x:v>2</x:v>
      </x:c>
      <x:c r="I136" s="20" t="str">
        <x:v>EEAS/ODNI China election-FIMI source register</x:v>
      </x:c>
      <x:c r="J136" s="397" t="str">
        <x:v>https://www.eeas.europa.eu/eeas/4th-eeas-annual-report-foreign-information-manipulation-and-interference-threats_en</x:v>
      </x:c>
      <x:c r="K136" s="20" t="str">
        <x:v>Primary source-register URL; automated screening score</x:v>
      </x:c>
      <x:c r="L136" s="20" t="str">
        <x:v>2026-05-20</x:v>
      </x:c>
      <x:c r="M136" s="20" t="str">
        <x:v>2026-05-20</x:v>
      </x:c>
      <x:c r="N136" s="20" t="str">
        <x:v>GPT-5.5 Pro</x:v>
      </x:c>
      <x:c r="O136" s="20" t="str">
        <x:v>Needs review</x:v>
      </x:c>
      <x:c r="P136" s="20" t="str">
        <x:v>Screening score for China / Election interference in Belarus; verify with country-specific evidence before final use.</x:v>
      </x:c>
    </x:row>
    <x:row r="137" ht="24" customHeight="1">
      <x:c r="A137" s="20" t="str">
        <x:v>BLR|China|Security contractors</x:v>
      </x:c>
      <x:c r="B137" s="20" t="str">
        <x:v>Belarus</x:v>
      </x:c>
      <x:c r="C137" s="20" t="str">
        <x:v>BLR</x:v>
      </x:c>
      <x:c r="D137" s="20" t="str">
        <x:v>China</x:v>
      </x:c>
      <x:c r="E137" s="20" t="str">
        <x:v>Chinese influence</x:v>
      </x:c>
      <x:c r="F137" s="20" t="str">
        <x:v>Security contractors</x:v>
      </x:c>
      <x:c r="G137" s="384" t="n">
        <x:v>0</x:v>
      </x:c>
      <x:c r="H137" s="396" t="n">
        <x:v>1</x:v>
      </x:c>
      <x:c r="I137" s="20" t="str">
        <x:v>MERICS/Carnegie Chinese security contractor source register</x:v>
      </x:c>
      <x:c r="J137" s="397" t="str">
        <x:v>https://merics.org/en/report/guardians-belt-and-road</x:v>
      </x:c>
      <x:c r="K137" s="20" t="str">
        <x:v>Primary source-register URL; automated screening score</x:v>
      </x:c>
      <x:c r="L137" s="20" t="str">
        <x:v>2026-05-20</x:v>
      </x:c>
      <x:c r="M137" s="20" t="str">
        <x:v>2026-05-20</x:v>
      </x:c>
      <x:c r="N137" s="20" t="str">
        <x:v>GPT-5.5 Pro</x:v>
      </x:c>
      <x:c r="O137" s="20" t="str">
        <x:v>Needs review</x:v>
      </x:c>
      <x:c r="P137" s="20" t="str">
        <x:v>Screening score for China / Security contractors in Belarus; verify with country-specific evidence before final use.</x:v>
      </x:c>
    </x:row>
    <x:row r="138" ht="24" customHeight="1">
      <x:c r="A138" s="20" t="str">
        <x:v>BLR|United States|Propaganda ecosystems</x:v>
      </x:c>
      <x:c r="B138" s="20" t="str">
        <x:v>Belarus</x:v>
      </x:c>
      <x:c r="C138" s="20" t="str">
        <x:v>BLR</x:v>
      </x:c>
      <x:c r="D138" s="20" t="str">
        <x:v>United States</x:v>
      </x:c>
      <x:c r="E138" s="20" t="str">
        <x:v>American influence</x:v>
      </x:c>
      <x:c r="F138" s="20" t="str">
        <x:v>Propaganda ecosystems</x:v>
      </x:c>
      <x:c r="G138" s="384" t="n">
        <x:v>6</x:v>
      </x:c>
      <x:c r="H138" s="396" t="n">
        <x:v>4</x:v>
      </x:c>
      <x:c r="I138" s="20" t="str">
        <x:v>USAGM public media source register</x:v>
      </x:c>
      <x:c r="J138" s="397" t="str">
        <x:v>https://www.usagm.gov/our-work/strategy-and-results/strategic-priorities/research-reports/</x:v>
      </x:c>
      <x:c r="K138" s="20" t="str">
        <x:v>Primary source-register URL; automated screening score</x:v>
      </x:c>
      <x:c r="L138" s="20" t="str">
        <x:v>2026-05-20</x:v>
      </x:c>
      <x:c r="M138" s="20" t="str">
        <x:v>2026-05-20</x:v>
      </x:c>
      <x:c r="N138" s="20" t="str">
        <x:v>GPT-5.5 Pro</x:v>
      </x:c>
      <x:c r="O138" s="20" t="str">
        <x:v>Needs review</x:v>
      </x:c>
      <x:c r="P138" s="20" t="str">
        <x:v>Screening score for United States / Propaganda ecosystems in Belarus; verify with country-specific evidence before final use.</x:v>
      </x:c>
    </x:row>
    <x:row r="139" ht="24" customHeight="1">
      <x:c r="A139" s="20" t="str">
        <x:v>BLR|United States|PMC presence</x:v>
      </x:c>
      <x:c r="B139" s="20" t="str">
        <x:v>Belarus</x:v>
      </x:c>
      <x:c r="C139" s="20" t="str">
        <x:v>BLR</x:v>
      </x:c>
      <x:c r="D139" s="20" t="str">
        <x:v>United States</x:v>
      </x:c>
      <x:c r="E139" s="20" t="str">
        <x:v>American influence</x:v>
      </x:c>
      <x:c r="F139" s="20" t="str">
        <x:v>PMC presence</x:v>
      </x:c>
      <x:c r="G139" s="384" t="n">
        <x:v>1</x:v>
      </x:c>
      <x:c r="H139" s="396" t="n">
        <x:v>2</x:v>
      </x:c>
      <x:c r="I139" s="20" t="str">
        <x:v>SAM/Greenbook U.S. security assistance contractor source register</x:v>
      </x:c>
      <x:c r="J139" s="397" t="str">
        <x:v>https://internationalpolicy.org/programs/sam/</x:v>
      </x:c>
      <x:c r="K139" s="20" t="str">
        <x:v>Primary source-register URL; automated screening score</x:v>
      </x:c>
      <x:c r="L139" s="20" t="str">
        <x:v>2026-05-20</x:v>
      </x:c>
      <x:c r="M139" s="20" t="str">
        <x:v>2026-05-20</x:v>
      </x:c>
      <x:c r="N139" s="20" t="str">
        <x:v>GPT-5.5 Pro</x:v>
      </x:c>
      <x:c r="O139" s="20" t="str">
        <x:v>Needs review</x:v>
      </x:c>
      <x:c r="P139" s="20" t="str">
        <x:v>Screening score for United States / PMC presence in Belarus; verify with country-specific evidence before final use.</x:v>
      </x:c>
    </x:row>
    <x:row r="140" ht="24" customHeight="1">
      <x:c r="A140" s="20" t="str">
        <x:v>BLR|United States|Election interference</x:v>
      </x:c>
      <x:c r="B140" s="20" t="str">
        <x:v>Belarus</x:v>
      </x:c>
      <x:c r="C140" s="20" t="str">
        <x:v>BLR</x:v>
      </x:c>
      <x:c r="D140" s="20" t="str">
        <x:v>United States</x:v>
      </x:c>
      <x:c r="E140" s="20" t="str">
        <x:v>American influence</x:v>
      </x:c>
      <x:c r="F140" s="20" t="str">
        <x:v>Election interference</x:v>
      </x:c>
      <x:c r="G140" s="384" t="n">
        <x:v>4</x:v>
      </x:c>
      <x:c r="H140" s="396" t="n">
        <x:v>3</x:v>
      </x:c>
      <x:c r="I140" s="20" t="str">
        <x:v>NED/Greenbook democracy assistance source register</x:v>
      </x:c>
      <x:c r="J140" s="397" t="str">
        <x:v>https://www.ned.org/ned-grantmaking/</x:v>
      </x:c>
      <x:c r="K140" s="20" t="str">
        <x:v>Primary source-register URL; automated screening score</x:v>
      </x:c>
      <x:c r="L140" s="20" t="str">
        <x:v>2026-05-20</x:v>
      </x:c>
      <x:c r="M140" s="20" t="str">
        <x:v>2026-05-20</x:v>
      </x:c>
      <x:c r="N140" s="20" t="str">
        <x:v>GPT-5.5 Pro</x:v>
      </x:c>
      <x:c r="O140" s="20" t="str">
        <x:v>Needs review</x:v>
      </x:c>
      <x:c r="P140" s="20" t="str">
        <x:v>Screening score for United States / Election interference in Belarus; verify with country-specific evidence before final use.</x:v>
      </x:c>
    </x:row>
    <x:row r="141" ht="24" customHeight="1">
      <x:c r="A141" s="20" t="str">
        <x:v>BLR|United States|Security contractors</x:v>
      </x:c>
      <x:c r="B141" s="20" t="str">
        <x:v>Belarus</x:v>
      </x:c>
      <x:c r="C141" s="20" t="str">
        <x:v>BLR</x:v>
      </x:c>
      <x:c r="D141" s="20" t="str">
        <x:v>United States</x:v>
      </x:c>
      <x:c r="E141" s="20" t="str">
        <x:v>American influence</x:v>
      </x:c>
      <x:c r="F141" s="20" t="str">
        <x:v>Security contractors</x:v>
      </x:c>
      <x:c r="G141" s="384" t="n">
        <x:v>2</x:v>
      </x:c>
      <x:c r="H141" s="396" t="n">
        <x:v>2</x:v>
      </x:c>
      <x:c r="I141" s="20" t="str">
        <x:v>SAM/Greenbook U.S. security contractor source register</x:v>
      </x:c>
      <x:c r="J141" s="397" t="str">
        <x:v>https://internationalpolicy.org/programs/sam/</x:v>
      </x:c>
      <x:c r="K141" s="20" t="str">
        <x:v>Primary source-register URL; automated screening score</x:v>
      </x:c>
      <x:c r="L141" s="20" t="str">
        <x:v>2026-05-20</x:v>
      </x:c>
      <x:c r="M141" s="20" t="str">
        <x:v>2026-05-20</x:v>
      </x:c>
      <x:c r="N141" s="20" t="str">
        <x:v>GPT-5.5 Pro</x:v>
      </x:c>
      <x:c r="O141" s="20" t="str">
        <x:v>Needs review</x:v>
      </x:c>
      <x:c r="P141" s="20" t="str">
        <x:v>Screening score for United States / Security contractors in Belarus; verify with country-specific evidence before final use.</x:v>
      </x:c>
    </x:row>
    <x:row r="142" ht="24" customHeight="1">
      <x:c r="A142" s="20" t="str">
        <x:v>BLR|European Union|Propaganda ecosystems</x:v>
      </x:c>
      <x:c r="B142" s="20" t="str">
        <x:v>Belarus</x:v>
      </x:c>
      <x:c r="C142" s="20" t="str">
        <x:v>BLR</x:v>
      </x:c>
      <x:c r="D142" s="20" t="str">
        <x:v>European Union</x:v>
      </x:c>
      <x:c r="E142" s="20" t="str">
        <x:v>EU influence</x:v>
      </x:c>
      <x:c r="F142" s="20" t="str">
        <x:v>Propaganda ecosystems</x:v>
      </x:c>
      <x:c r="G142" s="384" t="n">
        <x:v>4</x:v>
      </x:c>
      <x:c r="H142" s="396" t="n">
        <x:v>3</x:v>
      </x:c>
      <x:c r="I142" s="20" t="str">
        <x:v>EEAS public diplomacy source register</x:v>
      </x:c>
      <x:c r="J142" s="397" t="str">
        <x:v>https://www.eeas.europa.eu/eeas/public-diplomacy_en</x:v>
      </x:c>
      <x:c r="K142" s="20" t="str">
        <x:v>Primary source-register URL; automated screening score</x:v>
      </x:c>
      <x:c r="L142" s="20" t="str">
        <x:v>2026-05-20</x:v>
      </x:c>
      <x:c r="M142" s="20" t="str">
        <x:v>2026-05-20</x:v>
      </x:c>
      <x:c r="N142" s="20" t="str">
        <x:v>GPT-5.5 Pro</x:v>
      </x:c>
      <x:c r="O142" s="20" t="str">
        <x:v>Needs review</x:v>
      </x:c>
      <x:c r="P142" s="20" t="str">
        <x:v>Screening score for European Union / Propaganda ecosystems in Belarus; verify with country-specific evidence before final use.</x:v>
      </x:c>
    </x:row>
    <x:row r="143" ht="24" customHeight="1">
      <x:c r="A143" s="20" t="str">
        <x:v>BLR|European Union|PMC presence</x:v>
      </x:c>
      <x:c r="B143" s="20" t="str">
        <x:v>Belarus</x:v>
      </x:c>
      <x:c r="C143" s="20" t="str">
        <x:v>BLR</x:v>
      </x:c>
      <x:c r="D143" s="20" t="str">
        <x:v>European Union</x:v>
      </x:c>
      <x:c r="E143" s="20" t="str">
        <x:v>EU influence</x:v>
      </x:c>
      <x:c r="F143" s="20" t="str">
        <x:v>PMC presence</x:v>
      </x:c>
      <x:c r="G143" s="384" t="n">
        <x:v>0</x:v>
      </x:c>
      <x:c r="H143" s="396" t="n">
        <x:v>1</x:v>
      </x:c>
      <x:c r="I143" s="20" t="str">
        <x:v>EEAS CSDP missions source register</x:v>
      </x:c>
      <x:c r="J143" s="397" t="str">
        <x:v>https://www.eeas.europa.eu/eeas/missions-and-operations_en</x:v>
      </x:c>
      <x:c r="K143" s="20" t="str">
        <x:v>Primary source-register URL; automated screening score</x:v>
      </x:c>
      <x:c r="L143" s="20" t="str">
        <x:v>2026-05-20</x:v>
      </x:c>
      <x:c r="M143" s="20" t="str">
        <x:v>2026-05-20</x:v>
      </x:c>
      <x:c r="N143" s="20" t="str">
        <x:v>GPT-5.5 Pro</x:v>
      </x:c>
      <x:c r="O143" s="20" t="str">
        <x:v>Needs review</x:v>
      </x:c>
      <x:c r="P143" s="20" t="str">
        <x:v>Screening score for European Union / PMC presence in Belarus; verify with country-specific evidence before final use.</x:v>
      </x:c>
    </x:row>
    <x:row r="144" ht="24" customHeight="1">
      <x:c r="A144" s="20" t="str">
        <x:v>BLR|European Union|Election interference</x:v>
      </x:c>
      <x:c r="B144" s="20" t="str">
        <x:v>Belarus</x:v>
      </x:c>
      <x:c r="C144" s="20" t="str">
        <x:v>BLR</x:v>
      </x:c>
      <x:c r="D144" s="20" t="str">
        <x:v>European Union</x:v>
      </x:c>
      <x:c r="E144" s="20" t="str">
        <x:v>EU influence</x:v>
      </x:c>
      <x:c r="F144" s="20" t="str">
        <x:v>Election interference</x:v>
      </x:c>
      <x:c r="G144" s="384" t="n">
        <x:v>1</x:v>
      </x:c>
      <x:c r="H144" s="396" t="n">
        <x:v>2</x:v>
      </x:c>
      <x:c r="I144" s="20" t="str">
        <x:v>EEAS EU election observation source register</x:v>
      </x:c>
      <x:c r="J144" s="397" t="str">
        <x:v>https://www.eeas.europa.eu/eeas/eu-election-observation-missions-1_en?page_lang=en</x:v>
      </x:c>
      <x:c r="K144" s="20" t="str">
        <x:v>Primary source-register URL; automated screening score</x:v>
      </x:c>
      <x:c r="L144" s="20" t="str">
        <x:v>2026-05-20</x:v>
      </x:c>
      <x:c r="M144" s="20" t="str">
        <x:v>2026-05-20</x:v>
      </x:c>
      <x:c r="N144" s="20" t="str">
        <x:v>GPT-5.5 Pro</x:v>
      </x:c>
      <x:c r="O144" s="20" t="str">
        <x:v>Needs review</x:v>
      </x:c>
      <x:c r="P144" s="20" t="str">
        <x:v>Screening score for European Union / Election interference in Belarus; verify with country-specific evidence before final use.</x:v>
      </x:c>
    </x:row>
    <x:row r="145" ht="24" customHeight="1">
      <x:c r="A145" s="20" t="str">
        <x:v>BLR|European Union|Security contractors</x:v>
      </x:c>
      <x:c r="B145" s="20" t="str">
        <x:v>Belarus</x:v>
      </x:c>
      <x:c r="C145" s="20" t="str">
        <x:v>BLR</x:v>
      </x:c>
      <x:c r="D145" s="20" t="str">
        <x:v>European Union</x:v>
      </x:c>
      <x:c r="E145" s="20" t="str">
        <x:v>EU influence</x:v>
      </x:c>
      <x:c r="F145" s="20" t="str">
        <x:v>Security contractors</x:v>
      </x:c>
      <x:c r="G145" s="384" t="n">
        <x:v>1</x:v>
      </x:c>
      <x:c r="H145" s="396" t="n">
        <x:v>2</x:v>
      </x:c>
      <x:c r="I145" s="20" t="str">
        <x:v>EEAS CSDP / Global Gateway security source register</x:v>
      </x:c>
      <x:c r="J145" s="397" t="str">
        <x:v>https://www.eeas.europa.eu/eeas/missions-and-operations_en</x:v>
      </x:c>
      <x:c r="K145" s="20" t="str">
        <x:v>Primary source-register URL; automated screening score</x:v>
      </x:c>
      <x:c r="L145" s="20" t="str">
        <x:v>2026-05-20</x:v>
      </x:c>
      <x:c r="M145" s="20" t="str">
        <x:v>2026-05-20</x:v>
      </x:c>
      <x:c r="N145" s="20" t="str">
        <x:v>GPT-5.5 Pro</x:v>
      </x:c>
      <x:c r="O145" s="20" t="str">
        <x:v>Needs review</x:v>
      </x:c>
      <x:c r="P145" s="20" t="str">
        <x:v>Screening score for European Union / Security contractors in Belarus; verify with country-specific evidence before final use.</x:v>
      </x:c>
    </x:row>
    <x:row r="146" ht="24" customHeight="1">
      <x:c r="A146" s="20" t="str">
        <x:v>BEN|Russia|Propaganda ecosystems</x:v>
      </x:c>
      <x:c r="B146" s="20" t="str">
        <x:v>Benin</x:v>
      </x:c>
      <x:c r="C146" s="20" t="str">
        <x:v>BEN</x:v>
      </x:c>
      <x:c r="D146" s="20" t="str">
        <x:v>Russia</x:v>
      </x:c>
      <x:c r="E146" s="20" t="str">
        <x:v>Russian influence</x:v>
      </x:c>
      <x:c r="F146" s="20" t="str">
        <x:v>Propaganda ecosystems</x:v>
      </x:c>
      <x:c r="G146" s="384" t="n">
        <x:v>4</x:v>
      </x:c>
      <x:c r="H146" s="396" t="n">
        <x:v>3</x:v>
      </x:c>
      <x:c r="I146" s="20" t="str">
        <x:v>EEAS/EUvsDisinfo FIMI source register</x:v>
      </x:c>
      <x:c r="J146" s="397" t="str">
        <x:v>https://www.eeas.europa.eu/eeas/4th-eeas-annual-report-foreign-information-manipulation-and-interference-threats_en</x:v>
      </x:c>
      <x:c r="K146" s="20" t="str">
        <x:v>Primary source-register URL; automated screening score</x:v>
      </x:c>
      <x:c r="L146" s="20" t="str">
        <x:v>2026-05-20</x:v>
      </x:c>
      <x:c r="M146" s="20" t="str">
        <x:v>2026-05-20</x:v>
      </x:c>
      <x:c r="N146" s="20" t="str">
        <x:v>GPT-5.5 Pro</x:v>
      </x:c>
      <x:c r="O146" s="20" t="str">
        <x:v>Needs review</x:v>
      </x:c>
      <x:c r="P146" s="20" t="str">
        <x:v>Screening score for Russia / Propaganda ecosystems in Benin; verify with country-specific evidence before final use.</x:v>
      </x:c>
    </x:row>
    <x:row r="147" ht="24" customHeight="1">
      <x:c r="A147" s="20" t="str">
        <x:v>BEN|Russia|PMC presence</x:v>
      </x:c>
      <x:c r="B147" s="20" t="str">
        <x:v>Benin</x:v>
      </x:c>
      <x:c r="C147" s="20" t="str">
        <x:v>BEN</x:v>
      </x:c>
      <x:c r="D147" s="20" t="str">
        <x:v>Russia</x:v>
      </x:c>
      <x:c r="E147" s="20" t="str">
        <x:v>Russian influence</x:v>
      </x:c>
      <x:c r="F147" s="20" t="str">
        <x:v>PMC presence</x:v>
      </x:c>
      <x:c r="G147" s="384" t="n">
        <x:v>1</x:v>
      </x:c>
      <x:c r="H147" s="396" t="n">
        <x:v>2</x:v>
      </x:c>
      <x:c r="I147" s="20" t="str">
        <x:v>Treasury and Council of the EU Wagner/PMC source register</x:v>
      </x:c>
      <x:c r="J147" s="397" t="str">
        <x:v>https://www.consilium.europa.eu/en/press/press-releases/2023/02/25/wagner-group-council-adds-11-individuals-and-7-entities-to-eu-sanctions-lists/</x:v>
      </x:c>
      <x:c r="K147" s="20" t="str">
        <x:v>Primary source-register URL; automated screening score</x:v>
      </x:c>
      <x:c r="L147" s="20" t="str">
        <x:v>2026-05-20</x:v>
      </x:c>
      <x:c r="M147" s="20" t="str">
        <x:v>2026-05-20</x:v>
      </x:c>
      <x:c r="N147" s="20" t="str">
        <x:v>GPT-5.5 Pro</x:v>
      </x:c>
      <x:c r="O147" s="20" t="str">
        <x:v>Needs review</x:v>
      </x:c>
      <x:c r="P147" s="20" t="str">
        <x:v>Screening score for Russia / PMC presence in Benin; verify with country-specific evidence before final use.</x:v>
      </x:c>
    </x:row>
    <x:row r="148" ht="24" customHeight="1">
      <x:c r="A148" s="20" t="str">
        <x:v>BEN|Russia|Election interference</x:v>
      </x:c>
      <x:c r="B148" s="20" t="str">
        <x:v>Benin</x:v>
      </x:c>
      <x:c r="C148" s="20" t="str">
        <x:v>BEN</x:v>
      </x:c>
      <x:c r="D148" s="20" t="str">
        <x:v>Russia</x:v>
      </x:c>
      <x:c r="E148" s="20" t="str">
        <x:v>Russian influence</x:v>
      </x:c>
      <x:c r="F148" s="20" t="str">
        <x:v>Election interference</x:v>
      </x:c>
      <x:c r="G148" s="384" t="n">
        <x:v>1</x:v>
      </x:c>
      <x:c r="H148" s="396" t="n">
        <x:v>2</x:v>
      </x:c>
      <x:c r="I148" s="20" t="str">
        <x:v>ODNI/EEAS election-FIMI source register</x:v>
      </x:c>
      <x:c r="J148" s="397" t="str">
        <x:v>https://www.dni.gov/files/ODNI/documents/assessments/ATA-2026-Unclassified-Report.pdf</x:v>
      </x:c>
      <x:c r="K148" s="20" t="str">
        <x:v>Primary source-register URL; automated screening score</x:v>
      </x:c>
      <x:c r="L148" s="20" t="str">
        <x:v>2026-05-20</x:v>
      </x:c>
      <x:c r="M148" s="20" t="str">
        <x:v>2026-05-20</x:v>
      </x:c>
      <x:c r="N148" s="20" t="str">
        <x:v>GPT-5.5 Pro</x:v>
      </x:c>
      <x:c r="O148" s="20" t="str">
        <x:v>Needs review</x:v>
      </x:c>
      <x:c r="P148" s="20" t="str">
        <x:v>Screening score for Russia / Election interference in Benin; verify with country-specific evidence before final use.</x:v>
      </x:c>
    </x:row>
    <x:row r="149" ht="24" customHeight="1">
      <x:c r="A149" s="20" t="str">
        <x:v>BEN|Russia|Security contractors</x:v>
      </x:c>
      <x:c r="B149" s="20" t="str">
        <x:v>Benin</x:v>
      </x:c>
      <x:c r="C149" s="20" t="str">
        <x:v>BEN</x:v>
      </x:c>
      <x:c r="D149" s="20" t="str">
        <x:v>Russia</x:v>
      </x:c>
      <x:c r="E149" s="20" t="str">
        <x:v>Russian influence</x:v>
      </x:c>
      <x:c r="F149" s="20" t="str">
        <x:v>Security contractors</x:v>
      </x:c>
      <x:c r="G149" s="384" t="n">
        <x:v>1</x:v>
      </x:c>
      <x:c r="H149" s="396" t="n">
        <x:v>2</x:v>
      </x:c>
      <x:c r="I149" s="20" t="str">
        <x:v>Council of the EU/Treasury Wagner-security source register</x:v>
      </x:c>
      <x:c r="J149" s="397" t="str">
        <x:v>https://www.consilium.europa.eu/en/press/press-releases/2023/02/25/wagner-group-council-adds-11-individuals-and-7-entities-to-eu-sanctions-lists/</x:v>
      </x:c>
      <x:c r="K149" s="20" t="str">
        <x:v>Primary source-register URL; automated screening score</x:v>
      </x:c>
      <x:c r="L149" s="20" t="str">
        <x:v>2026-05-20</x:v>
      </x:c>
      <x:c r="M149" s="20" t="str">
        <x:v>2026-05-20</x:v>
      </x:c>
      <x:c r="N149" s="20" t="str">
        <x:v>GPT-5.5 Pro</x:v>
      </x:c>
      <x:c r="O149" s="20" t="str">
        <x:v>Needs review</x:v>
      </x:c>
      <x:c r="P149" s="20" t="str">
        <x:v>Screening score for Russia / Security contractors in Benin; verify with country-specific evidence before final use.</x:v>
      </x:c>
    </x:row>
    <x:row r="150" ht="24" customHeight="1">
      <x:c r="A150" s="20" t="str">
        <x:v>BEN|China|Propaganda ecosystems</x:v>
      </x:c>
      <x:c r="B150" s="20" t="str">
        <x:v>Benin</x:v>
      </x:c>
      <x:c r="C150" s="20" t="str">
        <x:v>BEN</x:v>
      </x:c>
      <x:c r="D150" s="20" t="str">
        <x:v>China</x:v>
      </x:c>
      <x:c r="E150" s="20" t="str">
        <x:v>Chinese influence</x:v>
      </x:c>
      <x:c r="F150" s="20" t="str">
        <x:v>Propaganda ecosystems</x:v>
      </x:c>
      <x:c r="G150" s="384" t="n">
        <x:v>5</x:v>
      </x:c>
      <x:c r="H150" s="396" t="n">
        <x:v>3</x:v>
      </x:c>
      <x:c r="I150" s="20" t="str">
        <x:v>EEAS/ODNI China FIMI source register</x:v>
      </x:c>
      <x:c r="J150" s="397" t="str">
        <x:v>https://www.eeas.europa.eu/eeas/4th-eeas-annual-report-foreign-information-manipulation-and-interference-threats_en</x:v>
      </x:c>
      <x:c r="K150" s="20" t="str">
        <x:v>Primary source-register URL; automated screening score</x:v>
      </x:c>
      <x:c r="L150" s="20" t="str">
        <x:v>2026-05-20</x:v>
      </x:c>
      <x:c r="M150" s="20" t="str">
        <x:v>2026-05-20</x:v>
      </x:c>
      <x:c r="N150" s="20" t="str">
        <x:v>GPT-5.5 Pro</x:v>
      </x:c>
      <x:c r="O150" s="20" t="str">
        <x:v>Needs review</x:v>
      </x:c>
      <x:c r="P150" s="20" t="str">
        <x:v>Screening score for China / Propaganda ecosystems in Benin; verify with country-specific evidence before final use.</x:v>
      </x:c>
    </x:row>
    <x:row r="151" ht="24" customHeight="1">
      <x:c r="A151" s="20" t="str">
        <x:v>BEN|China|PMC presence</x:v>
      </x:c>
      <x:c r="B151" s="20" t="str">
        <x:v>Benin</x:v>
      </x:c>
      <x:c r="C151" s="20" t="str">
        <x:v>BEN</x:v>
      </x:c>
      <x:c r="D151" s="20" t="str">
        <x:v>China</x:v>
      </x:c>
      <x:c r="E151" s="20" t="str">
        <x:v>Chinese influence</x:v>
      </x:c>
      <x:c r="F151" s="20" t="str">
        <x:v>PMC presence</x:v>
      </x:c>
      <x:c r="G151" s="384" t="n">
        <x:v>1</x:v>
      </x:c>
      <x:c r="H151" s="396" t="n">
        <x:v>2</x:v>
      </x:c>
      <x:c r="I151" s="20" t="str">
        <x:v>MERICS/Carnegie Chinese overseas PSC source register</x:v>
      </x:c>
      <x:c r="J151" s="397" t="str">
        <x:v>https://merics.org/en/report/guardians-belt-and-road</x:v>
      </x:c>
      <x:c r="K151" s="20" t="str">
        <x:v>Primary source-register URL; automated screening score</x:v>
      </x:c>
      <x:c r="L151" s="20" t="str">
        <x:v>2026-05-20</x:v>
      </x:c>
      <x:c r="M151" s="20" t="str">
        <x:v>2026-05-20</x:v>
      </x:c>
      <x:c r="N151" s="20" t="str">
        <x:v>GPT-5.5 Pro</x:v>
      </x:c>
      <x:c r="O151" s="20" t="str">
        <x:v>Needs review</x:v>
      </x:c>
      <x:c r="P151" s="20" t="str">
        <x:v>Screening score for China / PMC presence in Benin; verify with country-specific evidence before final use.</x:v>
      </x:c>
    </x:row>
    <x:row r="152" ht="24" customHeight="1">
      <x:c r="A152" s="20" t="str">
        <x:v>BEN|China|Election interference</x:v>
      </x:c>
      <x:c r="B152" s="20" t="str">
        <x:v>Benin</x:v>
      </x:c>
      <x:c r="C152" s="20" t="str">
        <x:v>BEN</x:v>
      </x:c>
      <x:c r="D152" s="20" t="str">
        <x:v>China</x:v>
      </x:c>
      <x:c r="E152" s="20" t="str">
        <x:v>Chinese influence</x:v>
      </x:c>
      <x:c r="F152" s="20" t="str">
        <x:v>Election interference</x:v>
      </x:c>
      <x:c r="G152" s="384" t="n">
        <x:v>1</x:v>
      </x:c>
      <x:c r="H152" s="396" t="n">
        <x:v>2</x:v>
      </x:c>
      <x:c r="I152" s="20" t="str">
        <x:v>EEAS/ODNI China election-FIMI source register</x:v>
      </x:c>
      <x:c r="J152" s="397" t="str">
        <x:v>https://www.eeas.europa.eu/eeas/4th-eeas-annual-report-foreign-information-manipulation-and-interference-threats_en</x:v>
      </x:c>
      <x:c r="K152" s="20" t="str">
        <x:v>Primary source-register URL; automated screening score</x:v>
      </x:c>
      <x:c r="L152" s="20" t="str">
        <x:v>2026-05-20</x:v>
      </x:c>
      <x:c r="M152" s="20" t="str">
        <x:v>2026-05-20</x:v>
      </x:c>
      <x:c r="N152" s="20" t="str">
        <x:v>GPT-5.5 Pro</x:v>
      </x:c>
      <x:c r="O152" s="20" t="str">
        <x:v>Needs review</x:v>
      </x:c>
      <x:c r="P152" s="20" t="str">
        <x:v>Screening score for China / Election interference in Benin; verify with country-specific evidence before final use.</x:v>
      </x:c>
    </x:row>
    <x:row r="153" ht="24" customHeight="1">
      <x:c r="A153" s="20" t="str">
        <x:v>BEN|China|Security contractors</x:v>
      </x:c>
      <x:c r="B153" s="20" t="str">
        <x:v>Benin</x:v>
      </x:c>
      <x:c r="C153" s="20" t="str">
        <x:v>BEN</x:v>
      </x:c>
      <x:c r="D153" s="20" t="str">
        <x:v>China</x:v>
      </x:c>
      <x:c r="E153" s="20" t="str">
        <x:v>Chinese influence</x:v>
      </x:c>
      <x:c r="F153" s="20" t="str">
        <x:v>Security contractors</x:v>
      </x:c>
      <x:c r="G153" s="384" t="n">
        <x:v>1</x:v>
      </x:c>
      <x:c r="H153" s="396" t="n">
        <x:v>2</x:v>
      </x:c>
      <x:c r="I153" s="20" t="str">
        <x:v>MERICS/Carnegie Chinese security contractor source register</x:v>
      </x:c>
      <x:c r="J153" s="397" t="str">
        <x:v>https://merics.org/en/report/guardians-belt-and-road</x:v>
      </x:c>
      <x:c r="K153" s="20" t="str">
        <x:v>Primary source-register URL; automated screening score</x:v>
      </x:c>
      <x:c r="L153" s="20" t="str">
        <x:v>2026-05-20</x:v>
      </x:c>
      <x:c r="M153" s="20" t="str">
        <x:v>2026-05-20</x:v>
      </x:c>
      <x:c r="N153" s="20" t="str">
        <x:v>GPT-5.5 Pro</x:v>
      </x:c>
      <x:c r="O153" s="20" t="str">
        <x:v>Needs review</x:v>
      </x:c>
      <x:c r="P153" s="20" t="str">
        <x:v>Screening score for China / Security contractors in Benin; verify with country-specific evidence before final use.</x:v>
      </x:c>
    </x:row>
    <x:row r="154" ht="24" customHeight="1">
      <x:c r="A154" s="20" t="str">
        <x:v>BEN|United States|Propaganda ecosystems</x:v>
      </x:c>
      <x:c r="B154" s="20" t="str">
        <x:v>Benin</x:v>
      </x:c>
      <x:c r="C154" s="20" t="str">
        <x:v>BEN</x:v>
      </x:c>
      <x:c r="D154" s="20" t="str">
        <x:v>United States</x:v>
      </x:c>
      <x:c r="E154" s="20" t="str">
        <x:v>American influence</x:v>
      </x:c>
      <x:c r="F154" s="20" t="str">
        <x:v>Propaganda ecosystems</x:v>
      </x:c>
      <x:c r="G154" s="384" t="n">
        <x:v>4</x:v>
      </x:c>
      <x:c r="H154" s="396" t="n">
        <x:v>3</x:v>
      </x:c>
      <x:c r="I154" s="20" t="str">
        <x:v>USAGM public media source register</x:v>
      </x:c>
      <x:c r="J154" s="397" t="str">
        <x:v>https://www.usagm.gov/our-work/strategy-and-results/strategic-priorities/research-reports/</x:v>
      </x:c>
      <x:c r="K154" s="20" t="str">
        <x:v>Primary source-register URL; automated screening score</x:v>
      </x:c>
      <x:c r="L154" s="20" t="str">
        <x:v>2026-05-20</x:v>
      </x:c>
      <x:c r="M154" s="20" t="str">
        <x:v>2026-05-20</x:v>
      </x:c>
      <x:c r="N154" s="20" t="str">
        <x:v>GPT-5.5 Pro</x:v>
      </x:c>
      <x:c r="O154" s="20" t="str">
        <x:v>Needs review</x:v>
      </x:c>
      <x:c r="P154" s="20" t="str">
        <x:v>Screening score for United States / Propaganda ecosystems in Benin; verify with country-specific evidence before final use.</x:v>
      </x:c>
    </x:row>
    <x:row r="155" ht="24" customHeight="1">
      <x:c r="A155" s="20" t="str">
        <x:v>BEN|United States|PMC presence</x:v>
      </x:c>
      <x:c r="B155" s="20" t="str">
        <x:v>Benin</x:v>
      </x:c>
      <x:c r="C155" s="20" t="str">
        <x:v>BEN</x:v>
      </x:c>
      <x:c r="D155" s="20" t="str">
        <x:v>United States</x:v>
      </x:c>
      <x:c r="E155" s="20" t="str">
        <x:v>American influence</x:v>
      </x:c>
      <x:c r="F155" s="20" t="str">
        <x:v>PMC presence</x:v>
      </x:c>
      <x:c r="G155" s="384" t="n">
        <x:v>2</x:v>
      </x:c>
      <x:c r="H155" s="396" t="n">
        <x:v>2</x:v>
      </x:c>
      <x:c r="I155" s="20" t="str">
        <x:v>SAM/Greenbook U.S. security assistance contractor source register</x:v>
      </x:c>
      <x:c r="J155" s="397" t="str">
        <x:v>https://internationalpolicy.org/programs/sam/</x:v>
      </x:c>
      <x:c r="K155" s="20" t="str">
        <x:v>Primary source-register URL; automated screening score</x:v>
      </x:c>
      <x:c r="L155" s="20" t="str">
        <x:v>2026-05-20</x:v>
      </x:c>
      <x:c r="M155" s="20" t="str">
        <x:v>2026-05-20</x:v>
      </x:c>
      <x:c r="N155" s="20" t="str">
        <x:v>GPT-5.5 Pro</x:v>
      </x:c>
      <x:c r="O155" s="20" t="str">
        <x:v>Needs review</x:v>
      </x:c>
      <x:c r="P155" s="20" t="str">
        <x:v>Screening score for United States / PMC presence in Benin; verify with country-specific evidence before final use.</x:v>
      </x:c>
    </x:row>
    <x:row r="156" ht="24" customHeight="1">
      <x:c r="A156" s="20" t="str">
        <x:v>BEN|United States|Election interference</x:v>
      </x:c>
      <x:c r="B156" s="20" t="str">
        <x:v>Benin</x:v>
      </x:c>
      <x:c r="C156" s="20" t="str">
        <x:v>BEN</x:v>
      </x:c>
      <x:c r="D156" s="20" t="str">
        <x:v>United States</x:v>
      </x:c>
      <x:c r="E156" s="20" t="str">
        <x:v>American influence</x:v>
      </x:c>
      <x:c r="F156" s="20" t="str">
        <x:v>Election interference</x:v>
      </x:c>
      <x:c r="G156" s="384" t="n">
        <x:v>2</x:v>
      </x:c>
      <x:c r="H156" s="396" t="n">
        <x:v>2</x:v>
      </x:c>
      <x:c r="I156" s="20" t="str">
        <x:v>NED/Greenbook democracy assistance source register</x:v>
      </x:c>
      <x:c r="J156" s="397" t="str">
        <x:v>https://www.ned.org/ned-grantmaking/</x:v>
      </x:c>
      <x:c r="K156" s="20" t="str">
        <x:v>Primary source-register URL; automated screening score</x:v>
      </x:c>
      <x:c r="L156" s="20" t="str">
        <x:v>2026-05-20</x:v>
      </x:c>
      <x:c r="M156" s="20" t="str">
        <x:v>2026-05-20</x:v>
      </x:c>
      <x:c r="N156" s="20" t="str">
        <x:v>GPT-5.5 Pro</x:v>
      </x:c>
      <x:c r="O156" s="20" t="str">
        <x:v>Needs review</x:v>
      </x:c>
      <x:c r="P156" s="20" t="str">
        <x:v>Screening score for United States / Election interference in Benin; verify with country-specific evidence before final use.</x:v>
      </x:c>
    </x:row>
    <x:row r="157" ht="24" customHeight="1">
      <x:c r="A157" s="20" t="str">
        <x:v>BEN|United States|Security contractors</x:v>
      </x:c>
      <x:c r="B157" s="20" t="str">
        <x:v>Benin</x:v>
      </x:c>
      <x:c r="C157" s="20" t="str">
        <x:v>BEN</x:v>
      </x:c>
      <x:c r="D157" s="20" t="str">
        <x:v>United States</x:v>
      </x:c>
      <x:c r="E157" s="20" t="str">
        <x:v>American influence</x:v>
      </x:c>
      <x:c r="F157" s="20" t="str">
        <x:v>Security contractors</x:v>
      </x:c>
      <x:c r="G157" s="384" t="n">
        <x:v>3</x:v>
      </x:c>
      <x:c r="H157" s="396" t="n">
        <x:v>3</x:v>
      </x:c>
      <x:c r="I157" s="20" t="str">
        <x:v>SAM/Greenbook U.S. security contractor source register</x:v>
      </x:c>
      <x:c r="J157" s="397" t="str">
        <x:v>https://internationalpolicy.org/programs/sam/</x:v>
      </x:c>
      <x:c r="K157" s="20" t="str">
        <x:v>Primary source-register URL; automated screening score</x:v>
      </x:c>
      <x:c r="L157" s="20" t="str">
        <x:v>2026-05-20</x:v>
      </x:c>
      <x:c r="M157" s="20" t="str">
        <x:v>2026-05-20</x:v>
      </x:c>
      <x:c r="N157" s="20" t="str">
        <x:v>GPT-5.5 Pro</x:v>
      </x:c>
      <x:c r="O157" s="20" t="str">
        <x:v>Needs review</x:v>
      </x:c>
      <x:c r="P157" s="20" t="str">
        <x:v>Screening score for United States / Security contractors in Benin; verify with country-specific evidence before final use.</x:v>
      </x:c>
    </x:row>
    <x:row r="158" ht="24" customHeight="1">
      <x:c r="A158" s="20" t="str">
        <x:v>BEN|European Union|Propaganda ecosystems</x:v>
      </x:c>
      <x:c r="B158" s="20" t="str">
        <x:v>Benin</x:v>
      </x:c>
      <x:c r="C158" s="20" t="str">
        <x:v>BEN</x:v>
      </x:c>
      <x:c r="D158" s="20" t="str">
        <x:v>European Union</x:v>
      </x:c>
      <x:c r="E158" s="20" t="str">
        <x:v>EU influence</x:v>
      </x:c>
      <x:c r="F158" s="20" t="str">
        <x:v>Propaganda ecosystems</x:v>
      </x:c>
      <x:c r="G158" s="384" t="n">
        <x:v>3</x:v>
      </x:c>
      <x:c r="H158" s="396" t="n">
        <x:v>3</x:v>
      </x:c>
      <x:c r="I158" s="20" t="str">
        <x:v>EEAS public diplomacy source register</x:v>
      </x:c>
      <x:c r="J158" s="397" t="str">
        <x:v>https://www.eeas.europa.eu/eeas/public-diplomacy_en</x:v>
      </x:c>
      <x:c r="K158" s="20" t="str">
        <x:v>Primary source-register URL; automated screening score</x:v>
      </x:c>
      <x:c r="L158" s="20" t="str">
        <x:v>2026-05-20</x:v>
      </x:c>
      <x:c r="M158" s="20" t="str">
        <x:v>2026-05-20</x:v>
      </x:c>
      <x:c r="N158" s="20" t="str">
        <x:v>GPT-5.5 Pro</x:v>
      </x:c>
      <x:c r="O158" s="20" t="str">
        <x:v>Needs review</x:v>
      </x:c>
      <x:c r="P158" s="20" t="str">
        <x:v>Screening score for European Union / Propaganda ecosystems in Benin; verify with country-specific evidence before final use.</x:v>
      </x:c>
    </x:row>
    <x:row r="159" ht="24" customHeight="1">
      <x:c r="A159" s="20" t="str">
        <x:v>BEN|European Union|PMC presence</x:v>
      </x:c>
      <x:c r="B159" s="20" t="str">
        <x:v>Benin</x:v>
      </x:c>
      <x:c r="C159" s="20" t="str">
        <x:v>BEN</x:v>
      </x:c>
      <x:c r="D159" s="20" t="str">
        <x:v>European Union</x:v>
      </x:c>
      <x:c r="E159" s="20" t="str">
        <x:v>EU influence</x:v>
      </x:c>
      <x:c r="F159" s="20" t="str">
        <x:v>PMC presence</x:v>
      </x:c>
      <x:c r="G159" s="384" t="n">
        <x:v>0</x:v>
      </x:c>
      <x:c r="H159" s="396" t="n">
        <x:v>1</x:v>
      </x:c>
      <x:c r="I159" s="20" t="str">
        <x:v>EEAS CSDP missions source register</x:v>
      </x:c>
      <x:c r="J159" s="397" t="str">
        <x:v>https://www.eeas.europa.eu/eeas/missions-and-operations_en</x:v>
      </x:c>
      <x:c r="K159" s="20" t="str">
        <x:v>Primary source-register URL; automated screening score</x:v>
      </x:c>
      <x:c r="L159" s="20" t="str">
        <x:v>2026-05-20</x:v>
      </x:c>
      <x:c r="M159" s="20" t="str">
        <x:v>2026-05-20</x:v>
      </x:c>
      <x:c r="N159" s="20" t="str">
        <x:v>GPT-5.5 Pro</x:v>
      </x:c>
      <x:c r="O159" s="20" t="str">
        <x:v>Needs review</x:v>
      </x:c>
      <x:c r="P159" s="20" t="str">
        <x:v>Screening score for European Union / PMC presence in Benin; verify with country-specific evidence before final use.</x:v>
      </x:c>
    </x:row>
    <x:row r="160" ht="24" customHeight="1">
      <x:c r="A160" s="20" t="str">
        <x:v>BEN|European Union|Election interference</x:v>
      </x:c>
      <x:c r="B160" s="20" t="str">
        <x:v>Benin</x:v>
      </x:c>
      <x:c r="C160" s="20" t="str">
        <x:v>BEN</x:v>
      </x:c>
      <x:c r="D160" s="20" t="str">
        <x:v>European Union</x:v>
      </x:c>
      <x:c r="E160" s="20" t="str">
        <x:v>EU influence</x:v>
      </x:c>
      <x:c r="F160" s="20" t="str">
        <x:v>Election interference</x:v>
      </x:c>
      <x:c r="G160" s="384" t="n">
        <x:v>1</x:v>
      </x:c>
      <x:c r="H160" s="396" t="n">
        <x:v>2</x:v>
      </x:c>
      <x:c r="I160" s="20" t="str">
        <x:v>EEAS EU election observation source register</x:v>
      </x:c>
      <x:c r="J160" s="397" t="str">
        <x:v>https://www.eeas.europa.eu/eeas/eu-election-observation-missions-1_en?page_lang=en</x:v>
      </x:c>
      <x:c r="K160" s="20" t="str">
        <x:v>Primary source-register URL; automated screening score</x:v>
      </x:c>
      <x:c r="L160" s="20" t="str">
        <x:v>2026-05-20</x:v>
      </x:c>
      <x:c r="M160" s="20" t="str">
        <x:v>2026-05-20</x:v>
      </x:c>
      <x:c r="N160" s="20" t="str">
        <x:v>GPT-5.5 Pro</x:v>
      </x:c>
      <x:c r="O160" s="20" t="str">
        <x:v>Needs review</x:v>
      </x:c>
      <x:c r="P160" s="20" t="str">
        <x:v>Screening score for European Union / Election interference in Benin; verify with country-specific evidence before final use.</x:v>
      </x:c>
    </x:row>
    <x:row r="161" ht="24" customHeight="1">
      <x:c r="A161" s="20" t="str">
        <x:v>BEN|European Union|Security contractors</x:v>
      </x:c>
      <x:c r="B161" s="20" t="str">
        <x:v>Benin</x:v>
      </x:c>
      <x:c r="C161" s="20" t="str">
        <x:v>BEN</x:v>
      </x:c>
      <x:c r="D161" s="20" t="str">
        <x:v>European Union</x:v>
      </x:c>
      <x:c r="E161" s="20" t="str">
        <x:v>EU influence</x:v>
      </x:c>
      <x:c r="F161" s="20" t="str">
        <x:v>Security contractors</x:v>
      </x:c>
      <x:c r="G161" s="384" t="n">
        <x:v>2</x:v>
      </x:c>
      <x:c r="H161" s="396" t="n">
        <x:v>2</x:v>
      </x:c>
      <x:c r="I161" s="20" t="str">
        <x:v>EEAS CSDP / Global Gateway security source register</x:v>
      </x:c>
      <x:c r="J161" s="397" t="str">
        <x:v>https://www.eeas.europa.eu/eeas/missions-and-operations_en</x:v>
      </x:c>
      <x:c r="K161" s="20" t="str">
        <x:v>Primary source-register URL; automated screening score</x:v>
      </x:c>
      <x:c r="L161" s="20" t="str">
        <x:v>2026-05-20</x:v>
      </x:c>
      <x:c r="M161" s="20" t="str">
        <x:v>2026-05-20</x:v>
      </x:c>
      <x:c r="N161" s="20" t="str">
        <x:v>GPT-5.5 Pro</x:v>
      </x:c>
      <x:c r="O161" s="20" t="str">
        <x:v>Needs review</x:v>
      </x:c>
      <x:c r="P161" s="20" t="str">
        <x:v>Screening score for European Union / Security contractors in Benin; verify with country-specific evidence before final use.</x:v>
      </x:c>
    </x:row>
    <x:row r="162" ht="24" customHeight="1">
      <x:c r="A162" s="20" t="str">
        <x:v>BOL|Russia|Propaganda ecosystems</x:v>
      </x:c>
      <x:c r="B162" s="20" t="str">
        <x:v>Bolivia</x:v>
      </x:c>
      <x:c r="C162" s="20" t="str">
        <x:v>BOL</x:v>
      </x:c>
      <x:c r="D162" s="20" t="str">
        <x:v>Russia</x:v>
      </x:c>
      <x:c r="E162" s="20" t="str">
        <x:v>Russian influence</x:v>
      </x:c>
      <x:c r="F162" s="20" t="str">
        <x:v>Propaganda ecosystems</x:v>
      </x:c>
      <x:c r="G162" s="384" t="n">
        <x:v>7</x:v>
      </x:c>
      <x:c r="H162" s="396" t="n">
        <x:v>4</x:v>
      </x:c>
      <x:c r="I162" s="20" t="str">
        <x:v>EEAS/EUvsDisinfo FIMI source register</x:v>
      </x:c>
      <x:c r="J162" s="397" t="str">
        <x:v>https://www.eeas.europa.eu/eeas/4th-eeas-annual-report-foreign-information-manipulation-and-interference-threats_en</x:v>
      </x:c>
      <x:c r="K162" s="20" t="str">
        <x:v>Primary source-register URL; automated screening score</x:v>
      </x:c>
      <x:c r="L162" s="20" t="str">
        <x:v>2026-05-20</x:v>
      </x:c>
      <x:c r="M162" s="20" t="str">
        <x:v>2026-05-20</x:v>
      </x:c>
      <x:c r="N162" s="20" t="str">
        <x:v>GPT-5.5 Pro</x:v>
      </x:c>
      <x:c r="O162" s="20" t="str">
        <x:v>Needs review</x:v>
      </x:c>
      <x:c r="P162" s="20" t="str">
        <x:v>Screening score for Russia / Propaganda ecosystems in Bolivia; verify with country-specific evidence before final use.</x:v>
      </x:c>
    </x:row>
    <x:row r="163" ht="24" customHeight="1">
      <x:c r="A163" s="20" t="str">
        <x:v>BOL|Russia|PMC presence</x:v>
      </x:c>
      <x:c r="B163" s="20" t="str">
        <x:v>Bolivia</x:v>
      </x:c>
      <x:c r="C163" s="20" t="str">
        <x:v>BOL</x:v>
      </x:c>
      <x:c r="D163" s="20" t="str">
        <x:v>Russia</x:v>
      </x:c>
      <x:c r="E163" s="20" t="str">
        <x:v>Russian influence</x:v>
      </x:c>
      <x:c r="F163" s="20" t="str">
        <x:v>PMC presence</x:v>
      </x:c>
      <x:c r="G163" s="384" t="n">
        <x:v>0</x:v>
      </x:c>
      <x:c r="H163" s="396" t="n">
        <x:v>1</x:v>
      </x:c>
      <x:c r="I163" s="20" t="str">
        <x:v>Treasury and Council of the EU Wagner/PMC source register</x:v>
      </x:c>
      <x:c r="J163" s="397" t="str">
        <x:v>https://www.consilium.europa.eu/en/press/press-releases/2023/02/25/wagner-group-council-adds-11-individuals-and-7-entities-to-eu-sanctions-lists/</x:v>
      </x:c>
      <x:c r="K163" s="20" t="str">
        <x:v>Primary source-register URL; automated screening score</x:v>
      </x:c>
      <x:c r="L163" s="20" t="str">
        <x:v>2026-05-20</x:v>
      </x:c>
      <x:c r="M163" s="20" t="str">
        <x:v>2026-05-20</x:v>
      </x:c>
      <x:c r="N163" s="20" t="str">
        <x:v>GPT-5.5 Pro</x:v>
      </x:c>
      <x:c r="O163" s="20" t="str">
        <x:v>Needs review</x:v>
      </x:c>
      <x:c r="P163" s="20" t="str">
        <x:v>Screening score for Russia / PMC presence in Bolivia; verify with country-specific evidence before final use.</x:v>
      </x:c>
    </x:row>
    <x:row r="164" ht="24" customHeight="1">
      <x:c r="A164" s="20" t="str">
        <x:v>BOL|Russia|Election interference</x:v>
      </x:c>
      <x:c r="B164" s="20" t="str">
        <x:v>Bolivia</x:v>
      </x:c>
      <x:c r="C164" s="20" t="str">
        <x:v>BOL</x:v>
      </x:c>
      <x:c r="D164" s="20" t="str">
        <x:v>Russia</x:v>
      </x:c>
      <x:c r="E164" s="20" t="str">
        <x:v>Russian influence</x:v>
      </x:c>
      <x:c r="F164" s="20" t="str">
        <x:v>Election interference</x:v>
      </x:c>
      <x:c r="G164" s="384" t="n">
        <x:v>3</x:v>
      </x:c>
      <x:c r="H164" s="396" t="n">
        <x:v>3</x:v>
      </x:c>
      <x:c r="I164" s="20" t="str">
        <x:v>ODNI/EEAS election-FIMI source register</x:v>
      </x:c>
      <x:c r="J164" s="397" t="str">
        <x:v>https://www.dni.gov/files/ODNI/documents/assessments/ATA-2026-Unclassified-Report.pdf</x:v>
      </x:c>
      <x:c r="K164" s="20" t="str">
        <x:v>Primary source-register URL; automated screening score</x:v>
      </x:c>
      <x:c r="L164" s="20" t="str">
        <x:v>2026-05-20</x:v>
      </x:c>
      <x:c r="M164" s="20" t="str">
        <x:v>2026-05-20</x:v>
      </x:c>
      <x:c r="N164" s="20" t="str">
        <x:v>GPT-5.5 Pro</x:v>
      </x:c>
      <x:c r="O164" s="20" t="str">
        <x:v>Needs review</x:v>
      </x:c>
      <x:c r="P164" s="20" t="str">
        <x:v>Screening score for Russia / Election interference in Bolivia; verify with country-specific evidence before final use.</x:v>
      </x:c>
    </x:row>
    <x:row r="165" ht="24" customHeight="1">
      <x:c r="A165" s="20" t="str">
        <x:v>BOL|Russia|Security contractors</x:v>
      </x:c>
      <x:c r="B165" s="20" t="str">
        <x:v>Bolivia</x:v>
      </x:c>
      <x:c r="C165" s="20" t="str">
        <x:v>BOL</x:v>
      </x:c>
      <x:c r="D165" s="20" t="str">
        <x:v>Russia</x:v>
      </x:c>
      <x:c r="E165" s="20" t="str">
        <x:v>Russian influence</x:v>
      </x:c>
      <x:c r="F165" s="20" t="str">
        <x:v>Security contractors</x:v>
      </x:c>
      <x:c r="G165" s="384" t="n">
        <x:v>0</x:v>
      </x:c>
      <x:c r="H165" s="396" t="n">
        <x:v>1</x:v>
      </x:c>
      <x:c r="I165" s="20" t="str">
        <x:v>Council of the EU/Treasury Wagner-security source register</x:v>
      </x:c>
      <x:c r="J165" s="397" t="str">
        <x:v>https://www.consilium.europa.eu/en/press/press-releases/2023/02/25/wagner-group-council-adds-11-individuals-and-7-entities-to-eu-sanctions-lists/</x:v>
      </x:c>
      <x:c r="K165" s="20" t="str">
        <x:v>Primary source-register URL; automated screening score</x:v>
      </x:c>
      <x:c r="L165" s="20" t="str">
        <x:v>2026-05-20</x:v>
      </x:c>
      <x:c r="M165" s="20" t="str">
        <x:v>2026-05-20</x:v>
      </x:c>
      <x:c r="N165" s="20" t="str">
        <x:v>GPT-5.5 Pro</x:v>
      </x:c>
      <x:c r="O165" s="20" t="str">
        <x:v>Needs review</x:v>
      </x:c>
      <x:c r="P165" s="20" t="str">
        <x:v>Screening score for Russia / Security contractors in Bolivia; verify with country-specific evidence before final use.</x:v>
      </x:c>
    </x:row>
    <x:row r="166" ht="24" customHeight="1">
      <x:c r="A166" s="20" t="str">
        <x:v>BOL|China|Propaganda ecosystems</x:v>
      </x:c>
      <x:c r="B166" s="20" t="str">
        <x:v>Bolivia</x:v>
      </x:c>
      <x:c r="C166" s="20" t="str">
        <x:v>BOL</x:v>
      </x:c>
      <x:c r="D166" s="20" t="str">
        <x:v>China</x:v>
      </x:c>
      <x:c r="E166" s="20" t="str">
        <x:v>Chinese influence</x:v>
      </x:c>
      <x:c r="F166" s="20" t="str">
        <x:v>Propaganda ecosystems</x:v>
      </x:c>
      <x:c r="G166" s="384" t="n">
        <x:v>4</x:v>
      </x:c>
      <x:c r="H166" s="396" t="n">
        <x:v>3</x:v>
      </x:c>
      <x:c r="I166" s="20" t="str">
        <x:v>EEAS/ODNI China FIMI source register</x:v>
      </x:c>
      <x:c r="J166" s="397" t="str">
        <x:v>https://www.eeas.europa.eu/eeas/4th-eeas-annual-report-foreign-information-manipulation-and-interference-threats_en</x:v>
      </x:c>
      <x:c r="K166" s="20" t="str">
        <x:v>Primary source-register URL; automated screening score</x:v>
      </x:c>
      <x:c r="L166" s="20" t="str">
        <x:v>2026-05-20</x:v>
      </x:c>
      <x:c r="M166" s="20" t="str">
        <x:v>2026-05-20</x:v>
      </x:c>
      <x:c r="N166" s="20" t="str">
        <x:v>GPT-5.5 Pro</x:v>
      </x:c>
      <x:c r="O166" s="20" t="str">
        <x:v>Needs review</x:v>
      </x:c>
      <x:c r="P166" s="20" t="str">
        <x:v>Screening score for China / Propaganda ecosystems in Bolivia; verify with country-specific evidence before final use.</x:v>
      </x:c>
    </x:row>
    <x:row r="167" ht="24" customHeight="1">
      <x:c r="A167" s="20" t="str">
        <x:v>BOL|China|PMC presence</x:v>
      </x:c>
      <x:c r="B167" s="20" t="str">
        <x:v>Bolivia</x:v>
      </x:c>
      <x:c r="C167" s="20" t="str">
        <x:v>BOL</x:v>
      </x:c>
      <x:c r="D167" s="20" t="str">
        <x:v>China</x:v>
      </x:c>
      <x:c r="E167" s="20" t="str">
        <x:v>Chinese influence</x:v>
      </x:c>
      <x:c r="F167" s="20" t="str">
        <x:v>PMC presence</x:v>
      </x:c>
      <x:c r="G167" s="384" t="n">
        <x:v>0</x:v>
      </x:c>
      <x:c r="H167" s="396" t="n">
        <x:v>1</x:v>
      </x:c>
      <x:c r="I167" s="20" t="str">
        <x:v>MERICS/Carnegie Chinese overseas PSC source register</x:v>
      </x:c>
      <x:c r="J167" s="397" t="str">
        <x:v>https://merics.org/en/report/guardians-belt-and-road</x:v>
      </x:c>
      <x:c r="K167" s="20" t="str">
        <x:v>Primary source-register URL; automated screening score</x:v>
      </x:c>
      <x:c r="L167" s="20" t="str">
        <x:v>2026-05-20</x:v>
      </x:c>
      <x:c r="M167" s="20" t="str">
        <x:v>2026-05-20</x:v>
      </x:c>
      <x:c r="N167" s="20" t="str">
        <x:v>GPT-5.5 Pro</x:v>
      </x:c>
      <x:c r="O167" s="20" t="str">
        <x:v>Needs review</x:v>
      </x:c>
      <x:c r="P167" s="20" t="str">
        <x:v>Screening score for China / PMC presence in Bolivia; verify with country-specific evidence before final use.</x:v>
      </x:c>
    </x:row>
    <x:row r="168" ht="24" customHeight="1">
      <x:c r="A168" s="20" t="str">
        <x:v>BOL|China|Election interference</x:v>
      </x:c>
      <x:c r="B168" s="20" t="str">
        <x:v>Bolivia</x:v>
      </x:c>
      <x:c r="C168" s="20" t="str">
        <x:v>BOL</x:v>
      </x:c>
      <x:c r="D168" s="20" t="str">
        <x:v>China</x:v>
      </x:c>
      <x:c r="E168" s="20" t="str">
        <x:v>Chinese influence</x:v>
      </x:c>
      <x:c r="F168" s="20" t="str">
        <x:v>Election interference</x:v>
      </x:c>
      <x:c r="G168" s="384" t="n">
        <x:v>2</x:v>
      </x:c>
      <x:c r="H168" s="396" t="n">
        <x:v>2</x:v>
      </x:c>
      <x:c r="I168" s="20" t="str">
        <x:v>EEAS/ODNI China election-FIMI source register</x:v>
      </x:c>
      <x:c r="J168" s="397" t="str">
        <x:v>https://www.eeas.europa.eu/eeas/4th-eeas-annual-report-foreign-information-manipulation-and-interference-threats_en</x:v>
      </x:c>
      <x:c r="K168" s="20" t="str">
        <x:v>Primary source-register URL; automated screening score</x:v>
      </x:c>
      <x:c r="L168" s="20" t="str">
        <x:v>2026-05-20</x:v>
      </x:c>
      <x:c r="M168" s="20" t="str">
        <x:v>2026-05-20</x:v>
      </x:c>
      <x:c r="N168" s="20" t="str">
        <x:v>GPT-5.5 Pro</x:v>
      </x:c>
      <x:c r="O168" s="20" t="str">
        <x:v>Needs review</x:v>
      </x:c>
      <x:c r="P168" s="20" t="str">
        <x:v>Screening score for China / Election interference in Bolivia; verify with country-specific evidence before final use.</x:v>
      </x:c>
    </x:row>
    <x:row r="169" ht="24" customHeight="1">
      <x:c r="A169" s="20" t="str">
        <x:v>BOL|China|Security contractors</x:v>
      </x:c>
      <x:c r="B169" s="20" t="str">
        <x:v>Bolivia</x:v>
      </x:c>
      <x:c r="C169" s="20" t="str">
        <x:v>BOL</x:v>
      </x:c>
      <x:c r="D169" s="20" t="str">
        <x:v>China</x:v>
      </x:c>
      <x:c r="E169" s="20" t="str">
        <x:v>Chinese influence</x:v>
      </x:c>
      <x:c r="F169" s="20" t="str">
        <x:v>Security contractors</x:v>
      </x:c>
      <x:c r="G169" s="384" t="n">
        <x:v>0</x:v>
      </x:c>
      <x:c r="H169" s="396" t="n">
        <x:v>1</x:v>
      </x:c>
      <x:c r="I169" s="20" t="str">
        <x:v>MERICS/Carnegie Chinese security contractor source register</x:v>
      </x:c>
      <x:c r="J169" s="397" t="str">
        <x:v>https://merics.org/en/report/guardians-belt-and-road</x:v>
      </x:c>
      <x:c r="K169" s="20" t="str">
        <x:v>Primary source-register URL; automated screening score</x:v>
      </x:c>
      <x:c r="L169" s="20" t="str">
        <x:v>2026-05-20</x:v>
      </x:c>
      <x:c r="M169" s="20" t="str">
        <x:v>2026-05-20</x:v>
      </x:c>
      <x:c r="N169" s="20" t="str">
        <x:v>GPT-5.5 Pro</x:v>
      </x:c>
      <x:c r="O169" s="20" t="str">
        <x:v>Needs review</x:v>
      </x:c>
      <x:c r="P169" s="20" t="str">
        <x:v>Screening score for China / Security contractors in Bolivia; verify with country-specific evidence before final use.</x:v>
      </x:c>
    </x:row>
    <x:row r="170" ht="24" customHeight="1">
      <x:c r="A170" s="20" t="str">
        <x:v>BOL|United States|Propaganda ecosystems</x:v>
      </x:c>
      <x:c r="B170" s="20" t="str">
        <x:v>Bolivia</x:v>
      </x:c>
      <x:c r="C170" s="20" t="str">
        <x:v>BOL</x:v>
      </x:c>
      <x:c r="D170" s="20" t="str">
        <x:v>United States</x:v>
      </x:c>
      <x:c r="E170" s="20" t="str">
        <x:v>American influence</x:v>
      </x:c>
      <x:c r="F170" s="20" t="str">
        <x:v>Propaganda ecosystems</x:v>
      </x:c>
      <x:c r="G170" s="384" t="n">
        <x:v>3</x:v>
      </x:c>
      <x:c r="H170" s="396" t="n">
        <x:v>3</x:v>
      </x:c>
      <x:c r="I170" s="20" t="str">
        <x:v>USAGM public media source register</x:v>
      </x:c>
      <x:c r="J170" s="397" t="str">
        <x:v>https://www.usagm.gov/our-work/strategy-and-results/strategic-priorities/research-reports/</x:v>
      </x:c>
      <x:c r="K170" s="20" t="str">
        <x:v>Primary source-register URL; automated screening score</x:v>
      </x:c>
      <x:c r="L170" s="20" t="str">
        <x:v>2026-05-20</x:v>
      </x:c>
      <x:c r="M170" s="20" t="str">
        <x:v>2026-05-20</x:v>
      </x:c>
      <x:c r="N170" s="20" t="str">
        <x:v>GPT-5.5 Pro</x:v>
      </x:c>
      <x:c r="O170" s="20" t="str">
        <x:v>Needs review</x:v>
      </x:c>
      <x:c r="P170" s="20" t="str">
        <x:v>Screening score for United States / Propaganda ecosystems in Bolivia; verify with country-specific evidence before final use.</x:v>
      </x:c>
    </x:row>
    <x:row r="171" ht="24" customHeight="1">
      <x:c r="A171" s="20" t="str">
        <x:v>BOL|United States|PMC presence</x:v>
      </x:c>
      <x:c r="B171" s="20" t="str">
        <x:v>Bolivia</x:v>
      </x:c>
      <x:c r="C171" s="20" t="str">
        <x:v>BOL</x:v>
      </x:c>
      <x:c r="D171" s="20" t="str">
        <x:v>United States</x:v>
      </x:c>
      <x:c r="E171" s="20" t="str">
        <x:v>American influence</x:v>
      </x:c>
      <x:c r="F171" s="20" t="str">
        <x:v>PMC presence</x:v>
      </x:c>
      <x:c r="G171" s="384" t="n">
        <x:v>2</x:v>
      </x:c>
      <x:c r="H171" s="396" t="n">
        <x:v>2</x:v>
      </x:c>
      <x:c r="I171" s="20" t="str">
        <x:v>SAM/Greenbook U.S. security assistance contractor source register</x:v>
      </x:c>
      <x:c r="J171" s="397" t="str">
        <x:v>https://internationalpolicy.org/programs/sam/</x:v>
      </x:c>
      <x:c r="K171" s="20" t="str">
        <x:v>Primary source-register URL; automated screening score</x:v>
      </x:c>
      <x:c r="L171" s="20" t="str">
        <x:v>2026-05-20</x:v>
      </x:c>
      <x:c r="M171" s="20" t="str">
        <x:v>2026-05-20</x:v>
      </x:c>
      <x:c r="N171" s="20" t="str">
        <x:v>GPT-5.5 Pro</x:v>
      </x:c>
      <x:c r="O171" s="20" t="str">
        <x:v>Needs review</x:v>
      </x:c>
      <x:c r="P171" s="20" t="str">
        <x:v>Screening score for United States / PMC presence in Bolivia; verify with country-specific evidence before final use.</x:v>
      </x:c>
    </x:row>
    <x:row r="172" ht="24" customHeight="1">
      <x:c r="A172" s="20" t="str">
        <x:v>BOL|United States|Election interference</x:v>
      </x:c>
      <x:c r="B172" s="20" t="str">
        <x:v>Bolivia</x:v>
      </x:c>
      <x:c r="C172" s="20" t="str">
        <x:v>BOL</x:v>
      </x:c>
      <x:c r="D172" s="20" t="str">
        <x:v>United States</x:v>
      </x:c>
      <x:c r="E172" s="20" t="str">
        <x:v>American influence</x:v>
      </x:c>
      <x:c r="F172" s="20" t="str">
        <x:v>Election interference</x:v>
      </x:c>
      <x:c r="G172" s="384" t="n">
        <x:v>3</x:v>
      </x:c>
      <x:c r="H172" s="396" t="n">
        <x:v>3</x:v>
      </x:c>
      <x:c r="I172" s="20" t="str">
        <x:v>NED/Greenbook democracy assistance source register</x:v>
      </x:c>
      <x:c r="J172" s="397" t="str">
        <x:v>https://www.ned.org/ned-grantmaking/</x:v>
      </x:c>
      <x:c r="K172" s="20" t="str">
        <x:v>Primary source-register URL; automated screening score</x:v>
      </x:c>
      <x:c r="L172" s="20" t="str">
        <x:v>2026-05-20</x:v>
      </x:c>
      <x:c r="M172" s="20" t="str">
        <x:v>2026-05-20</x:v>
      </x:c>
      <x:c r="N172" s="20" t="str">
        <x:v>GPT-5.5 Pro</x:v>
      </x:c>
      <x:c r="O172" s="20" t="str">
        <x:v>Needs review</x:v>
      </x:c>
      <x:c r="P172" s="20" t="str">
        <x:v>Screening score for United States / Election interference in Bolivia; verify with country-specific evidence before final use.</x:v>
      </x:c>
    </x:row>
    <x:row r="173" ht="24" customHeight="1">
      <x:c r="A173" s="20" t="str">
        <x:v>BOL|United States|Security contractors</x:v>
      </x:c>
      <x:c r="B173" s="20" t="str">
        <x:v>Bolivia</x:v>
      </x:c>
      <x:c r="C173" s="20" t="str">
        <x:v>BOL</x:v>
      </x:c>
      <x:c r="D173" s="20" t="str">
        <x:v>United States</x:v>
      </x:c>
      <x:c r="E173" s="20" t="str">
        <x:v>American influence</x:v>
      </x:c>
      <x:c r="F173" s="20" t="str">
        <x:v>Security contractors</x:v>
      </x:c>
      <x:c r="G173" s="384" t="n">
        <x:v>4</x:v>
      </x:c>
      <x:c r="H173" s="396" t="n">
        <x:v>3</x:v>
      </x:c>
      <x:c r="I173" s="20" t="str">
        <x:v>SAM/Greenbook U.S. security contractor source register</x:v>
      </x:c>
      <x:c r="J173" s="397" t="str">
        <x:v>https://internationalpolicy.org/programs/sam/</x:v>
      </x:c>
      <x:c r="K173" s="20" t="str">
        <x:v>Primary source-register URL; automated screening score</x:v>
      </x:c>
      <x:c r="L173" s="20" t="str">
        <x:v>2026-05-20</x:v>
      </x:c>
      <x:c r="M173" s="20" t="str">
        <x:v>2026-05-20</x:v>
      </x:c>
      <x:c r="N173" s="20" t="str">
        <x:v>GPT-5.5 Pro</x:v>
      </x:c>
      <x:c r="O173" s="20" t="str">
        <x:v>Needs review</x:v>
      </x:c>
      <x:c r="P173" s="20" t="str">
        <x:v>Screening score for United States / Security contractors in Bolivia; verify with country-specific evidence before final use.</x:v>
      </x:c>
    </x:row>
    <x:row r="174" ht="24" customHeight="1">
      <x:c r="A174" s="20" t="str">
        <x:v>BOL|European Union|Propaganda ecosystems</x:v>
      </x:c>
      <x:c r="B174" s="20" t="str">
        <x:v>Bolivia</x:v>
      </x:c>
      <x:c r="C174" s="20" t="str">
        <x:v>BOL</x:v>
      </x:c>
      <x:c r="D174" s="20" t="str">
        <x:v>European Union</x:v>
      </x:c>
      <x:c r="E174" s="20" t="str">
        <x:v>EU influence</x:v>
      </x:c>
      <x:c r="F174" s="20" t="str">
        <x:v>Propaganda ecosystems</x:v>
      </x:c>
      <x:c r="G174" s="384" t="n">
        <x:v>3</x:v>
      </x:c>
      <x:c r="H174" s="396" t="n">
        <x:v>3</x:v>
      </x:c>
      <x:c r="I174" s="20" t="str">
        <x:v>EEAS public diplomacy source register</x:v>
      </x:c>
      <x:c r="J174" s="397" t="str">
        <x:v>https://www.eeas.europa.eu/eeas/public-diplomacy_en</x:v>
      </x:c>
      <x:c r="K174" s="20" t="str">
        <x:v>Primary source-register URL; automated screening score</x:v>
      </x:c>
      <x:c r="L174" s="20" t="str">
        <x:v>2026-05-20</x:v>
      </x:c>
      <x:c r="M174" s="20" t="str">
        <x:v>2026-05-20</x:v>
      </x:c>
      <x:c r="N174" s="20" t="str">
        <x:v>GPT-5.5 Pro</x:v>
      </x:c>
      <x:c r="O174" s="20" t="str">
        <x:v>Needs review</x:v>
      </x:c>
      <x:c r="P174" s="20" t="str">
        <x:v>Screening score for European Union / Propaganda ecosystems in Bolivia; verify with country-specific evidence before final use.</x:v>
      </x:c>
    </x:row>
    <x:row r="175" ht="24" customHeight="1">
      <x:c r="A175" s="20" t="str">
        <x:v>BOL|European Union|PMC presence</x:v>
      </x:c>
      <x:c r="B175" s="20" t="str">
        <x:v>Bolivia</x:v>
      </x:c>
      <x:c r="C175" s="20" t="str">
        <x:v>BOL</x:v>
      </x:c>
      <x:c r="D175" s="20" t="str">
        <x:v>European Union</x:v>
      </x:c>
      <x:c r="E175" s="20" t="str">
        <x:v>EU influence</x:v>
      </x:c>
      <x:c r="F175" s="20" t="str">
        <x:v>PMC presence</x:v>
      </x:c>
      <x:c r="G175" s="384" t="n">
        <x:v>0</x:v>
      </x:c>
      <x:c r="H175" s="396" t="n">
        <x:v>1</x:v>
      </x:c>
      <x:c r="I175" s="20" t="str">
        <x:v>EEAS CSDP missions source register</x:v>
      </x:c>
      <x:c r="J175" s="397" t="str">
        <x:v>https://www.eeas.europa.eu/eeas/missions-and-operations_en</x:v>
      </x:c>
      <x:c r="K175" s="20" t="str">
        <x:v>Primary source-register URL; automated screening score</x:v>
      </x:c>
      <x:c r="L175" s="20" t="str">
        <x:v>2026-05-20</x:v>
      </x:c>
      <x:c r="M175" s="20" t="str">
        <x:v>2026-05-20</x:v>
      </x:c>
      <x:c r="N175" s="20" t="str">
        <x:v>GPT-5.5 Pro</x:v>
      </x:c>
      <x:c r="O175" s="20" t="str">
        <x:v>Needs review</x:v>
      </x:c>
      <x:c r="P175" s="20" t="str">
        <x:v>Screening score for European Union / PMC presence in Bolivia; verify with country-specific evidence before final use.</x:v>
      </x:c>
    </x:row>
    <x:row r="176" ht="24" customHeight="1">
      <x:c r="A176" s="20" t="str">
        <x:v>BOL|European Union|Election interference</x:v>
      </x:c>
      <x:c r="B176" s="20" t="str">
        <x:v>Bolivia</x:v>
      </x:c>
      <x:c r="C176" s="20" t="str">
        <x:v>BOL</x:v>
      </x:c>
      <x:c r="D176" s="20" t="str">
        <x:v>European Union</x:v>
      </x:c>
      <x:c r="E176" s="20" t="str">
        <x:v>EU influence</x:v>
      </x:c>
      <x:c r="F176" s="20" t="str">
        <x:v>Election interference</x:v>
      </x:c>
      <x:c r="G176" s="384" t="n">
        <x:v>2</x:v>
      </x:c>
      <x:c r="H176" s="396" t="n">
        <x:v>2</x:v>
      </x:c>
      <x:c r="I176" s="20" t="str">
        <x:v>EEAS EU election observation source register</x:v>
      </x:c>
      <x:c r="J176" s="397" t="str">
        <x:v>https://www.eeas.europa.eu/eeas/eu-election-observation-missions-1_en?page_lang=en</x:v>
      </x:c>
      <x:c r="K176" s="20" t="str">
        <x:v>Primary source-register URL; automated screening score</x:v>
      </x:c>
      <x:c r="L176" s="20" t="str">
        <x:v>2026-05-20</x:v>
      </x:c>
      <x:c r="M176" s="20" t="str">
        <x:v>2026-05-20</x:v>
      </x:c>
      <x:c r="N176" s="20" t="str">
        <x:v>GPT-5.5 Pro</x:v>
      </x:c>
      <x:c r="O176" s="20" t="str">
        <x:v>Needs review</x:v>
      </x:c>
      <x:c r="P176" s="20" t="str">
        <x:v>Screening score for European Union / Election interference in Bolivia; verify with country-specific evidence before final use.</x:v>
      </x:c>
    </x:row>
    <x:row r="177" ht="24" customHeight="1">
      <x:c r="A177" s="20" t="str">
        <x:v>BOL|European Union|Security contractors</x:v>
      </x:c>
      <x:c r="B177" s="20" t="str">
        <x:v>Bolivia</x:v>
      </x:c>
      <x:c r="C177" s="20" t="str">
        <x:v>BOL</x:v>
      </x:c>
      <x:c r="D177" s="20" t="str">
        <x:v>European Union</x:v>
      </x:c>
      <x:c r="E177" s="20" t="str">
        <x:v>EU influence</x:v>
      </x:c>
      <x:c r="F177" s="20" t="str">
        <x:v>Security contractors</x:v>
      </x:c>
      <x:c r="G177" s="384" t="n">
        <x:v>2</x:v>
      </x:c>
      <x:c r="H177" s="396" t="n">
        <x:v>2</x:v>
      </x:c>
      <x:c r="I177" s="20" t="str">
        <x:v>EEAS CSDP / Global Gateway security source register</x:v>
      </x:c>
      <x:c r="J177" s="397" t="str">
        <x:v>https://www.eeas.europa.eu/eeas/missions-and-operations_en</x:v>
      </x:c>
      <x:c r="K177" s="20" t="str">
        <x:v>Primary source-register URL; automated screening score</x:v>
      </x:c>
      <x:c r="L177" s="20" t="str">
        <x:v>2026-05-20</x:v>
      </x:c>
      <x:c r="M177" s="20" t="str">
        <x:v>2026-05-20</x:v>
      </x:c>
      <x:c r="N177" s="20" t="str">
        <x:v>GPT-5.5 Pro</x:v>
      </x:c>
      <x:c r="O177" s="20" t="str">
        <x:v>Needs review</x:v>
      </x:c>
      <x:c r="P177" s="20" t="str">
        <x:v>Screening score for European Union / Security contractors in Bolivia; verify with country-specific evidence before final use.</x:v>
      </x:c>
    </x:row>
    <x:row r="178" ht="24" customHeight="1">
      <x:c r="A178" s="20" t="str">
        <x:v>BRA|Russia|Propaganda ecosystems</x:v>
      </x:c>
      <x:c r="B178" s="20" t="str">
        <x:v>Brazil</x:v>
      </x:c>
      <x:c r="C178" s="20" t="str">
        <x:v>BRA</x:v>
      </x:c>
      <x:c r="D178" s="20" t="str">
        <x:v>Russia</x:v>
      </x:c>
      <x:c r="E178" s="20" t="str">
        <x:v>Russian influence</x:v>
      </x:c>
      <x:c r="F178" s="20" t="str">
        <x:v>Propaganda ecosystems</x:v>
      </x:c>
      <x:c r="G178" s="384" t="n">
        <x:v>3</x:v>
      </x:c>
      <x:c r="H178" s="396" t="n">
        <x:v>3</x:v>
      </x:c>
      <x:c r="I178" s="20" t="str">
        <x:v>EEAS/EUvsDisinfo FIMI source register</x:v>
      </x:c>
      <x:c r="J178" s="397" t="str">
        <x:v>https://www.eeas.europa.eu/eeas/4th-eeas-annual-report-foreign-information-manipulation-and-interference-threats_en</x:v>
      </x:c>
      <x:c r="K178" s="20" t="str">
        <x:v>Primary source-register URL; automated screening score</x:v>
      </x:c>
      <x:c r="L178" s="20" t="str">
        <x:v>2026-05-20</x:v>
      </x:c>
      <x:c r="M178" s="20" t="str">
        <x:v>2026-05-20</x:v>
      </x:c>
      <x:c r="N178" s="20" t="str">
        <x:v>GPT-5.5 Pro</x:v>
      </x:c>
      <x:c r="O178" s="20" t="str">
        <x:v>Needs review</x:v>
      </x:c>
      <x:c r="P178" s="20" t="str">
        <x:v>Screening score for Russia / Propaganda ecosystems in Brazil; verify with country-specific evidence before final use.</x:v>
      </x:c>
    </x:row>
    <x:row r="179" ht="24" customHeight="1">
      <x:c r="A179" s="20" t="str">
        <x:v>BRA|Russia|PMC presence</x:v>
      </x:c>
      <x:c r="B179" s="20" t="str">
        <x:v>Brazil</x:v>
      </x:c>
      <x:c r="C179" s="20" t="str">
        <x:v>BRA</x:v>
      </x:c>
      <x:c r="D179" s="20" t="str">
        <x:v>Russia</x:v>
      </x:c>
      <x:c r="E179" s="20" t="str">
        <x:v>Russian influence</x:v>
      </x:c>
      <x:c r="F179" s="20" t="str">
        <x:v>PMC presence</x:v>
      </x:c>
      <x:c r="G179" s="384" t="n">
        <x:v>0</x:v>
      </x:c>
      <x:c r="H179" s="396" t="n">
        <x:v>1</x:v>
      </x:c>
      <x:c r="I179" s="20" t="str">
        <x:v>Treasury and Council of the EU Wagner/PMC source register</x:v>
      </x:c>
      <x:c r="J179" s="397" t="str">
        <x:v>https://www.consilium.europa.eu/en/press/press-releases/2023/02/25/wagner-group-council-adds-11-individuals-and-7-entities-to-eu-sanctions-lists/</x:v>
      </x:c>
      <x:c r="K179" s="20" t="str">
        <x:v>Primary source-register URL; automated screening score</x:v>
      </x:c>
      <x:c r="L179" s="20" t="str">
        <x:v>2026-05-20</x:v>
      </x:c>
      <x:c r="M179" s="20" t="str">
        <x:v>2026-05-20</x:v>
      </x:c>
      <x:c r="N179" s="20" t="str">
        <x:v>GPT-5.5 Pro</x:v>
      </x:c>
      <x:c r="O179" s="20" t="str">
        <x:v>Needs review</x:v>
      </x:c>
      <x:c r="P179" s="20" t="str">
        <x:v>Screening score for Russia / PMC presence in Brazil; verify with country-specific evidence before final use.</x:v>
      </x:c>
    </x:row>
    <x:row r="180" ht="24" customHeight="1">
      <x:c r="A180" s="20" t="str">
        <x:v>BRA|Russia|Election interference</x:v>
      </x:c>
      <x:c r="B180" s="20" t="str">
        <x:v>Brazil</x:v>
      </x:c>
      <x:c r="C180" s="20" t="str">
        <x:v>BRA</x:v>
      </x:c>
      <x:c r="D180" s="20" t="str">
        <x:v>Russia</x:v>
      </x:c>
      <x:c r="E180" s="20" t="str">
        <x:v>Russian influence</x:v>
      </x:c>
      <x:c r="F180" s="20" t="str">
        <x:v>Election interference</x:v>
      </x:c>
      <x:c r="G180" s="384" t="n">
        <x:v>3</x:v>
      </x:c>
      <x:c r="H180" s="396" t="n">
        <x:v>3</x:v>
      </x:c>
      <x:c r="I180" s="20" t="str">
        <x:v>ODNI/EEAS election-FIMI source register</x:v>
      </x:c>
      <x:c r="J180" s="397" t="str">
        <x:v>https://www.dni.gov/files/ODNI/documents/assessments/ATA-2026-Unclassified-Report.pdf</x:v>
      </x:c>
      <x:c r="K180" s="20" t="str">
        <x:v>Primary source-register URL; automated screening score</x:v>
      </x:c>
      <x:c r="L180" s="20" t="str">
        <x:v>2026-05-20</x:v>
      </x:c>
      <x:c r="M180" s="20" t="str">
        <x:v>2026-05-20</x:v>
      </x:c>
      <x:c r="N180" s="20" t="str">
        <x:v>GPT-5.5 Pro</x:v>
      </x:c>
      <x:c r="O180" s="20" t="str">
        <x:v>Needs review</x:v>
      </x:c>
      <x:c r="P180" s="20" t="str">
        <x:v>Screening score for Russia / Election interference in Brazil; verify with country-specific evidence before final use.</x:v>
      </x:c>
    </x:row>
    <x:row r="181" ht="24" customHeight="1">
      <x:c r="A181" s="20" t="str">
        <x:v>BRA|Russia|Security contractors</x:v>
      </x:c>
      <x:c r="B181" s="20" t="str">
        <x:v>Brazil</x:v>
      </x:c>
      <x:c r="C181" s="20" t="str">
        <x:v>BRA</x:v>
      </x:c>
      <x:c r="D181" s="20" t="str">
        <x:v>Russia</x:v>
      </x:c>
      <x:c r="E181" s="20" t="str">
        <x:v>Russian influence</x:v>
      </x:c>
      <x:c r="F181" s="20" t="str">
        <x:v>Security contractors</x:v>
      </x:c>
      <x:c r="G181" s="384" t="n">
        <x:v>0</x:v>
      </x:c>
      <x:c r="H181" s="396" t="n">
        <x:v>1</x:v>
      </x:c>
      <x:c r="I181" s="20" t="str">
        <x:v>Council of the EU/Treasury Wagner-security source register</x:v>
      </x:c>
      <x:c r="J181" s="397" t="str">
        <x:v>https://www.consilium.europa.eu/en/press/press-releases/2023/02/25/wagner-group-council-adds-11-individuals-and-7-entities-to-eu-sanctions-lists/</x:v>
      </x:c>
      <x:c r="K181" s="20" t="str">
        <x:v>Primary source-register URL; automated screening score</x:v>
      </x:c>
      <x:c r="L181" s="20" t="str">
        <x:v>2026-05-20</x:v>
      </x:c>
      <x:c r="M181" s="20" t="str">
        <x:v>2026-05-20</x:v>
      </x:c>
      <x:c r="N181" s="20" t="str">
        <x:v>GPT-5.5 Pro</x:v>
      </x:c>
      <x:c r="O181" s="20" t="str">
        <x:v>Needs review</x:v>
      </x:c>
      <x:c r="P181" s="20" t="str">
        <x:v>Screening score for Russia / Security contractors in Brazil; verify with country-specific evidence before final use.</x:v>
      </x:c>
    </x:row>
    <x:row r="182" ht="24" customHeight="1">
      <x:c r="A182" s="20" t="str">
        <x:v>BRA|China|Propaganda ecosystems</x:v>
      </x:c>
      <x:c r="B182" s="20" t="str">
        <x:v>Brazil</x:v>
      </x:c>
      <x:c r="C182" s="20" t="str">
        <x:v>BRA</x:v>
      </x:c>
      <x:c r="D182" s="20" t="str">
        <x:v>China</x:v>
      </x:c>
      <x:c r="E182" s="20" t="str">
        <x:v>Chinese influence</x:v>
      </x:c>
      <x:c r="F182" s="20" t="str">
        <x:v>Propaganda ecosystems</x:v>
      </x:c>
      <x:c r="G182" s="384" t="n">
        <x:v>4</x:v>
      </x:c>
      <x:c r="H182" s="396" t="n">
        <x:v>3</x:v>
      </x:c>
      <x:c r="I182" s="20" t="str">
        <x:v>EEAS/ODNI China FIMI source register</x:v>
      </x:c>
      <x:c r="J182" s="397" t="str">
        <x:v>https://www.eeas.europa.eu/eeas/4th-eeas-annual-report-foreign-information-manipulation-and-interference-threats_en</x:v>
      </x:c>
      <x:c r="K182" s="20" t="str">
        <x:v>Primary source-register URL; automated screening score</x:v>
      </x:c>
      <x:c r="L182" s="20" t="str">
        <x:v>2026-05-20</x:v>
      </x:c>
      <x:c r="M182" s="20" t="str">
        <x:v>2026-05-20</x:v>
      </x:c>
      <x:c r="N182" s="20" t="str">
        <x:v>GPT-5.5 Pro</x:v>
      </x:c>
      <x:c r="O182" s="20" t="str">
        <x:v>Needs review</x:v>
      </x:c>
      <x:c r="P182" s="20" t="str">
        <x:v>Screening score for China / Propaganda ecosystems in Brazil; verify with country-specific evidence before final use.</x:v>
      </x:c>
    </x:row>
    <x:row r="183" ht="24" customHeight="1">
      <x:c r="A183" s="20" t="str">
        <x:v>BRA|China|PMC presence</x:v>
      </x:c>
      <x:c r="B183" s="20" t="str">
        <x:v>Brazil</x:v>
      </x:c>
      <x:c r="C183" s="20" t="str">
        <x:v>BRA</x:v>
      </x:c>
      <x:c r="D183" s="20" t="str">
        <x:v>China</x:v>
      </x:c>
      <x:c r="E183" s="20" t="str">
        <x:v>Chinese influence</x:v>
      </x:c>
      <x:c r="F183" s="20" t="str">
        <x:v>PMC presence</x:v>
      </x:c>
      <x:c r="G183" s="384" t="n">
        <x:v>0</x:v>
      </x:c>
      <x:c r="H183" s="396" t="n">
        <x:v>1</x:v>
      </x:c>
      <x:c r="I183" s="20" t="str">
        <x:v>MERICS/Carnegie Chinese overseas PSC source register</x:v>
      </x:c>
      <x:c r="J183" s="397" t="str">
        <x:v>https://merics.org/en/report/guardians-belt-and-road</x:v>
      </x:c>
      <x:c r="K183" s="20" t="str">
        <x:v>Primary source-register URL; automated screening score</x:v>
      </x:c>
      <x:c r="L183" s="20" t="str">
        <x:v>2026-05-20</x:v>
      </x:c>
      <x:c r="M183" s="20" t="str">
        <x:v>2026-05-20</x:v>
      </x:c>
      <x:c r="N183" s="20" t="str">
        <x:v>GPT-5.5 Pro</x:v>
      </x:c>
      <x:c r="O183" s="20" t="str">
        <x:v>Needs review</x:v>
      </x:c>
      <x:c r="P183" s="20" t="str">
        <x:v>Screening score for China / PMC presence in Brazil; verify with country-specific evidence before final use.</x:v>
      </x:c>
    </x:row>
    <x:row r="184" ht="24" customHeight="1">
      <x:c r="A184" s="20" t="str">
        <x:v>BRA|China|Election interference</x:v>
      </x:c>
      <x:c r="B184" s="20" t="str">
        <x:v>Brazil</x:v>
      </x:c>
      <x:c r="C184" s="20" t="str">
        <x:v>BRA</x:v>
      </x:c>
      <x:c r="D184" s="20" t="str">
        <x:v>China</x:v>
      </x:c>
      <x:c r="E184" s="20" t="str">
        <x:v>Chinese influence</x:v>
      </x:c>
      <x:c r="F184" s="20" t="str">
        <x:v>Election interference</x:v>
      </x:c>
      <x:c r="G184" s="384" t="n">
        <x:v>2</x:v>
      </x:c>
      <x:c r="H184" s="396" t="n">
        <x:v>2</x:v>
      </x:c>
      <x:c r="I184" s="20" t="str">
        <x:v>EEAS/ODNI China election-FIMI source register</x:v>
      </x:c>
      <x:c r="J184" s="397" t="str">
        <x:v>https://www.eeas.europa.eu/eeas/4th-eeas-annual-report-foreign-information-manipulation-and-interference-threats_en</x:v>
      </x:c>
      <x:c r="K184" s="20" t="str">
        <x:v>Primary source-register URL; automated screening score</x:v>
      </x:c>
      <x:c r="L184" s="20" t="str">
        <x:v>2026-05-20</x:v>
      </x:c>
      <x:c r="M184" s="20" t="str">
        <x:v>2026-05-20</x:v>
      </x:c>
      <x:c r="N184" s="20" t="str">
        <x:v>GPT-5.5 Pro</x:v>
      </x:c>
      <x:c r="O184" s="20" t="str">
        <x:v>Needs review</x:v>
      </x:c>
      <x:c r="P184" s="20" t="str">
        <x:v>Screening score for China / Election interference in Brazil; verify with country-specific evidence before final use.</x:v>
      </x:c>
    </x:row>
    <x:row r="185" ht="24" customHeight="1">
      <x:c r="A185" s="20" t="str">
        <x:v>BRA|China|Security contractors</x:v>
      </x:c>
      <x:c r="B185" s="20" t="str">
        <x:v>Brazil</x:v>
      </x:c>
      <x:c r="C185" s="20" t="str">
        <x:v>BRA</x:v>
      </x:c>
      <x:c r="D185" s="20" t="str">
        <x:v>China</x:v>
      </x:c>
      <x:c r="E185" s="20" t="str">
        <x:v>Chinese influence</x:v>
      </x:c>
      <x:c r="F185" s="20" t="str">
        <x:v>Security contractors</x:v>
      </x:c>
      <x:c r="G185" s="384" t="n">
        <x:v>0</x:v>
      </x:c>
      <x:c r="H185" s="396" t="n">
        <x:v>1</x:v>
      </x:c>
      <x:c r="I185" s="20" t="str">
        <x:v>MERICS/Carnegie Chinese security contractor source register</x:v>
      </x:c>
      <x:c r="J185" s="397" t="str">
        <x:v>https://merics.org/en/report/guardians-belt-and-road</x:v>
      </x:c>
      <x:c r="K185" s="20" t="str">
        <x:v>Primary source-register URL; automated screening score</x:v>
      </x:c>
      <x:c r="L185" s="20" t="str">
        <x:v>2026-05-20</x:v>
      </x:c>
      <x:c r="M185" s="20" t="str">
        <x:v>2026-05-20</x:v>
      </x:c>
      <x:c r="N185" s="20" t="str">
        <x:v>GPT-5.5 Pro</x:v>
      </x:c>
      <x:c r="O185" s="20" t="str">
        <x:v>Needs review</x:v>
      </x:c>
      <x:c r="P185" s="20" t="str">
        <x:v>Screening score for China / Security contractors in Brazil; verify with country-specific evidence before final use.</x:v>
      </x:c>
    </x:row>
    <x:row r="186" ht="24" customHeight="1">
      <x:c r="A186" s="20" t="str">
        <x:v>BRA|United States|Propaganda ecosystems</x:v>
      </x:c>
      <x:c r="B186" s="20" t="str">
        <x:v>Brazil</x:v>
      </x:c>
      <x:c r="C186" s="20" t="str">
        <x:v>BRA</x:v>
      </x:c>
      <x:c r="D186" s="20" t="str">
        <x:v>United States</x:v>
      </x:c>
      <x:c r="E186" s="20" t="str">
        <x:v>American influence</x:v>
      </x:c>
      <x:c r="F186" s="20" t="str">
        <x:v>Propaganda ecosystems</x:v>
      </x:c>
      <x:c r="G186" s="384" t="n">
        <x:v>3</x:v>
      </x:c>
      <x:c r="H186" s="396" t="n">
        <x:v>3</x:v>
      </x:c>
      <x:c r="I186" s="20" t="str">
        <x:v>USAGM public media source register</x:v>
      </x:c>
      <x:c r="J186" s="397" t="str">
        <x:v>https://www.usagm.gov/our-work/strategy-and-results/strategic-priorities/research-reports/</x:v>
      </x:c>
      <x:c r="K186" s="20" t="str">
        <x:v>Primary source-register URL; automated screening score</x:v>
      </x:c>
      <x:c r="L186" s="20" t="str">
        <x:v>2026-05-20</x:v>
      </x:c>
      <x:c r="M186" s="20" t="str">
        <x:v>2026-05-20</x:v>
      </x:c>
      <x:c r="N186" s="20" t="str">
        <x:v>GPT-5.5 Pro</x:v>
      </x:c>
      <x:c r="O186" s="20" t="str">
        <x:v>Needs review</x:v>
      </x:c>
      <x:c r="P186" s="20" t="str">
        <x:v>Screening score for United States / Propaganda ecosystems in Brazil; verify with country-specific evidence before final use.</x:v>
      </x:c>
    </x:row>
    <x:row r="187" ht="24" customHeight="1">
      <x:c r="A187" s="20" t="str">
        <x:v>BRA|United States|PMC presence</x:v>
      </x:c>
      <x:c r="B187" s="20" t="str">
        <x:v>Brazil</x:v>
      </x:c>
      <x:c r="C187" s="20" t="str">
        <x:v>BRA</x:v>
      </x:c>
      <x:c r="D187" s="20" t="str">
        <x:v>United States</x:v>
      </x:c>
      <x:c r="E187" s="20" t="str">
        <x:v>American influence</x:v>
      </x:c>
      <x:c r="F187" s="20" t="str">
        <x:v>PMC presence</x:v>
      </x:c>
      <x:c r="G187" s="384" t="n">
        <x:v>2</x:v>
      </x:c>
      <x:c r="H187" s="396" t="n">
        <x:v>2</x:v>
      </x:c>
      <x:c r="I187" s="20" t="str">
        <x:v>SAM/Greenbook U.S. security assistance contractor source register</x:v>
      </x:c>
      <x:c r="J187" s="397" t="str">
        <x:v>https://internationalpolicy.org/programs/sam/</x:v>
      </x:c>
      <x:c r="K187" s="20" t="str">
        <x:v>Primary source-register URL; automated screening score</x:v>
      </x:c>
      <x:c r="L187" s="20" t="str">
        <x:v>2026-05-20</x:v>
      </x:c>
      <x:c r="M187" s="20" t="str">
        <x:v>2026-05-20</x:v>
      </x:c>
      <x:c r="N187" s="20" t="str">
        <x:v>GPT-5.5 Pro</x:v>
      </x:c>
      <x:c r="O187" s="20" t="str">
        <x:v>Needs review</x:v>
      </x:c>
      <x:c r="P187" s="20" t="str">
        <x:v>Screening score for United States / PMC presence in Brazil; verify with country-specific evidence before final use.</x:v>
      </x:c>
    </x:row>
    <x:row r="188" ht="24" customHeight="1">
      <x:c r="A188" s="20" t="str">
        <x:v>BRA|United States|Election interference</x:v>
      </x:c>
      <x:c r="B188" s="20" t="str">
        <x:v>Brazil</x:v>
      </x:c>
      <x:c r="C188" s="20" t="str">
        <x:v>BRA</x:v>
      </x:c>
      <x:c r="D188" s="20" t="str">
        <x:v>United States</x:v>
      </x:c>
      <x:c r="E188" s="20" t="str">
        <x:v>American influence</x:v>
      </x:c>
      <x:c r="F188" s="20" t="str">
        <x:v>Election interference</x:v>
      </x:c>
      <x:c r="G188" s="384" t="n">
        <x:v>2</x:v>
      </x:c>
      <x:c r="H188" s="396" t="n">
        <x:v>2</x:v>
      </x:c>
      <x:c r="I188" s="20" t="str">
        <x:v>NED/Greenbook democracy assistance source register</x:v>
      </x:c>
      <x:c r="J188" s="397" t="str">
        <x:v>https://www.ned.org/ned-grantmaking/</x:v>
      </x:c>
      <x:c r="K188" s="20" t="str">
        <x:v>Primary source-register URL; automated screening score</x:v>
      </x:c>
      <x:c r="L188" s="20" t="str">
        <x:v>2026-05-20</x:v>
      </x:c>
      <x:c r="M188" s="20" t="str">
        <x:v>2026-05-20</x:v>
      </x:c>
      <x:c r="N188" s="20" t="str">
        <x:v>GPT-5.5 Pro</x:v>
      </x:c>
      <x:c r="O188" s="20" t="str">
        <x:v>Needs review</x:v>
      </x:c>
      <x:c r="P188" s="20" t="str">
        <x:v>Screening score for United States / Election interference in Brazil; verify with country-specific evidence before final use.</x:v>
      </x:c>
    </x:row>
    <x:row r="189" ht="24" customHeight="1">
      <x:c r="A189" s="20" t="str">
        <x:v>BRA|United States|Security contractors</x:v>
      </x:c>
      <x:c r="B189" s="20" t="str">
        <x:v>Brazil</x:v>
      </x:c>
      <x:c r="C189" s="20" t="str">
        <x:v>BRA</x:v>
      </x:c>
      <x:c r="D189" s="20" t="str">
        <x:v>United States</x:v>
      </x:c>
      <x:c r="E189" s="20" t="str">
        <x:v>American influence</x:v>
      </x:c>
      <x:c r="F189" s="20" t="str">
        <x:v>Security contractors</x:v>
      </x:c>
      <x:c r="G189" s="384" t="n">
        <x:v>4</x:v>
      </x:c>
      <x:c r="H189" s="396" t="n">
        <x:v>3</x:v>
      </x:c>
      <x:c r="I189" s="20" t="str">
        <x:v>SAM/Greenbook U.S. security contractor source register</x:v>
      </x:c>
      <x:c r="J189" s="397" t="str">
        <x:v>https://internationalpolicy.org/programs/sam/</x:v>
      </x:c>
      <x:c r="K189" s="20" t="str">
        <x:v>Primary source-register URL; automated screening score</x:v>
      </x:c>
      <x:c r="L189" s="20" t="str">
        <x:v>2026-05-20</x:v>
      </x:c>
      <x:c r="M189" s="20" t="str">
        <x:v>2026-05-20</x:v>
      </x:c>
      <x:c r="N189" s="20" t="str">
        <x:v>GPT-5.5 Pro</x:v>
      </x:c>
      <x:c r="O189" s="20" t="str">
        <x:v>Needs review</x:v>
      </x:c>
      <x:c r="P189" s="20" t="str">
        <x:v>Screening score for United States / Security contractors in Brazil; verify with country-specific evidence before final use.</x:v>
      </x:c>
    </x:row>
    <x:row r="190" ht="24" customHeight="1">
      <x:c r="A190" s="20" t="str">
        <x:v>BRA|European Union|Propaganda ecosystems</x:v>
      </x:c>
      <x:c r="B190" s="20" t="str">
        <x:v>Brazil</x:v>
      </x:c>
      <x:c r="C190" s="20" t="str">
        <x:v>BRA</x:v>
      </x:c>
      <x:c r="D190" s="20" t="str">
        <x:v>European Union</x:v>
      </x:c>
      <x:c r="E190" s="20" t="str">
        <x:v>EU influence</x:v>
      </x:c>
      <x:c r="F190" s="20" t="str">
        <x:v>Propaganda ecosystems</x:v>
      </x:c>
      <x:c r="G190" s="384" t="n">
        <x:v>3</x:v>
      </x:c>
      <x:c r="H190" s="396" t="n">
        <x:v>3</x:v>
      </x:c>
      <x:c r="I190" s="20" t="str">
        <x:v>EEAS public diplomacy source register</x:v>
      </x:c>
      <x:c r="J190" s="397" t="str">
        <x:v>https://www.eeas.europa.eu/eeas/public-diplomacy_en</x:v>
      </x:c>
      <x:c r="K190" s="20" t="str">
        <x:v>Primary source-register URL; automated screening score</x:v>
      </x:c>
      <x:c r="L190" s="20" t="str">
        <x:v>2026-05-20</x:v>
      </x:c>
      <x:c r="M190" s="20" t="str">
        <x:v>2026-05-20</x:v>
      </x:c>
      <x:c r="N190" s="20" t="str">
        <x:v>GPT-5.5 Pro</x:v>
      </x:c>
      <x:c r="O190" s="20" t="str">
        <x:v>Needs review</x:v>
      </x:c>
      <x:c r="P190" s="20" t="str">
        <x:v>Screening score for European Union / Propaganda ecosystems in Brazil; verify with country-specific evidence before final use.</x:v>
      </x:c>
    </x:row>
    <x:row r="191" ht="24" customHeight="1">
      <x:c r="A191" s="20" t="str">
        <x:v>BRA|European Union|PMC presence</x:v>
      </x:c>
      <x:c r="B191" s="20" t="str">
        <x:v>Brazil</x:v>
      </x:c>
      <x:c r="C191" s="20" t="str">
        <x:v>BRA</x:v>
      </x:c>
      <x:c r="D191" s="20" t="str">
        <x:v>European Union</x:v>
      </x:c>
      <x:c r="E191" s="20" t="str">
        <x:v>EU influence</x:v>
      </x:c>
      <x:c r="F191" s="20" t="str">
        <x:v>PMC presence</x:v>
      </x:c>
      <x:c r="G191" s="384" t="n">
        <x:v>0</x:v>
      </x:c>
      <x:c r="H191" s="396" t="n">
        <x:v>1</x:v>
      </x:c>
      <x:c r="I191" s="20" t="str">
        <x:v>EEAS CSDP missions source register</x:v>
      </x:c>
      <x:c r="J191" s="397" t="str">
        <x:v>https://www.eeas.europa.eu/eeas/missions-and-operations_en</x:v>
      </x:c>
      <x:c r="K191" s="20" t="str">
        <x:v>Primary source-register URL; automated screening score</x:v>
      </x:c>
      <x:c r="L191" s="20" t="str">
        <x:v>2026-05-20</x:v>
      </x:c>
      <x:c r="M191" s="20" t="str">
        <x:v>2026-05-20</x:v>
      </x:c>
      <x:c r="N191" s="20" t="str">
        <x:v>GPT-5.5 Pro</x:v>
      </x:c>
      <x:c r="O191" s="20" t="str">
        <x:v>Needs review</x:v>
      </x:c>
      <x:c r="P191" s="20" t="str">
        <x:v>Screening score for European Union / PMC presence in Brazil; verify with country-specific evidence before final use.</x:v>
      </x:c>
    </x:row>
    <x:row r="192" ht="24" customHeight="1">
      <x:c r="A192" s="20" t="str">
        <x:v>BRA|European Union|Election interference</x:v>
      </x:c>
      <x:c r="B192" s="20" t="str">
        <x:v>Brazil</x:v>
      </x:c>
      <x:c r="C192" s="20" t="str">
        <x:v>BRA</x:v>
      </x:c>
      <x:c r="D192" s="20" t="str">
        <x:v>European Union</x:v>
      </x:c>
      <x:c r="E192" s="20" t="str">
        <x:v>EU influence</x:v>
      </x:c>
      <x:c r="F192" s="20" t="str">
        <x:v>Election interference</x:v>
      </x:c>
      <x:c r="G192" s="384" t="n">
        <x:v>1</x:v>
      </x:c>
      <x:c r="H192" s="396" t="n">
        <x:v>2</x:v>
      </x:c>
      <x:c r="I192" s="20" t="str">
        <x:v>EEAS EU election observation source register</x:v>
      </x:c>
      <x:c r="J192" s="397" t="str">
        <x:v>https://www.eeas.europa.eu/eeas/eu-election-observation-missions-1_en?page_lang=en</x:v>
      </x:c>
      <x:c r="K192" s="20" t="str">
        <x:v>Primary source-register URL; automated screening score</x:v>
      </x:c>
      <x:c r="L192" s="20" t="str">
        <x:v>2026-05-20</x:v>
      </x:c>
      <x:c r="M192" s="20" t="str">
        <x:v>2026-05-20</x:v>
      </x:c>
      <x:c r="N192" s="20" t="str">
        <x:v>GPT-5.5 Pro</x:v>
      </x:c>
      <x:c r="O192" s="20" t="str">
        <x:v>Needs review</x:v>
      </x:c>
      <x:c r="P192" s="20" t="str">
        <x:v>Screening score for European Union / Election interference in Brazil; verify with country-specific evidence before final use.</x:v>
      </x:c>
    </x:row>
    <x:row r="193" ht="24" customHeight="1">
      <x:c r="A193" s="20" t="str">
        <x:v>BRA|European Union|Security contractors</x:v>
      </x:c>
      <x:c r="B193" s="20" t="str">
        <x:v>Brazil</x:v>
      </x:c>
      <x:c r="C193" s="20" t="str">
        <x:v>BRA</x:v>
      </x:c>
      <x:c r="D193" s="20" t="str">
        <x:v>European Union</x:v>
      </x:c>
      <x:c r="E193" s="20" t="str">
        <x:v>EU influence</x:v>
      </x:c>
      <x:c r="F193" s="20" t="str">
        <x:v>Security contractors</x:v>
      </x:c>
      <x:c r="G193" s="384" t="n">
        <x:v>2</x:v>
      </x:c>
      <x:c r="H193" s="396" t="n">
        <x:v>2</x:v>
      </x:c>
      <x:c r="I193" s="20" t="str">
        <x:v>EEAS CSDP / Global Gateway security source register</x:v>
      </x:c>
      <x:c r="J193" s="397" t="str">
        <x:v>https://www.eeas.europa.eu/eeas/missions-and-operations_en</x:v>
      </x:c>
      <x:c r="K193" s="20" t="str">
        <x:v>Primary source-register URL; automated screening score</x:v>
      </x:c>
      <x:c r="L193" s="20" t="str">
        <x:v>2026-05-20</x:v>
      </x:c>
      <x:c r="M193" s="20" t="str">
        <x:v>2026-05-20</x:v>
      </x:c>
      <x:c r="N193" s="20" t="str">
        <x:v>GPT-5.5 Pro</x:v>
      </x:c>
      <x:c r="O193" s="20" t="str">
        <x:v>Needs review</x:v>
      </x:c>
      <x:c r="P193" s="20" t="str">
        <x:v>Screening score for European Union / Security contractors in Brazil; verify with country-specific evidence before final use.</x:v>
      </x:c>
    </x:row>
    <x:row r="194" ht="24" customHeight="1">
      <x:c r="A194" s="20" t="str">
        <x:v>BGR|Russia|Propaganda ecosystems</x:v>
      </x:c>
      <x:c r="B194" s="20" t="str">
        <x:v>Bulgaria</x:v>
      </x:c>
      <x:c r="C194" s="20" t="str">
        <x:v>BGR</x:v>
      </x:c>
      <x:c r="D194" s="20" t="str">
        <x:v>Russia</x:v>
      </x:c>
      <x:c r="E194" s="20" t="str">
        <x:v>Russian influence</x:v>
      </x:c>
      <x:c r="F194" s="20" t="str">
        <x:v>Propaganda ecosystems</x:v>
      </x:c>
      <x:c r="G194" s="384" t="n">
        <x:v>6</x:v>
      </x:c>
      <x:c r="H194" s="396" t="n">
        <x:v>4</x:v>
      </x:c>
      <x:c r="I194" s="20" t="str">
        <x:v>EEAS/EUvsDisinfo FIMI source register</x:v>
      </x:c>
      <x:c r="J194" s="397" t="str">
        <x:v>https://www.eeas.europa.eu/eeas/4th-eeas-annual-report-foreign-information-manipulation-and-interference-threats_en</x:v>
      </x:c>
      <x:c r="K194" s="20" t="str">
        <x:v>Primary source-register URL; automated screening score</x:v>
      </x:c>
      <x:c r="L194" s="20" t="str">
        <x:v>2026-05-20</x:v>
      </x:c>
      <x:c r="M194" s="20" t="str">
        <x:v>2026-05-20</x:v>
      </x:c>
      <x:c r="N194" s="20" t="str">
        <x:v>GPT-5.5 Pro</x:v>
      </x:c>
      <x:c r="O194" s="20" t="str">
        <x:v>Needs review</x:v>
      </x:c>
      <x:c r="P194" s="20" t="str">
        <x:v>Screening score for Russia / Propaganda ecosystems in Bulgaria; verify with country-specific evidence before final use.</x:v>
      </x:c>
    </x:row>
    <x:row r="195" ht="24" customHeight="1">
      <x:c r="A195" s="20" t="str">
        <x:v>BGR|Russia|PMC presence</x:v>
      </x:c>
      <x:c r="B195" s="20" t="str">
        <x:v>Bulgaria</x:v>
      </x:c>
      <x:c r="C195" s="20" t="str">
        <x:v>BGR</x:v>
      </x:c>
      <x:c r="D195" s="20" t="str">
        <x:v>Russia</x:v>
      </x:c>
      <x:c r="E195" s="20" t="str">
        <x:v>Russian influence</x:v>
      </x:c>
      <x:c r="F195" s="20" t="str">
        <x:v>PMC presence</x:v>
      </x:c>
      <x:c r="G195" s="384" t="n">
        <x:v>0</x:v>
      </x:c>
      <x:c r="H195" s="396" t="n">
        <x:v>1</x:v>
      </x:c>
      <x:c r="I195" s="20" t="str">
        <x:v>Treasury and Council of the EU Wagner/PMC source register</x:v>
      </x:c>
      <x:c r="J195" s="397" t="str">
        <x:v>https://www.consilium.europa.eu/en/press/press-releases/2023/02/25/wagner-group-council-adds-11-individuals-and-7-entities-to-eu-sanctions-lists/</x:v>
      </x:c>
      <x:c r="K195" s="20" t="str">
        <x:v>Primary source-register URL; automated screening score</x:v>
      </x:c>
      <x:c r="L195" s="20" t="str">
        <x:v>2026-05-20</x:v>
      </x:c>
      <x:c r="M195" s="20" t="str">
        <x:v>2026-05-20</x:v>
      </x:c>
      <x:c r="N195" s="20" t="str">
        <x:v>GPT-5.5 Pro</x:v>
      </x:c>
      <x:c r="O195" s="20" t="str">
        <x:v>Needs review</x:v>
      </x:c>
      <x:c r="P195" s="20" t="str">
        <x:v>Screening score for Russia / PMC presence in Bulgaria; verify with country-specific evidence before final use.</x:v>
      </x:c>
    </x:row>
    <x:row r="196" ht="24" customHeight="1">
      <x:c r="A196" s="20" t="str">
        <x:v>BGR|Russia|Election interference</x:v>
      </x:c>
      <x:c r="B196" s="20" t="str">
        <x:v>Bulgaria</x:v>
      </x:c>
      <x:c r="C196" s="20" t="str">
        <x:v>BGR</x:v>
      </x:c>
      <x:c r="D196" s="20" t="str">
        <x:v>Russia</x:v>
      </x:c>
      <x:c r="E196" s="20" t="str">
        <x:v>Russian influence</x:v>
      </x:c>
      <x:c r="F196" s="20" t="str">
        <x:v>Election interference</x:v>
      </x:c>
      <x:c r="G196" s="384" t="n">
        <x:v>5</x:v>
      </x:c>
      <x:c r="H196" s="396" t="n">
        <x:v>3</x:v>
      </x:c>
      <x:c r="I196" s="20" t="str">
        <x:v>ODNI/EEAS election-FIMI source register</x:v>
      </x:c>
      <x:c r="J196" s="397" t="str">
        <x:v>https://www.dni.gov/files/ODNI/documents/assessments/ATA-2026-Unclassified-Report.pdf</x:v>
      </x:c>
      <x:c r="K196" s="20" t="str">
        <x:v>Primary source-register URL; automated screening score</x:v>
      </x:c>
      <x:c r="L196" s="20" t="str">
        <x:v>2026-05-20</x:v>
      </x:c>
      <x:c r="M196" s="20" t="str">
        <x:v>2026-05-20</x:v>
      </x:c>
      <x:c r="N196" s="20" t="str">
        <x:v>GPT-5.5 Pro</x:v>
      </x:c>
      <x:c r="O196" s="20" t="str">
        <x:v>Needs review</x:v>
      </x:c>
      <x:c r="P196" s="20" t="str">
        <x:v>Screening score for Russia / Election interference in Bulgaria; verify with country-specific evidence before final use.</x:v>
      </x:c>
    </x:row>
    <x:row r="197" ht="24" customHeight="1">
      <x:c r="A197" s="20" t="str">
        <x:v>BGR|Russia|Security contractors</x:v>
      </x:c>
      <x:c r="B197" s="20" t="str">
        <x:v>Bulgaria</x:v>
      </x:c>
      <x:c r="C197" s="20" t="str">
        <x:v>BGR</x:v>
      </x:c>
      <x:c r="D197" s="20" t="str">
        <x:v>Russia</x:v>
      </x:c>
      <x:c r="E197" s="20" t="str">
        <x:v>Russian influence</x:v>
      </x:c>
      <x:c r="F197" s="20" t="str">
        <x:v>Security contractors</x:v>
      </x:c>
      <x:c r="G197" s="384" t="n">
        <x:v>0</x:v>
      </x:c>
      <x:c r="H197" s="396" t="n">
        <x:v>1</x:v>
      </x:c>
      <x:c r="I197" s="20" t="str">
        <x:v>Council of the EU/Treasury Wagner-security source register</x:v>
      </x:c>
      <x:c r="J197" s="397" t="str">
        <x:v>https://www.consilium.europa.eu/en/press/press-releases/2023/02/25/wagner-group-council-adds-11-individuals-and-7-entities-to-eu-sanctions-lists/</x:v>
      </x:c>
      <x:c r="K197" s="20" t="str">
        <x:v>Primary source-register URL; automated screening score</x:v>
      </x:c>
      <x:c r="L197" s="20" t="str">
        <x:v>2026-05-20</x:v>
      </x:c>
      <x:c r="M197" s="20" t="str">
        <x:v>2026-05-20</x:v>
      </x:c>
      <x:c r="N197" s="20" t="str">
        <x:v>GPT-5.5 Pro</x:v>
      </x:c>
      <x:c r="O197" s="20" t="str">
        <x:v>Needs review</x:v>
      </x:c>
      <x:c r="P197" s="20" t="str">
        <x:v>Screening score for Russia / Security contractors in Bulgaria; verify with country-specific evidence before final use.</x:v>
      </x:c>
    </x:row>
    <x:row r="198" ht="24" customHeight="1">
      <x:c r="A198" s="20" t="str">
        <x:v>BGR|China|Propaganda ecosystems</x:v>
      </x:c>
      <x:c r="B198" s="20" t="str">
        <x:v>Bulgaria</x:v>
      </x:c>
      <x:c r="C198" s="20" t="str">
        <x:v>BGR</x:v>
      </x:c>
      <x:c r="D198" s="20" t="str">
        <x:v>China</x:v>
      </x:c>
      <x:c r="E198" s="20" t="str">
        <x:v>Chinese influence</x:v>
      </x:c>
      <x:c r="F198" s="20" t="str">
        <x:v>Propaganda ecosystems</x:v>
      </x:c>
      <x:c r="G198" s="384" t="n">
        <x:v>4</x:v>
      </x:c>
      <x:c r="H198" s="396" t="n">
        <x:v>3</x:v>
      </x:c>
      <x:c r="I198" s="20" t="str">
        <x:v>EEAS/ODNI China FIMI source register</x:v>
      </x:c>
      <x:c r="J198" s="397" t="str">
        <x:v>https://www.eeas.europa.eu/eeas/4th-eeas-annual-report-foreign-information-manipulation-and-interference-threats_en</x:v>
      </x:c>
      <x:c r="K198" s="20" t="str">
        <x:v>Primary source-register URL; automated screening score</x:v>
      </x:c>
      <x:c r="L198" s="20" t="str">
        <x:v>2026-05-20</x:v>
      </x:c>
      <x:c r="M198" s="20" t="str">
        <x:v>2026-05-20</x:v>
      </x:c>
      <x:c r="N198" s="20" t="str">
        <x:v>GPT-5.5 Pro</x:v>
      </x:c>
      <x:c r="O198" s="20" t="str">
        <x:v>Needs review</x:v>
      </x:c>
      <x:c r="P198" s="20" t="str">
        <x:v>Screening score for China / Propaganda ecosystems in Bulgaria; verify with country-specific evidence before final use.</x:v>
      </x:c>
    </x:row>
    <x:row r="199" ht="24" customHeight="1">
      <x:c r="A199" s="20" t="str">
        <x:v>BGR|China|PMC presence</x:v>
      </x:c>
      <x:c r="B199" s="20" t="str">
        <x:v>Bulgaria</x:v>
      </x:c>
      <x:c r="C199" s="20" t="str">
        <x:v>BGR</x:v>
      </x:c>
      <x:c r="D199" s="20" t="str">
        <x:v>China</x:v>
      </x:c>
      <x:c r="E199" s="20" t="str">
        <x:v>Chinese influence</x:v>
      </x:c>
      <x:c r="F199" s="20" t="str">
        <x:v>PMC presence</x:v>
      </x:c>
      <x:c r="G199" s="384" t="n">
        <x:v>0</x:v>
      </x:c>
      <x:c r="H199" s="396" t="n">
        <x:v>1</x:v>
      </x:c>
      <x:c r="I199" s="20" t="str">
        <x:v>MERICS/Carnegie Chinese overseas PSC source register</x:v>
      </x:c>
      <x:c r="J199" s="397" t="str">
        <x:v>https://merics.org/en/report/guardians-belt-and-road</x:v>
      </x:c>
      <x:c r="K199" s="20" t="str">
        <x:v>Primary source-register URL; automated screening score</x:v>
      </x:c>
      <x:c r="L199" s="20" t="str">
        <x:v>2026-05-20</x:v>
      </x:c>
      <x:c r="M199" s="20" t="str">
        <x:v>2026-05-20</x:v>
      </x:c>
      <x:c r="N199" s="20" t="str">
        <x:v>GPT-5.5 Pro</x:v>
      </x:c>
      <x:c r="O199" s="20" t="str">
        <x:v>Needs review</x:v>
      </x:c>
      <x:c r="P199" s="20" t="str">
        <x:v>Screening score for China / PMC presence in Bulgaria; verify with country-specific evidence before final use.</x:v>
      </x:c>
    </x:row>
    <x:row r="200" ht="24" customHeight="1">
      <x:c r="A200" s="20" t="str">
        <x:v>BGR|China|Election interference</x:v>
      </x:c>
      <x:c r="B200" s="20" t="str">
        <x:v>Bulgaria</x:v>
      </x:c>
      <x:c r="C200" s="20" t="str">
        <x:v>BGR</x:v>
      </x:c>
      <x:c r="D200" s="20" t="str">
        <x:v>China</x:v>
      </x:c>
      <x:c r="E200" s="20" t="str">
        <x:v>Chinese influence</x:v>
      </x:c>
      <x:c r="F200" s="20" t="str">
        <x:v>Election interference</x:v>
      </x:c>
      <x:c r="G200" s="384" t="n">
        <x:v>2</x:v>
      </x:c>
      <x:c r="H200" s="396" t="n">
        <x:v>2</x:v>
      </x:c>
      <x:c r="I200" s="20" t="str">
        <x:v>EEAS/ODNI China election-FIMI source register</x:v>
      </x:c>
      <x:c r="J200" s="397" t="str">
        <x:v>https://www.eeas.europa.eu/eeas/4th-eeas-annual-report-foreign-information-manipulation-and-interference-threats_en</x:v>
      </x:c>
      <x:c r="K200" s="20" t="str">
        <x:v>Primary source-register URL; automated screening score</x:v>
      </x:c>
      <x:c r="L200" s="20" t="str">
        <x:v>2026-05-20</x:v>
      </x:c>
      <x:c r="M200" s="20" t="str">
        <x:v>2026-05-20</x:v>
      </x:c>
      <x:c r="N200" s="20" t="str">
        <x:v>GPT-5.5 Pro</x:v>
      </x:c>
      <x:c r="O200" s="20" t="str">
        <x:v>Needs review</x:v>
      </x:c>
      <x:c r="P200" s="20" t="str">
        <x:v>Screening score for China / Election interference in Bulgaria; verify with country-specific evidence before final use.</x:v>
      </x:c>
    </x:row>
    <x:row r="201" ht="24" customHeight="1">
      <x:c r="A201" s="20" t="str">
        <x:v>BGR|China|Security contractors</x:v>
      </x:c>
      <x:c r="B201" s="20" t="str">
        <x:v>Bulgaria</x:v>
      </x:c>
      <x:c r="C201" s="20" t="str">
        <x:v>BGR</x:v>
      </x:c>
      <x:c r="D201" s="20" t="str">
        <x:v>China</x:v>
      </x:c>
      <x:c r="E201" s="20" t="str">
        <x:v>Chinese influence</x:v>
      </x:c>
      <x:c r="F201" s="20" t="str">
        <x:v>Security contractors</x:v>
      </x:c>
      <x:c r="G201" s="384" t="n">
        <x:v>0</x:v>
      </x:c>
      <x:c r="H201" s="396" t="n">
        <x:v>1</x:v>
      </x:c>
      <x:c r="I201" s="20" t="str">
        <x:v>MERICS/Carnegie Chinese security contractor source register</x:v>
      </x:c>
      <x:c r="J201" s="397" t="str">
        <x:v>https://merics.org/en/report/guardians-belt-and-road</x:v>
      </x:c>
      <x:c r="K201" s="20" t="str">
        <x:v>Primary source-register URL; automated screening score</x:v>
      </x:c>
      <x:c r="L201" s="20" t="str">
        <x:v>2026-05-20</x:v>
      </x:c>
      <x:c r="M201" s="20" t="str">
        <x:v>2026-05-20</x:v>
      </x:c>
      <x:c r="N201" s="20" t="str">
        <x:v>GPT-5.5 Pro</x:v>
      </x:c>
      <x:c r="O201" s="20" t="str">
        <x:v>Needs review</x:v>
      </x:c>
      <x:c r="P201" s="20" t="str">
        <x:v>Screening score for China / Security contractors in Bulgaria; verify with country-specific evidence before final use.</x:v>
      </x:c>
    </x:row>
    <x:row r="202" ht="24" customHeight="1">
      <x:c r="A202" s="20" t="str">
        <x:v>BGR|United States|Propaganda ecosystems</x:v>
      </x:c>
      <x:c r="B202" s="20" t="str">
        <x:v>Bulgaria</x:v>
      </x:c>
      <x:c r="C202" s="20" t="str">
        <x:v>BGR</x:v>
      </x:c>
      <x:c r="D202" s="20" t="str">
        <x:v>United States</x:v>
      </x:c>
      <x:c r="E202" s="20" t="str">
        <x:v>American influence</x:v>
      </x:c>
      <x:c r="F202" s="20" t="str">
        <x:v>Propaganda ecosystems</x:v>
      </x:c>
      <x:c r="G202" s="384" t="n">
        <x:v>4</x:v>
      </x:c>
      <x:c r="H202" s="396" t="n">
        <x:v>3</x:v>
      </x:c>
      <x:c r="I202" s="20" t="str">
        <x:v>USAGM public media source register</x:v>
      </x:c>
      <x:c r="J202" s="397" t="str">
        <x:v>https://www.usagm.gov/our-work/strategy-and-results/strategic-priorities/research-reports/</x:v>
      </x:c>
      <x:c r="K202" s="20" t="str">
        <x:v>Primary source-register URL; automated screening score</x:v>
      </x:c>
      <x:c r="L202" s="20" t="str">
        <x:v>2026-05-20</x:v>
      </x:c>
      <x:c r="M202" s="20" t="str">
        <x:v>2026-05-20</x:v>
      </x:c>
      <x:c r="N202" s="20" t="str">
        <x:v>GPT-5.5 Pro</x:v>
      </x:c>
      <x:c r="O202" s="20" t="str">
        <x:v>Needs review</x:v>
      </x:c>
      <x:c r="P202" s="20" t="str">
        <x:v>Screening score for United States / Propaganda ecosystems in Bulgaria; verify with country-specific evidence before final use.</x:v>
      </x:c>
    </x:row>
    <x:row r="203" ht="24" customHeight="1">
      <x:c r="A203" s="20" t="str">
        <x:v>BGR|United States|PMC presence</x:v>
      </x:c>
      <x:c r="B203" s="20" t="str">
        <x:v>Bulgaria</x:v>
      </x:c>
      <x:c r="C203" s="20" t="str">
        <x:v>BGR</x:v>
      </x:c>
      <x:c r="D203" s="20" t="str">
        <x:v>United States</x:v>
      </x:c>
      <x:c r="E203" s="20" t="str">
        <x:v>American influence</x:v>
      </x:c>
      <x:c r="F203" s="20" t="str">
        <x:v>PMC presence</x:v>
      </x:c>
      <x:c r="G203" s="384" t="n">
        <x:v>3</x:v>
      </x:c>
      <x:c r="H203" s="396" t="n">
        <x:v>3</x:v>
      </x:c>
      <x:c r="I203" s="20" t="str">
        <x:v>SAM/Greenbook U.S. security assistance contractor source register</x:v>
      </x:c>
      <x:c r="J203" s="397" t="str">
        <x:v>https://internationalpolicy.org/programs/sam/</x:v>
      </x:c>
      <x:c r="K203" s="20" t="str">
        <x:v>Primary source-register URL; automated screening score</x:v>
      </x:c>
      <x:c r="L203" s="20" t="str">
        <x:v>2026-05-20</x:v>
      </x:c>
      <x:c r="M203" s="20" t="str">
        <x:v>2026-05-20</x:v>
      </x:c>
      <x:c r="N203" s="20" t="str">
        <x:v>GPT-5.5 Pro</x:v>
      </x:c>
      <x:c r="O203" s="20" t="str">
        <x:v>Needs review</x:v>
      </x:c>
      <x:c r="P203" s="20" t="str">
        <x:v>Screening score for United States / PMC presence in Bulgaria; verify with country-specific evidence before final use.</x:v>
      </x:c>
    </x:row>
    <x:row r="204" ht="24" customHeight="1">
      <x:c r="A204" s="20" t="str">
        <x:v>BGR|United States|Election interference</x:v>
      </x:c>
      <x:c r="B204" s="20" t="str">
        <x:v>Bulgaria</x:v>
      </x:c>
      <x:c r="C204" s="20" t="str">
        <x:v>BGR</x:v>
      </x:c>
      <x:c r="D204" s="20" t="str">
        <x:v>United States</x:v>
      </x:c>
      <x:c r="E204" s="20" t="str">
        <x:v>American influence</x:v>
      </x:c>
      <x:c r="F204" s="20" t="str">
        <x:v>Election interference</x:v>
      </x:c>
      <x:c r="G204" s="384" t="n">
        <x:v>1</x:v>
      </x:c>
      <x:c r="H204" s="396" t="n">
        <x:v>2</x:v>
      </x:c>
      <x:c r="I204" s="20" t="str">
        <x:v>NED/Greenbook democracy assistance source register</x:v>
      </x:c>
      <x:c r="J204" s="397" t="str">
        <x:v>https://www.ned.org/ned-grantmaking/</x:v>
      </x:c>
      <x:c r="K204" s="20" t="str">
        <x:v>Primary source-register URL; automated screening score</x:v>
      </x:c>
      <x:c r="L204" s="20" t="str">
        <x:v>2026-05-20</x:v>
      </x:c>
      <x:c r="M204" s="20" t="str">
        <x:v>2026-05-20</x:v>
      </x:c>
      <x:c r="N204" s="20" t="str">
        <x:v>GPT-5.5 Pro</x:v>
      </x:c>
      <x:c r="O204" s="20" t="str">
        <x:v>Needs review</x:v>
      </x:c>
      <x:c r="P204" s="20" t="str">
        <x:v>Screening score for United States / Election interference in Bulgaria; verify with country-specific evidence before final use.</x:v>
      </x:c>
    </x:row>
    <x:row r="205" ht="24" customHeight="1">
      <x:c r="A205" s="20" t="str">
        <x:v>BGR|United States|Security contractors</x:v>
      </x:c>
      <x:c r="B205" s="20" t="str">
        <x:v>Bulgaria</x:v>
      </x:c>
      <x:c r="C205" s="20" t="str">
        <x:v>BGR</x:v>
      </x:c>
      <x:c r="D205" s="20" t="str">
        <x:v>United States</x:v>
      </x:c>
      <x:c r="E205" s="20" t="str">
        <x:v>American influence</x:v>
      </x:c>
      <x:c r="F205" s="20" t="str">
        <x:v>Security contractors</x:v>
      </x:c>
      <x:c r="G205" s="384" t="n">
        <x:v>6</x:v>
      </x:c>
      <x:c r="H205" s="396" t="n">
        <x:v>4</x:v>
      </x:c>
      <x:c r="I205" s="20" t="str">
        <x:v>SAM/Greenbook U.S. security contractor source register</x:v>
      </x:c>
      <x:c r="J205" s="397" t="str">
        <x:v>https://internationalpolicy.org/programs/sam/</x:v>
      </x:c>
      <x:c r="K205" s="20" t="str">
        <x:v>Primary source-register URL; automated screening score</x:v>
      </x:c>
      <x:c r="L205" s="20" t="str">
        <x:v>2026-05-20</x:v>
      </x:c>
      <x:c r="M205" s="20" t="str">
        <x:v>2026-05-20</x:v>
      </x:c>
      <x:c r="N205" s="20" t="str">
        <x:v>GPT-5.5 Pro</x:v>
      </x:c>
      <x:c r="O205" s="20" t="str">
        <x:v>Needs review</x:v>
      </x:c>
      <x:c r="P205" s="20" t="str">
        <x:v>Screening score for United States / Security contractors in Bulgaria; verify with country-specific evidence before final use.</x:v>
      </x:c>
    </x:row>
    <x:row r="206" ht="24" customHeight="1">
      <x:c r="A206" s="20" t="str">
        <x:v>BGR|European Union|Propaganda ecosystems</x:v>
      </x:c>
      <x:c r="B206" s="20" t="str">
        <x:v>Bulgaria</x:v>
      </x:c>
      <x:c r="C206" s="20" t="str">
        <x:v>BGR</x:v>
      </x:c>
      <x:c r="D206" s="20" t="str">
        <x:v>European Union</x:v>
      </x:c>
      <x:c r="E206" s="20" t="str">
        <x:v>EU influence</x:v>
      </x:c>
      <x:c r="F206" s="20" t="str">
        <x:v>Propaganda ecosystems</x:v>
      </x:c>
      <x:c r="G206" s="384" t="n">
        <x:v>9</x:v>
      </x:c>
      <x:c r="H206" s="396" t="n">
        <x:v>5</x:v>
      </x:c>
      <x:c r="I206" s="20" t="str">
        <x:v>EEAS public diplomacy source register</x:v>
      </x:c>
      <x:c r="J206" s="397" t="str">
        <x:v>https://www.eeas.europa.eu/eeas/public-diplomacy_en</x:v>
      </x:c>
      <x:c r="K206" s="20" t="str">
        <x:v>Primary source-register URL; automated screening score</x:v>
      </x:c>
      <x:c r="L206" s="20" t="str">
        <x:v>2026-05-20</x:v>
      </x:c>
      <x:c r="M206" s="20" t="str">
        <x:v>2026-05-20</x:v>
      </x:c>
      <x:c r="N206" s="20" t="str">
        <x:v>GPT-5.5 Pro</x:v>
      </x:c>
      <x:c r="O206" s="20" t="str">
        <x:v>Needs review</x:v>
      </x:c>
      <x:c r="P206" s="20" t="str">
        <x:v>Screening score for European Union / Propaganda ecosystems in Bulgaria; verify with country-specific evidence before final use.</x:v>
      </x:c>
    </x:row>
    <x:row r="207" ht="24" customHeight="1">
      <x:c r="A207" s="20" t="str">
        <x:v>BGR|European Union|PMC presence</x:v>
      </x:c>
      <x:c r="B207" s="20" t="str">
        <x:v>Bulgaria</x:v>
      </x:c>
      <x:c r="C207" s="20" t="str">
        <x:v>BGR</x:v>
      </x:c>
      <x:c r="D207" s="20" t="str">
        <x:v>European Union</x:v>
      </x:c>
      <x:c r="E207" s="20" t="str">
        <x:v>EU influence</x:v>
      </x:c>
      <x:c r="F207" s="20" t="str">
        <x:v>PMC presence</x:v>
      </x:c>
      <x:c r="G207" s="384" t="n">
        <x:v>0</x:v>
      </x:c>
      <x:c r="H207" s="396" t="n">
        <x:v>1</x:v>
      </x:c>
      <x:c r="I207" s="20" t="str">
        <x:v>EEAS CSDP missions source register</x:v>
      </x:c>
      <x:c r="J207" s="397" t="str">
        <x:v>https://www.eeas.europa.eu/eeas/missions-and-operations_en</x:v>
      </x:c>
      <x:c r="K207" s="20" t="str">
        <x:v>Primary source-register URL; automated screening score</x:v>
      </x:c>
      <x:c r="L207" s="20" t="str">
        <x:v>2026-05-20</x:v>
      </x:c>
      <x:c r="M207" s="20" t="str">
        <x:v>2026-05-20</x:v>
      </x:c>
      <x:c r="N207" s="20" t="str">
        <x:v>GPT-5.5 Pro</x:v>
      </x:c>
      <x:c r="O207" s="20" t="str">
        <x:v>Needs review</x:v>
      </x:c>
      <x:c r="P207" s="20" t="str">
        <x:v>Screening score for European Union / PMC presence in Bulgaria; verify with country-specific evidence before final use.</x:v>
      </x:c>
    </x:row>
    <x:row r="208" ht="24" customHeight="1">
      <x:c r="A208" s="20" t="str">
        <x:v>BGR|European Union|Election interference</x:v>
      </x:c>
      <x:c r="B208" s="20" t="str">
        <x:v>Bulgaria</x:v>
      </x:c>
      <x:c r="C208" s="20" t="str">
        <x:v>BGR</x:v>
      </x:c>
      <x:c r="D208" s="20" t="str">
        <x:v>European Union</x:v>
      </x:c>
      <x:c r="E208" s="20" t="str">
        <x:v>EU influence</x:v>
      </x:c>
      <x:c r="F208" s="20" t="str">
        <x:v>Election interference</x:v>
      </x:c>
      <x:c r="G208" s="384" t="n">
        <x:v>2</x:v>
      </x:c>
      <x:c r="H208" s="396" t="n">
        <x:v>2</x:v>
      </x:c>
      <x:c r="I208" s="20" t="str">
        <x:v>EEAS EU election observation source register</x:v>
      </x:c>
      <x:c r="J208" s="397" t="str">
        <x:v>https://www.eeas.europa.eu/eeas/eu-election-observation-missions-1_en?page_lang=en</x:v>
      </x:c>
      <x:c r="K208" s="20" t="str">
        <x:v>Primary source-register URL; automated screening score</x:v>
      </x:c>
      <x:c r="L208" s="20" t="str">
        <x:v>2026-05-20</x:v>
      </x:c>
      <x:c r="M208" s="20" t="str">
        <x:v>2026-05-20</x:v>
      </x:c>
      <x:c r="N208" s="20" t="str">
        <x:v>GPT-5.5 Pro</x:v>
      </x:c>
      <x:c r="O208" s="20" t="str">
        <x:v>Needs review</x:v>
      </x:c>
      <x:c r="P208" s="20" t="str">
        <x:v>Screening score for European Union / Election interference in Bulgaria; verify with country-specific evidence before final use.</x:v>
      </x:c>
    </x:row>
    <x:row r="209" ht="24" customHeight="1">
      <x:c r="A209" s="20" t="str">
        <x:v>BGR|European Union|Security contractors</x:v>
      </x:c>
      <x:c r="B209" s="20" t="str">
        <x:v>Bulgaria</x:v>
      </x:c>
      <x:c r="C209" s="20" t="str">
        <x:v>BGR</x:v>
      </x:c>
      <x:c r="D209" s="20" t="str">
        <x:v>European Union</x:v>
      </x:c>
      <x:c r="E209" s="20" t="str">
        <x:v>EU influence</x:v>
      </x:c>
      <x:c r="F209" s="20" t="str">
        <x:v>Security contractors</x:v>
      </x:c>
      <x:c r="G209" s="384" t="n">
        <x:v>5</x:v>
      </x:c>
      <x:c r="H209" s="396" t="n">
        <x:v>3</x:v>
      </x:c>
      <x:c r="I209" s="20" t="str">
        <x:v>EEAS CSDP / Global Gateway security source register</x:v>
      </x:c>
      <x:c r="J209" s="397" t="str">
        <x:v>https://www.eeas.europa.eu/eeas/missions-and-operations_en</x:v>
      </x:c>
      <x:c r="K209" s="20" t="str">
        <x:v>Primary source-register URL; automated screening score</x:v>
      </x:c>
      <x:c r="L209" s="20" t="str">
        <x:v>2026-05-20</x:v>
      </x:c>
      <x:c r="M209" s="20" t="str">
        <x:v>2026-05-20</x:v>
      </x:c>
      <x:c r="N209" s="20" t="str">
        <x:v>GPT-5.5 Pro</x:v>
      </x:c>
      <x:c r="O209" s="20" t="str">
        <x:v>Needs review</x:v>
      </x:c>
      <x:c r="P209" s="20" t="str">
        <x:v>Screening score for European Union / Security contractors in Bulgaria; verify with country-specific evidence before final use.</x:v>
      </x:c>
    </x:row>
    <x:row r="210" ht="24" customHeight="1">
      <x:c r="A210" s="20" t="str">
        <x:v>BFA|Russia|Propaganda ecosystems</x:v>
      </x:c>
      <x:c r="B210" s="20" t="str">
        <x:v>Burkina Faso</x:v>
      </x:c>
      <x:c r="C210" s="20" t="str">
        <x:v>BFA</x:v>
      </x:c>
      <x:c r="D210" s="20" t="str">
        <x:v>Russia</x:v>
      </x:c>
      <x:c r="E210" s="20" t="str">
        <x:v>Russian influence</x:v>
      </x:c>
      <x:c r="F210" s="20" t="str">
        <x:v>Propaganda ecosystems</x:v>
      </x:c>
      <x:c r="G210" s="384" t="n">
        <x:v>7</x:v>
      </x:c>
      <x:c r="H210" s="396" t="n">
        <x:v>4</x:v>
      </x:c>
      <x:c r="I210" s="20" t="str">
        <x:v>EEAS/EUvsDisinfo FIMI source register</x:v>
      </x:c>
      <x:c r="J210" s="397" t="str">
        <x:v>https://www.eeas.europa.eu/eeas/4th-eeas-annual-report-foreign-information-manipulation-and-interference-threats_en</x:v>
      </x:c>
      <x:c r="K210" s="20" t="str">
        <x:v>Primary source-register URL; automated screening score</x:v>
      </x:c>
      <x:c r="L210" s="20" t="str">
        <x:v>2026-05-20</x:v>
      </x:c>
      <x:c r="M210" s="20" t="str">
        <x:v>2026-05-20</x:v>
      </x:c>
      <x:c r="N210" s="20" t="str">
        <x:v>GPT-5.5 Pro</x:v>
      </x:c>
      <x:c r="O210" s="20" t="str">
        <x:v>Needs review</x:v>
      </x:c>
      <x:c r="P210" s="20" t="str">
        <x:v>Screening score for Russia / Propaganda ecosystems in Burkina Faso; verify with country-specific evidence before final use.</x:v>
      </x:c>
    </x:row>
    <x:row r="211" ht="24" customHeight="1">
      <x:c r="A211" s="20" t="str">
        <x:v>BFA|Russia|PMC presence</x:v>
      </x:c>
      <x:c r="B211" s="20" t="str">
        <x:v>Burkina Faso</x:v>
      </x:c>
      <x:c r="C211" s="20" t="str">
        <x:v>BFA</x:v>
      </x:c>
      <x:c r="D211" s="20" t="str">
        <x:v>Russia</x:v>
      </x:c>
      <x:c r="E211" s="20" t="str">
        <x:v>Russian influence</x:v>
      </x:c>
      <x:c r="F211" s="20" t="str">
        <x:v>PMC presence</x:v>
      </x:c>
      <x:c r="G211" s="384" t="n">
        <x:v>6</x:v>
      </x:c>
      <x:c r="H211" s="396" t="n">
        <x:v>4</x:v>
      </x:c>
      <x:c r="I211" s="20" t="str">
        <x:v>Treasury and Council of the EU Wagner/PMC source register</x:v>
      </x:c>
      <x:c r="J211" s="397" t="str">
        <x:v>https://www.consilium.europa.eu/en/press/press-releases/2023/02/25/wagner-group-council-adds-11-individuals-and-7-entities-to-eu-sanctions-lists/</x:v>
      </x:c>
      <x:c r="K211" s="20" t="str">
        <x:v>Primary source-register URL; automated screening score</x:v>
      </x:c>
      <x:c r="L211" s="20" t="str">
        <x:v>2026-05-20</x:v>
      </x:c>
      <x:c r="M211" s="20" t="str">
        <x:v>2026-05-20</x:v>
      </x:c>
      <x:c r="N211" s="20" t="str">
        <x:v>GPT-5.5 Pro</x:v>
      </x:c>
      <x:c r="O211" s="20" t="str">
        <x:v>Needs review</x:v>
      </x:c>
      <x:c r="P211" s="20" t="str">
        <x:v>Screening score for Russia / PMC presence in Burkina Faso; verify with country-specific evidence before final use.</x:v>
      </x:c>
    </x:row>
    <x:row r="212" ht="24" customHeight="1">
      <x:c r="A212" s="20" t="str">
        <x:v>BFA|Russia|Election interference</x:v>
      </x:c>
      <x:c r="B212" s="20" t="str">
        <x:v>Burkina Faso</x:v>
      </x:c>
      <x:c r="C212" s="20" t="str">
        <x:v>BFA</x:v>
      </x:c>
      <x:c r="D212" s="20" t="str">
        <x:v>Russia</x:v>
      </x:c>
      <x:c r="E212" s="20" t="str">
        <x:v>Russian influence</x:v>
      </x:c>
      <x:c r="F212" s="20" t="str">
        <x:v>Election interference</x:v>
      </x:c>
      <x:c r="G212" s="384" t="n">
        <x:v>3</x:v>
      </x:c>
      <x:c r="H212" s="396" t="n">
        <x:v>3</x:v>
      </x:c>
      <x:c r="I212" s="20" t="str">
        <x:v>ODNI/EEAS election-FIMI source register</x:v>
      </x:c>
      <x:c r="J212" s="397" t="str">
        <x:v>https://www.dni.gov/files/ODNI/documents/assessments/ATA-2026-Unclassified-Report.pdf</x:v>
      </x:c>
      <x:c r="K212" s="20" t="str">
        <x:v>Primary source-register URL; automated screening score</x:v>
      </x:c>
      <x:c r="L212" s="20" t="str">
        <x:v>2026-05-20</x:v>
      </x:c>
      <x:c r="M212" s="20" t="str">
        <x:v>2026-05-20</x:v>
      </x:c>
      <x:c r="N212" s="20" t="str">
        <x:v>GPT-5.5 Pro</x:v>
      </x:c>
      <x:c r="O212" s="20" t="str">
        <x:v>Needs review</x:v>
      </x:c>
      <x:c r="P212" s="20" t="str">
        <x:v>Screening score for Russia / Election interference in Burkina Faso; verify with country-specific evidence before final use.</x:v>
      </x:c>
    </x:row>
    <x:row r="213" ht="24" customHeight="1">
      <x:c r="A213" s="20" t="str">
        <x:v>BFA|Russia|Security contractors</x:v>
      </x:c>
      <x:c r="B213" s="20" t="str">
        <x:v>Burkina Faso</x:v>
      </x:c>
      <x:c r="C213" s="20" t="str">
        <x:v>BFA</x:v>
      </x:c>
      <x:c r="D213" s="20" t="str">
        <x:v>Russia</x:v>
      </x:c>
      <x:c r="E213" s="20" t="str">
        <x:v>Russian influence</x:v>
      </x:c>
      <x:c r="F213" s="20" t="str">
        <x:v>Security contractors</x:v>
      </x:c>
      <x:c r="G213" s="384" t="n">
        <x:v>5</x:v>
      </x:c>
      <x:c r="H213" s="396" t="n">
        <x:v>3</x:v>
      </x:c>
      <x:c r="I213" s="20" t="str">
        <x:v>Council of the EU/Treasury Wagner-security source register</x:v>
      </x:c>
      <x:c r="J213" s="397" t="str">
        <x:v>https://www.consilium.europa.eu/en/press/press-releases/2023/02/25/wagner-group-council-adds-11-individuals-and-7-entities-to-eu-sanctions-lists/</x:v>
      </x:c>
      <x:c r="K213" s="20" t="str">
        <x:v>Primary source-register URL; automated screening score</x:v>
      </x:c>
      <x:c r="L213" s="20" t="str">
        <x:v>2026-05-20</x:v>
      </x:c>
      <x:c r="M213" s="20" t="str">
        <x:v>2026-05-20</x:v>
      </x:c>
      <x:c r="N213" s="20" t="str">
        <x:v>GPT-5.5 Pro</x:v>
      </x:c>
      <x:c r="O213" s="20" t="str">
        <x:v>Needs review</x:v>
      </x:c>
      <x:c r="P213" s="20" t="str">
        <x:v>Screening score for Russia / Security contractors in Burkina Faso; verify with country-specific evidence before final use.</x:v>
      </x:c>
    </x:row>
    <x:row r="214" ht="24" customHeight="1">
      <x:c r="A214" s="20" t="str">
        <x:v>BFA|China|Propaganda ecosystems</x:v>
      </x:c>
      <x:c r="B214" s="20" t="str">
        <x:v>Burkina Faso</x:v>
      </x:c>
      <x:c r="C214" s="20" t="str">
        <x:v>BFA</x:v>
      </x:c>
      <x:c r="D214" s="20" t="str">
        <x:v>China</x:v>
      </x:c>
      <x:c r="E214" s="20" t="str">
        <x:v>Chinese influence</x:v>
      </x:c>
      <x:c r="F214" s="20" t="str">
        <x:v>Propaganda ecosystems</x:v>
      </x:c>
      <x:c r="G214" s="384" t="n">
        <x:v>5</x:v>
      </x:c>
      <x:c r="H214" s="396" t="n">
        <x:v>3</x:v>
      </x:c>
      <x:c r="I214" s="20" t="str">
        <x:v>EEAS/ODNI China FIMI source register</x:v>
      </x:c>
      <x:c r="J214" s="397" t="str">
        <x:v>https://www.eeas.europa.eu/eeas/4th-eeas-annual-report-foreign-information-manipulation-and-interference-threats_en</x:v>
      </x:c>
      <x:c r="K214" s="20" t="str">
        <x:v>Primary source-register URL; automated screening score</x:v>
      </x:c>
      <x:c r="L214" s="20" t="str">
        <x:v>2026-05-20</x:v>
      </x:c>
      <x:c r="M214" s="20" t="str">
        <x:v>2026-05-20</x:v>
      </x:c>
      <x:c r="N214" s="20" t="str">
        <x:v>GPT-5.5 Pro</x:v>
      </x:c>
      <x:c r="O214" s="20" t="str">
        <x:v>Needs review</x:v>
      </x:c>
      <x:c r="P214" s="20" t="str">
        <x:v>Screening score for China / Propaganda ecosystems in Burkina Faso; verify with country-specific evidence before final use.</x:v>
      </x:c>
    </x:row>
    <x:row r="215" ht="24" customHeight="1">
      <x:c r="A215" s="20" t="str">
        <x:v>BFA|China|PMC presence</x:v>
      </x:c>
      <x:c r="B215" s="20" t="str">
        <x:v>Burkina Faso</x:v>
      </x:c>
      <x:c r="C215" s="20" t="str">
        <x:v>BFA</x:v>
      </x:c>
      <x:c r="D215" s="20" t="str">
        <x:v>China</x:v>
      </x:c>
      <x:c r="E215" s="20" t="str">
        <x:v>Chinese influence</x:v>
      </x:c>
      <x:c r="F215" s="20" t="str">
        <x:v>PMC presence</x:v>
      </x:c>
      <x:c r="G215" s="384" t="n">
        <x:v>1</x:v>
      </x:c>
      <x:c r="H215" s="396" t="n">
        <x:v>2</x:v>
      </x:c>
      <x:c r="I215" s="20" t="str">
        <x:v>MERICS/Carnegie Chinese overseas PSC source register</x:v>
      </x:c>
      <x:c r="J215" s="397" t="str">
        <x:v>https://merics.org/en/report/guardians-belt-and-road</x:v>
      </x:c>
      <x:c r="K215" s="20" t="str">
        <x:v>Primary source-register URL; automated screening score</x:v>
      </x:c>
      <x:c r="L215" s="20" t="str">
        <x:v>2026-05-20</x:v>
      </x:c>
      <x:c r="M215" s="20" t="str">
        <x:v>2026-05-20</x:v>
      </x:c>
      <x:c r="N215" s="20" t="str">
        <x:v>GPT-5.5 Pro</x:v>
      </x:c>
      <x:c r="O215" s="20" t="str">
        <x:v>Needs review</x:v>
      </x:c>
      <x:c r="P215" s="20" t="str">
        <x:v>Screening score for China / PMC presence in Burkina Faso; verify with country-specific evidence before final use.</x:v>
      </x:c>
    </x:row>
    <x:row r="216" ht="24" customHeight="1">
      <x:c r="A216" s="20" t="str">
        <x:v>BFA|China|Election interference</x:v>
      </x:c>
      <x:c r="B216" s="20" t="str">
        <x:v>Burkina Faso</x:v>
      </x:c>
      <x:c r="C216" s="20" t="str">
        <x:v>BFA</x:v>
      </x:c>
      <x:c r="D216" s="20" t="str">
        <x:v>China</x:v>
      </x:c>
      <x:c r="E216" s="20" t="str">
        <x:v>Chinese influence</x:v>
      </x:c>
      <x:c r="F216" s="20" t="str">
        <x:v>Election interference</x:v>
      </x:c>
      <x:c r="G216" s="384" t="n">
        <x:v>1</x:v>
      </x:c>
      <x:c r="H216" s="396" t="n">
        <x:v>2</x:v>
      </x:c>
      <x:c r="I216" s="20" t="str">
        <x:v>EEAS/ODNI China election-FIMI source register</x:v>
      </x:c>
      <x:c r="J216" s="397" t="str">
        <x:v>https://www.eeas.europa.eu/eeas/4th-eeas-annual-report-foreign-information-manipulation-and-interference-threats_en</x:v>
      </x:c>
      <x:c r="K216" s="20" t="str">
        <x:v>Primary source-register URL; automated screening score</x:v>
      </x:c>
      <x:c r="L216" s="20" t="str">
        <x:v>2026-05-20</x:v>
      </x:c>
      <x:c r="M216" s="20" t="str">
        <x:v>2026-05-20</x:v>
      </x:c>
      <x:c r="N216" s="20" t="str">
        <x:v>GPT-5.5 Pro</x:v>
      </x:c>
      <x:c r="O216" s="20" t="str">
        <x:v>Needs review</x:v>
      </x:c>
      <x:c r="P216" s="20" t="str">
        <x:v>Screening score for China / Election interference in Burkina Faso; verify with country-specific evidence before final use.</x:v>
      </x:c>
    </x:row>
    <x:row r="217" ht="24" customHeight="1">
      <x:c r="A217" s="20" t="str">
        <x:v>BFA|China|Security contractors</x:v>
      </x:c>
      <x:c r="B217" s="20" t="str">
        <x:v>Burkina Faso</x:v>
      </x:c>
      <x:c r="C217" s="20" t="str">
        <x:v>BFA</x:v>
      </x:c>
      <x:c r="D217" s="20" t="str">
        <x:v>China</x:v>
      </x:c>
      <x:c r="E217" s="20" t="str">
        <x:v>Chinese influence</x:v>
      </x:c>
      <x:c r="F217" s="20" t="str">
        <x:v>Security contractors</x:v>
      </x:c>
      <x:c r="G217" s="384" t="n">
        <x:v>1</x:v>
      </x:c>
      <x:c r="H217" s="396" t="n">
        <x:v>2</x:v>
      </x:c>
      <x:c r="I217" s="20" t="str">
        <x:v>MERICS/Carnegie Chinese security contractor source register</x:v>
      </x:c>
      <x:c r="J217" s="397" t="str">
        <x:v>https://merics.org/en/report/guardians-belt-and-road</x:v>
      </x:c>
      <x:c r="K217" s="20" t="str">
        <x:v>Primary source-register URL; automated screening score</x:v>
      </x:c>
      <x:c r="L217" s="20" t="str">
        <x:v>2026-05-20</x:v>
      </x:c>
      <x:c r="M217" s="20" t="str">
        <x:v>2026-05-20</x:v>
      </x:c>
      <x:c r="N217" s="20" t="str">
        <x:v>GPT-5.5 Pro</x:v>
      </x:c>
      <x:c r="O217" s="20" t="str">
        <x:v>Needs review</x:v>
      </x:c>
      <x:c r="P217" s="20" t="str">
        <x:v>Screening score for China / Security contractors in Burkina Faso; verify with country-specific evidence before final use.</x:v>
      </x:c>
    </x:row>
    <x:row r="218" ht="24" customHeight="1">
      <x:c r="A218" s="20" t="str">
        <x:v>BFA|United States|Propaganda ecosystems</x:v>
      </x:c>
      <x:c r="B218" s="20" t="str">
        <x:v>Burkina Faso</x:v>
      </x:c>
      <x:c r="C218" s="20" t="str">
        <x:v>BFA</x:v>
      </x:c>
      <x:c r="D218" s="20" t="str">
        <x:v>United States</x:v>
      </x:c>
      <x:c r="E218" s="20" t="str">
        <x:v>American influence</x:v>
      </x:c>
      <x:c r="F218" s="20" t="str">
        <x:v>Propaganda ecosystems</x:v>
      </x:c>
      <x:c r="G218" s="384" t="n">
        <x:v>4</x:v>
      </x:c>
      <x:c r="H218" s="396" t="n">
        <x:v>3</x:v>
      </x:c>
      <x:c r="I218" s="20" t="str">
        <x:v>USAGM public media source register</x:v>
      </x:c>
      <x:c r="J218" s="397" t="str">
        <x:v>https://www.usagm.gov/our-work/strategy-and-results/strategic-priorities/research-reports/</x:v>
      </x:c>
      <x:c r="K218" s="20" t="str">
        <x:v>Primary source-register URL; automated screening score</x:v>
      </x:c>
      <x:c r="L218" s="20" t="str">
        <x:v>2026-05-20</x:v>
      </x:c>
      <x:c r="M218" s="20" t="str">
        <x:v>2026-05-20</x:v>
      </x:c>
      <x:c r="N218" s="20" t="str">
        <x:v>GPT-5.5 Pro</x:v>
      </x:c>
      <x:c r="O218" s="20" t="str">
        <x:v>Needs review</x:v>
      </x:c>
      <x:c r="P218" s="20" t="str">
        <x:v>Screening score for United States / Propaganda ecosystems in Burkina Faso; verify with country-specific evidence before final use.</x:v>
      </x:c>
    </x:row>
    <x:row r="219" ht="24" customHeight="1">
      <x:c r="A219" s="20" t="str">
        <x:v>BFA|United States|PMC presence</x:v>
      </x:c>
      <x:c r="B219" s="20" t="str">
        <x:v>Burkina Faso</x:v>
      </x:c>
      <x:c r="C219" s="20" t="str">
        <x:v>BFA</x:v>
      </x:c>
      <x:c r="D219" s="20" t="str">
        <x:v>United States</x:v>
      </x:c>
      <x:c r="E219" s="20" t="str">
        <x:v>American influence</x:v>
      </x:c>
      <x:c r="F219" s="20" t="str">
        <x:v>PMC presence</x:v>
      </x:c>
      <x:c r="G219" s="384" t="n">
        <x:v>2</x:v>
      </x:c>
      <x:c r="H219" s="396" t="n">
        <x:v>2</x:v>
      </x:c>
      <x:c r="I219" s="20" t="str">
        <x:v>SAM/Greenbook U.S. security assistance contractor source register</x:v>
      </x:c>
      <x:c r="J219" s="397" t="str">
        <x:v>https://internationalpolicy.org/programs/sam/</x:v>
      </x:c>
      <x:c r="K219" s="20" t="str">
        <x:v>Primary source-register URL; automated screening score</x:v>
      </x:c>
      <x:c r="L219" s="20" t="str">
        <x:v>2026-05-20</x:v>
      </x:c>
      <x:c r="M219" s="20" t="str">
        <x:v>2026-05-20</x:v>
      </x:c>
      <x:c r="N219" s="20" t="str">
        <x:v>GPT-5.5 Pro</x:v>
      </x:c>
      <x:c r="O219" s="20" t="str">
        <x:v>Needs review</x:v>
      </x:c>
      <x:c r="P219" s="20" t="str">
        <x:v>Screening score for United States / PMC presence in Burkina Faso; verify with country-specific evidence before final use.</x:v>
      </x:c>
    </x:row>
    <x:row r="220" ht="24" customHeight="1">
      <x:c r="A220" s="20" t="str">
        <x:v>BFA|United States|Election interference</x:v>
      </x:c>
      <x:c r="B220" s="20" t="str">
        <x:v>Burkina Faso</x:v>
      </x:c>
      <x:c r="C220" s="20" t="str">
        <x:v>BFA</x:v>
      </x:c>
      <x:c r="D220" s="20" t="str">
        <x:v>United States</x:v>
      </x:c>
      <x:c r="E220" s="20" t="str">
        <x:v>American influence</x:v>
      </x:c>
      <x:c r="F220" s="20" t="str">
        <x:v>Election interference</x:v>
      </x:c>
      <x:c r="G220" s="384" t="n">
        <x:v>2</x:v>
      </x:c>
      <x:c r="H220" s="396" t="n">
        <x:v>2</x:v>
      </x:c>
      <x:c r="I220" s="20" t="str">
        <x:v>NED/Greenbook democracy assistance source register</x:v>
      </x:c>
      <x:c r="J220" s="397" t="str">
        <x:v>https://www.ned.org/ned-grantmaking/</x:v>
      </x:c>
      <x:c r="K220" s="20" t="str">
        <x:v>Primary source-register URL; automated screening score</x:v>
      </x:c>
      <x:c r="L220" s="20" t="str">
        <x:v>2026-05-20</x:v>
      </x:c>
      <x:c r="M220" s="20" t="str">
        <x:v>2026-05-20</x:v>
      </x:c>
      <x:c r="N220" s="20" t="str">
        <x:v>GPT-5.5 Pro</x:v>
      </x:c>
      <x:c r="O220" s="20" t="str">
        <x:v>Needs review</x:v>
      </x:c>
      <x:c r="P220" s="20" t="str">
        <x:v>Screening score for United States / Election interference in Burkina Faso; verify with country-specific evidence before final use.</x:v>
      </x:c>
    </x:row>
    <x:row r="221" ht="24" customHeight="1">
      <x:c r="A221" s="20" t="str">
        <x:v>BFA|United States|Security contractors</x:v>
      </x:c>
      <x:c r="B221" s="20" t="str">
        <x:v>Burkina Faso</x:v>
      </x:c>
      <x:c r="C221" s="20" t="str">
        <x:v>BFA</x:v>
      </x:c>
      <x:c r="D221" s="20" t="str">
        <x:v>United States</x:v>
      </x:c>
      <x:c r="E221" s="20" t="str">
        <x:v>American influence</x:v>
      </x:c>
      <x:c r="F221" s="20" t="str">
        <x:v>Security contractors</x:v>
      </x:c>
      <x:c r="G221" s="384" t="n">
        <x:v>3</x:v>
      </x:c>
      <x:c r="H221" s="396" t="n">
        <x:v>3</x:v>
      </x:c>
      <x:c r="I221" s="20" t="str">
        <x:v>SAM/Greenbook U.S. security contractor source register</x:v>
      </x:c>
      <x:c r="J221" s="397" t="str">
        <x:v>https://internationalpolicy.org/programs/sam/</x:v>
      </x:c>
      <x:c r="K221" s="20" t="str">
        <x:v>Primary source-register URL; automated screening score</x:v>
      </x:c>
      <x:c r="L221" s="20" t="str">
        <x:v>2026-05-20</x:v>
      </x:c>
      <x:c r="M221" s="20" t="str">
        <x:v>2026-05-20</x:v>
      </x:c>
      <x:c r="N221" s="20" t="str">
        <x:v>GPT-5.5 Pro</x:v>
      </x:c>
      <x:c r="O221" s="20" t="str">
        <x:v>Needs review</x:v>
      </x:c>
      <x:c r="P221" s="20" t="str">
        <x:v>Screening score for United States / Security contractors in Burkina Faso; verify with country-specific evidence before final use.</x:v>
      </x:c>
    </x:row>
    <x:row r="222" ht="24" customHeight="1">
      <x:c r="A222" s="20" t="str">
        <x:v>BFA|European Union|Propaganda ecosystems</x:v>
      </x:c>
      <x:c r="B222" s="20" t="str">
        <x:v>Burkina Faso</x:v>
      </x:c>
      <x:c r="C222" s="20" t="str">
        <x:v>BFA</x:v>
      </x:c>
      <x:c r="D222" s="20" t="str">
        <x:v>European Union</x:v>
      </x:c>
      <x:c r="E222" s="20" t="str">
        <x:v>EU influence</x:v>
      </x:c>
      <x:c r="F222" s="20" t="str">
        <x:v>Propaganda ecosystems</x:v>
      </x:c>
      <x:c r="G222" s="384" t="n">
        <x:v>3</x:v>
      </x:c>
      <x:c r="H222" s="396" t="n">
        <x:v>3</x:v>
      </x:c>
      <x:c r="I222" s="20" t="str">
        <x:v>EEAS public diplomacy source register</x:v>
      </x:c>
      <x:c r="J222" s="397" t="str">
        <x:v>https://www.eeas.europa.eu/eeas/public-diplomacy_en</x:v>
      </x:c>
      <x:c r="K222" s="20" t="str">
        <x:v>Primary source-register URL; automated screening score</x:v>
      </x:c>
      <x:c r="L222" s="20" t="str">
        <x:v>2026-05-20</x:v>
      </x:c>
      <x:c r="M222" s="20" t="str">
        <x:v>2026-05-20</x:v>
      </x:c>
      <x:c r="N222" s="20" t="str">
        <x:v>GPT-5.5 Pro</x:v>
      </x:c>
      <x:c r="O222" s="20" t="str">
        <x:v>Needs review</x:v>
      </x:c>
      <x:c r="P222" s="20" t="str">
        <x:v>Screening score for European Union / Propaganda ecosystems in Burkina Faso; verify with country-specific evidence before final use.</x:v>
      </x:c>
    </x:row>
    <x:row r="223" ht="24" customHeight="1">
      <x:c r="A223" s="20" t="str">
        <x:v>BFA|European Union|PMC presence</x:v>
      </x:c>
      <x:c r="B223" s="20" t="str">
        <x:v>Burkina Faso</x:v>
      </x:c>
      <x:c r="C223" s="20" t="str">
        <x:v>BFA</x:v>
      </x:c>
      <x:c r="D223" s="20" t="str">
        <x:v>European Union</x:v>
      </x:c>
      <x:c r="E223" s="20" t="str">
        <x:v>EU influence</x:v>
      </x:c>
      <x:c r="F223" s="20" t="str">
        <x:v>PMC presence</x:v>
      </x:c>
      <x:c r="G223" s="384" t="n">
        <x:v>0</x:v>
      </x:c>
      <x:c r="H223" s="396" t="n">
        <x:v>1</x:v>
      </x:c>
      <x:c r="I223" s="20" t="str">
        <x:v>EEAS CSDP missions source register</x:v>
      </x:c>
      <x:c r="J223" s="397" t="str">
        <x:v>https://www.eeas.europa.eu/eeas/missions-and-operations_en</x:v>
      </x:c>
      <x:c r="K223" s="20" t="str">
        <x:v>Primary source-register URL; automated screening score</x:v>
      </x:c>
      <x:c r="L223" s="20" t="str">
        <x:v>2026-05-20</x:v>
      </x:c>
      <x:c r="M223" s="20" t="str">
        <x:v>2026-05-20</x:v>
      </x:c>
      <x:c r="N223" s="20" t="str">
        <x:v>GPT-5.5 Pro</x:v>
      </x:c>
      <x:c r="O223" s="20" t="str">
        <x:v>Needs review</x:v>
      </x:c>
      <x:c r="P223" s="20" t="str">
        <x:v>Screening score for European Union / PMC presence in Burkina Faso; verify with country-specific evidence before final use.</x:v>
      </x:c>
    </x:row>
    <x:row r="224" ht="24" customHeight="1">
      <x:c r="A224" s="20" t="str">
        <x:v>BFA|European Union|Election interference</x:v>
      </x:c>
      <x:c r="B224" s="20" t="str">
        <x:v>Burkina Faso</x:v>
      </x:c>
      <x:c r="C224" s="20" t="str">
        <x:v>BFA</x:v>
      </x:c>
      <x:c r="D224" s="20" t="str">
        <x:v>European Union</x:v>
      </x:c>
      <x:c r="E224" s="20" t="str">
        <x:v>EU influence</x:v>
      </x:c>
      <x:c r="F224" s="20" t="str">
        <x:v>Election interference</x:v>
      </x:c>
      <x:c r="G224" s="384" t="n">
        <x:v>1</x:v>
      </x:c>
      <x:c r="H224" s="396" t="n">
        <x:v>2</x:v>
      </x:c>
      <x:c r="I224" s="20" t="str">
        <x:v>EEAS EU election observation source register</x:v>
      </x:c>
      <x:c r="J224" s="397" t="str">
        <x:v>https://www.eeas.europa.eu/eeas/eu-election-observation-missions-1_en?page_lang=en</x:v>
      </x:c>
      <x:c r="K224" s="20" t="str">
        <x:v>Primary source-register URL; automated screening score</x:v>
      </x:c>
      <x:c r="L224" s="20" t="str">
        <x:v>2026-05-20</x:v>
      </x:c>
      <x:c r="M224" s="20" t="str">
        <x:v>2026-05-20</x:v>
      </x:c>
      <x:c r="N224" s="20" t="str">
        <x:v>GPT-5.5 Pro</x:v>
      </x:c>
      <x:c r="O224" s="20" t="str">
        <x:v>Needs review</x:v>
      </x:c>
      <x:c r="P224" s="20" t="str">
        <x:v>Screening score for European Union / Election interference in Burkina Faso; verify with country-specific evidence before final use.</x:v>
      </x:c>
    </x:row>
    <x:row r="225" ht="24" customHeight="1">
      <x:c r="A225" s="20" t="str">
        <x:v>BFA|European Union|Security contractors</x:v>
      </x:c>
      <x:c r="B225" s="20" t="str">
        <x:v>Burkina Faso</x:v>
      </x:c>
      <x:c r="C225" s="20" t="str">
        <x:v>BFA</x:v>
      </x:c>
      <x:c r="D225" s="20" t="str">
        <x:v>European Union</x:v>
      </x:c>
      <x:c r="E225" s="20" t="str">
        <x:v>EU influence</x:v>
      </x:c>
      <x:c r="F225" s="20" t="str">
        <x:v>Security contractors</x:v>
      </x:c>
      <x:c r="G225" s="384" t="n">
        <x:v>2</x:v>
      </x:c>
      <x:c r="H225" s="396" t="n">
        <x:v>2</x:v>
      </x:c>
      <x:c r="I225" s="20" t="str">
        <x:v>EEAS CSDP / Global Gateway security source register</x:v>
      </x:c>
      <x:c r="J225" s="397" t="str">
        <x:v>https://www.eeas.europa.eu/eeas/missions-and-operations_en</x:v>
      </x:c>
      <x:c r="K225" s="20" t="str">
        <x:v>Primary source-register URL; automated screening score</x:v>
      </x:c>
      <x:c r="L225" s="20" t="str">
        <x:v>2026-05-20</x:v>
      </x:c>
      <x:c r="M225" s="20" t="str">
        <x:v>2026-05-20</x:v>
      </x:c>
      <x:c r="N225" s="20" t="str">
        <x:v>GPT-5.5 Pro</x:v>
      </x:c>
      <x:c r="O225" s="20" t="str">
        <x:v>Needs review</x:v>
      </x:c>
      <x:c r="P225" s="20" t="str">
        <x:v>Screening score for European Union / Security contractors in Burkina Faso; verify with country-specific evidence before final use.</x:v>
      </x:c>
    </x:row>
    <x:row r="226" ht="24" customHeight="1">
      <x:c r="A226" s="20" t="str">
        <x:v>BDI|Russia|Propaganda ecosystems</x:v>
      </x:c>
      <x:c r="B226" s="20" t="str">
        <x:v>Burundi</x:v>
      </x:c>
      <x:c r="C226" s="20" t="str">
        <x:v>BDI</x:v>
      </x:c>
      <x:c r="D226" s="20" t="str">
        <x:v>Russia</x:v>
      </x:c>
      <x:c r="E226" s="20" t="str">
        <x:v>Russian influence</x:v>
      </x:c>
      <x:c r="F226" s="20" t="str">
        <x:v>Propaganda ecosystems</x:v>
      </x:c>
      <x:c r="G226" s="384" t="n">
        <x:v>4</x:v>
      </x:c>
      <x:c r="H226" s="396" t="n">
        <x:v>3</x:v>
      </x:c>
      <x:c r="I226" s="20" t="str">
        <x:v>EEAS/EUvsDisinfo FIMI source register</x:v>
      </x:c>
      <x:c r="J226" s="397" t="str">
        <x:v>https://www.eeas.europa.eu/eeas/4th-eeas-annual-report-foreign-information-manipulation-and-interference-threats_en</x:v>
      </x:c>
      <x:c r="K226" s="20" t="str">
        <x:v>Primary source-register URL; automated screening score</x:v>
      </x:c>
      <x:c r="L226" s="20" t="str">
        <x:v>2026-05-20</x:v>
      </x:c>
      <x:c r="M226" s="20" t="str">
        <x:v>2026-05-20</x:v>
      </x:c>
      <x:c r="N226" s="20" t="str">
        <x:v>GPT-5.5 Pro</x:v>
      </x:c>
      <x:c r="O226" s="20" t="str">
        <x:v>Needs review</x:v>
      </x:c>
      <x:c r="P226" s="20" t="str">
        <x:v>Screening score for Russia / Propaganda ecosystems in Burundi; verify with country-specific evidence before final use.</x:v>
      </x:c>
    </x:row>
    <x:row r="227" ht="24" customHeight="1">
      <x:c r="A227" s="20" t="str">
        <x:v>BDI|Russia|PMC presence</x:v>
      </x:c>
      <x:c r="B227" s="20" t="str">
        <x:v>Burundi</x:v>
      </x:c>
      <x:c r="C227" s="20" t="str">
        <x:v>BDI</x:v>
      </x:c>
      <x:c r="D227" s="20" t="str">
        <x:v>Russia</x:v>
      </x:c>
      <x:c r="E227" s="20" t="str">
        <x:v>Russian influence</x:v>
      </x:c>
      <x:c r="F227" s="20" t="str">
        <x:v>PMC presence</x:v>
      </x:c>
      <x:c r="G227" s="384" t="n">
        <x:v>1</x:v>
      </x:c>
      <x:c r="H227" s="396" t="n">
        <x:v>2</x:v>
      </x:c>
      <x:c r="I227" s="20" t="str">
        <x:v>Treasury and Council of the EU Wagner/PMC source register</x:v>
      </x:c>
      <x:c r="J227" s="397" t="str">
        <x:v>https://www.consilium.europa.eu/en/press/press-releases/2023/02/25/wagner-group-council-adds-11-individuals-and-7-entities-to-eu-sanctions-lists/</x:v>
      </x:c>
      <x:c r="K227" s="20" t="str">
        <x:v>Primary source-register URL; automated screening score</x:v>
      </x:c>
      <x:c r="L227" s="20" t="str">
        <x:v>2026-05-20</x:v>
      </x:c>
      <x:c r="M227" s="20" t="str">
        <x:v>2026-05-20</x:v>
      </x:c>
      <x:c r="N227" s="20" t="str">
        <x:v>GPT-5.5 Pro</x:v>
      </x:c>
      <x:c r="O227" s="20" t="str">
        <x:v>Needs review</x:v>
      </x:c>
      <x:c r="P227" s="20" t="str">
        <x:v>Screening score for Russia / PMC presence in Burundi; verify with country-specific evidence before final use.</x:v>
      </x:c>
    </x:row>
    <x:row r="228" ht="24" customHeight="1">
      <x:c r="A228" s="20" t="str">
        <x:v>BDI|Russia|Election interference</x:v>
      </x:c>
      <x:c r="B228" s="20" t="str">
        <x:v>Burundi</x:v>
      </x:c>
      <x:c r="C228" s="20" t="str">
        <x:v>BDI</x:v>
      </x:c>
      <x:c r="D228" s="20" t="str">
        <x:v>Russia</x:v>
      </x:c>
      <x:c r="E228" s="20" t="str">
        <x:v>Russian influence</x:v>
      </x:c>
      <x:c r="F228" s="20" t="str">
        <x:v>Election interference</x:v>
      </x:c>
      <x:c r="G228" s="384" t="n">
        <x:v>1</x:v>
      </x:c>
      <x:c r="H228" s="396" t="n">
        <x:v>2</x:v>
      </x:c>
      <x:c r="I228" s="20" t="str">
        <x:v>ODNI/EEAS election-FIMI source register</x:v>
      </x:c>
      <x:c r="J228" s="397" t="str">
        <x:v>https://www.dni.gov/files/ODNI/documents/assessments/ATA-2026-Unclassified-Report.pdf</x:v>
      </x:c>
      <x:c r="K228" s="20" t="str">
        <x:v>Primary source-register URL; automated screening score</x:v>
      </x:c>
      <x:c r="L228" s="20" t="str">
        <x:v>2026-05-20</x:v>
      </x:c>
      <x:c r="M228" s="20" t="str">
        <x:v>2026-05-20</x:v>
      </x:c>
      <x:c r="N228" s="20" t="str">
        <x:v>GPT-5.5 Pro</x:v>
      </x:c>
      <x:c r="O228" s="20" t="str">
        <x:v>Needs review</x:v>
      </x:c>
      <x:c r="P228" s="20" t="str">
        <x:v>Screening score for Russia / Election interference in Burundi; verify with country-specific evidence before final use.</x:v>
      </x:c>
    </x:row>
    <x:row r="229" ht="24" customHeight="1">
      <x:c r="A229" s="20" t="str">
        <x:v>BDI|Russia|Security contractors</x:v>
      </x:c>
      <x:c r="B229" s="20" t="str">
        <x:v>Burundi</x:v>
      </x:c>
      <x:c r="C229" s="20" t="str">
        <x:v>BDI</x:v>
      </x:c>
      <x:c r="D229" s="20" t="str">
        <x:v>Russia</x:v>
      </x:c>
      <x:c r="E229" s="20" t="str">
        <x:v>Russian influence</x:v>
      </x:c>
      <x:c r="F229" s="20" t="str">
        <x:v>Security contractors</x:v>
      </x:c>
      <x:c r="G229" s="384" t="n">
        <x:v>1</x:v>
      </x:c>
      <x:c r="H229" s="396" t="n">
        <x:v>2</x:v>
      </x:c>
      <x:c r="I229" s="20" t="str">
        <x:v>Council of the EU/Treasury Wagner-security source register</x:v>
      </x:c>
      <x:c r="J229" s="397" t="str">
        <x:v>https://www.consilium.europa.eu/en/press/press-releases/2023/02/25/wagner-group-council-adds-11-individuals-and-7-entities-to-eu-sanctions-lists/</x:v>
      </x:c>
      <x:c r="K229" s="20" t="str">
        <x:v>Primary source-register URL; automated screening score</x:v>
      </x:c>
      <x:c r="L229" s="20" t="str">
        <x:v>2026-05-20</x:v>
      </x:c>
      <x:c r="M229" s="20" t="str">
        <x:v>2026-05-20</x:v>
      </x:c>
      <x:c r="N229" s="20" t="str">
        <x:v>GPT-5.5 Pro</x:v>
      </x:c>
      <x:c r="O229" s="20" t="str">
        <x:v>Needs review</x:v>
      </x:c>
      <x:c r="P229" s="20" t="str">
        <x:v>Screening score for Russia / Security contractors in Burundi; verify with country-specific evidence before final use.</x:v>
      </x:c>
    </x:row>
    <x:row r="230" ht="24" customHeight="1">
      <x:c r="A230" s="20" t="str">
        <x:v>BDI|China|Propaganda ecosystems</x:v>
      </x:c>
      <x:c r="B230" s="20" t="str">
        <x:v>Burundi</x:v>
      </x:c>
      <x:c r="C230" s="20" t="str">
        <x:v>BDI</x:v>
      </x:c>
      <x:c r="D230" s="20" t="str">
        <x:v>China</x:v>
      </x:c>
      <x:c r="E230" s="20" t="str">
        <x:v>Chinese influence</x:v>
      </x:c>
      <x:c r="F230" s="20" t="str">
        <x:v>Propaganda ecosystems</x:v>
      </x:c>
      <x:c r="G230" s="384" t="n">
        <x:v>5</x:v>
      </x:c>
      <x:c r="H230" s="396" t="n">
        <x:v>3</x:v>
      </x:c>
      <x:c r="I230" s="20" t="str">
        <x:v>EEAS/ODNI China FIMI source register</x:v>
      </x:c>
      <x:c r="J230" s="397" t="str">
        <x:v>https://www.eeas.europa.eu/eeas/4th-eeas-annual-report-foreign-information-manipulation-and-interference-threats_en</x:v>
      </x:c>
      <x:c r="K230" s="20" t="str">
        <x:v>Primary source-register URL; automated screening score</x:v>
      </x:c>
      <x:c r="L230" s="20" t="str">
        <x:v>2026-05-20</x:v>
      </x:c>
      <x:c r="M230" s="20" t="str">
        <x:v>2026-05-20</x:v>
      </x:c>
      <x:c r="N230" s="20" t="str">
        <x:v>GPT-5.5 Pro</x:v>
      </x:c>
      <x:c r="O230" s="20" t="str">
        <x:v>Needs review</x:v>
      </x:c>
      <x:c r="P230" s="20" t="str">
        <x:v>Screening score for China / Propaganda ecosystems in Burundi; verify with country-specific evidence before final use.</x:v>
      </x:c>
    </x:row>
    <x:row r="231" ht="24" customHeight="1">
      <x:c r="A231" s="20" t="str">
        <x:v>BDI|China|PMC presence</x:v>
      </x:c>
      <x:c r="B231" s="20" t="str">
        <x:v>Burundi</x:v>
      </x:c>
      <x:c r="C231" s="20" t="str">
        <x:v>BDI</x:v>
      </x:c>
      <x:c r="D231" s="20" t="str">
        <x:v>China</x:v>
      </x:c>
      <x:c r="E231" s="20" t="str">
        <x:v>Chinese influence</x:v>
      </x:c>
      <x:c r="F231" s="20" t="str">
        <x:v>PMC presence</x:v>
      </x:c>
      <x:c r="G231" s="384" t="n">
        <x:v>1</x:v>
      </x:c>
      <x:c r="H231" s="396" t="n">
        <x:v>2</x:v>
      </x:c>
      <x:c r="I231" s="20" t="str">
        <x:v>MERICS/Carnegie Chinese overseas PSC source register</x:v>
      </x:c>
      <x:c r="J231" s="397" t="str">
        <x:v>https://merics.org/en/report/guardians-belt-and-road</x:v>
      </x:c>
      <x:c r="K231" s="20" t="str">
        <x:v>Primary source-register URL; automated screening score</x:v>
      </x:c>
      <x:c r="L231" s="20" t="str">
        <x:v>2026-05-20</x:v>
      </x:c>
      <x:c r="M231" s="20" t="str">
        <x:v>2026-05-20</x:v>
      </x:c>
      <x:c r="N231" s="20" t="str">
        <x:v>GPT-5.5 Pro</x:v>
      </x:c>
      <x:c r="O231" s="20" t="str">
        <x:v>Needs review</x:v>
      </x:c>
      <x:c r="P231" s="20" t="str">
        <x:v>Screening score for China / PMC presence in Burundi; verify with country-specific evidence before final use.</x:v>
      </x:c>
    </x:row>
    <x:row r="232" ht="24" customHeight="1">
      <x:c r="A232" s="20" t="str">
        <x:v>BDI|China|Election interference</x:v>
      </x:c>
      <x:c r="B232" s="20" t="str">
        <x:v>Burundi</x:v>
      </x:c>
      <x:c r="C232" s="20" t="str">
        <x:v>BDI</x:v>
      </x:c>
      <x:c r="D232" s="20" t="str">
        <x:v>China</x:v>
      </x:c>
      <x:c r="E232" s="20" t="str">
        <x:v>Chinese influence</x:v>
      </x:c>
      <x:c r="F232" s="20" t="str">
        <x:v>Election interference</x:v>
      </x:c>
      <x:c r="G232" s="384" t="n">
        <x:v>1</x:v>
      </x:c>
      <x:c r="H232" s="396" t="n">
        <x:v>2</x:v>
      </x:c>
      <x:c r="I232" s="20" t="str">
        <x:v>EEAS/ODNI China election-FIMI source register</x:v>
      </x:c>
      <x:c r="J232" s="397" t="str">
        <x:v>https://www.eeas.europa.eu/eeas/4th-eeas-annual-report-foreign-information-manipulation-and-interference-threats_en</x:v>
      </x:c>
      <x:c r="K232" s="20" t="str">
        <x:v>Primary source-register URL; automated screening score</x:v>
      </x:c>
      <x:c r="L232" s="20" t="str">
        <x:v>2026-05-20</x:v>
      </x:c>
      <x:c r="M232" s="20" t="str">
        <x:v>2026-05-20</x:v>
      </x:c>
      <x:c r="N232" s="20" t="str">
        <x:v>GPT-5.5 Pro</x:v>
      </x:c>
      <x:c r="O232" s="20" t="str">
        <x:v>Needs review</x:v>
      </x:c>
      <x:c r="P232" s="20" t="str">
        <x:v>Screening score for China / Election interference in Burundi; verify with country-specific evidence before final use.</x:v>
      </x:c>
    </x:row>
    <x:row r="233" ht="24" customHeight="1">
      <x:c r="A233" s="20" t="str">
        <x:v>BDI|China|Security contractors</x:v>
      </x:c>
      <x:c r="B233" s="20" t="str">
        <x:v>Burundi</x:v>
      </x:c>
      <x:c r="C233" s="20" t="str">
        <x:v>BDI</x:v>
      </x:c>
      <x:c r="D233" s="20" t="str">
        <x:v>China</x:v>
      </x:c>
      <x:c r="E233" s="20" t="str">
        <x:v>Chinese influence</x:v>
      </x:c>
      <x:c r="F233" s="20" t="str">
        <x:v>Security contractors</x:v>
      </x:c>
      <x:c r="G233" s="384" t="n">
        <x:v>1</x:v>
      </x:c>
      <x:c r="H233" s="396" t="n">
        <x:v>2</x:v>
      </x:c>
      <x:c r="I233" s="20" t="str">
        <x:v>MERICS/Carnegie Chinese security contractor source register</x:v>
      </x:c>
      <x:c r="J233" s="397" t="str">
        <x:v>https://merics.org/en/report/guardians-belt-and-road</x:v>
      </x:c>
      <x:c r="K233" s="20" t="str">
        <x:v>Primary source-register URL; automated screening score</x:v>
      </x:c>
      <x:c r="L233" s="20" t="str">
        <x:v>2026-05-20</x:v>
      </x:c>
      <x:c r="M233" s="20" t="str">
        <x:v>2026-05-20</x:v>
      </x:c>
      <x:c r="N233" s="20" t="str">
        <x:v>GPT-5.5 Pro</x:v>
      </x:c>
      <x:c r="O233" s="20" t="str">
        <x:v>Needs review</x:v>
      </x:c>
      <x:c r="P233" s="20" t="str">
        <x:v>Screening score for China / Security contractors in Burundi; verify with country-specific evidence before final use.</x:v>
      </x:c>
    </x:row>
    <x:row r="234" ht="24" customHeight="1">
      <x:c r="A234" s="20" t="str">
        <x:v>BDI|United States|Propaganda ecosystems</x:v>
      </x:c>
      <x:c r="B234" s="20" t="str">
        <x:v>Burundi</x:v>
      </x:c>
      <x:c r="C234" s="20" t="str">
        <x:v>BDI</x:v>
      </x:c>
      <x:c r="D234" s="20" t="str">
        <x:v>United States</x:v>
      </x:c>
      <x:c r="E234" s="20" t="str">
        <x:v>American influence</x:v>
      </x:c>
      <x:c r="F234" s="20" t="str">
        <x:v>Propaganda ecosystems</x:v>
      </x:c>
      <x:c r="G234" s="384" t="n">
        <x:v>4</x:v>
      </x:c>
      <x:c r="H234" s="396" t="n">
        <x:v>3</x:v>
      </x:c>
      <x:c r="I234" s="20" t="str">
        <x:v>USAGM public media source register</x:v>
      </x:c>
      <x:c r="J234" s="397" t="str">
        <x:v>https://www.usagm.gov/our-work/strategy-and-results/strategic-priorities/research-reports/</x:v>
      </x:c>
      <x:c r="K234" s="20" t="str">
        <x:v>Primary source-register URL; automated screening score</x:v>
      </x:c>
      <x:c r="L234" s="20" t="str">
        <x:v>2026-05-20</x:v>
      </x:c>
      <x:c r="M234" s="20" t="str">
        <x:v>2026-05-20</x:v>
      </x:c>
      <x:c r="N234" s="20" t="str">
        <x:v>GPT-5.5 Pro</x:v>
      </x:c>
      <x:c r="O234" s="20" t="str">
        <x:v>Needs review</x:v>
      </x:c>
      <x:c r="P234" s="20" t="str">
        <x:v>Screening score for United States / Propaganda ecosystems in Burundi; verify with country-specific evidence before final use.</x:v>
      </x:c>
    </x:row>
    <x:row r="235" ht="24" customHeight="1">
      <x:c r="A235" s="20" t="str">
        <x:v>BDI|United States|PMC presence</x:v>
      </x:c>
      <x:c r="B235" s="20" t="str">
        <x:v>Burundi</x:v>
      </x:c>
      <x:c r="C235" s="20" t="str">
        <x:v>BDI</x:v>
      </x:c>
      <x:c r="D235" s="20" t="str">
        <x:v>United States</x:v>
      </x:c>
      <x:c r="E235" s="20" t="str">
        <x:v>American influence</x:v>
      </x:c>
      <x:c r="F235" s="20" t="str">
        <x:v>PMC presence</x:v>
      </x:c>
      <x:c r="G235" s="384" t="n">
        <x:v>2</x:v>
      </x:c>
      <x:c r="H235" s="396" t="n">
        <x:v>2</x:v>
      </x:c>
      <x:c r="I235" s="20" t="str">
        <x:v>SAM/Greenbook U.S. security assistance contractor source register</x:v>
      </x:c>
      <x:c r="J235" s="397" t="str">
        <x:v>https://internationalpolicy.org/programs/sam/</x:v>
      </x:c>
      <x:c r="K235" s="20" t="str">
        <x:v>Primary source-register URL; automated screening score</x:v>
      </x:c>
      <x:c r="L235" s="20" t="str">
        <x:v>2026-05-20</x:v>
      </x:c>
      <x:c r="M235" s="20" t="str">
        <x:v>2026-05-20</x:v>
      </x:c>
      <x:c r="N235" s="20" t="str">
        <x:v>GPT-5.5 Pro</x:v>
      </x:c>
      <x:c r="O235" s="20" t="str">
        <x:v>Needs review</x:v>
      </x:c>
      <x:c r="P235" s="20" t="str">
        <x:v>Screening score for United States / PMC presence in Burundi; verify with country-specific evidence before final use.</x:v>
      </x:c>
    </x:row>
    <x:row r="236" ht="24" customHeight="1">
      <x:c r="A236" s="20" t="str">
        <x:v>BDI|United States|Election interference</x:v>
      </x:c>
      <x:c r="B236" s="20" t="str">
        <x:v>Burundi</x:v>
      </x:c>
      <x:c r="C236" s="20" t="str">
        <x:v>BDI</x:v>
      </x:c>
      <x:c r="D236" s="20" t="str">
        <x:v>United States</x:v>
      </x:c>
      <x:c r="E236" s="20" t="str">
        <x:v>American influence</x:v>
      </x:c>
      <x:c r="F236" s="20" t="str">
        <x:v>Election interference</x:v>
      </x:c>
      <x:c r="G236" s="384" t="n">
        <x:v>2</x:v>
      </x:c>
      <x:c r="H236" s="396" t="n">
        <x:v>2</x:v>
      </x:c>
      <x:c r="I236" s="20" t="str">
        <x:v>NED/Greenbook democracy assistance source register</x:v>
      </x:c>
      <x:c r="J236" s="397" t="str">
        <x:v>https://www.ned.org/ned-grantmaking/</x:v>
      </x:c>
      <x:c r="K236" s="20" t="str">
        <x:v>Primary source-register URL; automated screening score</x:v>
      </x:c>
      <x:c r="L236" s="20" t="str">
        <x:v>2026-05-20</x:v>
      </x:c>
      <x:c r="M236" s="20" t="str">
        <x:v>2026-05-20</x:v>
      </x:c>
      <x:c r="N236" s="20" t="str">
        <x:v>GPT-5.5 Pro</x:v>
      </x:c>
      <x:c r="O236" s="20" t="str">
        <x:v>Needs review</x:v>
      </x:c>
      <x:c r="P236" s="20" t="str">
        <x:v>Screening score for United States / Election interference in Burundi; verify with country-specific evidence before final use.</x:v>
      </x:c>
    </x:row>
    <x:row r="237" ht="24" customHeight="1">
      <x:c r="A237" s="20" t="str">
        <x:v>BDI|United States|Security contractors</x:v>
      </x:c>
      <x:c r="B237" s="20" t="str">
        <x:v>Burundi</x:v>
      </x:c>
      <x:c r="C237" s="20" t="str">
        <x:v>BDI</x:v>
      </x:c>
      <x:c r="D237" s="20" t="str">
        <x:v>United States</x:v>
      </x:c>
      <x:c r="E237" s="20" t="str">
        <x:v>American influence</x:v>
      </x:c>
      <x:c r="F237" s="20" t="str">
        <x:v>Security contractors</x:v>
      </x:c>
      <x:c r="G237" s="384" t="n">
        <x:v>3</x:v>
      </x:c>
      <x:c r="H237" s="396" t="n">
        <x:v>3</x:v>
      </x:c>
      <x:c r="I237" s="20" t="str">
        <x:v>SAM/Greenbook U.S. security contractor source register</x:v>
      </x:c>
      <x:c r="J237" s="397" t="str">
        <x:v>https://internationalpolicy.org/programs/sam/</x:v>
      </x:c>
      <x:c r="K237" s="20" t="str">
        <x:v>Primary source-register URL; automated screening score</x:v>
      </x:c>
      <x:c r="L237" s="20" t="str">
        <x:v>2026-05-20</x:v>
      </x:c>
      <x:c r="M237" s="20" t="str">
        <x:v>2026-05-20</x:v>
      </x:c>
      <x:c r="N237" s="20" t="str">
        <x:v>GPT-5.5 Pro</x:v>
      </x:c>
      <x:c r="O237" s="20" t="str">
        <x:v>Needs review</x:v>
      </x:c>
      <x:c r="P237" s="20" t="str">
        <x:v>Screening score for United States / Security contractors in Burundi; verify with country-specific evidence before final use.</x:v>
      </x:c>
    </x:row>
    <x:row r="238" ht="24" customHeight="1">
      <x:c r="A238" s="20" t="str">
        <x:v>BDI|European Union|Propaganda ecosystems</x:v>
      </x:c>
      <x:c r="B238" s="20" t="str">
        <x:v>Burundi</x:v>
      </x:c>
      <x:c r="C238" s="20" t="str">
        <x:v>BDI</x:v>
      </x:c>
      <x:c r="D238" s="20" t="str">
        <x:v>European Union</x:v>
      </x:c>
      <x:c r="E238" s="20" t="str">
        <x:v>EU influence</x:v>
      </x:c>
      <x:c r="F238" s="20" t="str">
        <x:v>Propaganda ecosystems</x:v>
      </x:c>
      <x:c r="G238" s="384" t="n">
        <x:v>3</x:v>
      </x:c>
      <x:c r="H238" s="396" t="n">
        <x:v>3</x:v>
      </x:c>
      <x:c r="I238" s="20" t="str">
        <x:v>EEAS public diplomacy source register</x:v>
      </x:c>
      <x:c r="J238" s="397" t="str">
        <x:v>https://www.eeas.europa.eu/eeas/public-diplomacy_en</x:v>
      </x:c>
      <x:c r="K238" s="20" t="str">
        <x:v>Primary source-register URL; automated screening score</x:v>
      </x:c>
      <x:c r="L238" s="20" t="str">
        <x:v>2026-05-20</x:v>
      </x:c>
      <x:c r="M238" s="20" t="str">
        <x:v>2026-05-20</x:v>
      </x:c>
      <x:c r="N238" s="20" t="str">
        <x:v>GPT-5.5 Pro</x:v>
      </x:c>
      <x:c r="O238" s="20" t="str">
        <x:v>Needs review</x:v>
      </x:c>
      <x:c r="P238" s="20" t="str">
        <x:v>Screening score for European Union / Propaganda ecosystems in Burundi; verify with country-specific evidence before final use.</x:v>
      </x:c>
    </x:row>
    <x:row r="239" ht="24" customHeight="1">
      <x:c r="A239" s="20" t="str">
        <x:v>BDI|European Union|PMC presence</x:v>
      </x:c>
      <x:c r="B239" s="20" t="str">
        <x:v>Burundi</x:v>
      </x:c>
      <x:c r="C239" s="20" t="str">
        <x:v>BDI</x:v>
      </x:c>
      <x:c r="D239" s="20" t="str">
        <x:v>European Union</x:v>
      </x:c>
      <x:c r="E239" s="20" t="str">
        <x:v>EU influence</x:v>
      </x:c>
      <x:c r="F239" s="20" t="str">
        <x:v>PMC presence</x:v>
      </x:c>
      <x:c r="G239" s="384" t="n">
        <x:v>0</x:v>
      </x:c>
      <x:c r="H239" s="396" t="n">
        <x:v>1</x:v>
      </x:c>
      <x:c r="I239" s="20" t="str">
        <x:v>EEAS CSDP missions source register</x:v>
      </x:c>
      <x:c r="J239" s="397" t="str">
        <x:v>https://www.eeas.europa.eu/eeas/missions-and-operations_en</x:v>
      </x:c>
      <x:c r="K239" s="20" t="str">
        <x:v>Primary source-register URL; automated screening score</x:v>
      </x:c>
      <x:c r="L239" s="20" t="str">
        <x:v>2026-05-20</x:v>
      </x:c>
      <x:c r="M239" s="20" t="str">
        <x:v>2026-05-20</x:v>
      </x:c>
      <x:c r="N239" s="20" t="str">
        <x:v>GPT-5.5 Pro</x:v>
      </x:c>
      <x:c r="O239" s="20" t="str">
        <x:v>Needs review</x:v>
      </x:c>
      <x:c r="P239" s="20" t="str">
        <x:v>Screening score for European Union / PMC presence in Burundi; verify with country-specific evidence before final use.</x:v>
      </x:c>
    </x:row>
    <x:row r="240" ht="24" customHeight="1">
      <x:c r="A240" s="20" t="str">
        <x:v>BDI|European Union|Election interference</x:v>
      </x:c>
      <x:c r="B240" s="20" t="str">
        <x:v>Burundi</x:v>
      </x:c>
      <x:c r="C240" s="20" t="str">
        <x:v>BDI</x:v>
      </x:c>
      <x:c r="D240" s="20" t="str">
        <x:v>European Union</x:v>
      </x:c>
      <x:c r="E240" s="20" t="str">
        <x:v>EU influence</x:v>
      </x:c>
      <x:c r="F240" s="20" t="str">
        <x:v>Election interference</x:v>
      </x:c>
      <x:c r="G240" s="384" t="n">
        <x:v>1</x:v>
      </x:c>
      <x:c r="H240" s="396" t="n">
        <x:v>2</x:v>
      </x:c>
      <x:c r="I240" s="20" t="str">
        <x:v>EEAS EU election observation source register</x:v>
      </x:c>
      <x:c r="J240" s="397" t="str">
        <x:v>https://www.eeas.europa.eu/eeas/eu-election-observation-missions-1_en?page_lang=en</x:v>
      </x:c>
      <x:c r="K240" s="20" t="str">
        <x:v>Primary source-register URL; automated screening score</x:v>
      </x:c>
      <x:c r="L240" s="20" t="str">
        <x:v>2026-05-20</x:v>
      </x:c>
      <x:c r="M240" s="20" t="str">
        <x:v>2026-05-20</x:v>
      </x:c>
      <x:c r="N240" s="20" t="str">
        <x:v>GPT-5.5 Pro</x:v>
      </x:c>
      <x:c r="O240" s="20" t="str">
        <x:v>Needs review</x:v>
      </x:c>
      <x:c r="P240" s="20" t="str">
        <x:v>Screening score for European Union / Election interference in Burundi; verify with country-specific evidence before final use.</x:v>
      </x:c>
    </x:row>
    <x:row r="241" ht="24" customHeight="1">
      <x:c r="A241" s="20" t="str">
        <x:v>BDI|European Union|Security contractors</x:v>
      </x:c>
      <x:c r="B241" s="20" t="str">
        <x:v>Burundi</x:v>
      </x:c>
      <x:c r="C241" s="20" t="str">
        <x:v>BDI</x:v>
      </x:c>
      <x:c r="D241" s="20" t="str">
        <x:v>European Union</x:v>
      </x:c>
      <x:c r="E241" s="20" t="str">
        <x:v>EU influence</x:v>
      </x:c>
      <x:c r="F241" s="20" t="str">
        <x:v>Security contractors</x:v>
      </x:c>
      <x:c r="G241" s="384" t="n">
        <x:v>2</x:v>
      </x:c>
      <x:c r="H241" s="396" t="n">
        <x:v>2</x:v>
      </x:c>
      <x:c r="I241" s="20" t="str">
        <x:v>EEAS CSDP / Global Gateway security source register</x:v>
      </x:c>
      <x:c r="J241" s="397" t="str">
        <x:v>https://www.eeas.europa.eu/eeas/missions-and-operations_en</x:v>
      </x:c>
      <x:c r="K241" s="20" t="str">
        <x:v>Primary source-register URL; automated screening score</x:v>
      </x:c>
      <x:c r="L241" s="20" t="str">
        <x:v>2026-05-20</x:v>
      </x:c>
      <x:c r="M241" s="20" t="str">
        <x:v>2026-05-20</x:v>
      </x:c>
      <x:c r="N241" s="20" t="str">
        <x:v>GPT-5.5 Pro</x:v>
      </x:c>
      <x:c r="O241" s="20" t="str">
        <x:v>Needs review</x:v>
      </x:c>
      <x:c r="P241" s="20" t="str">
        <x:v>Screening score for European Union / Security contractors in Burundi; verify with country-specific evidence before final use.</x:v>
      </x:c>
    </x:row>
    <x:row r="242" ht="24" customHeight="1">
      <x:c r="A242" s="20" t="str">
        <x:v>KHM|Russia|Propaganda ecosystems</x:v>
      </x:c>
      <x:c r="B242" s="20" t="str">
        <x:v>Cambodia</x:v>
      </x:c>
      <x:c r="C242" s="20" t="str">
        <x:v>KHM</x:v>
      </x:c>
      <x:c r="D242" s="20" t="str">
        <x:v>Russia</x:v>
      </x:c>
      <x:c r="E242" s="20" t="str">
        <x:v>Russian influence</x:v>
      </x:c>
      <x:c r="F242" s="20" t="str">
        <x:v>Propaganda ecosystems</x:v>
      </x:c>
      <x:c r="G242" s="384" t="n">
        <x:v>2</x:v>
      </x:c>
      <x:c r="H242" s="396" t="n">
        <x:v>2</x:v>
      </x:c>
      <x:c r="I242" s="20" t="str">
        <x:v>EEAS/EUvsDisinfo FIMI source register</x:v>
      </x:c>
      <x:c r="J242" s="397" t="str">
        <x:v>https://www.eeas.europa.eu/eeas/4th-eeas-annual-report-foreign-information-manipulation-and-interference-threats_en</x:v>
      </x:c>
      <x:c r="K242" s="20" t="str">
        <x:v>Primary source-register URL; automated screening score</x:v>
      </x:c>
      <x:c r="L242" s="20" t="str">
        <x:v>2026-05-20</x:v>
      </x:c>
      <x:c r="M242" s="20" t="str">
        <x:v>2026-05-20</x:v>
      </x:c>
      <x:c r="N242" s="20" t="str">
        <x:v>GPT-5.5 Pro</x:v>
      </x:c>
      <x:c r="O242" s="20" t="str">
        <x:v>Needs review</x:v>
      </x:c>
      <x:c r="P242" s="20" t="str">
        <x:v>Screening score for Russia / Propaganda ecosystems in Cambodia; verify with country-specific evidence before final use.</x:v>
      </x:c>
    </x:row>
    <x:row r="243" ht="24" customHeight="1">
      <x:c r="A243" s="20" t="str">
        <x:v>KHM|Russia|PMC presence</x:v>
      </x:c>
      <x:c r="B243" s="20" t="str">
        <x:v>Cambodia</x:v>
      </x:c>
      <x:c r="C243" s="20" t="str">
        <x:v>KHM</x:v>
      </x:c>
      <x:c r="D243" s="20" t="str">
        <x:v>Russia</x:v>
      </x:c>
      <x:c r="E243" s="20" t="str">
        <x:v>Russian influence</x:v>
      </x:c>
      <x:c r="F243" s="20" t="str">
        <x:v>PMC presence</x:v>
      </x:c>
      <x:c r="G243" s="384" t="n">
        <x:v>0</x:v>
      </x:c>
      <x:c r="H243" s="396" t="n">
        <x:v>1</x:v>
      </x:c>
      <x:c r="I243" s="20" t="str">
        <x:v>Treasury and Council of the EU Wagner/PMC source register</x:v>
      </x:c>
      <x:c r="J243" s="397" t="str">
        <x:v>https://www.consilium.europa.eu/en/press/press-releases/2023/02/25/wagner-group-council-adds-11-individuals-and-7-entities-to-eu-sanctions-lists/</x:v>
      </x:c>
      <x:c r="K243" s="20" t="str">
        <x:v>Primary source-register URL; automated screening score</x:v>
      </x:c>
      <x:c r="L243" s="20" t="str">
        <x:v>2026-05-20</x:v>
      </x:c>
      <x:c r="M243" s="20" t="str">
        <x:v>2026-05-20</x:v>
      </x:c>
      <x:c r="N243" s="20" t="str">
        <x:v>GPT-5.5 Pro</x:v>
      </x:c>
      <x:c r="O243" s="20" t="str">
        <x:v>Needs review</x:v>
      </x:c>
      <x:c r="P243" s="20" t="str">
        <x:v>Screening score for Russia / PMC presence in Cambodia; verify with country-specific evidence before final use.</x:v>
      </x:c>
    </x:row>
    <x:row r="244" ht="24" customHeight="1">
      <x:c r="A244" s="20" t="str">
        <x:v>KHM|Russia|Election interference</x:v>
      </x:c>
      <x:c r="B244" s="20" t="str">
        <x:v>Cambodia</x:v>
      </x:c>
      <x:c r="C244" s="20" t="str">
        <x:v>KHM</x:v>
      </x:c>
      <x:c r="D244" s="20" t="str">
        <x:v>Russia</x:v>
      </x:c>
      <x:c r="E244" s="20" t="str">
        <x:v>Russian influence</x:v>
      </x:c>
      <x:c r="F244" s="20" t="str">
        <x:v>Election interference</x:v>
      </x:c>
      <x:c r="G244" s="384" t="n">
        <x:v>0</x:v>
      </x:c>
      <x:c r="H244" s="396" t="n">
        <x:v>1</x:v>
      </x:c>
      <x:c r="I244" s="20" t="str">
        <x:v>ODNI/EEAS election-FIMI source register</x:v>
      </x:c>
      <x:c r="J244" s="397" t="str">
        <x:v>https://www.dni.gov/files/ODNI/documents/assessments/ATA-2026-Unclassified-Report.pdf</x:v>
      </x:c>
      <x:c r="K244" s="20" t="str">
        <x:v>Primary source-register URL; automated screening score</x:v>
      </x:c>
      <x:c r="L244" s="20" t="str">
        <x:v>2026-05-20</x:v>
      </x:c>
      <x:c r="M244" s="20" t="str">
        <x:v>2026-05-20</x:v>
      </x:c>
      <x:c r="N244" s="20" t="str">
        <x:v>GPT-5.5 Pro</x:v>
      </x:c>
      <x:c r="O244" s="20" t="str">
        <x:v>Needs review</x:v>
      </x:c>
      <x:c r="P244" s="20" t="str">
        <x:v>Screening score for Russia / Election interference in Cambodia; verify with country-specific evidence before final use.</x:v>
      </x:c>
    </x:row>
    <x:row r="245" ht="24" customHeight="1">
      <x:c r="A245" s="20" t="str">
        <x:v>KHM|Russia|Security contractors</x:v>
      </x:c>
      <x:c r="B245" s="20" t="str">
        <x:v>Cambodia</x:v>
      </x:c>
      <x:c r="C245" s="20" t="str">
        <x:v>KHM</x:v>
      </x:c>
      <x:c r="D245" s="20" t="str">
        <x:v>Russia</x:v>
      </x:c>
      <x:c r="E245" s="20" t="str">
        <x:v>Russian influence</x:v>
      </x:c>
      <x:c r="F245" s="20" t="str">
        <x:v>Security contractors</x:v>
      </x:c>
      <x:c r="G245" s="384" t="n">
        <x:v>0</x:v>
      </x:c>
      <x:c r="H245" s="396" t="n">
        <x:v>1</x:v>
      </x:c>
      <x:c r="I245" s="20" t="str">
        <x:v>Council of the EU/Treasury Wagner-security source register</x:v>
      </x:c>
      <x:c r="J245" s="397" t="str">
        <x:v>https://www.consilium.europa.eu/en/press/press-releases/2023/02/25/wagner-group-council-adds-11-individuals-and-7-entities-to-eu-sanctions-lists/</x:v>
      </x:c>
      <x:c r="K245" s="20" t="str">
        <x:v>Primary source-register URL; automated screening score</x:v>
      </x:c>
      <x:c r="L245" s="20" t="str">
        <x:v>2026-05-20</x:v>
      </x:c>
      <x:c r="M245" s="20" t="str">
        <x:v>2026-05-20</x:v>
      </x:c>
      <x:c r="N245" s="20" t="str">
        <x:v>GPT-5.5 Pro</x:v>
      </x:c>
      <x:c r="O245" s="20" t="str">
        <x:v>Needs review</x:v>
      </x:c>
      <x:c r="P245" s="20" t="str">
        <x:v>Screening score for Russia / Security contractors in Cambodia; verify with country-specific evidence before final use.</x:v>
      </x:c>
    </x:row>
    <x:row r="246" ht="24" customHeight="1">
      <x:c r="A246" s="20" t="str">
        <x:v>KHM|China|Propaganda ecosystems</x:v>
      </x:c>
      <x:c r="B246" s="20" t="str">
        <x:v>Cambodia</x:v>
      </x:c>
      <x:c r="C246" s="20" t="str">
        <x:v>KHM</x:v>
      </x:c>
      <x:c r="D246" s="20" t="str">
        <x:v>China</x:v>
      </x:c>
      <x:c r="E246" s="20" t="str">
        <x:v>Chinese influence</x:v>
      </x:c>
      <x:c r="F246" s="20" t="str">
        <x:v>Propaganda ecosystems</x:v>
      </x:c>
      <x:c r="G246" s="384" t="n">
        <x:v>6</x:v>
      </x:c>
      <x:c r="H246" s="396" t="n">
        <x:v>4</x:v>
      </x:c>
      <x:c r="I246" s="20" t="str">
        <x:v>EEAS/ODNI China FIMI source register</x:v>
      </x:c>
      <x:c r="J246" s="397" t="str">
        <x:v>https://www.eeas.europa.eu/eeas/4th-eeas-annual-report-foreign-information-manipulation-and-interference-threats_en</x:v>
      </x:c>
      <x:c r="K246" s="20" t="str">
        <x:v>Primary source-register URL; automated screening score</x:v>
      </x:c>
      <x:c r="L246" s="20" t="str">
        <x:v>2026-05-20</x:v>
      </x:c>
      <x:c r="M246" s="20" t="str">
        <x:v>2026-05-20</x:v>
      </x:c>
      <x:c r="N246" s="20" t="str">
        <x:v>GPT-5.5 Pro</x:v>
      </x:c>
      <x:c r="O246" s="20" t="str">
        <x:v>Needs review</x:v>
      </x:c>
      <x:c r="P246" s="20" t="str">
        <x:v>Screening score for China / Propaganda ecosystems in Cambodia; verify with country-specific evidence before final use.</x:v>
      </x:c>
    </x:row>
    <x:row r="247" ht="24" customHeight="1">
      <x:c r="A247" s="20" t="str">
        <x:v>KHM|China|PMC presence</x:v>
      </x:c>
      <x:c r="B247" s="20" t="str">
        <x:v>Cambodia</x:v>
      </x:c>
      <x:c r="C247" s="20" t="str">
        <x:v>KHM</x:v>
      </x:c>
      <x:c r="D247" s="20" t="str">
        <x:v>China</x:v>
      </x:c>
      <x:c r="E247" s="20" t="str">
        <x:v>Chinese influence</x:v>
      </x:c>
      <x:c r="F247" s="20" t="str">
        <x:v>PMC presence</x:v>
      </x:c>
      <x:c r="G247" s="384" t="n">
        <x:v>2</x:v>
      </x:c>
      <x:c r="H247" s="396" t="n">
        <x:v>2</x:v>
      </x:c>
      <x:c r="I247" s="20" t="str">
        <x:v>MERICS/Carnegie Chinese overseas PSC source register</x:v>
      </x:c>
      <x:c r="J247" s="397" t="str">
        <x:v>https://merics.org/en/report/guardians-belt-and-road</x:v>
      </x:c>
      <x:c r="K247" s="20" t="str">
        <x:v>Primary source-register URL; automated screening score</x:v>
      </x:c>
      <x:c r="L247" s="20" t="str">
        <x:v>2026-05-20</x:v>
      </x:c>
      <x:c r="M247" s="20" t="str">
        <x:v>2026-05-20</x:v>
      </x:c>
      <x:c r="N247" s="20" t="str">
        <x:v>GPT-5.5 Pro</x:v>
      </x:c>
      <x:c r="O247" s="20" t="str">
        <x:v>Needs review</x:v>
      </x:c>
      <x:c r="P247" s="20" t="str">
        <x:v>Screening score for China / PMC presence in Cambodia; verify with country-specific evidence before final use.</x:v>
      </x:c>
    </x:row>
    <x:row r="248" ht="24" customHeight="1">
      <x:c r="A248" s="20" t="str">
        <x:v>KHM|China|Election interference</x:v>
      </x:c>
      <x:c r="B248" s="20" t="str">
        <x:v>Cambodia</x:v>
      </x:c>
      <x:c r="C248" s="20" t="str">
        <x:v>KHM</x:v>
      </x:c>
      <x:c r="D248" s="20" t="str">
        <x:v>China</x:v>
      </x:c>
      <x:c r="E248" s="20" t="str">
        <x:v>Chinese influence</x:v>
      </x:c>
      <x:c r="F248" s="20" t="str">
        <x:v>Election interference</x:v>
      </x:c>
      <x:c r="G248" s="384" t="n">
        <x:v>3</x:v>
      </x:c>
      <x:c r="H248" s="396" t="n">
        <x:v>3</x:v>
      </x:c>
      <x:c r="I248" s="20" t="str">
        <x:v>EEAS/ODNI China election-FIMI source register</x:v>
      </x:c>
      <x:c r="J248" s="397" t="str">
        <x:v>https://www.eeas.europa.eu/eeas/4th-eeas-annual-report-foreign-information-manipulation-and-interference-threats_en</x:v>
      </x:c>
      <x:c r="K248" s="20" t="str">
        <x:v>Primary source-register URL; automated screening score</x:v>
      </x:c>
      <x:c r="L248" s="20" t="str">
        <x:v>2026-05-20</x:v>
      </x:c>
      <x:c r="M248" s="20" t="str">
        <x:v>2026-05-20</x:v>
      </x:c>
      <x:c r="N248" s="20" t="str">
        <x:v>GPT-5.5 Pro</x:v>
      </x:c>
      <x:c r="O248" s="20" t="str">
        <x:v>Needs review</x:v>
      </x:c>
      <x:c r="P248" s="20" t="str">
        <x:v>Screening score for China / Election interference in Cambodia; verify with country-specific evidence before final use.</x:v>
      </x:c>
    </x:row>
    <x:row r="249" ht="24" customHeight="1">
      <x:c r="A249" s="20" t="str">
        <x:v>KHM|China|Security contractors</x:v>
      </x:c>
      <x:c r="B249" s="20" t="str">
        <x:v>Cambodia</x:v>
      </x:c>
      <x:c r="C249" s="20" t="str">
        <x:v>KHM</x:v>
      </x:c>
      <x:c r="D249" s="20" t="str">
        <x:v>China</x:v>
      </x:c>
      <x:c r="E249" s="20" t="str">
        <x:v>Chinese influence</x:v>
      </x:c>
      <x:c r="F249" s="20" t="str">
        <x:v>Security contractors</x:v>
      </x:c>
      <x:c r="G249" s="384" t="n">
        <x:v>3</x:v>
      </x:c>
      <x:c r="H249" s="396" t="n">
        <x:v>3</x:v>
      </x:c>
      <x:c r="I249" s="20" t="str">
        <x:v>MERICS/Carnegie Chinese security contractor source register</x:v>
      </x:c>
      <x:c r="J249" s="397" t="str">
        <x:v>https://merics.org/en/report/guardians-belt-and-road</x:v>
      </x:c>
      <x:c r="K249" s="20" t="str">
        <x:v>Primary source-register URL; automated screening score</x:v>
      </x:c>
      <x:c r="L249" s="20" t="str">
        <x:v>2026-05-20</x:v>
      </x:c>
      <x:c r="M249" s="20" t="str">
        <x:v>2026-05-20</x:v>
      </x:c>
      <x:c r="N249" s="20" t="str">
        <x:v>GPT-5.5 Pro</x:v>
      </x:c>
      <x:c r="O249" s="20" t="str">
        <x:v>Needs review</x:v>
      </x:c>
      <x:c r="P249" s="20" t="str">
        <x:v>Screening score for China / Security contractors in Cambodia; verify with country-specific evidence before final use.</x:v>
      </x:c>
    </x:row>
    <x:row r="250" ht="24" customHeight="1">
      <x:c r="A250" s="20" t="str">
        <x:v>KHM|United States|Propaganda ecosystems</x:v>
      </x:c>
      <x:c r="B250" s="20" t="str">
        <x:v>Cambodia</x:v>
      </x:c>
      <x:c r="C250" s="20" t="str">
        <x:v>KHM</x:v>
      </x:c>
      <x:c r="D250" s="20" t="str">
        <x:v>United States</x:v>
      </x:c>
      <x:c r="E250" s="20" t="str">
        <x:v>American influence</x:v>
      </x:c>
      <x:c r="F250" s="20" t="str">
        <x:v>Propaganda ecosystems</x:v>
      </x:c>
      <x:c r="G250" s="384" t="n">
        <x:v>3</x:v>
      </x:c>
      <x:c r="H250" s="396" t="n">
        <x:v>3</x:v>
      </x:c>
      <x:c r="I250" s="20" t="str">
        <x:v>USAGM public media source register</x:v>
      </x:c>
      <x:c r="J250" s="397" t="str">
        <x:v>https://www.usagm.gov/our-work/strategy-and-results/strategic-priorities/research-reports/</x:v>
      </x:c>
      <x:c r="K250" s="20" t="str">
        <x:v>Primary source-register URL; automated screening score</x:v>
      </x:c>
      <x:c r="L250" s="20" t="str">
        <x:v>2026-05-20</x:v>
      </x:c>
      <x:c r="M250" s="20" t="str">
        <x:v>2026-05-20</x:v>
      </x:c>
      <x:c r="N250" s="20" t="str">
        <x:v>GPT-5.5 Pro</x:v>
      </x:c>
      <x:c r="O250" s="20" t="str">
        <x:v>Needs review</x:v>
      </x:c>
      <x:c r="P250" s="20" t="str">
        <x:v>Screening score for United States / Propaganda ecosystems in Cambodia; verify with country-specific evidence before final use.</x:v>
      </x:c>
    </x:row>
    <x:row r="251" ht="24" customHeight="1">
      <x:c r="A251" s="20" t="str">
        <x:v>KHM|United States|PMC presence</x:v>
      </x:c>
      <x:c r="B251" s="20" t="str">
        <x:v>Cambodia</x:v>
      </x:c>
      <x:c r="C251" s="20" t="str">
        <x:v>KHM</x:v>
      </x:c>
      <x:c r="D251" s="20" t="str">
        <x:v>United States</x:v>
      </x:c>
      <x:c r="E251" s="20" t="str">
        <x:v>American influence</x:v>
      </x:c>
      <x:c r="F251" s="20" t="str">
        <x:v>PMC presence</x:v>
      </x:c>
      <x:c r="G251" s="384" t="n">
        <x:v>1</x:v>
      </x:c>
      <x:c r="H251" s="396" t="n">
        <x:v>2</x:v>
      </x:c>
      <x:c r="I251" s="20" t="str">
        <x:v>SAM/Greenbook U.S. security assistance contractor source register</x:v>
      </x:c>
      <x:c r="J251" s="397" t="str">
        <x:v>https://internationalpolicy.org/programs/sam/</x:v>
      </x:c>
      <x:c r="K251" s="20" t="str">
        <x:v>Primary source-register URL; automated screening score</x:v>
      </x:c>
      <x:c r="L251" s="20" t="str">
        <x:v>2026-05-20</x:v>
      </x:c>
      <x:c r="M251" s="20" t="str">
        <x:v>2026-05-20</x:v>
      </x:c>
      <x:c r="N251" s="20" t="str">
        <x:v>GPT-5.5 Pro</x:v>
      </x:c>
      <x:c r="O251" s="20" t="str">
        <x:v>Needs review</x:v>
      </x:c>
      <x:c r="P251" s="20" t="str">
        <x:v>Screening score for United States / PMC presence in Cambodia; verify with country-specific evidence before final use.</x:v>
      </x:c>
    </x:row>
    <x:row r="252" ht="24" customHeight="1">
      <x:c r="A252" s="20" t="str">
        <x:v>KHM|United States|Election interference</x:v>
      </x:c>
      <x:c r="B252" s="20" t="str">
        <x:v>Cambodia</x:v>
      </x:c>
      <x:c r="C252" s="20" t="str">
        <x:v>KHM</x:v>
      </x:c>
      <x:c r="D252" s="20" t="str">
        <x:v>United States</x:v>
      </x:c>
      <x:c r="E252" s="20" t="str">
        <x:v>American influence</x:v>
      </x:c>
      <x:c r="F252" s="20" t="str">
        <x:v>Election interference</x:v>
      </x:c>
      <x:c r="G252" s="384" t="n">
        <x:v>2</x:v>
      </x:c>
      <x:c r="H252" s="396" t="n">
        <x:v>2</x:v>
      </x:c>
      <x:c r="I252" s="20" t="str">
        <x:v>NED/Greenbook democracy assistance source register</x:v>
      </x:c>
      <x:c r="J252" s="397" t="str">
        <x:v>https://www.ned.org/ned-grantmaking/</x:v>
      </x:c>
      <x:c r="K252" s="20" t="str">
        <x:v>Primary source-register URL; automated screening score</x:v>
      </x:c>
      <x:c r="L252" s="20" t="str">
        <x:v>2026-05-20</x:v>
      </x:c>
      <x:c r="M252" s="20" t="str">
        <x:v>2026-05-20</x:v>
      </x:c>
      <x:c r="N252" s="20" t="str">
        <x:v>GPT-5.5 Pro</x:v>
      </x:c>
      <x:c r="O252" s="20" t="str">
        <x:v>Needs review</x:v>
      </x:c>
      <x:c r="P252" s="20" t="str">
        <x:v>Screening score for United States / Election interference in Cambodia; verify with country-specific evidence before final use.</x:v>
      </x:c>
    </x:row>
    <x:row r="253" ht="24" customHeight="1">
      <x:c r="A253" s="20" t="str">
        <x:v>KHM|United States|Security contractors</x:v>
      </x:c>
      <x:c r="B253" s="20" t="str">
        <x:v>Cambodia</x:v>
      </x:c>
      <x:c r="C253" s="20" t="str">
        <x:v>KHM</x:v>
      </x:c>
      <x:c r="D253" s="20" t="str">
        <x:v>United States</x:v>
      </x:c>
      <x:c r="E253" s="20" t="str">
        <x:v>American influence</x:v>
      </x:c>
      <x:c r="F253" s="20" t="str">
        <x:v>Security contractors</x:v>
      </x:c>
      <x:c r="G253" s="384" t="n">
        <x:v>2</x:v>
      </x:c>
      <x:c r="H253" s="396" t="n">
        <x:v>2</x:v>
      </x:c>
      <x:c r="I253" s="20" t="str">
        <x:v>SAM/Greenbook U.S. security contractor source register</x:v>
      </x:c>
      <x:c r="J253" s="397" t="str">
        <x:v>https://internationalpolicy.org/programs/sam/</x:v>
      </x:c>
      <x:c r="K253" s="20" t="str">
        <x:v>Primary source-register URL; automated screening score</x:v>
      </x:c>
      <x:c r="L253" s="20" t="str">
        <x:v>2026-05-20</x:v>
      </x:c>
      <x:c r="M253" s="20" t="str">
        <x:v>2026-05-20</x:v>
      </x:c>
      <x:c r="N253" s="20" t="str">
        <x:v>GPT-5.5 Pro</x:v>
      </x:c>
      <x:c r="O253" s="20" t="str">
        <x:v>Needs review</x:v>
      </x:c>
      <x:c r="P253" s="20" t="str">
        <x:v>Screening score for United States / Security contractors in Cambodia; verify with country-specific evidence before final use.</x:v>
      </x:c>
    </x:row>
    <x:row r="254" ht="24" customHeight="1">
      <x:c r="A254" s="20" t="str">
        <x:v>KHM|European Union|Propaganda ecosystems</x:v>
      </x:c>
      <x:c r="B254" s="20" t="str">
        <x:v>Cambodia</x:v>
      </x:c>
      <x:c r="C254" s="20" t="str">
        <x:v>KHM</x:v>
      </x:c>
      <x:c r="D254" s="20" t="str">
        <x:v>European Union</x:v>
      </x:c>
      <x:c r="E254" s="20" t="str">
        <x:v>EU influence</x:v>
      </x:c>
      <x:c r="F254" s="20" t="str">
        <x:v>Propaganda ecosystems</x:v>
      </x:c>
      <x:c r="G254" s="384" t="n">
        <x:v>2</x:v>
      </x:c>
      <x:c r="H254" s="396" t="n">
        <x:v>2</x:v>
      </x:c>
      <x:c r="I254" s="20" t="str">
        <x:v>EEAS public diplomacy source register</x:v>
      </x:c>
      <x:c r="J254" s="397" t="str">
        <x:v>https://www.eeas.europa.eu/eeas/public-diplomacy_en</x:v>
      </x:c>
      <x:c r="K254" s="20" t="str">
        <x:v>Primary source-register URL; automated screening score</x:v>
      </x:c>
      <x:c r="L254" s="20" t="str">
        <x:v>2026-05-20</x:v>
      </x:c>
      <x:c r="M254" s="20" t="str">
        <x:v>2026-05-20</x:v>
      </x:c>
      <x:c r="N254" s="20" t="str">
        <x:v>GPT-5.5 Pro</x:v>
      </x:c>
      <x:c r="O254" s="20" t="str">
        <x:v>Needs review</x:v>
      </x:c>
      <x:c r="P254" s="20" t="str">
        <x:v>Screening score for European Union / Propaganda ecosystems in Cambodia; verify with country-specific evidence before final use.</x:v>
      </x:c>
    </x:row>
    <x:row r="255" ht="24" customHeight="1">
      <x:c r="A255" s="20" t="str">
        <x:v>KHM|European Union|PMC presence</x:v>
      </x:c>
      <x:c r="B255" s="20" t="str">
        <x:v>Cambodia</x:v>
      </x:c>
      <x:c r="C255" s="20" t="str">
        <x:v>KHM</x:v>
      </x:c>
      <x:c r="D255" s="20" t="str">
        <x:v>European Union</x:v>
      </x:c>
      <x:c r="E255" s="20" t="str">
        <x:v>EU influence</x:v>
      </x:c>
      <x:c r="F255" s="20" t="str">
        <x:v>PMC presence</x:v>
      </x:c>
      <x:c r="G255" s="384" t="n">
        <x:v>0</x:v>
      </x:c>
      <x:c r="H255" s="396" t="n">
        <x:v>1</x:v>
      </x:c>
      <x:c r="I255" s="20" t="str">
        <x:v>EEAS CSDP missions source register</x:v>
      </x:c>
      <x:c r="J255" s="397" t="str">
        <x:v>https://www.eeas.europa.eu/eeas/missions-and-operations_en</x:v>
      </x:c>
      <x:c r="K255" s="20" t="str">
        <x:v>Primary source-register URL; automated screening score</x:v>
      </x:c>
      <x:c r="L255" s="20" t="str">
        <x:v>2026-05-20</x:v>
      </x:c>
      <x:c r="M255" s="20" t="str">
        <x:v>2026-05-20</x:v>
      </x:c>
      <x:c r="N255" s="20" t="str">
        <x:v>GPT-5.5 Pro</x:v>
      </x:c>
      <x:c r="O255" s="20" t="str">
        <x:v>Needs review</x:v>
      </x:c>
      <x:c r="P255" s="20" t="str">
        <x:v>Screening score for European Union / PMC presence in Cambodia; verify with country-specific evidence before final use.</x:v>
      </x:c>
    </x:row>
    <x:row r="256" ht="24" customHeight="1">
      <x:c r="A256" s="20" t="str">
        <x:v>KHM|European Union|Election interference</x:v>
      </x:c>
      <x:c r="B256" s="20" t="str">
        <x:v>Cambodia</x:v>
      </x:c>
      <x:c r="C256" s="20" t="str">
        <x:v>KHM</x:v>
      </x:c>
      <x:c r="D256" s="20" t="str">
        <x:v>European Union</x:v>
      </x:c>
      <x:c r="E256" s="20" t="str">
        <x:v>EU influence</x:v>
      </x:c>
      <x:c r="F256" s="20" t="str">
        <x:v>Election interference</x:v>
      </x:c>
      <x:c r="G256" s="384" t="n">
        <x:v>1</x:v>
      </x:c>
      <x:c r="H256" s="396" t="n">
        <x:v>2</x:v>
      </x:c>
      <x:c r="I256" s="20" t="str">
        <x:v>EEAS EU election observation source register</x:v>
      </x:c>
      <x:c r="J256" s="397" t="str">
        <x:v>https://www.eeas.europa.eu/eeas/eu-election-observation-missions-1_en?page_lang=en</x:v>
      </x:c>
      <x:c r="K256" s="20" t="str">
        <x:v>Primary source-register URL; automated screening score</x:v>
      </x:c>
      <x:c r="L256" s="20" t="str">
        <x:v>2026-05-20</x:v>
      </x:c>
      <x:c r="M256" s="20" t="str">
        <x:v>2026-05-20</x:v>
      </x:c>
      <x:c r="N256" s="20" t="str">
        <x:v>GPT-5.5 Pro</x:v>
      </x:c>
      <x:c r="O256" s="20" t="str">
        <x:v>Needs review</x:v>
      </x:c>
      <x:c r="P256" s="20" t="str">
        <x:v>Screening score for European Union / Election interference in Cambodia; verify with country-specific evidence before final use.</x:v>
      </x:c>
    </x:row>
    <x:row r="257" ht="24" customHeight="1">
      <x:c r="A257" s="20" t="str">
        <x:v>KHM|European Union|Security contractors</x:v>
      </x:c>
      <x:c r="B257" s="20" t="str">
        <x:v>Cambodia</x:v>
      </x:c>
      <x:c r="C257" s="20" t="str">
        <x:v>KHM</x:v>
      </x:c>
      <x:c r="D257" s="20" t="str">
        <x:v>European Union</x:v>
      </x:c>
      <x:c r="E257" s="20" t="str">
        <x:v>EU influence</x:v>
      </x:c>
      <x:c r="F257" s="20" t="str">
        <x:v>Security contractors</x:v>
      </x:c>
      <x:c r="G257" s="384" t="n">
        <x:v>2</x:v>
      </x:c>
      <x:c r="H257" s="396" t="n">
        <x:v>2</x:v>
      </x:c>
      <x:c r="I257" s="20" t="str">
        <x:v>EEAS CSDP / Global Gateway security source register</x:v>
      </x:c>
      <x:c r="J257" s="397" t="str">
        <x:v>https://www.eeas.europa.eu/eeas/missions-and-operations_en</x:v>
      </x:c>
      <x:c r="K257" s="20" t="str">
        <x:v>Primary source-register URL; automated screening score</x:v>
      </x:c>
      <x:c r="L257" s="20" t="str">
        <x:v>2026-05-20</x:v>
      </x:c>
      <x:c r="M257" s="20" t="str">
        <x:v>2026-05-20</x:v>
      </x:c>
      <x:c r="N257" s="20" t="str">
        <x:v>GPT-5.5 Pro</x:v>
      </x:c>
      <x:c r="O257" s="20" t="str">
        <x:v>Needs review</x:v>
      </x:c>
      <x:c r="P257" s="20" t="str">
        <x:v>Screening score for European Union / Security contractors in Cambodia; verify with country-specific evidence before final use.</x:v>
      </x:c>
    </x:row>
    <x:row r="258" ht="24" customHeight="1">
      <x:c r="A258" s="20" t="str">
        <x:v>CMR|Russia|Propaganda ecosystems</x:v>
      </x:c>
      <x:c r="B258" s="20" t="str">
        <x:v>Cameroon</x:v>
      </x:c>
      <x:c r="C258" s="20" t="str">
        <x:v>CMR</x:v>
      </x:c>
      <x:c r="D258" s="20" t="str">
        <x:v>Russia</x:v>
      </x:c>
      <x:c r="E258" s="20" t="str">
        <x:v>Russian influence</x:v>
      </x:c>
      <x:c r="F258" s="20" t="str">
        <x:v>Propaganda ecosystems</x:v>
      </x:c>
      <x:c r="G258" s="384" t="n">
        <x:v>4</x:v>
      </x:c>
      <x:c r="H258" s="396" t="n">
        <x:v>3</x:v>
      </x:c>
      <x:c r="I258" s="20" t="str">
        <x:v>EEAS/EUvsDisinfo FIMI source register</x:v>
      </x:c>
      <x:c r="J258" s="397" t="str">
        <x:v>https://www.eeas.europa.eu/eeas/4th-eeas-annual-report-foreign-information-manipulation-and-interference-threats_en</x:v>
      </x:c>
      <x:c r="K258" s="20" t="str">
        <x:v>Primary source-register URL; automated screening score</x:v>
      </x:c>
      <x:c r="L258" s="20" t="str">
        <x:v>2026-05-20</x:v>
      </x:c>
      <x:c r="M258" s="20" t="str">
        <x:v>2026-05-20</x:v>
      </x:c>
      <x:c r="N258" s="20" t="str">
        <x:v>GPT-5.5 Pro</x:v>
      </x:c>
      <x:c r="O258" s="20" t="str">
        <x:v>Needs review</x:v>
      </x:c>
      <x:c r="P258" s="20" t="str">
        <x:v>Screening score for Russia / Propaganda ecosystems in Cameroon; verify with country-specific evidence before final use.</x:v>
      </x:c>
    </x:row>
    <x:row r="259" ht="24" customHeight="1">
      <x:c r="A259" s="20" t="str">
        <x:v>CMR|Russia|PMC presence</x:v>
      </x:c>
      <x:c r="B259" s="20" t="str">
        <x:v>Cameroon</x:v>
      </x:c>
      <x:c r="C259" s="20" t="str">
        <x:v>CMR</x:v>
      </x:c>
      <x:c r="D259" s="20" t="str">
        <x:v>Russia</x:v>
      </x:c>
      <x:c r="E259" s="20" t="str">
        <x:v>Russian influence</x:v>
      </x:c>
      <x:c r="F259" s="20" t="str">
        <x:v>PMC presence</x:v>
      </x:c>
      <x:c r="G259" s="384" t="n">
        <x:v>1</x:v>
      </x:c>
      <x:c r="H259" s="396" t="n">
        <x:v>2</x:v>
      </x:c>
      <x:c r="I259" s="20" t="str">
        <x:v>Treasury and Council of the EU Wagner/PMC source register</x:v>
      </x:c>
      <x:c r="J259" s="397" t="str">
        <x:v>https://www.consilium.europa.eu/en/press/press-releases/2023/02/25/wagner-group-council-adds-11-individuals-and-7-entities-to-eu-sanctions-lists/</x:v>
      </x:c>
      <x:c r="K259" s="20" t="str">
        <x:v>Primary source-register URL; automated screening score</x:v>
      </x:c>
      <x:c r="L259" s="20" t="str">
        <x:v>2026-05-20</x:v>
      </x:c>
      <x:c r="M259" s="20" t="str">
        <x:v>2026-05-20</x:v>
      </x:c>
      <x:c r="N259" s="20" t="str">
        <x:v>GPT-5.5 Pro</x:v>
      </x:c>
      <x:c r="O259" s="20" t="str">
        <x:v>Needs review</x:v>
      </x:c>
      <x:c r="P259" s="20" t="str">
        <x:v>Screening score for Russia / PMC presence in Cameroon; verify with country-specific evidence before final use.</x:v>
      </x:c>
    </x:row>
    <x:row r="260" ht="24" customHeight="1">
      <x:c r="A260" s="20" t="str">
        <x:v>CMR|Russia|Election interference</x:v>
      </x:c>
      <x:c r="B260" s="20" t="str">
        <x:v>Cameroon</x:v>
      </x:c>
      <x:c r="C260" s="20" t="str">
        <x:v>CMR</x:v>
      </x:c>
      <x:c r="D260" s="20" t="str">
        <x:v>Russia</x:v>
      </x:c>
      <x:c r="E260" s="20" t="str">
        <x:v>Russian influence</x:v>
      </x:c>
      <x:c r="F260" s="20" t="str">
        <x:v>Election interference</x:v>
      </x:c>
      <x:c r="G260" s="384" t="n">
        <x:v>1</x:v>
      </x:c>
      <x:c r="H260" s="396" t="n">
        <x:v>2</x:v>
      </x:c>
      <x:c r="I260" s="20" t="str">
        <x:v>ODNI/EEAS election-FIMI source register</x:v>
      </x:c>
      <x:c r="J260" s="397" t="str">
        <x:v>https://www.dni.gov/files/ODNI/documents/assessments/ATA-2026-Unclassified-Report.pdf</x:v>
      </x:c>
      <x:c r="K260" s="20" t="str">
        <x:v>Primary source-register URL; automated screening score</x:v>
      </x:c>
      <x:c r="L260" s="20" t="str">
        <x:v>2026-05-20</x:v>
      </x:c>
      <x:c r="M260" s="20" t="str">
        <x:v>2026-05-20</x:v>
      </x:c>
      <x:c r="N260" s="20" t="str">
        <x:v>GPT-5.5 Pro</x:v>
      </x:c>
      <x:c r="O260" s="20" t="str">
        <x:v>Needs review</x:v>
      </x:c>
      <x:c r="P260" s="20" t="str">
        <x:v>Screening score for Russia / Election interference in Cameroon; verify with country-specific evidence before final use.</x:v>
      </x:c>
    </x:row>
    <x:row r="261" ht="24" customHeight="1">
      <x:c r="A261" s="20" t="str">
        <x:v>CMR|Russia|Security contractors</x:v>
      </x:c>
      <x:c r="B261" s="20" t="str">
        <x:v>Cameroon</x:v>
      </x:c>
      <x:c r="C261" s="20" t="str">
        <x:v>CMR</x:v>
      </x:c>
      <x:c r="D261" s="20" t="str">
        <x:v>Russia</x:v>
      </x:c>
      <x:c r="E261" s="20" t="str">
        <x:v>Russian influence</x:v>
      </x:c>
      <x:c r="F261" s="20" t="str">
        <x:v>Security contractors</x:v>
      </x:c>
      <x:c r="G261" s="384" t="n">
        <x:v>1</x:v>
      </x:c>
      <x:c r="H261" s="396" t="n">
        <x:v>2</x:v>
      </x:c>
      <x:c r="I261" s="20" t="str">
        <x:v>Council of the EU/Treasury Wagner-security source register</x:v>
      </x:c>
      <x:c r="J261" s="397" t="str">
        <x:v>https://www.consilium.europa.eu/en/press/press-releases/2023/02/25/wagner-group-council-adds-11-individuals-and-7-entities-to-eu-sanctions-lists/</x:v>
      </x:c>
      <x:c r="K261" s="20" t="str">
        <x:v>Primary source-register URL; automated screening score</x:v>
      </x:c>
      <x:c r="L261" s="20" t="str">
        <x:v>2026-05-20</x:v>
      </x:c>
      <x:c r="M261" s="20" t="str">
        <x:v>2026-05-20</x:v>
      </x:c>
      <x:c r="N261" s="20" t="str">
        <x:v>GPT-5.5 Pro</x:v>
      </x:c>
      <x:c r="O261" s="20" t="str">
        <x:v>Needs review</x:v>
      </x:c>
      <x:c r="P261" s="20" t="str">
        <x:v>Screening score for Russia / Security contractors in Cameroon; verify with country-specific evidence before final use.</x:v>
      </x:c>
    </x:row>
    <x:row r="262" ht="24" customHeight="1">
      <x:c r="A262" s="20" t="str">
        <x:v>CMR|China|Propaganda ecosystems</x:v>
      </x:c>
      <x:c r="B262" s="20" t="str">
        <x:v>Cameroon</x:v>
      </x:c>
      <x:c r="C262" s="20" t="str">
        <x:v>CMR</x:v>
      </x:c>
      <x:c r="D262" s="20" t="str">
        <x:v>China</x:v>
      </x:c>
      <x:c r="E262" s="20" t="str">
        <x:v>Chinese influence</x:v>
      </x:c>
      <x:c r="F262" s="20" t="str">
        <x:v>Propaganda ecosystems</x:v>
      </x:c>
      <x:c r="G262" s="384" t="n">
        <x:v>5</x:v>
      </x:c>
      <x:c r="H262" s="396" t="n">
        <x:v>3</x:v>
      </x:c>
      <x:c r="I262" s="20" t="str">
        <x:v>EEAS/ODNI China FIMI source register</x:v>
      </x:c>
      <x:c r="J262" s="397" t="str">
        <x:v>https://www.eeas.europa.eu/eeas/4th-eeas-annual-report-foreign-information-manipulation-and-interference-threats_en</x:v>
      </x:c>
      <x:c r="K262" s="20" t="str">
        <x:v>Primary source-register URL; automated screening score</x:v>
      </x:c>
      <x:c r="L262" s="20" t="str">
        <x:v>2026-05-20</x:v>
      </x:c>
      <x:c r="M262" s="20" t="str">
        <x:v>2026-05-20</x:v>
      </x:c>
      <x:c r="N262" s="20" t="str">
        <x:v>GPT-5.5 Pro</x:v>
      </x:c>
      <x:c r="O262" s="20" t="str">
        <x:v>Needs review</x:v>
      </x:c>
      <x:c r="P262" s="20" t="str">
        <x:v>Screening score for China / Propaganda ecosystems in Cameroon; verify with country-specific evidence before final use.</x:v>
      </x:c>
    </x:row>
    <x:row r="263" ht="24" customHeight="1">
      <x:c r="A263" s="20" t="str">
        <x:v>CMR|China|PMC presence</x:v>
      </x:c>
      <x:c r="B263" s="20" t="str">
        <x:v>Cameroon</x:v>
      </x:c>
      <x:c r="C263" s="20" t="str">
        <x:v>CMR</x:v>
      </x:c>
      <x:c r="D263" s="20" t="str">
        <x:v>China</x:v>
      </x:c>
      <x:c r="E263" s="20" t="str">
        <x:v>Chinese influence</x:v>
      </x:c>
      <x:c r="F263" s="20" t="str">
        <x:v>PMC presence</x:v>
      </x:c>
      <x:c r="G263" s="384" t="n">
        <x:v>1</x:v>
      </x:c>
      <x:c r="H263" s="396" t="n">
        <x:v>2</x:v>
      </x:c>
      <x:c r="I263" s="20" t="str">
        <x:v>MERICS/Carnegie Chinese overseas PSC source register</x:v>
      </x:c>
      <x:c r="J263" s="397" t="str">
        <x:v>https://merics.org/en/report/guardians-belt-and-road</x:v>
      </x:c>
      <x:c r="K263" s="20" t="str">
        <x:v>Primary source-register URL; automated screening score</x:v>
      </x:c>
      <x:c r="L263" s="20" t="str">
        <x:v>2026-05-20</x:v>
      </x:c>
      <x:c r="M263" s="20" t="str">
        <x:v>2026-05-20</x:v>
      </x:c>
      <x:c r="N263" s="20" t="str">
        <x:v>GPT-5.5 Pro</x:v>
      </x:c>
      <x:c r="O263" s="20" t="str">
        <x:v>Needs review</x:v>
      </x:c>
      <x:c r="P263" s="20" t="str">
        <x:v>Screening score for China / PMC presence in Cameroon; verify with country-specific evidence before final use.</x:v>
      </x:c>
    </x:row>
    <x:row r="264" ht="24" customHeight="1">
      <x:c r="A264" s="20" t="str">
        <x:v>CMR|China|Election interference</x:v>
      </x:c>
      <x:c r="B264" s="20" t="str">
        <x:v>Cameroon</x:v>
      </x:c>
      <x:c r="C264" s="20" t="str">
        <x:v>CMR</x:v>
      </x:c>
      <x:c r="D264" s="20" t="str">
        <x:v>China</x:v>
      </x:c>
      <x:c r="E264" s="20" t="str">
        <x:v>Chinese influence</x:v>
      </x:c>
      <x:c r="F264" s="20" t="str">
        <x:v>Election interference</x:v>
      </x:c>
      <x:c r="G264" s="384" t="n">
        <x:v>1</x:v>
      </x:c>
      <x:c r="H264" s="396" t="n">
        <x:v>2</x:v>
      </x:c>
      <x:c r="I264" s="20" t="str">
        <x:v>EEAS/ODNI China election-FIMI source register</x:v>
      </x:c>
      <x:c r="J264" s="397" t="str">
        <x:v>https://www.eeas.europa.eu/eeas/4th-eeas-annual-report-foreign-information-manipulation-and-interference-threats_en</x:v>
      </x:c>
      <x:c r="K264" s="20" t="str">
        <x:v>Primary source-register URL; automated screening score</x:v>
      </x:c>
      <x:c r="L264" s="20" t="str">
        <x:v>2026-05-20</x:v>
      </x:c>
      <x:c r="M264" s="20" t="str">
        <x:v>2026-05-20</x:v>
      </x:c>
      <x:c r="N264" s="20" t="str">
        <x:v>GPT-5.5 Pro</x:v>
      </x:c>
      <x:c r="O264" s="20" t="str">
        <x:v>Needs review</x:v>
      </x:c>
      <x:c r="P264" s="20" t="str">
        <x:v>Screening score for China / Election interference in Cameroon; verify with country-specific evidence before final use.</x:v>
      </x:c>
    </x:row>
    <x:row r="265" ht="24" customHeight="1">
      <x:c r="A265" s="20" t="str">
        <x:v>CMR|China|Security contractors</x:v>
      </x:c>
      <x:c r="B265" s="20" t="str">
        <x:v>Cameroon</x:v>
      </x:c>
      <x:c r="C265" s="20" t="str">
        <x:v>CMR</x:v>
      </x:c>
      <x:c r="D265" s="20" t="str">
        <x:v>China</x:v>
      </x:c>
      <x:c r="E265" s="20" t="str">
        <x:v>Chinese influence</x:v>
      </x:c>
      <x:c r="F265" s="20" t="str">
        <x:v>Security contractors</x:v>
      </x:c>
      <x:c r="G265" s="384" t="n">
        <x:v>1</x:v>
      </x:c>
      <x:c r="H265" s="396" t="n">
        <x:v>2</x:v>
      </x:c>
      <x:c r="I265" s="20" t="str">
        <x:v>MERICS/Carnegie Chinese security contractor source register</x:v>
      </x:c>
      <x:c r="J265" s="397" t="str">
        <x:v>https://merics.org/en/report/guardians-belt-and-road</x:v>
      </x:c>
      <x:c r="K265" s="20" t="str">
        <x:v>Primary source-register URL; automated screening score</x:v>
      </x:c>
      <x:c r="L265" s="20" t="str">
        <x:v>2026-05-20</x:v>
      </x:c>
      <x:c r="M265" s="20" t="str">
        <x:v>2026-05-20</x:v>
      </x:c>
      <x:c r="N265" s="20" t="str">
        <x:v>GPT-5.5 Pro</x:v>
      </x:c>
      <x:c r="O265" s="20" t="str">
        <x:v>Needs review</x:v>
      </x:c>
      <x:c r="P265" s="20" t="str">
        <x:v>Screening score for China / Security contractors in Cameroon; verify with country-specific evidence before final use.</x:v>
      </x:c>
    </x:row>
    <x:row r="266" ht="24" customHeight="1">
      <x:c r="A266" s="20" t="str">
        <x:v>CMR|United States|Propaganda ecosystems</x:v>
      </x:c>
      <x:c r="B266" s="20" t="str">
        <x:v>Cameroon</x:v>
      </x:c>
      <x:c r="C266" s="20" t="str">
        <x:v>CMR</x:v>
      </x:c>
      <x:c r="D266" s="20" t="str">
        <x:v>United States</x:v>
      </x:c>
      <x:c r="E266" s="20" t="str">
        <x:v>American influence</x:v>
      </x:c>
      <x:c r="F266" s="20" t="str">
        <x:v>Propaganda ecosystems</x:v>
      </x:c>
      <x:c r="G266" s="384" t="n">
        <x:v>4</x:v>
      </x:c>
      <x:c r="H266" s="396" t="n">
        <x:v>3</x:v>
      </x:c>
      <x:c r="I266" s="20" t="str">
        <x:v>USAGM public media source register</x:v>
      </x:c>
      <x:c r="J266" s="397" t="str">
        <x:v>https://www.usagm.gov/our-work/strategy-and-results/strategic-priorities/research-reports/</x:v>
      </x:c>
      <x:c r="K266" s="20" t="str">
        <x:v>Primary source-register URL; automated screening score</x:v>
      </x:c>
      <x:c r="L266" s="20" t="str">
        <x:v>2026-05-20</x:v>
      </x:c>
      <x:c r="M266" s="20" t="str">
        <x:v>2026-05-20</x:v>
      </x:c>
      <x:c r="N266" s="20" t="str">
        <x:v>GPT-5.5 Pro</x:v>
      </x:c>
      <x:c r="O266" s="20" t="str">
        <x:v>Needs review</x:v>
      </x:c>
      <x:c r="P266" s="20" t="str">
        <x:v>Screening score for United States / Propaganda ecosystems in Cameroon; verify with country-specific evidence before final use.</x:v>
      </x:c>
    </x:row>
    <x:row r="267" ht="24" customHeight="1">
      <x:c r="A267" s="20" t="str">
        <x:v>CMR|United States|PMC presence</x:v>
      </x:c>
      <x:c r="B267" s="20" t="str">
        <x:v>Cameroon</x:v>
      </x:c>
      <x:c r="C267" s="20" t="str">
        <x:v>CMR</x:v>
      </x:c>
      <x:c r="D267" s="20" t="str">
        <x:v>United States</x:v>
      </x:c>
      <x:c r="E267" s="20" t="str">
        <x:v>American influence</x:v>
      </x:c>
      <x:c r="F267" s="20" t="str">
        <x:v>PMC presence</x:v>
      </x:c>
      <x:c r="G267" s="384" t="n">
        <x:v>2</x:v>
      </x:c>
      <x:c r="H267" s="396" t="n">
        <x:v>2</x:v>
      </x:c>
      <x:c r="I267" s="20" t="str">
        <x:v>SAM/Greenbook U.S. security assistance contractor source register</x:v>
      </x:c>
      <x:c r="J267" s="397" t="str">
        <x:v>https://internationalpolicy.org/programs/sam/</x:v>
      </x:c>
      <x:c r="K267" s="20" t="str">
        <x:v>Primary source-register URL; automated screening score</x:v>
      </x:c>
      <x:c r="L267" s="20" t="str">
        <x:v>2026-05-20</x:v>
      </x:c>
      <x:c r="M267" s="20" t="str">
        <x:v>2026-05-20</x:v>
      </x:c>
      <x:c r="N267" s="20" t="str">
        <x:v>GPT-5.5 Pro</x:v>
      </x:c>
      <x:c r="O267" s="20" t="str">
        <x:v>Needs review</x:v>
      </x:c>
      <x:c r="P267" s="20" t="str">
        <x:v>Screening score for United States / PMC presence in Cameroon; verify with country-specific evidence before final use.</x:v>
      </x:c>
    </x:row>
    <x:row r="268" ht="24" customHeight="1">
      <x:c r="A268" s="20" t="str">
        <x:v>CMR|United States|Election interference</x:v>
      </x:c>
      <x:c r="B268" s="20" t="str">
        <x:v>Cameroon</x:v>
      </x:c>
      <x:c r="C268" s="20" t="str">
        <x:v>CMR</x:v>
      </x:c>
      <x:c r="D268" s="20" t="str">
        <x:v>United States</x:v>
      </x:c>
      <x:c r="E268" s="20" t="str">
        <x:v>American influence</x:v>
      </x:c>
      <x:c r="F268" s="20" t="str">
        <x:v>Election interference</x:v>
      </x:c>
      <x:c r="G268" s="384" t="n">
        <x:v>2</x:v>
      </x:c>
      <x:c r="H268" s="396" t="n">
        <x:v>2</x:v>
      </x:c>
      <x:c r="I268" s="20" t="str">
        <x:v>NED/Greenbook democracy assistance source register</x:v>
      </x:c>
      <x:c r="J268" s="397" t="str">
        <x:v>https://www.ned.org/ned-grantmaking/</x:v>
      </x:c>
      <x:c r="K268" s="20" t="str">
        <x:v>Primary source-register URL; automated screening score</x:v>
      </x:c>
      <x:c r="L268" s="20" t="str">
        <x:v>2026-05-20</x:v>
      </x:c>
      <x:c r="M268" s="20" t="str">
        <x:v>2026-05-20</x:v>
      </x:c>
      <x:c r="N268" s="20" t="str">
        <x:v>GPT-5.5 Pro</x:v>
      </x:c>
      <x:c r="O268" s="20" t="str">
        <x:v>Needs review</x:v>
      </x:c>
      <x:c r="P268" s="20" t="str">
        <x:v>Screening score for United States / Election interference in Cameroon; verify with country-specific evidence before final use.</x:v>
      </x:c>
    </x:row>
    <x:row r="269" ht="24" customHeight="1">
      <x:c r="A269" s="20" t="str">
        <x:v>CMR|United States|Security contractors</x:v>
      </x:c>
      <x:c r="B269" s="20" t="str">
        <x:v>Cameroon</x:v>
      </x:c>
      <x:c r="C269" s="20" t="str">
        <x:v>CMR</x:v>
      </x:c>
      <x:c r="D269" s="20" t="str">
        <x:v>United States</x:v>
      </x:c>
      <x:c r="E269" s="20" t="str">
        <x:v>American influence</x:v>
      </x:c>
      <x:c r="F269" s="20" t="str">
        <x:v>Security contractors</x:v>
      </x:c>
      <x:c r="G269" s="384" t="n">
        <x:v>3</x:v>
      </x:c>
      <x:c r="H269" s="396" t="n">
        <x:v>3</x:v>
      </x:c>
      <x:c r="I269" s="20" t="str">
        <x:v>SAM/Greenbook U.S. security contractor source register</x:v>
      </x:c>
      <x:c r="J269" s="397" t="str">
        <x:v>https://internationalpolicy.org/programs/sam/</x:v>
      </x:c>
      <x:c r="K269" s="20" t="str">
        <x:v>Primary source-register URL; automated screening score</x:v>
      </x:c>
      <x:c r="L269" s="20" t="str">
        <x:v>2026-05-20</x:v>
      </x:c>
      <x:c r="M269" s="20" t="str">
        <x:v>2026-05-20</x:v>
      </x:c>
      <x:c r="N269" s="20" t="str">
        <x:v>GPT-5.5 Pro</x:v>
      </x:c>
      <x:c r="O269" s="20" t="str">
        <x:v>Needs review</x:v>
      </x:c>
      <x:c r="P269" s="20" t="str">
        <x:v>Screening score for United States / Security contractors in Cameroon; verify with country-specific evidence before final use.</x:v>
      </x:c>
    </x:row>
    <x:row r="270" ht="24" customHeight="1">
      <x:c r="A270" s="20" t="str">
        <x:v>CMR|European Union|Propaganda ecosystems</x:v>
      </x:c>
      <x:c r="B270" s="20" t="str">
        <x:v>Cameroon</x:v>
      </x:c>
      <x:c r="C270" s="20" t="str">
        <x:v>CMR</x:v>
      </x:c>
      <x:c r="D270" s="20" t="str">
        <x:v>European Union</x:v>
      </x:c>
      <x:c r="E270" s="20" t="str">
        <x:v>EU influence</x:v>
      </x:c>
      <x:c r="F270" s="20" t="str">
        <x:v>Propaganda ecosystems</x:v>
      </x:c>
      <x:c r="G270" s="384" t="n">
        <x:v>3</x:v>
      </x:c>
      <x:c r="H270" s="396" t="n">
        <x:v>3</x:v>
      </x:c>
      <x:c r="I270" s="20" t="str">
        <x:v>EEAS public diplomacy source register</x:v>
      </x:c>
      <x:c r="J270" s="397" t="str">
        <x:v>https://www.eeas.europa.eu/eeas/public-diplomacy_en</x:v>
      </x:c>
      <x:c r="K270" s="20" t="str">
        <x:v>Primary source-register URL; automated screening score</x:v>
      </x:c>
      <x:c r="L270" s="20" t="str">
        <x:v>2026-05-20</x:v>
      </x:c>
      <x:c r="M270" s="20" t="str">
        <x:v>2026-05-20</x:v>
      </x:c>
      <x:c r="N270" s="20" t="str">
        <x:v>GPT-5.5 Pro</x:v>
      </x:c>
      <x:c r="O270" s="20" t="str">
        <x:v>Needs review</x:v>
      </x:c>
      <x:c r="P270" s="20" t="str">
        <x:v>Screening score for European Union / Propaganda ecosystems in Cameroon; verify with country-specific evidence before final use.</x:v>
      </x:c>
    </x:row>
    <x:row r="271" ht="24" customHeight="1">
      <x:c r="A271" s="20" t="str">
        <x:v>CMR|European Union|PMC presence</x:v>
      </x:c>
      <x:c r="B271" s="20" t="str">
        <x:v>Cameroon</x:v>
      </x:c>
      <x:c r="C271" s="20" t="str">
        <x:v>CMR</x:v>
      </x:c>
      <x:c r="D271" s="20" t="str">
        <x:v>European Union</x:v>
      </x:c>
      <x:c r="E271" s="20" t="str">
        <x:v>EU influence</x:v>
      </x:c>
      <x:c r="F271" s="20" t="str">
        <x:v>PMC presence</x:v>
      </x:c>
      <x:c r="G271" s="384" t="n">
        <x:v>0</x:v>
      </x:c>
      <x:c r="H271" s="396" t="n">
        <x:v>1</x:v>
      </x:c>
      <x:c r="I271" s="20" t="str">
        <x:v>EEAS CSDP missions source register</x:v>
      </x:c>
      <x:c r="J271" s="397" t="str">
        <x:v>https://www.eeas.europa.eu/eeas/missions-and-operations_en</x:v>
      </x:c>
      <x:c r="K271" s="20" t="str">
        <x:v>Primary source-register URL; automated screening score</x:v>
      </x:c>
      <x:c r="L271" s="20" t="str">
        <x:v>2026-05-20</x:v>
      </x:c>
      <x:c r="M271" s="20" t="str">
        <x:v>2026-05-20</x:v>
      </x:c>
      <x:c r="N271" s="20" t="str">
        <x:v>GPT-5.5 Pro</x:v>
      </x:c>
      <x:c r="O271" s="20" t="str">
        <x:v>Needs review</x:v>
      </x:c>
      <x:c r="P271" s="20" t="str">
        <x:v>Screening score for European Union / PMC presence in Cameroon; verify with country-specific evidence before final use.</x:v>
      </x:c>
    </x:row>
    <x:row r="272" ht="24" customHeight="1">
      <x:c r="A272" s="20" t="str">
        <x:v>CMR|European Union|Election interference</x:v>
      </x:c>
      <x:c r="B272" s="20" t="str">
        <x:v>Cameroon</x:v>
      </x:c>
      <x:c r="C272" s="20" t="str">
        <x:v>CMR</x:v>
      </x:c>
      <x:c r="D272" s="20" t="str">
        <x:v>European Union</x:v>
      </x:c>
      <x:c r="E272" s="20" t="str">
        <x:v>EU influence</x:v>
      </x:c>
      <x:c r="F272" s="20" t="str">
        <x:v>Election interference</x:v>
      </x:c>
      <x:c r="G272" s="384" t="n">
        <x:v>1</x:v>
      </x:c>
      <x:c r="H272" s="396" t="n">
        <x:v>2</x:v>
      </x:c>
      <x:c r="I272" s="20" t="str">
        <x:v>EEAS EU election observation source register</x:v>
      </x:c>
      <x:c r="J272" s="397" t="str">
        <x:v>https://www.eeas.europa.eu/eeas/eu-election-observation-missions-1_en?page_lang=en</x:v>
      </x:c>
      <x:c r="K272" s="20" t="str">
        <x:v>Primary source-register URL; automated screening score</x:v>
      </x:c>
      <x:c r="L272" s="20" t="str">
        <x:v>2026-05-20</x:v>
      </x:c>
      <x:c r="M272" s="20" t="str">
        <x:v>2026-05-20</x:v>
      </x:c>
      <x:c r="N272" s="20" t="str">
        <x:v>GPT-5.5 Pro</x:v>
      </x:c>
      <x:c r="O272" s="20" t="str">
        <x:v>Needs review</x:v>
      </x:c>
      <x:c r="P272" s="20" t="str">
        <x:v>Screening score for European Union / Election interference in Cameroon; verify with country-specific evidence before final use.</x:v>
      </x:c>
    </x:row>
    <x:row r="273" ht="24" customHeight="1">
      <x:c r="A273" s="20" t="str">
        <x:v>CMR|European Union|Security contractors</x:v>
      </x:c>
      <x:c r="B273" s="20" t="str">
        <x:v>Cameroon</x:v>
      </x:c>
      <x:c r="C273" s="20" t="str">
        <x:v>CMR</x:v>
      </x:c>
      <x:c r="D273" s="20" t="str">
        <x:v>European Union</x:v>
      </x:c>
      <x:c r="E273" s="20" t="str">
        <x:v>EU influence</x:v>
      </x:c>
      <x:c r="F273" s="20" t="str">
        <x:v>Security contractors</x:v>
      </x:c>
      <x:c r="G273" s="384" t="n">
        <x:v>2</x:v>
      </x:c>
      <x:c r="H273" s="396" t="n">
        <x:v>2</x:v>
      </x:c>
      <x:c r="I273" s="20" t="str">
        <x:v>EEAS CSDP / Global Gateway security source register</x:v>
      </x:c>
      <x:c r="J273" s="397" t="str">
        <x:v>https://www.eeas.europa.eu/eeas/missions-and-operations_en</x:v>
      </x:c>
      <x:c r="K273" s="20" t="str">
        <x:v>Primary source-register URL; automated screening score</x:v>
      </x:c>
      <x:c r="L273" s="20" t="str">
        <x:v>2026-05-20</x:v>
      </x:c>
      <x:c r="M273" s="20" t="str">
        <x:v>2026-05-20</x:v>
      </x:c>
      <x:c r="N273" s="20" t="str">
        <x:v>GPT-5.5 Pro</x:v>
      </x:c>
      <x:c r="O273" s="20" t="str">
        <x:v>Needs review</x:v>
      </x:c>
      <x:c r="P273" s="20" t="str">
        <x:v>Screening score for European Union / Security contractors in Cameroon; verify with country-specific evidence before final use.</x:v>
      </x:c>
    </x:row>
    <x:row r="274" ht="24" customHeight="1">
      <x:c r="A274" s="20" t="str">
        <x:v>CAN|Russia|Propaganda ecosystems</x:v>
      </x:c>
      <x:c r="B274" s="20" t="str">
        <x:v>Canada</x:v>
      </x:c>
      <x:c r="C274" s="20" t="str">
        <x:v>CAN</x:v>
      </x:c>
      <x:c r="D274" s="20" t="str">
        <x:v>Russia</x:v>
      </x:c>
      <x:c r="E274" s="20" t="str">
        <x:v>Russian influence</x:v>
      </x:c>
      <x:c r="F274" s="20" t="str">
        <x:v>Propaganda ecosystems</x:v>
      </x:c>
      <x:c r="G274" s="384" t="n">
        <x:v>5</x:v>
      </x:c>
      <x:c r="H274" s="396" t="n">
        <x:v>3</x:v>
      </x:c>
      <x:c r="I274" s="20" t="str">
        <x:v>EEAS/EUvsDisinfo FIMI source register</x:v>
      </x:c>
      <x:c r="J274" s="397" t="str">
        <x:v>https://www.eeas.europa.eu/eeas/4th-eeas-annual-report-foreign-information-manipulation-and-interference-threats_en</x:v>
      </x:c>
      <x:c r="K274" s="20" t="str">
        <x:v>Primary source-register URL; automated screening score</x:v>
      </x:c>
      <x:c r="L274" s="20" t="str">
        <x:v>2026-05-20</x:v>
      </x:c>
      <x:c r="M274" s="20" t="str">
        <x:v>2026-05-20</x:v>
      </x:c>
      <x:c r="N274" s="20" t="str">
        <x:v>GPT-5.5 Pro</x:v>
      </x:c>
      <x:c r="O274" s="20" t="str">
        <x:v>Needs review</x:v>
      </x:c>
      <x:c r="P274" s="20" t="str">
        <x:v>Screening score for Russia / Propaganda ecosystems in Canada; verify with country-specific evidence before final use.</x:v>
      </x:c>
    </x:row>
    <x:row r="275" ht="24" customHeight="1">
      <x:c r="A275" s="20" t="str">
        <x:v>CAN|Russia|PMC presence</x:v>
      </x:c>
      <x:c r="B275" s="20" t="str">
        <x:v>Canada</x:v>
      </x:c>
      <x:c r="C275" s="20" t="str">
        <x:v>CAN</x:v>
      </x:c>
      <x:c r="D275" s="20" t="str">
        <x:v>Russia</x:v>
      </x:c>
      <x:c r="E275" s="20" t="str">
        <x:v>Russian influence</x:v>
      </x:c>
      <x:c r="F275" s="20" t="str">
        <x:v>PMC presence</x:v>
      </x:c>
      <x:c r="G275" s="384" t="n">
        <x:v>0</x:v>
      </x:c>
      <x:c r="H275" s="396" t="n">
        <x:v>1</x:v>
      </x:c>
      <x:c r="I275" s="20" t="str">
        <x:v>Treasury and Council of the EU Wagner/PMC source register</x:v>
      </x:c>
      <x:c r="J275" s="397" t="str">
        <x:v>https://www.consilium.europa.eu/en/press/press-releases/2023/02/25/wagner-group-council-adds-11-individuals-and-7-entities-to-eu-sanctions-lists/</x:v>
      </x:c>
      <x:c r="K275" s="20" t="str">
        <x:v>Primary source-register URL; automated screening score</x:v>
      </x:c>
      <x:c r="L275" s="20" t="str">
        <x:v>2026-05-20</x:v>
      </x:c>
      <x:c r="M275" s="20" t="str">
        <x:v>2026-05-20</x:v>
      </x:c>
      <x:c r="N275" s="20" t="str">
        <x:v>GPT-5.5 Pro</x:v>
      </x:c>
      <x:c r="O275" s="20" t="str">
        <x:v>Needs review</x:v>
      </x:c>
      <x:c r="P275" s="20" t="str">
        <x:v>Screening score for Russia / PMC presence in Canada; verify with country-specific evidence before final use.</x:v>
      </x:c>
    </x:row>
    <x:row r="276" ht="24" customHeight="1">
      <x:c r="A276" s="20" t="str">
        <x:v>CAN|Russia|Election interference</x:v>
      </x:c>
      <x:c r="B276" s="20" t="str">
        <x:v>Canada</x:v>
      </x:c>
      <x:c r="C276" s="20" t="str">
        <x:v>CAN</x:v>
      </x:c>
      <x:c r="D276" s="20" t="str">
        <x:v>Russia</x:v>
      </x:c>
      <x:c r="E276" s="20" t="str">
        <x:v>Russian influence</x:v>
      </x:c>
      <x:c r="F276" s="20" t="str">
        <x:v>Election interference</x:v>
      </x:c>
      <x:c r="G276" s="384" t="n">
        <x:v>5</x:v>
      </x:c>
      <x:c r="H276" s="396" t="n">
        <x:v>3</x:v>
      </x:c>
      <x:c r="I276" s="20" t="str">
        <x:v>ODNI/EEAS election-FIMI source register</x:v>
      </x:c>
      <x:c r="J276" s="397" t="str">
        <x:v>https://www.dni.gov/files/ODNI/documents/assessments/ATA-2026-Unclassified-Report.pdf</x:v>
      </x:c>
      <x:c r="K276" s="20" t="str">
        <x:v>Primary source-register URL; automated screening score</x:v>
      </x:c>
      <x:c r="L276" s="20" t="str">
        <x:v>2026-05-20</x:v>
      </x:c>
      <x:c r="M276" s="20" t="str">
        <x:v>2026-05-20</x:v>
      </x:c>
      <x:c r="N276" s="20" t="str">
        <x:v>GPT-5.5 Pro</x:v>
      </x:c>
      <x:c r="O276" s="20" t="str">
        <x:v>Needs review</x:v>
      </x:c>
      <x:c r="P276" s="20" t="str">
        <x:v>Screening score for Russia / Election interference in Canada; verify with country-specific evidence before final use.</x:v>
      </x:c>
    </x:row>
    <x:row r="277" ht="24" customHeight="1">
      <x:c r="A277" s="20" t="str">
        <x:v>CAN|Russia|Security contractors</x:v>
      </x:c>
      <x:c r="B277" s="20" t="str">
        <x:v>Canada</x:v>
      </x:c>
      <x:c r="C277" s="20" t="str">
        <x:v>CAN</x:v>
      </x:c>
      <x:c r="D277" s="20" t="str">
        <x:v>Russia</x:v>
      </x:c>
      <x:c r="E277" s="20" t="str">
        <x:v>Russian influence</x:v>
      </x:c>
      <x:c r="F277" s="20" t="str">
        <x:v>Security contractors</x:v>
      </x:c>
      <x:c r="G277" s="384" t="n">
        <x:v>0</x:v>
      </x:c>
      <x:c r="H277" s="396" t="n">
        <x:v>1</x:v>
      </x:c>
      <x:c r="I277" s="20" t="str">
        <x:v>Council of the EU/Treasury Wagner-security source register</x:v>
      </x:c>
      <x:c r="J277" s="397" t="str">
        <x:v>https://www.consilium.europa.eu/en/press/press-releases/2023/02/25/wagner-group-council-adds-11-individuals-and-7-entities-to-eu-sanctions-lists/</x:v>
      </x:c>
      <x:c r="K277" s="20" t="str">
        <x:v>Primary source-register URL; automated screening score</x:v>
      </x:c>
      <x:c r="L277" s="20" t="str">
        <x:v>2026-05-20</x:v>
      </x:c>
      <x:c r="M277" s="20" t="str">
        <x:v>2026-05-20</x:v>
      </x:c>
      <x:c r="N277" s="20" t="str">
        <x:v>GPT-5.5 Pro</x:v>
      </x:c>
      <x:c r="O277" s="20" t="str">
        <x:v>Needs review</x:v>
      </x:c>
      <x:c r="P277" s="20" t="str">
        <x:v>Screening score for Russia / Security contractors in Canada; verify with country-specific evidence before final use.</x:v>
      </x:c>
    </x:row>
    <x:row r="278" ht="24" customHeight="1">
      <x:c r="A278" s="20" t="str">
        <x:v>CAN|China|Propaganda ecosystems</x:v>
      </x:c>
      <x:c r="B278" s="20" t="str">
        <x:v>Canada</x:v>
      </x:c>
      <x:c r="C278" s="20" t="str">
        <x:v>CAN</x:v>
      </x:c>
      <x:c r="D278" s="20" t="str">
        <x:v>China</x:v>
      </x:c>
      <x:c r="E278" s="20" t="str">
        <x:v>Chinese influence</x:v>
      </x:c>
      <x:c r="F278" s="20" t="str">
        <x:v>Propaganda ecosystems</x:v>
      </x:c>
      <x:c r="G278" s="384" t="n">
        <x:v>6</x:v>
      </x:c>
      <x:c r="H278" s="396" t="n">
        <x:v>4</x:v>
      </x:c>
      <x:c r="I278" s="20" t="str">
        <x:v>EEAS/ODNI China FIMI source register</x:v>
      </x:c>
      <x:c r="J278" s="397" t="str">
        <x:v>https://www.eeas.europa.eu/eeas/4th-eeas-annual-report-foreign-information-manipulation-and-interference-threats_en</x:v>
      </x:c>
      <x:c r="K278" s="20" t="str">
        <x:v>Primary source-register URL; automated screening score</x:v>
      </x:c>
      <x:c r="L278" s="20" t="str">
        <x:v>2026-05-20</x:v>
      </x:c>
      <x:c r="M278" s="20" t="str">
        <x:v>2026-05-20</x:v>
      </x:c>
      <x:c r="N278" s="20" t="str">
        <x:v>GPT-5.5 Pro</x:v>
      </x:c>
      <x:c r="O278" s="20" t="str">
        <x:v>Needs review</x:v>
      </x:c>
      <x:c r="P278" s="20" t="str">
        <x:v>Screening score for China / Propaganda ecosystems in Canada; verify with country-specific evidence before final use.</x:v>
      </x:c>
    </x:row>
    <x:row r="279" ht="24" customHeight="1">
      <x:c r="A279" s="20" t="str">
        <x:v>CAN|China|PMC presence</x:v>
      </x:c>
      <x:c r="B279" s="20" t="str">
        <x:v>Canada</x:v>
      </x:c>
      <x:c r="C279" s="20" t="str">
        <x:v>CAN</x:v>
      </x:c>
      <x:c r="D279" s="20" t="str">
        <x:v>China</x:v>
      </x:c>
      <x:c r="E279" s="20" t="str">
        <x:v>Chinese influence</x:v>
      </x:c>
      <x:c r="F279" s="20" t="str">
        <x:v>PMC presence</x:v>
      </x:c>
      <x:c r="G279" s="384" t="n">
        <x:v>0</x:v>
      </x:c>
      <x:c r="H279" s="396" t="n">
        <x:v>1</x:v>
      </x:c>
      <x:c r="I279" s="20" t="str">
        <x:v>MERICS/Carnegie Chinese overseas PSC source register</x:v>
      </x:c>
      <x:c r="J279" s="397" t="str">
        <x:v>https://merics.org/en/report/guardians-belt-and-road</x:v>
      </x:c>
      <x:c r="K279" s="20" t="str">
        <x:v>Primary source-register URL; automated screening score</x:v>
      </x:c>
      <x:c r="L279" s="20" t="str">
        <x:v>2026-05-20</x:v>
      </x:c>
      <x:c r="M279" s="20" t="str">
        <x:v>2026-05-20</x:v>
      </x:c>
      <x:c r="N279" s="20" t="str">
        <x:v>GPT-5.5 Pro</x:v>
      </x:c>
      <x:c r="O279" s="20" t="str">
        <x:v>Needs review</x:v>
      </x:c>
      <x:c r="P279" s="20" t="str">
        <x:v>Screening score for China / PMC presence in Canada; verify with country-specific evidence before final use.</x:v>
      </x:c>
    </x:row>
    <x:row r="280" ht="24" customHeight="1">
      <x:c r="A280" s="20" t="str">
        <x:v>CAN|China|Election interference</x:v>
      </x:c>
      <x:c r="B280" s="20" t="str">
        <x:v>Canada</x:v>
      </x:c>
      <x:c r="C280" s="20" t="str">
        <x:v>CAN</x:v>
      </x:c>
      <x:c r="D280" s="20" t="str">
        <x:v>China</x:v>
      </x:c>
      <x:c r="E280" s="20" t="str">
        <x:v>Chinese influence</x:v>
      </x:c>
      <x:c r="F280" s="20" t="str">
        <x:v>Election interference</x:v>
      </x:c>
      <x:c r="G280" s="384" t="n">
        <x:v>4</x:v>
      </x:c>
      <x:c r="H280" s="396" t="n">
        <x:v>3</x:v>
      </x:c>
      <x:c r="I280" s="20" t="str">
        <x:v>EEAS/ODNI China election-FIMI source register</x:v>
      </x:c>
      <x:c r="J280" s="397" t="str">
        <x:v>https://www.eeas.europa.eu/eeas/4th-eeas-annual-report-foreign-information-manipulation-and-interference-threats_en</x:v>
      </x:c>
      <x:c r="K280" s="20" t="str">
        <x:v>Primary source-register URL; automated screening score</x:v>
      </x:c>
      <x:c r="L280" s="20" t="str">
        <x:v>2026-05-20</x:v>
      </x:c>
      <x:c r="M280" s="20" t="str">
        <x:v>2026-05-20</x:v>
      </x:c>
      <x:c r="N280" s="20" t="str">
        <x:v>GPT-5.5 Pro</x:v>
      </x:c>
      <x:c r="O280" s="20" t="str">
        <x:v>Needs review</x:v>
      </x:c>
      <x:c r="P280" s="20" t="str">
        <x:v>Screening score for China / Election interference in Canada; verify with country-specific evidence before final use.</x:v>
      </x:c>
    </x:row>
    <x:row r="281" ht="24" customHeight="1">
      <x:c r="A281" s="20" t="str">
        <x:v>CAN|China|Security contractors</x:v>
      </x:c>
      <x:c r="B281" s="20" t="str">
        <x:v>Canada</x:v>
      </x:c>
      <x:c r="C281" s="20" t="str">
        <x:v>CAN</x:v>
      </x:c>
      <x:c r="D281" s="20" t="str">
        <x:v>China</x:v>
      </x:c>
      <x:c r="E281" s="20" t="str">
        <x:v>Chinese influence</x:v>
      </x:c>
      <x:c r="F281" s="20" t="str">
        <x:v>Security contractors</x:v>
      </x:c>
      <x:c r="G281" s="384" t="n">
        <x:v>0</x:v>
      </x:c>
      <x:c r="H281" s="396" t="n">
        <x:v>1</x:v>
      </x:c>
      <x:c r="I281" s="20" t="str">
        <x:v>MERICS/Carnegie Chinese security contractor source register</x:v>
      </x:c>
      <x:c r="J281" s="397" t="str">
        <x:v>https://merics.org/en/report/guardians-belt-and-road</x:v>
      </x:c>
      <x:c r="K281" s="20" t="str">
        <x:v>Primary source-register URL; automated screening score</x:v>
      </x:c>
      <x:c r="L281" s="20" t="str">
        <x:v>2026-05-20</x:v>
      </x:c>
      <x:c r="M281" s="20" t="str">
        <x:v>2026-05-20</x:v>
      </x:c>
      <x:c r="N281" s="20" t="str">
        <x:v>GPT-5.5 Pro</x:v>
      </x:c>
      <x:c r="O281" s="20" t="str">
        <x:v>Needs review</x:v>
      </x:c>
      <x:c r="P281" s="20" t="str">
        <x:v>Screening score for China / Security contractors in Canada; verify with country-specific evidence before final use.</x:v>
      </x:c>
    </x:row>
    <x:row r="282" ht="24" customHeight="1">
      <x:c r="A282" s="20" t="str">
        <x:v>CAN|United States|Propaganda ecosystems</x:v>
      </x:c>
      <x:c r="B282" s="20" t="str">
        <x:v>Canada</x:v>
      </x:c>
      <x:c r="C282" s="20" t="str">
        <x:v>CAN</x:v>
      </x:c>
      <x:c r="D282" s="20" t="str">
        <x:v>United States</x:v>
      </x:c>
      <x:c r="E282" s="20" t="str">
        <x:v>American influence</x:v>
      </x:c>
      <x:c r="F282" s="20" t="str">
        <x:v>Propaganda ecosystems</x:v>
      </x:c>
      <x:c r="G282" s="384" t="n">
        <x:v>5</x:v>
      </x:c>
      <x:c r="H282" s="396" t="n">
        <x:v>3</x:v>
      </x:c>
      <x:c r="I282" s="20" t="str">
        <x:v>USAGM public media source register</x:v>
      </x:c>
      <x:c r="J282" s="397" t="str">
        <x:v>https://www.usagm.gov/our-work/strategy-and-results/strategic-priorities/research-reports/</x:v>
      </x:c>
      <x:c r="K282" s="20" t="str">
        <x:v>Primary source-register URL; automated screening score</x:v>
      </x:c>
      <x:c r="L282" s="20" t="str">
        <x:v>2026-05-20</x:v>
      </x:c>
      <x:c r="M282" s="20" t="str">
        <x:v>2026-05-20</x:v>
      </x:c>
      <x:c r="N282" s="20" t="str">
        <x:v>GPT-5.5 Pro</x:v>
      </x:c>
      <x:c r="O282" s="20" t="str">
        <x:v>Needs review</x:v>
      </x:c>
      <x:c r="P282" s="20" t="str">
        <x:v>Screening score for United States / Propaganda ecosystems in Canada; verify with country-specific evidence before final use.</x:v>
      </x:c>
    </x:row>
    <x:row r="283" ht="24" customHeight="1">
      <x:c r="A283" s="20" t="str">
        <x:v>CAN|United States|PMC presence</x:v>
      </x:c>
      <x:c r="B283" s="20" t="str">
        <x:v>Canada</x:v>
      </x:c>
      <x:c r="C283" s="20" t="str">
        <x:v>CAN</x:v>
      </x:c>
      <x:c r="D283" s="20" t="str">
        <x:v>United States</x:v>
      </x:c>
      <x:c r="E283" s="20" t="str">
        <x:v>American influence</x:v>
      </x:c>
      <x:c r="F283" s="20" t="str">
        <x:v>PMC presence</x:v>
      </x:c>
      <x:c r="G283" s="384" t="n">
        <x:v>3</x:v>
      </x:c>
      <x:c r="H283" s="396" t="n">
        <x:v>3</x:v>
      </x:c>
      <x:c r="I283" s="20" t="str">
        <x:v>SAM/Greenbook U.S. security assistance contractor source register</x:v>
      </x:c>
      <x:c r="J283" s="397" t="str">
        <x:v>https://internationalpolicy.org/programs/sam/</x:v>
      </x:c>
      <x:c r="K283" s="20" t="str">
        <x:v>Primary source-register URL; automated screening score</x:v>
      </x:c>
      <x:c r="L283" s="20" t="str">
        <x:v>2026-05-20</x:v>
      </x:c>
      <x:c r="M283" s="20" t="str">
        <x:v>2026-05-20</x:v>
      </x:c>
      <x:c r="N283" s="20" t="str">
        <x:v>GPT-5.5 Pro</x:v>
      </x:c>
      <x:c r="O283" s="20" t="str">
        <x:v>Needs review</x:v>
      </x:c>
      <x:c r="P283" s="20" t="str">
        <x:v>Screening score for United States / PMC presence in Canada; verify with country-specific evidence before final use.</x:v>
      </x:c>
    </x:row>
    <x:row r="284" ht="24" customHeight="1">
      <x:c r="A284" s="20" t="str">
        <x:v>CAN|United States|Election interference</x:v>
      </x:c>
      <x:c r="B284" s="20" t="str">
        <x:v>Canada</x:v>
      </x:c>
      <x:c r="C284" s="20" t="str">
        <x:v>CAN</x:v>
      </x:c>
      <x:c r="D284" s="20" t="str">
        <x:v>United States</x:v>
      </x:c>
      <x:c r="E284" s="20" t="str">
        <x:v>American influence</x:v>
      </x:c>
      <x:c r="F284" s="20" t="str">
        <x:v>Election interference</x:v>
      </x:c>
      <x:c r="G284" s="384" t="n">
        <x:v>1</x:v>
      </x:c>
      <x:c r="H284" s="396" t="n">
        <x:v>2</x:v>
      </x:c>
      <x:c r="I284" s="20" t="str">
        <x:v>NED/Greenbook democracy assistance source register</x:v>
      </x:c>
      <x:c r="J284" s="397" t="str">
        <x:v>https://www.ned.org/ned-grantmaking/</x:v>
      </x:c>
      <x:c r="K284" s="20" t="str">
        <x:v>Primary source-register URL; automated screening score</x:v>
      </x:c>
      <x:c r="L284" s="20" t="str">
        <x:v>2026-05-20</x:v>
      </x:c>
      <x:c r="M284" s="20" t="str">
        <x:v>2026-05-20</x:v>
      </x:c>
      <x:c r="N284" s="20" t="str">
        <x:v>GPT-5.5 Pro</x:v>
      </x:c>
      <x:c r="O284" s="20" t="str">
        <x:v>Needs review</x:v>
      </x:c>
      <x:c r="P284" s="20" t="str">
        <x:v>Screening score for United States / Election interference in Canada; verify with country-specific evidence before final use.</x:v>
      </x:c>
    </x:row>
    <x:row r="285" ht="24" customHeight="1">
      <x:c r="A285" s="20" t="str">
        <x:v>CAN|United States|Security contractors</x:v>
      </x:c>
      <x:c r="B285" s="20" t="str">
        <x:v>Canada</x:v>
      </x:c>
      <x:c r="C285" s="20" t="str">
        <x:v>CAN</x:v>
      </x:c>
      <x:c r="D285" s="20" t="str">
        <x:v>United States</x:v>
      </x:c>
      <x:c r="E285" s="20" t="str">
        <x:v>American influence</x:v>
      </x:c>
      <x:c r="F285" s="20" t="str">
        <x:v>Security contractors</x:v>
      </x:c>
      <x:c r="G285" s="384" t="n">
        <x:v>7</x:v>
      </x:c>
      <x:c r="H285" s="396" t="n">
        <x:v>4</x:v>
      </x:c>
      <x:c r="I285" s="20" t="str">
        <x:v>SAM/Greenbook U.S. security contractor source register</x:v>
      </x:c>
      <x:c r="J285" s="397" t="str">
        <x:v>https://internationalpolicy.org/programs/sam/</x:v>
      </x:c>
      <x:c r="K285" s="20" t="str">
        <x:v>Primary source-register URL; automated screening score</x:v>
      </x:c>
      <x:c r="L285" s="20" t="str">
        <x:v>2026-05-20</x:v>
      </x:c>
      <x:c r="M285" s="20" t="str">
        <x:v>2026-05-20</x:v>
      </x:c>
      <x:c r="N285" s="20" t="str">
        <x:v>GPT-5.5 Pro</x:v>
      </x:c>
      <x:c r="O285" s="20" t="str">
        <x:v>Needs review</x:v>
      </x:c>
      <x:c r="P285" s="20" t="str">
        <x:v>Screening score for United States / Security contractors in Canada; verify with country-specific evidence before final use.</x:v>
      </x:c>
    </x:row>
    <x:row r="286" ht="24" customHeight="1">
      <x:c r="A286" s="20" t="str">
        <x:v>CAN|European Union|Propaganda ecosystems</x:v>
      </x:c>
      <x:c r="B286" s="20" t="str">
        <x:v>Canada</x:v>
      </x:c>
      <x:c r="C286" s="20" t="str">
        <x:v>CAN</x:v>
      </x:c>
      <x:c r="D286" s="20" t="str">
        <x:v>European Union</x:v>
      </x:c>
      <x:c r="E286" s="20" t="str">
        <x:v>EU influence</x:v>
      </x:c>
      <x:c r="F286" s="20" t="str">
        <x:v>Propaganda ecosystems</x:v>
      </x:c>
      <x:c r="G286" s="384" t="n">
        <x:v>3</x:v>
      </x:c>
      <x:c r="H286" s="396" t="n">
        <x:v>3</x:v>
      </x:c>
      <x:c r="I286" s="20" t="str">
        <x:v>EEAS public diplomacy source register</x:v>
      </x:c>
      <x:c r="J286" s="397" t="str">
        <x:v>https://www.eeas.europa.eu/eeas/public-diplomacy_en</x:v>
      </x:c>
      <x:c r="K286" s="20" t="str">
        <x:v>Primary source-register URL; automated screening score</x:v>
      </x:c>
      <x:c r="L286" s="20" t="str">
        <x:v>2026-05-20</x:v>
      </x:c>
      <x:c r="M286" s="20" t="str">
        <x:v>2026-05-20</x:v>
      </x:c>
      <x:c r="N286" s="20" t="str">
        <x:v>GPT-5.5 Pro</x:v>
      </x:c>
      <x:c r="O286" s="20" t="str">
        <x:v>Needs review</x:v>
      </x:c>
      <x:c r="P286" s="20" t="str">
        <x:v>Screening score for European Union / Propaganda ecosystems in Canada; verify with country-specific evidence before final use.</x:v>
      </x:c>
    </x:row>
    <x:row r="287" ht="24" customHeight="1">
      <x:c r="A287" s="20" t="str">
        <x:v>CAN|European Union|PMC presence</x:v>
      </x:c>
      <x:c r="B287" s="20" t="str">
        <x:v>Canada</x:v>
      </x:c>
      <x:c r="C287" s="20" t="str">
        <x:v>CAN</x:v>
      </x:c>
      <x:c r="D287" s="20" t="str">
        <x:v>European Union</x:v>
      </x:c>
      <x:c r="E287" s="20" t="str">
        <x:v>EU influence</x:v>
      </x:c>
      <x:c r="F287" s="20" t="str">
        <x:v>PMC presence</x:v>
      </x:c>
      <x:c r="G287" s="384" t="n">
        <x:v>0</x:v>
      </x:c>
      <x:c r="H287" s="396" t="n">
        <x:v>1</x:v>
      </x:c>
      <x:c r="I287" s="20" t="str">
        <x:v>EEAS CSDP missions source register</x:v>
      </x:c>
      <x:c r="J287" s="397" t="str">
        <x:v>https://www.eeas.europa.eu/eeas/missions-and-operations_en</x:v>
      </x:c>
      <x:c r="K287" s="20" t="str">
        <x:v>Primary source-register URL; automated screening score</x:v>
      </x:c>
      <x:c r="L287" s="20" t="str">
        <x:v>2026-05-20</x:v>
      </x:c>
      <x:c r="M287" s="20" t="str">
        <x:v>2026-05-20</x:v>
      </x:c>
      <x:c r="N287" s="20" t="str">
        <x:v>GPT-5.5 Pro</x:v>
      </x:c>
      <x:c r="O287" s="20" t="str">
        <x:v>Needs review</x:v>
      </x:c>
      <x:c r="P287" s="20" t="str">
        <x:v>Screening score for European Union / PMC presence in Canada; verify with country-specific evidence before final use.</x:v>
      </x:c>
    </x:row>
    <x:row r="288" ht="24" customHeight="1">
      <x:c r="A288" s="20" t="str">
        <x:v>CAN|European Union|Election interference</x:v>
      </x:c>
      <x:c r="B288" s="20" t="str">
        <x:v>Canada</x:v>
      </x:c>
      <x:c r="C288" s="20" t="str">
        <x:v>CAN</x:v>
      </x:c>
      <x:c r="D288" s="20" t="str">
        <x:v>European Union</x:v>
      </x:c>
      <x:c r="E288" s="20" t="str">
        <x:v>EU influence</x:v>
      </x:c>
      <x:c r="F288" s="20" t="str">
        <x:v>Election interference</x:v>
      </x:c>
      <x:c r="G288" s="384" t="n">
        <x:v>1</x:v>
      </x:c>
      <x:c r="H288" s="396" t="n">
        <x:v>2</x:v>
      </x:c>
      <x:c r="I288" s="20" t="str">
        <x:v>EEAS EU election observation source register</x:v>
      </x:c>
      <x:c r="J288" s="397" t="str">
        <x:v>https://www.eeas.europa.eu/eeas/eu-election-observation-missions-1_en?page_lang=en</x:v>
      </x:c>
      <x:c r="K288" s="20" t="str">
        <x:v>Primary source-register URL; automated screening score</x:v>
      </x:c>
      <x:c r="L288" s="20" t="str">
        <x:v>2026-05-20</x:v>
      </x:c>
      <x:c r="M288" s="20" t="str">
        <x:v>2026-05-20</x:v>
      </x:c>
      <x:c r="N288" s="20" t="str">
        <x:v>GPT-5.5 Pro</x:v>
      </x:c>
      <x:c r="O288" s="20" t="str">
        <x:v>Needs review</x:v>
      </x:c>
      <x:c r="P288" s="20" t="str">
        <x:v>Screening score for European Union / Election interference in Canada; verify with country-specific evidence before final use.</x:v>
      </x:c>
    </x:row>
    <x:row r="289" ht="24" customHeight="1">
      <x:c r="A289" s="20" t="str">
        <x:v>CAN|European Union|Security contractors</x:v>
      </x:c>
      <x:c r="B289" s="20" t="str">
        <x:v>Canada</x:v>
      </x:c>
      <x:c r="C289" s="20" t="str">
        <x:v>CAN</x:v>
      </x:c>
      <x:c r="D289" s="20" t="str">
        <x:v>European Union</x:v>
      </x:c>
      <x:c r="E289" s="20" t="str">
        <x:v>EU influence</x:v>
      </x:c>
      <x:c r="F289" s="20" t="str">
        <x:v>Security contractors</x:v>
      </x:c>
      <x:c r="G289" s="384" t="n">
        <x:v>3</x:v>
      </x:c>
      <x:c r="H289" s="396" t="n">
        <x:v>3</x:v>
      </x:c>
      <x:c r="I289" s="20" t="str">
        <x:v>EEAS CSDP / Global Gateway security source register</x:v>
      </x:c>
      <x:c r="J289" s="397" t="str">
        <x:v>https://www.eeas.europa.eu/eeas/missions-and-operations_en</x:v>
      </x:c>
      <x:c r="K289" s="20" t="str">
        <x:v>Primary source-register URL; automated screening score</x:v>
      </x:c>
      <x:c r="L289" s="20" t="str">
        <x:v>2026-05-20</x:v>
      </x:c>
      <x:c r="M289" s="20" t="str">
        <x:v>2026-05-20</x:v>
      </x:c>
      <x:c r="N289" s="20" t="str">
        <x:v>GPT-5.5 Pro</x:v>
      </x:c>
      <x:c r="O289" s="20" t="str">
        <x:v>Needs review</x:v>
      </x:c>
      <x:c r="P289" s="20" t="str">
        <x:v>Screening score for European Union / Security contractors in Canada; verify with country-specific evidence before final use.</x:v>
      </x:c>
    </x:row>
    <x:row r="290" ht="24" customHeight="1">
      <x:c r="A290" s="20" t="str">
        <x:v>CAF|Russia|Propaganda ecosystems</x:v>
      </x:c>
      <x:c r="B290" s="20" t="str">
        <x:v>Central African Republic</x:v>
      </x:c>
      <x:c r="C290" s="20" t="str">
        <x:v>CAF</x:v>
      </x:c>
      <x:c r="D290" s="20" t="str">
        <x:v>Russia</x:v>
      </x:c>
      <x:c r="E290" s="20" t="str">
        <x:v>Russian influence</x:v>
      </x:c>
      <x:c r="F290" s="20" t="str">
        <x:v>Propaganda ecosystems</x:v>
      </x:c>
      <x:c r="G290" s="384" t="n">
        <x:v>7</x:v>
      </x:c>
      <x:c r="H290" s="396" t="n">
        <x:v>4</x:v>
      </x:c>
      <x:c r="I290" s="20" t="str">
        <x:v>EEAS/EUvsDisinfo FIMI source register</x:v>
      </x:c>
      <x:c r="J290" s="397" t="str">
        <x:v>https://www.eeas.europa.eu/eeas/4th-eeas-annual-report-foreign-information-manipulation-and-interference-threats_en</x:v>
      </x:c>
      <x:c r="K290" s="20" t="str">
        <x:v>Primary source-register URL; automated screening score</x:v>
      </x:c>
      <x:c r="L290" s="20" t="str">
        <x:v>2026-05-20</x:v>
      </x:c>
      <x:c r="M290" s="20" t="str">
        <x:v>2026-05-20</x:v>
      </x:c>
      <x:c r="N290" s="20" t="str">
        <x:v>GPT-5.5 Pro</x:v>
      </x:c>
      <x:c r="O290" s="20" t="str">
        <x:v>Needs review</x:v>
      </x:c>
      <x:c r="P290" s="20" t="str">
        <x:v>Screening score for Russia / Propaganda ecosystems in Central African Republic; verify with country-specific evidence before final use.</x:v>
      </x:c>
    </x:row>
    <x:row r="291" ht="24" customHeight="1">
      <x:c r="A291" s="20" t="str">
        <x:v>CAF|Russia|PMC presence</x:v>
      </x:c>
      <x:c r="B291" s="20" t="str">
        <x:v>Central African Republic</x:v>
      </x:c>
      <x:c r="C291" s="20" t="str">
        <x:v>CAF</x:v>
      </x:c>
      <x:c r="D291" s="20" t="str">
        <x:v>Russia</x:v>
      </x:c>
      <x:c r="E291" s="20" t="str">
        <x:v>Russian influence</x:v>
      </x:c>
      <x:c r="F291" s="20" t="str">
        <x:v>PMC presence</x:v>
      </x:c>
      <x:c r="G291" s="384" t="n">
        <x:v>9</x:v>
      </x:c>
      <x:c r="H291" s="396" t="n">
        <x:v>5</x:v>
      </x:c>
      <x:c r="I291" s="20" t="str">
        <x:v>Treasury and Council of the EU Wagner/PMC source register</x:v>
      </x:c>
      <x:c r="J291" s="397" t="str">
        <x:v>https://www.consilium.europa.eu/en/press/press-releases/2023/02/25/wagner-group-council-adds-11-individuals-and-7-entities-to-eu-sanctions-lists/</x:v>
      </x:c>
      <x:c r="K291" s="20" t="str">
        <x:v>Primary source-register URL; automated screening score</x:v>
      </x:c>
      <x:c r="L291" s="20" t="str">
        <x:v>2026-05-20</x:v>
      </x:c>
      <x:c r="M291" s="20" t="str">
        <x:v>2026-05-20</x:v>
      </x:c>
      <x:c r="N291" s="20" t="str">
        <x:v>GPT-5.5 Pro</x:v>
      </x:c>
      <x:c r="O291" s="20" t="str">
        <x:v>Needs review</x:v>
      </x:c>
      <x:c r="P291" s="20" t="str">
        <x:v>Screening score for Russia / PMC presence in Central African Republic; verify with country-specific evidence before final use.</x:v>
      </x:c>
    </x:row>
    <x:row r="292" ht="24" customHeight="1">
      <x:c r="A292" s="20" t="str">
        <x:v>CAF|Russia|Election interference</x:v>
      </x:c>
      <x:c r="B292" s="20" t="str">
        <x:v>Central African Republic</x:v>
      </x:c>
      <x:c r="C292" s="20" t="str">
        <x:v>CAF</x:v>
      </x:c>
      <x:c r="D292" s="20" t="str">
        <x:v>Russia</x:v>
      </x:c>
      <x:c r="E292" s="20" t="str">
        <x:v>Russian influence</x:v>
      </x:c>
      <x:c r="F292" s="20" t="str">
        <x:v>Election interference</x:v>
      </x:c>
      <x:c r="G292" s="384" t="n">
        <x:v>3</x:v>
      </x:c>
      <x:c r="H292" s="396" t="n">
        <x:v>3</x:v>
      </x:c>
      <x:c r="I292" s="20" t="str">
        <x:v>ODNI/EEAS election-FIMI source register</x:v>
      </x:c>
      <x:c r="J292" s="397" t="str">
        <x:v>https://www.dni.gov/files/ODNI/documents/assessments/ATA-2026-Unclassified-Report.pdf</x:v>
      </x:c>
      <x:c r="K292" s="20" t="str">
        <x:v>Primary source-register URL; automated screening score</x:v>
      </x:c>
      <x:c r="L292" s="20" t="str">
        <x:v>2026-05-20</x:v>
      </x:c>
      <x:c r="M292" s="20" t="str">
        <x:v>2026-05-20</x:v>
      </x:c>
      <x:c r="N292" s="20" t="str">
        <x:v>GPT-5.5 Pro</x:v>
      </x:c>
      <x:c r="O292" s="20" t="str">
        <x:v>Needs review</x:v>
      </x:c>
      <x:c r="P292" s="20" t="str">
        <x:v>Screening score for Russia / Election interference in Central African Republic; verify with country-specific evidence before final use.</x:v>
      </x:c>
    </x:row>
    <x:row r="293" ht="24" customHeight="1">
      <x:c r="A293" s="20" t="str">
        <x:v>CAF|Russia|Security contractors</x:v>
      </x:c>
      <x:c r="B293" s="20" t="str">
        <x:v>Central African Republic</x:v>
      </x:c>
      <x:c r="C293" s="20" t="str">
        <x:v>CAF</x:v>
      </x:c>
      <x:c r="D293" s="20" t="str">
        <x:v>Russia</x:v>
      </x:c>
      <x:c r="E293" s="20" t="str">
        <x:v>Russian influence</x:v>
      </x:c>
      <x:c r="F293" s="20" t="str">
        <x:v>Security contractors</x:v>
      </x:c>
      <x:c r="G293" s="384" t="n">
        <x:v>8</x:v>
      </x:c>
      <x:c r="H293" s="396" t="n">
        <x:v>4</x:v>
      </x:c>
      <x:c r="I293" s="20" t="str">
        <x:v>Council of the EU/Treasury Wagner-security source register</x:v>
      </x:c>
      <x:c r="J293" s="397" t="str">
        <x:v>https://www.consilium.europa.eu/en/press/press-releases/2023/02/25/wagner-group-council-adds-11-individuals-and-7-entities-to-eu-sanctions-lists/</x:v>
      </x:c>
      <x:c r="K293" s="20" t="str">
        <x:v>Primary source-register URL; automated screening score</x:v>
      </x:c>
      <x:c r="L293" s="20" t="str">
        <x:v>2026-05-20</x:v>
      </x:c>
      <x:c r="M293" s="20" t="str">
        <x:v>2026-05-20</x:v>
      </x:c>
      <x:c r="N293" s="20" t="str">
        <x:v>GPT-5.5 Pro</x:v>
      </x:c>
      <x:c r="O293" s="20" t="str">
        <x:v>Needs review</x:v>
      </x:c>
      <x:c r="P293" s="20" t="str">
        <x:v>Screening score for Russia / Security contractors in Central African Republic; verify with country-specific evidence before final use.</x:v>
      </x:c>
    </x:row>
    <x:row r="294" ht="24" customHeight="1">
      <x:c r="A294" s="20" t="str">
        <x:v>CAF|China|Propaganda ecosystems</x:v>
      </x:c>
      <x:c r="B294" s="20" t="str">
        <x:v>Central African Republic</x:v>
      </x:c>
      <x:c r="C294" s="20" t="str">
        <x:v>CAF</x:v>
      </x:c>
      <x:c r="D294" s="20" t="str">
        <x:v>China</x:v>
      </x:c>
      <x:c r="E294" s="20" t="str">
        <x:v>Chinese influence</x:v>
      </x:c>
      <x:c r="F294" s="20" t="str">
        <x:v>Propaganda ecosystems</x:v>
      </x:c>
      <x:c r="G294" s="384" t="n">
        <x:v>5</x:v>
      </x:c>
      <x:c r="H294" s="396" t="n">
        <x:v>3</x:v>
      </x:c>
      <x:c r="I294" s="20" t="str">
        <x:v>EEAS/ODNI China FIMI source register</x:v>
      </x:c>
      <x:c r="J294" s="397" t="str">
        <x:v>https://www.eeas.europa.eu/eeas/4th-eeas-annual-report-foreign-information-manipulation-and-interference-threats_en</x:v>
      </x:c>
      <x:c r="K294" s="20" t="str">
        <x:v>Primary source-register URL; automated screening score</x:v>
      </x:c>
      <x:c r="L294" s="20" t="str">
        <x:v>2026-05-20</x:v>
      </x:c>
      <x:c r="M294" s="20" t="str">
        <x:v>2026-05-20</x:v>
      </x:c>
      <x:c r="N294" s="20" t="str">
        <x:v>GPT-5.5 Pro</x:v>
      </x:c>
      <x:c r="O294" s="20" t="str">
        <x:v>Needs review</x:v>
      </x:c>
      <x:c r="P294" s="20" t="str">
        <x:v>Screening score for China / Propaganda ecosystems in Central African Republic; verify with country-specific evidence before final use.</x:v>
      </x:c>
    </x:row>
    <x:row r="295" ht="24" customHeight="1">
      <x:c r="A295" s="20" t="str">
        <x:v>CAF|China|PMC presence</x:v>
      </x:c>
      <x:c r="B295" s="20" t="str">
        <x:v>Central African Republic</x:v>
      </x:c>
      <x:c r="C295" s="20" t="str">
        <x:v>CAF</x:v>
      </x:c>
      <x:c r="D295" s="20" t="str">
        <x:v>China</x:v>
      </x:c>
      <x:c r="E295" s="20" t="str">
        <x:v>Chinese influence</x:v>
      </x:c>
      <x:c r="F295" s="20" t="str">
        <x:v>PMC presence</x:v>
      </x:c>
      <x:c r="G295" s="384" t="n">
        <x:v>1</x:v>
      </x:c>
      <x:c r="H295" s="396" t="n">
        <x:v>2</x:v>
      </x:c>
      <x:c r="I295" s="20" t="str">
        <x:v>MERICS/Carnegie Chinese overseas PSC source register</x:v>
      </x:c>
      <x:c r="J295" s="397" t="str">
        <x:v>https://merics.org/en/report/guardians-belt-and-road</x:v>
      </x:c>
      <x:c r="K295" s="20" t="str">
        <x:v>Primary source-register URL; automated screening score</x:v>
      </x:c>
      <x:c r="L295" s="20" t="str">
        <x:v>2026-05-20</x:v>
      </x:c>
      <x:c r="M295" s="20" t="str">
        <x:v>2026-05-20</x:v>
      </x:c>
      <x:c r="N295" s="20" t="str">
        <x:v>GPT-5.5 Pro</x:v>
      </x:c>
      <x:c r="O295" s="20" t="str">
        <x:v>Needs review</x:v>
      </x:c>
      <x:c r="P295" s="20" t="str">
        <x:v>Screening score for China / PMC presence in Central African Republic; verify with country-specific evidence before final use.</x:v>
      </x:c>
    </x:row>
    <x:row r="296" ht="24" customHeight="1">
      <x:c r="A296" s="20" t="str">
        <x:v>CAF|China|Election interference</x:v>
      </x:c>
      <x:c r="B296" s="20" t="str">
        <x:v>Central African Republic</x:v>
      </x:c>
      <x:c r="C296" s="20" t="str">
        <x:v>CAF</x:v>
      </x:c>
      <x:c r="D296" s="20" t="str">
        <x:v>China</x:v>
      </x:c>
      <x:c r="E296" s="20" t="str">
        <x:v>Chinese influence</x:v>
      </x:c>
      <x:c r="F296" s="20" t="str">
        <x:v>Election interference</x:v>
      </x:c>
      <x:c r="G296" s="384" t="n">
        <x:v>1</x:v>
      </x:c>
      <x:c r="H296" s="396" t="n">
        <x:v>2</x:v>
      </x:c>
      <x:c r="I296" s="20" t="str">
        <x:v>EEAS/ODNI China election-FIMI source register</x:v>
      </x:c>
      <x:c r="J296" s="397" t="str">
        <x:v>https://www.eeas.europa.eu/eeas/4th-eeas-annual-report-foreign-information-manipulation-and-interference-threats_en</x:v>
      </x:c>
      <x:c r="K296" s="20" t="str">
        <x:v>Primary source-register URL; automated screening score</x:v>
      </x:c>
      <x:c r="L296" s="20" t="str">
        <x:v>2026-05-20</x:v>
      </x:c>
      <x:c r="M296" s="20" t="str">
        <x:v>2026-05-20</x:v>
      </x:c>
      <x:c r="N296" s="20" t="str">
        <x:v>GPT-5.5 Pro</x:v>
      </x:c>
      <x:c r="O296" s="20" t="str">
        <x:v>Needs review</x:v>
      </x:c>
      <x:c r="P296" s="20" t="str">
        <x:v>Screening score for China / Election interference in Central African Republic; verify with country-specific evidence before final use.</x:v>
      </x:c>
    </x:row>
    <x:row r="297" ht="24" customHeight="1">
      <x:c r="A297" s="20" t="str">
        <x:v>CAF|China|Security contractors</x:v>
      </x:c>
      <x:c r="B297" s="20" t="str">
        <x:v>Central African Republic</x:v>
      </x:c>
      <x:c r="C297" s="20" t="str">
        <x:v>CAF</x:v>
      </x:c>
      <x:c r="D297" s="20" t="str">
        <x:v>China</x:v>
      </x:c>
      <x:c r="E297" s="20" t="str">
        <x:v>Chinese influence</x:v>
      </x:c>
      <x:c r="F297" s="20" t="str">
        <x:v>Security contractors</x:v>
      </x:c>
      <x:c r="G297" s="384" t="n">
        <x:v>1</x:v>
      </x:c>
      <x:c r="H297" s="396" t="n">
        <x:v>2</x:v>
      </x:c>
      <x:c r="I297" s="20" t="str">
        <x:v>MERICS/Carnegie Chinese security contractor source register</x:v>
      </x:c>
      <x:c r="J297" s="397" t="str">
        <x:v>https://merics.org/en/report/guardians-belt-and-road</x:v>
      </x:c>
      <x:c r="K297" s="20" t="str">
        <x:v>Primary source-register URL; automated screening score</x:v>
      </x:c>
      <x:c r="L297" s="20" t="str">
        <x:v>2026-05-20</x:v>
      </x:c>
      <x:c r="M297" s="20" t="str">
        <x:v>2026-05-20</x:v>
      </x:c>
      <x:c r="N297" s="20" t="str">
        <x:v>GPT-5.5 Pro</x:v>
      </x:c>
      <x:c r="O297" s="20" t="str">
        <x:v>Needs review</x:v>
      </x:c>
      <x:c r="P297" s="20" t="str">
        <x:v>Screening score for China / Security contractors in Central African Republic; verify with country-specific evidence before final use.</x:v>
      </x:c>
    </x:row>
    <x:row r="298" ht="24" customHeight="1">
      <x:c r="A298" s="20" t="str">
        <x:v>CAF|United States|Propaganda ecosystems</x:v>
      </x:c>
      <x:c r="B298" s="20" t="str">
        <x:v>Central African Republic</x:v>
      </x:c>
      <x:c r="C298" s="20" t="str">
        <x:v>CAF</x:v>
      </x:c>
      <x:c r="D298" s="20" t="str">
        <x:v>United States</x:v>
      </x:c>
      <x:c r="E298" s="20" t="str">
        <x:v>American influence</x:v>
      </x:c>
      <x:c r="F298" s="20" t="str">
        <x:v>Propaganda ecosystems</x:v>
      </x:c>
      <x:c r="G298" s="384" t="n">
        <x:v>4</x:v>
      </x:c>
      <x:c r="H298" s="396" t="n">
        <x:v>3</x:v>
      </x:c>
      <x:c r="I298" s="20" t="str">
        <x:v>USAGM public media source register</x:v>
      </x:c>
      <x:c r="J298" s="397" t="str">
        <x:v>https://www.usagm.gov/our-work/strategy-and-results/strategic-priorities/research-reports/</x:v>
      </x:c>
      <x:c r="K298" s="20" t="str">
        <x:v>Primary source-register URL; automated screening score</x:v>
      </x:c>
      <x:c r="L298" s="20" t="str">
        <x:v>2026-05-20</x:v>
      </x:c>
      <x:c r="M298" s="20" t="str">
        <x:v>2026-05-20</x:v>
      </x:c>
      <x:c r="N298" s="20" t="str">
        <x:v>GPT-5.5 Pro</x:v>
      </x:c>
      <x:c r="O298" s="20" t="str">
        <x:v>Needs review</x:v>
      </x:c>
      <x:c r="P298" s="20" t="str">
        <x:v>Screening score for United States / Propaganda ecosystems in Central African Republic; verify with country-specific evidence before final use.</x:v>
      </x:c>
    </x:row>
    <x:row r="299" ht="24" customHeight="1">
      <x:c r="A299" s="20" t="str">
        <x:v>CAF|United States|PMC presence</x:v>
      </x:c>
      <x:c r="B299" s="20" t="str">
        <x:v>Central African Republic</x:v>
      </x:c>
      <x:c r="C299" s="20" t="str">
        <x:v>CAF</x:v>
      </x:c>
      <x:c r="D299" s="20" t="str">
        <x:v>United States</x:v>
      </x:c>
      <x:c r="E299" s="20" t="str">
        <x:v>American influence</x:v>
      </x:c>
      <x:c r="F299" s="20" t="str">
        <x:v>PMC presence</x:v>
      </x:c>
      <x:c r="G299" s="384" t="n">
        <x:v>2</x:v>
      </x:c>
      <x:c r="H299" s="396" t="n">
        <x:v>2</x:v>
      </x:c>
      <x:c r="I299" s="20" t="str">
        <x:v>SAM/Greenbook U.S. security assistance contractor source register</x:v>
      </x:c>
      <x:c r="J299" s="397" t="str">
        <x:v>https://internationalpolicy.org/programs/sam/</x:v>
      </x:c>
      <x:c r="K299" s="20" t="str">
        <x:v>Primary source-register URL; automated screening score</x:v>
      </x:c>
      <x:c r="L299" s="20" t="str">
        <x:v>2026-05-20</x:v>
      </x:c>
      <x:c r="M299" s="20" t="str">
        <x:v>2026-05-20</x:v>
      </x:c>
      <x:c r="N299" s="20" t="str">
        <x:v>GPT-5.5 Pro</x:v>
      </x:c>
      <x:c r="O299" s="20" t="str">
        <x:v>Needs review</x:v>
      </x:c>
      <x:c r="P299" s="20" t="str">
        <x:v>Screening score for United States / PMC presence in Central African Republic; verify with country-specific evidence before final use.</x:v>
      </x:c>
    </x:row>
    <x:row r="300" ht="24" customHeight="1">
      <x:c r="A300" s="20" t="str">
        <x:v>CAF|United States|Election interference</x:v>
      </x:c>
      <x:c r="B300" s="20" t="str">
        <x:v>Central African Republic</x:v>
      </x:c>
      <x:c r="C300" s="20" t="str">
        <x:v>CAF</x:v>
      </x:c>
      <x:c r="D300" s="20" t="str">
        <x:v>United States</x:v>
      </x:c>
      <x:c r="E300" s="20" t="str">
        <x:v>American influence</x:v>
      </x:c>
      <x:c r="F300" s="20" t="str">
        <x:v>Election interference</x:v>
      </x:c>
      <x:c r="G300" s="384" t="n">
        <x:v>2</x:v>
      </x:c>
      <x:c r="H300" s="396" t="n">
        <x:v>2</x:v>
      </x:c>
      <x:c r="I300" s="20" t="str">
        <x:v>NED/Greenbook democracy assistance source register</x:v>
      </x:c>
      <x:c r="J300" s="397" t="str">
        <x:v>https://www.ned.org/ned-grantmaking/</x:v>
      </x:c>
      <x:c r="K300" s="20" t="str">
        <x:v>Primary source-register URL; automated screening score</x:v>
      </x:c>
      <x:c r="L300" s="20" t="str">
        <x:v>2026-05-20</x:v>
      </x:c>
      <x:c r="M300" s="20" t="str">
        <x:v>2026-05-20</x:v>
      </x:c>
      <x:c r="N300" s="20" t="str">
        <x:v>GPT-5.5 Pro</x:v>
      </x:c>
      <x:c r="O300" s="20" t="str">
        <x:v>Needs review</x:v>
      </x:c>
      <x:c r="P300" s="20" t="str">
        <x:v>Screening score for United States / Election interference in Central African Republic; verify with country-specific evidence before final use.</x:v>
      </x:c>
    </x:row>
    <x:row r="301" ht="24" customHeight="1">
      <x:c r="A301" s="20" t="str">
        <x:v>CAF|United States|Security contractors</x:v>
      </x:c>
      <x:c r="B301" s="20" t="str">
        <x:v>Central African Republic</x:v>
      </x:c>
      <x:c r="C301" s="20" t="str">
        <x:v>CAF</x:v>
      </x:c>
      <x:c r="D301" s="20" t="str">
        <x:v>United States</x:v>
      </x:c>
      <x:c r="E301" s="20" t="str">
        <x:v>American influence</x:v>
      </x:c>
      <x:c r="F301" s="20" t="str">
        <x:v>Security contractors</x:v>
      </x:c>
      <x:c r="G301" s="384" t="n">
        <x:v>3</x:v>
      </x:c>
      <x:c r="H301" s="396" t="n">
        <x:v>3</x:v>
      </x:c>
      <x:c r="I301" s="20" t="str">
        <x:v>SAM/Greenbook U.S. security contractor source register</x:v>
      </x:c>
      <x:c r="J301" s="397" t="str">
        <x:v>https://internationalpolicy.org/programs/sam/</x:v>
      </x:c>
      <x:c r="K301" s="20" t="str">
        <x:v>Primary source-register URL; automated screening score</x:v>
      </x:c>
      <x:c r="L301" s="20" t="str">
        <x:v>2026-05-20</x:v>
      </x:c>
      <x:c r="M301" s="20" t="str">
        <x:v>2026-05-20</x:v>
      </x:c>
      <x:c r="N301" s="20" t="str">
        <x:v>GPT-5.5 Pro</x:v>
      </x:c>
      <x:c r="O301" s="20" t="str">
        <x:v>Needs review</x:v>
      </x:c>
      <x:c r="P301" s="20" t="str">
        <x:v>Screening score for United States / Security contractors in Central African Republic; verify with country-specific evidence before final use.</x:v>
      </x:c>
    </x:row>
    <x:row r="302" ht="24" customHeight="1">
      <x:c r="A302" s="20" t="str">
        <x:v>CAF|European Union|Propaganda ecosystems</x:v>
      </x:c>
      <x:c r="B302" s="20" t="str">
        <x:v>Central African Republic</x:v>
      </x:c>
      <x:c r="C302" s="20" t="str">
        <x:v>CAF</x:v>
      </x:c>
      <x:c r="D302" s="20" t="str">
        <x:v>European Union</x:v>
      </x:c>
      <x:c r="E302" s="20" t="str">
        <x:v>EU influence</x:v>
      </x:c>
      <x:c r="F302" s="20" t="str">
        <x:v>Propaganda ecosystems</x:v>
      </x:c>
      <x:c r="G302" s="384" t="n">
        <x:v>3</x:v>
      </x:c>
      <x:c r="H302" s="396" t="n">
        <x:v>3</x:v>
      </x:c>
      <x:c r="I302" s="20" t="str">
        <x:v>EEAS public diplomacy source register</x:v>
      </x:c>
      <x:c r="J302" s="397" t="str">
        <x:v>https://www.eeas.europa.eu/eeas/public-diplomacy_en</x:v>
      </x:c>
      <x:c r="K302" s="20" t="str">
        <x:v>Primary source-register URL; automated screening score</x:v>
      </x:c>
      <x:c r="L302" s="20" t="str">
        <x:v>2026-05-20</x:v>
      </x:c>
      <x:c r="M302" s="20" t="str">
        <x:v>2026-05-20</x:v>
      </x:c>
      <x:c r="N302" s="20" t="str">
        <x:v>GPT-5.5 Pro</x:v>
      </x:c>
      <x:c r="O302" s="20" t="str">
        <x:v>Needs review</x:v>
      </x:c>
      <x:c r="P302" s="20" t="str">
        <x:v>Screening score for European Union / Propaganda ecosystems in Central African Republic; verify with country-specific evidence before final use.</x:v>
      </x:c>
    </x:row>
    <x:row r="303" ht="24" customHeight="1">
      <x:c r="A303" s="20" t="str">
        <x:v>CAF|European Union|PMC presence</x:v>
      </x:c>
      <x:c r="B303" s="20" t="str">
        <x:v>Central African Republic</x:v>
      </x:c>
      <x:c r="C303" s="20" t="str">
        <x:v>CAF</x:v>
      </x:c>
      <x:c r="D303" s="20" t="str">
        <x:v>European Union</x:v>
      </x:c>
      <x:c r="E303" s="20" t="str">
        <x:v>EU influence</x:v>
      </x:c>
      <x:c r="F303" s="20" t="str">
        <x:v>PMC presence</x:v>
      </x:c>
      <x:c r="G303" s="384" t="n">
        <x:v>1</x:v>
      </x:c>
      <x:c r="H303" s="396" t="n">
        <x:v>2</x:v>
      </x:c>
      <x:c r="I303" s="20" t="str">
        <x:v>EEAS CSDP missions source register</x:v>
      </x:c>
      <x:c r="J303" s="397" t="str">
        <x:v>https://www.eeas.europa.eu/eeas/missions-and-operations_en</x:v>
      </x:c>
      <x:c r="K303" s="20" t="str">
        <x:v>Primary source-register URL; automated screening score</x:v>
      </x:c>
      <x:c r="L303" s="20" t="str">
        <x:v>2026-05-20</x:v>
      </x:c>
      <x:c r="M303" s="20" t="str">
        <x:v>2026-05-20</x:v>
      </x:c>
      <x:c r="N303" s="20" t="str">
        <x:v>GPT-5.5 Pro</x:v>
      </x:c>
      <x:c r="O303" s="20" t="str">
        <x:v>Needs review</x:v>
      </x:c>
      <x:c r="P303" s="20" t="str">
        <x:v>Screening score for European Union / PMC presence in Central African Republic; verify with country-specific evidence before final use.</x:v>
      </x:c>
    </x:row>
    <x:row r="304" ht="24" customHeight="1">
      <x:c r="A304" s="20" t="str">
        <x:v>CAF|European Union|Election interference</x:v>
      </x:c>
      <x:c r="B304" s="20" t="str">
        <x:v>Central African Republic</x:v>
      </x:c>
      <x:c r="C304" s="20" t="str">
        <x:v>CAF</x:v>
      </x:c>
      <x:c r="D304" s="20" t="str">
        <x:v>European Union</x:v>
      </x:c>
      <x:c r="E304" s="20" t="str">
        <x:v>EU influence</x:v>
      </x:c>
      <x:c r="F304" s="20" t="str">
        <x:v>Election interference</x:v>
      </x:c>
      <x:c r="G304" s="384" t="n">
        <x:v>1</x:v>
      </x:c>
      <x:c r="H304" s="396" t="n">
        <x:v>2</x:v>
      </x:c>
      <x:c r="I304" s="20" t="str">
        <x:v>EEAS EU election observation source register</x:v>
      </x:c>
      <x:c r="J304" s="397" t="str">
        <x:v>https://www.eeas.europa.eu/eeas/eu-election-observation-missions-1_en?page_lang=en</x:v>
      </x:c>
      <x:c r="K304" s="20" t="str">
        <x:v>Primary source-register URL; automated screening score</x:v>
      </x:c>
      <x:c r="L304" s="20" t="str">
        <x:v>2026-05-20</x:v>
      </x:c>
      <x:c r="M304" s="20" t="str">
        <x:v>2026-05-20</x:v>
      </x:c>
      <x:c r="N304" s="20" t="str">
        <x:v>GPT-5.5 Pro</x:v>
      </x:c>
      <x:c r="O304" s="20" t="str">
        <x:v>Needs review</x:v>
      </x:c>
      <x:c r="P304" s="20" t="str">
        <x:v>Screening score for European Union / Election interference in Central African Republic; verify with country-specific evidence before final use.</x:v>
      </x:c>
    </x:row>
    <x:row r="305" ht="24" customHeight="1">
      <x:c r="A305" s="20" t="str">
        <x:v>CAF|European Union|Security contractors</x:v>
      </x:c>
      <x:c r="B305" s="20" t="str">
        <x:v>Central African Republic</x:v>
      </x:c>
      <x:c r="C305" s="20" t="str">
        <x:v>CAF</x:v>
      </x:c>
      <x:c r="D305" s="20" t="str">
        <x:v>European Union</x:v>
      </x:c>
      <x:c r="E305" s="20" t="str">
        <x:v>EU influence</x:v>
      </x:c>
      <x:c r="F305" s="20" t="str">
        <x:v>Security contractors</x:v>
      </x:c>
      <x:c r="G305" s="384" t="n">
        <x:v>3</x:v>
      </x:c>
      <x:c r="H305" s="396" t="n">
        <x:v>3</x:v>
      </x:c>
      <x:c r="I305" s="20" t="str">
        <x:v>EEAS CSDP / Global Gateway security source register</x:v>
      </x:c>
      <x:c r="J305" s="397" t="str">
        <x:v>https://www.eeas.europa.eu/eeas/missions-and-operations_en</x:v>
      </x:c>
      <x:c r="K305" s="20" t="str">
        <x:v>Primary source-register URL; automated screening score</x:v>
      </x:c>
      <x:c r="L305" s="20" t="str">
        <x:v>2026-05-20</x:v>
      </x:c>
      <x:c r="M305" s="20" t="str">
        <x:v>2026-05-20</x:v>
      </x:c>
      <x:c r="N305" s="20" t="str">
        <x:v>GPT-5.5 Pro</x:v>
      </x:c>
      <x:c r="O305" s="20" t="str">
        <x:v>Needs review</x:v>
      </x:c>
      <x:c r="P305" s="20" t="str">
        <x:v>Screening score for European Union / Security contractors in Central African Republic; verify with country-specific evidence before final use.</x:v>
      </x:c>
    </x:row>
    <x:row r="306" ht="24" customHeight="1">
      <x:c r="A306" s="20" t="str">
        <x:v>TCD|Russia|Propaganda ecosystems</x:v>
      </x:c>
      <x:c r="B306" s="20" t="str">
        <x:v>Chad</x:v>
      </x:c>
      <x:c r="C306" s="20" t="str">
        <x:v>TCD</x:v>
      </x:c>
      <x:c r="D306" s="20" t="str">
        <x:v>Russia</x:v>
      </x:c>
      <x:c r="E306" s="20" t="str">
        <x:v>Russian influence</x:v>
      </x:c>
      <x:c r="F306" s="20" t="str">
        <x:v>Propaganda ecosystems</x:v>
      </x:c>
      <x:c r="G306" s="384" t="n">
        <x:v>4</x:v>
      </x:c>
      <x:c r="H306" s="396" t="n">
        <x:v>3</x:v>
      </x:c>
      <x:c r="I306" s="20" t="str">
        <x:v>EEAS/EUvsDisinfo FIMI source register</x:v>
      </x:c>
      <x:c r="J306" s="397" t="str">
        <x:v>https://www.eeas.europa.eu/eeas/4th-eeas-annual-report-foreign-information-manipulation-and-interference-threats_en</x:v>
      </x:c>
      <x:c r="K306" s="20" t="str">
        <x:v>Primary source-register URL; automated screening score</x:v>
      </x:c>
      <x:c r="L306" s="20" t="str">
        <x:v>2026-05-20</x:v>
      </x:c>
      <x:c r="M306" s="20" t="str">
        <x:v>2026-05-20</x:v>
      </x:c>
      <x:c r="N306" s="20" t="str">
        <x:v>GPT-5.5 Pro</x:v>
      </x:c>
      <x:c r="O306" s="20" t="str">
        <x:v>Needs review</x:v>
      </x:c>
      <x:c r="P306" s="20" t="str">
        <x:v>Screening score for Russia / Propaganda ecosystems in Chad; verify with country-specific evidence before final use.</x:v>
      </x:c>
    </x:row>
    <x:row r="307" ht="24" customHeight="1">
      <x:c r="A307" s="20" t="str">
        <x:v>TCD|Russia|PMC presence</x:v>
      </x:c>
      <x:c r="B307" s="20" t="str">
        <x:v>Chad</x:v>
      </x:c>
      <x:c r="C307" s="20" t="str">
        <x:v>TCD</x:v>
      </x:c>
      <x:c r="D307" s="20" t="str">
        <x:v>Russia</x:v>
      </x:c>
      <x:c r="E307" s="20" t="str">
        <x:v>Russian influence</x:v>
      </x:c>
      <x:c r="F307" s="20" t="str">
        <x:v>PMC presence</x:v>
      </x:c>
      <x:c r="G307" s="384" t="n">
        <x:v>3</x:v>
      </x:c>
      <x:c r="H307" s="396" t="n">
        <x:v>3</x:v>
      </x:c>
      <x:c r="I307" s="20" t="str">
        <x:v>Treasury and Council of the EU Wagner/PMC source register</x:v>
      </x:c>
      <x:c r="J307" s="397" t="str">
        <x:v>https://www.consilium.europa.eu/en/press/press-releases/2023/02/25/wagner-group-council-adds-11-individuals-and-7-entities-to-eu-sanctions-lists/</x:v>
      </x:c>
      <x:c r="K307" s="20" t="str">
        <x:v>Primary source-register URL; automated screening score</x:v>
      </x:c>
      <x:c r="L307" s="20" t="str">
        <x:v>2026-05-20</x:v>
      </x:c>
      <x:c r="M307" s="20" t="str">
        <x:v>2026-05-20</x:v>
      </x:c>
      <x:c r="N307" s="20" t="str">
        <x:v>GPT-5.5 Pro</x:v>
      </x:c>
      <x:c r="O307" s="20" t="str">
        <x:v>Needs review</x:v>
      </x:c>
      <x:c r="P307" s="20" t="str">
        <x:v>Screening score for Russia / PMC presence in Chad; verify with country-specific evidence before final use.</x:v>
      </x:c>
    </x:row>
    <x:row r="308" ht="24" customHeight="1">
      <x:c r="A308" s="20" t="str">
        <x:v>TCD|Russia|Election interference</x:v>
      </x:c>
      <x:c r="B308" s="20" t="str">
        <x:v>Chad</x:v>
      </x:c>
      <x:c r="C308" s="20" t="str">
        <x:v>TCD</x:v>
      </x:c>
      <x:c r="D308" s="20" t="str">
        <x:v>Russia</x:v>
      </x:c>
      <x:c r="E308" s="20" t="str">
        <x:v>Russian influence</x:v>
      </x:c>
      <x:c r="F308" s="20" t="str">
        <x:v>Election interference</x:v>
      </x:c>
      <x:c r="G308" s="384" t="n">
        <x:v>1</x:v>
      </x:c>
      <x:c r="H308" s="396" t="n">
        <x:v>2</x:v>
      </x:c>
      <x:c r="I308" s="20" t="str">
        <x:v>ODNI/EEAS election-FIMI source register</x:v>
      </x:c>
      <x:c r="J308" s="397" t="str">
        <x:v>https://www.dni.gov/files/ODNI/documents/assessments/ATA-2026-Unclassified-Report.pdf</x:v>
      </x:c>
      <x:c r="K308" s="20" t="str">
        <x:v>Primary source-register URL; automated screening score</x:v>
      </x:c>
      <x:c r="L308" s="20" t="str">
        <x:v>2026-05-20</x:v>
      </x:c>
      <x:c r="M308" s="20" t="str">
        <x:v>2026-05-20</x:v>
      </x:c>
      <x:c r="N308" s="20" t="str">
        <x:v>GPT-5.5 Pro</x:v>
      </x:c>
      <x:c r="O308" s="20" t="str">
        <x:v>Needs review</x:v>
      </x:c>
      <x:c r="P308" s="20" t="str">
        <x:v>Screening score for Russia / Election interference in Chad; verify with country-specific evidence before final use.</x:v>
      </x:c>
    </x:row>
    <x:row r="309" ht="24" customHeight="1">
      <x:c r="A309" s="20" t="str">
        <x:v>TCD|Russia|Security contractors</x:v>
      </x:c>
      <x:c r="B309" s="20" t="str">
        <x:v>Chad</x:v>
      </x:c>
      <x:c r="C309" s="20" t="str">
        <x:v>TCD</x:v>
      </x:c>
      <x:c r="D309" s="20" t="str">
        <x:v>Russia</x:v>
      </x:c>
      <x:c r="E309" s="20" t="str">
        <x:v>Russian influence</x:v>
      </x:c>
      <x:c r="F309" s="20" t="str">
        <x:v>Security contractors</x:v>
      </x:c>
      <x:c r="G309" s="384" t="n">
        <x:v>3</x:v>
      </x:c>
      <x:c r="H309" s="396" t="n">
        <x:v>3</x:v>
      </x:c>
      <x:c r="I309" s="20" t="str">
        <x:v>Council of the EU/Treasury Wagner-security source register</x:v>
      </x:c>
      <x:c r="J309" s="397" t="str">
        <x:v>https://www.consilium.europa.eu/en/press/press-releases/2023/02/25/wagner-group-council-adds-11-individuals-and-7-entities-to-eu-sanctions-lists/</x:v>
      </x:c>
      <x:c r="K309" s="20" t="str">
        <x:v>Primary source-register URL; automated screening score</x:v>
      </x:c>
      <x:c r="L309" s="20" t="str">
        <x:v>2026-05-20</x:v>
      </x:c>
      <x:c r="M309" s="20" t="str">
        <x:v>2026-05-20</x:v>
      </x:c>
      <x:c r="N309" s="20" t="str">
        <x:v>GPT-5.5 Pro</x:v>
      </x:c>
      <x:c r="O309" s="20" t="str">
        <x:v>Needs review</x:v>
      </x:c>
      <x:c r="P309" s="20" t="str">
        <x:v>Screening score for Russia / Security contractors in Chad; verify with country-specific evidence before final use.</x:v>
      </x:c>
    </x:row>
    <x:row r="310" ht="24" customHeight="1">
      <x:c r="A310" s="20" t="str">
        <x:v>TCD|China|Propaganda ecosystems</x:v>
      </x:c>
      <x:c r="B310" s="20" t="str">
        <x:v>Chad</x:v>
      </x:c>
      <x:c r="C310" s="20" t="str">
        <x:v>TCD</x:v>
      </x:c>
      <x:c r="D310" s="20" t="str">
        <x:v>China</x:v>
      </x:c>
      <x:c r="E310" s="20" t="str">
        <x:v>Chinese influence</x:v>
      </x:c>
      <x:c r="F310" s="20" t="str">
        <x:v>Propaganda ecosystems</x:v>
      </x:c>
      <x:c r="G310" s="384" t="n">
        <x:v>5</x:v>
      </x:c>
      <x:c r="H310" s="396" t="n">
        <x:v>3</x:v>
      </x:c>
      <x:c r="I310" s="20" t="str">
        <x:v>EEAS/ODNI China FIMI source register</x:v>
      </x:c>
      <x:c r="J310" s="397" t="str">
        <x:v>https://www.eeas.europa.eu/eeas/4th-eeas-annual-report-foreign-information-manipulation-and-interference-threats_en</x:v>
      </x:c>
      <x:c r="K310" s="20" t="str">
        <x:v>Primary source-register URL; automated screening score</x:v>
      </x:c>
      <x:c r="L310" s="20" t="str">
        <x:v>2026-05-20</x:v>
      </x:c>
      <x:c r="M310" s="20" t="str">
        <x:v>2026-05-20</x:v>
      </x:c>
      <x:c r="N310" s="20" t="str">
        <x:v>GPT-5.5 Pro</x:v>
      </x:c>
      <x:c r="O310" s="20" t="str">
        <x:v>Needs review</x:v>
      </x:c>
      <x:c r="P310" s="20" t="str">
        <x:v>Screening score for China / Propaganda ecosystems in Chad; verify with country-specific evidence before final use.</x:v>
      </x:c>
    </x:row>
    <x:row r="311" ht="24" customHeight="1">
      <x:c r="A311" s="20" t="str">
        <x:v>TCD|China|PMC presence</x:v>
      </x:c>
      <x:c r="B311" s="20" t="str">
        <x:v>Chad</x:v>
      </x:c>
      <x:c r="C311" s="20" t="str">
        <x:v>TCD</x:v>
      </x:c>
      <x:c r="D311" s="20" t="str">
        <x:v>China</x:v>
      </x:c>
      <x:c r="E311" s="20" t="str">
        <x:v>Chinese influence</x:v>
      </x:c>
      <x:c r="F311" s="20" t="str">
        <x:v>PMC presence</x:v>
      </x:c>
      <x:c r="G311" s="384" t="n">
        <x:v>1</x:v>
      </x:c>
      <x:c r="H311" s="396" t="n">
        <x:v>2</x:v>
      </x:c>
      <x:c r="I311" s="20" t="str">
        <x:v>MERICS/Carnegie Chinese overseas PSC source register</x:v>
      </x:c>
      <x:c r="J311" s="397" t="str">
        <x:v>https://merics.org/en/report/guardians-belt-and-road</x:v>
      </x:c>
      <x:c r="K311" s="20" t="str">
        <x:v>Primary source-register URL; automated screening score</x:v>
      </x:c>
      <x:c r="L311" s="20" t="str">
        <x:v>2026-05-20</x:v>
      </x:c>
      <x:c r="M311" s="20" t="str">
        <x:v>2026-05-20</x:v>
      </x:c>
      <x:c r="N311" s="20" t="str">
        <x:v>GPT-5.5 Pro</x:v>
      </x:c>
      <x:c r="O311" s="20" t="str">
        <x:v>Needs review</x:v>
      </x:c>
      <x:c r="P311" s="20" t="str">
        <x:v>Screening score for China / PMC presence in Chad; verify with country-specific evidence before final use.</x:v>
      </x:c>
    </x:row>
    <x:row r="312" ht="24" customHeight="1">
      <x:c r="A312" s="20" t="str">
        <x:v>TCD|China|Election interference</x:v>
      </x:c>
      <x:c r="B312" s="20" t="str">
        <x:v>Chad</x:v>
      </x:c>
      <x:c r="C312" s="20" t="str">
        <x:v>TCD</x:v>
      </x:c>
      <x:c r="D312" s="20" t="str">
        <x:v>China</x:v>
      </x:c>
      <x:c r="E312" s="20" t="str">
        <x:v>Chinese influence</x:v>
      </x:c>
      <x:c r="F312" s="20" t="str">
        <x:v>Election interference</x:v>
      </x:c>
      <x:c r="G312" s="384" t="n">
        <x:v>1</x:v>
      </x:c>
      <x:c r="H312" s="396" t="n">
        <x:v>2</x:v>
      </x:c>
      <x:c r="I312" s="20" t="str">
        <x:v>EEAS/ODNI China election-FIMI source register</x:v>
      </x:c>
      <x:c r="J312" s="397" t="str">
        <x:v>https://www.eeas.europa.eu/eeas/4th-eeas-annual-report-foreign-information-manipulation-and-interference-threats_en</x:v>
      </x:c>
      <x:c r="K312" s="20" t="str">
        <x:v>Primary source-register URL; automated screening score</x:v>
      </x:c>
      <x:c r="L312" s="20" t="str">
        <x:v>2026-05-20</x:v>
      </x:c>
      <x:c r="M312" s="20" t="str">
        <x:v>2026-05-20</x:v>
      </x:c>
      <x:c r="N312" s="20" t="str">
        <x:v>GPT-5.5 Pro</x:v>
      </x:c>
      <x:c r="O312" s="20" t="str">
        <x:v>Needs review</x:v>
      </x:c>
      <x:c r="P312" s="20" t="str">
        <x:v>Screening score for China / Election interference in Chad; verify with country-specific evidence before final use.</x:v>
      </x:c>
    </x:row>
    <x:row r="313" ht="24" customHeight="1">
      <x:c r="A313" s="20" t="str">
        <x:v>TCD|China|Security contractors</x:v>
      </x:c>
      <x:c r="B313" s="20" t="str">
        <x:v>Chad</x:v>
      </x:c>
      <x:c r="C313" s="20" t="str">
        <x:v>TCD</x:v>
      </x:c>
      <x:c r="D313" s="20" t="str">
        <x:v>China</x:v>
      </x:c>
      <x:c r="E313" s="20" t="str">
        <x:v>Chinese influence</x:v>
      </x:c>
      <x:c r="F313" s="20" t="str">
        <x:v>Security contractors</x:v>
      </x:c>
      <x:c r="G313" s="384" t="n">
        <x:v>1</x:v>
      </x:c>
      <x:c r="H313" s="396" t="n">
        <x:v>2</x:v>
      </x:c>
      <x:c r="I313" s="20" t="str">
        <x:v>MERICS/Carnegie Chinese security contractor source register</x:v>
      </x:c>
      <x:c r="J313" s="397" t="str">
        <x:v>https://merics.org/en/report/guardians-belt-and-road</x:v>
      </x:c>
      <x:c r="K313" s="20" t="str">
        <x:v>Primary source-register URL; automated screening score</x:v>
      </x:c>
      <x:c r="L313" s="20" t="str">
        <x:v>2026-05-20</x:v>
      </x:c>
      <x:c r="M313" s="20" t="str">
        <x:v>2026-05-20</x:v>
      </x:c>
      <x:c r="N313" s="20" t="str">
        <x:v>GPT-5.5 Pro</x:v>
      </x:c>
      <x:c r="O313" s="20" t="str">
        <x:v>Needs review</x:v>
      </x:c>
      <x:c r="P313" s="20" t="str">
        <x:v>Screening score for China / Security contractors in Chad; verify with country-specific evidence before final use.</x:v>
      </x:c>
    </x:row>
    <x:row r="314" ht="24" customHeight="1">
      <x:c r="A314" s="20" t="str">
        <x:v>TCD|United States|Propaganda ecosystems</x:v>
      </x:c>
      <x:c r="B314" s="20" t="str">
        <x:v>Chad</x:v>
      </x:c>
      <x:c r="C314" s="20" t="str">
        <x:v>TCD</x:v>
      </x:c>
      <x:c r="D314" s="20" t="str">
        <x:v>United States</x:v>
      </x:c>
      <x:c r="E314" s="20" t="str">
        <x:v>American influence</x:v>
      </x:c>
      <x:c r="F314" s="20" t="str">
        <x:v>Propaganda ecosystems</x:v>
      </x:c>
      <x:c r="G314" s="384" t="n">
        <x:v>4</x:v>
      </x:c>
      <x:c r="H314" s="396" t="n">
        <x:v>3</x:v>
      </x:c>
      <x:c r="I314" s="20" t="str">
        <x:v>USAGM public media source register</x:v>
      </x:c>
      <x:c r="J314" s="397" t="str">
        <x:v>https://www.usagm.gov/our-work/strategy-and-results/strategic-priorities/research-reports/</x:v>
      </x:c>
      <x:c r="K314" s="20" t="str">
        <x:v>Primary source-register URL; automated screening score</x:v>
      </x:c>
      <x:c r="L314" s="20" t="str">
        <x:v>2026-05-20</x:v>
      </x:c>
      <x:c r="M314" s="20" t="str">
        <x:v>2026-05-20</x:v>
      </x:c>
      <x:c r="N314" s="20" t="str">
        <x:v>GPT-5.5 Pro</x:v>
      </x:c>
      <x:c r="O314" s="20" t="str">
        <x:v>Needs review</x:v>
      </x:c>
      <x:c r="P314" s="20" t="str">
        <x:v>Screening score for United States / Propaganda ecosystems in Chad; verify with country-specific evidence before final use.</x:v>
      </x:c>
    </x:row>
    <x:row r="315" ht="24" customHeight="1">
      <x:c r="A315" s="20" t="str">
        <x:v>TCD|United States|PMC presence</x:v>
      </x:c>
      <x:c r="B315" s="20" t="str">
        <x:v>Chad</x:v>
      </x:c>
      <x:c r="C315" s="20" t="str">
        <x:v>TCD</x:v>
      </x:c>
      <x:c r="D315" s="20" t="str">
        <x:v>United States</x:v>
      </x:c>
      <x:c r="E315" s="20" t="str">
        <x:v>American influence</x:v>
      </x:c>
      <x:c r="F315" s="20" t="str">
        <x:v>PMC presence</x:v>
      </x:c>
      <x:c r="G315" s="384" t="n">
        <x:v>2</x:v>
      </x:c>
      <x:c r="H315" s="396" t="n">
        <x:v>2</x:v>
      </x:c>
      <x:c r="I315" s="20" t="str">
        <x:v>SAM/Greenbook U.S. security assistance contractor source register</x:v>
      </x:c>
      <x:c r="J315" s="397" t="str">
        <x:v>https://internationalpolicy.org/programs/sam/</x:v>
      </x:c>
      <x:c r="K315" s="20" t="str">
        <x:v>Primary source-register URL; automated screening score</x:v>
      </x:c>
      <x:c r="L315" s="20" t="str">
        <x:v>2026-05-20</x:v>
      </x:c>
      <x:c r="M315" s="20" t="str">
        <x:v>2026-05-20</x:v>
      </x:c>
      <x:c r="N315" s="20" t="str">
        <x:v>GPT-5.5 Pro</x:v>
      </x:c>
      <x:c r="O315" s="20" t="str">
        <x:v>Needs review</x:v>
      </x:c>
      <x:c r="P315" s="20" t="str">
        <x:v>Screening score for United States / PMC presence in Chad; verify with country-specific evidence before final use.</x:v>
      </x:c>
    </x:row>
    <x:row r="316" ht="24" customHeight="1">
      <x:c r="A316" s="20" t="str">
        <x:v>TCD|United States|Election interference</x:v>
      </x:c>
      <x:c r="B316" s="20" t="str">
        <x:v>Chad</x:v>
      </x:c>
      <x:c r="C316" s="20" t="str">
        <x:v>TCD</x:v>
      </x:c>
      <x:c r="D316" s="20" t="str">
        <x:v>United States</x:v>
      </x:c>
      <x:c r="E316" s="20" t="str">
        <x:v>American influence</x:v>
      </x:c>
      <x:c r="F316" s="20" t="str">
        <x:v>Election interference</x:v>
      </x:c>
      <x:c r="G316" s="384" t="n">
        <x:v>2</x:v>
      </x:c>
      <x:c r="H316" s="396" t="n">
        <x:v>2</x:v>
      </x:c>
      <x:c r="I316" s="20" t="str">
        <x:v>NED/Greenbook democracy assistance source register</x:v>
      </x:c>
      <x:c r="J316" s="397" t="str">
        <x:v>https://www.ned.org/ned-grantmaking/</x:v>
      </x:c>
      <x:c r="K316" s="20" t="str">
        <x:v>Primary source-register URL; automated screening score</x:v>
      </x:c>
      <x:c r="L316" s="20" t="str">
        <x:v>2026-05-20</x:v>
      </x:c>
      <x:c r="M316" s="20" t="str">
        <x:v>2026-05-20</x:v>
      </x:c>
      <x:c r="N316" s="20" t="str">
        <x:v>GPT-5.5 Pro</x:v>
      </x:c>
      <x:c r="O316" s="20" t="str">
        <x:v>Needs review</x:v>
      </x:c>
      <x:c r="P316" s="20" t="str">
        <x:v>Screening score for United States / Election interference in Chad; verify with country-specific evidence before final use.</x:v>
      </x:c>
    </x:row>
    <x:row r="317" ht="24" customHeight="1">
      <x:c r="A317" s="20" t="str">
        <x:v>TCD|United States|Security contractors</x:v>
      </x:c>
      <x:c r="B317" s="20" t="str">
        <x:v>Chad</x:v>
      </x:c>
      <x:c r="C317" s="20" t="str">
        <x:v>TCD</x:v>
      </x:c>
      <x:c r="D317" s="20" t="str">
        <x:v>United States</x:v>
      </x:c>
      <x:c r="E317" s="20" t="str">
        <x:v>American influence</x:v>
      </x:c>
      <x:c r="F317" s="20" t="str">
        <x:v>Security contractors</x:v>
      </x:c>
      <x:c r="G317" s="384" t="n">
        <x:v>3</x:v>
      </x:c>
      <x:c r="H317" s="396" t="n">
        <x:v>3</x:v>
      </x:c>
      <x:c r="I317" s="20" t="str">
        <x:v>SAM/Greenbook U.S. security contractor source register</x:v>
      </x:c>
      <x:c r="J317" s="397" t="str">
        <x:v>https://internationalpolicy.org/programs/sam/</x:v>
      </x:c>
      <x:c r="K317" s="20" t="str">
        <x:v>Primary source-register URL; automated screening score</x:v>
      </x:c>
      <x:c r="L317" s="20" t="str">
        <x:v>2026-05-20</x:v>
      </x:c>
      <x:c r="M317" s="20" t="str">
        <x:v>2026-05-20</x:v>
      </x:c>
      <x:c r="N317" s="20" t="str">
        <x:v>GPT-5.5 Pro</x:v>
      </x:c>
      <x:c r="O317" s="20" t="str">
        <x:v>Needs review</x:v>
      </x:c>
      <x:c r="P317" s="20" t="str">
        <x:v>Screening score for United States / Security contractors in Chad; verify with country-specific evidence before final use.</x:v>
      </x:c>
    </x:row>
    <x:row r="318" ht="24" customHeight="1">
      <x:c r="A318" s="20" t="str">
        <x:v>TCD|European Union|Propaganda ecosystems</x:v>
      </x:c>
      <x:c r="B318" s="20" t="str">
        <x:v>Chad</x:v>
      </x:c>
      <x:c r="C318" s="20" t="str">
        <x:v>TCD</x:v>
      </x:c>
      <x:c r="D318" s="20" t="str">
        <x:v>European Union</x:v>
      </x:c>
      <x:c r="E318" s="20" t="str">
        <x:v>EU influence</x:v>
      </x:c>
      <x:c r="F318" s="20" t="str">
        <x:v>Propaganda ecosystems</x:v>
      </x:c>
      <x:c r="G318" s="384" t="n">
        <x:v>3</x:v>
      </x:c>
      <x:c r="H318" s="396" t="n">
        <x:v>3</x:v>
      </x:c>
      <x:c r="I318" s="20" t="str">
        <x:v>EEAS public diplomacy source register</x:v>
      </x:c>
      <x:c r="J318" s="397" t="str">
        <x:v>https://www.eeas.europa.eu/eeas/public-diplomacy_en</x:v>
      </x:c>
      <x:c r="K318" s="20" t="str">
        <x:v>Primary source-register URL; automated screening score</x:v>
      </x:c>
      <x:c r="L318" s="20" t="str">
        <x:v>2026-05-20</x:v>
      </x:c>
      <x:c r="M318" s="20" t="str">
        <x:v>2026-05-20</x:v>
      </x:c>
      <x:c r="N318" s="20" t="str">
        <x:v>GPT-5.5 Pro</x:v>
      </x:c>
      <x:c r="O318" s="20" t="str">
        <x:v>Needs review</x:v>
      </x:c>
      <x:c r="P318" s="20" t="str">
        <x:v>Screening score for European Union / Propaganda ecosystems in Chad; verify with country-specific evidence before final use.</x:v>
      </x:c>
    </x:row>
    <x:row r="319" ht="24" customHeight="1">
      <x:c r="A319" s="20" t="str">
        <x:v>TCD|European Union|PMC presence</x:v>
      </x:c>
      <x:c r="B319" s="20" t="str">
        <x:v>Chad</x:v>
      </x:c>
      <x:c r="C319" s="20" t="str">
        <x:v>TCD</x:v>
      </x:c>
      <x:c r="D319" s="20" t="str">
        <x:v>European Union</x:v>
      </x:c>
      <x:c r="E319" s="20" t="str">
        <x:v>EU influence</x:v>
      </x:c>
      <x:c r="F319" s="20" t="str">
        <x:v>PMC presence</x:v>
      </x:c>
      <x:c r="G319" s="384" t="n">
        <x:v>0</x:v>
      </x:c>
      <x:c r="H319" s="396" t="n">
        <x:v>1</x:v>
      </x:c>
      <x:c r="I319" s="20" t="str">
        <x:v>EEAS CSDP missions source register</x:v>
      </x:c>
      <x:c r="J319" s="397" t="str">
        <x:v>https://www.eeas.europa.eu/eeas/missions-and-operations_en</x:v>
      </x:c>
      <x:c r="K319" s="20" t="str">
        <x:v>Primary source-register URL; automated screening score</x:v>
      </x:c>
      <x:c r="L319" s="20" t="str">
        <x:v>2026-05-20</x:v>
      </x:c>
      <x:c r="M319" s="20" t="str">
        <x:v>2026-05-20</x:v>
      </x:c>
      <x:c r="N319" s="20" t="str">
        <x:v>GPT-5.5 Pro</x:v>
      </x:c>
      <x:c r="O319" s="20" t="str">
        <x:v>Needs review</x:v>
      </x:c>
      <x:c r="P319" s="20" t="str">
        <x:v>Screening score for European Union / PMC presence in Chad; verify with country-specific evidence before final use.</x:v>
      </x:c>
    </x:row>
    <x:row r="320" ht="24" customHeight="1">
      <x:c r="A320" s="20" t="str">
        <x:v>TCD|European Union|Election interference</x:v>
      </x:c>
      <x:c r="B320" s="20" t="str">
        <x:v>Chad</x:v>
      </x:c>
      <x:c r="C320" s="20" t="str">
        <x:v>TCD</x:v>
      </x:c>
      <x:c r="D320" s="20" t="str">
        <x:v>European Union</x:v>
      </x:c>
      <x:c r="E320" s="20" t="str">
        <x:v>EU influence</x:v>
      </x:c>
      <x:c r="F320" s="20" t="str">
        <x:v>Election interference</x:v>
      </x:c>
      <x:c r="G320" s="384" t="n">
        <x:v>1</x:v>
      </x:c>
      <x:c r="H320" s="396" t="n">
        <x:v>2</x:v>
      </x:c>
      <x:c r="I320" s="20" t="str">
        <x:v>EEAS EU election observation source register</x:v>
      </x:c>
      <x:c r="J320" s="397" t="str">
        <x:v>https://www.eeas.europa.eu/eeas/eu-election-observation-missions-1_en?page_lang=en</x:v>
      </x:c>
      <x:c r="K320" s="20" t="str">
        <x:v>Primary source-register URL; automated screening score</x:v>
      </x:c>
      <x:c r="L320" s="20" t="str">
        <x:v>2026-05-20</x:v>
      </x:c>
      <x:c r="M320" s="20" t="str">
        <x:v>2026-05-20</x:v>
      </x:c>
      <x:c r="N320" s="20" t="str">
        <x:v>GPT-5.5 Pro</x:v>
      </x:c>
      <x:c r="O320" s="20" t="str">
        <x:v>Needs review</x:v>
      </x:c>
      <x:c r="P320" s="20" t="str">
        <x:v>Screening score for European Union / Election interference in Chad; verify with country-specific evidence before final use.</x:v>
      </x:c>
    </x:row>
    <x:row r="321" ht="24" customHeight="1">
      <x:c r="A321" s="20" t="str">
        <x:v>TCD|European Union|Security contractors</x:v>
      </x:c>
      <x:c r="B321" s="20" t="str">
        <x:v>Chad</x:v>
      </x:c>
      <x:c r="C321" s="20" t="str">
        <x:v>TCD</x:v>
      </x:c>
      <x:c r="D321" s="20" t="str">
        <x:v>European Union</x:v>
      </x:c>
      <x:c r="E321" s="20" t="str">
        <x:v>EU influence</x:v>
      </x:c>
      <x:c r="F321" s="20" t="str">
        <x:v>Security contractors</x:v>
      </x:c>
      <x:c r="G321" s="384" t="n">
        <x:v>2</x:v>
      </x:c>
      <x:c r="H321" s="396" t="n">
        <x:v>2</x:v>
      </x:c>
      <x:c r="I321" s="20" t="str">
        <x:v>EEAS CSDP / Global Gateway security source register</x:v>
      </x:c>
      <x:c r="J321" s="397" t="str">
        <x:v>https://www.eeas.europa.eu/eeas/missions-and-operations_en</x:v>
      </x:c>
      <x:c r="K321" s="20" t="str">
        <x:v>Primary source-register URL; automated screening score</x:v>
      </x:c>
      <x:c r="L321" s="20" t="str">
        <x:v>2026-05-20</x:v>
      </x:c>
      <x:c r="M321" s="20" t="str">
        <x:v>2026-05-20</x:v>
      </x:c>
      <x:c r="N321" s="20" t="str">
        <x:v>GPT-5.5 Pro</x:v>
      </x:c>
      <x:c r="O321" s="20" t="str">
        <x:v>Needs review</x:v>
      </x:c>
      <x:c r="P321" s="20" t="str">
        <x:v>Screening score for European Union / Security contractors in Chad; verify with country-specific evidence before final use.</x:v>
      </x:c>
    </x:row>
    <x:row r="322" ht="24" customHeight="1">
      <x:c r="A322" s="20" t="str">
        <x:v>CHL|Russia|Propaganda ecosystems</x:v>
      </x:c>
      <x:c r="B322" s="20" t="str">
        <x:v>Chile</x:v>
      </x:c>
      <x:c r="C322" s="20" t="str">
        <x:v>CHL</x:v>
      </x:c>
      <x:c r="D322" s="20" t="str">
        <x:v>Russia</x:v>
      </x:c>
      <x:c r="E322" s="20" t="str">
        <x:v>Russian influence</x:v>
      </x:c>
      <x:c r="F322" s="20" t="str">
        <x:v>Propaganda ecosystems</x:v>
      </x:c>
      <x:c r="G322" s="384" t="n">
        <x:v>3</x:v>
      </x:c>
      <x:c r="H322" s="396" t="n">
        <x:v>3</x:v>
      </x:c>
      <x:c r="I322" s="20" t="str">
        <x:v>EEAS/EUvsDisinfo FIMI source register</x:v>
      </x:c>
      <x:c r="J322" s="397" t="str">
        <x:v>https://www.eeas.europa.eu/eeas/4th-eeas-annual-report-foreign-information-manipulation-and-interference-threats_en</x:v>
      </x:c>
      <x:c r="K322" s="20" t="str">
        <x:v>Primary source-register URL; automated screening score</x:v>
      </x:c>
      <x:c r="L322" s="20" t="str">
        <x:v>2026-05-20</x:v>
      </x:c>
      <x:c r="M322" s="20" t="str">
        <x:v>2026-05-20</x:v>
      </x:c>
      <x:c r="N322" s="20" t="str">
        <x:v>GPT-5.5 Pro</x:v>
      </x:c>
      <x:c r="O322" s="20" t="str">
        <x:v>Needs review</x:v>
      </x:c>
      <x:c r="P322" s="20" t="str">
        <x:v>Screening score for Russia / Propaganda ecosystems in Chile; verify with country-specific evidence before final use.</x:v>
      </x:c>
    </x:row>
    <x:row r="323" ht="24" customHeight="1">
      <x:c r="A323" s="20" t="str">
        <x:v>CHL|Russia|PMC presence</x:v>
      </x:c>
      <x:c r="B323" s="20" t="str">
        <x:v>Chile</x:v>
      </x:c>
      <x:c r="C323" s="20" t="str">
        <x:v>CHL</x:v>
      </x:c>
      <x:c r="D323" s="20" t="str">
        <x:v>Russia</x:v>
      </x:c>
      <x:c r="E323" s="20" t="str">
        <x:v>Russian influence</x:v>
      </x:c>
      <x:c r="F323" s="20" t="str">
        <x:v>PMC presence</x:v>
      </x:c>
      <x:c r="G323" s="384" t="n">
        <x:v>0</x:v>
      </x:c>
      <x:c r="H323" s="396" t="n">
        <x:v>1</x:v>
      </x:c>
      <x:c r="I323" s="20" t="str">
        <x:v>Treasury and Council of the EU Wagner/PMC source register</x:v>
      </x:c>
      <x:c r="J323" s="397" t="str">
        <x:v>https://www.consilium.europa.eu/en/press/press-releases/2023/02/25/wagner-group-council-adds-11-individuals-and-7-entities-to-eu-sanctions-lists/</x:v>
      </x:c>
      <x:c r="K323" s="20" t="str">
        <x:v>Primary source-register URL; automated screening score</x:v>
      </x:c>
      <x:c r="L323" s="20" t="str">
        <x:v>2026-05-20</x:v>
      </x:c>
      <x:c r="M323" s="20" t="str">
        <x:v>2026-05-20</x:v>
      </x:c>
      <x:c r="N323" s="20" t="str">
        <x:v>GPT-5.5 Pro</x:v>
      </x:c>
      <x:c r="O323" s="20" t="str">
        <x:v>Needs review</x:v>
      </x:c>
      <x:c r="P323" s="20" t="str">
        <x:v>Screening score for Russia / PMC presence in Chile; verify with country-specific evidence before final use.</x:v>
      </x:c>
    </x:row>
    <x:row r="324" ht="24" customHeight="1">
      <x:c r="A324" s="20" t="str">
        <x:v>CHL|Russia|Election interference</x:v>
      </x:c>
      <x:c r="B324" s="20" t="str">
        <x:v>Chile</x:v>
      </x:c>
      <x:c r="C324" s="20" t="str">
        <x:v>CHL</x:v>
      </x:c>
      <x:c r="D324" s="20" t="str">
        <x:v>Russia</x:v>
      </x:c>
      <x:c r="E324" s="20" t="str">
        <x:v>Russian influence</x:v>
      </x:c>
      <x:c r="F324" s="20" t="str">
        <x:v>Election interference</x:v>
      </x:c>
      <x:c r="G324" s="384" t="n">
        <x:v>2</x:v>
      </x:c>
      <x:c r="H324" s="396" t="n">
        <x:v>2</x:v>
      </x:c>
      <x:c r="I324" s="20" t="str">
        <x:v>ODNI/EEAS election-FIMI source register</x:v>
      </x:c>
      <x:c r="J324" s="397" t="str">
        <x:v>https://www.dni.gov/files/ODNI/documents/assessments/ATA-2026-Unclassified-Report.pdf</x:v>
      </x:c>
      <x:c r="K324" s="20" t="str">
        <x:v>Primary source-register URL; automated screening score</x:v>
      </x:c>
      <x:c r="L324" s="20" t="str">
        <x:v>2026-05-20</x:v>
      </x:c>
      <x:c r="M324" s="20" t="str">
        <x:v>2026-05-20</x:v>
      </x:c>
      <x:c r="N324" s="20" t="str">
        <x:v>GPT-5.5 Pro</x:v>
      </x:c>
      <x:c r="O324" s="20" t="str">
        <x:v>Needs review</x:v>
      </x:c>
      <x:c r="P324" s="20" t="str">
        <x:v>Screening score for Russia / Election interference in Chile; verify with country-specific evidence before final use.</x:v>
      </x:c>
    </x:row>
    <x:row r="325" ht="24" customHeight="1">
      <x:c r="A325" s="20" t="str">
        <x:v>CHL|Russia|Security contractors</x:v>
      </x:c>
      <x:c r="B325" s="20" t="str">
        <x:v>Chile</x:v>
      </x:c>
      <x:c r="C325" s="20" t="str">
        <x:v>CHL</x:v>
      </x:c>
      <x:c r="D325" s="20" t="str">
        <x:v>Russia</x:v>
      </x:c>
      <x:c r="E325" s="20" t="str">
        <x:v>Russian influence</x:v>
      </x:c>
      <x:c r="F325" s="20" t="str">
        <x:v>Security contractors</x:v>
      </x:c>
      <x:c r="G325" s="384" t="n">
        <x:v>0</x:v>
      </x:c>
      <x:c r="H325" s="396" t="n">
        <x:v>1</x:v>
      </x:c>
      <x:c r="I325" s="20" t="str">
        <x:v>Council of the EU/Treasury Wagner-security source register</x:v>
      </x:c>
      <x:c r="J325" s="397" t="str">
        <x:v>https://www.consilium.europa.eu/en/press/press-releases/2023/02/25/wagner-group-council-adds-11-individuals-and-7-entities-to-eu-sanctions-lists/</x:v>
      </x:c>
      <x:c r="K325" s="20" t="str">
        <x:v>Primary source-register URL; automated screening score</x:v>
      </x:c>
      <x:c r="L325" s="20" t="str">
        <x:v>2026-05-20</x:v>
      </x:c>
      <x:c r="M325" s="20" t="str">
        <x:v>2026-05-20</x:v>
      </x:c>
      <x:c r="N325" s="20" t="str">
        <x:v>GPT-5.5 Pro</x:v>
      </x:c>
      <x:c r="O325" s="20" t="str">
        <x:v>Needs review</x:v>
      </x:c>
      <x:c r="P325" s="20" t="str">
        <x:v>Screening score for Russia / Security contractors in Chile; verify with country-specific evidence before final use.</x:v>
      </x:c>
    </x:row>
    <x:row r="326" ht="24" customHeight="1">
      <x:c r="A326" s="20" t="str">
        <x:v>CHL|China|Propaganda ecosystems</x:v>
      </x:c>
      <x:c r="B326" s="20" t="str">
        <x:v>Chile</x:v>
      </x:c>
      <x:c r="C326" s="20" t="str">
        <x:v>CHL</x:v>
      </x:c>
      <x:c r="D326" s="20" t="str">
        <x:v>China</x:v>
      </x:c>
      <x:c r="E326" s="20" t="str">
        <x:v>Chinese influence</x:v>
      </x:c>
      <x:c r="F326" s="20" t="str">
        <x:v>Propaganda ecosystems</x:v>
      </x:c>
      <x:c r="G326" s="384" t="n">
        <x:v>4</x:v>
      </x:c>
      <x:c r="H326" s="396" t="n">
        <x:v>3</x:v>
      </x:c>
      <x:c r="I326" s="20" t="str">
        <x:v>EEAS/ODNI China FIMI source register</x:v>
      </x:c>
      <x:c r="J326" s="397" t="str">
        <x:v>https://www.eeas.europa.eu/eeas/4th-eeas-annual-report-foreign-information-manipulation-and-interference-threats_en</x:v>
      </x:c>
      <x:c r="K326" s="20" t="str">
        <x:v>Primary source-register URL; automated screening score</x:v>
      </x:c>
      <x:c r="L326" s="20" t="str">
        <x:v>2026-05-20</x:v>
      </x:c>
      <x:c r="M326" s="20" t="str">
        <x:v>2026-05-20</x:v>
      </x:c>
      <x:c r="N326" s="20" t="str">
        <x:v>GPT-5.5 Pro</x:v>
      </x:c>
      <x:c r="O326" s="20" t="str">
        <x:v>Needs review</x:v>
      </x:c>
      <x:c r="P326" s="20" t="str">
        <x:v>Screening score for China / Propaganda ecosystems in Chile; verify with country-specific evidence before final use.</x:v>
      </x:c>
    </x:row>
    <x:row r="327" ht="24" customHeight="1">
      <x:c r="A327" s="20" t="str">
        <x:v>CHL|China|PMC presence</x:v>
      </x:c>
      <x:c r="B327" s="20" t="str">
        <x:v>Chile</x:v>
      </x:c>
      <x:c r="C327" s="20" t="str">
        <x:v>CHL</x:v>
      </x:c>
      <x:c r="D327" s="20" t="str">
        <x:v>China</x:v>
      </x:c>
      <x:c r="E327" s="20" t="str">
        <x:v>Chinese influence</x:v>
      </x:c>
      <x:c r="F327" s="20" t="str">
        <x:v>PMC presence</x:v>
      </x:c>
      <x:c r="G327" s="384" t="n">
        <x:v>0</x:v>
      </x:c>
      <x:c r="H327" s="396" t="n">
        <x:v>1</x:v>
      </x:c>
      <x:c r="I327" s="20" t="str">
        <x:v>MERICS/Carnegie Chinese overseas PSC source register</x:v>
      </x:c>
      <x:c r="J327" s="397" t="str">
        <x:v>https://merics.org/en/report/guardians-belt-and-road</x:v>
      </x:c>
      <x:c r="K327" s="20" t="str">
        <x:v>Primary source-register URL; automated screening score</x:v>
      </x:c>
      <x:c r="L327" s="20" t="str">
        <x:v>2026-05-20</x:v>
      </x:c>
      <x:c r="M327" s="20" t="str">
        <x:v>2026-05-20</x:v>
      </x:c>
      <x:c r="N327" s="20" t="str">
        <x:v>GPT-5.5 Pro</x:v>
      </x:c>
      <x:c r="O327" s="20" t="str">
        <x:v>Needs review</x:v>
      </x:c>
      <x:c r="P327" s="20" t="str">
        <x:v>Screening score for China / PMC presence in Chile; verify with country-specific evidence before final use.</x:v>
      </x:c>
    </x:row>
    <x:row r="328" ht="24" customHeight="1">
      <x:c r="A328" s="20" t="str">
        <x:v>CHL|China|Election interference</x:v>
      </x:c>
      <x:c r="B328" s="20" t="str">
        <x:v>Chile</x:v>
      </x:c>
      <x:c r="C328" s="20" t="str">
        <x:v>CHL</x:v>
      </x:c>
      <x:c r="D328" s="20" t="str">
        <x:v>China</x:v>
      </x:c>
      <x:c r="E328" s="20" t="str">
        <x:v>Chinese influence</x:v>
      </x:c>
      <x:c r="F328" s="20" t="str">
        <x:v>Election interference</x:v>
      </x:c>
      <x:c r="G328" s="384" t="n">
        <x:v>2</x:v>
      </x:c>
      <x:c r="H328" s="396" t="n">
        <x:v>2</x:v>
      </x:c>
      <x:c r="I328" s="20" t="str">
        <x:v>EEAS/ODNI China election-FIMI source register</x:v>
      </x:c>
      <x:c r="J328" s="397" t="str">
        <x:v>https://www.eeas.europa.eu/eeas/4th-eeas-annual-report-foreign-information-manipulation-and-interference-threats_en</x:v>
      </x:c>
      <x:c r="K328" s="20" t="str">
        <x:v>Primary source-register URL; automated screening score</x:v>
      </x:c>
      <x:c r="L328" s="20" t="str">
        <x:v>2026-05-20</x:v>
      </x:c>
      <x:c r="M328" s="20" t="str">
        <x:v>2026-05-20</x:v>
      </x:c>
      <x:c r="N328" s="20" t="str">
        <x:v>GPT-5.5 Pro</x:v>
      </x:c>
      <x:c r="O328" s="20" t="str">
        <x:v>Needs review</x:v>
      </x:c>
      <x:c r="P328" s="20" t="str">
        <x:v>Screening score for China / Election interference in Chile; verify with country-specific evidence before final use.</x:v>
      </x:c>
    </x:row>
    <x:row r="329" ht="24" customHeight="1">
      <x:c r="A329" s="20" t="str">
        <x:v>CHL|China|Security contractors</x:v>
      </x:c>
      <x:c r="B329" s="20" t="str">
        <x:v>Chile</x:v>
      </x:c>
      <x:c r="C329" s="20" t="str">
        <x:v>CHL</x:v>
      </x:c>
      <x:c r="D329" s="20" t="str">
        <x:v>China</x:v>
      </x:c>
      <x:c r="E329" s="20" t="str">
        <x:v>Chinese influence</x:v>
      </x:c>
      <x:c r="F329" s="20" t="str">
        <x:v>Security contractors</x:v>
      </x:c>
      <x:c r="G329" s="384" t="n">
        <x:v>0</x:v>
      </x:c>
      <x:c r="H329" s="396" t="n">
        <x:v>1</x:v>
      </x:c>
      <x:c r="I329" s="20" t="str">
        <x:v>MERICS/Carnegie Chinese security contractor source register</x:v>
      </x:c>
      <x:c r="J329" s="397" t="str">
        <x:v>https://merics.org/en/report/guardians-belt-and-road</x:v>
      </x:c>
      <x:c r="K329" s="20" t="str">
        <x:v>Primary source-register URL; automated screening score</x:v>
      </x:c>
      <x:c r="L329" s="20" t="str">
        <x:v>2026-05-20</x:v>
      </x:c>
      <x:c r="M329" s="20" t="str">
        <x:v>2026-05-20</x:v>
      </x:c>
      <x:c r="N329" s="20" t="str">
        <x:v>GPT-5.5 Pro</x:v>
      </x:c>
      <x:c r="O329" s="20" t="str">
        <x:v>Needs review</x:v>
      </x:c>
      <x:c r="P329" s="20" t="str">
        <x:v>Screening score for China / Security contractors in Chile; verify with country-specific evidence before final use.</x:v>
      </x:c>
    </x:row>
    <x:row r="330" ht="24" customHeight="1">
      <x:c r="A330" s="20" t="str">
        <x:v>CHL|United States|Propaganda ecosystems</x:v>
      </x:c>
      <x:c r="B330" s="20" t="str">
        <x:v>Chile</x:v>
      </x:c>
      <x:c r="C330" s="20" t="str">
        <x:v>CHL</x:v>
      </x:c>
      <x:c r="D330" s="20" t="str">
        <x:v>United States</x:v>
      </x:c>
      <x:c r="E330" s="20" t="str">
        <x:v>American influence</x:v>
      </x:c>
      <x:c r="F330" s="20" t="str">
        <x:v>Propaganda ecosystems</x:v>
      </x:c>
      <x:c r="G330" s="384" t="n">
        <x:v>3</x:v>
      </x:c>
      <x:c r="H330" s="396" t="n">
        <x:v>3</x:v>
      </x:c>
      <x:c r="I330" s="20" t="str">
        <x:v>USAGM public media source register</x:v>
      </x:c>
      <x:c r="J330" s="397" t="str">
        <x:v>https://www.usagm.gov/our-work/strategy-and-results/strategic-priorities/research-reports/</x:v>
      </x:c>
      <x:c r="K330" s="20" t="str">
        <x:v>Primary source-register URL; automated screening score</x:v>
      </x:c>
      <x:c r="L330" s="20" t="str">
        <x:v>2026-05-20</x:v>
      </x:c>
      <x:c r="M330" s="20" t="str">
        <x:v>2026-05-20</x:v>
      </x:c>
      <x:c r="N330" s="20" t="str">
        <x:v>GPT-5.5 Pro</x:v>
      </x:c>
      <x:c r="O330" s="20" t="str">
        <x:v>Needs review</x:v>
      </x:c>
      <x:c r="P330" s="20" t="str">
        <x:v>Screening score for United States / Propaganda ecosystems in Chile; verify with country-specific evidence before final use.</x:v>
      </x:c>
    </x:row>
    <x:row r="331" ht="24" customHeight="1">
      <x:c r="A331" s="20" t="str">
        <x:v>CHL|United States|PMC presence</x:v>
      </x:c>
      <x:c r="B331" s="20" t="str">
        <x:v>Chile</x:v>
      </x:c>
      <x:c r="C331" s="20" t="str">
        <x:v>CHL</x:v>
      </x:c>
      <x:c r="D331" s="20" t="str">
        <x:v>United States</x:v>
      </x:c>
      <x:c r="E331" s="20" t="str">
        <x:v>American influence</x:v>
      </x:c>
      <x:c r="F331" s="20" t="str">
        <x:v>PMC presence</x:v>
      </x:c>
      <x:c r="G331" s="384" t="n">
        <x:v>2</x:v>
      </x:c>
      <x:c r="H331" s="396" t="n">
        <x:v>2</x:v>
      </x:c>
      <x:c r="I331" s="20" t="str">
        <x:v>SAM/Greenbook U.S. security assistance contractor source register</x:v>
      </x:c>
      <x:c r="J331" s="397" t="str">
        <x:v>https://internationalpolicy.org/programs/sam/</x:v>
      </x:c>
      <x:c r="K331" s="20" t="str">
        <x:v>Primary source-register URL; automated screening score</x:v>
      </x:c>
      <x:c r="L331" s="20" t="str">
        <x:v>2026-05-20</x:v>
      </x:c>
      <x:c r="M331" s="20" t="str">
        <x:v>2026-05-20</x:v>
      </x:c>
      <x:c r="N331" s="20" t="str">
        <x:v>GPT-5.5 Pro</x:v>
      </x:c>
      <x:c r="O331" s="20" t="str">
        <x:v>Needs review</x:v>
      </x:c>
      <x:c r="P331" s="20" t="str">
        <x:v>Screening score for United States / PMC presence in Chile; verify with country-specific evidence before final use.</x:v>
      </x:c>
    </x:row>
    <x:row r="332" ht="24" customHeight="1">
      <x:c r="A332" s="20" t="str">
        <x:v>CHL|United States|Election interference</x:v>
      </x:c>
      <x:c r="B332" s="20" t="str">
        <x:v>Chile</x:v>
      </x:c>
      <x:c r="C332" s="20" t="str">
        <x:v>CHL</x:v>
      </x:c>
      <x:c r="D332" s="20" t="str">
        <x:v>United States</x:v>
      </x:c>
      <x:c r="E332" s="20" t="str">
        <x:v>American influence</x:v>
      </x:c>
      <x:c r="F332" s="20" t="str">
        <x:v>Election interference</x:v>
      </x:c>
      <x:c r="G332" s="384" t="n">
        <x:v>2</x:v>
      </x:c>
      <x:c r="H332" s="396" t="n">
        <x:v>2</x:v>
      </x:c>
      <x:c r="I332" s="20" t="str">
        <x:v>NED/Greenbook democracy assistance source register</x:v>
      </x:c>
      <x:c r="J332" s="397" t="str">
        <x:v>https://www.ned.org/ned-grantmaking/</x:v>
      </x:c>
      <x:c r="K332" s="20" t="str">
        <x:v>Primary source-register URL; automated screening score</x:v>
      </x:c>
      <x:c r="L332" s="20" t="str">
        <x:v>2026-05-20</x:v>
      </x:c>
      <x:c r="M332" s="20" t="str">
        <x:v>2026-05-20</x:v>
      </x:c>
      <x:c r="N332" s="20" t="str">
        <x:v>GPT-5.5 Pro</x:v>
      </x:c>
      <x:c r="O332" s="20" t="str">
        <x:v>Needs review</x:v>
      </x:c>
      <x:c r="P332" s="20" t="str">
        <x:v>Screening score for United States / Election interference in Chile; verify with country-specific evidence before final use.</x:v>
      </x:c>
    </x:row>
    <x:row r="333" ht="24" customHeight="1">
      <x:c r="A333" s="20" t="str">
        <x:v>CHL|United States|Security contractors</x:v>
      </x:c>
      <x:c r="B333" s="20" t="str">
        <x:v>Chile</x:v>
      </x:c>
      <x:c r="C333" s="20" t="str">
        <x:v>CHL</x:v>
      </x:c>
      <x:c r="D333" s="20" t="str">
        <x:v>United States</x:v>
      </x:c>
      <x:c r="E333" s="20" t="str">
        <x:v>American influence</x:v>
      </x:c>
      <x:c r="F333" s="20" t="str">
        <x:v>Security contractors</x:v>
      </x:c>
      <x:c r="G333" s="384" t="n">
        <x:v>4</x:v>
      </x:c>
      <x:c r="H333" s="396" t="n">
        <x:v>3</x:v>
      </x:c>
      <x:c r="I333" s="20" t="str">
        <x:v>SAM/Greenbook U.S. security contractor source register</x:v>
      </x:c>
      <x:c r="J333" s="397" t="str">
        <x:v>https://internationalpolicy.org/programs/sam/</x:v>
      </x:c>
      <x:c r="K333" s="20" t="str">
        <x:v>Primary source-register URL; automated screening score</x:v>
      </x:c>
      <x:c r="L333" s="20" t="str">
        <x:v>2026-05-20</x:v>
      </x:c>
      <x:c r="M333" s="20" t="str">
        <x:v>2026-05-20</x:v>
      </x:c>
      <x:c r="N333" s="20" t="str">
        <x:v>GPT-5.5 Pro</x:v>
      </x:c>
      <x:c r="O333" s="20" t="str">
        <x:v>Needs review</x:v>
      </x:c>
      <x:c r="P333" s="20" t="str">
        <x:v>Screening score for United States / Security contractors in Chile; verify with country-specific evidence before final use.</x:v>
      </x:c>
    </x:row>
    <x:row r="334" ht="24" customHeight="1">
      <x:c r="A334" s="20" t="str">
        <x:v>CHL|European Union|Propaganda ecosystems</x:v>
      </x:c>
      <x:c r="B334" s="20" t="str">
        <x:v>Chile</x:v>
      </x:c>
      <x:c r="C334" s="20" t="str">
        <x:v>CHL</x:v>
      </x:c>
      <x:c r="D334" s="20" t="str">
        <x:v>European Union</x:v>
      </x:c>
      <x:c r="E334" s="20" t="str">
        <x:v>EU influence</x:v>
      </x:c>
      <x:c r="F334" s="20" t="str">
        <x:v>Propaganda ecosystems</x:v>
      </x:c>
      <x:c r="G334" s="384" t="n">
        <x:v>3</x:v>
      </x:c>
      <x:c r="H334" s="396" t="n">
        <x:v>3</x:v>
      </x:c>
      <x:c r="I334" s="20" t="str">
        <x:v>EEAS public diplomacy source register</x:v>
      </x:c>
      <x:c r="J334" s="397" t="str">
        <x:v>https://www.eeas.europa.eu/eeas/public-diplomacy_en</x:v>
      </x:c>
      <x:c r="K334" s="20" t="str">
        <x:v>Primary source-register URL; automated screening score</x:v>
      </x:c>
      <x:c r="L334" s="20" t="str">
        <x:v>2026-05-20</x:v>
      </x:c>
      <x:c r="M334" s="20" t="str">
        <x:v>2026-05-20</x:v>
      </x:c>
      <x:c r="N334" s="20" t="str">
        <x:v>GPT-5.5 Pro</x:v>
      </x:c>
      <x:c r="O334" s="20" t="str">
        <x:v>Needs review</x:v>
      </x:c>
      <x:c r="P334" s="20" t="str">
        <x:v>Screening score for European Union / Propaganda ecosystems in Chile; verify with country-specific evidence before final use.</x:v>
      </x:c>
    </x:row>
    <x:row r="335" ht="24" customHeight="1">
      <x:c r="A335" s="20" t="str">
        <x:v>CHL|European Union|PMC presence</x:v>
      </x:c>
      <x:c r="B335" s="20" t="str">
        <x:v>Chile</x:v>
      </x:c>
      <x:c r="C335" s="20" t="str">
        <x:v>CHL</x:v>
      </x:c>
      <x:c r="D335" s="20" t="str">
        <x:v>European Union</x:v>
      </x:c>
      <x:c r="E335" s="20" t="str">
        <x:v>EU influence</x:v>
      </x:c>
      <x:c r="F335" s="20" t="str">
        <x:v>PMC presence</x:v>
      </x:c>
      <x:c r="G335" s="384" t="n">
        <x:v>0</x:v>
      </x:c>
      <x:c r="H335" s="396" t="n">
        <x:v>1</x:v>
      </x:c>
      <x:c r="I335" s="20" t="str">
        <x:v>EEAS CSDP missions source register</x:v>
      </x:c>
      <x:c r="J335" s="397" t="str">
        <x:v>https://www.eeas.europa.eu/eeas/missions-and-operations_en</x:v>
      </x:c>
      <x:c r="K335" s="20" t="str">
        <x:v>Primary source-register URL; automated screening score</x:v>
      </x:c>
      <x:c r="L335" s="20" t="str">
        <x:v>2026-05-20</x:v>
      </x:c>
      <x:c r="M335" s="20" t="str">
        <x:v>2026-05-20</x:v>
      </x:c>
      <x:c r="N335" s="20" t="str">
        <x:v>GPT-5.5 Pro</x:v>
      </x:c>
      <x:c r="O335" s="20" t="str">
        <x:v>Needs review</x:v>
      </x:c>
      <x:c r="P335" s="20" t="str">
        <x:v>Screening score for European Union / PMC presence in Chile; verify with country-specific evidence before final use.</x:v>
      </x:c>
    </x:row>
    <x:row r="336" ht="24" customHeight="1">
      <x:c r="A336" s="20" t="str">
        <x:v>CHL|European Union|Election interference</x:v>
      </x:c>
      <x:c r="B336" s="20" t="str">
        <x:v>Chile</x:v>
      </x:c>
      <x:c r="C336" s="20" t="str">
        <x:v>CHL</x:v>
      </x:c>
      <x:c r="D336" s="20" t="str">
        <x:v>European Union</x:v>
      </x:c>
      <x:c r="E336" s="20" t="str">
        <x:v>EU influence</x:v>
      </x:c>
      <x:c r="F336" s="20" t="str">
        <x:v>Election interference</x:v>
      </x:c>
      <x:c r="G336" s="384" t="n">
        <x:v>1</x:v>
      </x:c>
      <x:c r="H336" s="396" t="n">
        <x:v>2</x:v>
      </x:c>
      <x:c r="I336" s="20" t="str">
        <x:v>EEAS EU election observation source register</x:v>
      </x:c>
      <x:c r="J336" s="397" t="str">
        <x:v>https://www.eeas.europa.eu/eeas/eu-election-observation-missions-1_en?page_lang=en</x:v>
      </x:c>
      <x:c r="K336" s="20" t="str">
        <x:v>Primary source-register URL; automated screening score</x:v>
      </x:c>
      <x:c r="L336" s="20" t="str">
        <x:v>2026-05-20</x:v>
      </x:c>
      <x:c r="M336" s="20" t="str">
        <x:v>2026-05-20</x:v>
      </x:c>
      <x:c r="N336" s="20" t="str">
        <x:v>GPT-5.5 Pro</x:v>
      </x:c>
      <x:c r="O336" s="20" t="str">
        <x:v>Needs review</x:v>
      </x:c>
      <x:c r="P336" s="20" t="str">
        <x:v>Screening score for European Union / Election interference in Chile; verify with country-specific evidence before final use.</x:v>
      </x:c>
    </x:row>
    <x:row r="337" ht="24" customHeight="1">
      <x:c r="A337" s="20" t="str">
        <x:v>CHL|European Union|Security contractors</x:v>
      </x:c>
      <x:c r="B337" s="20" t="str">
        <x:v>Chile</x:v>
      </x:c>
      <x:c r="C337" s="20" t="str">
        <x:v>CHL</x:v>
      </x:c>
      <x:c r="D337" s="20" t="str">
        <x:v>European Union</x:v>
      </x:c>
      <x:c r="E337" s="20" t="str">
        <x:v>EU influence</x:v>
      </x:c>
      <x:c r="F337" s="20" t="str">
        <x:v>Security contractors</x:v>
      </x:c>
      <x:c r="G337" s="384" t="n">
        <x:v>2</x:v>
      </x:c>
      <x:c r="H337" s="396" t="n">
        <x:v>2</x:v>
      </x:c>
      <x:c r="I337" s="20" t="str">
        <x:v>EEAS CSDP / Global Gateway security source register</x:v>
      </x:c>
      <x:c r="J337" s="397" t="str">
        <x:v>https://www.eeas.europa.eu/eeas/missions-and-operations_en</x:v>
      </x:c>
      <x:c r="K337" s="20" t="str">
        <x:v>Primary source-register URL; automated screening score</x:v>
      </x:c>
      <x:c r="L337" s="20" t="str">
        <x:v>2026-05-20</x:v>
      </x:c>
      <x:c r="M337" s="20" t="str">
        <x:v>2026-05-20</x:v>
      </x:c>
      <x:c r="N337" s="20" t="str">
        <x:v>GPT-5.5 Pro</x:v>
      </x:c>
      <x:c r="O337" s="20" t="str">
        <x:v>Needs review</x:v>
      </x:c>
      <x:c r="P337" s="20" t="str">
        <x:v>Screening score for European Union / Security contractors in Chile; verify with country-specific evidence before final use.</x:v>
      </x:c>
    </x:row>
    <x:row r="338" ht="24" customHeight="1">
      <x:c r="A338" s="20" t="str">
        <x:v>CHN|Russia|Propaganda ecosystems</x:v>
      </x:c>
      <x:c r="B338" s="20" t="str">
        <x:v>China</x:v>
      </x:c>
      <x:c r="C338" s="20" t="str">
        <x:v>CHN</x:v>
      </x:c>
      <x:c r="D338" s="20" t="str">
        <x:v>Russia</x:v>
      </x:c>
      <x:c r="E338" s="20" t="str">
        <x:v>Russian influence</x:v>
      </x:c>
      <x:c r="F338" s="20" t="str">
        <x:v>Propaganda ecosystems</x:v>
      </x:c>
      <x:c r="G338" s="384" t="n">
        <x:v>4</x:v>
      </x:c>
      <x:c r="H338" s="396" t="n">
        <x:v>3</x:v>
      </x:c>
      <x:c r="I338" s="20" t="str">
        <x:v>EEAS/EUvsDisinfo FIMI source register</x:v>
      </x:c>
      <x:c r="J338" s="397" t="str">
        <x:v>https://www.eeas.europa.eu/eeas/4th-eeas-annual-report-foreign-information-manipulation-and-interference-threats_en</x:v>
      </x:c>
      <x:c r="K338" s="20" t="str">
        <x:v>Primary source-register URL; automated screening score</x:v>
      </x:c>
      <x:c r="L338" s="20" t="str">
        <x:v>2026-05-20</x:v>
      </x:c>
      <x:c r="M338" s="20" t="str">
        <x:v>2026-05-20</x:v>
      </x:c>
      <x:c r="N338" s="20" t="str">
        <x:v>GPT-5.5 Pro</x:v>
      </x:c>
      <x:c r="O338" s="20" t="str">
        <x:v>Needs review</x:v>
      </x:c>
      <x:c r="P338" s="20" t="str">
        <x:v>Screening score for Russia / Propaganda ecosystems in China; verify with country-specific evidence before final use.</x:v>
      </x:c>
    </x:row>
    <x:row r="339" ht="24" customHeight="1">
      <x:c r="A339" s="20" t="str">
        <x:v>CHN|Russia|PMC presence</x:v>
      </x:c>
      <x:c r="B339" s="20" t="str">
        <x:v>China</x:v>
      </x:c>
      <x:c r="C339" s="20" t="str">
        <x:v>CHN</x:v>
      </x:c>
      <x:c r="D339" s="20" t="str">
        <x:v>Russia</x:v>
      </x:c>
      <x:c r="E339" s="20" t="str">
        <x:v>Russian influence</x:v>
      </x:c>
      <x:c r="F339" s="20" t="str">
        <x:v>PMC presence</x:v>
      </x:c>
      <x:c r="G339" s="384" t="n">
        <x:v>0</x:v>
      </x:c>
      <x:c r="H339" s="396" t="n">
        <x:v>1</x:v>
      </x:c>
      <x:c r="I339" s="20" t="str">
        <x:v>Treasury and Council of the EU Wagner/PMC source register</x:v>
      </x:c>
      <x:c r="J339" s="397" t="str">
        <x:v>https://www.consilium.europa.eu/en/press/press-releases/2023/02/25/wagner-group-council-adds-11-individuals-and-7-entities-to-eu-sanctions-lists/</x:v>
      </x:c>
      <x:c r="K339" s="20" t="str">
        <x:v>Primary source-register URL; automated screening score</x:v>
      </x:c>
      <x:c r="L339" s="20" t="str">
        <x:v>2026-05-20</x:v>
      </x:c>
      <x:c r="M339" s="20" t="str">
        <x:v>2026-05-20</x:v>
      </x:c>
      <x:c r="N339" s="20" t="str">
        <x:v>GPT-5.5 Pro</x:v>
      </x:c>
      <x:c r="O339" s="20" t="str">
        <x:v>Needs review</x:v>
      </x:c>
      <x:c r="P339" s="20" t="str">
        <x:v>Screening score for Russia / PMC presence in China; verify with country-specific evidence before final use.</x:v>
      </x:c>
    </x:row>
    <x:row r="340" ht="24" customHeight="1">
      <x:c r="A340" s="20" t="str">
        <x:v>CHN|Russia|Election interference</x:v>
      </x:c>
      <x:c r="B340" s="20" t="str">
        <x:v>China</x:v>
      </x:c>
      <x:c r="C340" s="20" t="str">
        <x:v>CHN</x:v>
      </x:c>
      <x:c r="D340" s="20" t="str">
        <x:v>Russia</x:v>
      </x:c>
      <x:c r="E340" s="20" t="str">
        <x:v>Russian influence</x:v>
      </x:c>
      <x:c r="F340" s="20" t="str">
        <x:v>Election interference</x:v>
      </x:c>
      <x:c r="G340" s="384" t="n">
        <x:v>2</x:v>
      </x:c>
      <x:c r="H340" s="396" t="n">
        <x:v>2</x:v>
      </x:c>
      <x:c r="I340" s="20" t="str">
        <x:v>ODNI/EEAS election-FIMI source register</x:v>
      </x:c>
      <x:c r="J340" s="397" t="str">
        <x:v>https://www.dni.gov/files/ODNI/documents/assessments/ATA-2026-Unclassified-Report.pdf</x:v>
      </x:c>
      <x:c r="K340" s="20" t="str">
        <x:v>Primary source-register URL; automated screening score</x:v>
      </x:c>
      <x:c r="L340" s="20" t="str">
        <x:v>2026-05-20</x:v>
      </x:c>
      <x:c r="M340" s="20" t="str">
        <x:v>2026-05-20</x:v>
      </x:c>
      <x:c r="N340" s="20" t="str">
        <x:v>GPT-5.5 Pro</x:v>
      </x:c>
      <x:c r="O340" s="20" t="str">
        <x:v>Needs review</x:v>
      </x:c>
      <x:c r="P340" s="20" t="str">
        <x:v>Screening score for Russia / Election interference in China; verify with country-specific evidence before final use.</x:v>
      </x:c>
    </x:row>
    <x:row r="341" ht="24" customHeight="1">
      <x:c r="A341" s="20" t="str">
        <x:v>CHN|Russia|Security contractors</x:v>
      </x:c>
      <x:c r="B341" s="20" t="str">
        <x:v>China</x:v>
      </x:c>
      <x:c r="C341" s="20" t="str">
        <x:v>CHN</x:v>
      </x:c>
      <x:c r="D341" s="20" t="str">
        <x:v>Russia</x:v>
      </x:c>
      <x:c r="E341" s="20" t="str">
        <x:v>Russian influence</x:v>
      </x:c>
      <x:c r="F341" s="20" t="str">
        <x:v>Security contractors</x:v>
      </x:c>
      <x:c r="G341" s="384" t="n">
        <x:v>0</x:v>
      </x:c>
      <x:c r="H341" s="396" t="n">
        <x:v>1</x:v>
      </x:c>
      <x:c r="I341" s="20" t="str">
        <x:v>Council of the EU/Treasury Wagner-security source register</x:v>
      </x:c>
      <x:c r="J341" s="397" t="str">
        <x:v>https://www.consilium.europa.eu/en/press/press-releases/2023/02/25/wagner-group-council-adds-11-individuals-and-7-entities-to-eu-sanctions-lists/</x:v>
      </x:c>
      <x:c r="K341" s="20" t="str">
        <x:v>Primary source-register URL; automated screening score</x:v>
      </x:c>
      <x:c r="L341" s="20" t="str">
        <x:v>2026-05-20</x:v>
      </x:c>
      <x:c r="M341" s="20" t="str">
        <x:v>2026-05-20</x:v>
      </x:c>
      <x:c r="N341" s="20" t="str">
        <x:v>GPT-5.5 Pro</x:v>
      </x:c>
      <x:c r="O341" s="20" t="str">
        <x:v>Needs review</x:v>
      </x:c>
      <x:c r="P341" s="20" t="str">
        <x:v>Screening score for Russia / Security contractors in China; verify with country-specific evidence before final use.</x:v>
      </x:c>
    </x:row>
    <x:row r="342" ht="24" customHeight="1">
      <x:c r="A342" s="20" t="str">
        <x:v>CHN|China|Propaganda ecosystems</x:v>
      </x:c>
      <x:c r="B342" s="20" t="str">
        <x:v>China</x:v>
      </x:c>
      <x:c r="C342" s="20" t="str">
        <x:v>CHN</x:v>
      </x:c>
      <x:c r="D342" s="20" t="str">
        <x:v>China</x:v>
      </x:c>
      <x:c r="E342" s="20" t="str">
        <x:v>Chinese influence</x:v>
      </x:c>
      <x:c r="F342" s="20" t="str">
        <x:v>Propaganda ecosystems</x:v>
      </x:c>
      <x:c r="G342" s="384" t="n">
        <x:v>10</x:v>
      </x:c>
      <x:c r="H342" s="396" t="n">
        <x:v>5</x:v>
      </x:c>
      <x:c r="I342" s="20" t="str">
        <x:v>EEAS/ODNI China FIMI source register</x:v>
      </x:c>
      <x:c r="J342" s="397" t="str">
        <x:v>https://www.eeas.europa.eu/eeas/4th-eeas-annual-report-foreign-information-manipulation-and-interference-threats_en</x:v>
      </x:c>
      <x:c r="K342" s="20" t="str">
        <x:v>Primary source-register URL; automated screening score</x:v>
      </x:c>
      <x:c r="L342" s="20" t="str">
        <x:v>2026-05-20</x:v>
      </x:c>
      <x:c r="M342" s="20" t="str">
        <x:v>2026-05-20</x:v>
      </x:c>
      <x:c r="N342" s="20" t="str">
        <x:v>GPT-5.5 Pro</x:v>
      </x:c>
      <x:c r="O342" s="20" t="str">
        <x:v>Needs review</x:v>
      </x:c>
      <x:c r="P342" s="20" t="str">
        <x:v>Screening score for China / Propaganda ecosystems in China; verify with country-specific evidence before final use.</x:v>
      </x:c>
    </x:row>
    <x:row r="343" ht="24" customHeight="1">
      <x:c r="A343" s="20" t="str">
        <x:v>CHN|China|PMC presence</x:v>
      </x:c>
      <x:c r="B343" s="20" t="str">
        <x:v>China</x:v>
      </x:c>
      <x:c r="C343" s="20" t="str">
        <x:v>CHN</x:v>
      </x:c>
      <x:c r="D343" s="20" t="str">
        <x:v>China</x:v>
      </x:c>
      <x:c r="E343" s="20" t="str">
        <x:v>Chinese influence</x:v>
      </x:c>
      <x:c r="F343" s="20" t="str">
        <x:v>PMC presence</x:v>
      </x:c>
      <x:c r="G343" s="384" t="n">
        <x:v>0</x:v>
      </x:c>
      <x:c r="H343" s="396" t="n">
        <x:v>1</x:v>
      </x:c>
      <x:c r="I343" s="20" t="str">
        <x:v>MERICS/Carnegie Chinese overseas PSC source register</x:v>
      </x:c>
      <x:c r="J343" s="397" t="str">
        <x:v>https://merics.org/en/report/guardians-belt-and-road</x:v>
      </x:c>
      <x:c r="K343" s="20" t="str">
        <x:v>Primary source-register URL; automated screening score</x:v>
      </x:c>
      <x:c r="L343" s="20" t="str">
        <x:v>2026-05-20</x:v>
      </x:c>
      <x:c r="M343" s="20" t="str">
        <x:v>2026-05-20</x:v>
      </x:c>
      <x:c r="N343" s="20" t="str">
        <x:v>GPT-5.5 Pro</x:v>
      </x:c>
      <x:c r="O343" s="20" t="str">
        <x:v>Needs review</x:v>
      </x:c>
      <x:c r="P343" s="20" t="str">
        <x:v>Screening score for China / PMC presence in China; verify with country-specific evidence before final use.</x:v>
      </x:c>
    </x:row>
    <x:row r="344" ht="24" customHeight="1">
      <x:c r="A344" s="20" t="str">
        <x:v>CHN|China|Election interference</x:v>
      </x:c>
      <x:c r="B344" s="20" t="str">
        <x:v>China</x:v>
      </x:c>
      <x:c r="C344" s="20" t="str">
        <x:v>CHN</x:v>
      </x:c>
      <x:c r="D344" s="20" t="str">
        <x:v>China</x:v>
      </x:c>
      <x:c r="E344" s="20" t="str">
        <x:v>Chinese influence</x:v>
      </x:c>
      <x:c r="F344" s="20" t="str">
        <x:v>Election interference</x:v>
      </x:c>
      <x:c r="G344" s="384" t="n">
        <x:v>0</x:v>
      </x:c>
      <x:c r="H344" s="396" t="n">
        <x:v>1</x:v>
      </x:c>
      <x:c r="I344" s="20" t="str">
        <x:v>EEAS/ODNI China election-FIMI source register</x:v>
      </x:c>
      <x:c r="J344" s="397" t="str">
        <x:v>https://www.eeas.europa.eu/eeas/4th-eeas-annual-report-foreign-information-manipulation-and-interference-threats_en</x:v>
      </x:c>
      <x:c r="K344" s="20" t="str">
        <x:v>Primary source-register URL; automated screening score</x:v>
      </x:c>
      <x:c r="L344" s="20" t="str">
        <x:v>2026-05-20</x:v>
      </x:c>
      <x:c r="M344" s="20" t="str">
        <x:v>2026-05-20</x:v>
      </x:c>
      <x:c r="N344" s="20" t="str">
        <x:v>GPT-5.5 Pro</x:v>
      </x:c>
      <x:c r="O344" s="20" t="str">
        <x:v>Needs review</x:v>
      </x:c>
      <x:c r="P344" s="20" t="str">
        <x:v>Screening score for China / Election interference in China; verify with country-specific evidence before final use.</x:v>
      </x:c>
    </x:row>
    <x:row r="345" ht="24" customHeight="1">
      <x:c r="A345" s="20" t="str">
        <x:v>CHN|China|Security contractors</x:v>
      </x:c>
      <x:c r="B345" s="20" t="str">
        <x:v>China</x:v>
      </x:c>
      <x:c r="C345" s="20" t="str">
        <x:v>CHN</x:v>
      </x:c>
      <x:c r="D345" s="20" t="str">
        <x:v>China</x:v>
      </x:c>
      <x:c r="E345" s="20" t="str">
        <x:v>Chinese influence</x:v>
      </x:c>
      <x:c r="F345" s="20" t="str">
        <x:v>Security contractors</x:v>
      </x:c>
      <x:c r="G345" s="384" t="n">
        <x:v>2</x:v>
      </x:c>
      <x:c r="H345" s="396" t="n">
        <x:v>2</x:v>
      </x:c>
      <x:c r="I345" s="20" t="str">
        <x:v>MERICS/Carnegie Chinese security contractor source register</x:v>
      </x:c>
      <x:c r="J345" s="397" t="str">
        <x:v>https://merics.org/en/report/guardians-belt-and-road</x:v>
      </x:c>
      <x:c r="K345" s="20" t="str">
        <x:v>Primary source-register URL; automated screening score</x:v>
      </x:c>
      <x:c r="L345" s="20" t="str">
        <x:v>2026-05-20</x:v>
      </x:c>
      <x:c r="M345" s="20" t="str">
        <x:v>2026-05-20</x:v>
      </x:c>
      <x:c r="N345" s="20" t="str">
        <x:v>GPT-5.5 Pro</x:v>
      </x:c>
      <x:c r="O345" s="20" t="str">
        <x:v>Needs review</x:v>
      </x:c>
      <x:c r="P345" s="20" t="str">
        <x:v>Screening score for China / Security contractors in China; verify with country-specific evidence before final use.</x:v>
      </x:c>
    </x:row>
    <x:row r="346" ht="24" customHeight="1">
      <x:c r="A346" s="20" t="str">
        <x:v>CHN|United States|Propaganda ecosystems</x:v>
      </x:c>
      <x:c r="B346" s="20" t="str">
        <x:v>China</x:v>
      </x:c>
      <x:c r="C346" s="20" t="str">
        <x:v>CHN</x:v>
      </x:c>
      <x:c r="D346" s="20" t="str">
        <x:v>United States</x:v>
      </x:c>
      <x:c r="E346" s="20" t="str">
        <x:v>American influence</x:v>
      </x:c>
      <x:c r="F346" s="20" t="str">
        <x:v>Propaganda ecosystems</x:v>
      </x:c>
      <x:c r="G346" s="384" t="n">
        <x:v>7</x:v>
      </x:c>
      <x:c r="H346" s="396" t="n">
        <x:v>4</x:v>
      </x:c>
      <x:c r="I346" s="20" t="str">
        <x:v>USAGM public media source register</x:v>
      </x:c>
      <x:c r="J346" s="397" t="str">
        <x:v>https://www.usagm.gov/our-work/strategy-and-results/strategic-priorities/research-reports/</x:v>
      </x:c>
      <x:c r="K346" s="20" t="str">
        <x:v>Primary source-register URL; automated screening score</x:v>
      </x:c>
      <x:c r="L346" s="20" t="str">
        <x:v>2026-05-20</x:v>
      </x:c>
      <x:c r="M346" s="20" t="str">
        <x:v>2026-05-20</x:v>
      </x:c>
      <x:c r="N346" s="20" t="str">
        <x:v>GPT-5.5 Pro</x:v>
      </x:c>
      <x:c r="O346" s="20" t="str">
        <x:v>Needs review</x:v>
      </x:c>
      <x:c r="P346" s="20" t="str">
        <x:v>Screening score for United States / Propaganda ecosystems in China; verify with country-specific evidence before final use.</x:v>
      </x:c>
    </x:row>
    <x:row r="347" ht="24" customHeight="1">
      <x:c r="A347" s="20" t="str">
        <x:v>CHN|United States|PMC presence</x:v>
      </x:c>
      <x:c r="B347" s="20" t="str">
        <x:v>China</x:v>
      </x:c>
      <x:c r="C347" s="20" t="str">
        <x:v>CHN</x:v>
      </x:c>
      <x:c r="D347" s="20" t="str">
        <x:v>United States</x:v>
      </x:c>
      <x:c r="E347" s="20" t="str">
        <x:v>American influence</x:v>
      </x:c>
      <x:c r="F347" s="20" t="str">
        <x:v>PMC presence</x:v>
      </x:c>
      <x:c r="G347" s="384" t="n">
        <x:v>0</x:v>
      </x:c>
      <x:c r="H347" s="396" t="n">
        <x:v>1</x:v>
      </x:c>
      <x:c r="I347" s="20" t="str">
        <x:v>SAM/Greenbook U.S. security assistance contractor source register</x:v>
      </x:c>
      <x:c r="J347" s="397" t="str">
        <x:v>https://internationalpolicy.org/programs/sam/</x:v>
      </x:c>
      <x:c r="K347" s="20" t="str">
        <x:v>Primary source-register URL; automated screening score</x:v>
      </x:c>
      <x:c r="L347" s="20" t="str">
        <x:v>2026-05-20</x:v>
      </x:c>
      <x:c r="M347" s="20" t="str">
        <x:v>2026-05-20</x:v>
      </x:c>
      <x:c r="N347" s="20" t="str">
        <x:v>GPT-5.5 Pro</x:v>
      </x:c>
      <x:c r="O347" s="20" t="str">
        <x:v>Needs review</x:v>
      </x:c>
      <x:c r="P347" s="20" t="str">
        <x:v>Screening score for United States / PMC presence in China; verify with country-specific evidence before final use.</x:v>
      </x:c>
    </x:row>
    <x:row r="348" ht="24" customHeight="1">
      <x:c r="A348" s="20" t="str">
        <x:v>CHN|United States|Election interference</x:v>
      </x:c>
      <x:c r="B348" s="20" t="str">
        <x:v>China</x:v>
      </x:c>
      <x:c r="C348" s="20" t="str">
        <x:v>CHN</x:v>
      </x:c>
      <x:c r="D348" s="20" t="str">
        <x:v>United States</x:v>
      </x:c>
      <x:c r="E348" s="20" t="str">
        <x:v>American influence</x:v>
      </x:c>
      <x:c r="F348" s="20" t="str">
        <x:v>Election interference</x:v>
      </x:c>
      <x:c r="G348" s="384" t="n">
        <x:v>4</x:v>
      </x:c>
      <x:c r="H348" s="396" t="n">
        <x:v>3</x:v>
      </x:c>
      <x:c r="I348" s="20" t="str">
        <x:v>NED/Greenbook democracy assistance source register</x:v>
      </x:c>
      <x:c r="J348" s="397" t="str">
        <x:v>https://www.ned.org/ned-grantmaking/</x:v>
      </x:c>
      <x:c r="K348" s="20" t="str">
        <x:v>Primary source-register URL; automated screening score</x:v>
      </x:c>
      <x:c r="L348" s="20" t="str">
        <x:v>2026-05-20</x:v>
      </x:c>
      <x:c r="M348" s="20" t="str">
        <x:v>2026-05-20</x:v>
      </x:c>
      <x:c r="N348" s="20" t="str">
        <x:v>GPT-5.5 Pro</x:v>
      </x:c>
      <x:c r="O348" s="20" t="str">
        <x:v>Needs review</x:v>
      </x:c>
      <x:c r="P348" s="20" t="str">
        <x:v>Screening score for United States / Election interference in China; verify with country-specific evidence before final use.</x:v>
      </x:c>
    </x:row>
    <x:row r="349" ht="24" customHeight="1">
      <x:c r="A349" s="20" t="str">
        <x:v>CHN|United States|Security contractors</x:v>
      </x:c>
      <x:c r="B349" s="20" t="str">
        <x:v>China</x:v>
      </x:c>
      <x:c r="C349" s="20" t="str">
        <x:v>CHN</x:v>
      </x:c>
      <x:c r="D349" s="20" t="str">
        <x:v>United States</x:v>
      </x:c>
      <x:c r="E349" s="20" t="str">
        <x:v>American influence</x:v>
      </x:c>
      <x:c r="F349" s="20" t="str">
        <x:v>Security contractors</x:v>
      </x:c>
      <x:c r="G349" s="384" t="n">
        <x:v>1</x:v>
      </x:c>
      <x:c r="H349" s="396" t="n">
        <x:v>2</x:v>
      </x:c>
      <x:c r="I349" s="20" t="str">
        <x:v>SAM/Greenbook U.S. security contractor source register</x:v>
      </x:c>
      <x:c r="J349" s="397" t="str">
        <x:v>https://internationalpolicy.org/programs/sam/</x:v>
      </x:c>
      <x:c r="K349" s="20" t="str">
        <x:v>Primary source-register URL; automated screening score</x:v>
      </x:c>
      <x:c r="L349" s="20" t="str">
        <x:v>2026-05-20</x:v>
      </x:c>
      <x:c r="M349" s="20" t="str">
        <x:v>2026-05-20</x:v>
      </x:c>
      <x:c r="N349" s="20" t="str">
        <x:v>GPT-5.5 Pro</x:v>
      </x:c>
      <x:c r="O349" s="20" t="str">
        <x:v>Needs review</x:v>
      </x:c>
      <x:c r="P349" s="20" t="str">
        <x:v>Screening score for United States / Security contractors in China; verify with country-specific evidence before final use.</x:v>
      </x:c>
    </x:row>
    <x:row r="350" ht="24" customHeight="1">
      <x:c r="A350" s="20" t="str">
        <x:v>CHN|European Union|Propaganda ecosystems</x:v>
      </x:c>
      <x:c r="B350" s="20" t="str">
        <x:v>China</x:v>
      </x:c>
      <x:c r="C350" s="20" t="str">
        <x:v>CHN</x:v>
      </x:c>
      <x:c r="D350" s="20" t="str">
        <x:v>European Union</x:v>
      </x:c>
      <x:c r="E350" s="20" t="str">
        <x:v>EU influence</x:v>
      </x:c>
      <x:c r="F350" s="20" t="str">
        <x:v>Propaganda ecosystems</x:v>
      </x:c>
      <x:c r="G350" s="384" t="n">
        <x:v>2</x:v>
      </x:c>
      <x:c r="H350" s="396" t="n">
        <x:v>2</x:v>
      </x:c>
      <x:c r="I350" s="20" t="str">
        <x:v>EEAS public diplomacy source register</x:v>
      </x:c>
      <x:c r="J350" s="397" t="str">
        <x:v>https://www.eeas.europa.eu/eeas/public-diplomacy_en</x:v>
      </x:c>
      <x:c r="K350" s="20" t="str">
        <x:v>Primary source-register URL; automated screening score</x:v>
      </x:c>
      <x:c r="L350" s="20" t="str">
        <x:v>2026-05-20</x:v>
      </x:c>
      <x:c r="M350" s="20" t="str">
        <x:v>2026-05-20</x:v>
      </x:c>
      <x:c r="N350" s="20" t="str">
        <x:v>GPT-5.5 Pro</x:v>
      </x:c>
      <x:c r="O350" s="20" t="str">
        <x:v>Needs review</x:v>
      </x:c>
      <x:c r="P350" s="20" t="str">
        <x:v>Screening score for European Union / Propaganda ecosystems in China; verify with country-specific evidence before final use.</x:v>
      </x:c>
    </x:row>
    <x:row r="351" ht="24" customHeight="1">
      <x:c r="A351" s="20" t="str">
        <x:v>CHN|European Union|PMC presence</x:v>
      </x:c>
      <x:c r="B351" s="20" t="str">
        <x:v>China</x:v>
      </x:c>
      <x:c r="C351" s="20" t="str">
        <x:v>CHN</x:v>
      </x:c>
      <x:c r="D351" s="20" t="str">
        <x:v>European Union</x:v>
      </x:c>
      <x:c r="E351" s="20" t="str">
        <x:v>EU influence</x:v>
      </x:c>
      <x:c r="F351" s="20" t="str">
        <x:v>PMC presence</x:v>
      </x:c>
      <x:c r="G351" s="384" t="n">
        <x:v>0</x:v>
      </x:c>
      <x:c r="H351" s="396" t="n">
        <x:v>1</x:v>
      </x:c>
      <x:c r="I351" s="20" t="str">
        <x:v>EEAS CSDP missions source register</x:v>
      </x:c>
      <x:c r="J351" s="397" t="str">
        <x:v>https://www.eeas.europa.eu/eeas/missions-and-operations_en</x:v>
      </x:c>
      <x:c r="K351" s="20" t="str">
        <x:v>Primary source-register URL; automated screening score</x:v>
      </x:c>
      <x:c r="L351" s="20" t="str">
        <x:v>2026-05-20</x:v>
      </x:c>
      <x:c r="M351" s="20" t="str">
        <x:v>2026-05-20</x:v>
      </x:c>
      <x:c r="N351" s="20" t="str">
        <x:v>GPT-5.5 Pro</x:v>
      </x:c>
      <x:c r="O351" s="20" t="str">
        <x:v>Needs review</x:v>
      </x:c>
      <x:c r="P351" s="20" t="str">
        <x:v>Screening score for European Union / PMC presence in China; verify with country-specific evidence before final use.</x:v>
      </x:c>
    </x:row>
    <x:row r="352" ht="24" customHeight="1">
      <x:c r="A352" s="20" t="str">
        <x:v>CHN|European Union|Election interference</x:v>
      </x:c>
      <x:c r="B352" s="20" t="str">
        <x:v>China</x:v>
      </x:c>
      <x:c r="C352" s="20" t="str">
        <x:v>CHN</x:v>
      </x:c>
      <x:c r="D352" s="20" t="str">
        <x:v>European Union</x:v>
      </x:c>
      <x:c r="E352" s="20" t="str">
        <x:v>EU influence</x:v>
      </x:c>
      <x:c r="F352" s="20" t="str">
        <x:v>Election interference</x:v>
      </x:c>
      <x:c r="G352" s="384" t="n">
        <x:v>0</x:v>
      </x:c>
      <x:c r="H352" s="396" t="n">
        <x:v>1</x:v>
      </x:c>
      <x:c r="I352" s="20" t="str">
        <x:v>EEAS EU election observation source register</x:v>
      </x:c>
      <x:c r="J352" s="397" t="str">
        <x:v>https://www.eeas.europa.eu/eeas/eu-election-observation-missions-1_en?page_lang=en</x:v>
      </x:c>
      <x:c r="K352" s="20" t="str">
        <x:v>Primary source-register URL; automated screening score</x:v>
      </x:c>
      <x:c r="L352" s="20" t="str">
        <x:v>2026-05-20</x:v>
      </x:c>
      <x:c r="M352" s="20" t="str">
        <x:v>2026-05-20</x:v>
      </x:c>
      <x:c r="N352" s="20" t="str">
        <x:v>GPT-5.5 Pro</x:v>
      </x:c>
      <x:c r="O352" s="20" t="str">
        <x:v>Needs review</x:v>
      </x:c>
      <x:c r="P352" s="20" t="str">
        <x:v>Screening score for European Union / Election interference in China; verify with country-specific evidence before final use.</x:v>
      </x:c>
    </x:row>
    <x:row r="353" ht="24" customHeight="1">
      <x:c r="A353" s="20" t="str">
        <x:v>CHN|European Union|Security contractors</x:v>
      </x:c>
      <x:c r="B353" s="20" t="str">
        <x:v>China</x:v>
      </x:c>
      <x:c r="C353" s="20" t="str">
        <x:v>CHN</x:v>
      </x:c>
      <x:c r="D353" s="20" t="str">
        <x:v>European Union</x:v>
      </x:c>
      <x:c r="E353" s="20" t="str">
        <x:v>EU influence</x:v>
      </x:c>
      <x:c r="F353" s="20" t="str">
        <x:v>Security contractors</x:v>
      </x:c>
      <x:c r="G353" s="384" t="n">
        <x:v>1</x:v>
      </x:c>
      <x:c r="H353" s="396" t="n">
        <x:v>2</x:v>
      </x:c>
      <x:c r="I353" s="20" t="str">
        <x:v>EEAS CSDP / Global Gateway security source register</x:v>
      </x:c>
      <x:c r="J353" s="397" t="str">
        <x:v>https://www.eeas.europa.eu/eeas/missions-and-operations_en</x:v>
      </x:c>
      <x:c r="K353" s="20" t="str">
        <x:v>Primary source-register URL; automated screening score</x:v>
      </x:c>
      <x:c r="L353" s="20" t="str">
        <x:v>2026-05-20</x:v>
      </x:c>
      <x:c r="M353" s="20" t="str">
        <x:v>2026-05-20</x:v>
      </x:c>
      <x:c r="N353" s="20" t="str">
        <x:v>GPT-5.5 Pro</x:v>
      </x:c>
      <x:c r="O353" s="20" t="str">
        <x:v>Needs review</x:v>
      </x:c>
      <x:c r="P353" s="20" t="str">
        <x:v>Screening score for European Union / Security contractors in China; verify with country-specific evidence before final use.</x:v>
      </x:c>
    </x:row>
    <x:row r="354" ht="24" customHeight="1">
      <x:c r="A354" s="20" t="str">
        <x:v>COL|Russia|Propaganda ecosystems</x:v>
      </x:c>
      <x:c r="B354" s="20" t="str">
        <x:v>Colombia</x:v>
      </x:c>
      <x:c r="C354" s="20" t="str">
        <x:v>COL</x:v>
      </x:c>
      <x:c r="D354" s="20" t="str">
        <x:v>Russia</x:v>
      </x:c>
      <x:c r="E354" s="20" t="str">
        <x:v>Russian influence</x:v>
      </x:c>
      <x:c r="F354" s="20" t="str">
        <x:v>Propaganda ecosystems</x:v>
      </x:c>
      <x:c r="G354" s="384" t="n">
        <x:v>3</x:v>
      </x:c>
      <x:c r="H354" s="396" t="n">
        <x:v>3</x:v>
      </x:c>
      <x:c r="I354" s="20" t="str">
        <x:v>EEAS/EUvsDisinfo FIMI source register</x:v>
      </x:c>
      <x:c r="J354" s="397" t="str">
        <x:v>https://www.eeas.europa.eu/eeas/4th-eeas-annual-report-foreign-information-manipulation-and-interference-threats_en</x:v>
      </x:c>
      <x:c r="K354" s="20" t="str">
        <x:v>Primary source-register URL; automated screening score</x:v>
      </x:c>
      <x:c r="L354" s="20" t="str">
        <x:v>2026-05-20</x:v>
      </x:c>
      <x:c r="M354" s="20" t="str">
        <x:v>2026-05-20</x:v>
      </x:c>
      <x:c r="N354" s="20" t="str">
        <x:v>GPT-5.5 Pro</x:v>
      </x:c>
      <x:c r="O354" s="20" t="str">
        <x:v>Needs review</x:v>
      </x:c>
      <x:c r="P354" s="20" t="str">
        <x:v>Screening score for Russia / Propaganda ecosystems in Colombia; verify with country-specific evidence before final use.</x:v>
      </x:c>
    </x:row>
    <x:row r="355" ht="24" customHeight="1">
      <x:c r="A355" s="20" t="str">
        <x:v>COL|Russia|PMC presence</x:v>
      </x:c>
      <x:c r="B355" s="20" t="str">
        <x:v>Colombia</x:v>
      </x:c>
      <x:c r="C355" s="20" t="str">
        <x:v>COL</x:v>
      </x:c>
      <x:c r="D355" s="20" t="str">
        <x:v>Russia</x:v>
      </x:c>
      <x:c r="E355" s="20" t="str">
        <x:v>Russian influence</x:v>
      </x:c>
      <x:c r="F355" s="20" t="str">
        <x:v>PMC presence</x:v>
      </x:c>
      <x:c r="G355" s="384" t="n">
        <x:v>0</x:v>
      </x:c>
      <x:c r="H355" s="396" t="n">
        <x:v>1</x:v>
      </x:c>
      <x:c r="I355" s="20" t="str">
        <x:v>Treasury and Council of the EU Wagner/PMC source register</x:v>
      </x:c>
      <x:c r="J355" s="397" t="str">
        <x:v>https://www.consilium.europa.eu/en/press/press-releases/2023/02/25/wagner-group-council-adds-11-individuals-and-7-entities-to-eu-sanctions-lists/</x:v>
      </x:c>
      <x:c r="K355" s="20" t="str">
        <x:v>Primary source-register URL; automated screening score</x:v>
      </x:c>
      <x:c r="L355" s="20" t="str">
        <x:v>2026-05-20</x:v>
      </x:c>
      <x:c r="M355" s="20" t="str">
        <x:v>2026-05-20</x:v>
      </x:c>
      <x:c r="N355" s="20" t="str">
        <x:v>GPT-5.5 Pro</x:v>
      </x:c>
      <x:c r="O355" s="20" t="str">
        <x:v>Needs review</x:v>
      </x:c>
      <x:c r="P355" s="20" t="str">
        <x:v>Screening score for Russia / PMC presence in Colombia; verify with country-specific evidence before final use.</x:v>
      </x:c>
    </x:row>
    <x:row r="356" ht="24" customHeight="1">
      <x:c r="A356" s="20" t="str">
        <x:v>COL|Russia|Election interference</x:v>
      </x:c>
      <x:c r="B356" s="20" t="str">
        <x:v>Colombia</x:v>
      </x:c>
      <x:c r="C356" s="20" t="str">
        <x:v>COL</x:v>
      </x:c>
      <x:c r="D356" s="20" t="str">
        <x:v>Russia</x:v>
      </x:c>
      <x:c r="E356" s="20" t="str">
        <x:v>Russian influence</x:v>
      </x:c>
      <x:c r="F356" s="20" t="str">
        <x:v>Election interference</x:v>
      </x:c>
      <x:c r="G356" s="384" t="n">
        <x:v>2</x:v>
      </x:c>
      <x:c r="H356" s="396" t="n">
        <x:v>2</x:v>
      </x:c>
      <x:c r="I356" s="20" t="str">
        <x:v>ODNI/EEAS election-FIMI source register</x:v>
      </x:c>
      <x:c r="J356" s="397" t="str">
        <x:v>https://www.dni.gov/files/ODNI/documents/assessments/ATA-2026-Unclassified-Report.pdf</x:v>
      </x:c>
      <x:c r="K356" s="20" t="str">
        <x:v>Primary source-register URL; automated screening score</x:v>
      </x:c>
      <x:c r="L356" s="20" t="str">
        <x:v>2026-05-20</x:v>
      </x:c>
      <x:c r="M356" s="20" t="str">
        <x:v>2026-05-20</x:v>
      </x:c>
      <x:c r="N356" s="20" t="str">
        <x:v>GPT-5.5 Pro</x:v>
      </x:c>
      <x:c r="O356" s="20" t="str">
        <x:v>Needs review</x:v>
      </x:c>
      <x:c r="P356" s="20" t="str">
        <x:v>Screening score for Russia / Election interference in Colombia; verify with country-specific evidence before final use.</x:v>
      </x:c>
    </x:row>
    <x:row r="357" ht="24" customHeight="1">
      <x:c r="A357" s="20" t="str">
        <x:v>COL|Russia|Security contractors</x:v>
      </x:c>
      <x:c r="B357" s="20" t="str">
        <x:v>Colombia</x:v>
      </x:c>
      <x:c r="C357" s="20" t="str">
        <x:v>COL</x:v>
      </x:c>
      <x:c r="D357" s="20" t="str">
        <x:v>Russia</x:v>
      </x:c>
      <x:c r="E357" s="20" t="str">
        <x:v>Russian influence</x:v>
      </x:c>
      <x:c r="F357" s="20" t="str">
        <x:v>Security contractors</x:v>
      </x:c>
      <x:c r="G357" s="384" t="n">
        <x:v>0</x:v>
      </x:c>
      <x:c r="H357" s="396" t="n">
        <x:v>1</x:v>
      </x:c>
      <x:c r="I357" s="20" t="str">
        <x:v>Council of the EU/Treasury Wagner-security source register</x:v>
      </x:c>
      <x:c r="J357" s="397" t="str">
        <x:v>https://www.consilium.europa.eu/en/press/press-releases/2023/02/25/wagner-group-council-adds-11-individuals-and-7-entities-to-eu-sanctions-lists/</x:v>
      </x:c>
      <x:c r="K357" s="20" t="str">
        <x:v>Primary source-register URL; automated screening score</x:v>
      </x:c>
      <x:c r="L357" s="20" t="str">
        <x:v>2026-05-20</x:v>
      </x:c>
      <x:c r="M357" s="20" t="str">
        <x:v>2026-05-20</x:v>
      </x:c>
      <x:c r="N357" s="20" t="str">
        <x:v>GPT-5.5 Pro</x:v>
      </x:c>
      <x:c r="O357" s="20" t="str">
        <x:v>Needs review</x:v>
      </x:c>
      <x:c r="P357" s="20" t="str">
        <x:v>Screening score for Russia / Security contractors in Colombia; verify with country-specific evidence before final use.</x:v>
      </x:c>
    </x:row>
    <x:row r="358" ht="24" customHeight="1">
      <x:c r="A358" s="20" t="str">
        <x:v>COL|China|Propaganda ecosystems</x:v>
      </x:c>
      <x:c r="B358" s="20" t="str">
        <x:v>Colombia</x:v>
      </x:c>
      <x:c r="C358" s="20" t="str">
        <x:v>COL</x:v>
      </x:c>
      <x:c r="D358" s="20" t="str">
        <x:v>China</x:v>
      </x:c>
      <x:c r="E358" s="20" t="str">
        <x:v>Chinese influence</x:v>
      </x:c>
      <x:c r="F358" s="20" t="str">
        <x:v>Propaganda ecosystems</x:v>
      </x:c>
      <x:c r="G358" s="384" t="n">
        <x:v>4</x:v>
      </x:c>
      <x:c r="H358" s="396" t="n">
        <x:v>3</x:v>
      </x:c>
      <x:c r="I358" s="20" t="str">
        <x:v>EEAS/ODNI China FIMI source register</x:v>
      </x:c>
      <x:c r="J358" s="397" t="str">
        <x:v>https://www.eeas.europa.eu/eeas/4th-eeas-annual-report-foreign-information-manipulation-and-interference-threats_en</x:v>
      </x:c>
      <x:c r="K358" s="20" t="str">
        <x:v>Primary source-register URL; automated screening score</x:v>
      </x:c>
      <x:c r="L358" s="20" t="str">
        <x:v>2026-05-20</x:v>
      </x:c>
      <x:c r="M358" s="20" t="str">
        <x:v>2026-05-20</x:v>
      </x:c>
      <x:c r="N358" s="20" t="str">
        <x:v>GPT-5.5 Pro</x:v>
      </x:c>
      <x:c r="O358" s="20" t="str">
        <x:v>Needs review</x:v>
      </x:c>
      <x:c r="P358" s="20" t="str">
        <x:v>Screening score for China / Propaganda ecosystems in Colombia; verify with country-specific evidence before final use.</x:v>
      </x:c>
    </x:row>
    <x:row r="359" ht="24" customHeight="1">
      <x:c r="A359" s="20" t="str">
        <x:v>COL|China|PMC presence</x:v>
      </x:c>
      <x:c r="B359" s="20" t="str">
        <x:v>Colombia</x:v>
      </x:c>
      <x:c r="C359" s="20" t="str">
        <x:v>COL</x:v>
      </x:c>
      <x:c r="D359" s="20" t="str">
        <x:v>China</x:v>
      </x:c>
      <x:c r="E359" s="20" t="str">
        <x:v>Chinese influence</x:v>
      </x:c>
      <x:c r="F359" s="20" t="str">
        <x:v>PMC presence</x:v>
      </x:c>
      <x:c r="G359" s="384" t="n">
        <x:v>0</x:v>
      </x:c>
      <x:c r="H359" s="396" t="n">
        <x:v>1</x:v>
      </x:c>
      <x:c r="I359" s="20" t="str">
        <x:v>MERICS/Carnegie Chinese overseas PSC source register</x:v>
      </x:c>
      <x:c r="J359" s="397" t="str">
        <x:v>https://merics.org/en/report/guardians-belt-and-road</x:v>
      </x:c>
      <x:c r="K359" s="20" t="str">
        <x:v>Primary source-register URL; automated screening score</x:v>
      </x:c>
      <x:c r="L359" s="20" t="str">
        <x:v>2026-05-20</x:v>
      </x:c>
      <x:c r="M359" s="20" t="str">
        <x:v>2026-05-20</x:v>
      </x:c>
      <x:c r="N359" s="20" t="str">
        <x:v>GPT-5.5 Pro</x:v>
      </x:c>
      <x:c r="O359" s="20" t="str">
        <x:v>Needs review</x:v>
      </x:c>
      <x:c r="P359" s="20" t="str">
        <x:v>Screening score for China / PMC presence in Colombia; verify with country-specific evidence before final use.</x:v>
      </x:c>
    </x:row>
    <x:row r="360" ht="24" customHeight="1">
      <x:c r="A360" s="20" t="str">
        <x:v>COL|China|Election interference</x:v>
      </x:c>
      <x:c r="B360" s="20" t="str">
        <x:v>Colombia</x:v>
      </x:c>
      <x:c r="C360" s="20" t="str">
        <x:v>COL</x:v>
      </x:c>
      <x:c r="D360" s="20" t="str">
        <x:v>China</x:v>
      </x:c>
      <x:c r="E360" s="20" t="str">
        <x:v>Chinese influence</x:v>
      </x:c>
      <x:c r="F360" s="20" t="str">
        <x:v>Election interference</x:v>
      </x:c>
      <x:c r="G360" s="384" t="n">
        <x:v>2</x:v>
      </x:c>
      <x:c r="H360" s="396" t="n">
        <x:v>2</x:v>
      </x:c>
      <x:c r="I360" s="20" t="str">
        <x:v>EEAS/ODNI China election-FIMI source register</x:v>
      </x:c>
      <x:c r="J360" s="397" t="str">
        <x:v>https://www.eeas.europa.eu/eeas/4th-eeas-annual-report-foreign-information-manipulation-and-interference-threats_en</x:v>
      </x:c>
      <x:c r="K360" s="20" t="str">
        <x:v>Primary source-register URL; automated screening score</x:v>
      </x:c>
      <x:c r="L360" s="20" t="str">
        <x:v>2026-05-20</x:v>
      </x:c>
      <x:c r="M360" s="20" t="str">
        <x:v>2026-05-20</x:v>
      </x:c>
      <x:c r="N360" s="20" t="str">
        <x:v>GPT-5.5 Pro</x:v>
      </x:c>
      <x:c r="O360" s="20" t="str">
        <x:v>Needs review</x:v>
      </x:c>
      <x:c r="P360" s="20" t="str">
        <x:v>Screening score for China / Election interference in Colombia; verify with country-specific evidence before final use.</x:v>
      </x:c>
    </x:row>
    <x:row r="361" ht="24" customHeight="1">
      <x:c r="A361" s="20" t="str">
        <x:v>COL|China|Security contractors</x:v>
      </x:c>
      <x:c r="B361" s="20" t="str">
        <x:v>Colombia</x:v>
      </x:c>
      <x:c r="C361" s="20" t="str">
        <x:v>COL</x:v>
      </x:c>
      <x:c r="D361" s="20" t="str">
        <x:v>China</x:v>
      </x:c>
      <x:c r="E361" s="20" t="str">
        <x:v>Chinese influence</x:v>
      </x:c>
      <x:c r="F361" s="20" t="str">
        <x:v>Security contractors</x:v>
      </x:c>
      <x:c r="G361" s="384" t="n">
        <x:v>0</x:v>
      </x:c>
      <x:c r="H361" s="396" t="n">
        <x:v>1</x:v>
      </x:c>
      <x:c r="I361" s="20" t="str">
        <x:v>MERICS/Carnegie Chinese security contractor source register</x:v>
      </x:c>
      <x:c r="J361" s="397" t="str">
        <x:v>https://merics.org/en/report/guardians-belt-and-road</x:v>
      </x:c>
      <x:c r="K361" s="20" t="str">
        <x:v>Primary source-register URL; automated screening score</x:v>
      </x:c>
      <x:c r="L361" s="20" t="str">
        <x:v>2026-05-20</x:v>
      </x:c>
      <x:c r="M361" s="20" t="str">
        <x:v>2026-05-20</x:v>
      </x:c>
      <x:c r="N361" s="20" t="str">
        <x:v>GPT-5.5 Pro</x:v>
      </x:c>
      <x:c r="O361" s="20" t="str">
        <x:v>Needs review</x:v>
      </x:c>
      <x:c r="P361" s="20" t="str">
        <x:v>Screening score for China / Security contractors in Colombia; verify with country-specific evidence before final use.</x:v>
      </x:c>
    </x:row>
    <x:row r="362" ht="24" customHeight="1">
      <x:c r="A362" s="20" t="str">
        <x:v>COL|United States|Propaganda ecosystems</x:v>
      </x:c>
      <x:c r="B362" s="20" t="str">
        <x:v>Colombia</x:v>
      </x:c>
      <x:c r="C362" s="20" t="str">
        <x:v>COL</x:v>
      </x:c>
      <x:c r="D362" s="20" t="str">
        <x:v>United States</x:v>
      </x:c>
      <x:c r="E362" s="20" t="str">
        <x:v>American influence</x:v>
      </x:c>
      <x:c r="F362" s="20" t="str">
        <x:v>Propaganda ecosystems</x:v>
      </x:c>
      <x:c r="G362" s="384" t="n">
        <x:v>3</x:v>
      </x:c>
      <x:c r="H362" s="396" t="n">
        <x:v>3</x:v>
      </x:c>
      <x:c r="I362" s="20" t="str">
        <x:v>USAGM public media source register</x:v>
      </x:c>
      <x:c r="J362" s="397" t="str">
        <x:v>https://www.usagm.gov/our-work/strategy-and-results/strategic-priorities/research-reports/</x:v>
      </x:c>
      <x:c r="K362" s="20" t="str">
        <x:v>Primary source-register URL; automated screening score</x:v>
      </x:c>
      <x:c r="L362" s="20" t="str">
        <x:v>2026-05-20</x:v>
      </x:c>
      <x:c r="M362" s="20" t="str">
        <x:v>2026-05-20</x:v>
      </x:c>
      <x:c r="N362" s="20" t="str">
        <x:v>GPT-5.5 Pro</x:v>
      </x:c>
      <x:c r="O362" s="20" t="str">
        <x:v>Needs review</x:v>
      </x:c>
      <x:c r="P362" s="20" t="str">
        <x:v>Screening score for United States / Propaganda ecosystems in Colombia; verify with country-specific evidence before final use.</x:v>
      </x:c>
    </x:row>
    <x:row r="363" ht="24" customHeight="1">
      <x:c r="A363" s="20" t="str">
        <x:v>COL|United States|PMC presence</x:v>
      </x:c>
      <x:c r="B363" s="20" t="str">
        <x:v>Colombia</x:v>
      </x:c>
      <x:c r="C363" s="20" t="str">
        <x:v>COL</x:v>
      </x:c>
      <x:c r="D363" s="20" t="str">
        <x:v>United States</x:v>
      </x:c>
      <x:c r="E363" s="20" t="str">
        <x:v>American influence</x:v>
      </x:c>
      <x:c r="F363" s="20" t="str">
        <x:v>PMC presence</x:v>
      </x:c>
      <x:c r="G363" s="384" t="n">
        <x:v>2</x:v>
      </x:c>
      <x:c r="H363" s="396" t="n">
        <x:v>2</x:v>
      </x:c>
      <x:c r="I363" s="20" t="str">
        <x:v>SAM/Greenbook U.S. security assistance contractor source register</x:v>
      </x:c>
      <x:c r="J363" s="397" t="str">
        <x:v>https://internationalpolicy.org/programs/sam/</x:v>
      </x:c>
      <x:c r="K363" s="20" t="str">
        <x:v>Primary source-register URL; automated screening score</x:v>
      </x:c>
      <x:c r="L363" s="20" t="str">
        <x:v>2026-05-20</x:v>
      </x:c>
      <x:c r="M363" s="20" t="str">
        <x:v>2026-05-20</x:v>
      </x:c>
      <x:c r="N363" s="20" t="str">
        <x:v>GPT-5.5 Pro</x:v>
      </x:c>
      <x:c r="O363" s="20" t="str">
        <x:v>Needs review</x:v>
      </x:c>
      <x:c r="P363" s="20" t="str">
        <x:v>Screening score for United States / PMC presence in Colombia; verify with country-specific evidence before final use.</x:v>
      </x:c>
    </x:row>
    <x:row r="364" ht="24" customHeight="1">
      <x:c r="A364" s="20" t="str">
        <x:v>COL|United States|Election interference</x:v>
      </x:c>
      <x:c r="B364" s="20" t="str">
        <x:v>Colombia</x:v>
      </x:c>
      <x:c r="C364" s="20" t="str">
        <x:v>COL</x:v>
      </x:c>
      <x:c r="D364" s="20" t="str">
        <x:v>United States</x:v>
      </x:c>
      <x:c r="E364" s="20" t="str">
        <x:v>American influence</x:v>
      </x:c>
      <x:c r="F364" s="20" t="str">
        <x:v>Election interference</x:v>
      </x:c>
      <x:c r="G364" s="384" t="n">
        <x:v>2</x:v>
      </x:c>
      <x:c r="H364" s="396" t="n">
        <x:v>2</x:v>
      </x:c>
      <x:c r="I364" s="20" t="str">
        <x:v>NED/Greenbook democracy assistance source register</x:v>
      </x:c>
      <x:c r="J364" s="397" t="str">
        <x:v>https://www.ned.org/ned-grantmaking/</x:v>
      </x:c>
      <x:c r="K364" s="20" t="str">
        <x:v>Primary source-register URL; automated screening score</x:v>
      </x:c>
      <x:c r="L364" s="20" t="str">
        <x:v>2026-05-20</x:v>
      </x:c>
      <x:c r="M364" s="20" t="str">
        <x:v>2026-05-20</x:v>
      </x:c>
      <x:c r="N364" s="20" t="str">
        <x:v>GPT-5.5 Pro</x:v>
      </x:c>
      <x:c r="O364" s="20" t="str">
        <x:v>Needs review</x:v>
      </x:c>
      <x:c r="P364" s="20" t="str">
        <x:v>Screening score for United States / Election interference in Colombia; verify with country-specific evidence before final use.</x:v>
      </x:c>
    </x:row>
    <x:row r="365" ht="24" customHeight="1">
      <x:c r="A365" s="20" t="str">
        <x:v>COL|United States|Security contractors</x:v>
      </x:c>
      <x:c r="B365" s="20" t="str">
        <x:v>Colombia</x:v>
      </x:c>
      <x:c r="C365" s="20" t="str">
        <x:v>COL</x:v>
      </x:c>
      <x:c r="D365" s="20" t="str">
        <x:v>United States</x:v>
      </x:c>
      <x:c r="E365" s="20" t="str">
        <x:v>American influence</x:v>
      </x:c>
      <x:c r="F365" s="20" t="str">
        <x:v>Security contractors</x:v>
      </x:c>
      <x:c r="G365" s="384" t="n">
        <x:v>4</x:v>
      </x:c>
      <x:c r="H365" s="396" t="n">
        <x:v>3</x:v>
      </x:c>
      <x:c r="I365" s="20" t="str">
        <x:v>SAM/Greenbook U.S. security contractor source register</x:v>
      </x:c>
      <x:c r="J365" s="397" t="str">
        <x:v>https://internationalpolicy.org/programs/sam/</x:v>
      </x:c>
      <x:c r="K365" s="20" t="str">
        <x:v>Primary source-register URL; automated screening score</x:v>
      </x:c>
      <x:c r="L365" s="20" t="str">
        <x:v>2026-05-20</x:v>
      </x:c>
      <x:c r="M365" s="20" t="str">
        <x:v>2026-05-20</x:v>
      </x:c>
      <x:c r="N365" s="20" t="str">
        <x:v>GPT-5.5 Pro</x:v>
      </x:c>
      <x:c r="O365" s="20" t="str">
        <x:v>Needs review</x:v>
      </x:c>
      <x:c r="P365" s="20" t="str">
        <x:v>Screening score for United States / Security contractors in Colombia; verify with country-specific evidence before final use.</x:v>
      </x:c>
    </x:row>
    <x:row r="366" ht="24" customHeight="1">
      <x:c r="A366" s="20" t="str">
        <x:v>COL|European Union|Propaganda ecosystems</x:v>
      </x:c>
      <x:c r="B366" s="20" t="str">
        <x:v>Colombia</x:v>
      </x:c>
      <x:c r="C366" s="20" t="str">
        <x:v>COL</x:v>
      </x:c>
      <x:c r="D366" s="20" t="str">
        <x:v>European Union</x:v>
      </x:c>
      <x:c r="E366" s="20" t="str">
        <x:v>EU influence</x:v>
      </x:c>
      <x:c r="F366" s="20" t="str">
        <x:v>Propaganda ecosystems</x:v>
      </x:c>
      <x:c r="G366" s="384" t="n">
        <x:v>3</x:v>
      </x:c>
      <x:c r="H366" s="396" t="n">
        <x:v>3</x:v>
      </x:c>
      <x:c r="I366" s="20" t="str">
        <x:v>EEAS public diplomacy source register</x:v>
      </x:c>
      <x:c r="J366" s="397" t="str">
        <x:v>https://www.eeas.europa.eu/eeas/public-diplomacy_en</x:v>
      </x:c>
      <x:c r="K366" s="20" t="str">
        <x:v>Primary source-register URL; automated screening score</x:v>
      </x:c>
      <x:c r="L366" s="20" t="str">
        <x:v>2026-05-20</x:v>
      </x:c>
      <x:c r="M366" s="20" t="str">
        <x:v>2026-05-20</x:v>
      </x:c>
      <x:c r="N366" s="20" t="str">
        <x:v>GPT-5.5 Pro</x:v>
      </x:c>
      <x:c r="O366" s="20" t="str">
        <x:v>Needs review</x:v>
      </x:c>
      <x:c r="P366" s="20" t="str">
        <x:v>Screening score for European Union / Propaganda ecosystems in Colombia; verify with country-specific evidence before final use.</x:v>
      </x:c>
    </x:row>
    <x:row r="367" ht="24" customHeight="1">
      <x:c r="A367" s="20" t="str">
        <x:v>COL|European Union|PMC presence</x:v>
      </x:c>
      <x:c r="B367" s="20" t="str">
        <x:v>Colombia</x:v>
      </x:c>
      <x:c r="C367" s="20" t="str">
        <x:v>COL</x:v>
      </x:c>
      <x:c r="D367" s="20" t="str">
        <x:v>European Union</x:v>
      </x:c>
      <x:c r="E367" s="20" t="str">
        <x:v>EU influence</x:v>
      </x:c>
      <x:c r="F367" s="20" t="str">
        <x:v>PMC presence</x:v>
      </x:c>
      <x:c r="G367" s="384" t="n">
        <x:v>0</x:v>
      </x:c>
      <x:c r="H367" s="396" t="n">
        <x:v>1</x:v>
      </x:c>
      <x:c r="I367" s="20" t="str">
        <x:v>EEAS CSDP missions source register</x:v>
      </x:c>
      <x:c r="J367" s="397" t="str">
        <x:v>https://www.eeas.europa.eu/eeas/missions-and-operations_en</x:v>
      </x:c>
      <x:c r="K367" s="20" t="str">
        <x:v>Primary source-register URL; automated screening score</x:v>
      </x:c>
      <x:c r="L367" s="20" t="str">
        <x:v>2026-05-20</x:v>
      </x:c>
      <x:c r="M367" s="20" t="str">
        <x:v>2026-05-20</x:v>
      </x:c>
      <x:c r="N367" s="20" t="str">
        <x:v>GPT-5.5 Pro</x:v>
      </x:c>
      <x:c r="O367" s="20" t="str">
        <x:v>Needs review</x:v>
      </x:c>
      <x:c r="P367" s="20" t="str">
        <x:v>Screening score for European Union / PMC presence in Colombia; verify with country-specific evidence before final use.</x:v>
      </x:c>
    </x:row>
    <x:row r="368" ht="24" customHeight="1">
      <x:c r="A368" s="20" t="str">
        <x:v>COL|European Union|Election interference</x:v>
      </x:c>
      <x:c r="B368" s="20" t="str">
        <x:v>Colombia</x:v>
      </x:c>
      <x:c r="C368" s="20" t="str">
        <x:v>COL</x:v>
      </x:c>
      <x:c r="D368" s="20" t="str">
        <x:v>European Union</x:v>
      </x:c>
      <x:c r="E368" s="20" t="str">
        <x:v>EU influence</x:v>
      </x:c>
      <x:c r="F368" s="20" t="str">
        <x:v>Election interference</x:v>
      </x:c>
      <x:c r="G368" s="384" t="n">
        <x:v>2</x:v>
      </x:c>
      <x:c r="H368" s="396" t="n">
        <x:v>2</x:v>
      </x:c>
      <x:c r="I368" s="20" t="str">
        <x:v>EEAS EU election observation source register</x:v>
      </x:c>
      <x:c r="J368" s="397" t="str">
        <x:v>https://www.eeas.europa.eu/eeas/eu-election-observation-missions-1_en?page_lang=en</x:v>
      </x:c>
      <x:c r="K368" s="20" t="str">
        <x:v>Primary source-register URL; automated screening score</x:v>
      </x:c>
      <x:c r="L368" s="20" t="str">
        <x:v>2026-05-20</x:v>
      </x:c>
      <x:c r="M368" s="20" t="str">
        <x:v>2026-05-20</x:v>
      </x:c>
      <x:c r="N368" s="20" t="str">
        <x:v>GPT-5.5 Pro</x:v>
      </x:c>
      <x:c r="O368" s="20" t="str">
        <x:v>Needs review</x:v>
      </x:c>
      <x:c r="P368" s="20" t="str">
        <x:v>Screening score for European Union / Election interference in Colombia; verify with country-specific evidence before final use.</x:v>
      </x:c>
    </x:row>
    <x:row r="369" ht="24" customHeight="1">
      <x:c r="A369" s="20" t="str">
        <x:v>COL|European Union|Security contractors</x:v>
      </x:c>
      <x:c r="B369" s="20" t="str">
        <x:v>Colombia</x:v>
      </x:c>
      <x:c r="C369" s="20" t="str">
        <x:v>COL</x:v>
      </x:c>
      <x:c r="D369" s="20" t="str">
        <x:v>European Union</x:v>
      </x:c>
      <x:c r="E369" s="20" t="str">
        <x:v>EU influence</x:v>
      </x:c>
      <x:c r="F369" s="20" t="str">
        <x:v>Security contractors</x:v>
      </x:c>
      <x:c r="G369" s="384" t="n">
        <x:v>2</x:v>
      </x:c>
      <x:c r="H369" s="396" t="n">
        <x:v>2</x:v>
      </x:c>
      <x:c r="I369" s="20" t="str">
        <x:v>EEAS CSDP / Global Gateway security source register</x:v>
      </x:c>
      <x:c r="J369" s="397" t="str">
        <x:v>https://www.eeas.europa.eu/eeas/missions-and-operations_en</x:v>
      </x:c>
      <x:c r="K369" s="20" t="str">
        <x:v>Primary source-register URL; automated screening score</x:v>
      </x:c>
      <x:c r="L369" s="20" t="str">
        <x:v>2026-05-20</x:v>
      </x:c>
      <x:c r="M369" s="20" t="str">
        <x:v>2026-05-20</x:v>
      </x:c>
      <x:c r="N369" s="20" t="str">
        <x:v>GPT-5.5 Pro</x:v>
      </x:c>
      <x:c r="O369" s="20" t="str">
        <x:v>Needs review</x:v>
      </x:c>
      <x:c r="P369" s="20" t="str">
        <x:v>Screening score for European Union / Security contractors in Colombia; verify with country-specific evidence before final use.</x:v>
      </x:c>
    </x:row>
    <x:row r="370" ht="24" customHeight="1">
      <x:c r="A370" s="20" t="str">
        <x:v>COK|Russia|Propaganda ecosystems</x:v>
      </x:c>
      <x:c r="B370" s="20" t="str">
        <x:v>Cook Islands</x:v>
      </x:c>
      <x:c r="C370" s="20" t="str">
        <x:v>COK</x:v>
      </x:c>
      <x:c r="D370" s="20" t="str">
        <x:v>Russia</x:v>
      </x:c>
      <x:c r="E370" s="20" t="str">
        <x:v>Russian influence</x:v>
      </x:c>
      <x:c r="F370" s="20" t="str">
        <x:v>Propaganda ecosystems</x:v>
      </x:c>
      <x:c r="G370" s="384" t="n">
        <x:v>2</x:v>
      </x:c>
      <x:c r="H370" s="396" t="n">
        <x:v>2</x:v>
      </x:c>
      <x:c r="I370" s="20" t="str">
        <x:v>EEAS/EUvsDisinfo FIMI source register</x:v>
      </x:c>
      <x:c r="J370" s="397" t="str">
        <x:v>https://www.eeas.europa.eu/eeas/4th-eeas-annual-report-foreign-information-manipulation-and-interference-threats_en</x:v>
      </x:c>
      <x:c r="K370" s="20" t="str">
        <x:v>Primary source-register URL; automated screening score</x:v>
      </x:c>
      <x:c r="L370" s="20" t="str">
        <x:v>2026-05-20</x:v>
      </x:c>
      <x:c r="M370" s="20" t="str">
        <x:v>2026-05-20</x:v>
      </x:c>
      <x:c r="N370" s="20" t="str">
        <x:v>GPT-5.5 Pro</x:v>
      </x:c>
      <x:c r="O370" s="20" t="str">
        <x:v>Needs review</x:v>
      </x:c>
      <x:c r="P370" s="20" t="str">
        <x:v>Screening score for Russia / Propaganda ecosystems in Cook Islands; verify with country-specific evidence before final use.</x:v>
      </x:c>
    </x:row>
    <x:row r="371" ht="24" customHeight="1">
      <x:c r="A371" s="20" t="str">
        <x:v>COK|Russia|PMC presence</x:v>
      </x:c>
      <x:c r="B371" s="20" t="str">
        <x:v>Cook Islands</x:v>
      </x:c>
      <x:c r="C371" s="20" t="str">
        <x:v>COK</x:v>
      </x:c>
      <x:c r="D371" s="20" t="str">
        <x:v>Russia</x:v>
      </x:c>
      <x:c r="E371" s="20" t="str">
        <x:v>Russian influence</x:v>
      </x:c>
      <x:c r="F371" s="20" t="str">
        <x:v>PMC presence</x:v>
      </x:c>
      <x:c r="G371" s="384" t="n">
        <x:v>0</x:v>
      </x:c>
      <x:c r="H371" s="396" t="n">
        <x:v>1</x:v>
      </x:c>
      <x:c r="I371" s="20" t="str">
        <x:v>Treasury and Council of the EU Wagner/PMC source register</x:v>
      </x:c>
      <x:c r="J371" s="397" t="str">
        <x:v>https://www.consilium.europa.eu/en/press/press-releases/2023/02/25/wagner-group-council-adds-11-individuals-and-7-entities-to-eu-sanctions-lists/</x:v>
      </x:c>
      <x:c r="K371" s="20" t="str">
        <x:v>Primary source-register URL; automated screening score</x:v>
      </x:c>
      <x:c r="L371" s="20" t="str">
        <x:v>2026-05-20</x:v>
      </x:c>
      <x:c r="M371" s="20" t="str">
        <x:v>2026-05-20</x:v>
      </x:c>
      <x:c r="N371" s="20" t="str">
        <x:v>GPT-5.5 Pro</x:v>
      </x:c>
      <x:c r="O371" s="20" t="str">
        <x:v>Needs review</x:v>
      </x:c>
      <x:c r="P371" s="20" t="str">
        <x:v>Screening score for Russia / PMC presence in Cook Islands; verify with country-specific evidence before final use.</x:v>
      </x:c>
    </x:row>
    <x:row r="372" ht="24" customHeight="1">
      <x:c r="A372" s="20" t="str">
        <x:v>COK|Russia|Election interference</x:v>
      </x:c>
      <x:c r="B372" s="20" t="str">
        <x:v>Cook Islands</x:v>
      </x:c>
      <x:c r="C372" s="20" t="str">
        <x:v>COK</x:v>
      </x:c>
      <x:c r="D372" s="20" t="str">
        <x:v>Russia</x:v>
      </x:c>
      <x:c r="E372" s="20" t="str">
        <x:v>Russian influence</x:v>
      </x:c>
      <x:c r="F372" s="20" t="str">
        <x:v>Election interference</x:v>
      </x:c>
      <x:c r="G372" s="384" t="n">
        <x:v>0</x:v>
      </x:c>
      <x:c r="H372" s="396" t="n">
        <x:v>1</x:v>
      </x:c>
      <x:c r="I372" s="20" t="str">
        <x:v>ODNI/EEAS election-FIMI source register</x:v>
      </x:c>
      <x:c r="J372" s="397" t="str">
        <x:v>https://www.dni.gov/files/ODNI/documents/assessments/ATA-2026-Unclassified-Report.pdf</x:v>
      </x:c>
      <x:c r="K372" s="20" t="str">
        <x:v>Primary source-register URL; automated screening score</x:v>
      </x:c>
      <x:c r="L372" s="20" t="str">
        <x:v>2026-05-20</x:v>
      </x:c>
      <x:c r="M372" s="20" t="str">
        <x:v>2026-05-20</x:v>
      </x:c>
      <x:c r="N372" s="20" t="str">
        <x:v>GPT-5.5 Pro</x:v>
      </x:c>
      <x:c r="O372" s="20" t="str">
        <x:v>Needs review</x:v>
      </x:c>
      <x:c r="P372" s="20" t="str">
        <x:v>Screening score for Russia / Election interference in Cook Islands; verify with country-specific evidence before final use.</x:v>
      </x:c>
    </x:row>
    <x:row r="373" ht="24" customHeight="1">
      <x:c r="A373" s="20" t="str">
        <x:v>COK|Russia|Security contractors</x:v>
      </x:c>
      <x:c r="B373" s="20" t="str">
        <x:v>Cook Islands</x:v>
      </x:c>
      <x:c r="C373" s="20" t="str">
        <x:v>COK</x:v>
      </x:c>
      <x:c r="D373" s="20" t="str">
        <x:v>Russia</x:v>
      </x:c>
      <x:c r="E373" s="20" t="str">
        <x:v>Russian influence</x:v>
      </x:c>
      <x:c r="F373" s="20" t="str">
        <x:v>Security contractors</x:v>
      </x:c>
      <x:c r="G373" s="384" t="n">
        <x:v>0</x:v>
      </x:c>
      <x:c r="H373" s="396" t="n">
        <x:v>1</x:v>
      </x:c>
      <x:c r="I373" s="20" t="str">
        <x:v>Council of the EU/Treasury Wagner-security source register</x:v>
      </x:c>
      <x:c r="J373" s="397" t="str">
        <x:v>https://www.consilium.europa.eu/en/press/press-releases/2023/02/25/wagner-group-council-adds-11-individuals-and-7-entities-to-eu-sanctions-lists/</x:v>
      </x:c>
      <x:c r="K373" s="20" t="str">
        <x:v>Primary source-register URL; automated screening score</x:v>
      </x:c>
      <x:c r="L373" s="20" t="str">
        <x:v>2026-05-20</x:v>
      </x:c>
      <x:c r="M373" s="20" t="str">
        <x:v>2026-05-20</x:v>
      </x:c>
      <x:c r="N373" s="20" t="str">
        <x:v>GPT-5.5 Pro</x:v>
      </x:c>
      <x:c r="O373" s="20" t="str">
        <x:v>Needs review</x:v>
      </x:c>
      <x:c r="P373" s="20" t="str">
        <x:v>Screening score for Russia / Security contractors in Cook Islands; verify with country-specific evidence before final use.</x:v>
      </x:c>
    </x:row>
    <x:row r="374" ht="24" customHeight="1">
      <x:c r="A374" s="20" t="str">
        <x:v>COK|China|Propaganda ecosystems</x:v>
      </x:c>
      <x:c r="B374" s="20" t="str">
        <x:v>Cook Islands</x:v>
      </x:c>
      <x:c r="C374" s="20" t="str">
        <x:v>COK</x:v>
      </x:c>
      <x:c r="D374" s="20" t="str">
        <x:v>China</x:v>
      </x:c>
      <x:c r="E374" s="20" t="str">
        <x:v>Chinese influence</x:v>
      </x:c>
      <x:c r="F374" s="20" t="str">
        <x:v>Propaganda ecosystems</x:v>
      </x:c>
      <x:c r="G374" s="384" t="n">
        <x:v>7</x:v>
      </x:c>
      <x:c r="H374" s="396" t="n">
        <x:v>4</x:v>
      </x:c>
      <x:c r="I374" s="20" t="str">
        <x:v>EEAS/ODNI China FIMI source register</x:v>
      </x:c>
      <x:c r="J374" s="397" t="str">
        <x:v>https://www.eeas.europa.eu/eeas/4th-eeas-annual-report-foreign-information-manipulation-and-interference-threats_en</x:v>
      </x:c>
      <x:c r="K374" s="20" t="str">
        <x:v>Primary source-register URL; automated screening score</x:v>
      </x:c>
      <x:c r="L374" s="20" t="str">
        <x:v>2026-05-20</x:v>
      </x:c>
      <x:c r="M374" s="20" t="str">
        <x:v>2026-05-20</x:v>
      </x:c>
      <x:c r="N374" s="20" t="str">
        <x:v>GPT-5.5 Pro</x:v>
      </x:c>
      <x:c r="O374" s="20" t="str">
        <x:v>Needs review</x:v>
      </x:c>
      <x:c r="P374" s="20" t="str">
        <x:v>Screening score for China / Propaganda ecosystems in Cook Islands; verify with country-specific evidence before final use.</x:v>
      </x:c>
    </x:row>
    <x:row r="375" ht="24" customHeight="1">
      <x:c r="A375" s="20" t="str">
        <x:v>COK|China|PMC presence</x:v>
      </x:c>
      <x:c r="B375" s="20" t="str">
        <x:v>Cook Islands</x:v>
      </x:c>
      <x:c r="C375" s="20" t="str">
        <x:v>COK</x:v>
      </x:c>
      <x:c r="D375" s="20" t="str">
        <x:v>China</x:v>
      </x:c>
      <x:c r="E375" s="20" t="str">
        <x:v>Chinese influence</x:v>
      </x:c>
      <x:c r="F375" s="20" t="str">
        <x:v>PMC presence</x:v>
      </x:c>
      <x:c r="G375" s="384" t="n">
        <x:v>1</x:v>
      </x:c>
      <x:c r="H375" s="396" t="n">
        <x:v>2</x:v>
      </x:c>
      <x:c r="I375" s="20" t="str">
        <x:v>MERICS/Carnegie Chinese overseas PSC source register</x:v>
      </x:c>
      <x:c r="J375" s="397" t="str">
        <x:v>https://merics.org/en/report/guardians-belt-and-road</x:v>
      </x:c>
      <x:c r="K375" s="20" t="str">
        <x:v>Primary source-register URL; automated screening score</x:v>
      </x:c>
      <x:c r="L375" s="20" t="str">
        <x:v>2026-05-20</x:v>
      </x:c>
      <x:c r="M375" s="20" t="str">
        <x:v>2026-05-20</x:v>
      </x:c>
      <x:c r="N375" s="20" t="str">
        <x:v>GPT-5.5 Pro</x:v>
      </x:c>
      <x:c r="O375" s="20" t="str">
        <x:v>Needs review</x:v>
      </x:c>
      <x:c r="P375" s="20" t="str">
        <x:v>Screening score for China / PMC presence in Cook Islands; verify with country-specific evidence before final use.</x:v>
      </x:c>
    </x:row>
    <x:row r="376" ht="24" customHeight="1">
      <x:c r="A376" s="20" t="str">
        <x:v>COK|China|Election interference</x:v>
      </x:c>
      <x:c r="B376" s="20" t="str">
        <x:v>Cook Islands</x:v>
      </x:c>
      <x:c r="C376" s="20" t="str">
        <x:v>COK</x:v>
      </x:c>
      <x:c r="D376" s="20" t="str">
        <x:v>China</x:v>
      </x:c>
      <x:c r="E376" s="20" t="str">
        <x:v>Chinese influence</x:v>
      </x:c>
      <x:c r="F376" s="20" t="str">
        <x:v>Election interference</x:v>
      </x:c>
      <x:c r="G376" s="384" t="n">
        <x:v>3</x:v>
      </x:c>
      <x:c r="H376" s="396" t="n">
        <x:v>3</x:v>
      </x:c>
      <x:c r="I376" s="20" t="str">
        <x:v>EEAS/ODNI China election-FIMI source register</x:v>
      </x:c>
      <x:c r="J376" s="397" t="str">
        <x:v>https://www.eeas.europa.eu/eeas/4th-eeas-annual-report-foreign-information-manipulation-and-interference-threats_en</x:v>
      </x:c>
      <x:c r="K376" s="20" t="str">
        <x:v>Primary source-register URL; automated screening score</x:v>
      </x:c>
      <x:c r="L376" s="20" t="str">
        <x:v>2026-05-20</x:v>
      </x:c>
      <x:c r="M376" s="20" t="str">
        <x:v>2026-05-20</x:v>
      </x:c>
      <x:c r="N376" s="20" t="str">
        <x:v>GPT-5.5 Pro</x:v>
      </x:c>
      <x:c r="O376" s="20" t="str">
        <x:v>Needs review</x:v>
      </x:c>
      <x:c r="P376" s="20" t="str">
        <x:v>Screening score for China / Election interference in Cook Islands; verify with country-specific evidence before final use.</x:v>
      </x:c>
    </x:row>
    <x:row r="377" ht="24" customHeight="1">
      <x:c r="A377" s="20" t="str">
        <x:v>COK|China|Security contractors</x:v>
      </x:c>
      <x:c r="B377" s="20" t="str">
        <x:v>Cook Islands</x:v>
      </x:c>
      <x:c r="C377" s="20" t="str">
        <x:v>COK</x:v>
      </x:c>
      <x:c r="D377" s="20" t="str">
        <x:v>China</x:v>
      </x:c>
      <x:c r="E377" s="20" t="str">
        <x:v>Chinese influence</x:v>
      </x:c>
      <x:c r="F377" s="20" t="str">
        <x:v>Security contractors</x:v>
      </x:c>
      <x:c r="G377" s="384" t="n">
        <x:v>2</x:v>
      </x:c>
      <x:c r="H377" s="396" t="n">
        <x:v>2</x:v>
      </x:c>
      <x:c r="I377" s="20" t="str">
        <x:v>MERICS/Carnegie Chinese security contractor source register</x:v>
      </x:c>
      <x:c r="J377" s="397" t="str">
        <x:v>https://merics.org/en/report/guardians-belt-and-road</x:v>
      </x:c>
      <x:c r="K377" s="20" t="str">
        <x:v>Primary source-register URL; automated screening score</x:v>
      </x:c>
      <x:c r="L377" s="20" t="str">
        <x:v>2026-05-20</x:v>
      </x:c>
      <x:c r="M377" s="20" t="str">
        <x:v>2026-05-20</x:v>
      </x:c>
      <x:c r="N377" s="20" t="str">
        <x:v>GPT-5.5 Pro</x:v>
      </x:c>
      <x:c r="O377" s="20" t="str">
        <x:v>Needs review</x:v>
      </x:c>
      <x:c r="P377" s="20" t="str">
        <x:v>Screening score for China / Security contractors in Cook Islands; verify with country-specific evidence before final use.</x:v>
      </x:c>
    </x:row>
    <x:row r="378" ht="24" customHeight="1">
      <x:c r="A378" s="20" t="str">
        <x:v>COK|United States|Propaganda ecosystems</x:v>
      </x:c>
      <x:c r="B378" s="20" t="str">
        <x:v>Cook Islands</x:v>
      </x:c>
      <x:c r="C378" s="20" t="str">
        <x:v>COK</x:v>
      </x:c>
      <x:c r="D378" s="20" t="str">
        <x:v>United States</x:v>
      </x:c>
      <x:c r="E378" s="20" t="str">
        <x:v>American influence</x:v>
      </x:c>
      <x:c r="F378" s="20" t="str">
        <x:v>Propaganda ecosystems</x:v>
      </x:c>
      <x:c r="G378" s="384" t="n">
        <x:v>3</x:v>
      </x:c>
      <x:c r="H378" s="396" t="n">
        <x:v>3</x:v>
      </x:c>
      <x:c r="I378" s="20" t="str">
        <x:v>USAGM public media source register</x:v>
      </x:c>
      <x:c r="J378" s="397" t="str">
        <x:v>https://www.usagm.gov/our-work/strategy-and-results/strategic-priorities/research-reports/</x:v>
      </x:c>
      <x:c r="K378" s="20" t="str">
        <x:v>Primary source-register URL; automated screening score</x:v>
      </x:c>
      <x:c r="L378" s="20" t="str">
        <x:v>2026-05-20</x:v>
      </x:c>
      <x:c r="M378" s="20" t="str">
        <x:v>2026-05-20</x:v>
      </x:c>
      <x:c r="N378" s="20" t="str">
        <x:v>GPT-5.5 Pro</x:v>
      </x:c>
      <x:c r="O378" s="20" t="str">
        <x:v>Needs review</x:v>
      </x:c>
      <x:c r="P378" s="20" t="str">
        <x:v>Screening score for United States / Propaganda ecosystems in Cook Islands; verify with country-specific evidence before final use.</x:v>
      </x:c>
    </x:row>
    <x:row r="379" ht="24" customHeight="1">
      <x:c r="A379" s="20" t="str">
        <x:v>COK|United States|PMC presence</x:v>
      </x:c>
      <x:c r="B379" s="20" t="str">
        <x:v>Cook Islands</x:v>
      </x:c>
      <x:c r="C379" s="20" t="str">
        <x:v>COK</x:v>
      </x:c>
      <x:c r="D379" s="20" t="str">
        <x:v>United States</x:v>
      </x:c>
      <x:c r="E379" s="20" t="str">
        <x:v>American influence</x:v>
      </x:c>
      <x:c r="F379" s="20" t="str">
        <x:v>PMC presence</x:v>
      </x:c>
      <x:c r="G379" s="384" t="n">
        <x:v>1</x:v>
      </x:c>
      <x:c r="H379" s="396" t="n">
        <x:v>2</x:v>
      </x:c>
      <x:c r="I379" s="20" t="str">
        <x:v>SAM/Greenbook U.S. security assistance contractor source register</x:v>
      </x:c>
      <x:c r="J379" s="397" t="str">
        <x:v>https://internationalpolicy.org/programs/sam/</x:v>
      </x:c>
      <x:c r="K379" s="20" t="str">
        <x:v>Primary source-register URL; automated screening score</x:v>
      </x:c>
      <x:c r="L379" s="20" t="str">
        <x:v>2026-05-20</x:v>
      </x:c>
      <x:c r="M379" s="20" t="str">
        <x:v>2026-05-20</x:v>
      </x:c>
      <x:c r="N379" s="20" t="str">
        <x:v>GPT-5.5 Pro</x:v>
      </x:c>
      <x:c r="O379" s="20" t="str">
        <x:v>Needs review</x:v>
      </x:c>
      <x:c r="P379" s="20" t="str">
        <x:v>Screening score for United States / PMC presence in Cook Islands; verify with country-specific evidence before final use.</x:v>
      </x:c>
    </x:row>
    <x:row r="380" ht="24" customHeight="1">
      <x:c r="A380" s="20" t="str">
        <x:v>COK|United States|Election interference</x:v>
      </x:c>
      <x:c r="B380" s="20" t="str">
        <x:v>Cook Islands</x:v>
      </x:c>
      <x:c r="C380" s="20" t="str">
        <x:v>COK</x:v>
      </x:c>
      <x:c r="D380" s="20" t="str">
        <x:v>United States</x:v>
      </x:c>
      <x:c r="E380" s="20" t="str">
        <x:v>American influence</x:v>
      </x:c>
      <x:c r="F380" s="20" t="str">
        <x:v>Election interference</x:v>
      </x:c>
      <x:c r="G380" s="384" t="n">
        <x:v>1</x:v>
      </x:c>
      <x:c r="H380" s="396" t="n">
        <x:v>2</x:v>
      </x:c>
      <x:c r="I380" s="20" t="str">
        <x:v>NED/Greenbook democracy assistance source register</x:v>
      </x:c>
      <x:c r="J380" s="397" t="str">
        <x:v>https://www.ned.org/ned-grantmaking/</x:v>
      </x:c>
      <x:c r="K380" s="20" t="str">
        <x:v>Primary source-register URL; automated screening score</x:v>
      </x:c>
      <x:c r="L380" s="20" t="str">
        <x:v>2026-05-20</x:v>
      </x:c>
      <x:c r="M380" s="20" t="str">
        <x:v>2026-05-20</x:v>
      </x:c>
      <x:c r="N380" s="20" t="str">
        <x:v>GPT-5.5 Pro</x:v>
      </x:c>
      <x:c r="O380" s="20" t="str">
        <x:v>Needs review</x:v>
      </x:c>
      <x:c r="P380" s="20" t="str">
        <x:v>Screening score for United States / Election interference in Cook Islands; verify with country-specific evidence before final use.</x:v>
      </x:c>
    </x:row>
    <x:row r="381" ht="24" customHeight="1">
      <x:c r="A381" s="20" t="str">
        <x:v>COK|United States|Security contractors</x:v>
      </x:c>
      <x:c r="B381" s="20" t="str">
        <x:v>Cook Islands</x:v>
      </x:c>
      <x:c r="C381" s="20" t="str">
        <x:v>COK</x:v>
      </x:c>
      <x:c r="D381" s="20" t="str">
        <x:v>United States</x:v>
      </x:c>
      <x:c r="E381" s="20" t="str">
        <x:v>American influence</x:v>
      </x:c>
      <x:c r="F381" s="20" t="str">
        <x:v>Security contractors</x:v>
      </x:c>
      <x:c r="G381" s="384" t="n">
        <x:v>2</x:v>
      </x:c>
      <x:c r="H381" s="396" t="n">
        <x:v>2</x:v>
      </x:c>
      <x:c r="I381" s="20" t="str">
        <x:v>SAM/Greenbook U.S. security contractor source register</x:v>
      </x:c>
      <x:c r="J381" s="397" t="str">
        <x:v>https://internationalpolicy.org/programs/sam/</x:v>
      </x:c>
      <x:c r="K381" s="20" t="str">
        <x:v>Primary source-register URL; automated screening score</x:v>
      </x:c>
      <x:c r="L381" s="20" t="str">
        <x:v>2026-05-20</x:v>
      </x:c>
      <x:c r="M381" s="20" t="str">
        <x:v>2026-05-20</x:v>
      </x:c>
      <x:c r="N381" s="20" t="str">
        <x:v>GPT-5.5 Pro</x:v>
      </x:c>
      <x:c r="O381" s="20" t="str">
        <x:v>Needs review</x:v>
      </x:c>
      <x:c r="P381" s="20" t="str">
        <x:v>Screening score for United States / Security contractors in Cook Islands; verify with country-specific evidence before final use.</x:v>
      </x:c>
    </x:row>
    <x:row r="382" ht="24" customHeight="1">
      <x:c r="A382" s="20" t="str">
        <x:v>COK|European Union|Propaganda ecosystems</x:v>
      </x:c>
      <x:c r="B382" s="20" t="str">
        <x:v>Cook Islands</x:v>
      </x:c>
      <x:c r="C382" s="20" t="str">
        <x:v>COK</x:v>
      </x:c>
      <x:c r="D382" s="20" t="str">
        <x:v>European Union</x:v>
      </x:c>
      <x:c r="E382" s="20" t="str">
        <x:v>EU influence</x:v>
      </x:c>
      <x:c r="F382" s="20" t="str">
        <x:v>Propaganda ecosystems</x:v>
      </x:c>
      <x:c r="G382" s="384" t="n">
        <x:v>2</x:v>
      </x:c>
      <x:c r="H382" s="396" t="n">
        <x:v>2</x:v>
      </x:c>
      <x:c r="I382" s="20" t="str">
        <x:v>EEAS public diplomacy source register</x:v>
      </x:c>
      <x:c r="J382" s="397" t="str">
        <x:v>https://www.eeas.europa.eu/eeas/public-diplomacy_en</x:v>
      </x:c>
      <x:c r="K382" s="20" t="str">
        <x:v>Primary source-register URL; automated screening score</x:v>
      </x:c>
      <x:c r="L382" s="20" t="str">
        <x:v>2026-05-20</x:v>
      </x:c>
      <x:c r="M382" s="20" t="str">
        <x:v>2026-05-20</x:v>
      </x:c>
      <x:c r="N382" s="20" t="str">
        <x:v>GPT-5.5 Pro</x:v>
      </x:c>
      <x:c r="O382" s="20" t="str">
        <x:v>Needs review</x:v>
      </x:c>
      <x:c r="P382" s="20" t="str">
        <x:v>Screening score for European Union / Propaganda ecosystems in Cook Islands; verify with country-specific evidence before final use.</x:v>
      </x:c>
    </x:row>
    <x:row r="383" ht="24" customHeight="1">
      <x:c r="A383" s="20" t="str">
        <x:v>COK|European Union|PMC presence</x:v>
      </x:c>
      <x:c r="B383" s="20" t="str">
        <x:v>Cook Islands</x:v>
      </x:c>
      <x:c r="C383" s="20" t="str">
        <x:v>COK</x:v>
      </x:c>
      <x:c r="D383" s="20" t="str">
        <x:v>European Union</x:v>
      </x:c>
      <x:c r="E383" s="20" t="str">
        <x:v>EU influence</x:v>
      </x:c>
      <x:c r="F383" s="20" t="str">
        <x:v>PMC presence</x:v>
      </x:c>
      <x:c r="G383" s="384" t="n">
        <x:v>0</x:v>
      </x:c>
      <x:c r="H383" s="396" t="n">
        <x:v>1</x:v>
      </x:c>
      <x:c r="I383" s="20" t="str">
        <x:v>EEAS CSDP missions source register</x:v>
      </x:c>
      <x:c r="J383" s="397" t="str">
        <x:v>https://www.eeas.europa.eu/eeas/missions-and-operations_en</x:v>
      </x:c>
      <x:c r="K383" s="20" t="str">
        <x:v>Primary source-register URL; automated screening score</x:v>
      </x:c>
      <x:c r="L383" s="20" t="str">
        <x:v>2026-05-20</x:v>
      </x:c>
      <x:c r="M383" s="20" t="str">
        <x:v>2026-05-20</x:v>
      </x:c>
      <x:c r="N383" s="20" t="str">
        <x:v>GPT-5.5 Pro</x:v>
      </x:c>
      <x:c r="O383" s="20" t="str">
        <x:v>Needs review</x:v>
      </x:c>
      <x:c r="P383" s="20" t="str">
        <x:v>Screening score for European Union / PMC presence in Cook Islands; verify with country-specific evidence before final use.</x:v>
      </x:c>
    </x:row>
    <x:row r="384" ht="24" customHeight="1">
      <x:c r="A384" s="20" t="str">
        <x:v>COK|European Union|Election interference</x:v>
      </x:c>
      <x:c r="B384" s="20" t="str">
        <x:v>Cook Islands</x:v>
      </x:c>
      <x:c r="C384" s="20" t="str">
        <x:v>COK</x:v>
      </x:c>
      <x:c r="D384" s="20" t="str">
        <x:v>European Union</x:v>
      </x:c>
      <x:c r="E384" s="20" t="str">
        <x:v>EU influence</x:v>
      </x:c>
      <x:c r="F384" s="20" t="str">
        <x:v>Election interference</x:v>
      </x:c>
      <x:c r="G384" s="384" t="n">
        <x:v>1</x:v>
      </x:c>
      <x:c r="H384" s="396" t="n">
        <x:v>2</x:v>
      </x:c>
      <x:c r="I384" s="20" t="str">
        <x:v>EEAS EU election observation source register</x:v>
      </x:c>
      <x:c r="J384" s="397" t="str">
        <x:v>https://www.eeas.europa.eu/eeas/eu-election-observation-missions-1_en?page_lang=en</x:v>
      </x:c>
      <x:c r="K384" s="20" t="str">
        <x:v>Primary source-register URL; automated screening score</x:v>
      </x:c>
      <x:c r="L384" s="20" t="str">
        <x:v>2026-05-20</x:v>
      </x:c>
      <x:c r="M384" s="20" t="str">
        <x:v>2026-05-20</x:v>
      </x:c>
      <x:c r="N384" s="20" t="str">
        <x:v>GPT-5.5 Pro</x:v>
      </x:c>
      <x:c r="O384" s="20" t="str">
        <x:v>Needs review</x:v>
      </x:c>
      <x:c r="P384" s="20" t="str">
        <x:v>Screening score for European Union / Election interference in Cook Islands; verify with country-specific evidence before final use.</x:v>
      </x:c>
    </x:row>
    <x:row r="385" ht="24" customHeight="1">
      <x:c r="A385" s="20" t="str">
        <x:v>COK|European Union|Security contractors</x:v>
      </x:c>
      <x:c r="B385" s="20" t="str">
        <x:v>Cook Islands</x:v>
      </x:c>
      <x:c r="C385" s="20" t="str">
        <x:v>COK</x:v>
      </x:c>
      <x:c r="D385" s="20" t="str">
        <x:v>European Union</x:v>
      </x:c>
      <x:c r="E385" s="20" t="str">
        <x:v>EU influence</x:v>
      </x:c>
      <x:c r="F385" s="20" t="str">
        <x:v>Security contractors</x:v>
      </x:c>
      <x:c r="G385" s="384" t="n">
        <x:v>1</x:v>
      </x:c>
      <x:c r="H385" s="396" t="n">
        <x:v>2</x:v>
      </x:c>
      <x:c r="I385" s="20" t="str">
        <x:v>EEAS CSDP / Global Gateway security source register</x:v>
      </x:c>
      <x:c r="J385" s="397" t="str">
        <x:v>https://www.eeas.europa.eu/eeas/missions-and-operations_en</x:v>
      </x:c>
      <x:c r="K385" s="20" t="str">
        <x:v>Primary source-register URL; automated screening score</x:v>
      </x:c>
      <x:c r="L385" s="20" t="str">
        <x:v>2026-05-20</x:v>
      </x:c>
      <x:c r="M385" s="20" t="str">
        <x:v>2026-05-20</x:v>
      </x:c>
      <x:c r="N385" s="20" t="str">
        <x:v>GPT-5.5 Pro</x:v>
      </x:c>
      <x:c r="O385" s="20" t="str">
        <x:v>Needs review</x:v>
      </x:c>
      <x:c r="P385" s="20" t="str">
        <x:v>Screening score for European Union / Security contractors in Cook Islands; verify with country-specific evidence before final use.</x:v>
      </x:c>
    </x:row>
    <x:row r="386" ht="24" customHeight="1">
      <x:c r="A386" s="20" t="str">
        <x:v>CUB|Russia|Propaganda ecosystems</x:v>
      </x:c>
      <x:c r="B386" s="20" t="str">
        <x:v>Cuba</x:v>
      </x:c>
      <x:c r="C386" s="20" t="str">
        <x:v>CUB</x:v>
      </x:c>
      <x:c r="D386" s="20" t="str">
        <x:v>Russia</x:v>
      </x:c>
      <x:c r="E386" s="20" t="str">
        <x:v>Russian influence</x:v>
      </x:c>
      <x:c r="F386" s="20" t="str">
        <x:v>Propaganda ecosystems</x:v>
      </x:c>
      <x:c r="G386" s="384" t="n">
        <x:v>7</x:v>
      </x:c>
      <x:c r="H386" s="396" t="n">
        <x:v>4</x:v>
      </x:c>
      <x:c r="I386" s="20" t="str">
        <x:v>EEAS/EUvsDisinfo FIMI source register</x:v>
      </x:c>
      <x:c r="J386" s="397" t="str">
        <x:v>https://www.eeas.europa.eu/eeas/4th-eeas-annual-report-foreign-information-manipulation-and-interference-threats_en</x:v>
      </x:c>
      <x:c r="K386" s="20" t="str">
        <x:v>Primary source-register URL; automated screening score</x:v>
      </x:c>
      <x:c r="L386" s="20" t="str">
        <x:v>2026-05-20</x:v>
      </x:c>
      <x:c r="M386" s="20" t="str">
        <x:v>2026-05-20</x:v>
      </x:c>
      <x:c r="N386" s="20" t="str">
        <x:v>GPT-5.5 Pro</x:v>
      </x:c>
      <x:c r="O386" s="20" t="str">
        <x:v>Needs review</x:v>
      </x:c>
      <x:c r="P386" s="20" t="str">
        <x:v>Screening score for Russia / Propaganda ecosystems in Cuba; verify with country-specific evidence before final use.</x:v>
      </x:c>
    </x:row>
    <x:row r="387" ht="24" customHeight="1">
      <x:c r="A387" s="20" t="str">
        <x:v>CUB|Russia|PMC presence</x:v>
      </x:c>
      <x:c r="B387" s="20" t="str">
        <x:v>Cuba</x:v>
      </x:c>
      <x:c r="C387" s="20" t="str">
        <x:v>CUB</x:v>
      </x:c>
      <x:c r="D387" s="20" t="str">
        <x:v>Russia</x:v>
      </x:c>
      <x:c r="E387" s="20" t="str">
        <x:v>Russian influence</x:v>
      </x:c>
      <x:c r="F387" s="20" t="str">
        <x:v>PMC presence</x:v>
      </x:c>
      <x:c r="G387" s="384" t="n">
        <x:v>2</x:v>
      </x:c>
      <x:c r="H387" s="396" t="n">
        <x:v>2</x:v>
      </x:c>
      <x:c r="I387" s="20" t="str">
        <x:v>Treasury and Council of the EU Wagner/PMC source register</x:v>
      </x:c>
      <x:c r="J387" s="397" t="str">
        <x:v>https://www.consilium.europa.eu/en/press/press-releases/2023/02/25/wagner-group-council-adds-11-individuals-and-7-entities-to-eu-sanctions-lists/</x:v>
      </x:c>
      <x:c r="K387" s="20" t="str">
        <x:v>Primary source-register URL; automated screening score</x:v>
      </x:c>
      <x:c r="L387" s="20" t="str">
        <x:v>2026-05-20</x:v>
      </x:c>
      <x:c r="M387" s="20" t="str">
        <x:v>2026-05-20</x:v>
      </x:c>
      <x:c r="N387" s="20" t="str">
        <x:v>GPT-5.5 Pro</x:v>
      </x:c>
      <x:c r="O387" s="20" t="str">
        <x:v>Needs review</x:v>
      </x:c>
      <x:c r="P387" s="20" t="str">
        <x:v>Screening score for Russia / PMC presence in Cuba; verify with country-specific evidence before final use.</x:v>
      </x:c>
    </x:row>
    <x:row r="388" ht="24" customHeight="1">
      <x:c r="A388" s="20" t="str">
        <x:v>CUB|Russia|Election interference</x:v>
      </x:c>
      <x:c r="B388" s="20" t="str">
        <x:v>Cuba</x:v>
      </x:c>
      <x:c r="C388" s="20" t="str">
        <x:v>CUB</x:v>
      </x:c>
      <x:c r="D388" s="20" t="str">
        <x:v>Russia</x:v>
      </x:c>
      <x:c r="E388" s="20" t="str">
        <x:v>Russian influence</x:v>
      </x:c>
      <x:c r="F388" s="20" t="str">
        <x:v>Election interference</x:v>
      </x:c>
      <x:c r="G388" s="384" t="n">
        <x:v>4</x:v>
      </x:c>
      <x:c r="H388" s="396" t="n">
        <x:v>3</x:v>
      </x:c>
      <x:c r="I388" s="20" t="str">
        <x:v>ODNI/EEAS election-FIMI source register</x:v>
      </x:c>
      <x:c r="J388" s="397" t="str">
        <x:v>https://www.dni.gov/files/ODNI/documents/assessments/ATA-2026-Unclassified-Report.pdf</x:v>
      </x:c>
      <x:c r="K388" s="20" t="str">
        <x:v>Primary source-register URL; automated screening score</x:v>
      </x:c>
      <x:c r="L388" s="20" t="str">
        <x:v>2026-05-20</x:v>
      </x:c>
      <x:c r="M388" s="20" t="str">
        <x:v>2026-05-20</x:v>
      </x:c>
      <x:c r="N388" s="20" t="str">
        <x:v>GPT-5.5 Pro</x:v>
      </x:c>
      <x:c r="O388" s="20" t="str">
        <x:v>Needs review</x:v>
      </x:c>
      <x:c r="P388" s="20" t="str">
        <x:v>Screening score for Russia / Election interference in Cuba; verify with country-specific evidence before final use.</x:v>
      </x:c>
    </x:row>
    <x:row r="389" ht="24" customHeight="1">
      <x:c r="A389" s="20" t="str">
        <x:v>CUB|Russia|Security contractors</x:v>
      </x:c>
      <x:c r="B389" s="20" t="str">
        <x:v>Cuba</x:v>
      </x:c>
      <x:c r="C389" s="20" t="str">
        <x:v>CUB</x:v>
      </x:c>
      <x:c r="D389" s="20" t="str">
        <x:v>Russia</x:v>
      </x:c>
      <x:c r="E389" s="20" t="str">
        <x:v>Russian influence</x:v>
      </x:c>
      <x:c r="F389" s="20" t="str">
        <x:v>Security contractors</x:v>
      </x:c>
      <x:c r="G389" s="384" t="n">
        <x:v>2</x:v>
      </x:c>
      <x:c r="H389" s="396" t="n">
        <x:v>2</x:v>
      </x:c>
      <x:c r="I389" s="20" t="str">
        <x:v>Council of the EU/Treasury Wagner-security source register</x:v>
      </x:c>
      <x:c r="J389" s="397" t="str">
        <x:v>https://www.consilium.europa.eu/en/press/press-releases/2023/02/25/wagner-group-council-adds-11-individuals-and-7-entities-to-eu-sanctions-lists/</x:v>
      </x:c>
      <x:c r="K389" s="20" t="str">
        <x:v>Primary source-register URL; automated screening score</x:v>
      </x:c>
      <x:c r="L389" s="20" t="str">
        <x:v>2026-05-20</x:v>
      </x:c>
      <x:c r="M389" s="20" t="str">
        <x:v>2026-05-20</x:v>
      </x:c>
      <x:c r="N389" s="20" t="str">
        <x:v>GPT-5.5 Pro</x:v>
      </x:c>
      <x:c r="O389" s="20" t="str">
        <x:v>Needs review</x:v>
      </x:c>
      <x:c r="P389" s="20" t="str">
        <x:v>Screening score for Russia / Security contractors in Cuba; verify with country-specific evidence before final use.</x:v>
      </x:c>
    </x:row>
    <x:row r="390" ht="24" customHeight="1">
      <x:c r="A390" s="20" t="str">
        <x:v>CUB|China|Propaganda ecosystems</x:v>
      </x:c>
      <x:c r="B390" s="20" t="str">
        <x:v>Cuba</x:v>
      </x:c>
      <x:c r="C390" s="20" t="str">
        <x:v>CUB</x:v>
      </x:c>
      <x:c r="D390" s="20" t="str">
        <x:v>China</x:v>
      </x:c>
      <x:c r="E390" s="20" t="str">
        <x:v>Chinese influence</x:v>
      </x:c>
      <x:c r="F390" s="20" t="str">
        <x:v>Propaganda ecosystems</x:v>
      </x:c>
      <x:c r="G390" s="384" t="n">
        <x:v>5</x:v>
      </x:c>
      <x:c r="H390" s="396" t="n">
        <x:v>3</x:v>
      </x:c>
      <x:c r="I390" s="20" t="str">
        <x:v>EEAS/ODNI China FIMI source register</x:v>
      </x:c>
      <x:c r="J390" s="397" t="str">
        <x:v>https://www.eeas.europa.eu/eeas/4th-eeas-annual-report-foreign-information-manipulation-and-interference-threats_en</x:v>
      </x:c>
      <x:c r="K390" s="20" t="str">
        <x:v>Primary source-register URL; automated screening score</x:v>
      </x:c>
      <x:c r="L390" s="20" t="str">
        <x:v>2026-05-20</x:v>
      </x:c>
      <x:c r="M390" s="20" t="str">
        <x:v>2026-05-20</x:v>
      </x:c>
      <x:c r="N390" s="20" t="str">
        <x:v>GPT-5.5 Pro</x:v>
      </x:c>
      <x:c r="O390" s="20" t="str">
        <x:v>Needs review</x:v>
      </x:c>
      <x:c r="P390" s="20" t="str">
        <x:v>Screening score for China / Propaganda ecosystems in Cuba; verify with country-specific evidence before final use.</x:v>
      </x:c>
    </x:row>
    <x:row r="391" ht="24" customHeight="1">
      <x:c r="A391" s="20" t="str">
        <x:v>CUB|China|PMC presence</x:v>
      </x:c>
      <x:c r="B391" s="20" t="str">
        <x:v>Cuba</x:v>
      </x:c>
      <x:c r="C391" s="20" t="str">
        <x:v>CUB</x:v>
      </x:c>
      <x:c r="D391" s="20" t="str">
        <x:v>China</x:v>
      </x:c>
      <x:c r="E391" s="20" t="str">
        <x:v>Chinese influence</x:v>
      </x:c>
      <x:c r="F391" s="20" t="str">
        <x:v>PMC presence</x:v>
      </x:c>
      <x:c r="G391" s="384" t="n">
        <x:v>0</x:v>
      </x:c>
      <x:c r="H391" s="396" t="n">
        <x:v>1</x:v>
      </x:c>
      <x:c r="I391" s="20" t="str">
        <x:v>MERICS/Carnegie Chinese overseas PSC source register</x:v>
      </x:c>
      <x:c r="J391" s="397" t="str">
        <x:v>https://merics.org/en/report/guardians-belt-and-road</x:v>
      </x:c>
      <x:c r="K391" s="20" t="str">
        <x:v>Primary source-register URL; automated screening score</x:v>
      </x:c>
      <x:c r="L391" s="20" t="str">
        <x:v>2026-05-20</x:v>
      </x:c>
      <x:c r="M391" s="20" t="str">
        <x:v>2026-05-20</x:v>
      </x:c>
      <x:c r="N391" s="20" t="str">
        <x:v>GPT-5.5 Pro</x:v>
      </x:c>
      <x:c r="O391" s="20" t="str">
        <x:v>Needs review</x:v>
      </x:c>
      <x:c r="P391" s="20" t="str">
        <x:v>Screening score for China / PMC presence in Cuba; verify with country-specific evidence before final use.</x:v>
      </x:c>
    </x:row>
    <x:row r="392" ht="24" customHeight="1">
      <x:c r="A392" s="20" t="str">
        <x:v>CUB|China|Election interference</x:v>
      </x:c>
      <x:c r="B392" s="20" t="str">
        <x:v>Cuba</x:v>
      </x:c>
      <x:c r="C392" s="20" t="str">
        <x:v>CUB</x:v>
      </x:c>
      <x:c r="D392" s="20" t="str">
        <x:v>China</x:v>
      </x:c>
      <x:c r="E392" s="20" t="str">
        <x:v>Chinese influence</x:v>
      </x:c>
      <x:c r="F392" s="20" t="str">
        <x:v>Election interference</x:v>
      </x:c>
      <x:c r="G392" s="384" t="n">
        <x:v>2</x:v>
      </x:c>
      <x:c r="H392" s="396" t="n">
        <x:v>2</x:v>
      </x:c>
      <x:c r="I392" s="20" t="str">
        <x:v>EEAS/ODNI China election-FIMI source register</x:v>
      </x:c>
      <x:c r="J392" s="397" t="str">
        <x:v>https://www.eeas.europa.eu/eeas/4th-eeas-annual-report-foreign-information-manipulation-and-interference-threats_en</x:v>
      </x:c>
      <x:c r="K392" s="20" t="str">
        <x:v>Primary source-register URL; automated screening score</x:v>
      </x:c>
      <x:c r="L392" s="20" t="str">
        <x:v>2026-05-20</x:v>
      </x:c>
      <x:c r="M392" s="20" t="str">
        <x:v>2026-05-20</x:v>
      </x:c>
      <x:c r="N392" s="20" t="str">
        <x:v>GPT-5.5 Pro</x:v>
      </x:c>
      <x:c r="O392" s="20" t="str">
        <x:v>Needs review</x:v>
      </x:c>
      <x:c r="P392" s="20" t="str">
        <x:v>Screening score for China / Election interference in Cuba; verify with country-specific evidence before final use.</x:v>
      </x:c>
    </x:row>
    <x:row r="393" ht="24" customHeight="1">
      <x:c r="A393" s="20" t="str">
        <x:v>CUB|China|Security contractors</x:v>
      </x:c>
      <x:c r="B393" s="20" t="str">
        <x:v>Cuba</x:v>
      </x:c>
      <x:c r="C393" s="20" t="str">
        <x:v>CUB</x:v>
      </x:c>
      <x:c r="D393" s="20" t="str">
        <x:v>China</x:v>
      </x:c>
      <x:c r="E393" s="20" t="str">
        <x:v>Chinese influence</x:v>
      </x:c>
      <x:c r="F393" s="20" t="str">
        <x:v>Security contractors</x:v>
      </x:c>
      <x:c r="G393" s="384" t="n">
        <x:v>0</x:v>
      </x:c>
      <x:c r="H393" s="396" t="n">
        <x:v>1</x:v>
      </x:c>
      <x:c r="I393" s="20" t="str">
        <x:v>MERICS/Carnegie Chinese security contractor source register</x:v>
      </x:c>
      <x:c r="J393" s="397" t="str">
        <x:v>https://merics.org/en/report/guardians-belt-and-road</x:v>
      </x:c>
      <x:c r="K393" s="20" t="str">
        <x:v>Primary source-register URL; automated screening score</x:v>
      </x:c>
      <x:c r="L393" s="20" t="str">
        <x:v>2026-05-20</x:v>
      </x:c>
      <x:c r="M393" s="20" t="str">
        <x:v>2026-05-20</x:v>
      </x:c>
      <x:c r="N393" s="20" t="str">
        <x:v>GPT-5.5 Pro</x:v>
      </x:c>
      <x:c r="O393" s="20" t="str">
        <x:v>Needs review</x:v>
      </x:c>
      <x:c r="P393" s="20" t="str">
        <x:v>Screening score for China / Security contractors in Cuba; verify with country-specific evidence before final use.</x:v>
      </x:c>
    </x:row>
    <x:row r="394" ht="24" customHeight="1">
      <x:c r="A394" s="20" t="str">
        <x:v>CUB|United States|Propaganda ecosystems</x:v>
      </x:c>
      <x:c r="B394" s="20" t="str">
        <x:v>Cuba</x:v>
      </x:c>
      <x:c r="C394" s="20" t="str">
        <x:v>CUB</x:v>
      </x:c>
      <x:c r="D394" s="20" t="str">
        <x:v>United States</x:v>
      </x:c>
      <x:c r="E394" s="20" t="str">
        <x:v>American influence</x:v>
      </x:c>
      <x:c r="F394" s="20" t="str">
        <x:v>Propaganda ecosystems</x:v>
      </x:c>
      <x:c r="G394" s="384" t="n">
        <x:v>8</x:v>
      </x:c>
      <x:c r="H394" s="396" t="n">
        <x:v>4</x:v>
      </x:c>
      <x:c r="I394" s="20" t="str">
        <x:v>USAGM public media source register</x:v>
      </x:c>
      <x:c r="J394" s="397" t="str">
        <x:v>https://www.usagm.gov/our-work/strategy-and-results/strategic-priorities/research-reports/</x:v>
      </x:c>
      <x:c r="K394" s="20" t="str">
        <x:v>Primary source-register URL; automated screening score</x:v>
      </x:c>
      <x:c r="L394" s="20" t="str">
        <x:v>2026-05-20</x:v>
      </x:c>
      <x:c r="M394" s="20" t="str">
        <x:v>2026-05-20</x:v>
      </x:c>
      <x:c r="N394" s="20" t="str">
        <x:v>GPT-5.5 Pro</x:v>
      </x:c>
      <x:c r="O394" s="20" t="str">
        <x:v>Needs review</x:v>
      </x:c>
      <x:c r="P394" s="20" t="str">
        <x:v>Screening score for United States / Propaganda ecosystems in Cuba; verify with country-specific evidence before final use.</x:v>
      </x:c>
    </x:row>
    <x:row r="395" ht="24" customHeight="1">
      <x:c r="A395" s="20" t="str">
        <x:v>CUB|United States|PMC presence</x:v>
      </x:c>
      <x:c r="B395" s="20" t="str">
        <x:v>Cuba</x:v>
      </x:c>
      <x:c r="C395" s="20" t="str">
        <x:v>CUB</x:v>
      </x:c>
      <x:c r="D395" s="20" t="str">
        <x:v>United States</x:v>
      </x:c>
      <x:c r="E395" s="20" t="str">
        <x:v>American influence</x:v>
      </x:c>
      <x:c r="F395" s="20" t="str">
        <x:v>PMC presence</x:v>
      </x:c>
      <x:c r="G395" s="384" t="n">
        <x:v>2</x:v>
      </x:c>
      <x:c r="H395" s="396" t="n">
        <x:v>2</x:v>
      </x:c>
      <x:c r="I395" s="20" t="str">
        <x:v>SAM/Greenbook U.S. security assistance contractor source register</x:v>
      </x:c>
      <x:c r="J395" s="397" t="str">
        <x:v>https://internationalpolicy.org/programs/sam/</x:v>
      </x:c>
      <x:c r="K395" s="20" t="str">
        <x:v>Primary source-register URL; automated screening score</x:v>
      </x:c>
      <x:c r="L395" s="20" t="str">
        <x:v>2026-05-20</x:v>
      </x:c>
      <x:c r="M395" s="20" t="str">
        <x:v>2026-05-20</x:v>
      </x:c>
      <x:c r="N395" s="20" t="str">
        <x:v>GPT-5.5 Pro</x:v>
      </x:c>
      <x:c r="O395" s="20" t="str">
        <x:v>Needs review</x:v>
      </x:c>
      <x:c r="P395" s="20" t="str">
        <x:v>Screening score for United States / PMC presence in Cuba; verify with country-specific evidence before final use.</x:v>
      </x:c>
    </x:row>
    <x:row r="396" ht="24" customHeight="1">
      <x:c r="A396" s="20" t="str">
        <x:v>CUB|United States|Election interference</x:v>
      </x:c>
      <x:c r="B396" s="20" t="str">
        <x:v>Cuba</x:v>
      </x:c>
      <x:c r="C396" s="20" t="str">
        <x:v>CUB</x:v>
      </x:c>
      <x:c r="D396" s="20" t="str">
        <x:v>United States</x:v>
      </x:c>
      <x:c r="E396" s="20" t="str">
        <x:v>American influence</x:v>
      </x:c>
      <x:c r="F396" s="20" t="str">
        <x:v>Election interference</x:v>
      </x:c>
      <x:c r="G396" s="384" t="n">
        <x:v>5</x:v>
      </x:c>
      <x:c r="H396" s="396" t="n">
        <x:v>3</x:v>
      </x:c>
      <x:c r="I396" s="20" t="str">
        <x:v>NED/Greenbook democracy assistance source register</x:v>
      </x:c>
      <x:c r="J396" s="397" t="str">
        <x:v>https://www.ned.org/ned-grantmaking/</x:v>
      </x:c>
      <x:c r="K396" s="20" t="str">
        <x:v>Primary source-register URL; automated screening score</x:v>
      </x:c>
      <x:c r="L396" s="20" t="str">
        <x:v>2026-05-20</x:v>
      </x:c>
      <x:c r="M396" s="20" t="str">
        <x:v>2026-05-20</x:v>
      </x:c>
      <x:c r="N396" s="20" t="str">
        <x:v>GPT-5.5 Pro</x:v>
      </x:c>
      <x:c r="O396" s="20" t="str">
        <x:v>Needs review</x:v>
      </x:c>
      <x:c r="P396" s="20" t="str">
        <x:v>Screening score for United States / Election interference in Cuba; verify with country-specific evidence before final use.</x:v>
      </x:c>
    </x:row>
    <x:row r="397" ht="24" customHeight="1">
      <x:c r="A397" s="20" t="str">
        <x:v>CUB|United States|Security contractors</x:v>
      </x:c>
      <x:c r="B397" s="20" t="str">
        <x:v>Cuba</x:v>
      </x:c>
      <x:c r="C397" s="20" t="str">
        <x:v>CUB</x:v>
      </x:c>
      <x:c r="D397" s="20" t="str">
        <x:v>United States</x:v>
      </x:c>
      <x:c r="E397" s="20" t="str">
        <x:v>American influence</x:v>
      </x:c>
      <x:c r="F397" s="20" t="str">
        <x:v>Security contractors</x:v>
      </x:c>
      <x:c r="G397" s="384" t="n">
        <x:v>4</x:v>
      </x:c>
      <x:c r="H397" s="396" t="n">
        <x:v>3</x:v>
      </x:c>
      <x:c r="I397" s="20" t="str">
        <x:v>SAM/Greenbook U.S. security contractor source register</x:v>
      </x:c>
      <x:c r="J397" s="397" t="str">
        <x:v>https://internationalpolicy.org/programs/sam/</x:v>
      </x:c>
      <x:c r="K397" s="20" t="str">
        <x:v>Primary source-register URL; automated screening score</x:v>
      </x:c>
      <x:c r="L397" s="20" t="str">
        <x:v>2026-05-20</x:v>
      </x:c>
      <x:c r="M397" s="20" t="str">
        <x:v>2026-05-20</x:v>
      </x:c>
      <x:c r="N397" s="20" t="str">
        <x:v>GPT-5.5 Pro</x:v>
      </x:c>
      <x:c r="O397" s="20" t="str">
        <x:v>Needs review</x:v>
      </x:c>
      <x:c r="P397" s="20" t="str">
        <x:v>Screening score for United States / Security contractors in Cuba; verify with country-specific evidence before final use.</x:v>
      </x:c>
    </x:row>
    <x:row r="398" ht="24" customHeight="1">
      <x:c r="A398" s="20" t="str">
        <x:v>CUB|European Union|Propaganda ecosystems</x:v>
      </x:c>
      <x:c r="B398" s="20" t="str">
        <x:v>Cuba</x:v>
      </x:c>
      <x:c r="C398" s="20" t="str">
        <x:v>CUB</x:v>
      </x:c>
      <x:c r="D398" s="20" t="str">
        <x:v>European Union</x:v>
      </x:c>
      <x:c r="E398" s="20" t="str">
        <x:v>EU influence</x:v>
      </x:c>
      <x:c r="F398" s="20" t="str">
        <x:v>Propaganda ecosystems</x:v>
      </x:c>
      <x:c r="G398" s="384" t="n">
        <x:v>3</x:v>
      </x:c>
      <x:c r="H398" s="396" t="n">
        <x:v>3</x:v>
      </x:c>
      <x:c r="I398" s="20" t="str">
        <x:v>EEAS public diplomacy source register</x:v>
      </x:c>
      <x:c r="J398" s="397" t="str">
        <x:v>https://www.eeas.europa.eu/eeas/public-diplomacy_en</x:v>
      </x:c>
      <x:c r="K398" s="20" t="str">
        <x:v>Primary source-register URL; automated screening score</x:v>
      </x:c>
      <x:c r="L398" s="20" t="str">
        <x:v>2026-05-20</x:v>
      </x:c>
      <x:c r="M398" s="20" t="str">
        <x:v>2026-05-20</x:v>
      </x:c>
      <x:c r="N398" s="20" t="str">
        <x:v>GPT-5.5 Pro</x:v>
      </x:c>
      <x:c r="O398" s="20" t="str">
        <x:v>Needs review</x:v>
      </x:c>
      <x:c r="P398" s="20" t="str">
        <x:v>Screening score for European Union / Propaganda ecosystems in Cuba; verify with country-specific evidence before final use.</x:v>
      </x:c>
    </x:row>
    <x:row r="399" ht="24" customHeight="1">
      <x:c r="A399" s="20" t="str">
        <x:v>CUB|European Union|PMC presence</x:v>
      </x:c>
      <x:c r="B399" s="20" t="str">
        <x:v>Cuba</x:v>
      </x:c>
      <x:c r="C399" s="20" t="str">
        <x:v>CUB</x:v>
      </x:c>
      <x:c r="D399" s="20" t="str">
        <x:v>European Union</x:v>
      </x:c>
      <x:c r="E399" s="20" t="str">
        <x:v>EU influence</x:v>
      </x:c>
      <x:c r="F399" s="20" t="str">
        <x:v>PMC presence</x:v>
      </x:c>
      <x:c r="G399" s="384" t="n">
        <x:v>0</x:v>
      </x:c>
      <x:c r="H399" s="396" t="n">
        <x:v>1</x:v>
      </x:c>
      <x:c r="I399" s="20" t="str">
        <x:v>EEAS CSDP missions source register</x:v>
      </x:c>
      <x:c r="J399" s="397" t="str">
        <x:v>https://www.eeas.europa.eu/eeas/missions-and-operations_en</x:v>
      </x:c>
      <x:c r="K399" s="20" t="str">
        <x:v>Primary source-register URL; automated screening score</x:v>
      </x:c>
      <x:c r="L399" s="20" t="str">
        <x:v>2026-05-20</x:v>
      </x:c>
      <x:c r="M399" s="20" t="str">
        <x:v>2026-05-20</x:v>
      </x:c>
      <x:c r="N399" s="20" t="str">
        <x:v>GPT-5.5 Pro</x:v>
      </x:c>
      <x:c r="O399" s="20" t="str">
        <x:v>Needs review</x:v>
      </x:c>
      <x:c r="P399" s="20" t="str">
        <x:v>Screening score for European Union / PMC presence in Cuba; verify with country-specific evidence before final use.</x:v>
      </x:c>
    </x:row>
    <x:row r="400" ht="24" customHeight="1">
      <x:c r="A400" s="20" t="str">
        <x:v>CUB|European Union|Election interference</x:v>
      </x:c>
      <x:c r="B400" s="20" t="str">
        <x:v>Cuba</x:v>
      </x:c>
      <x:c r="C400" s="20" t="str">
        <x:v>CUB</x:v>
      </x:c>
      <x:c r="D400" s="20" t="str">
        <x:v>European Union</x:v>
      </x:c>
      <x:c r="E400" s="20" t="str">
        <x:v>EU influence</x:v>
      </x:c>
      <x:c r="F400" s="20" t="str">
        <x:v>Election interference</x:v>
      </x:c>
      <x:c r="G400" s="384" t="n">
        <x:v>1</x:v>
      </x:c>
      <x:c r="H400" s="396" t="n">
        <x:v>2</x:v>
      </x:c>
      <x:c r="I400" s="20" t="str">
        <x:v>EEAS EU election observation source register</x:v>
      </x:c>
      <x:c r="J400" s="397" t="str">
        <x:v>https://www.eeas.europa.eu/eeas/eu-election-observation-missions-1_en?page_lang=en</x:v>
      </x:c>
      <x:c r="K400" s="20" t="str">
        <x:v>Primary source-register URL; automated screening score</x:v>
      </x:c>
      <x:c r="L400" s="20" t="str">
        <x:v>2026-05-20</x:v>
      </x:c>
      <x:c r="M400" s="20" t="str">
        <x:v>2026-05-20</x:v>
      </x:c>
      <x:c r="N400" s="20" t="str">
        <x:v>GPT-5.5 Pro</x:v>
      </x:c>
      <x:c r="O400" s="20" t="str">
        <x:v>Needs review</x:v>
      </x:c>
      <x:c r="P400" s="20" t="str">
        <x:v>Screening score for European Union / Election interference in Cuba; verify with country-specific evidence before final use.</x:v>
      </x:c>
    </x:row>
    <x:row r="401" ht="24" customHeight="1">
      <x:c r="A401" s="20" t="str">
        <x:v>CUB|European Union|Security contractors</x:v>
      </x:c>
      <x:c r="B401" s="20" t="str">
        <x:v>Cuba</x:v>
      </x:c>
      <x:c r="C401" s="20" t="str">
        <x:v>CUB</x:v>
      </x:c>
      <x:c r="D401" s="20" t="str">
        <x:v>European Union</x:v>
      </x:c>
      <x:c r="E401" s="20" t="str">
        <x:v>EU influence</x:v>
      </x:c>
      <x:c r="F401" s="20" t="str">
        <x:v>Security contractors</x:v>
      </x:c>
      <x:c r="G401" s="384" t="n">
        <x:v>2</x:v>
      </x:c>
      <x:c r="H401" s="396" t="n">
        <x:v>2</x:v>
      </x:c>
      <x:c r="I401" s="20" t="str">
        <x:v>EEAS CSDP / Global Gateway security source register</x:v>
      </x:c>
      <x:c r="J401" s="397" t="str">
        <x:v>https://www.eeas.europa.eu/eeas/missions-and-operations_en</x:v>
      </x:c>
      <x:c r="K401" s="20" t="str">
        <x:v>Primary source-register URL; automated screening score</x:v>
      </x:c>
      <x:c r="L401" s="20" t="str">
        <x:v>2026-05-20</x:v>
      </x:c>
      <x:c r="M401" s="20" t="str">
        <x:v>2026-05-20</x:v>
      </x:c>
      <x:c r="N401" s="20" t="str">
        <x:v>GPT-5.5 Pro</x:v>
      </x:c>
      <x:c r="O401" s="20" t="str">
        <x:v>Needs review</x:v>
      </x:c>
      <x:c r="P401" s="20" t="str">
        <x:v>Screening score for European Union / Security contractors in Cuba; verify with country-specific evidence before final use.</x:v>
      </x:c>
    </x:row>
    <x:row r="402" ht="24" customHeight="1">
      <x:c r="A402" s="20" t="str">
        <x:v>CYP|Russia|Propaganda ecosystems</x:v>
      </x:c>
      <x:c r="B402" s="20" t="str">
        <x:v>Cyprus</x:v>
      </x:c>
      <x:c r="C402" s="20" t="str">
        <x:v>CYP</x:v>
      </x:c>
      <x:c r="D402" s="20" t="str">
        <x:v>Russia</x:v>
      </x:c>
      <x:c r="E402" s="20" t="str">
        <x:v>Russian influence</x:v>
      </x:c>
      <x:c r="F402" s="20" t="str">
        <x:v>Propaganda ecosystems</x:v>
      </x:c>
      <x:c r="G402" s="384" t="n">
        <x:v>4</x:v>
      </x:c>
      <x:c r="H402" s="396" t="n">
        <x:v>3</x:v>
      </x:c>
      <x:c r="I402" s="20" t="str">
        <x:v>EEAS/EUvsDisinfo FIMI source register</x:v>
      </x:c>
      <x:c r="J402" s="397" t="str">
        <x:v>https://www.eeas.europa.eu/eeas/4th-eeas-annual-report-foreign-information-manipulation-and-interference-threats_en</x:v>
      </x:c>
      <x:c r="K402" s="20" t="str">
        <x:v>Primary source-register URL; automated screening score</x:v>
      </x:c>
      <x:c r="L402" s="20" t="str">
        <x:v>2026-05-20</x:v>
      </x:c>
      <x:c r="M402" s="20" t="str">
        <x:v>2026-05-20</x:v>
      </x:c>
      <x:c r="N402" s="20" t="str">
        <x:v>GPT-5.5 Pro</x:v>
      </x:c>
      <x:c r="O402" s="20" t="str">
        <x:v>Needs review</x:v>
      </x:c>
      <x:c r="P402" s="20" t="str">
        <x:v>Screening score for Russia / Propaganda ecosystems in Cyprus; verify with country-specific evidence before final use.</x:v>
      </x:c>
    </x:row>
    <x:row r="403" ht="24" customHeight="1">
      <x:c r="A403" s="20" t="str">
        <x:v>CYP|Russia|PMC presence</x:v>
      </x:c>
      <x:c r="B403" s="20" t="str">
        <x:v>Cyprus</x:v>
      </x:c>
      <x:c r="C403" s="20" t="str">
        <x:v>CYP</x:v>
      </x:c>
      <x:c r="D403" s="20" t="str">
        <x:v>Russia</x:v>
      </x:c>
      <x:c r="E403" s="20" t="str">
        <x:v>Russian influence</x:v>
      </x:c>
      <x:c r="F403" s="20" t="str">
        <x:v>PMC presence</x:v>
      </x:c>
      <x:c r="G403" s="384" t="n">
        <x:v>0</x:v>
      </x:c>
      <x:c r="H403" s="396" t="n">
        <x:v>1</x:v>
      </x:c>
      <x:c r="I403" s="20" t="str">
        <x:v>Treasury and Council of the EU Wagner/PMC source register</x:v>
      </x:c>
      <x:c r="J403" s="397" t="str">
        <x:v>https://www.consilium.europa.eu/en/press/press-releases/2023/02/25/wagner-group-council-adds-11-individuals-and-7-entities-to-eu-sanctions-lists/</x:v>
      </x:c>
      <x:c r="K403" s="20" t="str">
        <x:v>Primary source-register URL; automated screening score</x:v>
      </x:c>
      <x:c r="L403" s="20" t="str">
        <x:v>2026-05-20</x:v>
      </x:c>
      <x:c r="M403" s="20" t="str">
        <x:v>2026-05-20</x:v>
      </x:c>
      <x:c r="N403" s="20" t="str">
        <x:v>GPT-5.5 Pro</x:v>
      </x:c>
      <x:c r="O403" s="20" t="str">
        <x:v>Needs review</x:v>
      </x:c>
      <x:c r="P403" s="20" t="str">
        <x:v>Screening score for Russia / PMC presence in Cyprus; verify with country-specific evidence before final use.</x:v>
      </x:c>
    </x:row>
    <x:row r="404" ht="24" customHeight="1">
      <x:c r="A404" s="20" t="str">
        <x:v>CYP|Russia|Election interference</x:v>
      </x:c>
      <x:c r="B404" s="20" t="str">
        <x:v>Cyprus</x:v>
      </x:c>
      <x:c r="C404" s="20" t="str">
        <x:v>CYP</x:v>
      </x:c>
      <x:c r="D404" s="20" t="str">
        <x:v>Russia</x:v>
      </x:c>
      <x:c r="E404" s="20" t="str">
        <x:v>Russian influence</x:v>
      </x:c>
      <x:c r="F404" s="20" t="str">
        <x:v>Election interference</x:v>
      </x:c>
      <x:c r="G404" s="384" t="n">
        <x:v>1</x:v>
      </x:c>
      <x:c r="H404" s="396" t="n">
        <x:v>2</x:v>
      </x:c>
      <x:c r="I404" s="20" t="str">
        <x:v>ODNI/EEAS election-FIMI source register</x:v>
      </x:c>
      <x:c r="J404" s="397" t="str">
        <x:v>https://www.dni.gov/files/ODNI/documents/assessments/ATA-2026-Unclassified-Report.pdf</x:v>
      </x:c>
      <x:c r="K404" s="20" t="str">
        <x:v>Primary source-register URL; automated screening score</x:v>
      </x:c>
      <x:c r="L404" s="20" t="str">
        <x:v>2026-05-20</x:v>
      </x:c>
      <x:c r="M404" s="20" t="str">
        <x:v>2026-05-20</x:v>
      </x:c>
      <x:c r="N404" s="20" t="str">
        <x:v>GPT-5.5 Pro</x:v>
      </x:c>
      <x:c r="O404" s="20" t="str">
        <x:v>Needs review</x:v>
      </x:c>
      <x:c r="P404" s="20" t="str">
        <x:v>Screening score for Russia / Election interference in Cyprus; verify with country-specific evidence before final use.</x:v>
      </x:c>
    </x:row>
    <x:row r="405" ht="24" customHeight="1">
      <x:c r="A405" s="20" t="str">
        <x:v>CYP|Russia|Security contractors</x:v>
      </x:c>
      <x:c r="B405" s="20" t="str">
        <x:v>Cyprus</x:v>
      </x:c>
      <x:c r="C405" s="20" t="str">
        <x:v>CYP</x:v>
      </x:c>
      <x:c r="D405" s="20" t="str">
        <x:v>Russia</x:v>
      </x:c>
      <x:c r="E405" s="20" t="str">
        <x:v>Russian influence</x:v>
      </x:c>
      <x:c r="F405" s="20" t="str">
        <x:v>Security contractors</x:v>
      </x:c>
      <x:c r="G405" s="384" t="n">
        <x:v>0</x:v>
      </x:c>
      <x:c r="H405" s="396" t="n">
        <x:v>1</x:v>
      </x:c>
      <x:c r="I405" s="20" t="str">
        <x:v>Council of the EU/Treasury Wagner-security source register</x:v>
      </x:c>
      <x:c r="J405" s="397" t="str">
        <x:v>https://www.consilium.europa.eu/en/press/press-releases/2023/02/25/wagner-group-council-adds-11-individuals-and-7-entities-to-eu-sanctions-lists/</x:v>
      </x:c>
      <x:c r="K405" s="20" t="str">
        <x:v>Primary source-register URL; automated screening score</x:v>
      </x:c>
      <x:c r="L405" s="20" t="str">
        <x:v>2026-05-20</x:v>
      </x:c>
      <x:c r="M405" s="20" t="str">
        <x:v>2026-05-20</x:v>
      </x:c>
      <x:c r="N405" s="20" t="str">
        <x:v>GPT-5.5 Pro</x:v>
      </x:c>
      <x:c r="O405" s="20" t="str">
        <x:v>Needs review</x:v>
      </x:c>
      <x:c r="P405" s="20" t="str">
        <x:v>Screening score for Russia / Security contractors in Cyprus; verify with country-specific evidence before final use.</x:v>
      </x:c>
    </x:row>
    <x:row r="406" ht="24" customHeight="1">
      <x:c r="A406" s="20" t="str">
        <x:v>CYP|China|Propaganda ecosystems</x:v>
      </x:c>
      <x:c r="B406" s="20" t="str">
        <x:v>Cyprus</x:v>
      </x:c>
      <x:c r="C406" s="20" t="str">
        <x:v>CYP</x:v>
      </x:c>
      <x:c r="D406" s="20" t="str">
        <x:v>China</x:v>
      </x:c>
      <x:c r="E406" s="20" t="str">
        <x:v>Chinese influence</x:v>
      </x:c>
      <x:c r="F406" s="20" t="str">
        <x:v>Propaganda ecosystems</x:v>
      </x:c>
      <x:c r="G406" s="384" t="n">
        <x:v>4</x:v>
      </x:c>
      <x:c r="H406" s="396" t="n">
        <x:v>3</x:v>
      </x:c>
      <x:c r="I406" s="20" t="str">
        <x:v>EEAS/ODNI China FIMI source register</x:v>
      </x:c>
      <x:c r="J406" s="397" t="str">
        <x:v>https://www.eeas.europa.eu/eeas/4th-eeas-annual-report-foreign-information-manipulation-and-interference-threats_en</x:v>
      </x:c>
      <x:c r="K406" s="20" t="str">
        <x:v>Primary source-register URL; automated screening score</x:v>
      </x:c>
      <x:c r="L406" s="20" t="str">
        <x:v>2026-05-20</x:v>
      </x:c>
      <x:c r="M406" s="20" t="str">
        <x:v>2026-05-20</x:v>
      </x:c>
      <x:c r="N406" s="20" t="str">
        <x:v>GPT-5.5 Pro</x:v>
      </x:c>
      <x:c r="O406" s="20" t="str">
        <x:v>Needs review</x:v>
      </x:c>
      <x:c r="P406" s="20" t="str">
        <x:v>Screening score for China / Propaganda ecosystems in Cyprus; verify with country-specific evidence before final use.</x:v>
      </x:c>
    </x:row>
    <x:row r="407" ht="24" customHeight="1">
      <x:c r="A407" s="20" t="str">
        <x:v>CYP|China|PMC presence</x:v>
      </x:c>
      <x:c r="B407" s="20" t="str">
        <x:v>Cyprus</x:v>
      </x:c>
      <x:c r="C407" s="20" t="str">
        <x:v>CYP</x:v>
      </x:c>
      <x:c r="D407" s="20" t="str">
        <x:v>China</x:v>
      </x:c>
      <x:c r="E407" s="20" t="str">
        <x:v>Chinese influence</x:v>
      </x:c>
      <x:c r="F407" s="20" t="str">
        <x:v>PMC presence</x:v>
      </x:c>
      <x:c r="G407" s="384" t="n">
        <x:v>0</x:v>
      </x:c>
      <x:c r="H407" s="396" t="n">
        <x:v>1</x:v>
      </x:c>
      <x:c r="I407" s="20" t="str">
        <x:v>MERICS/Carnegie Chinese overseas PSC source register</x:v>
      </x:c>
      <x:c r="J407" s="397" t="str">
        <x:v>https://merics.org/en/report/guardians-belt-and-road</x:v>
      </x:c>
      <x:c r="K407" s="20" t="str">
        <x:v>Primary source-register URL; automated screening score</x:v>
      </x:c>
      <x:c r="L407" s="20" t="str">
        <x:v>2026-05-20</x:v>
      </x:c>
      <x:c r="M407" s="20" t="str">
        <x:v>2026-05-20</x:v>
      </x:c>
      <x:c r="N407" s="20" t="str">
        <x:v>GPT-5.5 Pro</x:v>
      </x:c>
      <x:c r="O407" s="20" t="str">
        <x:v>Needs review</x:v>
      </x:c>
      <x:c r="P407" s="20" t="str">
        <x:v>Screening score for China / PMC presence in Cyprus; verify with country-specific evidence before final use.</x:v>
      </x:c>
    </x:row>
    <x:row r="408" ht="24" customHeight="1">
      <x:c r="A408" s="20" t="str">
        <x:v>CYP|China|Election interference</x:v>
      </x:c>
      <x:c r="B408" s="20" t="str">
        <x:v>Cyprus</x:v>
      </x:c>
      <x:c r="C408" s="20" t="str">
        <x:v>CYP</x:v>
      </x:c>
      <x:c r="D408" s="20" t="str">
        <x:v>China</x:v>
      </x:c>
      <x:c r="E408" s="20" t="str">
        <x:v>Chinese influence</x:v>
      </x:c>
      <x:c r="F408" s="20" t="str">
        <x:v>Election interference</x:v>
      </x:c>
      <x:c r="G408" s="384" t="n">
        <x:v>2</x:v>
      </x:c>
      <x:c r="H408" s="396" t="n">
        <x:v>2</x:v>
      </x:c>
      <x:c r="I408" s="20" t="str">
        <x:v>EEAS/ODNI China election-FIMI source register</x:v>
      </x:c>
      <x:c r="J408" s="397" t="str">
        <x:v>https://www.eeas.europa.eu/eeas/4th-eeas-annual-report-foreign-information-manipulation-and-interference-threats_en</x:v>
      </x:c>
      <x:c r="K408" s="20" t="str">
        <x:v>Primary source-register URL; automated screening score</x:v>
      </x:c>
      <x:c r="L408" s="20" t="str">
        <x:v>2026-05-20</x:v>
      </x:c>
      <x:c r="M408" s="20" t="str">
        <x:v>2026-05-20</x:v>
      </x:c>
      <x:c r="N408" s="20" t="str">
        <x:v>GPT-5.5 Pro</x:v>
      </x:c>
      <x:c r="O408" s="20" t="str">
        <x:v>Needs review</x:v>
      </x:c>
      <x:c r="P408" s="20" t="str">
        <x:v>Screening score for China / Election interference in Cyprus; verify with country-specific evidence before final use.</x:v>
      </x:c>
    </x:row>
    <x:row r="409" ht="24" customHeight="1">
      <x:c r="A409" s="20" t="str">
        <x:v>CYP|China|Security contractors</x:v>
      </x:c>
      <x:c r="B409" s="20" t="str">
        <x:v>Cyprus</x:v>
      </x:c>
      <x:c r="C409" s="20" t="str">
        <x:v>CYP</x:v>
      </x:c>
      <x:c r="D409" s="20" t="str">
        <x:v>China</x:v>
      </x:c>
      <x:c r="E409" s="20" t="str">
        <x:v>Chinese influence</x:v>
      </x:c>
      <x:c r="F409" s="20" t="str">
        <x:v>Security contractors</x:v>
      </x:c>
      <x:c r="G409" s="384" t="n">
        <x:v>0</x:v>
      </x:c>
      <x:c r="H409" s="396" t="n">
        <x:v>1</x:v>
      </x:c>
      <x:c r="I409" s="20" t="str">
        <x:v>MERICS/Carnegie Chinese security contractor source register</x:v>
      </x:c>
      <x:c r="J409" s="397" t="str">
        <x:v>https://merics.org/en/report/guardians-belt-and-road</x:v>
      </x:c>
      <x:c r="K409" s="20" t="str">
        <x:v>Primary source-register URL; automated screening score</x:v>
      </x:c>
      <x:c r="L409" s="20" t="str">
        <x:v>2026-05-20</x:v>
      </x:c>
      <x:c r="M409" s="20" t="str">
        <x:v>2026-05-20</x:v>
      </x:c>
      <x:c r="N409" s="20" t="str">
        <x:v>GPT-5.5 Pro</x:v>
      </x:c>
      <x:c r="O409" s="20" t="str">
        <x:v>Needs review</x:v>
      </x:c>
      <x:c r="P409" s="20" t="str">
        <x:v>Screening score for China / Security contractors in Cyprus; verify with country-specific evidence before final use.</x:v>
      </x:c>
    </x:row>
    <x:row r="410" ht="24" customHeight="1">
      <x:c r="A410" s="20" t="str">
        <x:v>CYP|United States|Propaganda ecosystems</x:v>
      </x:c>
      <x:c r="B410" s="20" t="str">
        <x:v>Cyprus</x:v>
      </x:c>
      <x:c r="C410" s="20" t="str">
        <x:v>CYP</x:v>
      </x:c>
      <x:c r="D410" s="20" t="str">
        <x:v>United States</x:v>
      </x:c>
      <x:c r="E410" s="20" t="str">
        <x:v>American influence</x:v>
      </x:c>
      <x:c r="F410" s="20" t="str">
        <x:v>Propaganda ecosystems</x:v>
      </x:c>
      <x:c r="G410" s="384" t="n">
        <x:v>4</x:v>
      </x:c>
      <x:c r="H410" s="396" t="n">
        <x:v>3</x:v>
      </x:c>
      <x:c r="I410" s="20" t="str">
        <x:v>USAGM public media source register</x:v>
      </x:c>
      <x:c r="J410" s="397" t="str">
        <x:v>https://www.usagm.gov/our-work/strategy-and-results/strategic-priorities/research-reports/</x:v>
      </x:c>
      <x:c r="K410" s="20" t="str">
        <x:v>Primary source-register URL; automated screening score</x:v>
      </x:c>
      <x:c r="L410" s="20" t="str">
        <x:v>2026-05-20</x:v>
      </x:c>
      <x:c r="M410" s="20" t="str">
        <x:v>2026-05-20</x:v>
      </x:c>
      <x:c r="N410" s="20" t="str">
        <x:v>GPT-5.5 Pro</x:v>
      </x:c>
      <x:c r="O410" s="20" t="str">
        <x:v>Needs review</x:v>
      </x:c>
      <x:c r="P410" s="20" t="str">
        <x:v>Screening score for United States / Propaganda ecosystems in Cyprus; verify with country-specific evidence before final use.</x:v>
      </x:c>
    </x:row>
    <x:row r="411" ht="24" customHeight="1">
      <x:c r="A411" s="20" t="str">
        <x:v>CYP|United States|PMC presence</x:v>
      </x:c>
      <x:c r="B411" s="20" t="str">
        <x:v>Cyprus</x:v>
      </x:c>
      <x:c r="C411" s="20" t="str">
        <x:v>CYP</x:v>
      </x:c>
      <x:c r="D411" s="20" t="str">
        <x:v>United States</x:v>
      </x:c>
      <x:c r="E411" s="20" t="str">
        <x:v>American influence</x:v>
      </x:c>
      <x:c r="F411" s="20" t="str">
        <x:v>PMC presence</x:v>
      </x:c>
      <x:c r="G411" s="384" t="n">
        <x:v>3</x:v>
      </x:c>
      <x:c r="H411" s="396" t="n">
        <x:v>3</x:v>
      </x:c>
      <x:c r="I411" s="20" t="str">
        <x:v>SAM/Greenbook U.S. security assistance contractor source register</x:v>
      </x:c>
      <x:c r="J411" s="397" t="str">
        <x:v>https://internationalpolicy.org/programs/sam/</x:v>
      </x:c>
      <x:c r="K411" s="20" t="str">
        <x:v>Primary source-register URL; automated screening score</x:v>
      </x:c>
      <x:c r="L411" s="20" t="str">
        <x:v>2026-05-20</x:v>
      </x:c>
      <x:c r="M411" s="20" t="str">
        <x:v>2026-05-20</x:v>
      </x:c>
      <x:c r="N411" s="20" t="str">
        <x:v>GPT-5.5 Pro</x:v>
      </x:c>
      <x:c r="O411" s="20" t="str">
        <x:v>Needs review</x:v>
      </x:c>
      <x:c r="P411" s="20" t="str">
        <x:v>Screening score for United States / PMC presence in Cyprus; verify with country-specific evidence before final use.</x:v>
      </x:c>
    </x:row>
    <x:row r="412" ht="24" customHeight="1">
      <x:c r="A412" s="20" t="str">
        <x:v>CYP|United States|Election interference</x:v>
      </x:c>
      <x:c r="B412" s="20" t="str">
        <x:v>Cyprus</x:v>
      </x:c>
      <x:c r="C412" s="20" t="str">
        <x:v>CYP</x:v>
      </x:c>
      <x:c r="D412" s="20" t="str">
        <x:v>United States</x:v>
      </x:c>
      <x:c r="E412" s="20" t="str">
        <x:v>American influence</x:v>
      </x:c>
      <x:c r="F412" s="20" t="str">
        <x:v>Election interference</x:v>
      </x:c>
      <x:c r="G412" s="384" t="n">
        <x:v>1</x:v>
      </x:c>
      <x:c r="H412" s="396" t="n">
        <x:v>2</x:v>
      </x:c>
      <x:c r="I412" s="20" t="str">
        <x:v>NED/Greenbook democracy assistance source register</x:v>
      </x:c>
      <x:c r="J412" s="397" t="str">
        <x:v>https://www.ned.org/ned-grantmaking/</x:v>
      </x:c>
      <x:c r="K412" s="20" t="str">
        <x:v>Primary source-register URL; automated screening score</x:v>
      </x:c>
      <x:c r="L412" s="20" t="str">
        <x:v>2026-05-20</x:v>
      </x:c>
      <x:c r="M412" s="20" t="str">
        <x:v>2026-05-20</x:v>
      </x:c>
      <x:c r="N412" s="20" t="str">
        <x:v>GPT-5.5 Pro</x:v>
      </x:c>
      <x:c r="O412" s="20" t="str">
        <x:v>Needs review</x:v>
      </x:c>
      <x:c r="P412" s="20" t="str">
        <x:v>Screening score for United States / Election interference in Cyprus; verify with country-specific evidence before final use.</x:v>
      </x:c>
    </x:row>
    <x:row r="413" ht="24" customHeight="1">
      <x:c r="A413" s="20" t="str">
        <x:v>CYP|United States|Security contractors</x:v>
      </x:c>
      <x:c r="B413" s="20" t="str">
        <x:v>Cyprus</x:v>
      </x:c>
      <x:c r="C413" s="20" t="str">
        <x:v>CYP</x:v>
      </x:c>
      <x:c r="D413" s="20" t="str">
        <x:v>United States</x:v>
      </x:c>
      <x:c r="E413" s="20" t="str">
        <x:v>American influence</x:v>
      </x:c>
      <x:c r="F413" s="20" t="str">
        <x:v>Security contractors</x:v>
      </x:c>
      <x:c r="G413" s="384" t="n">
        <x:v>6</x:v>
      </x:c>
      <x:c r="H413" s="396" t="n">
        <x:v>4</x:v>
      </x:c>
      <x:c r="I413" s="20" t="str">
        <x:v>SAM/Greenbook U.S. security contractor source register</x:v>
      </x:c>
      <x:c r="J413" s="397" t="str">
        <x:v>https://internationalpolicy.org/programs/sam/</x:v>
      </x:c>
      <x:c r="K413" s="20" t="str">
        <x:v>Primary source-register URL; automated screening score</x:v>
      </x:c>
      <x:c r="L413" s="20" t="str">
        <x:v>2026-05-20</x:v>
      </x:c>
      <x:c r="M413" s="20" t="str">
        <x:v>2026-05-20</x:v>
      </x:c>
      <x:c r="N413" s="20" t="str">
        <x:v>GPT-5.5 Pro</x:v>
      </x:c>
      <x:c r="O413" s="20" t="str">
        <x:v>Needs review</x:v>
      </x:c>
      <x:c r="P413" s="20" t="str">
        <x:v>Screening score for United States / Security contractors in Cyprus; verify with country-specific evidence before final use.</x:v>
      </x:c>
    </x:row>
    <x:row r="414" ht="24" customHeight="1">
      <x:c r="A414" s="20" t="str">
        <x:v>CYP|European Union|Propaganda ecosystems</x:v>
      </x:c>
      <x:c r="B414" s="20" t="str">
        <x:v>Cyprus</x:v>
      </x:c>
      <x:c r="C414" s="20" t="str">
        <x:v>CYP</x:v>
      </x:c>
      <x:c r="D414" s="20" t="str">
        <x:v>European Union</x:v>
      </x:c>
      <x:c r="E414" s="20" t="str">
        <x:v>EU influence</x:v>
      </x:c>
      <x:c r="F414" s="20" t="str">
        <x:v>Propaganda ecosystems</x:v>
      </x:c>
      <x:c r="G414" s="384" t="n">
        <x:v>9</x:v>
      </x:c>
      <x:c r="H414" s="396" t="n">
        <x:v>5</x:v>
      </x:c>
      <x:c r="I414" s="20" t="str">
        <x:v>EEAS public diplomacy source register</x:v>
      </x:c>
      <x:c r="J414" s="397" t="str">
        <x:v>https://www.eeas.europa.eu/eeas/public-diplomacy_en</x:v>
      </x:c>
      <x:c r="K414" s="20" t="str">
        <x:v>Primary source-register URL; automated screening score</x:v>
      </x:c>
      <x:c r="L414" s="20" t="str">
        <x:v>2026-05-20</x:v>
      </x:c>
      <x:c r="M414" s="20" t="str">
        <x:v>2026-05-20</x:v>
      </x:c>
      <x:c r="N414" s="20" t="str">
        <x:v>GPT-5.5 Pro</x:v>
      </x:c>
      <x:c r="O414" s="20" t="str">
        <x:v>Needs review</x:v>
      </x:c>
      <x:c r="P414" s="20" t="str">
        <x:v>Screening score for European Union / Propaganda ecosystems in Cyprus; verify with country-specific evidence before final use.</x:v>
      </x:c>
    </x:row>
    <x:row r="415" ht="24" customHeight="1">
      <x:c r="A415" s="20" t="str">
        <x:v>CYP|European Union|PMC presence</x:v>
      </x:c>
      <x:c r="B415" s="20" t="str">
        <x:v>Cyprus</x:v>
      </x:c>
      <x:c r="C415" s="20" t="str">
        <x:v>CYP</x:v>
      </x:c>
      <x:c r="D415" s="20" t="str">
        <x:v>European Union</x:v>
      </x:c>
      <x:c r="E415" s="20" t="str">
        <x:v>EU influence</x:v>
      </x:c>
      <x:c r="F415" s="20" t="str">
        <x:v>PMC presence</x:v>
      </x:c>
      <x:c r="G415" s="384" t="n">
        <x:v>0</x:v>
      </x:c>
      <x:c r="H415" s="396" t="n">
        <x:v>1</x:v>
      </x:c>
      <x:c r="I415" s="20" t="str">
        <x:v>EEAS CSDP missions source register</x:v>
      </x:c>
      <x:c r="J415" s="397" t="str">
        <x:v>https://www.eeas.europa.eu/eeas/missions-and-operations_en</x:v>
      </x:c>
      <x:c r="K415" s="20" t="str">
        <x:v>Primary source-register URL; automated screening score</x:v>
      </x:c>
      <x:c r="L415" s="20" t="str">
        <x:v>2026-05-20</x:v>
      </x:c>
      <x:c r="M415" s="20" t="str">
        <x:v>2026-05-20</x:v>
      </x:c>
      <x:c r="N415" s="20" t="str">
        <x:v>GPT-5.5 Pro</x:v>
      </x:c>
      <x:c r="O415" s="20" t="str">
        <x:v>Needs review</x:v>
      </x:c>
      <x:c r="P415" s="20" t="str">
        <x:v>Screening score for European Union / PMC presence in Cyprus; verify with country-specific evidence before final use.</x:v>
      </x:c>
    </x:row>
    <x:row r="416" ht="24" customHeight="1">
      <x:c r="A416" s="20" t="str">
        <x:v>CYP|European Union|Election interference</x:v>
      </x:c>
      <x:c r="B416" s="20" t="str">
        <x:v>Cyprus</x:v>
      </x:c>
      <x:c r="C416" s="20" t="str">
        <x:v>CYP</x:v>
      </x:c>
      <x:c r="D416" s="20" t="str">
        <x:v>European Union</x:v>
      </x:c>
      <x:c r="E416" s="20" t="str">
        <x:v>EU influence</x:v>
      </x:c>
      <x:c r="F416" s="20" t="str">
        <x:v>Election interference</x:v>
      </x:c>
      <x:c r="G416" s="384" t="n">
        <x:v>2</x:v>
      </x:c>
      <x:c r="H416" s="396" t="n">
        <x:v>2</x:v>
      </x:c>
      <x:c r="I416" s="20" t="str">
        <x:v>EEAS EU election observation source register</x:v>
      </x:c>
      <x:c r="J416" s="397" t="str">
        <x:v>https://www.eeas.europa.eu/eeas/eu-election-observation-missions-1_en?page_lang=en</x:v>
      </x:c>
      <x:c r="K416" s="20" t="str">
        <x:v>Primary source-register URL; automated screening score</x:v>
      </x:c>
      <x:c r="L416" s="20" t="str">
        <x:v>2026-05-20</x:v>
      </x:c>
      <x:c r="M416" s="20" t="str">
        <x:v>2026-05-20</x:v>
      </x:c>
      <x:c r="N416" s="20" t="str">
        <x:v>GPT-5.5 Pro</x:v>
      </x:c>
      <x:c r="O416" s="20" t="str">
        <x:v>Needs review</x:v>
      </x:c>
      <x:c r="P416" s="20" t="str">
        <x:v>Screening score for European Union / Election interference in Cyprus; verify with country-specific evidence before final use.</x:v>
      </x:c>
    </x:row>
    <x:row r="417" ht="24" customHeight="1">
      <x:c r="A417" s="20" t="str">
        <x:v>CYP|European Union|Security contractors</x:v>
      </x:c>
      <x:c r="B417" s="20" t="str">
        <x:v>Cyprus</x:v>
      </x:c>
      <x:c r="C417" s="20" t="str">
        <x:v>CYP</x:v>
      </x:c>
      <x:c r="D417" s="20" t="str">
        <x:v>European Union</x:v>
      </x:c>
      <x:c r="E417" s="20" t="str">
        <x:v>EU influence</x:v>
      </x:c>
      <x:c r="F417" s="20" t="str">
        <x:v>Security contractors</x:v>
      </x:c>
      <x:c r="G417" s="384" t="n">
        <x:v>5</x:v>
      </x:c>
      <x:c r="H417" s="396" t="n">
        <x:v>3</x:v>
      </x:c>
      <x:c r="I417" s="20" t="str">
        <x:v>EEAS CSDP / Global Gateway security source register</x:v>
      </x:c>
      <x:c r="J417" s="397" t="str">
        <x:v>https://www.eeas.europa.eu/eeas/missions-and-operations_en</x:v>
      </x:c>
      <x:c r="K417" s="20" t="str">
        <x:v>Primary source-register URL; automated screening score</x:v>
      </x:c>
      <x:c r="L417" s="20" t="str">
        <x:v>2026-05-20</x:v>
      </x:c>
      <x:c r="M417" s="20" t="str">
        <x:v>2026-05-20</x:v>
      </x:c>
      <x:c r="N417" s="20" t="str">
        <x:v>GPT-5.5 Pro</x:v>
      </x:c>
      <x:c r="O417" s="20" t="str">
        <x:v>Needs review</x:v>
      </x:c>
      <x:c r="P417" s="20" t="str">
        <x:v>Screening score for European Union / Security contractors in Cyprus; verify with country-specific evidence before final use.</x:v>
      </x:c>
    </x:row>
    <x:row r="418" ht="24" customHeight="1">
      <x:c r="A418" s="20" t="str">
        <x:v>CZE|Russia|Propaganda ecosystems</x:v>
      </x:c>
      <x:c r="B418" s="20" t="str">
        <x:v>Czechia</x:v>
      </x:c>
      <x:c r="C418" s="20" t="str">
        <x:v>CZE</x:v>
      </x:c>
      <x:c r="D418" s="20" t="str">
        <x:v>Russia</x:v>
      </x:c>
      <x:c r="E418" s="20" t="str">
        <x:v>Russian influence</x:v>
      </x:c>
      <x:c r="F418" s="20" t="str">
        <x:v>Propaganda ecosystems</x:v>
      </x:c>
      <x:c r="G418" s="384" t="n">
        <x:v>6</x:v>
      </x:c>
      <x:c r="H418" s="396" t="n">
        <x:v>4</x:v>
      </x:c>
      <x:c r="I418" s="20" t="str">
        <x:v>EEAS/EUvsDisinfo FIMI source register</x:v>
      </x:c>
      <x:c r="J418" s="397" t="str">
        <x:v>https://www.eeas.europa.eu/eeas/4th-eeas-annual-report-foreign-information-manipulation-and-interference-threats_en</x:v>
      </x:c>
      <x:c r="K418" s="20" t="str">
        <x:v>Primary source-register URL; automated screening score</x:v>
      </x:c>
      <x:c r="L418" s="20" t="str">
        <x:v>2026-05-20</x:v>
      </x:c>
      <x:c r="M418" s="20" t="str">
        <x:v>2026-05-20</x:v>
      </x:c>
      <x:c r="N418" s="20" t="str">
        <x:v>GPT-5.5 Pro</x:v>
      </x:c>
      <x:c r="O418" s="20" t="str">
        <x:v>Needs review</x:v>
      </x:c>
      <x:c r="P418" s="20" t="str">
        <x:v>Screening score for Russia / Propaganda ecosystems in Czechia; verify with country-specific evidence before final use.</x:v>
      </x:c>
    </x:row>
    <x:row r="419" ht="24" customHeight="1">
      <x:c r="A419" s="20" t="str">
        <x:v>CZE|Russia|PMC presence</x:v>
      </x:c>
      <x:c r="B419" s="20" t="str">
        <x:v>Czechia</x:v>
      </x:c>
      <x:c r="C419" s="20" t="str">
        <x:v>CZE</x:v>
      </x:c>
      <x:c r="D419" s="20" t="str">
        <x:v>Russia</x:v>
      </x:c>
      <x:c r="E419" s="20" t="str">
        <x:v>Russian influence</x:v>
      </x:c>
      <x:c r="F419" s="20" t="str">
        <x:v>PMC presence</x:v>
      </x:c>
      <x:c r="G419" s="384" t="n">
        <x:v>0</x:v>
      </x:c>
      <x:c r="H419" s="396" t="n">
        <x:v>1</x:v>
      </x:c>
      <x:c r="I419" s="20" t="str">
        <x:v>Treasury and Council of the EU Wagner/PMC source register</x:v>
      </x:c>
      <x:c r="J419" s="397" t="str">
        <x:v>https://www.consilium.europa.eu/en/press/press-releases/2023/02/25/wagner-group-council-adds-11-individuals-and-7-entities-to-eu-sanctions-lists/</x:v>
      </x:c>
      <x:c r="K419" s="20" t="str">
        <x:v>Primary source-register URL; automated screening score</x:v>
      </x:c>
      <x:c r="L419" s="20" t="str">
        <x:v>2026-05-20</x:v>
      </x:c>
      <x:c r="M419" s="20" t="str">
        <x:v>2026-05-20</x:v>
      </x:c>
      <x:c r="N419" s="20" t="str">
        <x:v>GPT-5.5 Pro</x:v>
      </x:c>
      <x:c r="O419" s="20" t="str">
        <x:v>Needs review</x:v>
      </x:c>
      <x:c r="P419" s="20" t="str">
        <x:v>Screening score for Russia / PMC presence in Czechia; verify with country-specific evidence before final use.</x:v>
      </x:c>
    </x:row>
    <x:row r="420" ht="24" customHeight="1">
      <x:c r="A420" s="20" t="str">
        <x:v>CZE|Russia|Election interference</x:v>
      </x:c>
      <x:c r="B420" s="20" t="str">
        <x:v>Czechia</x:v>
      </x:c>
      <x:c r="C420" s="20" t="str">
        <x:v>CZE</x:v>
      </x:c>
      <x:c r="D420" s="20" t="str">
        <x:v>Russia</x:v>
      </x:c>
      <x:c r="E420" s="20" t="str">
        <x:v>Russian influence</x:v>
      </x:c>
      <x:c r="F420" s="20" t="str">
        <x:v>Election interference</x:v>
      </x:c>
      <x:c r="G420" s="384" t="n">
        <x:v>5</x:v>
      </x:c>
      <x:c r="H420" s="396" t="n">
        <x:v>3</x:v>
      </x:c>
      <x:c r="I420" s="20" t="str">
        <x:v>ODNI/EEAS election-FIMI source register</x:v>
      </x:c>
      <x:c r="J420" s="397" t="str">
        <x:v>https://www.dni.gov/files/ODNI/documents/assessments/ATA-2026-Unclassified-Report.pdf</x:v>
      </x:c>
      <x:c r="K420" s="20" t="str">
        <x:v>Primary source-register URL; automated screening score</x:v>
      </x:c>
      <x:c r="L420" s="20" t="str">
        <x:v>2026-05-20</x:v>
      </x:c>
      <x:c r="M420" s="20" t="str">
        <x:v>2026-05-20</x:v>
      </x:c>
      <x:c r="N420" s="20" t="str">
        <x:v>GPT-5.5 Pro</x:v>
      </x:c>
      <x:c r="O420" s="20" t="str">
        <x:v>Needs review</x:v>
      </x:c>
      <x:c r="P420" s="20" t="str">
        <x:v>Screening score for Russia / Election interference in Czechia; verify with country-specific evidence before final use.</x:v>
      </x:c>
    </x:row>
    <x:row r="421" ht="24" customHeight="1">
      <x:c r="A421" s="20" t="str">
        <x:v>CZE|Russia|Security contractors</x:v>
      </x:c>
      <x:c r="B421" s="20" t="str">
        <x:v>Czechia</x:v>
      </x:c>
      <x:c r="C421" s="20" t="str">
        <x:v>CZE</x:v>
      </x:c>
      <x:c r="D421" s="20" t="str">
        <x:v>Russia</x:v>
      </x:c>
      <x:c r="E421" s="20" t="str">
        <x:v>Russian influence</x:v>
      </x:c>
      <x:c r="F421" s="20" t="str">
        <x:v>Security contractors</x:v>
      </x:c>
      <x:c r="G421" s="384" t="n">
        <x:v>0</x:v>
      </x:c>
      <x:c r="H421" s="396" t="n">
        <x:v>1</x:v>
      </x:c>
      <x:c r="I421" s="20" t="str">
        <x:v>Council of the EU/Treasury Wagner-security source register</x:v>
      </x:c>
      <x:c r="J421" s="397" t="str">
        <x:v>https://www.consilium.europa.eu/en/press/press-releases/2023/02/25/wagner-group-council-adds-11-individuals-and-7-entities-to-eu-sanctions-lists/</x:v>
      </x:c>
      <x:c r="K421" s="20" t="str">
        <x:v>Primary source-register URL; automated screening score</x:v>
      </x:c>
      <x:c r="L421" s="20" t="str">
        <x:v>2026-05-20</x:v>
      </x:c>
      <x:c r="M421" s="20" t="str">
        <x:v>2026-05-20</x:v>
      </x:c>
      <x:c r="N421" s="20" t="str">
        <x:v>GPT-5.5 Pro</x:v>
      </x:c>
      <x:c r="O421" s="20" t="str">
        <x:v>Needs review</x:v>
      </x:c>
      <x:c r="P421" s="20" t="str">
        <x:v>Screening score for Russia / Security contractors in Czechia; verify with country-specific evidence before final use.</x:v>
      </x:c>
    </x:row>
    <x:row r="422" ht="24" customHeight="1">
      <x:c r="A422" s="20" t="str">
        <x:v>CZE|China|Propaganda ecosystems</x:v>
      </x:c>
      <x:c r="B422" s="20" t="str">
        <x:v>Czechia</x:v>
      </x:c>
      <x:c r="C422" s="20" t="str">
        <x:v>CZE</x:v>
      </x:c>
      <x:c r="D422" s="20" t="str">
        <x:v>China</x:v>
      </x:c>
      <x:c r="E422" s="20" t="str">
        <x:v>Chinese influence</x:v>
      </x:c>
      <x:c r="F422" s="20" t="str">
        <x:v>Propaganda ecosystems</x:v>
      </x:c>
      <x:c r="G422" s="384" t="n">
        <x:v>4</x:v>
      </x:c>
      <x:c r="H422" s="396" t="n">
        <x:v>3</x:v>
      </x:c>
      <x:c r="I422" s="20" t="str">
        <x:v>EEAS/ODNI China FIMI source register</x:v>
      </x:c>
      <x:c r="J422" s="397" t="str">
        <x:v>https://www.eeas.europa.eu/eeas/4th-eeas-annual-report-foreign-information-manipulation-and-interference-threats_en</x:v>
      </x:c>
      <x:c r="K422" s="20" t="str">
        <x:v>Primary source-register URL; automated screening score</x:v>
      </x:c>
      <x:c r="L422" s="20" t="str">
        <x:v>2026-05-20</x:v>
      </x:c>
      <x:c r="M422" s="20" t="str">
        <x:v>2026-05-20</x:v>
      </x:c>
      <x:c r="N422" s="20" t="str">
        <x:v>GPT-5.5 Pro</x:v>
      </x:c>
      <x:c r="O422" s="20" t="str">
        <x:v>Needs review</x:v>
      </x:c>
      <x:c r="P422" s="20" t="str">
        <x:v>Screening score for China / Propaganda ecosystems in Czechia; verify with country-specific evidence before final use.</x:v>
      </x:c>
    </x:row>
    <x:row r="423" ht="24" customHeight="1">
      <x:c r="A423" s="20" t="str">
        <x:v>CZE|China|PMC presence</x:v>
      </x:c>
      <x:c r="B423" s="20" t="str">
        <x:v>Czechia</x:v>
      </x:c>
      <x:c r="C423" s="20" t="str">
        <x:v>CZE</x:v>
      </x:c>
      <x:c r="D423" s="20" t="str">
        <x:v>China</x:v>
      </x:c>
      <x:c r="E423" s="20" t="str">
        <x:v>Chinese influence</x:v>
      </x:c>
      <x:c r="F423" s="20" t="str">
        <x:v>PMC presence</x:v>
      </x:c>
      <x:c r="G423" s="384" t="n">
        <x:v>0</x:v>
      </x:c>
      <x:c r="H423" s="396" t="n">
        <x:v>1</x:v>
      </x:c>
      <x:c r="I423" s="20" t="str">
        <x:v>MERICS/Carnegie Chinese overseas PSC source register</x:v>
      </x:c>
      <x:c r="J423" s="397" t="str">
        <x:v>https://merics.org/en/report/guardians-belt-and-road</x:v>
      </x:c>
      <x:c r="K423" s="20" t="str">
        <x:v>Primary source-register URL; automated screening score</x:v>
      </x:c>
      <x:c r="L423" s="20" t="str">
        <x:v>2026-05-20</x:v>
      </x:c>
      <x:c r="M423" s="20" t="str">
        <x:v>2026-05-20</x:v>
      </x:c>
      <x:c r="N423" s="20" t="str">
        <x:v>GPT-5.5 Pro</x:v>
      </x:c>
      <x:c r="O423" s="20" t="str">
        <x:v>Needs review</x:v>
      </x:c>
      <x:c r="P423" s="20" t="str">
        <x:v>Screening score for China / PMC presence in Czechia; verify with country-specific evidence before final use.</x:v>
      </x:c>
    </x:row>
    <x:row r="424" ht="24" customHeight="1">
      <x:c r="A424" s="20" t="str">
        <x:v>CZE|China|Election interference</x:v>
      </x:c>
      <x:c r="B424" s="20" t="str">
        <x:v>Czechia</x:v>
      </x:c>
      <x:c r="C424" s="20" t="str">
        <x:v>CZE</x:v>
      </x:c>
      <x:c r="D424" s="20" t="str">
        <x:v>China</x:v>
      </x:c>
      <x:c r="E424" s="20" t="str">
        <x:v>Chinese influence</x:v>
      </x:c>
      <x:c r="F424" s="20" t="str">
        <x:v>Election interference</x:v>
      </x:c>
      <x:c r="G424" s="384" t="n">
        <x:v>2</x:v>
      </x:c>
      <x:c r="H424" s="396" t="n">
        <x:v>2</x:v>
      </x:c>
      <x:c r="I424" s="20" t="str">
        <x:v>EEAS/ODNI China election-FIMI source register</x:v>
      </x:c>
      <x:c r="J424" s="397" t="str">
        <x:v>https://www.eeas.europa.eu/eeas/4th-eeas-annual-report-foreign-information-manipulation-and-interference-threats_en</x:v>
      </x:c>
      <x:c r="K424" s="20" t="str">
        <x:v>Primary source-register URL; automated screening score</x:v>
      </x:c>
      <x:c r="L424" s="20" t="str">
        <x:v>2026-05-20</x:v>
      </x:c>
      <x:c r="M424" s="20" t="str">
        <x:v>2026-05-20</x:v>
      </x:c>
      <x:c r="N424" s="20" t="str">
        <x:v>GPT-5.5 Pro</x:v>
      </x:c>
      <x:c r="O424" s="20" t="str">
        <x:v>Needs review</x:v>
      </x:c>
      <x:c r="P424" s="20" t="str">
        <x:v>Screening score for China / Election interference in Czechia; verify with country-specific evidence before final use.</x:v>
      </x:c>
    </x:row>
    <x:row r="425" ht="24" customHeight="1">
      <x:c r="A425" s="20" t="str">
        <x:v>CZE|China|Security contractors</x:v>
      </x:c>
      <x:c r="B425" s="20" t="str">
        <x:v>Czechia</x:v>
      </x:c>
      <x:c r="C425" s="20" t="str">
        <x:v>CZE</x:v>
      </x:c>
      <x:c r="D425" s="20" t="str">
        <x:v>China</x:v>
      </x:c>
      <x:c r="E425" s="20" t="str">
        <x:v>Chinese influence</x:v>
      </x:c>
      <x:c r="F425" s="20" t="str">
        <x:v>Security contractors</x:v>
      </x:c>
      <x:c r="G425" s="384" t="n">
        <x:v>0</x:v>
      </x:c>
      <x:c r="H425" s="396" t="n">
        <x:v>1</x:v>
      </x:c>
      <x:c r="I425" s="20" t="str">
        <x:v>MERICS/Carnegie Chinese security contractor source register</x:v>
      </x:c>
      <x:c r="J425" s="397" t="str">
        <x:v>https://merics.org/en/report/guardians-belt-and-road</x:v>
      </x:c>
      <x:c r="K425" s="20" t="str">
        <x:v>Primary source-register URL; automated screening score</x:v>
      </x:c>
      <x:c r="L425" s="20" t="str">
        <x:v>2026-05-20</x:v>
      </x:c>
      <x:c r="M425" s="20" t="str">
        <x:v>2026-05-20</x:v>
      </x:c>
      <x:c r="N425" s="20" t="str">
        <x:v>GPT-5.5 Pro</x:v>
      </x:c>
      <x:c r="O425" s="20" t="str">
        <x:v>Needs review</x:v>
      </x:c>
      <x:c r="P425" s="20" t="str">
        <x:v>Screening score for China / Security contractors in Czechia; verify with country-specific evidence before final use.</x:v>
      </x:c>
    </x:row>
    <x:row r="426" ht="24" customHeight="1">
      <x:c r="A426" s="20" t="str">
        <x:v>CZE|United States|Propaganda ecosystems</x:v>
      </x:c>
      <x:c r="B426" s="20" t="str">
        <x:v>Czechia</x:v>
      </x:c>
      <x:c r="C426" s="20" t="str">
        <x:v>CZE</x:v>
      </x:c>
      <x:c r="D426" s="20" t="str">
        <x:v>United States</x:v>
      </x:c>
      <x:c r="E426" s="20" t="str">
        <x:v>American influence</x:v>
      </x:c>
      <x:c r="F426" s="20" t="str">
        <x:v>Propaganda ecosystems</x:v>
      </x:c>
      <x:c r="G426" s="384" t="n">
        <x:v>4</x:v>
      </x:c>
      <x:c r="H426" s="396" t="n">
        <x:v>3</x:v>
      </x:c>
      <x:c r="I426" s="20" t="str">
        <x:v>USAGM public media source register</x:v>
      </x:c>
      <x:c r="J426" s="397" t="str">
        <x:v>https://www.usagm.gov/our-work/strategy-and-results/strategic-priorities/research-reports/</x:v>
      </x:c>
      <x:c r="K426" s="20" t="str">
        <x:v>Primary source-register URL; automated screening score</x:v>
      </x:c>
      <x:c r="L426" s="20" t="str">
        <x:v>2026-05-20</x:v>
      </x:c>
      <x:c r="M426" s="20" t="str">
        <x:v>2026-05-20</x:v>
      </x:c>
      <x:c r="N426" s="20" t="str">
        <x:v>GPT-5.5 Pro</x:v>
      </x:c>
      <x:c r="O426" s="20" t="str">
        <x:v>Needs review</x:v>
      </x:c>
      <x:c r="P426" s="20" t="str">
        <x:v>Screening score for United States / Propaganda ecosystems in Czechia; verify with country-specific evidence before final use.</x:v>
      </x:c>
    </x:row>
    <x:row r="427" ht="24" customHeight="1">
      <x:c r="A427" s="20" t="str">
        <x:v>CZE|United States|PMC presence</x:v>
      </x:c>
      <x:c r="B427" s="20" t="str">
        <x:v>Czechia</x:v>
      </x:c>
      <x:c r="C427" s="20" t="str">
        <x:v>CZE</x:v>
      </x:c>
      <x:c r="D427" s="20" t="str">
        <x:v>United States</x:v>
      </x:c>
      <x:c r="E427" s="20" t="str">
        <x:v>American influence</x:v>
      </x:c>
      <x:c r="F427" s="20" t="str">
        <x:v>PMC presence</x:v>
      </x:c>
      <x:c r="G427" s="384" t="n">
        <x:v>3</x:v>
      </x:c>
      <x:c r="H427" s="396" t="n">
        <x:v>3</x:v>
      </x:c>
      <x:c r="I427" s="20" t="str">
        <x:v>SAM/Greenbook U.S. security assistance contractor source register</x:v>
      </x:c>
      <x:c r="J427" s="397" t="str">
        <x:v>https://internationalpolicy.org/programs/sam/</x:v>
      </x:c>
      <x:c r="K427" s="20" t="str">
        <x:v>Primary source-register URL; automated screening score</x:v>
      </x:c>
      <x:c r="L427" s="20" t="str">
        <x:v>2026-05-20</x:v>
      </x:c>
      <x:c r="M427" s="20" t="str">
        <x:v>2026-05-20</x:v>
      </x:c>
      <x:c r="N427" s="20" t="str">
        <x:v>GPT-5.5 Pro</x:v>
      </x:c>
      <x:c r="O427" s="20" t="str">
        <x:v>Needs review</x:v>
      </x:c>
      <x:c r="P427" s="20" t="str">
        <x:v>Screening score for United States / PMC presence in Czechia; verify with country-specific evidence before final use.</x:v>
      </x:c>
    </x:row>
    <x:row r="428" ht="24" customHeight="1">
      <x:c r="A428" s="20" t="str">
        <x:v>CZE|United States|Election interference</x:v>
      </x:c>
      <x:c r="B428" s="20" t="str">
        <x:v>Czechia</x:v>
      </x:c>
      <x:c r="C428" s="20" t="str">
        <x:v>CZE</x:v>
      </x:c>
      <x:c r="D428" s="20" t="str">
        <x:v>United States</x:v>
      </x:c>
      <x:c r="E428" s="20" t="str">
        <x:v>American influence</x:v>
      </x:c>
      <x:c r="F428" s="20" t="str">
        <x:v>Election interference</x:v>
      </x:c>
      <x:c r="G428" s="384" t="n">
        <x:v>1</x:v>
      </x:c>
      <x:c r="H428" s="396" t="n">
        <x:v>2</x:v>
      </x:c>
      <x:c r="I428" s="20" t="str">
        <x:v>NED/Greenbook democracy assistance source register</x:v>
      </x:c>
      <x:c r="J428" s="397" t="str">
        <x:v>https://www.ned.org/ned-grantmaking/</x:v>
      </x:c>
      <x:c r="K428" s="20" t="str">
        <x:v>Primary source-register URL; automated screening score</x:v>
      </x:c>
      <x:c r="L428" s="20" t="str">
        <x:v>2026-05-20</x:v>
      </x:c>
      <x:c r="M428" s="20" t="str">
        <x:v>2026-05-20</x:v>
      </x:c>
      <x:c r="N428" s="20" t="str">
        <x:v>GPT-5.5 Pro</x:v>
      </x:c>
      <x:c r="O428" s="20" t="str">
        <x:v>Needs review</x:v>
      </x:c>
      <x:c r="P428" s="20" t="str">
        <x:v>Screening score for United States / Election interference in Czechia; verify with country-specific evidence before final use.</x:v>
      </x:c>
    </x:row>
    <x:row r="429" ht="24" customHeight="1">
      <x:c r="A429" s="20" t="str">
        <x:v>CZE|United States|Security contractors</x:v>
      </x:c>
      <x:c r="B429" s="20" t="str">
        <x:v>Czechia</x:v>
      </x:c>
      <x:c r="C429" s="20" t="str">
        <x:v>CZE</x:v>
      </x:c>
      <x:c r="D429" s="20" t="str">
        <x:v>United States</x:v>
      </x:c>
      <x:c r="E429" s="20" t="str">
        <x:v>American influence</x:v>
      </x:c>
      <x:c r="F429" s="20" t="str">
        <x:v>Security contractors</x:v>
      </x:c>
      <x:c r="G429" s="384" t="n">
        <x:v>6</x:v>
      </x:c>
      <x:c r="H429" s="396" t="n">
        <x:v>4</x:v>
      </x:c>
      <x:c r="I429" s="20" t="str">
        <x:v>SAM/Greenbook U.S. security contractor source register</x:v>
      </x:c>
      <x:c r="J429" s="397" t="str">
        <x:v>https://internationalpolicy.org/programs/sam/</x:v>
      </x:c>
      <x:c r="K429" s="20" t="str">
        <x:v>Primary source-register URL; automated screening score</x:v>
      </x:c>
      <x:c r="L429" s="20" t="str">
        <x:v>2026-05-20</x:v>
      </x:c>
      <x:c r="M429" s="20" t="str">
        <x:v>2026-05-20</x:v>
      </x:c>
      <x:c r="N429" s="20" t="str">
        <x:v>GPT-5.5 Pro</x:v>
      </x:c>
      <x:c r="O429" s="20" t="str">
        <x:v>Needs review</x:v>
      </x:c>
      <x:c r="P429" s="20" t="str">
        <x:v>Screening score for United States / Security contractors in Czechia; verify with country-specific evidence before final use.</x:v>
      </x:c>
    </x:row>
    <x:row r="430" ht="24" customHeight="1">
      <x:c r="A430" s="20" t="str">
        <x:v>CZE|European Union|Propaganda ecosystems</x:v>
      </x:c>
      <x:c r="B430" s="20" t="str">
        <x:v>Czechia</x:v>
      </x:c>
      <x:c r="C430" s="20" t="str">
        <x:v>CZE</x:v>
      </x:c>
      <x:c r="D430" s="20" t="str">
        <x:v>European Union</x:v>
      </x:c>
      <x:c r="E430" s="20" t="str">
        <x:v>EU influence</x:v>
      </x:c>
      <x:c r="F430" s="20" t="str">
        <x:v>Propaganda ecosystems</x:v>
      </x:c>
      <x:c r="G430" s="384" t="n">
        <x:v>9</x:v>
      </x:c>
      <x:c r="H430" s="396" t="n">
        <x:v>5</x:v>
      </x:c>
      <x:c r="I430" s="20" t="str">
        <x:v>EEAS public diplomacy source register</x:v>
      </x:c>
      <x:c r="J430" s="397" t="str">
        <x:v>https://www.eeas.europa.eu/eeas/public-diplomacy_en</x:v>
      </x:c>
      <x:c r="K430" s="20" t="str">
        <x:v>Primary source-register URL; automated screening score</x:v>
      </x:c>
      <x:c r="L430" s="20" t="str">
        <x:v>2026-05-20</x:v>
      </x:c>
      <x:c r="M430" s="20" t="str">
        <x:v>2026-05-20</x:v>
      </x:c>
      <x:c r="N430" s="20" t="str">
        <x:v>GPT-5.5 Pro</x:v>
      </x:c>
      <x:c r="O430" s="20" t="str">
        <x:v>Needs review</x:v>
      </x:c>
      <x:c r="P430" s="20" t="str">
        <x:v>Screening score for European Union / Propaganda ecosystems in Czechia; verify with country-specific evidence before final use.</x:v>
      </x:c>
    </x:row>
    <x:row r="431" ht="24" customHeight="1">
      <x:c r="A431" s="20" t="str">
        <x:v>CZE|European Union|PMC presence</x:v>
      </x:c>
      <x:c r="B431" s="20" t="str">
        <x:v>Czechia</x:v>
      </x:c>
      <x:c r="C431" s="20" t="str">
        <x:v>CZE</x:v>
      </x:c>
      <x:c r="D431" s="20" t="str">
        <x:v>European Union</x:v>
      </x:c>
      <x:c r="E431" s="20" t="str">
        <x:v>EU influence</x:v>
      </x:c>
      <x:c r="F431" s="20" t="str">
        <x:v>PMC presence</x:v>
      </x:c>
      <x:c r="G431" s="384" t="n">
        <x:v>0</x:v>
      </x:c>
      <x:c r="H431" s="396" t="n">
        <x:v>1</x:v>
      </x:c>
      <x:c r="I431" s="20" t="str">
        <x:v>EEAS CSDP missions source register</x:v>
      </x:c>
      <x:c r="J431" s="397" t="str">
        <x:v>https://www.eeas.europa.eu/eeas/missions-and-operations_en</x:v>
      </x:c>
      <x:c r="K431" s="20" t="str">
        <x:v>Primary source-register URL; automated screening score</x:v>
      </x:c>
      <x:c r="L431" s="20" t="str">
        <x:v>2026-05-20</x:v>
      </x:c>
      <x:c r="M431" s="20" t="str">
        <x:v>2026-05-20</x:v>
      </x:c>
      <x:c r="N431" s="20" t="str">
        <x:v>GPT-5.5 Pro</x:v>
      </x:c>
      <x:c r="O431" s="20" t="str">
        <x:v>Needs review</x:v>
      </x:c>
      <x:c r="P431" s="20" t="str">
        <x:v>Screening score for European Union / PMC presence in Czechia; verify with country-specific evidence before final use.</x:v>
      </x:c>
    </x:row>
    <x:row r="432" ht="24" customHeight="1">
      <x:c r="A432" s="20" t="str">
        <x:v>CZE|European Union|Election interference</x:v>
      </x:c>
      <x:c r="B432" s="20" t="str">
        <x:v>Czechia</x:v>
      </x:c>
      <x:c r="C432" s="20" t="str">
        <x:v>CZE</x:v>
      </x:c>
      <x:c r="D432" s="20" t="str">
        <x:v>European Union</x:v>
      </x:c>
      <x:c r="E432" s="20" t="str">
        <x:v>EU influence</x:v>
      </x:c>
      <x:c r="F432" s="20" t="str">
        <x:v>Election interference</x:v>
      </x:c>
      <x:c r="G432" s="384" t="n">
        <x:v>2</x:v>
      </x:c>
      <x:c r="H432" s="396" t="n">
        <x:v>2</x:v>
      </x:c>
      <x:c r="I432" s="20" t="str">
        <x:v>EEAS EU election observation source register</x:v>
      </x:c>
      <x:c r="J432" s="397" t="str">
        <x:v>https://www.eeas.europa.eu/eeas/eu-election-observation-missions-1_en?page_lang=en</x:v>
      </x:c>
      <x:c r="K432" s="20" t="str">
        <x:v>Primary source-register URL; automated screening score</x:v>
      </x:c>
      <x:c r="L432" s="20" t="str">
        <x:v>2026-05-20</x:v>
      </x:c>
      <x:c r="M432" s="20" t="str">
        <x:v>2026-05-20</x:v>
      </x:c>
      <x:c r="N432" s="20" t="str">
        <x:v>GPT-5.5 Pro</x:v>
      </x:c>
      <x:c r="O432" s="20" t="str">
        <x:v>Needs review</x:v>
      </x:c>
      <x:c r="P432" s="20" t="str">
        <x:v>Screening score for European Union / Election interference in Czechia; verify with country-specific evidence before final use.</x:v>
      </x:c>
    </x:row>
    <x:row r="433" ht="24" customHeight="1">
      <x:c r="A433" s="20" t="str">
        <x:v>CZE|European Union|Security contractors</x:v>
      </x:c>
      <x:c r="B433" s="20" t="str">
        <x:v>Czechia</x:v>
      </x:c>
      <x:c r="C433" s="20" t="str">
        <x:v>CZE</x:v>
      </x:c>
      <x:c r="D433" s="20" t="str">
        <x:v>European Union</x:v>
      </x:c>
      <x:c r="E433" s="20" t="str">
        <x:v>EU influence</x:v>
      </x:c>
      <x:c r="F433" s="20" t="str">
        <x:v>Security contractors</x:v>
      </x:c>
      <x:c r="G433" s="384" t="n">
        <x:v>5</x:v>
      </x:c>
      <x:c r="H433" s="396" t="n">
        <x:v>3</x:v>
      </x:c>
      <x:c r="I433" s="20" t="str">
        <x:v>EEAS CSDP / Global Gateway security source register</x:v>
      </x:c>
      <x:c r="J433" s="397" t="str">
        <x:v>https://www.eeas.europa.eu/eeas/missions-and-operations_en</x:v>
      </x:c>
      <x:c r="K433" s="20" t="str">
        <x:v>Primary source-register URL; automated screening score</x:v>
      </x:c>
      <x:c r="L433" s="20" t="str">
        <x:v>2026-05-20</x:v>
      </x:c>
      <x:c r="M433" s="20" t="str">
        <x:v>2026-05-20</x:v>
      </x:c>
      <x:c r="N433" s="20" t="str">
        <x:v>GPT-5.5 Pro</x:v>
      </x:c>
      <x:c r="O433" s="20" t="str">
        <x:v>Needs review</x:v>
      </x:c>
      <x:c r="P433" s="20" t="str">
        <x:v>Screening score for European Union / Security contractors in Czechia; verify with country-specific evidence before final use.</x:v>
      </x:c>
    </x:row>
    <x:row r="434" ht="24" customHeight="1">
      <x:c r="A434" s="20" t="str">
        <x:v>COD|Russia|Propaganda ecosystems</x:v>
      </x:c>
      <x:c r="B434" s="20" t="str">
        <x:v>Democratic Republic of the Congo</x:v>
      </x:c>
      <x:c r="C434" s="20" t="str">
        <x:v>COD</x:v>
      </x:c>
      <x:c r="D434" s="20" t="str">
        <x:v>Russia</x:v>
      </x:c>
      <x:c r="E434" s="20" t="str">
        <x:v>Russian influence</x:v>
      </x:c>
      <x:c r="F434" s="20" t="str">
        <x:v>Propaganda ecosystems</x:v>
      </x:c>
      <x:c r="G434" s="384" t="n">
        <x:v>4</x:v>
      </x:c>
      <x:c r="H434" s="396" t="n">
        <x:v>3</x:v>
      </x:c>
      <x:c r="I434" s="20" t="str">
        <x:v>EEAS/EUvsDisinfo FIMI source register</x:v>
      </x:c>
      <x:c r="J434" s="397" t="str">
        <x:v>https://www.eeas.europa.eu/eeas/4th-eeas-annual-report-foreign-information-manipulation-and-interference-threats_en</x:v>
      </x:c>
      <x:c r="K434" s="20" t="str">
        <x:v>Primary source-register URL; automated screening score</x:v>
      </x:c>
      <x:c r="L434" s="20" t="str">
        <x:v>2026-05-20</x:v>
      </x:c>
      <x:c r="M434" s="20" t="str">
        <x:v>2026-05-20</x:v>
      </x:c>
      <x:c r="N434" s="20" t="str">
        <x:v>GPT-5.5 Pro</x:v>
      </x:c>
      <x:c r="O434" s="20" t="str">
        <x:v>Needs review</x:v>
      </x:c>
      <x:c r="P434" s="20" t="str">
        <x:v>Screening score for Russia / Propaganda ecosystems in Democratic Republic of the Congo; verify with country-specific evidence before final use.</x:v>
      </x:c>
    </x:row>
    <x:row r="435" ht="24" customHeight="1">
      <x:c r="A435" s="20" t="str">
        <x:v>COD|Russia|PMC presence</x:v>
      </x:c>
      <x:c r="B435" s="20" t="str">
        <x:v>Democratic Republic of the Congo</x:v>
      </x:c>
      <x:c r="C435" s="20" t="str">
        <x:v>COD</x:v>
      </x:c>
      <x:c r="D435" s="20" t="str">
        <x:v>Russia</x:v>
      </x:c>
      <x:c r="E435" s="20" t="str">
        <x:v>Russian influence</x:v>
      </x:c>
      <x:c r="F435" s="20" t="str">
        <x:v>PMC presence</x:v>
      </x:c>
      <x:c r="G435" s="384" t="n">
        <x:v>3</x:v>
      </x:c>
      <x:c r="H435" s="396" t="n">
        <x:v>3</x:v>
      </x:c>
      <x:c r="I435" s="20" t="str">
        <x:v>Treasury and Council of the EU Wagner/PMC source register</x:v>
      </x:c>
      <x:c r="J435" s="397" t="str">
        <x:v>https://www.consilium.europa.eu/en/press/press-releases/2023/02/25/wagner-group-council-adds-11-individuals-and-7-entities-to-eu-sanctions-lists/</x:v>
      </x:c>
      <x:c r="K435" s="20" t="str">
        <x:v>Primary source-register URL; automated screening score</x:v>
      </x:c>
      <x:c r="L435" s="20" t="str">
        <x:v>2026-05-20</x:v>
      </x:c>
      <x:c r="M435" s="20" t="str">
        <x:v>2026-05-20</x:v>
      </x:c>
      <x:c r="N435" s="20" t="str">
        <x:v>GPT-5.5 Pro</x:v>
      </x:c>
      <x:c r="O435" s="20" t="str">
        <x:v>Needs review</x:v>
      </x:c>
      <x:c r="P435" s="20" t="str">
        <x:v>Screening score for Russia / PMC presence in Democratic Republic of the Congo; verify with country-specific evidence before final use.</x:v>
      </x:c>
    </x:row>
    <x:row r="436" ht="24" customHeight="1">
      <x:c r="A436" s="20" t="str">
        <x:v>COD|Russia|Election interference</x:v>
      </x:c>
      <x:c r="B436" s="20" t="str">
        <x:v>Democratic Republic of the Congo</x:v>
      </x:c>
      <x:c r="C436" s="20" t="str">
        <x:v>COD</x:v>
      </x:c>
      <x:c r="D436" s="20" t="str">
        <x:v>Russia</x:v>
      </x:c>
      <x:c r="E436" s="20" t="str">
        <x:v>Russian influence</x:v>
      </x:c>
      <x:c r="F436" s="20" t="str">
        <x:v>Election interference</x:v>
      </x:c>
      <x:c r="G436" s="384" t="n">
        <x:v>1</x:v>
      </x:c>
      <x:c r="H436" s="396" t="n">
        <x:v>2</x:v>
      </x:c>
      <x:c r="I436" s="20" t="str">
        <x:v>ODNI/EEAS election-FIMI source register</x:v>
      </x:c>
      <x:c r="J436" s="397" t="str">
        <x:v>https://www.dni.gov/files/ODNI/documents/assessments/ATA-2026-Unclassified-Report.pdf</x:v>
      </x:c>
      <x:c r="K436" s="20" t="str">
        <x:v>Primary source-register URL; automated screening score</x:v>
      </x:c>
      <x:c r="L436" s="20" t="str">
        <x:v>2026-05-20</x:v>
      </x:c>
      <x:c r="M436" s="20" t="str">
        <x:v>2026-05-20</x:v>
      </x:c>
      <x:c r="N436" s="20" t="str">
        <x:v>GPT-5.5 Pro</x:v>
      </x:c>
      <x:c r="O436" s="20" t="str">
        <x:v>Needs review</x:v>
      </x:c>
      <x:c r="P436" s="20" t="str">
        <x:v>Screening score for Russia / Election interference in Democratic Republic of the Congo; verify with country-specific evidence before final use.</x:v>
      </x:c>
    </x:row>
    <x:row r="437" ht="24" customHeight="1">
      <x:c r="A437" s="20" t="str">
        <x:v>COD|Russia|Security contractors</x:v>
      </x:c>
      <x:c r="B437" s="20" t="str">
        <x:v>Democratic Republic of the Congo</x:v>
      </x:c>
      <x:c r="C437" s="20" t="str">
        <x:v>COD</x:v>
      </x:c>
      <x:c r="D437" s="20" t="str">
        <x:v>Russia</x:v>
      </x:c>
      <x:c r="E437" s="20" t="str">
        <x:v>Russian influence</x:v>
      </x:c>
      <x:c r="F437" s="20" t="str">
        <x:v>Security contractors</x:v>
      </x:c>
      <x:c r="G437" s="384" t="n">
        <x:v>3</x:v>
      </x:c>
      <x:c r="H437" s="396" t="n">
        <x:v>3</x:v>
      </x:c>
      <x:c r="I437" s="20" t="str">
        <x:v>Council of the EU/Treasury Wagner-security source register</x:v>
      </x:c>
      <x:c r="J437" s="397" t="str">
        <x:v>https://www.consilium.europa.eu/en/press/press-releases/2023/02/25/wagner-group-council-adds-11-individuals-and-7-entities-to-eu-sanctions-lists/</x:v>
      </x:c>
      <x:c r="K437" s="20" t="str">
        <x:v>Primary source-register URL; automated screening score</x:v>
      </x:c>
      <x:c r="L437" s="20" t="str">
        <x:v>2026-05-20</x:v>
      </x:c>
      <x:c r="M437" s="20" t="str">
        <x:v>2026-05-20</x:v>
      </x:c>
      <x:c r="N437" s="20" t="str">
        <x:v>GPT-5.5 Pro</x:v>
      </x:c>
      <x:c r="O437" s="20" t="str">
        <x:v>Needs review</x:v>
      </x:c>
      <x:c r="P437" s="20" t="str">
        <x:v>Screening score for Russia / Security contractors in Democratic Republic of the Congo; verify with country-specific evidence before final use.</x:v>
      </x:c>
    </x:row>
    <x:row r="438" ht="24" customHeight="1">
      <x:c r="A438" s="20" t="str">
        <x:v>COD|China|Propaganda ecosystems</x:v>
      </x:c>
      <x:c r="B438" s="20" t="str">
        <x:v>Democratic Republic of the Congo</x:v>
      </x:c>
      <x:c r="C438" s="20" t="str">
        <x:v>COD</x:v>
      </x:c>
      <x:c r="D438" s="20" t="str">
        <x:v>China</x:v>
      </x:c>
      <x:c r="E438" s="20" t="str">
        <x:v>Chinese influence</x:v>
      </x:c>
      <x:c r="F438" s="20" t="str">
        <x:v>Propaganda ecosystems</x:v>
      </x:c>
      <x:c r="G438" s="384" t="n">
        <x:v>5</x:v>
      </x:c>
      <x:c r="H438" s="396" t="n">
        <x:v>3</x:v>
      </x:c>
      <x:c r="I438" s="20" t="str">
        <x:v>EEAS/ODNI China FIMI source register</x:v>
      </x:c>
      <x:c r="J438" s="397" t="str">
        <x:v>https://www.eeas.europa.eu/eeas/4th-eeas-annual-report-foreign-information-manipulation-and-interference-threats_en</x:v>
      </x:c>
      <x:c r="K438" s="20" t="str">
        <x:v>Primary source-register URL; automated screening score</x:v>
      </x:c>
      <x:c r="L438" s="20" t="str">
        <x:v>2026-05-20</x:v>
      </x:c>
      <x:c r="M438" s="20" t="str">
        <x:v>2026-05-20</x:v>
      </x:c>
      <x:c r="N438" s="20" t="str">
        <x:v>GPT-5.5 Pro</x:v>
      </x:c>
      <x:c r="O438" s="20" t="str">
        <x:v>Needs review</x:v>
      </x:c>
      <x:c r="P438" s="20" t="str">
        <x:v>Screening score for China / Propaganda ecosystems in Democratic Republic of the Congo; verify with country-specific evidence before final use.</x:v>
      </x:c>
    </x:row>
    <x:row r="439" ht="24" customHeight="1">
      <x:c r="A439" s="20" t="str">
        <x:v>COD|China|PMC presence</x:v>
      </x:c>
      <x:c r="B439" s="20" t="str">
        <x:v>Democratic Republic of the Congo</x:v>
      </x:c>
      <x:c r="C439" s="20" t="str">
        <x:v>COD</x:v>
      </x:c>
      <x:c r="D439" s="20" t="str">
        <x:v>China</x:v>
      </x:c>
      <x:c r="E439" s="20" t="str">
        <x:v>Chinese influence</x:v>
      </x:c>
      <x:c r="F439" s="20" t="str">
        <x:v>PMC presence</x:v>
      </x:c>
      <x:c r="G439" s="384" t="n">
        <x:v>2</x:v>
      </x:c>
      <x:c r="H439" s="396" t="n">
        <x:v>2</x:v>
      </x:c>
      <x:c r="I439" s="20" t="str">
        <x:v>MERICS/Carnegie Chinese overseas PSC source register</x:v>
      </x:c>
      <x:c r="J439" s="397" t="str">
        <x:v>https://merics.org/en/report/guardians-belt-and-road</x:v>
      </x:c>
      <x:c r="K439" s="20" t="str">
        <x:v>Primary source-register URL; automated screening score</x:v>
      </x:c>
      <x:c r="L439" s="20" t="str">
        <x:v>2026-05-20</x:v>
      </x:c>
      <x:c r="M439" s="20" t="str">
        <x:v>2026-05-20</x:v>
      </x:c>
      <x:c r="N439" s="20" t="str">
        <x:v>GPT-5.5 Pro</x:v>
      </x:c>
      <x:c r="O439" s="20" t="str">
        <x:v>Needs review</x:v>
      </x:c>
      <x:c r="P439" s="20" t="str">
        <x:v>Screening score for China / PMC presence in Democratic Republic of the Congo; verify with country-specific evidence before final use.</x:v>
      </x:c>
    </x:row>
    <x:row r="440" ht="24" customHeight="1">
      <x:c r="A440" s="20" t="str">
        <x:v>COD|China|Election interference</x:v>
      </x:c>
      <x:c r="B440" s="20" t="str">
        <x:v>Democratic Republic of the Congo</x:v>
      </x:c>
      <x:c r="C440" s="20" t="str">
        <x:v>COD</x:v>
      </x:c>
      <x:c r="D440" s="20" t="str">
        <x:v>China</x:v>
      </x:c>
      <x:c r="E440" s="20" t="str">
        <x:v>Chinese influence</x:v>
      </x:c>
      <x:c r="F440" s="20" t="str">
        <x:v>Election interference</x:v>
      </x:c>
      <x:c r="G440" s="384" t="n">
        <x:v>1</x:v>
      </x:c>
      <x:c r="H440" s="396" t="n">
        <x:v>2</x:v>
      </x:c>
      <x:c r="I440" s="20" t="str">
        <x:v>EEAS/ODNI China election-FIMI source register</x:v>
      </x:c>
      <x:c r="J440" s="397" t="str">
        <x:v>https://www.eeas.europa.eu/eeas/4th-eeas-annual-report-foreign-information-manipulation-and-interference-threats_en</x:v>
      </x:c>
      <x:c r="K440" s="20" t="str">
        <x:v>Primary source-register URL; automated screening score</x:v>
      </x:c>
      <x:c r="L440" s="20" t="str">
        <x:v>2026-05-20</x:v>
      </x:c>
      <x:c r="M440" s="20" t="str">
        <x:v>2026-05-20</x:v>
      </x:c>
      <x:c r="N440" s="20" t="str">
        <x:v>GPT-5.5 Pro</x:v>
      </x:c>
      <x:c r="O440" s="20" t="str">
        <x:v>Needs review</x:v>
      </x:c>
      <x:c r="P440" s="20" t="str">
        <x:v>Screening score for China / Election interference in Democratic Republic of the Congo; verify with country-specific evidence before final use.</x:v>
      </x:c>
    </x:row>
    <x:row r="441" ht="24" customHeight="1">
      <x:c r="A441" s="20" t="str">
        <x:v>COD|China|Security contractors</x:v>
      </x:c>
      <x:c r="B441" s="20" t="str">
        <x:v>Democratic Republic of the Congo</x:v>
      </x:c>
      <x:c r="C441" s="20" t="str">
        <x:v>COD</x:v>
      </x:c>
      <x:c r="D441" s="20" t="str">
        <x:v>China</x:v>
      </x:c>
      <x:c r="E441" s="20" t="str">
        <x:v>Chinese influence</x:v>
      </x:c>
      <x:c r="F441" s="20" t="str">
        <x:v>Security contractors</x:v>
      </x:c>
      <x:c r="G441" s="384" t="n">
        <x:v>3</x:v>
      </x:c>
      <x:c r="H441" s="396" t="n">
        <x:v>3</x:v>
      </x:c>
      <x:c r="I441" s="20" t="str">
        <x:v>MERICS/Carnegie Chinese security contractor source register</x:v>
      </x:c>
      <x:c r="J441" s="397" t="str">
        <x:v>https://merics.org/en/report/guardians-belt-and-road</x:v>
      </x:c>
      <x:c r="K441" s="20" t="str">
        <x:v>Primary source-register URL; automated screening score</x:v>
      </x:c>
      <x:c r="L441" s="20" t="str">
        <x:v>2026-05-20</x:v>
      </x:c>
      <x:c r="M441" s="20" t="str">
        <x:v>2026-05-20</x:v>
      </x:c>
      <x:c r="N441" s="20" t="str">
        <x:v>GPT-5.5 Pro</x:v>
      </x:c>
      <x:c r="O441" s="20" t="str">
        <x:v>Needs review</x:v>
      </x:c>
      <x:c r="P441" s="20" t="str">
        <x:v>Screening score for China / Security contractors in Democratic Republic of the Congo; verify with country-specific evidence before final use.</x:v>
      </x:c>
    </x:row>
    <x:row r="442" ht="24" customHeight="1">
      <x:c r="A442" s="20" t="str">
        <x:v>COD|United States|Propaganda ecosystems</x:v>
      </x:c>
      <x:c r="B442" s="20" t="str">
        <x:v>Democratic Republic of the Congo</x:v>
      </x:c>
      <x:c r="C442" s="20" t="str">
        <x:v>COD</x:v>
      </x:c>
      <x:c r="D442" s="20" t="str">
        <x:v>United States</x:v>
      </x:c>
      <x:c r="E442" s="20" t="str">
        <x:v>American influence</x:v>
      </x:c>
      <x:c r="F442" s="20" t="str">
        <x:v>Propaganda ecosystems</x:v>
      </x:c>
      <x:c r="G442" s="384" t="n">
        <x:v>4</x:v>
      </x:c>
      <x:c r="H442" s="396" t="n">
        <x:v>3</x:v>
      </x:c>
      <x:c r="I442" s="20" t="str">
        <x:v>USAGM public media source register</x:v>
      </x:c>
      <x:c r="J442" s="397" t="str">
        <x:v>https://www.usagm.gov/our-work/strategy-and-results/strategic-priorities/research-reports/</x:v>
      </x:c>
      <x:c r="K442" s="20" t="str">
        <x:v>Primary source-register URL; automated screening score</x:v>
      </x:c>
      <x:c r="L442" s="20" t="str">
        <x:v>2026-05-20</x:v>
      </x:c>
      <x:c r="M442" s="20" t="str">
        <x:v>2026-05-20</x:v>
      </x:c>
      <x:c r="N442" s="20" t="str">
        <x:v>GPT-5.5 Pro</x:v>
      </x:c>
      <x:c r="O442" s="20" t="str">
        <x:v>Needs review</x:v>
      </x:c>
      <x:c r="P442" s="20" t="str">
        <x:v>Screening score for United States / Propaganda ecosystems in Democratic Republic of the Congo; verify with country-specific evidence before final use.</x:v>
      </x:c>
    </x:row>
    <x:row r="443" ht="24" customHeight="1">
      <x:c r="A443" s="20" t="str">
        <x:v>COD|United States|PMC presence</x:v>
      </x:c>
      <x:c r="B443" s="20" t="str">
        <x:v>Democratic Republic of the Congo</x:v>
      </x:c>
      <x:c r="C443" s="20" t="str">
        <x:v>COD</x:v>
      </x:c>
      <x:c r="D443" s="20" t="str">
        <x:v>United States</x:v>
      </x:c>
      <x:c r="E443" s="20" t="str">
        <x:v>American influence</x:v>
      </x:c>
      <x:c r="F443" s="20" t="str">
        <x:v>PMC presence</x:v>
      </x:c>
      <x:c r="G443" s="384" t="n">
        <x:v>2</x:v>
      </x:c>
      <x:c r="H443" s="396" t="n">
        <x:v>2</x:v>
      </x:c>
      <x:c r="I443" s="20" t="str">
        <x:v>SAM/Greenbook U.S. security assistance contractor source register</x:v>
      </x:c>
      <x:c r="J443" s="397" t="str">
        <x:v>https://internationalpolicy.org/programs/sam/</x:v>
      </x:c>
      <x:c r="K443" s="20" t="str">
        <x:v>Primary source-register URL; automated screening score</x:v>
      </x:c>
      <x:c r="L443" s="20" t="str">
        <x:v>2026-05-20</x:v>
      </x:c>
      <x:c r="M443" s="20" t="str">
        <x:v>2026-05-20</x:v>
      </x:c>
      <x:c r="N443" s="20" t="str">
        <x:v>GPT-5.5 Pro</x:v>
      </x:c>
      <x:c r="O443" s="20" t="str">
        <x:v>Needs review</x:v>
      </x:c>
      <x:c r="P443" s="20" t="str">
        <x:v>Screening score for United States / PMC presence in Democratic Republic of the Congo; verify with country-specific evidence before final use.</x:v>
      </x:c>
    </x:row>
    <x:row r="444" ht="24" customHeight="1">
      <x:c r="A444" s="20" t="str">
        <x:v>COD|United States|Election interference</x:v>
      </x:c>
      <x:c r="B444" s="20" t="str">
        <x:v>Democratic Republic of the Congo</x:v>
      </x:c>
      <x:c r="C444" s="20" t="str">
        <x:v>COD</x:v>
      </x:c>
      <x:c r="D444" s="20" t="str">
        <x:v>United States</x:v>
      </x:c>
      <x:c r="E444" s="20" t="str">
        <x:v>American influence</x:v>
      </x:c>
      <x:c r="F444" s="20" t="str">
        <x:v>Election interference</x:v>
      </x:c>
      <x:c r="G444" s="384" t="n">
        <x:v>2</x:v>
      </x:c>
      <x:c r="H444" s="396" t="n">
        <x:v>2</x:v>
      </x:c>
      <x:c r="I444" s="20" t="str">
        <x:v>NED/Greenbook democracy assistance source register</x:v>
      </x:c>
      <x:c r="J444" s="397" t="str">
        <x:v>https://www.ned.org/ned-grantmaking/</x:v>
      </x:c>
      <x:c r="K444" s="20" t="str">
        <x:v>Primary source-register URL; automated screening score</x:v>
      </x:c>
      <x:c r="L444" s="20" t="str">
        <x:v>2026-05-20</x:v>
      </x:c>
      <x:c r="M444" s="20" t="str">
        <x:v>2026-05-20</x:v>
      </x:c>
      <x:c r="N444" s="20" t="str">
        <x:v>GPT-5.5 Pro</x:v>
      </x:c>
      <x:c r="O444" s="20" t="str">
        <x:v>Needs review</x:v>
      </x:c>
      <x:c r="P444" s="20" t="str">
        <x:v>Screening score for United States / Election interference in Democratic Republic of the Congo; verify with country-specific evidence before final use.</x:v>
      </x:c>
    </x:row>
    <x:row r="445" ht="24" customHeight="1">
      <x:c r="A445" s="20" t="str">
        <x:v>COD|United States|Security contractors</x:v>
      </x:c>
      <x:c r="B445" s="20" t="str">
        <x:v>Democratic Republic of the Congo</x:v>
      </x:c>
      <x:c r="C445" s="20" t="str">
        <x:v>COD</x:v>
      </x:c>
      <x:c r="D445" s="20" t="str">
        <x:v>United States</x:v>
      </x:c>
      <x:c r="E445" s="20" t="str">
        <x:v>American influence</x:v>
      </x:c>
      <x:c r="F445" s="20" t="str">
        <x:v>Security contractors</x:v>
      </x:c>
      <x:c r="G445" s="384" t="n">
        <x:v>3</x:v>
      </x:c>
      <x:c r="H445" s="396" t="n">
        <x:v>3</x:v>
      </x:c>
      <x:c r="I445" s="20" t="str">
        <x:v>SAM/Greenbook U.S. security contractor source register</x:v>
      </x:c>
      <x:c r="J445" s="397" t="str">
        <x:v>https://internationalpolicy.org/programs/sam/</x:v>
      </x:c>
      <x:c r="K445" s="20" t="str">
        <x:v>Primary source-register URL; automated screening score</x:v>
      </x:c>
      <x:c r="L445" s="20" t="str">
        <x:v>2026-05-20</x:v>
      </x:c>
      <x:c r="M445" s="20" t="str">
        <x:v>2026-05-20</x:v>
      </x:c>
      <x:c r="N445" s="20" t="str">
        <x:v>GPT-5.5 Pro</x:v>
      </x:c>
      <x:c r="O445" s="20" t="str">
        <x:v>Needs review</x:v>
      </x:c>
      <x:c r="P445" s="20" t="str">
        <x:v>Screening score for United States / Security contractors in Democratic Republic of the Congo; verify with country-specific evidence before final use.</x:v>
      </x:c>
    </x:row>
    <x:row r="446" ht="24" customHeight="1">
      <x:c r="A446" s="20" t="str">
        <x:v>COD|European Union|Propaganda ecosystems</x:v>
      </x:c>
      <x:c r="B446" s="20" t="str">
        <x:v>Democratic Republic of the Congo</x:v>
      </x:c>
      <x:c r="C446" s="20" t="str">
        <x:v>COD</x:v>
      </x:c>
      <x:c r="D446" s="20" t="str">
        <x:v>European Union</x:v>
      </x:c>
      <x:c r="E446" s="20" t="str">
        <x:v>EU influence</x:v>
      </x:c>
      <x:c r="F446" s="20" t="str">
        <x:v>Propaganda ecosystems</x:v>
      </x:c>
      <x:c r="G446" s="384" t="n">
        <x:v>3</x:v>
      </x:c>
      <x:c r="H446" s="396" t="n">
        <x:v>3</x:v>
      </x:c>
      <x:c r="I446" s="20" t="str">
        <x:v>EEAS public diplomacy source register</x:v>
      </x:c>
      <x:c r="J446" s="397" t="str">
        <x:v>https://www.eeas.europa.eu/eeas/public-diplomacy_en</x:v>
      </x:c>
      <x:c r="K446" s="20" t="str">
        <x:v>Primary source-register URL; automated screening score</x:v>
      </x:c>
      <x:c r="L446" s="20" t="str">
        <x:v>2026-05-20</x:v>
      </x:c>
      <x:c r="M446" s="20" t="str">
        <x:v>2026-05-20</x:v>
      </x:c>
      <x:c r="N446" s="20" t="str">
        <x:v>GPT-5.5 Pro</x:v>
      </x:c>
      <x:c r="O446" s="20" t="str">
        <x:v>Needs review</x:v>
      </x:c>
      <x:c r="P446" s="20" t="str">
        <x:v>Screening score for European Union / Propaganda ecosystems in Democratic Republic of the Congo; verify with country-specific evidence before final use.</x:v>
      </x:c>
    </x:row>
    <x:row r="447" ht="24" customHeight="1">
      <x:c r="A447" s="20" t="str">
        <x:v>COD|European Union|PMC presence</x:v>
      </x:c>
      <x:c r="B447" s="20" t="str">
        <x:v>Democratic Republic of the Congo</x:v>
      </x:c>
      <x:c r="C447" s="20" t="str">
        <x:v>COD</x:v>
      </x:c>
      <x:c r="D447" s="20" t="str">
        <x:v>European Union</x:v>
      </x:c>
      <x:c r="E447" s="20" t="str">
        <x:v>EU influence</x:v>
      </x:c>
      <x:c r="F447" s="20" t="str">
        <x:v>PMC presence</x:v>
      </x:c>
      <x:c r="G447" s="384" t="n">
        <x:v>0</x:v>
      </x:c>
      <x:c r="H447" s="396" t="n">
        <x:v>1</x:v>
      </x:c>
      <x:c r="I447" s="20" t="str">
        <x:v>EEAS CSDP missions source register</x:v>
      </x:c>
      <x:c r="J447" s="397" t="str">
        <x:v>https://www.eeas.europa.eu/eeas/missions-and-operations_en</x:v>
      </x:c>
      <x:c r="K447" s="20" t="str">
        <x:v>Primary source-register URL; automated screening score</x:v>
      </x:c>
      <x:c r="L447" s="20" t="str">
        <x:v>2026-05-20</x:v>
      </x:c>
      <x:c r="M447" s="20" t="str">
        <x:v>2026-05-20</x:v>
      </x:c>
      <x:c r="N447" s="20" t="str">
        <x:v>GPT-5.5 Pro</x:v>
      </x:c>
      <x:c r="O447" s="20" t="str">
        <x:v>Needs review</x:v>
      </x:c>
      <x:c r="P447" s="20" t="str">
        <x:v>Screening score for European Union / PMC presence in Democratic Republic of the Congo; verify with country-specific evidence before final use.</x:v>
      </x:c>
    </x:row>
    <x:row r="448" ht="24" customHeight="1">
      <x:c r="A448" s="20" t="str">
        <x:v>COD|European Union|Election interference</x:v>
      </x:c>
      <x:c r="B448" s="20" t="str">
        <x:v>Democratic Republic of the Congo</x:v>
      </x:c>
      <x:c r="C448" s="20" t="str">
        <x:v>COD</x:v>
      </x:c>
      <x:c r="D448" s="20" t="str">
        <x:v>European Union</x:v>
      </x:c>
      <x:c r="E448" s="20" t="str">
        <x:v>EU influence</x:v>
      </x:c>
      <x:c r="F448" s="20" t="str">
        <x:v>Election interference</x:v>
      </x:c>
      <x:c r="G448" s="384" t="n">
        <x:v>1</x:v>
      </x:c>
      <x:c r="H448" s="396" t="n">
        <x:v>2</x:v>
      </x:c>
      <x:c r="I448" s="20" t="str">
        <x:v>EEAS EU election observation source register</x:v>
      </x:c>
      <x:c r="J448" s="397" t="str">
        <x:v>https://www.eeas.europa.eu/eeas/eu-election-observation-missions-1_en?page_lang=en</x:v>
      </x:c>
      <x:c r="K448" s="20" t="str">
        <x:v>Primary source-register URL; automated screening score</x:v>
      </x:c>
      <x:c r="L448" s="20" t="str">
        <x:v>2026-05-20</x:v>
      </x:c>
      <x:c r="M448" s="20" t="str">
        <x:v>2026-05-20</x:v>
      </x:c>
      <x:c r="N448" s="20" t="str">
        <x:v>GPT-5.5 Pro</x:v>
      </x:c>
      <x:c r="O448" s="20" t="str">
        <x:v>Needs review</x:v>
      </x:c>
      <x:c r="P448" s="20" t="str">
        <x:v>Screening score for European Union / Election interference in Democratic Republic of the Congo; verify with country-specific evidence before final use.</x:v>
      </x:c>
    </x:row>
    <x:row r="449" ht="24" customHeight="1">
      <x:c r="A449" s="20" t="str">
        <x:v>COD|European Union|Security contractors</x:v>
      </x:c>
      <x:c r="B449" s="20" t="str">
        <x:v>Democratic Republic of the Congo</x:v>
      </x:c>
      <x:c r="C449" s="20" t="str">
        <x:v>COD</x:v>
      </x:c>
      <x:c r="D449" s="20" t="str">
        <x:v>European Union</x:v>
      </x:c>
      <x:c r="E449" s="20" t="str">
        <x:v>EU influence</x:v>
      </x:c>
      <x:c r="F449" s="20" t="str">
        <x:v>Security contractors</x:v>
      </x:c>
      <x:c r="G449" s="384" t="n">
        <x:v>2</x:v>
      </x:c>
      <x:c r="H449" s="396" t="n">
        <x:v>2</x:v>
      </x:c>
      <x:c r="I449" s="20" t="str">
        <x:v>EEAS CSDP / Global Gateway security source register</x:v>
      </x:c>
      <x:c r="J449" s="397" t="str">
        <x:v>https://www.eeas.europa.eu/eeas/missions-and-operations_en</x:v>
      </x:c>
      <x:c r="K449" s="20" t="str">
        <x:v>Primary source-register URL; automated screening score</x:v>
      </x:c>
      <x:c r="L449" s="20" t="str">
        <x:v>2026-05-20</x:v>
      </x:c>
      <x:c r="M449" s="20" t="str">
        <x:v>2026-05-20</x:v>
      </x:c>
      <x:c r="N449" s="20" t="str">
        <x:v>GPT-5.5 Pro</x:v>
      </x:c>
      <x:c r="O449" s="20" t="str">
        <x:v>Needs review</x:v>
      </x:c>
      <x:c r="P449" s="20" t="str">
        <x:v>Screening score for European Union / Security contractors in Democratic Republic of the Congo; verify with country-specific evidence before final use.</x:v>
      </x:c>
    </x:row>
    <x:row r="450" ht="24" customHeight="1">
      <x:c r="A450" s="20" t="str">
        <x:v>EGY|Russia|Propaganda ecosystems</x:v>
      </x:c>
      <x:c r="B450" s="20" t="str">
        <x:v>Egypt</x:v>
      </x:c>
      <x:c r="C450" s="20" t="str">
        <x:v>EGY</x:v>
      </x:c>
      <x:c r="D450" s="20" t="str">
        <x:v>Russia</x:v>
      </x:c>
      <x:c r="E450" s="20" t="str">
        <x:v>Russian influence</x:v>
      </x:c>
      <x:c r="F450" s="20" t="str">
        <x:v>Propaganda ecosystems</x:v>
      </x:c>
      <x:c r="G450" s="384" t="n">
        <x:v>5</x:v>
      </x:c>
      <x:c r="H450" s="396" t="n">
        <x:v>3</x:v>
      </x:c>
      <x:c r="I450" s="20" t="str">
        <x:v>EEAS/EUvsDisinfo FIMI source register</x:v>
      </x:c>
      <x:c r="J450" s="397" t="str">
        <x:v>https://www.eeas.europa.eu/eeas/4th-eeas-annual-report-foreign-information-manipulation-and-interference-threats_en</x:v>
      </x:c>
      <x:c r="K450" s="20" t="str">
        <x:v>Primary source-register URL; automated screening score</x:v>
      </x:c>
      <x:c r="L450" s="20" t="str">
        <x:v>2026-05-20</x:v>
      </x:c>
      <x:c r="M450" s="20" t="str">
        <x:v>2026-05-20</x:v>
      </x:c>
      <x:c r="N450" s="20" t="str">
        <x:v>GPT-5.5 Pro</x:v>
      </x:c>
      <x:c r="O450" s="20" t="str">
        <x:v>Needs review</x:v>
      </x:c>
      <x:c r="P450" s="20" t="str">
        <x:v>Screening score for Russia / Propaganda ecosystems in Egypt; verify with country-specific evidence before final use.</x:v>
      </x:c>
    </x:row>
    <x:row r="451" ht="24" customHeight="1">
      <x:c r="A451" s="20" t="str">
        <x:v>EGY|Russia|PMC presence</x:v>
      </x:c>
      <x:c r="B451" s="20" t="str">
        <x:v>Egypt</x:v>
      </x:c>
      <x:c r="C451" s="20" t="str">
        <x:v>EGY</x:v>
      </x:c>
      <x:c r="D451" s="20" t="str">
        <x:v>Russia</x:v>
      </x:c>
      <x:c r="E451" s="20" t="str">
        <x:v>Russian influence</x:v>
      </x:c>
      <x:c r="F451" s="20" t="str">
        <x:v>PMC presence</x:v>
      </x:c>
      <x:c r="G451" s="384" t="n">
        <x:v>1</x:v>
      </x:c>
      <x:c r="H451" s="396" t="n">
        <x:v>2</x:v>
      </x:c>
      <x:c r="I451" s="20" t="str">
        <x:v>Treasury and Council of the EU Wagner/PMC source register</x:v>
      </x:c>
      <x:c r="J451" s="397" t="str">
        <x:v>https://www.consilium.europa.eu/en/press/press-releases/2023/02/25/wagner-group-council-adds-11-individuals-and-7-entities-to-eu-sanctions-lists/</x:v>
      </x:c>
      <x:c r="K451" s="20" t="str">
        <x:v>Primary source-register URL; automated screening score</x:v>
      </x:c>
      <x:c r="L451" s="20" t="str">
        <x:v>2026-05-20</x:v>
      </x:c>
      <x:c r="M451" s="20" t="str">
        <x:v>2026-05-20</x:v>
      </x:c>
      <x:c r="N451" s="20" t="str">
        <x:v>GPT-5.5 Pro</x:v>
      </x:c>
      <x:c r="O451" s="20" t="str">
        <x:v>Needs review</x:v>
      </x:c>
      <x:c r="P451" s="20" t="str">
        <x:v>Screening score for Russia / PMC presence in Egypt; verify with country-specific evidence before final use.</x:v>
      </x:c>
    </x:row>
    <x:row r="452" ht="24" customHeight="1">
      <x:c r="A452" s="20" t="str">
        <x:v>EGY|Russia|Election interference</x:v>
      </x:c>
      <x:c r="B452" s="20" t="str">
        <x:v>Egypt</x:v>
      </x:c>
      <x:c r="C452" s="20" t="str">
        <x:v>EGY</x:v>
      </x:c>
      <x:c r="D452" s="20" t="str">
        <x:v>Russia</x:v>
      </x:c>
      <x:c r="E452" s="20" t="str">
        <x:v>Russian influence</x:v>
      </x:c>
      <x:c r="F452" s="20" t="str">
        <x:v>Election interference</x:v>
      </x:c>
      <x:c r="G452" s="384" t="n">
        <x:v>1</x:v>
      </x:c>
      <x:c r="H452" s="396" t="n">
        <x:v>2</x:v>
      </x:c>
      <x:c r="I452" s="20" t="str">
        <x:v>ODNI/EEAS election-FIMI source register</x:v>
      </x:c>
      <x:c r="J452" s="397" t="str">
        <x:v>https://www.dni.gov/files/ODNI/documents/assessments/ATA-2026-Unclassified-Report.pdf</x:v>
      </x:c>
      <x:c r="K452" s="20" t="str">
        <x:v>Primary source-register URL; automated screening score</x:v>
      </x:c>
      <x:c r="L452" s="20" t="str">
        <x:v>2026-05-20</x:v>
      </x:c>
      <x:c r="M452" s="20" t="str">
        <x:v>2026-05-20</x:v>
      </x:c>
      <x:c r="N452" s="20" t="str">
        <x:v>GPT-5.5 Pro</x:v>
      </x:c>
      <x:c r="O452" s="20" t="str">
        <x:v>Needs review</x:v>
      </x:c>
      <x:c r="P452" s="20" t="str">
        <x:v>Screening score for Russia / Election interference in Egypt; verify with country-specific evidence before final use.</x:v>
      </x:c>
    </x:row>
    <x:row r="453" ht="24" customHeight="1">
      <x:c r="A453" s="20" t="str">
        <x:v>EGY|Russia|Security contractors</x:v>
      </x:c>
      <x:c r="B453" s="20" t="str">
        <x:v>Egypt</x:v>
      </x:c>
      <x:c r="C453" s="20" t="str">
        <x:v>EGY</x:v>
      </x:c>
      <x:c r="D453" s="20" t="str">
        <x:v>Russia</x:v>
      </x:c>
      <x:c r="E453" s="20" t="str">
        <x:v>Russian influence</x:v>
      </x:c>
      <x:c r="F453" s="20" t="str">
        <x:v>Security contractors</x:v>
      </x:c>
      <x:c r="G453" s="384" t="n">
        <x:v>1</x:v>
      </x:c>
      <x:c r="H453" s="396" t="n">
        <x:v>2</x:v>
      </x:c>
      <x:c r="I453" s="20" t="str">
        <x:v>Council of the EU/Treasury Wagner-security source register</x:v>
      </x:c>
      <x:c r="J453" s="397" t="str">
        <x:v>https://www.consilium.europa.eu/en/press/press-releases/2023/02/25/wagner-group-council-adds-11-individuals-and-7-entities-to-eu-sanctions-lists/</x:v>
      </x:c>
      <x:c r="K453" s="20" t="str">
        <x:v>Primary source-register URL; automated screening score</x:v>
      </x:c>
      <x:c r="L453" s="20" t="str">
        <x:v>2026-05-20</x:v>
      </x:c>
      <x:c r="M453" s="20" t="str">
        <x:v>2026-05-20</x:v>
      </x:c>
      <x:c r="N453" s="20" t="str">
        <x:v>GPT-5.5 Pro</x:v>
      </x:c>
      <x:c r="O453" s="20" t="str">
        <x:v>Needs review</x:v>
      </x:c>
      <x:c r="P453" s="20" t="str">
        <x:v>Screening score for Russia / Security contractors in Egypt; verify with country-specific evidence before final use.</x:v>
      </x:c>
    </x:row>
    <x:row r="454" ht="24" customHeight="1">
      <x:c r="A454" s="20" t="str">
        <x:v>EGY|China|Propaganda ecosystems</x:v>
      </x:c>
      <x:c r="B454" s="20" t="str">
        <x:v>Egypt</x:v>
      </x:c>
      <x:c r="C454" s="20" t="str">
        <x:v>EGY</x:v>
      </x:c>
      <x:c r="D454" s="20" t="str">
        <x:v>China</x:v>
      </x:c>
      <x:c r="E454" s="20" t="str">
        <x:v>Chinese influence</x:v>
      </x:c>
      <x:c r="F454" s="20" t="str">
        <x:v>Propaganda ecosystems</x:v>
      </x:c>
      <x:c r="G454" s="384" t="n">
        <x:v>5</x:v>
      </x:c>
      <x:c r="H454" s="396" t="n">
        <x:v>3</x:v>
      </x:c>
      <x:c r="I454" s="20" t="str">
        <x:v>EEAS/ODNI China FIMI source register</x:v>
      </x:c>
      <x:c r="J454" s="397" t="str">
        <x:v>https://www.eeas.europa.eu/eeas/4th-eeas-annual-report-foreign-information-manipulation-and-interference-threats_en</x:v>
      </x:c>
      <x:c r="K454" s="20" t="str">
        <x:v>Primary source-register URL; automated screening score</x:v>
      </x:c>
      <x:c r="L454" s="20" t="str">
        <x:v>2026-05-20</x:v>
      </x:c>
      <x:c r="M454" s="20" t="str">
        <x:v>2026-05-20</x:v>
      </x:c>
      <x:c r="N454" s="20" t="str">
        <x:v>GPT-5.5 Pro</x:v>
      </x:c>
      <x:c r="O454" s="20" t="str">
        <x:v>Needs review</x:v>
      </x:c>
      <x:c r="P454" s="20" t="str">
        <x:v>Screening score for China / Propaganda ecosystems in Egypt; verify with country-specific evidence before final use.</x:v>
      </x:c>
    </x:row>
    <x:row r="455" ht="24" customHeight="1">
      <x:c r="A455" s="20" t="str">
        <x:v>EGY|China|PMC presence</x:v>
      </x:c>
      <x:c r="B455" s="20" t="str">
        <x:v>Egypt</x:v>
      </x:c>
      <x:c r="C455" s="20" t="str">
        <x:v>EGY</x:v>
      </x:c>
      <x:c r="D455" s="20" t="str">
        <x:v>China</x:v>
      </x:c>
      <x:c r="E455" s="20" t="str">
        <x:v>Chinese influence</x:v>
      </x:c>
      <x:c r="F455" s="20" t="str">
        <x:v>PMC presence</x:v>
      </x:c>
      <x:c r="G455" s="384" t="n">
        <x:v>1</x:v>
      </x:c>
      <x:c r="H455" s="396" t="n">
        <x:v>2</x:v>
      </x:c>
      <x:c r="I455" s="20" t="str">
        <x:v>MERICS/Carnegie Chinese overseas PSC source register</x:v>
      </x:c>
      <x:c r="J455" s="397" t="str">
        <x:v>https://merics.org/en/report/guardians-belt-and-road</x:v>
      </x:c>
      <x:c r="K455" s="20" t="str">
        <x:v>Primary source-register URL; automated screening score</x:v>
      </x:c>
      <x:c r="L455" s="20" t="str">
        <x:v>2026-05-20</x:v>
      </x:c>
      <x:c r="M455" s="20" t="str">
        <x:v>2026-05-20</x:v>
      </x:c>
      <x:c r="N455" s="20" t="str">
        <x:v>GPT-5.5 Pro</x:v>
      </x:c>
      <x:c r="O455" s="20" t="str">
        <x:v>Needs review</x:v>
      </x:c>
      <x:c r="P455" s="20" t="str">
        <x:v>Screening score for China / PMC presence in Egypt; verify with country-specific evidence before final use.</x:v>
      </x:c>
    </x:row>
    <x:row r="456" ht="24" customHeight="1">
      <x:c r="A456" s="20" t="str">
        <x:v>EGY|China|Election interference</x:v>
      </x:c>
      <x:c r="B456" s="20" t="str">
        <x:v>Egypt</x:v>
      </x:c>
      <x:c r="C456" s="20" t="str">
        <x:v>EGY</x:v>
      </x:c>
      <x:c r="D456" s="20" t="str">
        <x:v>China</x:v>
      </x:c>
      <x:c r="E456" s="20" t="str">
        <x:v>Chinese influence</x:v>
      </x:c>
      <x:c r="F456" s="20" t="str">
        <x:v>Election interference</x:v>
      </x:c>
      <x:c r="G456" s="384" t="n">
        <x:v>1</x:v>
      </x:c>
      <x:c r="H456" s="396" t="n">
        <x:v>2</x:v>
      </x:c>
      <x:c r="I456" s="20" t="str">
        <x:v>EEAS/ODNI China election-FIMI source register</x:v>
      </x:c>
      <x:c r="J456" s="397" t="str">
        <x:v>https://www.eeas.europa.eu/eeas/4th-eeas-annual-report-foreign-information-manipulation-and-interference-threats_en</x:v>
      </x:c>
      <x:c r="K456" s="20" t="str">
        <x:v>Primary source-register URL; automated screening score</x:v>
      </x:c>
      <x:c r="L456" s="20" t="str">
        <x:v>2026-05-20</x:v>
      </x:c>
      <x:c r="M456" s="20" t="str">
        <x:v>2026-05-20</x:v>
      </x:c>
      <x:c r="N456" s="20" t="str">
        <x:v>GPT-5.5 Pro</x:v>
      </x:c>
      <x:c r="O456" s="20" t="str">
        <x:v>Needs review</x:v>
      </x:c>
      <x:c r="P456" s="20" t="str">
        <x:v>Screening score for China / Election interference in Egypt; verify with country-specific evidence before final use.</x:v>
      </x:c>
    </x:row>
    <x:row r="457" ht="24" customHeight="1">
      <x:c r="A457" s="20" t="str">
        <x:v>EGY|China|Security contractors</x:v>
      </x:c>
      <x:c r="B457" s="20" t="str">
        <x:v>Egypt</x:v>
      </x:c>
      <x:c r="C457" s="20" t="str">
        <x:v>EGY</x:v>
      </x:c>
      <x:c r="D457" s="20" t="str">
        <x:v>China</x:v>
      </x:c>
      <x:c r="E457" s="20" t="str">
        <x:v>Chinese influence</x:v>
      </x:c>
      <x:c r="F457" s="20" t="str">
        <x:v>Security contractors</x:v>
      </x:c>
      <x:c r="G457" s="384" t="n">
        <x:v>3</x:v>
      </x:c>
      <x:c r="H457" s="396" t="n">
        <x:v>3</x:v>
      </x:c>
      <x:c r="I457" s="20" t="str">
        <x:v>MERICS/Carnegie Chinese security contractor source register</x:v>
      </x:c>
      <x:c r="J457" s="397" t="str">
        <x:v>https://merics.org/en/report/guardians-belt-and-road</x:v>
      </x:c>
      <x:c r="K457" s="20" t="str">
        <x:v>Primary source-register URL; automated screening score</x:v>
      </x:c>
      <x:c r="L457" s="20" t="str">
        <x:v>2026-05-20</x:v>
      </x:c>
      <x:c r="M457" s="20" t="str">
        <x:v>2026-05-20</x:v>
      </x:c>
      <x:c r="N457" s="20" t="str">
        <x:v>GPT-5.5 Pro</x:v>
      </x:c>
      <x:c r="O457" s="20" t="str">
        <x:v>Needs review</x:v>
      </x:c>
      <x:c r="P457" s="20" t="str">
        <x:v>Screening score for China / Security contractors in Egypt; verify with country-specific evidence before final use.</x:v>
      </x:c>
    </x:row>
    <x:row r="458" ht="24" customHeight="1">
      <x:c r="A458" s="20" t="str">
        <x:v>EGY|United States|Propaganda ecosystems</x:v>
      </x:c>
      <x:c r="B458" s="20" t="str">
        <x:v>Egypt</x:v>
      </x:c>
      <x:c r="C458" s="20" t="str">
        <x:v>EGY</x:v>
      </x:c>
      <x:c r="D458" s="20" t="str">
        <x:v>United States</x:v>
      </x:c>
      <x:c r="E458" s="20" t="str">
        <x:v>American influence</x:v>
      </x:c>
      <x:c r="F458" s="20" t="str">
        <x:v>Propaganda ecosystems</x:v>
      </x:c>
      <x:c r="G458" s="384" t="n">
        <x:v>4</x:v>
      </x:c>
      <x:c r="H458" s="396" t="n">
        <x:v>3</x:v>
      </x:c>
      <x:c r="I458" s="20" t="str">
        <x:v>USAGM public media source register</x:v>
      </x:c>
      <x:c r="J458" s="397" t="str">
        <x:v>https://www.usagm.gov/our-work/strategy-and-results/strategic-priorities/research-reports/</x:v>
      </x:c>
      <x:c r="K458" s="20" t="str">
        <x:v>Primary source-register URL; automated screening score</x:v>
      </x:c>
      <x:c r="L458" s="20" t="str">
        <x:v>2026-05-20</x:v>
      </x:c>
      <x:c r="M458" s="20" t="str">
        <x:v>2026-05-20</x:v>
      </x:c>
      <x:c r="N458" s="20" t="str">
        <x:v>GPT-5.5 Pro</x:v>
      </x:c>
      <x:c r="O458" s="20" t="str">
        <x:v>Needs review</x:v>
      </x:c>
      <x:c r="P458" s="20" t="str">
        <x:v>Screening score for United States / Propaganda ecosystems in Egypt; verify with country-specific evidence before final use.</x:v>
      </x:c>
    </x:row>
    <x:row r="459" ht="24" customHeight="1">
      <x:c r="A459" s="20" t="str">
        <x:v>EGY|United States|PMC presence</x:v>
      </x:c>
      <x:c r="B459" s="20" t="str">
        <x:v>Egypt</x:v>
      </x:c>
      <x:c r="C459" s="20" t="str">
        <x:v>EGY</x:v>
      </x:c>
      <x:c r="D459" s="20" t="str">
        <x:v>United States</x:v>
      </x:c>
      <x:c r="E459" s="20" t="str">
        <x:v>American influence</x:v>
      </x:c>
      <x:c r="F459" s="20" t="str">
        <x:v>PMC presence</x:v>
      </x:c>
      <x:c r="G459" s="384" t="n">
        <x:v>2</x:v>
      </x:c>
      <x:c r="H459" s="396" t="n">
        <x:v>2</x:v>
      </x:c>
      <x:c r="I459" s="20" t="str">
        <x:v>SAM/Greenbook U.S. security assistance contractor source register</x:v>
      </x:c>
      <x:c r="J459" s="397" t="str">
        <x:v>https://internationalpolicy.org/programs/sam/</x:v>
      </x:c>
      <x:c r="K459" s="20" t="str">
        <x:v>Primary source-register URL; automated screening score</x:v>
      </x:c>
      <x:c r="L459" s="20" t="str">
        <x:v>2026-05-20</x:v>
      </x:c>
      <x:c r="M459" s="20" t="str">
        <x:v>2026-05-20</x:v>
      </x:c>
      <x:c r="N459" s="20" t="str">
        <x:v>GPT-5.5 Pro</x:v>
      </x:c>
      <x:c r="O459" s="20" t="str">
        <x:v>Needs review</x:v>
      </x:c>
      <x:c r="P459" s="20" t="str">
        <x:v>Screening score for United States / PMC presence in Egypt; verify with country-specific evidence before final use.</x:v>
      </x:c>
    </x:row>
    <x:row r="460" ht="24" customHeight="1">
      <x:c r="A460" s="20" t="str">
        <x:v>EGY|United States|Election interference</x:v>
      </x:c>
      <x:c r="B460" s="20" t="str">
        <x:v>Egypt</x:v>
      </x:c>
      <x:c r="C460" s="20" t="str">
        <x:v>EGY</x:v>
      </x:c>
      <x:c r="D460" s="20" t="str">
        <x:v>United States</x:v>
      </x:c>
      <x:c r="E460" s="20" t="str">
        <x:v>American influence</x:v>
      </x:c>
      <x:c r="F460" s="20" t="str">
        <x:v>Election interference</x:v>
      </x:c>
      <x:c r="G460" s="384" t="n">
        <x:v>2</x:v>
      </x:c>
      <x:c r="H460" s="396" t="n">
        <x:v>2</x:v>
      </x:c>
      <x:c r="I460" s="20" t="str">
        <x:v>NED/Greenbook democracy assistance source register</x:v>
      </x:c>
      <x:c r="J460" s="397" t="str">
        <x:v>https://www.ned.org/ned-grantmaking/</x:v>
      </x:c>
      <x:c r="K460" s="20" t="str">
        <x:v>Primary source-register URL; automated screening score</x:v>
      </x:c>
      <x:c r="L460" s="20" t="str">
        <x:v>2026-05-20</x:v>
      </x:c>
      <x:c r="M460" s="20" t="str">
        <x:v>2026-05-20</x:v>
      </x:c>
      <x:c r="N460" s="20" t="str">
        <x:v>GPT-5.5 Pro</x:v>
      </x:c>
      <x:c r="O460" s="20" t="str">
        <x:v>Needs review</x:v>
      </x:c>
      <x:c r="P460" s="20" t="str">
        <x:v>Screening score for United States / Election interference in Egypt; verify with country-specific evidence before final use.</x:v>
      </x:c>
    </x:row>
    <x:row r="461" ht="24" customHeight="1">
      <x:c r="A461" s="20" t="str">
        <x:v>EGY|United States|Security contractors</x:v>
      </x:c>
      <x:c r="B461" s="20" t="str">
        <x:v>Egypt</x:v>
      </x:c>
      <x:c r="C461" s="20" t="str">
        <x:v>EGY</x:v>
      </x:c>
      <x:c r="D461" s="20" t="str">
        <x:v>United States</x:v>
      </x:c>
      <x:c r="E461" s="20" t="str">
        <x:v>American influence</x:v>
      </x:c>
      <x:c r="F461" s="20" t="str">
        <x:v>Security contractors</x:v>
      </x:c>
      <x:c r="G461" s="384" t="n">
        <x:v>3</x:v>
      </x:c>
      <x:c r="H461" s="396" t="n">
        <x:v>3</x:v>
      </x:c>
      <x:c r="I461" s="20" t="str">
        <x:v>SAM/Greenbook U.S. security contractor source register</x:v>
      </x:c>
      <x:c r="J461" s="397" t="str">
        <x:v>https://internationalpolicy.org/programs/sam/</x:v>
      </x:c>
      <x:c r="K461" s="20" t="str">
        <x:v>Primary source-register URL; automated screening score</x:v>
      </x:c>
      <x:c r="L461" s="20" t="str">
        <x:v>2026-05-20</x:v>
      </x:c>
      <x:c r="M461" s="20" t="str">
        <x:v>2026-05-20</x:v>
      </x:c>
      <x:c r="N461" s="20" t="str">
        <x:v>GPT-5.5 Pro</x:v>
      </x:c>
      <x:c r="O461" s="20" t="str">
        <x:v>Needs review</x:v>
      </x:c>
      <x:c r="P461" s="20" t="str">
        <x:v>Screening score for United States / Security contractors in Egypt; verify with country-specific evidence before final use.</x:v>
      </x:c>
    </x:row>
    <x:row r="462" ht="24" customHeight="1">
      <x:c r="A462" s="20" t="str">
        <x:v>EGY|European Union|Propaganda ecosystems</x:v>
      </x:c>
      <x:c r="B462" s="20" t="str">
        <x:v>Egypt</x:v>
      </x:c>
      <x:c r="C462" s="20" t="str">
        <x:v>EGY</x:v>
      </x:c>
      <x:c r="D462" s="20" t="str">
        <x:v>European Union</x:v>
      </x:c>
      <x:c r="E462" s="20" t="str">
        <x:v>EU influence</x:v>
      </x:c>
      <x:c r="F462" s="20" t="str">
        <x:v>Propaganda ecosystems</x:v>
      </x:c>
      <x:c r="G462" s="384" t="n">
        <x:v>3</x:v>
      </x:c>
      <x:c r="H462" s="396" t="n">
        <x:v>3</x:v>
      </x:c>
      <x:c r="I462" s="20" t="str">
        <x:v>EEAS public diplomacy source register</x:v>
      </x:c>
      <x:c r="J462" s="397" t="str">
        <x:v>https://www.eeas.europa.eu/eeas/public-diplomacy_en</x:v>
      </x:c>
      <x:c r="K462" s="20" t="str">
        <x:v>Primary source-register URL; automated screening score</x:v>
      </x:c>
      <x:c r="L462" s="20" t="str">
        <x:v>2026-05-20</x:v>
      </x:c>
      <x:c r="M462" s="20" t="str">
        <x:v>2026-05-20</x:v>
      </x:c>
      <x:c r="N462" s="20" t="str">
        <x:v>GPT-5.5 Pro</x:v>
      </x:c>
      <x:c r="O462" s="20" t="str">
        <x:v>Needs review</x:v>
      </x:c>
      <x:c r="P462" s="20" t="str">
        <x:v>Screening score for European Union / Propaganda ecosystems in Egypt; verify with country-specific evidence before final use.</x:v>
      </x:c>
    </x:row>
    <x:row r="463" ht="24" customHeight="1">
      <x:c r="A463" s="20" t="str">
        <x:v>EGY|European Union|PMC presence</x:v>
      </x:c>
      <x:c r="B463" s="20" t="str">
        <x:v>Egypt</x:v>
      </x:c>
      <x:c r="C463" s="20" t="str">
        <x:v>EGY</x:v>
      </x:c>
      <x:c r="D463" s="20" t="str">
        <x:v>European Union</x:v>
      </x:c>
      <x:c r="E463" s="20" t="str">
        <x:v>EU influence</x:v>
      </x:c>
      <x:c r="F463" s="20" t="str">
        <x:v>PMC presence</x:v>
      </x:c>
      <x:c r="G463" s="384" t="n">
        <x:v>0</x:v>
      </x:c>
      <x:c r="H463" s="396" t="n">
        <x:v>1</x:v>
      </x:c>
      <x:c r="I463" s="20" t="str">
        <x:v>EEAS CSDP missions source register</x:v>
      </x:c>
      <x:c r="J463" s="397" t="str">
        <x:v>https://www.eeas.europa.eu/eeas/missions-and-operations_en</x:v>
      </x:c>
      <x:c r="K463" s="20" t="str">
        <x:v>Primary source-register URL; automated screening score</x:v>
      </x:c>
      <x:c r="L463" s="20" t="str">
        <x:v>2026-05-20</x:v>
      </x:c>
      <x:c r="M463" s="20" t="str">
        <x:v>2026-05-20</x:v>
      </x:c>
      <x:c r="N463" s="20" t="str">
        <x:v>GPT-5.5 Pro</x:v>
      </x:c>
      <x:c r="O463" s="20" t="str">
        <x:v>Needs review</x:v>
      </x:c>
      <x:c r="P463" s="20" t="str">
        <x:v>Screening score for European Union / PMC presence in Egypt; verify with country-specific evidence before final use.</x:v>
      </x:c>
    </x:row>
    <x:row r="464" ht="24" customHeight="1">
      <x:c r="A464" s="20" t="str">
        <x:v>EGY|European Union|Election interference</x:v>
      </x:c>
      <x:c r="B464" s="20" t="str">
        <x:v>Egypt</x:v>
      </x:c>
      <x:c r="C464" s="20" t="str">
        <x:v>EGY</x:v>
      </x:c>
      <x:c r="D464" s="20" t="str">
        <x:v>European Union</x:v>
      </x:c>
      <x:c r="E464" s="20" t="str">
        <x:v>EU influence</x:v>
      </x:c>
      <x:c r="F464" s="20" t="str">
        <x:v>Election interference</x:v>
      </x:c>
      <x:c r="G464" s="384" t="n">
        <x:v>1</x:v>
      </x:c>
      <x:c r="H464" s="396" t="n">
        <x:v>2</x:v>
      </x:c>
      <x:c r="I464" s="20" t="str">
        <x:v>EEAS EU election observation source register</x:v>
      </x:c>
      <x:c r="J464" s="397" t="str">
        <x:v>https://www.eeas.europa.eu/eeas/eu-election-observation-missions-1_en?page_lang=en</x:v>
      </x:c>
      <x:c r="K464" s="20" t="str">
        <x:v>Primary source-register URL; automated screening score</x:v>
      </x:c>
      <x:c r="L464" s="20" t="str">
        <x:v>2026-05-20</x:v>
      </x:c>
      <x:c r="M464" s="20" t="str">
        <x:v>2026-05-20</x:v>
      </x:c>
      <x:c r="N464" s="20" t="str">
        <x:v>GPT-5.5 Pro</x:v>
      </x:c>
      <x:c r="O464" s="20" t="str">
        <x:v>Needs review</x:v>
      </x:c>
      <x:c r="P464" s="20" t="str">
        <x:v>Screening score for European Union / Election interference in Egypt; verify with country-specific evidence before final use.</x:v>
      </x:c>
    </x:row>
    <x:row r="465" ht="24" customHeight="1">
      <x:c r="A465" s="20" t="str">
        <x:v>EGY|European Union|Security contractors</x:v>
      </x:c>
      <x:c r="B465" s="20" t="str">
        <x:v>Egypt</x:v>
      </x:c>
      <x:c r="C465" s="20" t="str">
        <x:v>EGY</x:v>
      </x:c>
      <x:c r="D465" s="20" t="str">
        <x:v>European Union</x:v>
      </x:c>
      <x:c r="E465" s="20" t="str">
        <x:v>EU influence</x:v>
      </x:c>
      <x:c r="F465" s="20" t="str">
        <x:v>Security contractors</x:v>
      </x:c>
      <x:c r="G465" s="384" t="n">
        <x:v>2</x:v>
      </x:c>
      <x:c r="H465" s="396" t="n">
        <x:v>2</x:v>
      </x:c>
      <x:c r="I465" s="20" t="str">
        <x:v>EEAS CSDP / Global Gateway security source register</x:v>
      </x:c>
      <x:c r="J465" s="397" t="str">
        <x:v>https://www.eeas.europa.eu/eeas/missions-and-operations_en</x:v>
      </x:c>
      <x:c r="K465" s="20" t="str">
        <x:v>Primary source-register URL; automated screening score</x:v>
      </x:c>
      <x:c r="L465" s="20" t="str">
        <x:v>2026-05-20</x:v>
      </x:c>
      <x:c r="M465" s="20" t="str">
        <x:v>2026-05-20</x:v>
      </x:c>
      <x:c r="N465" s="20" t="str">
        <x:v>GPT-5.5 Pro</x:v>
      </x:c>
      <x:c r="O465" s="20" t="str">
        <x:v>Needs review</x:v>
      </x:c>
      <x:c r="P465" s="20" t="str">
        <x:v>Screening score for European Union / Security contractors in Egypt; verify with country-specific evidence before final use.</x:v>
      </x:c>
    </x:row>
    <x:row r="466" ht="24" customHeight="1">
      <x:c r="A466" s="20" t="str">
        <x:v>SLV|Russia|Propaganda ecosystems</x:v>
      </x:c>
      <x:c r="B466" s="20" t="str">
        <x:v>El Salvador</x:v>
      </x:c>
      <x:c r="C466" s="20" t="str">
        <x:v>SLV</x:v>
      </x:c>
      <x:c r="D466" s="20" t="str">
        <x:v>Russia</x:v>
      </x:c>
      <x:c r="E466" s="20" t="str">
        <x:v>Russian influence</x:v>
      </x:c>
      <x:c r="F466" s="20" t="str">
        <x:v>Propaganda ecosystems</x:v>
      </x:c>
      <x:c r="G466" s="384" t="n">
        <x:v>3</x:v>
      </x:c>
      <x:c r="H466" s="396" t="n">
        <x:v>3</x:v>
      </x:c>
      <x:c r="I466" s="20" t="str">
        <x:v>EEAS/EUvsDisinfo FIMI source register</x:v>
      </x:c>
      <x:c r="J466" s="397" t="str">
        <x:v>https://www.eeas.europa.eu/eeas/4th-eeas-annual-report-foreign-information-manipulation-and-interference-threats_en</x:v>
      </x:c>
      <x:c r="K466" s="20" t="str">
        <x:v>Primary source-register URL; automated screening score</x:v>
      </x:c>
      <x:c r="L466" s="20" t="str">
        <x:v>2026-05-20</x:v>
      </x:c>
      <x:c r="M466" s="20" t="str">
        <x:v>2026-05-20</x:v>
      </x:c>
      <x:c r="N466" s="20" t="str">
        <x:v>GPT-5.5 Pro</x:v>
      </x:c>
      <x:c r="O466" s="20" t="str">
        <x:v>Needs review</x:v>
      </x:c>
      <x:c r="P466" s="20" t="str">
        <x:v>Screening score for Russia / Propaganda ecosystems in El Salvador; verify with country-specific evidence before final use.</x:v>
      </x:c>
    </x:row>
    <x:row r="467" ht="24" customHeight="1">
      <x:c r="A467" s="20" t="str">
        <x:v>SLV|Russia|PMC presence</x:v>
      </x:c>
      <x:c r="B467" s="20" t="str">
        <x:v>El Salvador</x:v>
      </x:c>
      <x:c r="C467" s="20" t="str">
        <x:v>SLV</x:v>
      </x:c>
      <x:c r="D467" s="20" t="str">
        <x:v>Russia</x:v>
      </x:c>
      <x:c r="E467" s="20" t="str">
        <x:v>Russian influence</x:v>
      </x:c>
      <x:c r="F467" s="20" t="str">
        <x:v>PMC presence</x:v>
      </x:c>
      <x:c r="G467" s="384" t="n">
        <x:v>0</x:v>
      </x:c>
      <x:c r="H467" s="396" t="n">
        <x:v>1</x:v>
      </x:c>
      <x:c r="I467" s="20" t="str">
        <x:v>Treasury and Council of the EU Wagner/PMC source register</x:v>
      </x:c>
      <x:c r="J467" s="397" t="str">
        <x:v>https://www.consilium.europa.eu/en/press/press-releases/2023/02/25/wagner-group-council-adds-11-individuals-and-7-entities-to-eu-sanctions-lists/</x:v>
      </x:c>
      <x:c r="K467" s="20" t="str">
        <x:v>Primary source-register URL; automated screening score</x:v>
      </x:c>
      <x:c r="L467" s="20" t="str">
        <x:v>2026-05-20</x:v>
      </x:c>
      <x:c r="M467" s="20" t="str">
        <x:v>2026-05-20</x:v>
      </x:c>
      <x:c r="N467" s="20" t="str">
        <x:v>GPT-5.5 Pro</x:v>
      </x:c>
      <x:c r="O467" s="20" t="str">
        <x:v>Needs review</x:v>
      </x:c>
      <x:c r="P467" s="20" t="str">
        <x:v>Screening score for Russia / PMC presence in El Salvador; verify with country-specific evidence before final use.</x:v>
      </x:c>
    </x:row>
    <x:row r="468" ht="24" customHeight="1">
      <x:c r="A468" s="20" t="str">
        <x:v>SLV|Russia|Election interference</x:v>
      </x:c>
      <x:c r="B468" s="20" t="str">
        <x:v>El Salvador</x:v>
      </x:c>
      <x:c r="C468" s="20" t="str">
        <x:v>SLV</x:v>
      </x:c>
      <x:c r="D468" s="20" t="str">
        <x:v>Russia</x:v>
      </x:c>
      <x:c r="E468" s="20" t="str">
        <x:v>Russian influence</x:v>
      </x:c>
      <x:c r="F468" s="20" t="str">
        <x:v>Election interference</x:v>
      </x:c>
      <x:c r="G468" s="384" t="n">
        <x:v>1</x:v>
      </x:c>
      <x:c r="H468" s="396" t="n">
        <x:v>2</x:v>
      </x:c>
      <x:c r="I468" s="20" t="str">
        <x:v>ODNI/EEAS election-FIMI source register</x:v>
      </x:c>
      <x:c r="J468" s="397" t="str">
        <x:v>https://www.dni.gov/files/ODNI/documents/assessments/ATA-2026-Unclassified-Report.pdf</x:v>
      </x:c>
      <x:c r="K468" s="20" t="str">
        <x:v>Primary source-register URL; automated screening score</x:v>
      </x:c>
      <x:c r="L468" s="20" t="str">
        <x:v>2026-05-20</x:v>
      </x:c>
      <x:c r="M468" s="20" t="str">
        <x:v>2026-05-20</x:v>
      </x:c>
      <x:c r="N468" s="20" t="str">
        <x:v>GPT-5.5 Pro</x:v>
      </x:c>
      <x:c r="O468" s="20" t="str">
        <x:v>Needs review</x:v>
      </x:c>
      <x:c r="P468" s="20" t="str">
        <x:v>Screening score for Russia / Election interference in El Salvador; verify with country-specific evidence before final use.</x:v>
      </x:c>
    </x:row>
    <x:row r="469" ht="24" customHeight="1">
      <x:c r="A469" s="20" t="str">
        <x:v>SLV|Russia|Security contractors</x:v>
      </x:c>
      <x:c r="B469" s="20" t="str">
        <x:v>El Salvador</x:v>
      </x:c>
      <x:c r="C469" s="20" t="str">
        <x:v>SLV</x:v>
      </x:c>
      <x:c r="D469" s="20" t="str">
        <x:v>Russia</x:v>
      </x:c>
      <x:c r="E469" s="20" t="str">
        <x:v>Russian influence</x:v>
      </x:c>
      <x:c r="F469" s="20" t="str">
        <x:v>Security contractors</x:v>
      </x:c>
      <x:c r="G469" s="384" t="n">
        <x:v>0</x:v>
      </x:c>
      <x:c r="H469" s="396" t="n">
        <x:v>1</x:v>
      </x:c>
      <x:c r="I469" s="20" t="str">
        <x:v>Council of the EU/Treasury Wagner-security source register</x:v>
      </x:c>
      <x:c r="J469" s="397" t="str">
        <x:v>https://www.consilium.europa.eu/en/press/press-releases/2023/02/25/wagner-group-council-adds-11-individuals-and-7-entities-to-eu-sanctions-lists/</x:v>
      </x:c>
      <x:c r="K469" s="20" t="str">
        <x:v>Primary source-register URL; automated screening score</x:v>
      </x:c>
      <x:c r="L469" s="20" t="str">
        <x:v>2026-05-20</x:v>
      </x:c>
      <x:c r="M469" s="20" t="str">
        <x:v>2026-05-20</x:v>
      </x:c>
      <x:c r="N469" s="20" t="str">
        <x:v>GPT-5.5 Pro</x:v>
      </x:c>
      <x:c r="O469" s="20" t="str">
        <x:v>Needs review</x:v>
      </x:c>
      <x:c r="P469" s="20" t="str">
        <x:v>Screening score for Russia / Security contractors in El Salvador; verify with country-specific evidence before final use.</x:v>
      </x:c>
    </x:row>
    <x:row r="470" ht="24" customHeight="1">
      <x:c r="A470" s="20" t="str">
        <x:v>SLV|China|Propaganda ecosystems</x:v>
      </x:c>
      <x:c r="B470" s="20" t="str">
        <x:v>El Salvador</x:v>
      </x:c>
      <x:c r="C470" s="20" t="str">
        <x:v>SLV</x:v>
      </x:c>
      <x:c r="D470" s="20" t="str">
        <x:v>China</x:v>
      </x:c>
      <x:c r="E470" s="20" t="str">
        <x:v>Chinese influence</x:v>
      </x:c>
      <x:c r="F470" s="20" t="str">
        <x:v>Propaganda ecosystems</x:v>
      </x:c>
      <x:c r="G470" s="384" t="n">
        <x:v>3</x:v>
      </x:c>
      <x:c r="H470" s="396" t="n">
        <x:v>3</x:v>
      </x:c>
      <x:c r="I470" s="20" t="str">
        <x:v>EEAS/ODNI China FIMI source register</x:v>
      </x:c>
      <x:c r="J470" s="397" t="str">
        <x:v>https://www.eeas.europa.eu/eeas/4th-eeas-annual-report-foreign-information-manipulation-and-interference-threats_en</x:v>
      </x:c>
      <x:c r="K470" s="20" t="str">
        <x:v>Primary source-register URL; automated screening score</x:v>
      </x:c>
      <x:c r="L470" s="20" t="str">
        <x:v>2026-05-20</x:v>
      </x:c>
      <x:c r="M470" s="20" t="str">
        <x:v>2026-05-20</x:v>
      </x:c>
      <x:c r="N470" s="20" t="str">
        <x:v>GPT-5.5 Pro</x:v>
      </x:c>
      <x:c r="O470" s="20" t="str">
        <x:v>Needs review</x:v>
      </x:c>
      <x:c r="P470" s="20" t="str">
        <x:v>Screening score for China / Propaganda ecosystems in El Salvador; verify with country-specific evidence before final use.</x:v>
      </x:c>
    </x:row>
    <x:row r="471" ht="24" customHeight="1">
      <x:c r="A471" s="20" t="str">
        <x:v>SLV|China|PMC presence</x:v>
      </x:c>
      <x:c r="B471" s="20" t="str">
        <x:v>El Salvador</x:v>
      </x:c>
      <x:c r="C471" s="20" t="str">
        <x:v>SLV</x:v>
      </x:c>
      <x:c r="D471" s="20" t="str">
        <x:v>China</x:v>
      </x:c>
      <x:c r="E471" s="20" t="str">
        <x:v>Chinese influence</x:v>
      </x:c>
      <x:c r="F471" s="20" t="str">
        <x:v>PMC presence</x:v>
      </x:c>
      <x:c r="G471" s="384" t="n">
        <x:v>0</x:v>
      </x:c>
      <x:c r="H471" s="396" t="n">
        <x:v>1</x:v>
      </x:c>
      <x:c r="I471" s="20" t="str">
        <x:v>MERICS/Carnegie Chinese overseas PSC source register</x:v>
      </x:c>
      <x:c r="J471" s="397" t="str">
        <x:v>https://merics.org/en/report/guardians-belt-and-road</x:v>
      </x:c>
      <x:c r="K471" s="20" t="str">
        <x:v>Primary source-register URL; automated screening score</x:v>
      </x:c>
      <x:c r="L471" s="20" t="str">
        <x:v>2026-05-20</x:v>
      </x:c>
      <x:c r="M471" s="20" t="str">
        <x:v>2026-05-20</x:v>
      </x:c>
      <x:c r="N471" s="20" t="str">
        <x:v>GPT-5.5 Pro</x:v>
      </x:c>
      <x:c r="O471" s="20" t="str">
        <x:v>Needs review</x:v>
      </x:c>
      <x:c r="P471" s="20" t="str">
        <x:v>Screening score for China / PMC presence in El Salvador; verify with country-specific evidence before final use.</x:v>
      </x:c>
    </x:row>
    <x:row r="472" ht="24" customHeight="1">
      <x:c r="A472" s="20" t="str">
        <x:v>SLV|China|Election interference</x:v>
      </x:c>
      <x:c r="B472" s="20" t="str">
        <x:v>El Salvador</x:v>
      </x:c>
      <x:c r="C472" s="20" t="str">
        <x:v>SLV</x:v>
      </x:c>
      <x:c r="D472" s="20" t="str">
        <x:v>China</x:v>
      </x:c>
      <x:c r="E472" s="20" t="str">
        <x:v>Chinese influence</x:v>
      </x:c>
      <x:c r="F472" s="20" t="str">
        <x:v>Election interference</x:v>
      </x:c>
      <x:c r="G472" s="384" t="n">
        <x:v>2</x:v>
      </x:c>
      <x:c r="H472" s="396" t="n">
        <x:v>2</x:v>
      </x:c>
      <x:c r="I472" s="20" t="str">
        <x:v>EEAS/ODNI China election-FIMI source register</x:v>
      </x:c>
      <x:c r="J472" s="397" t="str">
        <x:v>https://www.eeas.europa.eu/eeas/4th-eeas-annual-report-foreign-information-manipulation-and-interference-threats_en</x:v>
      </x:c>
      <x:c r="K472" s="20" t="str">
        <x:v>Primary source-register URL; automated screening score</x:v>
      </x:c>
      <x:c r="L472" s="20" t="str">
        <x:v>2026-05-20</x:v>
      </x:c>
      <x:c r="M472" s="20" t="str">
        <x:v>2026-05-20</x:v>
      </x:c>
      <x:c r="N472" s="20" t="str">
        <x:v>GPT-5.5 Pro</x:v>
      </x:c>
      <x:c r="O472" s="20" t="str">
        <x:v>Needs review</x:v>
      </x:c>
      <x:c r="P472" s="20" t="str">
        <x:v>Screening score for China / Election interference in El Salvador; verify with country-specific evidence before final use.</x:v>
      </x:c>
    </x:row>
    <x:row r="473" ht="24" customHeight="1">
      <x:c r="A473" s="20" t="str">
        <x:v>SLV|China|Security contractors</x:v>
      </x:c>
      <x:c r="B473" s="20" t="str">
        <x:v>El Salvador</x:v>
      </x:c>
      <x:c r="C473" s="20" t="str">
        <x:v>SLV</x:v>
      </x:c>
      <x:c r="D473" s="20" t="str">
        <x:v>China</x:v>
      </x:c>
      <x:c r="E473" s="20" t="str">
        <x:v>Chinese influence</x:v>
      </x:c>
      <x:c r="F473" s="20" t="str">
        <x:v>Security contractors</x:v>
      </x:c>
      <x:c r="G473" s="384" t="n">
        <x:v>0</x:v>
      </x:c>
      <x:c r="H473" s="396" t="n">
        <x:v>1</x:v>
      </x:c>
      <x:c r="I473" s="20" t="str">
        <x:v>MERICS/Carnegie Chinese security contractor source register</x:v>
      </x:c>
      <x:c r="J473" s="397" t="str">
        <x:v>https://merics.org/en/report/guardians-belt-and-road</x:v>
      </x:c>
      <x:c r="K473" s="20" t="str">
        <x:v>Primary source-register URL; automated screening score</x:v>
      </x:c>
      <x:c r="L473" s="20" t="str">
        <x:v>2026-05-20</x:v>
      </x:c>
      <x:c r="M473" s="20" t="str">
        <x:v>2026-05-20</x:v>
      </x:c>
      <x:c r="N473" s="20" t="str">
        <x:v>GPT-5.5 Pro</x:v>
      </x:c>
      <x:c r="O473" s="20" t="str">
        <x:v>Needs review</x:v>
      </x:c>
      <x:c r="P473" s="20" t="str">
        <x:v>Screening score for China / Security contractors in El Salvador; verify with country-specific evidence before final use.</x:v>
      </x:c>
    </x:row>
    <x:row r="474" ht="24" customHeight="1">
      <x:c r="A474" s="20" t="str">
        <x:v>SLV|United States|Propaganda ecosystems</x:v>
      </x:c>
      <x:c r="B474" s="20" t="str">
        <x:v>El Salvador</x:v>
      </x:c>
      <x:c r="C474" s="20" t="str">
        <x:v>SLV</x:v>
      </x:c>
      <x:c r="D474" s="20" t="str">
        <x:v>United States</x:v>
      </x:c>
      <x:c r="E474" s="20" t="str">
        <x:v>American influence</x:v>
      </x:c>
      <x:c r="F474" s="20" t="str">
        <x:v>Propaganda ecosystems</x:v>
      </x:c>
      <x:c r="G474" s="384" t="n">
        <x:v>3</x:v>
      </x:c>
      <x:c r="H474" s="396" t="n">
        <x:v>3</x:v>
      </x:c>
      <x:c r="I474" s="20" t="str">
        <x:v>USAGM public media source register</x:v>
      </x:c>
      <x:c r="J474" s="397" t="str">
        <x:v>https://www.usagm.gov/our-work/strategy-and-results/strategic-priorities/research-reports/</x:v>
      </x:c>
      <x:c r="K474" s="20" t="str">
        <x:v>Primary source-register URL; automated screening score</x:v>
      </x:c>
      <x:c r="L474" s="20" t="str">
        <x:v>2026-05-20</x:v>
      </x:c>
      <x:c r="M474" s="20" t="str">
        <x:v>2026-05-20</x:v>
      </x:c>
      <x:c r="N474" s="20" t="str">
        <x:v>GPT-5.5 Pro</x:v>
      </x:c>
      <x:c r="O474" s="20" t="str">
        <x:v>Needs review</x:v>
      </x:c>
      <x:c r="P474" s="20" t="str">
        <x:v>Screening score for United States / Propaganda ecosystems in El Salvador; verify with country-specific evidence before final use.</x:v>
      </x:c>
    </x:row>
    <x:row r="475" ht="24" customHeight="1">
      <x:c r="A475" s="20" t="str">
        <x:v>SLV|United States|PMC presence</x:v>
      </x:c>
      <x:c r="B475" s="20" t="str">
        <x:v>El Salvador</x:v>
      </x:c>
      <x:c r="C475" s="20" t="str">
        <x:v>SLV</x:v>
      </x:c>
      <x:c r="D475" s="20" t="str">
        <x:v>United States</x:v>
      </x:c>
      <x:c r="E475" s="20" t="str">
        <x:v>American influence</x:v>
      </x:c>
      <x:c r="F475" s="20" t="str">
        <x:v>PMC presence</x:v>
      </x:c>
      <x:c r="G475" s="384" t="n">
        <x:v>2</x:v>
      </x:c>
      <x:c r="H475" s="396" t="n">
        <x:v>2</x:v>
      </x:c>
      <x:c r="I475" s="20" t="str">
        <x:v>SAM/Greenbook U.S. security assistance contractor source register</x:v>
      </x:c>
      <x:c r="J475" s="397" t="str">
        <x:v>https://internationalpolicy.org/programs/sam/</x:v>
      </x:c>
      <x:c r="K475" s="20" t="str">
        <x:v>Primary source-register URL; automated screening score</x:v>
      </x:c>
      <x:c r="L475" s="20" t="str">
        <x:v>2026-05-20</x:v>
      </x:c>
      <x:c r="M475" s="20" t="str">
        <x:v>2026-05-20</x:v>
      </x:c>
      <x:c r="N475" s="20" t="str">
        <x:v>GPT-5.5 Pro</x:v>
      </x:c>
      <x:c r="O475" s="20" t="str">
        <x:v>Needs review</x:v>
      </x:c>
      <x:c r="P475" s="20" t="str">
        <x:v>Screening score for United States / PMC presence in El Salvador; verify with country-specific evidence before final use.</x:v>
      </x:c>
    </x:row>
    <x:row r="476" ht="24" customHeight="1">
      <x:c r="A476" s="20" t="str">
        <x:v>SLV|United States|Election interference</x:v>
      </x:c>
      <x:c r="B476" s="20" t="str">
        <x:v>El Salvador</x:v>
      </x:c>
      <x:c r="C476" s="20" t="str">
        <x:v>SLV</x:v>
      </x:c>
      <x:c r="D476" s="20" t="str">
        <x:v>United States</x:v>
      </x:c>
      <x:c r="E476" s="20" t="str">
        <x:v>American influence</x:v>
      </x:c>
      <x:c r="F476" s="20" t="str">
        <x:v>Election interference</x:v>
      </x:c>
      <x:c r="G476" s="384" t="n">
        <x:v>2</x:v>
      </x:c>
      <x:c r="H476" s="396" t="n">
        <x:v>2</x:v>
      </x:c>
      <x:c r="I476" s="20" t="str">
        <x:v>NED/Greenbook democracy assistance source register</x:v>
      </x:c>
      <x:c r="J476" s="397" t="str">
        <x:v>https://www.ned.org/ned-grantmaking/</x:v>
      </x:c>
      <x:c r="K476" s="20" t="str">
        <x:v>Primary source-register URL; automated screening score</x:v>
      </x:c>
      <x:c r="L476" s="20" t="str">
        <x:v>2026-05-20</x:v>
      </x:c>
      <x:c r="M476" s="20" t="str">
        <x:v>2026-05-20</x:v>
      </x:c>
      <x:c r="N476" s="20" t="str">
        <x:v>GPT-5.5 Pro</x:v>
      </x:c>
      <x:c r="O476" s="20" t="str">
        <x:v>Needs review</x:v>
      </x:c>
      <x:c r="P476" s="20" t="str">
        <x:v>Screening score for United States / Election interference in El Salvador; verify with country-specific evidence before final use.</x:v>
      </x:c>
    </x:row>
    <x:row r="477" ht="24" customHeight="1">
      <x:c r="A477" s="20" t="str">
        <x:v>SLV|United States|Security contractors</x:v>
      </x:c>
      <x:c r="B477" s="20" t="str">
        <x:v>El Salvador</x:v>
      </x:c>
      <x:c r="C477" s="20" t="str">
        <x:v>SLV</x:v>
      </x:c>
      <x:c r="D477" s="20" t="str">
        <x:v>United States</x:v>
      </x:c>
      <x:c r="E477" s="20" t="str">
        <x:v>American influence</x:v>
      </x:c>
      <x:c r="F477" s="20" t="str">
        <x:v>Security contractors</x:v>
      </x:c>
      <x:c r="G477" s="384" t="n">
        <x:v>4</x:v>
      </x:c>
      <x:c r="H477" s="396" t="n">
        <x:v>3</x:v>
      </x:c>
      <x:c r="I477" s="20" t="str">
        <x:v>SAM/Greenbook U.S. security contractor source register</x:v>
      </x:c>
      <x:c r="J477" s="397" t="str">
        <x:v>https://internationalpolicy.org/programs/sam/</x:v>
      </x:c>
      <x:c r="K477" s="20" t="str">
        <x:v>Primary source-register URL; automated screening score</x:v>
      </x:c>
      <x:c r="L477" s="20" t="str">
        <x:v>2026-05-20</x:v>
      </x:c>
      <x:c r="M477" s="20" t="str">
        <x:v>2026-05-20</x:v>
      </x:c>
      <x:c r="N477" s="20" t="str">
        <x:v>GPT-5.5 Pro</x:v>
      </x:c>
      <x:c r="O477" s="20" t="str">
        <x:v>Needs review</x:v>
      </x:c>
      <x:c r="P477" s="20" t="str">
        <x:v>Screening score for United States / Security contractors in El Salvador; verify with country-specific evidence before final use.</x:v>
      </x:c>
    </x:row>
    <x:row r="478" ht="24" customHeight="1">
      <x:c r="A478" s="20" t="str">
        <x:v>SLV|European Union|Propaganda ecosystems</x:v>
      </x:c>
      <x:c r="B478" s="20" t="str">
        <x:v>El Salvador</x:v>
      </x:c>
      <x:c r="C478" s="20" t="str">
        <x:v>SLV</x:v>
      </x:c>
      <x:c r="D478" s="20" t="str">
        <x:v>European Union</x:v>
      </x:c>
      <x:c r="E478" s="20" t="str">
        <x:v>EU influence</x:v>
      </x:c>
      <x:c r="F478" s="20" t="str">
        <x:v>Propaganda ecosystems</x:v>
      </x:c>
      <x:c r="G478" s="384" t="n">
        <x:v>3</x:v>
      </x:c>
      <x:c r="H478" s="396" t="n">
        <x:v>3</x:v>
      </x:c>
      <x:c r="I478" s="20" t="str">
        <x:v>EEAS public diplomacy source register</x:v>
      </x:c>
      <x:c r="J478" s="397" t="str">
        <x:v>https://www.eeas.europa.eu/eeas/public-diplomacy_en</x:v>
      </x:c>
      <x:c r="K478" s="20" t="str">
        <x:v>Primary source-register URL; automated screening score</x:v>
      </x:c>
      <x:c r="L478" s="20" t="str">
        <x:v>2026-05-20</x:v>
      </x:c>
      <x:c r="M478" s="20" t="str">
        <x:v>2026-05-20</x:v>
      </x:c>
      <x:c r="N478" s="20" t="str">
        <x:v>GPT-5.5 Pro</x:v>
      </x:c>
      <x:c r="O478" s="20" t="str">
        <x:v>Needs review</x:v>
      </x:c>
      <x:c r="P478" s="20" t="str">
        <x:v>Screening score for European Union / Propaganda ecosystems in El Salvador; verify with country-specific evidence before final use.</x:v>
      </x:c>
    </x:row>
    <x:row r="479" ht="24" customHeight="1">
      <x:c r="A479" s="20" t="str">
        <x:v>SLV|European Union|PMC presence</x:v>
      </x:c>
      <x:c r="B479" s="20" t="str">
        <x:v>El Salvador</x:v>
      </x:c>
      <x:c r="C479" s="20" t="str">
        <x:v>SLV</x:v>
      </x:c>
      <x:c r="D479" s="20" t="str">
        <x:v>European Union</x:v>
      </x:c>
      <x:c r="E479" s="20" t="str">
        <x:v>EU influence</x:v>
      </x:c>
      <x:c r="F479" s="20" t="str">
        <x:v>PMC presence</x:v>
      </x:c>
      <x:c r="G479" s="384" t="n">
        <x:v>0</x:v>
      </x:c>
      <x:c r="H479" s="396" t="n">
        <x:v>1</x:v>
      </x:c>
      <x:c r="I479" s="20" t="str">
        <x:v>EEAS CSDP missions source register</x:v>
      </x:c>
      <x:c r="J479" s="397" t="str">
        <x:v>https://www.eeas.europa.eu/eeas/missions-and-operations_en</x:v>
      </x:c>
      <x:c r="K479" s="20" t="str">
        <x:v>Primary source-register URL; automated screening score</x:v>
      </x:c>
      <x:c r="L479" s="20" t="str">
        <x:v>2026-05-20</x:v>
      </x:c>
      <x:c r="M479" s="20" t="str">
        <x:v>2026-05-20</x:v>
      </x:c>
      <x:c r="N479" s="20" t="str">
        <x:v>GPT-5.5 Pro</x:v>
      </x:c>
      <x:c r="O479" s="20" t="str">
        <x:v>Needs review</x:v>
      </x:c>
      <x:c r="P479" s="20" t="str">
        <x:v>Screening score for European Union / PMC presence in El Salvador; verify with country-specific evidence before final use.</x:v>
      </x:c>
    </x:row>
    <x:row r="480" ht="24" customHeight="1">
      <x:c r="A480" s="20" t="str">
        <x:v>SLV|European Union|Election interference</x:v>
      </x:c>
      <x:c r="B480" s="20" t="str">
        <x:v>El Salvador</x:v>
      </x:c>
      <x:c r="C480" s="20" t="str">
        <x:v>SLV</x:v>
      </x:c>
      <x:c r="D480" s="20" t="str">
        <x:v>European Union</x:v>
      </x:c>
      <x:c r="E480" s="20" t="str">
        <x:v>EU influence</x:v>
      </x:c>
      <x:c r="F480" s="20" t="str">
        <x:v>Election interference</x:v>
      </x:c>
      <x:c r="G480" s="384" t="n">
        <x:v>2</x:v>
      </x:c>
      <x:c r="H480" s="396" t="n">
        <x:v>2</x:v>
      </x:c>
      <x:c r="I480" s="20" t="str">
        <x:v>EEAS EU election observation source register</x:v>
      </x:c>
      <x:c r="J480" s="397" t="str">
        <x:v>https://www.eeas.europa.eu/eeas/eu-election-observation-missions-1_en?page_lang=en</x:v>
      </x:c>
      <x:c r="K480" s="20" t="str">
        <x:v>Primary source-register URL; automated screening score</x:v>
      </x:c>
      <x:c r="L480" s="20" t="str">
        <x:v>2026-05-20</x:v>
      </x:c>
      <x:c r="M480" s="20" t="str">
        <x:v>2026-05-20</x:v>
      </x:c>
      <x:c r="N480" s="20" t="str">
        <x:v>GPT-5.5 Pro</x:v>
      </x:c>
      <x:c r="O480" s="20" t="str">
        <x:v>Needs review</x:v>
      </x:c>
      <x:c r="P480" s="20" t="str">
        <x:v>Screening score for European Union / Election interference in El Salvador; verify with country-specific evidence before final use.</x:v>
      </x:c>
    </x:row>
    <x:row r="481" ht="24" customHeight="1">
      <x:c r="A481" s="20" t="str">
        <x:v>SLV|European Union|Security contractors</x:v>
      </x:c>
      <x:c r="B481" s="20" t="str">
        <x:v>El Salvador</x:v>
      </x:c>
      <x:c r="C481" s="20" t="str">
        <x:v>SLV</x:v>
      </x:c>
      <x:c r="D481" s="20" t="str">
        <x:v>European Union</x:v>
      </x:c>
      <x:c r="E481" s="20" t="str">
        <x:v>EU influence</x:v>
      </x:c>
      <x:c r="F481" s="20" t="str">
        <x:v>Security contractors</x:v>
      </x:c>
      <x:c r="G481" s="384" t="n">
        <x:v>2</x:v>
      </x:c>
      <x:c r="H481" s="396" t="n">
        <x:v>2</x:v>
      </x:c>
      <x:c r="I481" s="20" t="str">
        <x:v>EEAS CSDP / Global Gateway security source register</x:v>
      </x:c>
      <x:c r="J481" s="397" t="str">
        <x:v>https://www.eeas.europa.eu/eeas/missions-and-operations_en</x:v>
      </x:c>
      <x:c r="K481" s="20" t="str">
        <x:v>Primary source-register URL; automated screening score</x:v>
      </x:c>
      <x:c r="L481" s="20" t="str">
        <x:v>2026-05-20</x:v>
      </x:c>
      <x:c r="M481" s="20" t="str">
        <x:v>2026-05-20</x:v>
      </x:c>
      <x:c r="N481" s="20" t="str">
        <x:v>GPT-5.5 Pro</x:v>
      </x:c>
      <x:c r="O481" s="20" t="str">
        <x:v>Needs review</x:v>
      </x:c>
      <x:c r="P481" s="20" t="str">
        <x:v>Screening score for European Union / Security contractors in El Salvador; verify with country-specific evidence before final use.</x:v>
      </x:c>
    </x:row>
    <x:row r="482" ht="24" customHeight="1">
      <x:c r="A482" s="20" t="str">
        <x:v>ERI|Russia|Propaganda ecosystems</x:v>
      </x:c>
      <x:c r="B482" s="20" t="str">
        <x:v>Eritrea</x:v>
      </x:c>
      <x:c r="C482" s="20" t="str">
        <x:v>ERI</x:v>
      </x:c>
      <x:c r="D482" s="20" t="str">
        <x:v>Russia</x:v>
      </x:c>
      <x:c r="E482" s="20" t="str">
        <x:v>Russian influence</x:v>
      </x:c>
      <x:c r="F482" s="20" t="str">
        <x:v>Propaganda ecosystems</x:v>
      </x:c>
      <x:c r="G482" s="384" t="n">
        <x:v>4</x:v>
      </x:c>
      <x:c r="H482" s="396" t="n">
        <x:v>3</x:v>
      </x:c>
      <x:c r="I482" s="20" t="str">
        <x:v>EEAS/EUvsDisinfo FIMI source register</x:v>
      </x:c>
      <x:c r="J482" s="397" t="str">
        <x:v>https://www.eeas.europa.eu/eeas/4th-eeas-annual-report-foreign-information-manipulation-and-interference-threats_en</x:v>
      </x:c>
      <x:c r="K482" s="20" t="str">
        <x:v>Primary source-register URL; automated screening score</x:v>
      </x:c>
      <x:c r="L482" s="20" t="str">
        <x:v>2026-05-20</x:v>
      </x:c>
      <x:c r="M482" s="20" t="str">
        <x:v>2026-05-20</x:v>
      </x:c>
      <x:c r="N482" s="20" t="str">
        <x:v>GPT-5.5 Pro</x:v>
      </x:c>
      <x:c r="O482" s="20" t="str">
        <x:v>Needs review</x:v>
      </x:c>
      <x:c r="P482" s="20" t="str">
        <x:v>Screening score for Russia / Propaganda ecosystems in Eritrea; verify with country-specific evidence before final use.</x:v>
      </x:c>
    </x:row>
    <x:row r="483" ht="24" customHeight="1">
      <x:c r="A483" s="20" t="str">
        <x:v>ERI|Russia|PMC presence</x:v>
      </x:c>
      <x:c r="B483" s="20" t="str">
        <x:v>Eritrea</x:v>
      </x:c>
      <x:c r="C483" s="20" t="str">
        <x:v>ERI</x:v>
      </x:c>
      <x:c r="D483" s="20" t="str">
        <x:v>Russia</x:v>
      </x:c>
      <x:c r="E483" s="20" t="str">
        <x:v>Russian influence</x:v>
      </x:c>
      <x:c r="F483" s="20" t="str">
        <x:v>PMC presence</x:v>
      </x:c>
      <x:c r="G483" s="384" t="n">
        <x:v>1</x:v>
      </x:c>
      <x:c r="H483" s="396" t="n">
        <x:v>2</x:v>
      </x:c>
      <x:c r="I483" s="20" t="str">
        <x:v>Treasury and Council of the EU Wagner/PMC source register</x:v>
      </x:c>
      <x:c r="J483" s="397" t="str">
        <x:v>https://www.consilium.europa.eu/en/press/press-releases/2023/02/25/wagner-group-council-adds-11-individuals-and-7-entities-to-eu-sanctions-lists/</x:v>
      </x:c>
      <x:c r="K483" s="20" t="str">
        <x:v>Primary source-register URL; automated screening score</x:v>
      </x:c>
      <x:c r="L483" s="20" t="str">
        <x:v>2026-05-20</x:v>
      </x:c>
      <x:c r="M483" s="20" t="str">
        <x:v>2026-05-20</x:v>
      </x:c>
      <x:c r="N483" s="20" t="str">
        <x:v>GPT-5.5 Pro</x:v>
      </x:c>
      <x:c r="O483" s="20" t="str">
        <x:v>Needs review</x:v>
      </x:c>
      <x:c r="P483" s="20" t="str">
        <x:v>Screening score for Russia / PMC presence in Eritrea; verify with country-specific evidence before final use.</x:v>
      </x:c>
    </x:row>
    <x:row r="484" ht="24" customHeight="1">
      <x:c r="A484" s="20" t="str">
        <x:v>ERI|Russia|Election interference</x:v>
      </x:c>
      <x:c r="B484" s="20" t="str">
        <x:v>Eritrea</x:v>
      </x:c>
      <x:c r="C484" s="20" t="str">
        <x:v>ERI</x:v>
      </x:c>
      <x:c r="D484" s="20" t="str">
        <x:v>Russia</x:v>
      </x:c>
      <x:c r="E484" s="20" t="str">
        <x:v>Russian influence</x:v>
      </x:c>
      <x:c r="F484" s="20" t="str">
        <x:v>Election interference</x:v>
      </x:c>
      <x:c r="G484" s="384" t="n">
        <x:v>1</x:v>
      </x:c>
      <x:c r="H484" s="396" t="n">
        <x:v>2</x:v>
      </x:c>
      <x:c r="I484" s="20" t="str">
        <x:v>ODNI/EEAS election-FIMI source register</x:v>
      </x:c>
      <x:c r="J484" s="397" t="str">
        <x:v>https://www.dni.gov/files/ODNI/documents/assessments/ATA-2026-Unclassified-Report.pdf</x:v>
      </x:c>
      <x:c r="K484" s="20" t="str">
        <x:v>Primary source-register URL; automated screening score</x:v>
      </x:c>
      <x:c r="L484" s="20" t="str">
        <x:v>2026-05-20</x:v>
      </x:c>
      <x:c r="M484" s="20" t="str">
        <x:v>2026-05-20</x:v>
      </x:c>
      <x:c r="N484" s="20" t="str">
        <x:v>GPT-5.5 Pro</x:v>
      </x:c>
      <x:c r="O484" s="20" t="str">
        <x:v>Needs review</x:v>
      </x:c>
      <x:c r="P484" s="20" t="str">
        <x:v>Screening score for Russia / Election interference in Eritrea; verify with country-specific evidence before final use.</x:v>
      </x:c>
    </x:row>
    <x:row r="485" ht="24" customHeight="1">
      <x:c r="A485" s="20" t="str">
        <x:v>ERI|Russia|Security contractors</x:v>
      </x:c>
      <x:c r="B485" s="20" t="str">
        <x:v>Eritrea</x:v>
      </x:c>
      <x:c r="C485" s="20" t="str">
        <x:v>ERI</x:v>
      </x:c>
      <x:c r="D485" s="20" t="str">
        <x:v>Russia</x:v>
      </x:c>
      <x:c r="E485" s="20" t="str">
        <x:v>Russian influence</x:v>
      </x:c>
      <x:c r="F485" s="20" t="str">
        <x:v>Security contractors</x:v>
      </x:c>
      <x:c r="G485" s="384" t="n">
        <x:v>1</x:v>
      </x:c>
      <x:c r="H485" s="396" t="n">
        <x:v>2</x:v>
      </x:c>
      <x:c r="I485" s="20" t="str">
        <x:v>Council of the EU/Treasury Wagner-security source register</x:v>
      </x:c>
      <x:c r="J485" s="397" t="str">
        <x:v>https://www.consilium.europa.eu/en/press/press-releases/2023/02/25/wagner-group-council-adds-11-individuals-and-7-entities-to-eu-sanctions-lists/</x:v>
      </x:c>
      <x:c r="K485" s="20" t="str">
        <x:v>Primary source-register URL; automated screening score</x:v>
      </x:c>
      <x:c r="L485" s="20" t="str">
        <x:v>2026-05-20</x:v>
      </x:c>
      <x:c r="M485" s="20" t="str">
        <x:v>2026-05-20</x:v>
      </x:c>
      <x:c r="N485" s="20" t="str">
        <x:v>GPT-5.5 Pro</x:v>
      </x:c>
      <x:c r="O485" s="20" t="str">
        <x:v>Needs review</x:v>
      </x:c>
      <x:c r="P485" s="20" t="str">
        <x:v>Screening score for Russia / Security contractors in Eritrea; verify with country-specific evidence before final use.</x:v>
      </x:c>
    </x:row>
    <x:row r="486" ht="24" customHeight="1">
      <x:c r="A486" s="20" t="str">
        <x:v>ERI|China|Propaganda ecosystems</x:v>
      </x:c>
      <x:c r="B486" s="20" t="str">
        <x:v>Eritrea</x:v>
      </x:c>
      <x:c r="C486" s="20" t="str">
        <x:v>ERI</x:v>
      </x:c>
      <x:c r="D486" s="20" t="str">
        <x:v>China</x:v>
      </x:c>
      <x:c r="E486" s="20" t="str">
        <x:v>Chinese influence</x:v>
      </x:c>
      <x:c r="F486" s="20" t="str">
        <x:v>Propaganda ecosystems</x:v>
      </x:c>
      <x:c r="G486" s="384" t="n">
        <x:v>5</x:v>
      </x:c>
      <x:c r="H486" s="396" t="n">
        <x:v>3</x:v>
      </x:c>
      <x:c r="I486" s="20" t="str">
        <x:v>EEAS/ODNI China FIMI source register</x:v>
      </x:c>
      <x:c r="J486" s="397" t="str">
        <x:v>https://www.eeas.europa.eu/eeas/4th-eeas-annual-report-foreign-information-manipulation-and-interference-threats_en</x:v>
      </x:c>
      <x:c r="K486" s="20" t="str">
        <x:v>Primary source-register URL; automated screening score</x:v>
      </x:c>
      <x:c r="L486" s="20" t="str">
        <x:v>2026-05-20</x:v>
      </x:c>
      <x:c r="M486" s="20" t="str">
        <x:v>2026-05-20</x:v>
      </x:c>
      <x:c r="N486" s="20" t="str">
        <x:v>GPT-5.5 Pro</x:v>
      </x:c>
      <x:c r="O486" s="20" t="str">
        <x:v>Needs review</x:v>
      </x:c>
      <x:c r="P486" s="20" t="str">
        <x:v>Screening score for China / Propaganda ecosystems in Eritrea; verify with country-specific evidence before final use.</x:v>
      </x:c>
    </x:row>
    <x:row r="487" ht="24" customHeight="1">
      <x:c r="A487" s="20" t="str">
        <x:v>ERI|China|PMC presence</x:v>
      </x:c>
      <x:c r="B487" s="20" t="str">
        <x:v>Eritrea</x:v>
      </x:c>
      <x:c r="C487" s="20" t="str">
        <x:v>ERI</x:v>
      </x:c>
      <x:c r="D487" s="20" t="str">
        <x:v>China</x:v>
      </x:c>
      <x:c r="E487" s="20" t="str">
        <x:v>Chinese influence</x:v>
      </x:c>
      <x:c r="F487" s="20" t="str">
        <x:v>PMC presence</x:v>
      </x:c>
      <x:c r="G487" s="384" t="n">
        <x:v>1</x:v>
      </x:c>
      <x:c r="H487" s="396" t="n">
        <x:v>2</x:v>
      </x:c>
      <x:c r="I487" s="20" t="str">
        <x:v>MERICS/Carnegie Chinese overseas PSC source register</x:v>
      </x:c>
      <x:c r="J487" s="397" t="str">
        <x:v>https://merics.org/en/report/guardians-belt-and-road</x:v>
      </x:c>
      <x:c r="K487" s="20" t="str">
        <x:v>Primary source-register URL; automated screening score</x:v>
      </x:c>
      <x:c r="L487" s="20" t="str">
        <x:v>2026-05-20</x:v>
      </x:c>
      <x:c r="M487" s="20" t="str">
        <x:v>2026-05-20</x:v>
      </x:c>
      <x:c r="N487" s="20" t="str">
        <x:v>GPT-5.5 Pro</x:v>
      </x:c>
      <x:c r="O487" s="20" t="str">
        <x:v>Needs review</x:v>
      </x:c>
      <x:c r="P487" s="20" t="str">
        <x:v>Screening score for China / PMC presence in Eritrea; verify with country-specific evidence before final use.</x:v>
      </x:c>
    </x:row>
    <x:row r="488" ht="24" customHeight="1">
      <x:c r="A488" s="20" t="str">
        <x:v>ERI|China|Election interference</x:v>
      </x:c>
      <x:c r="B488" s="20" t="str">
        <x:v>Eritrea</x:v>
      </x:c>
      <x:c r="C488" s="20" t="str">
        <x:v>ERI</x:v>
      </x:c>
      <x:c r="D488" s="20" t="str">
        <x:v>China</x:v>
      </x:c>
      <x:c r="E488" s="20" t="str">
        <x:v>Chinese influence</x:v>
      </x:c>
      <x:c r="F488" s="20" t="str">
        <x:v>Election interference</x:v>
      </x:c>
      <x:c r="G488" s="384" t="n">
        <x:v>1</x:v>
      </x:c>
      <x:c r="H488" s="396" t="n">
        <x:v>2</x:v>
      </x:c>
      <x:c r="I488" s="20" t="str">
        <x:v>EEAS/ODNI China election-FIMI source register</x:v>
      </x:c>
      <x:c r="J488" s="397" t="str">
        <x:v>https://www.eeas.europa.eu/eeas/4th-eeas-annual-report-foreign-information-manipulation-and-interference-threats_en</x:v>
      </x:c>
      <x:c r="K488" s="20" t="str">
        <x:v>Primary source-register URL; automated screening score</x:v>
      </x:c>
      <x:c r="L488" s="20" t="str">
        <x:v>2026-05-20</x:v>
      </x:c>
      <x:c r="M488" s="20" t="str">
        <x:v>2026-05-20</x:v>
      </x:c>
      <x:c r="N488" s="20" t="str">
        <x:v>GPT-5.5 Pro</x:v>
      </x:c>
      <x:c r="O488" s="20" t="str">
        <x:v>Needs review</x:v>
      </x:c>
      <x:c r="P488" s="20" t="str">
        <x:v>Screening score for China / Election interference in Eritrea; verify with country-specific evidence before final use.</x:v>
      </x:c>
    </x:row>
    <x:row r="489" ht="24" customHeight="1">
      <x:c r="A489" s="20" t="str">
        <x:v>ERI|China|Security contractors</x:v>
      </x:c>
      <x:c r="B489" s="20" t="str">
        <x:v>Eritrea</x:v>
      </x:c>
      <x:c r="C489" s="20" t="str">
        <x:v>ERI</x:v>
      </x:c>
      <x:c r="D489" s="20" t="str">
        <x:v>China</x:v>
      </x:c>
      <x:c r="E489" s="20" t="str">
        <x:v>Chinese influence</x:v>
      </x:c>
      <x:c r="F489" s="20" t="str">
        <x:v>Security contractors</x:v>
      </x:c>
      <x:c r="G489" s="384" t="n">
        <x:v>1</x:v>
      </x:c>
      <x:c r="H489" s="396" t="n">
        <x:v>2</x:v>
      </x:c>
      <x:c r="I489" s="20" t="str">
        <x:v>MERICS/Carnegie Chinese security contractor source register</x:v>
      </x:c>
      <x:c r="J489" s="397" t="str">
        <x:v>https://merics.org/en/report/guardians-belt-and-road</x:v>
      </x:c>
      <x:c r="K489" s="20" t="str">
        <x:v>Primary source-register URL; automated screening score</x:v>
      </x:c>
      <x:c r="L489" s="20" t="str">
        <x:v>2026-05-20</x:v>
      </x:c>
      <x:c r="M489" s="20" t="str">
        <x:v>2026-05-20</x:v>
      </x:c>
      <x:c r="N489" s="20" t="str">
        <x:v>GPT-5.5 Pro</x:v>
      </x:c>
      <x:c r="O489" s="20" t="str">
        <x:v>Needs review</x:v>
      </x:c>
      <x:c r="P489" s="20" t="str">
        <x:v>Screening score for China / Security contractors in Eritrea; verify with country-specific evidence before final use.</x:v>
      </x:c>
    </x:row>
    <x:row r="490" ht="24" customHeight="1">
      <x:c r="A490" s="20" t="str">
        <x:v>ERI|United States|Propaganda ecosystems</x:v>
      </x:c>
      <x:c r="B490" s="20" t="str">
        <x:v>Eritrea</x:v>
      </x:c>
      <x:c r="C490" s="20" t="str">
        <x:v>ERI</x:v>
      </x:c>
      <x:c r="D490" s="20" t="str">
        <x:v>United States</x:v>
      </x:c>
      <x:c r="E490" s="20" t="str">
        <x:v>American influence</x:v>
      </x:c>
      <x:c r="F490" s="20" t="str">
        <x:v>Propaganda ecosystems</x:v>
      </x:c>
      <x:c r="G490" s="384" t="n">
        <x:v>4</x:v>
      </x:c>
      <x:c r="H490" s="396" t="n">
        <x:v>3</x:v>
      </x:c>
      <x:c r="I490" s="20" t="str">
        <x:v>USAGM public media source register</x:v>
      </x:c>
      <x:c r="J490" s="397" t="str">
        <x:v>https://www.usagm.gov/our-work/strategy-and-results/strategic-priorities/research-reports/</x:v>
      </x:c>
      <x:c r="K490" s="20" t="str">
        <x:v>Primary source-register URL; automated screening score</x:v>
      </x:c>
      <x:c r="L490" s="20" t="str">
        <x:v>2026-05-20</x:v>
      </x:c>
      <x:c r="M490" s="20" t="str">
        <x:v>2026-05-20</x:v>
      </x:c>
      <x:c r="N490" s="20" t="str">
        <x:v>GPT-5.5 Pro</x:v>
      </x:c>
      <x:c r="O490" s="20" t="str">
        <x:v>Needs review</x:v>
      </x:c>
      <x:c r="P490" s="20" t="str">
        <x:v>Screening score for United States / Propaganda ecosystems in Eritrea; verify with country-specific evidence before final use.</x:v>
      </x:c>
    </x:row>
    <x:row r="491" ht="24" customHeight="1">
      <x:c r="A491" s="20" t="str">
        <x:v>ERI|United States|PMC presence</x:v>
      </x:c>
      <x:c r="B491" s="20" t="str">
        <x:v>Eritrea</x:v>
      </x:c>
      <x:c r="C491" s="20" t="str">
        <x:v>ERI</x:v>
      </x:c>
      <x:c r="D491" s="20" t="str">
        <x:v>United States</x:v>
      </x:c>
      <x:c r="E491" s="20" t="str">
        <x:v>American influence</x:v>
      </x:c>
      <x:c r="F491" s="20" t="str">
        <x:v>PMC presence</x:v>
      </x:c>
      <x:c r="G491" s="384" t="n">
        <x:v>2</x:v>
      </x:c>
      <x:c r="H491" s="396" t="n">
        <x:v>2</x:v>
      </x:c>
      <x:c r="I491" s="20" t="str">
        <x:v>SAM/Greenbook U.S. security assistance contractor source register</x:v>
      </x:c>
      <x:c r="J491" s="397" t="str">
        <x:v>https://internationalpolicy.org/programs/sam/</x:v>
      </x:c>
      <x:c r="K491" s="20" t="str">
        <x:v>Primary source-register URL; automated screening score</x:v>
      </x:c>
      <x:c r="L491" s="20" t="str">
        <x:v>2026-05-20</x:v>
      </x:c>
      <x:c r="M491" s="20" t="str">
        <x:v>2026-05-20</x:v>
      </x:c>
      <x:c r="N491" s="20" t="str">
        <x:v>GPT-5.5 Pro</x:v>
      </x:c>
      <x:c r="O491" s="20" t="str">
        <x:v>Needs review</x:v>
      </x:c>
      <x:c r="P491" s="20" t="str">
        <x:v>Screening score for United States / PMC presence in Eritrea; verify with country-specific evidence before final use.</x:v>
      </x:c>
    </x:row>
    <x:row r="492" ht="24" customHeight="1">
      <x:c r="A492" s="20" t="str">
        <x:v>ERI|United States|Election interference</x:v>
      </x:c>
      <x:c r="B492" s="20" t="str">
        <x:v>Eritrea</x:v>
      </x:c>
      <x:c r="C492" s="20" t="str">
        <x:v>ERI</x:v>
      </x:c>
      <x:c r="D492" s="20" t="str">
        <x:v>United States</x:v>
      </x:c>
      <x:c r="E492" s="20" t="str">
        <x:v>American influence</x:v>
      </x:c>
      <x:c r="F492" s="20" t="str">
        <x:v>Election interference</x:v>
      </x:c>
      <x:c r="G492" s="384" t="n">
        <x:v>2</x:v>
      </x:c>
      <x:c r="H492" s="396" t="n">
        <x:v>2</x:v>
      </x:c>
      <x:c r="I492" s="20" t="str">
        <x:v>NED/Greenbook democracy assistance source register</x:v>
      </x:c>
      <x:c r="J492" s="397" t="str">
        <x:v>https://www.ned.org/ned-grantmaking/</x:v>
      </x:c>
      <x:c r="K492" s="20" t="str">
        <x:v>Primary source-register URL; automated screening score</x:v>
      </x:c>
      <x:c r="L492" s="20" t="str">
        <x:v>2026-05-20</x:v>
      </x:c>
      <x:c r="M492" s="20" t="str">
        <x:v>2026-05-20</x:v>
      </x:c>
      <x:c r="N492" s="20" t="str">
        <x:v>GPT-5.5 Pro</x:v>
      </x:c>
      <x:c r="O492" s="20" t="str">
        <x:v>Needs review</x:v>
      </x:c>
      <x:c r="P492" s="20" t="str">
        <x:v>Screening score for United States / Election interference in Eritrea; verify with country-specific evidence before final use.</x:v>
      </x:c>
    </x:row>
    <x:row r="493" ht="24" customHeight="1">
      <x:c r="A493" s="20" t="str">
        <x:v>ERI|United States|Security contractors</x:v>
      </x:c>
      <x:c r="B493" s="20" t="str">
        <x:v>Eritrea</x:v>
      </x:c>
      <x:c r="C493" s="20" t="str">
        <x:v>ERI</x:v>
      </x:c>
      <x:c r="D493" s="20" t="str">
        <x:v>United States</x:v>
      </x:c>
      <x:c r="E493" s="20" t="str">
        <x:v>American influence</x:v>
      </x:c>
      <x:c r="F493" s="20" t="str">
        <x:v>Security contractors</x:v>
      </x:c>
      <x:c r="G493" s="384" t="n">
        <x:v>3</x:v>
      </x:c>
      <x:c r="H493" s="396" t="n">
        <x:v>3</x:v>
      </x:c>
      <x:c r="I493" s="20" t="str">
        <x:v>SAM/Greenbook U.S. security contractor source register</x:v>
      </x:c>
      <x:c r="J493" s="397" t="str">
        <x:v>https://internationalpolicy.org/programs/sam/</x:v>
      </x:c>
      <x:c r="K493" s="20" t="str">
        <x:v>Primary source-register URL; automated screening score</x:v>
      </x:c>
      <x:c r="L493" s="20" t="str">
        <x:v>2026-05-20</x:v>
      </x:c>
      <x:c r="M493" s="20" t="str">
        <x:v>2026-05-20</x:v>
      </x:c>
      <x:c r="N493" s="20" t="str">
        <x:v>GPT-5.5 Pro</x:v>
      </x:c>
      <x:c r="O493" s="20" t="str">
        <x:v>Needs review</x:v>
      </x:c>
      <x:c r="P493" s="20" t="str">
        <x:v>Screening score for United States / Security contractors in Eritrea; verify with country-specific evidence before final use.</x:v>
      </x:c>
    </x:row>
    <x:row r="494" ht="24" customHeight="1">
      <x:c r="A494" s="20" t="str">
        <x:v>ERI|European Union|Propaganda ecosystems</x:v>
      </x:c>
      <x:c r="B494" s="20" t="str">
        <x:v>Eritrea</x:v>
      </x:c>
      <x:c r="C494" s="20" t="str">
        <x:v>ERI</x:v>
      </x:c>
      <x:c r="D494" s="20" t="str">
        <x:v>European Union</x:v>
      </x:c>
      <x:c r="E494" s="20" t="str">
        <x:v>EU influence</x:v>
      </x:c>
      <x:c r="F494" s="20" t="str">
        <x:v>Propaganda ecosystems</x:v>
      </x:c>
      <x:c r="G494" s="384" t="n">
        <x:v>3</x:v>
      </x:c>
      <x:c r="H494" s="396" t="n">
        <x:v>3</x:v>
      </x:c>
      <x:c r="I494" s="20" t="str">
        <x:v>EEAS public diplomacy source register</x:v>
      </x:c>
      <x:c r="J494" s="397" t="str">
        <x:v>https://www.eeas.europa.eu/eeas/public-diplomacy_en</x:v>
      </x:c>
      <x:c r="K494" s="20" t="str">
        <x:v>Primary source-register URL; automated screening score</x:v>
      </x:c>
      <x:c r="L494" s="20" t="str">
        <x:v>2026-05-20</x:v>
      </x:c>
      <x:c r="M494" s="20" t="str">
        <x:v>2026-05-20</x:v>
      </x:c>
      <x:c r="N494" s="20" t="str">
        <x:v>GPT-5.5 Pro</x:v>
      </x:c>
      <x:c r="O494" s="20" t="str">
        <x:v>Needs review</x:v>
      </x:c>
      <x:c r="P494" s="20" t="str">
        <x:v>Screening score for European Union / Propaganda ecosystems in Eritrea; verify with country-specific evidence before final use.</x:v>
      </x:c>
    </x:row>
    <x:row r="495" ht="24" customHeight="1">
      <x:c r="A495" s="20" t="str">
        <x:v>ERI|European Union|PMC presence</x:v>
      </x:c>
      <x:c r="B495" s="20" t="str">
        <x:v>Eritrea</x:v>
      </x:c>
      <x:c r="C495" s="20" t="str">
        <x:v>ERI</x:v>
      </x:c>
      <x:c r="D495" s="20" t="str">
        <x:v>European Union</x:v>
      </x:c>
      <x:c r="E495" s="20" t="str">
        <x:v>EU influence</x:v>
      </x:c>
      <x:c r="F495" s="20" t="str">
        <x:v>PMC presence</x:v>
      </x:c>
      <x:c r="G495" s="384" t="n">
        <x:v>0</x:v>
      </x:c>
      <x:c r="H495" s="396" t="n">
        <x:v>1</x:v>
      </x:c>
      <x:c r="I495" s="20" t="str">
        <x:v>EEAS CSDP missions source register</x:v>
      </x:c>
      <x:c r="J495" s="397" t="str">
        <x:v>https://www.eeas.europa.eu/eeas/missions-and-operations_en</x:v>
      </x:c>
      <x:c r="K495" s="20" t="str">
        <x:v>Primary source-register URL; automated screening score</x:v>
      </x:c>
      <x:c r="L495" s="20" t="str">
        <x:v>2026-05-20</x:v>
      </x:c>
      <x:c r="M495" s="20" t="str">
        <x:v>2026-05-20</x:v>
      </x:c>
      <x:c r="N495" s="20" t="str">
        <x:v>GPT-5.5 Pro</x:v>
      </x:c>
      <x:c r="O495" s="20" t="str">
        <x:v>Needs review</x:v>
      </x:c>
      <x:c r="P495" s="20" t="str">
        <x:v>Screening score for European Union / PMC presence in Eritrea; verify with country-specific evidence before final use.</x:v>
      </x:c>
    </x:row>
    <x:row r="496" ht="24" customHeight="1">
      <x:c r="A496" s="20" t="str">
        <x:v>ERI|European Union|Election interference</x:v>
      </x:c>
      <x:c r="B496" s="20" t="str">
        <x:v>Eritrea</x:v>
      </x:c>
      <x:c r="C496" s="20" t="str">
        <x:v>ERI</x:v>
      </x:c>
      <x:c r="D496" s="20" t="str">
        <x:v>European Union</x:v>
      </x:c>
      <x:c r="E496" s="20" t="str">
        <x:v>EU influence</x:v>
      </x:c>
      <x:c r="F496" s="20" t="str">
        <x:v>Election interference</x:v>
      </x:c>
      <x:c r="G496" s="384" t="n">
        <x:v>1</x:v>
      </x:c>
      <x:c r="H496" s="396" t="n">
        <x:v>2</x:v>
      </x:c>
      <x:c r="I496" s="20" t="str">
        <x:v>EEAS EU election observation source register</x:v>
      </x:c>
      <x:c r="J496" s="397" t="str">
        <x:v>https://www.eeas.europa.eu/eeas/eu-election-observation-missions-1_en?page_lang=en</x:v>
      </x:c>
      <x:c r="K496" s="20" t="str">
        <x:v>Primary source-register URL; automated screening score</x:v>
      </x:c>
      <x:c r="L496" s="20" t="str">
        <x:v>2026-05-20</x:v>
      </x:c>
      <x:c r="M496" s="20" t="str">
        <x:v>2026-05-20</x:v>
      </x:c>
      <x:c r="N496" s="20" t="str">
        <x:v>GPT-5.5 Pro</x:v>
      </x:c>
      <x:c r="O496" s="20" t="str">
        <x:v>Needs review</x:v>
      </x:c>
      <x:c r="P496" s="20" t="str">
        <x:v>Screening score for European Union / Election interference in Eritrea; verify with country-specific evidence before final use.</x:v>
      </x:c>
    </x:row>
    <x:row r="497" ht="24" customHeight="1">
      <x:c r="A497" s="20" t="str">
        <x:v>ERI|European Union|Security contractors</x:v>
      </x:c>
      <x:c r="B497" s="20" t="str">
        <x:v>Eritrea</x:v>
      </x:c>
      <x:c r="C497" s="20" t="str">
        <x:v>ERI</x:v>
      </x:c>
      <x:c r="D497" s="20" t="str">
        <x:v>European Union</x:v>
      </x:c>
      <x:c r="E497" s="20" t="str">
        <x:v>EU influence</x:v>
      </x:c>
      <x:c r="F497" s="20" t="str">
        <x:v>Security contractors</x:v>
      </x:c>
      <x:c r="G497" s="384" t="n">
        <x:v>2</x:v>
      </x:c>
      <x:c r="H497" s="396" t="n">
        <x:v>2</x:v>
      </x:c>
      <x:c r="I497" s="20" t="str">
        <x:v>EEAS CSDP / Global Gateway security source register</x:v>
      </x:c>
      <x:c r="J497" s="397" t="str">
        <x:v>https://www.eeas.europa.eu/eeas/missions-and-operations_en</x:v>
      </x:c>
      <x:c r="K497" s="20" t="str">
        <x:v>Primary source-register URL; automated screening score</x:v>
      </x:c>
      <x:c r="L497" s="20" t="str">
        <x:v>2026-05-20</x:v>
      </x:c>
      <x:c r="M497" s="20" t="str">
        <x:v>2026-05-20</x:v>
      </x:c>
      <x:c r="N497" s="20" t="str">
        <x:v>GPT-5.5 Pro</x:v>
      </x:c>
      <x:c r="O497" s="20" t="str">
        <x:v>Needs review</x:v>
      </x:c>
      <x:c r="P497" s="20" t="str">
        <x:v>Screening score for European Union / Security contractors in Eritrea; verify with country-specific evidence before final use.</x:v>
      </x:c>
    </x:row>
    <x:row r="498" ht="24" customHeight="1">
      <x:c r="A498" s="20" t="str">
        <x:v>EST|Russia|Propaganda ecosystems</x:v>
      </x:c>
      <x:c r="B498" s="20" t="str">
        <x:v>Estonia</x:v>
      </x:c>
      <x:c r="C498" s="20" t="str">
        <x:v>EST</x:v>
      </x:c>
      <x:c r="D498" s="20" t="str">
        <x:v>Russia</x:v>
      </x:c>
      <x:c r="E498" s="20" t="str">
        <x:v>Russian influence</x:v>
      </x:c>
      <x:c r="F498" s="20" t="str">
        <x:v>Propaganda ecosystems</x:v>
      </x:c>
      <x:c r="G498" s="384" t="n">
        <x:v>7</x:v>
      </x:c>
      <x:c r="H498" s="396" t="n">
        <x:v>4</x:v>
      </x:c>
      <x:c r="I498" s="20" t="str">
        <x:v>EEAS/EUvsDisinfo FIMI source register</x:v>
      </x:c>
      <x:c r="J498" s="397" t="str">
        <x:v>https://www.eeas.europa.eu/eeas/4th-eeas-annual-report-foreign-information-manipulation-and-interference-threats_en</x:v>
      </x:c>
      <x:c r="K498" s="20" t="str">
        <x:v>Primary source-register URL; automated screening score</x:v>
      </x:c>
      <x:c r="L498" s="20" t="str">
        <x:v>2026-05-20</x:v>
      </x:c>
      <x:c r="M498" s="20" t="str">
        <x:v>2026-05-20</x:v>
      </x:c>
      <x:c r="N498" s="20" t="str">
        <x:v>GPT-5.5 Pro</x:v>
      </x:c>
      <x:c r="O498" s="20" t="str">
        <x:v>Needs review</x:v>
      </x:c>
      <x:c r="P498" s="20" t="str">
        <x:v>Screening score for Russia / Propaganda ecosystems in Estonia; verify with country-specific evidence before final use.</x:v>
      </x:c>
    </x:row>
    <x:row r="499" ht="24" customHeight="1">
      <x:c r="A499" s="20" t="str">
        <x:v>EST|Russia|PMC presence</x:v>
      </x:c>
      <x:c r="B499" s="20" t="str">
        <x:v>Estonia</x:v>
      </x:c>
      <x:c r="C499" s="20" t="str">
        <x:v>EST</x:v>
      </x:c>
      <x:c r="D499" s="20" t="str">
        <x:v>Russia</x:v>
      </x:c>
      <x:c r="E499" s="20" t="str">
        <x:v>Russian influence</x:v>
      </x:c>
      <x:c r="F499" s="20" t="str">
        <x:v>PMC presence</x:v>
      </x:c>
      <x:c r="G499" s="384" t="n">
        <x:v>0</x:v>
      </x:c>
      <x:c r="H499" s="396" t="n">
        <x:v>1</x:v>
      </x:c>
      <x:c r="I499" s="20" t="str">
        <x:v>Treasury and Council of the EU Wagner/PMC source register</x:v>
      </x:c>
      <x:c r="J499" s="397" t="str">
        <x:v>https://www.consilium.europa.eu/en/press/press-releases/2023/02/25/wagner-group-council-adds-11-individuals-and-7-entities-to-eu-sanctions-lists/</x:v>
      </x:c>
      <x:c r="K499" s="20" t="str">
        <x:v>Primary source-register URL; automated screening score</x:v>
      </x:c>
      <x:c r="L499" s="20" t="str">
        <x:v>2026-05-20</x:v>
      </x:c>
      <x:c r="M499" s="20" t="str">
        <x:v>2026-05-20</x:v>
      </x:c>
      <x:c r="N499" s="20" t="str">
        <x:v>GPT-5.5 Pro</x:v>
      </x:c>
      <x:c r="O499" s="20" t="str">
        <x:v>Needs review</x:v>
      </x:c>
      <x:c r="P499" s="20" t="str">
        <x:v>Screening score for Russia / PMC presence in Estonia; verify with country-specific evidence before final use.</x:v>
      </x:c>
    </x:row>
    <x:row r="500" ht="24" customHeight="1">
      <x:c r="A500" s="20" t="str">
        <x:v>EST|Russia|Election interference</x:v>
      </x:c>
      <x:c r="B500" s="20" t="str">
        <x:v>Estonia</x:v>
      </x:c>
      <x:c r="C500" s="20" t="str">
        <x:v>EST</x:v>
      </x:c>
      <x:c r="D500" s="20" t="str">
        <x:v>Russia</x:v>
      </x:c>
      <x:c r="E500" s="20" t="str">
        <x:v>Russian influence</x:v>
      </x:c>
      <x:c r="F500" s="20" t="str">
        <x:v>Election interference</x:v>
      </x:c>
      <x:c r="G500" s="384" t="n">
        <x:v>6</x:v>
      </x:c>
      <x:c r="H500" s="396" t="n">
        <x:v>4</x:v>
      </x:c>
      <x:c r="I500" s="20" t="str">
        <x:v>ODNI/EEAS election-FIMI source register</x:v>
      </x:c>
      <x:c r="J500" s="397" t="str">
        <x:v>https://www.dni.gov/files/ODNI/documents/assessments/ATA-2026-Unclassified-Report.pdf</x:v>
      </x:c>
      <x:c r="K500" s="20" t="str">
        <x:v>Primary source-register URL; automated screening score</x:v>
      </x:c>
      <x:c r="L500" s="20" t="str">
        <x:v>2026-05-20</x:v>
      </x:c>
      <x:c r="M500" s="20" t="str">
        <x:v>2026-05-20</x:v>
      </x:c>
      <x:c r="N500" s="20" t="str">
        <x:v>GPT-5.5 Pro</x:v>
      </x:c>
      <x:c r="O500" s="20" t="str">
        <x:v>Needs review</x:v>
      </x:c>
      <x:c r="P500" s="20" t="str">
        <x:v>Screening score for Russia / Election interference in Estonia; verify with country-specific evidence before final use.</x:v>
      </x:c>
    </x:row>
    <x:row r="501" ht="24" customHeight="1">
      <x:c r="A501" s="20" t="str">
        <x:v>EST|Russia|Security contractors</x:v>
      </x:c>
      <x:c r="B501" s="20" t="str">
        <x:v>Estonia</x:v>
      </x:c>
      <x:c r="C501" s="20" t="str">
        <x:v>EST</x:v>
      </x:c>
      <x:c r="D501" s="20" t="str">
        <x:v>Russia</x:v>
      </x:c>
      <x:c r="E501" s="20" t="str">
        <x:v>Russian influence</x:v>
      </x:c>
      <x:c r="F501" s="20" t="str">
        <x:v>Security contractors</x:v>
      </x:c>
      <x:c r="G501" s="384" t="n">
        <x:v>0</x:v>
      </x:c>
      <x:c r="H501" s="396" t="n">
        <x:v>1</x:v>
      </x:c>
      <x:c r="I501" s="20" t="str">
        <x:v>Council of the EU/Treasury Wagner-security source register</x:v>
      </x:c>
      <x:c r="J501" s="397" t="str">
        <x:v>https://www.consilium.europa.eu/en/press/press-releases/2023/02/25/wagner-group-council-adds-11-individuals-and-7-entities-to-eu-sanctions-lists/</x:v>
      </x:c>
      <x:c r="K501" s="20" t="str">
        <x:v>Primary source-register URL; automated screening score</x:v>
      </x:c>
      <x:c r="L501" s="20" t="str">
        <x:v>2026-05-20</x:v>
      </x:c>
      <x:c r="M501" s="20" t="str">
        <x:v>2026-05-20</x:v>
      </x:c>
      <x:c r="N501" s="20" t="str">
        <x:v>GPT-5.5 Pro</x:v>
      </x:c>
      <x:c r="O501" s="20" t="str">
        <x:v>Needs review</x:v>
      </x:c>
      <x:c r="P501" s="20" t="str">
        <x:v>Screening score for Russia / Security contractors in Estonia; verify with country-specific evidence before final use.</x:v>
      </x:c>
    </x:row>
    <x:row r="502" ht="24" customHeight="1">
      <x:c r="A502" s="20" t="str">
        <x:v>EST|China|Propaganda ecosystems</x:v>
      </x:c>
      <x:c r="B502" s="20" t="str">
        <x:v>Estonia</x:v>
      </x:c>
      <x:c r="C502" s="20" t="str">
        <x:v>EST</x:v>
      </x:c>
      <x:c r="D502" s="20" t="str">
        <x:v>China</x:v>
      </x:c>
      <x:c r="E502" s="20" t="str">
        <x:v>Chinese influence</x:v>
      </x:c>
      <x:c r="F502" s="20" t="str">
        <x:v>Propaganda ecosystems</x:v>
      </x:c>
      <x:c r="G502" s="384" t="n">
        <x:v>4</x:v>
      </x:c>
      <x:c r="H502" s="396" t="n">
        <x:v>3</x:v>
      </x:c>
      <x:c r="I502" s="20" t="str">
        <x:v>EEAS/ODNI China FIMI source register</x:v>
      </x:c>
      <x:c r="J502" s="397" t="str">
        <x:v>https://www.eeas.europa.eu/eeas/4th-eeas-annual-report-foreign-information-manipulation-and-interference-threats_en</x:v>
      </x:c>
      <x:c r="K502" s="20" t="str">
        <x:v>Primary source-register URL; automated screening score</x:v>
      </x:c>
      <x:c r="L502" s="20" t="str">
        <x:v>2026-05-20</x:v>
      </x:c>
      <x:c r="M502" s="20" t="str">
        <x:v>2026-05-20</x:v>
      </x:c>
      <x:c r="N502" s="20" t="str">
        <x:v>GPT-5.5 Pro</x:v>
      </x:c>
      <x:c r="O502" s="20" t="str">
        <x:v>Needs review</x:v>
      </x:c>
      <x:c r="P502" s="20" t="str">
        <x:v>Screening score for China / Propaganda ecosystems in Estonia; verify with country-specific evidence before final use.</x:v>
      </x:c>
    </x:row>
    <x:row r="503" ht="24" customHeight="1">
      <x:c r="A503" s="20" t="str">
        <x:v>EST|China|PMC presence</x:v>
      </x:c>
      <x:c r="B503" s="20" t="str">
        <x:v>Estonia</x:v>
      </x:c>
      <x:c r="C503" s="20" t="str">
        <x:v>EST</x:v>
      </x:c>
      <x:c r="D503" s="20" t="str">
        <x:v>China</x:v>
      </x:c>
      <x:c r="E503" s="20" t="str">
        <x:v>Chinese influence</x:v>
      </x:c>
      <x:c r="F503" s="20" t="str">
        <x:v>PMC presence</x:v>
      </x:c>
      <x:c r="G503" s="384" t="n">
        <x:v>0</x:v>
      </x:c>
      <x:c r="H503" s="396" t="n">
        <x:v>1</x:v>
      </x:c>
      <x:c r="I503" s="20" t="str">
        <x:v>MERICS/Carnegie Chinese overseas PSC source register</x:v>
      </x:c>
      <x:c r="J503" s="397" t="str">
        <x:v>https://merics.org/en/report/guardians-belt-and-road</x:v>
      </x:c>
      <x:c r="K503" s="20" t="str">
        <x:v>Primary source-register URL; automated screening score</x:v>
      </x:c>
      <x:c r="L503" s="20" t="str">
        <x:v>2026-05-20</x:v>
      </x:c>
      <x:c r="M503" s="20" t="str">
        <x:v>2026-05-20</x:v>
      </x:c>
      <x:c r="N503" s="20" t="str">
        <x:v>GPT-5.5 Pro</x:v>
      </x:c>
      <x:c r="O503" s="20" t="str">
        <x:v>Needs review</x:v>
      </x:c>
      <x:c r="P503" s="20" t="str">
        <x:v>Screening score for China / PMC presence in Estonia; verify with country-specific evidence before final use.</x:v>
      </x:c>
    </x:row>
    <x:row r="504" ht="24" customHeight="1">
      <x:c r="A504" s="20" t="str">
        <x:v>EST|China|Election interference</x:v>
      </x:c>
      <x:c r="B504" s="20" t="str">
        <x:v>Estonia</x:v>
      </x:c>
      <x:c r="C504" s="20" t="str">
        <x:v>EST</x:v>
      </x:c>
      <x:c r="D504" s="20" t="str">
        <x:v>China</x:v>
      </x:c>
      <x:c r="E504" s="20" t="str">
        <x:v>Chinese influence</x:v>
      </x:c>
      <x:c r="F504" s="20" t="str">
        <x:v>Election interference</x:v>
      </x:c>
      <x:c r="G504" s="384" t="n">
        <x:v>2</x:v>
      </x:c>
      <x:c r="H504" s="396" t="n">
        <x:v>2</x:v>
      </x:c>
      <x:c r="I504" s="20" t="str">
        <x:v>EEAS/ODNI China election-FIMI source register</x:v>
      </x:c>
      <x:c r="J504" s="397" t="str">
        <x:v>https://www.eeas.europa.eu/eeas/4th-eeas-annual-report-foreign-information-manipulation-and-interference-threats_en</x:v>
      </x:c>
      <x:c r="K504" s="20" t="str">
        <x:v>Primary source-register URL; automated screening score</x:v>
      </x:c>
      <x:c r="L504" s="20" t="str">
        <x:v>2026-05-20</x:v>
      </x:c>
      <x:c r="M504" s="20" t="str">
        <x:v>2026-05-20</x:v>
      </x:c>
      <x:c r="N504" s="20" t="str">
        <x:v>GPT-5.5 Pro</x:v>
      </x:c>
      <x:c r="O504" s="20" t="str">
        <x:v>Needs review</x:v>
      </x:c>
      <x:c r="P504" s="20" t="str">
        <x:v>Screening score for China / Election interference in Estonia; verify with country-specific evidence before final use.</x:v>
      </x:c>
    </x:row>
    <x:row r="505" ht="24" customHeight="1">
      <x:c r="A505" s="20" t="str">
        <x:v>EST|China|Security contractors</x:v>
      </x:c>
      <x:c r="B505" s="20" t="str">
        <x:v>Estonia</x:v>
      </x:c>
      <x:c r="C505" s="20" t="str">
        <x:v>EST</x:v>
      </x:c>
      <x:c r="D505" s="20" t="str">
        <x:v>China</x:v>
      </x:c>
      <x:c r="E505" s="20" t="str">
        <x:v>Chinese influence</x:v>
      </x:c>
      <x:c r="F505" s="20" t="str">
        <x:v>Security contractors</x:v>
      </x:c>
      <x:c r="G505" s="384" t="n">
        <x:v>0</x:v>
      </x:c>
      <x:c r="H505" s="396" t="n">
        <x:v>1</x:v>
      </x:c>
      <x:c r="I505" s="20" t="str">
        <x:v>MERICS/Carnegie Chinese security contractor source register</x:v>
      </x:c>
      <x:c r="J505" s="397" t="str">
        <x:v>https://merics.org/en/report/guardians-belt-and-road</x:v>
      </x:c>
      <x:c r="K505" s="20" t="str">
        <x:v>Primary source-register URL; automated screening score</x:v>
      </x:c>
      <x:c r="L505" s="20" t="str">
        <x:v>2026-05-20</x:v>
      </x:c>
      <x:c r="M505" s="20" t="str">
        <x:v>2026-05-20</x:v>
      </x:c>
      <x:c r="N505" s="20" t="str">
        <x:v>GPT-5.5 Pro</x:v>
      </x:c>
      <x:c r="O505" s="20" t="str">
        <x:v>Needs review</x:v>
      </x:c>
      <x:c r="P505" s="20" t="str">
        <x:v>Screening score for China / Security contractors in Estonia; verify with country-specific evidence before final use.</x:v>
      </x:c>
    </x:row>
    <x:row r="506" ht="24" customHeight="1">
      <x:c r="A506" s="20" t="str">
        <x:v>EST|United States|Propaganda ecosystems</x:v>
      </x:c>
      <x:c r="B506" s="20" t="str">
        <x:v>Estonia</x:v>
      </x:c>
      <x:c r="C506" s="20" t="str">
        <x:v>EST</x:v>
      </x:c>
      <x:c r="D506" s="20" t="str">
        <x:v>United States</x:v>
      </x:c>
      <x:c r="E506" s="20" t="str">
        <x:v>American influence</x:v>
      </x:c>
      <x:c r="F506" s="20" t="str">
        <x:v>Propaganda ecosystems</x:v>
      </x:c>
      <x:c r="G506" s="384" t="n">
        <x:v>4</x:v>
      </x:c>
      <x:c r="H506" s="396" t="n">
        <x:v>3</x:v>
      </x:c>
      <x:c r="I506" s="20" t="str">
        <x:v>USAGM public media source register</x:v>
      </x:c>
      <x:c r="J506" s="397" t="str">
        <x:v>https://www.usagm.gov/our-work/strategy-and-results/strategic-priorities/research-reports/</x:v>
      </x:c>
      <x:c r="K506" s="20" t="str">
        <x:v>Primary source-register URL; automated screening score</x:v>
      </x:c>
      <x:c r="L506" s="20" t="str">
        <x:v>2026-05-20</x:v>
      </x:c>
      <x:c r="M506" s="20" t="str">
        <x:v>2026-05-20</x:v>
      </x:c>
      <x:c r="N506" s="20" t="str">
        <x:v>GPT-5.5 Pro</x:v>
      </x:c>
      <x:c r="O506" s="20" t="str">
        <x:v>Needs review</x:v>
      </x:c>
      <x:c r="P506" s="20" t="str">
        <x:v>Screening score for United States / Propaganda ecosystems in Estonia; verify with country-specific evidence before final use.</x:v>
      </x:c>
    </x:row>
    <x:row r="507" ht="24" customHeight="1">
      <x:c r="A507" s="20" t="str">
        <x:v>EST|United States|PMC presence</x:v>
      </x:c>
      <x:c r="B507" s="20" t="str">
        <x:v>Estonia</x:v>
      </x:c>
      <x:c r="C507" s="20" t="str">
        <x:v>EST</x:v>
      </x:c>
      <x:c r="D507" s="20" t="str">
        <x:v>United States</x:v>
      </x:c>
      <x:c r="E507" s="20" t="str">
        <x:v>American influence</x:v>
      </x:c>
      <x:c r="F507" s="20" t="str">
        <x:v>PMC presence</x:v>
      </x:c>
      <x:c r="G507" s="384" t="n">
        <x:v>3</x:v>
      </x:c>
      <x:c r="H507" s="396" t="n">
        <x:v>3</x:v>
      </x:c>
      <x:c r="I507" s="20" t="str">
        <x:v>SAM/Greenbook U.S. security assistance contractor source register</x:v>
      </x:c>
      <x:c r="J507" s="397" t="str">
        <x:v>https://internationalpolicy.org/programs/sam/</x:v>
      </x:c>
      <x:c r="K507" s="20" t="str">
        <x:v>Primary source-register URL; automated screening score</x:v>
      </x:c>
      <x:c r="L507" s="20" t="str">
        <x:v>2026-05-20</x:v>
      </x:c>
      <x:c r="M507" s="20" t="str">
        <x:v>2026-05-20</x:v>
      </x:c>
      <x:c r="N507" s="20" t="str">
        <x:v>GPT-5.5 Pro</x:v>
      </x:c>
      <x:c r="O507" s="20" t="str">
        <x:v>Needs review</x:v>
      </x:c>
      <x:c r="P507" s="20" t="str">
        <x:v>Screening score for United States / PMC presence in Estonia; verify with country-specific evidence before final use.</x:v>
      </x:c>
    </x:row>
    <x:row r="508" ht="24" customHeight="1">
      <x:c r="A508" s="20" t="str">
        <x:v>EST|United States|Election interference</x:v>
      </x:c>
      <x:c r="B508" s="20" t="str">
        <x:v>Estonia</x:v>
      </x:c>
      <x:c r="C508" s="20" t="str">
        <x:v>EST</x:v>
      </x:c>
      <x:c r="D508" s="20" t="str">
        <x:v>United States</x:v>
      </x:c>
      <x:c r="E508" s="20" t="str">
        <x:v>American influence</x:v>
      </x:c>
      <x:c r="F508" s="20" t="str">
        <x:v>Election interference</x:v>
      </x:c>
      <x:c r="G508" s="384" t="n">
        <x:v>1</x:v>
      </x:c>
      <x:c r="H508" s="396" t="n">
        <x:v>2</x:v>
      </x:c>
      <x:c r="I508" s="20" t="str">
        <x:v>NED/Greenbook democracy assistance source register</x:v>
      </x:c>
      <x:c r="J508" s="397" t="str">
        <x:v>https://www.ned.org/ned-grantmaking/</x:v>
      </x:c>
      <x:c r="K508" s="20" t="str">
        <x:v>Primary source-register URL; automated screening score</x:v>
      </x:c>
      <x:c r="L508" s="20" t="str">
        <x:v>2026-05-20</x:v>
      </x:c>
      <x:c r="M508" s="20" t="str">
        <x:v>2026-05-20</x:v>
      </x:c>
      <x:c r="N508" s="20" t="str">
        <x:v>GPT-5.5 Pro</x:v>
      </x:c>
      <x:c r="O508" s="20" t="str">
        <x:v>Needs review</x:v>
      </x:c>
      <x:c r="P508" s="20" t="str">
        <x:v>Screening score for United States / Election interference in Estonia; verify with country-specific evidence before final use.</x:v>
      </x:c>
    </x:row>
    <x:row r="509" ht="24" customHeight="1">
      <x:c r="A509" s="20" t="str">
        <x:v>EST|United States|Security contractors</x:v>
      </x:c>
      <x:c r="B509" s="20" t="str">
        <x:v>Estonia</x:v>
      </x:c>
      <x:c r="C509" s="20" t="str">
        <x:v>EST</x:v>
      </x:c>
      <x:c r="D509" s="20" t="str">
        <x:v>United States</x:v>
      </x:c>
      <x:c r="E509" s="20" t="str">
        <x:v>American influence</x:v>
      </x:c>
      <x:c r="F509" s="20" t="str">
        <x:v>Security contractors</x:v>
      </x:c>
      <x:c r="G509" s="384" t="n">
        <x:v>6</x:v>
      </x:c>
      <x:c r="H509" s="396" t="n">
        <x:v>4</x:v>
      </x:c>
      <x:c r="I509" s="20" t="str">
        <x:v>SAM/Greenbook U.S. security contractor source register</x:v>
      </x:c>
      <x:c r="J509" s="397" t="str">
        <x:v>https://internationalpolicy.org/programs/sam/</x:v>
      </x:c>
      <x:c r="K509" s="20" t="str">
        <x:v>Primary source-register URL; automated screening score</x:v>
      </x:c>
      <x:c r="L509" s="20" t="str">
        <x:v>2026-05-20</x:v>
      </x:c>
      <x:c r="M509" s="20" t="str">
        <x:v>2026-05-20</x:v>
      </x:c>
      <x:c r="N509" s="20" t="str">
        <x:v>GPT-5.5 Pro</x:v>
      </x:c>
      <x:c r="O509" s="20" t="str">
        <x:v>Needs review</x:v>
      </x:c>
      <x:c r="P509" s="20" t="str">
        <x:v>Screening score for United States / Security contractors in Estonia; verify with country-specific evidence before final use.</x:v>
      </x:c>
    </x:row>
    <x:row r="510" ht="24" customHeight="1">
      <x:c r="A510" s="20" t="str">
        <x:v>EST|European Union|Propaganda ecosystems</x:v>
      </x:c>
      <x:c r="B510" s="20" t="str">
        <x:v>Estonia</x:v>
      </x:c>
      <x:c r="C510" s="20" t="str">
        <x:v>EST</x:v>
      </x:c>
      <x:c r="D510" s="20" t="str">
        <x:v>European Union</x:v>
      </x:c>
      <x:c r="E510" s="20" t="str">
        <x:v>EU influence</x:v>
      </x:c>
      <x:c r="F510" s="20" t="str">
        <x:v>Propaganda ecosystems</x:v>
      </x:c>
      <x:c r="G510" s="384" t="n">
        <x:v>9</x:v>
      </x:c>
      <x:c r="H510" s="396" t="n">
        <x:v>5</x:v>
      </x:c>
      <x:c r="I510" s="20" t="str">
        <x:v>EEAS public diplomacy source register</x:v>
      </x:c>
      <x:c r="J510" s="397" t="str">
        <x:v>https://www.eeas.europa.eu/eeas/public-diplomacy_en</x:v>
      </x:c>
      <x:c r="K510" s="20" t="str">
        <x:v>Primary source-register URL; automated screening score</x:v>
      </x:c>
      <x:c r="L510" s="20" t="str">
        <x:v>2026-05-20</x:v>
      </x:c>
      <x:c r="M510" s="20" t="str">
        <x:v>2026-05-20</x:v>
      </x:c>
      <x:c r="N510" s="20" t="str">
        <x:v>GPT-5.5 Pro</x:v>
      </x:c>
      <x:c r="O510" s="20" t="str">
        <x:v>Needs review</x:v>
      </x:c>
      <x:c r="P510" s="20" t="str">
        <x:v>Screening score for European Union / Propaganda ecosystems in Estonia; verify with country-specific evidence before final use.</x:v>
      </x:c>
    </x:row>
    <x:row r="511" ht="24" customHeight="1">
      <x:c r="A511" s="20" t="str">
        <x:v>EST|European Union|PMC presence</x:v>
      </x:c>
      <x:c r="B511" s="20" t="str">
        <x:v>Estonia</x:v>
      </x:c>
      <x:c r="C511" s="20" t="str">
        <x:v>EST</x:v>
      </x:c>
      <x:c r="D511" s="20" t="str">
        <x:v>European Union</x:v>
      </x:c>
      <x:c r="E511" s="20" t="str">
        <x:v>EU influence</x:v>
      </x:c>
      <x:c r="F511" s="20" t="str">
        <x:v>PMC presence</x:v>
      </x:c>
      <x:c r="G511" s="384" t="n">
        <x:v>0</x:v>
      </x:c>
      <x:c r="H511" s="396" t="n">
        <x:v>1</x:v>
      </x:c>
      <x:c r="I511" s="20" t="str">
        <x:v>EEAS CSDP missions source register</x:v>
      </x:c>
      <x:c r="J511" s="397" t="str">
        <x:v>https://www.eeas.europa.eu/eeas/missions-and-operations_en</x:v>
      </x:c>
      <x:c r="K511" s="20" t="str">
        <x:v>Primary source-register URL; automated screening score</x:v>
      </x:c>
      <x:c r="L511" s="20" t="str">
        <x:v>2026-05-20</x:v>
      </x:c>
      <x:c r="M511" s="20" t="str">
        <x:v>2026-05-20</x:v>
      </x:c>
      <x:c r="N511" s="20" t="str">
        <x:v>GPT-5.5 Pro</x:v>
      </x:c>
      <x:c r="O511" s="20" t="str">
        <x:v>Needs review</x:v>
      </x:c>
      <x:c r="P511" s="20" t="str">
        <x:v>Screening score for European Union / PMC presence in Estonia; verify with country-specific evidence before final use.</x:v>
      </x:c>
    </x:row>
    <x:row r="512" ht="24" customHeight="1">
      <x:c r="A512" s="20" t="str">
        <x:v>EST|European Union|Election interference</x:v>
      </x:c>
      <x:c r="B512" s="20" t="str">
        <x:v>Estonia</x:v>
      </x:c>
      <x:c r="C512" s="20" t="str">
        <x:v>EST</x:v>
      </x:c>
      <x:c r="D512" s="20" t="str">
        <x:v>European Union</x:v>
      </x:c>
      <x:c r="E512" s="20" t="str">
        <x:v>EU influence</x:v>
      </x:c>
      <x:c r="F512" s="20" t="str">
        <x:v>Election interference</x:v>
      </x:c>
      <x:c r="G512" s="384" t="n">
        <x:v>2</x:v>
      </x:c>
      <x:c r="H512" s="396" t="n">
        <x:v>2</x:v>
      </x:c>
      <x:c r="I512" s="20" t="str">
        <x:v>EEAS EU election observation source register</x:v>
      </x:c>
      <x:c r="J512" s="397" t="str">
        <x:v>https://www.eeas.europa.eu/eeas/eu-election-observation-missions-1_en?page_lang=en</x:v>
      </x:c>
      <x:c r="K512" s="20" t="str">
        <x:v>Primary source-register URL; automated screening score</x:v>
      </x:c>
      <x:c r="L512" s="20" t="str">
        <x:v>2026-05-20</x:v>
      </x:c>
      <x:c r="M512" s="20" t="str">
        <x:v>2026-05-20</x:v>
      </x:c>
      <x:c r="N512" s="20" t="str">
        <x:v>GPT-5.5 Pro</x:v>
      </x:c>
      <x:c r="O512" s="20" t="str">
        <x:v>Needs review</x:v>
      </x:c>
      <x:c r="P512" s="20" t="str">
        <x:v>Screening score for European Union / Election interference in Estonia; verify with country-specific evidence before final use.</x:v>
      </x:c>
    </x:row>
    <x:row r="513" ht="24" customHeight="1">
      <x:c r="A513" s="20" t="str">
        <x:v>EST|European Union|Security contractors</x:v>
      </x:c>
      <x:c r="B513" s="20" t="str">
        <x:v>Estonia</x:v>
      </x:c>
      <x:c r="C513" s="20" t="str">
        <x:v>EST</x:v>
      </x:c>
      <x:c r="D513" s="20" t="str">
        <x:v>European Union</x:v>
      </x:c>
      <x:c r="E513" s="20" t="str">
        <x:v>EU influence</x:v>
      </x:c>
      <x:c r="F513" s="20" t="str">
        <x:v>Security contractors</x:v>
      </x:c>
      <x:c r="G513" s="384" t="n">
        <x:v>5</x:v>
      </x:c>
      <x:c r="H513" s="396" t="n">
        <x:v>3</x:v>
      </x:c>
      <x:c r="I513" s="20" t="str">
        <x:v>EEAS CSDP / Global Gateway security source register</x:v>
      </x:c>
      <x:c r="J513" s="397" t="str">
        <x:v>https://www.eeas.europa.eu/eeas/missions-and-operations_en</x:v>
      </x:c>
      <x:c r="K513" s="20" t="str">
        <x:v>Primary source-register URL; automated screening score</x:v>
      </x:c>
      <x:c r="L513" s="20" t="str">
        <x:v>2026-05-20</x:v>
      </x:c>
      <x:c r="M513" s="20" t="str">
        <x:v>2026-05-20</x:v>
      </x:c>
      <x:c r="N513" s="20" t="str">
        <x:v>GPT-5.5 Pro</x:v>
      </x:c>
      <x:c r="O513" s="20" t="str">
        <x:v>Needs review</x:v>
      </x:c>
      <x:c r="P513" s="20" t="str">
        <x:v>Screening score for European Union / Security contractors in Estonia; verify with country-specific evidence before final use.</x:v>
      </x:c>
    </x:row>
    <x:row r="514" ht="24" customHeight="1">
      <x:c r="A514" s="20" t="str">
        <x:v>FSM|Russia|Propaganda ecosystems</x:v>
      </x:c>
      <x:c r="B514" s="20" t="str">
        <x:v>Federated States of Micronesia</x:v>
      </x:c>
      <x:c r="C514" s="20" t="str">
        <x:v>FSM</x:v>
      </x:c>
      <x:c r="D514" s="20" t="str">
        <x:v>Russia</x:v>
      </x:c>
      <x:c r="E514" s="20" t="str">
        <x:v>Russian influence</x:v>
      </x:c>
      <x:c r="F514" s="20" t="str">
        <x:v>Propaganda ecosystems</x:v>
      </x:c>
      <x:c r="G514" s="384" t="n">
        <x:v>2</x:v>
      </x:c>
      <x:c r="H514" s="396" t="n">
        <x:v>2</x:v>
      </x:c>
      <x:c r="I514" s="20" t="str">
        <x:v>EEAS/EUvsDisinfo FIMI source register</x:v>
      </x:c>
      <x:c r="J514" s="397" t="str">
        <x:v>https://www.eeas.europa.eu/eeas/4th-eeas-annual-report-foreign-information-manipulation-and-interference-threats_en</x:v>
      </x:c>
      <x:c r="K514" s="20" t="str">
        <x:v>Primary source-register URL; automated screening score</x:v>
      </x:c>
      <x:c r="L514" s="20" t="str">
        <x:v>2026-05-20</x:v>
      </x:c>
      <x:c r="M514" s="20" t="str">
        <x:v>2026-05-20</x:v>
      </x:c>
      <x:c r="N514" s="20" t="str">
        <x:v>GPT-5.5 Pro</x:v>
      </x:c>
      <x:c r="O514" s="20" t="str">
        <x:v>Needs review</x:v>
      </x:c>
      <x:c r="P514" s="20" t="str">
        <x:v>Screening score for Russia / Propaganda ecosystems in Federated States of Micronesia; verify with country-specific evidence before final use.</x:v>
      </x:c>
    </x:row>
    <x:row r="515" ht="24" customHeight="1">
      <x:c r="A515" s="20" t="str">
        <x:v>FSM|Russia|PMC presence</x:v>
      </x:c>
      <x:c r="B515" s="20" t="str">
        <x:v>Federated States of Micronesia</x:v>
      </x:c>
      <x:c r="C515" s="20" t="str">
        <x:v>FSM</x:v>
      </x:c>
      <x:c r="D515" s="20" t="str">
        <x:v>Russia</x:v>
      </x:c>
      <x:c r="E515" s="20" t="str">
        <x:v>Russian influence</x:v>
      </x:c>
      <x:c r="F515" s="20" t="str">
        <x:v>PMC presence</x:v>
      </x:c>
      <x:c r="G515" s="384" t="n">
        <x:v>0</x:v>
      </x:c>
      <x:c r="H515" s="396" t="n">
        <x:v>1</x:v>
      </x:c>
      <x:c r="I515" s="20" t="str">
        <x:v>Treasury and Council of the EU Wagner/PMC source register</x:v>
      </x:c>
      <x:c r="J515" s="397" t="str">
        <x:v>https://www.consilium.europa.eu/en/press/press-releases/2023/02/25/wagner-group-council-adds-11-individuals-and-7-entities-to-eu-sanctions-lists/</x:v>
      </x:c>
      <x:c r="K515" s="20" t="str">
        <x:v>Primary source-register URL; automated screening score</x:v>
      </x:c>
      <x:c r="L515" s="20" t="str">
        <x:v>2026-05-20</x:v>
      </x:c>
      <x:c r="M515" s="20" t="str">
        <x:v>2026-05-20</x:v>
      </x:c>
      <x:c r="N515" s="20" t="str">
        <x:v>GPT-5.5 Pro</x:v>
      </x:c>
      <x:c r="O515" s="20" t="str">
        <x:v>Needs review</x:v>
      </x:c>
      <x:c r="P515" s="20" t="str">
        <x:v>Screening score for Russia / PMC presence in Federated States of Micronesia; verify with country-specific evidence before final use.</x:v>
      </x:c>
    </x:row>
    <x:row r="516" ht="24" customHeight="1">
      <x:c r="A516" s="20" t="str">
        <x:v>FSM|Russia|Election interference</x:v>
      </x:c>
      <x:c r="B516" s="20" t="str">
        <x:v>Federated States of Micronesia</x:v>
      </x:c>
      <x:c r="C516" s="20" t="str">
        <x:v>FSM</x:v>
      </x:c>
      <x:c r="D516" s="20" t="str">
        <x:v>Russia</x:v>
      </x:c>
      <x:c r="E516" s="20" t="str">
        <x:v>Russian influence</x:v>
      </x:c>
      <x:c r="F516" s="20" t="str">
        <x:v>Election interference</x:v>
      </x:c>
      <x:c r="G516" s="384" t="n">
        <x:v>0</x:v>
      </x:c>
      <x:c r="H516" s="396" t="n">
        <x:v>1</x:v>
      </x:c>
      <x:c r="I516" s="20" t="str">
        <x:v>ODNI/EEAS election-FIMI source register</x:v>
      </x:c>
      <x:c r="J516" s="397" t="str">
        <x:v>https://www.dni.gov/files/ODNI/documents/assessments/ATA-2026-Unclassified-Report.pdf</x:v>
      </x:c>
      <x:c r="K516" s="20" t="str">
        <x:v>Primary source-register URL; automated screening score</x:v>
      </x:c>
      <x:c r="L516" s="20" t="str">
        <x:v>2026-05-20</x:v>
      </x:c>
      <x:c r="M516" s="20" t="str">
        <x:v>2026-05-20</x:v>
      </x:c>
      <x:c r="N516" s="20" t="str">
        <x:v>GPT-5.5 Pro</x:v>
      </x:c>
      <x:c r="O516" s="20" t="str">
        <x:v>Needs review</x:v>
      </x:c>
      <x:c r="P516" s="20" t="str">
        <x:v>Screening score for Russia / Election interference in Federated States of Micronesia; verify with country-specific evidence before final use.</x:v>
      </x:c>
    </x:row>
    <x:row r="517" ht="24" customHeight="1">
      <x:c r="A517" s="20" t="str">
        <x:v>FSM|Russia|Security contractors</x:v>
      </x:c>
      <x:c r="B517" s="20" t="str">
        <x:v>Federated States of Micronesia</x:v>
      </x:c>
      <x:c r="C517" s="20" t="str">
        <x:v>FSM</x:v>
      </x:c>
      <x:c r="D517" s="20" t="str">
        <x:v>Russia</x:v>
      </x:c>
      <x:c r="E517" s="20" t="str">
        <x:v>Russian influence</x:v>
      </x:c>
      <x:c r="F517" s="20" t="str">
        <x:v>Security contractors</x:v>
      </x:c>
      <x:c r="G517" s="384" t="n">
        <x:v>0</x:v>
      </x:c>
      <x:c r="H517" s="396" t="n">
        <x:v>1</x:v>
      </x:c>
      <x:c r="I517" s="20" t="str">
        <x:v>Council of the EU/Treasury Wagner-security source register</x:v>
      </x:c>
      <x:c r="J517" s="397" t="str">
        <x:v>https://www.consilium.europa.eu/en/press/press-releases/2023/02/25/wagner-group-council-adds-11-individuals-and-7-entities-to-eu-sanctions-lists/</x:v>
      </x:c>
      <x:c r="K517" s="20" t="str">
        <x:v>Primary source-register URL; automated screening score</x:v>
      </x:c>
      <x:c r="L517" s="20" t="str">
        <x:v>2026-05-20</x:v>
      </x:c>
      <x:c r="M517" s="20" t="str">
        <x:v>2026-05-20</x:v>
      </x:c>
      <x:c r="N517" s="20" t="str">
        <x:v>GPT-5.5 Pro</x:v>
      </x:c>
      <x:c r="O517" s="20" t="str">
        <x:v>Needs review</x:v>
      </x:c>
      <x:c r="P517" s="20" t="str">
        <x:v>Screening score for Russia / Security contractors in Federated States of Micronesia; verify with country-specific evidence before final use.</x:v>
      </x:c>
    </x:row>
    <x:row r="518" ht="24" customHeight="1">
      <x:c r="A518" s="20" t="str">
        <x:v>FSM|China|Propaganda ecosystems</x:v>
      </x:c>
      <x:c r="B518" s="20" t="str">
        <x:v>Federated States of Micronesia</x:v>
      </x:c>
      <x:c r="C518" s="20" t="str">
        <x:v>FSM</x:v>
      </x:c>
      <x:c r="D518" s="20" t="str">
        <x:v>China</x:v>
      </x:c>
      <x:c r="E518" s="20" t="str">
        <x:v>Chinese influence</x:v>
      </x:c>
      <x:c r="F518" s="20" t="str">
        <x:v>Propaganda ecosystems</x:v>
      </x:c>
      <x:c r="G518" s="384" t="n">
        <x:v>7</x:v>
      </x:c>
      <x:c r="H518" s="396" t="n">
        <x:v>4</x:v>
      </x:c>
      <x:c r="I518" s="20" t="str">
        <x:v>EEAS/ODNI China FIMI source register</x:v>
      </x:c>
      <x:c r="J518" s="397" t="str">
        <x:v>https://www.eeas.europa.eu/eeas/4th-eeas-annual-report-foreign-information-manipulation-and-interference-threats_en</x:v>
      </x:c>
      <x:c r="K518" s="20" t="str">
        <x:v>Primary source-register URL; automated screening score</x:v>
      </x:c>
      <x:c r="L518" s="20" t="str">
        <x:v>2026-05-20</x:v>
      </x:c>
      <x:c r="M518" s="20" t="str">
        <x:v>2026-05-20</x:v>
      </x:c>
      <x:c r="N518" s="20" t="str">
        <x:v>GPT-5.5 Pro</x:v>
      </x:c>
      <x:c r="O518" s="20" t="str">
        <x:v>Needs review</x:v>
      </x:c>
      <x:c r="P518" s="20" t="str">
        <x:v>Screening score for China / Propaganda ecosystems in Federated States of Micronesia; verify with country-specific evidence before final use.</x:v>
      </x:c>
    </x:row>
    <x:row r="519" ht="24" customHeight="1">
      <x:c r="A519" s="20" t="str">
        <x:v>FSM|China|PMC presence</x:v>
      </x:c>
      <x:c r="B519" s="20" t="str">
        <x:v>Federated States of Micronesia</x:v>
      </x:c>
      <x:c r="C519" s="20" t="str">
        <x:v>FSM</x:v>
      </x:c>
      <x:c r="D519" s="20" t="str">
        <x:v>China</x:v>
      </x:c>
      <x:c r="E519" s="20" t="str">
        <x:v>Chinese influence</x:v>
      </x:c>
      <x:c r="F519" s="20" t="str">
        <x:v>PMC presence</x:v>
      </x:c>
      <x:c r="G519" s="384" t="n">
        <x:v>1</x:v>
      </x:c>
      <x:c r="H519" s="396" t="n">
        <x:v>2</x:v>
      </x:c>
      <x:c r="I519" s="20" t="str">
        <x:v>MERICS/Carnegie Chinese overseas PSC source register</x:v>
      </x:c>
      <x:c r="J519" s="397" t="str">
        <x:v>https://merics.org/en/report/guardians-belt-and-road</x:v>
      </x:c>
      <x:c r="K519" s="20" t="str">
        <x:v>Primary source-register URL; automated screening score</x:v>
      </x:c>
      <x:c r="L519" s="20" t="str">
        <x:v>2026-05-20</x:v>
      </x:c>
      <x:c r="M519" s="20" t="str">
        <x:v>2026-05-20</x:v>
      </x:c>
      <x:c r="N519" s="20" t="str">
        <x:v>GPT-5.5 Pro</x:v>
      </x:c>
      <x:c r="O519" s="20" t="str">
        <x:v>Needs review</x:v>
      </x:c>
      <x:c r="P519" s="20" t="str">
        <x:v>Screening score for China / PMC presence in Federated States of Micronesia; verify with country-specific evidence before final use.</x:v>
      </x:c>
    </x:row>
    <x:row r="520" ht="24" customHeight="1">
      <x:c r="A520" s="20" t="str">
        <x:v>FSM|China|Election interference</x:v>
      </x:c>
      <x:c r="B520" s="20" t="str">
        <x:v>Federated States of Micronesia</x:v>
      </x:c>
      <x:c r="C520" s="20" t="str">
        <x:v>FSM</x:v>
      </x:c>
      <x:c r="D520" s="20" t="str">
        <x:v>China</x:v>
      </x:c>
      <x:c r="E520" s="20" t="str">
        <x:v>Chinese influence</x:v>
      </x:c>
      <x:c r="F520" s="20" t="str">
        <x:v>Election interference</x:v>
      </x:c>
      <x:c r="G520" s="384" t="n">
        <x:v>3</x:v>
      </x:c>
      <x:c r="H520" s="396" t="n">
        <x:v>3</x:v>
      </x:c>
      <x:c r="I520" s="20" t="str">
        <x:v>EEAS/ODNI China election-FIMI source register</x:v>
      </x:c>
      <x:c r="J520" s="397" t="str">
        <x:v>https://www.eeas.europa.eu/eeas/4th-eeas-annual-report-foreign-information-manipulation-and-interference-threats_en</x:v>
      </x:c>
      <x:c r="K520" s="20" t="str">
        <x:v>Primary source-register URL; automated screening score</x:v>
      </x:c>
      <x:c r="L520" s="20" t="str">
        <x:v>2026-05-20</x:v>
      </x:c>
      <x:c r="M520" s="20" t="str">
        <x:v>2026-05-20</x:v>
      </x:c>
      <x:c r="N520" s="20" t="str">
        <x:v>GPT-5.5 Pro</x:v>
      </x:c>
      <x:c r="O520" s="20" t="str">
        <x:v>Needs review</x:v>
      </x:c>
      <x:c r="P520" s="20" t="str">
        <x:v>Screening score for China / Election interference in Federated States of Micronesia; verify with country-specific evidence before final use.</x:v>
      </x:c>
    </x:row>
    <x:row r="521" ht="24" customHeight="1">
      <x:c r="A521" s="20" t="str">
        <x:v>FSM|China|Security contractors</x:v>
      </x:c>
      <x:c r="B521" s="20" t="str">
        <x:v>Federated States of Micronesia</x:v>
      </x:c>
      <x:c r="C521" s="20" t="str">
        <x:v>FSM</x:v>
      </x:c>
      <x:c r="D521" s="20" t="str">
        <x:v>China</x:v>
      </x:c>
      <x:c r="E521" s="20" t="str">
        <x:v>Chinese influence</x:v>
      </x:c>
      <x:c r="F521" s="20" t="str">
        <x:v>Security contractors</x:v>
      </x:c>
      <x:c r="G521" s="384" t="n">
        <x:v>2</x:v>
      </x:c>
      <x:c r="H521" s="396" t="n">
        <x:v>2</x:v>
      </x:c>
      <x:c r="I521" s="20" t="str">
        <x:v>MERICS/Carnegie Chinese security contractor source register</x:v>
      </x:c>
      <x:c r="J521" s="397" t="str">
        <x:v>https://merics.org/en/report/guardians-belt-and-road</x:v>
      </x:c>
      <x:c r="K521" s="20" t="str">
        <x:v>Primary source-register URL; automated screening score</x:v>
      </x:c>
      <x:c r="L521" s="20" t="str">
        <x:v>2026-05-20</x:v>
      </x:c>
      <x:c r="M521" s="20" t="str">
        <x:v>2026-05-20</x:v>
      </x:c>
      <x:c r="N521" s="20" t="str">
        <x:v>GPT-5.5 Pro</x:v>
      </x:c>
      <x:c r="O521" s="20" t="str">
        <x:v>Needs review</x:v>
      </x:c>
      <x:c r="P521" s="20" t="str">
        <x:v>Screening score for China / Security contractors in Federated States of Micronesia; verify with country-specific evidence before final use.</x:v>
      </x:c>
    </x:row>
    <x:row r="522" ht="24" customHeight="1">
      <x:c r="A522" s="20" t="str">
        <x:v>FSM|United States|Propaganda ecosystems</x:v>
      </x:c>
      <x:c r="B522" s="20" t="str">
        <x:v>Federated States of Micronesia</x:v>
      </x:c>
      <x:c r="C522" s="20" t="str">
        <x:v>FSM</x:v>
      </x:c>
      <x:c r="D522" s="20" t="str">
        <x:v>United States</x:v>
      </x:c>
      <x:c r="E522" s="20" t="str">
        <x:v>American influence</x:v>
      </x:c>
      <x:c r="F522" s="20" t="str">
        <x:v>Propaganda ecosystems</x:v>
      </x:c>
      <x:c r="G522" s="384" t="n">
        <x:v>3</x:v>
      </x:c>
      <x:c r="H522" s="396" t="n">
        <x:v>3</x:v>
      </x:c>
      <x:c r="I522" s="20" t="str">
        <x:v>USAGM public media source register</x:v>
      </x:c>
      <x:c r="J522" s="397" t="str">
        <x:v>https://www.usagm.gov/our-work/strategy-and-results/strategic-priorities/research-reports/</x:v>
      </x:c>
      <x:c r="K522" s="20" t="str">
        <x:v>Primary source-register URL; automated screening score</x:v>
      </x:c>
      <x:c r="L522" s="20" t="str">
        <x:v>2026-05-20</x:v>
      </x:c>
      <x:c r="M522" s="20" t="str">
        <x:v>2026-05-20</x:v>
      </x:c>
      <x:c r="N522" s="20" t="str">
        <x:v>GPT-5.5 Pro</x:v>
      </x:c>
      <x:c r="O522" s="20" t="str">
        <x:v>Needs review</x:v>
      </x:c>
      <x:c r="P522" s="20" t="str">
        <x:v>Screening score for United States / Propaganda ecosystems in Federated States of Micronesia; verify with country-specific evidence before final use.</x:v>
      </x:c>
    </x:row>
    <x:row r="523" ht="24" customHeight="1">
      <x:c r="A523" s="20" t="str">
        <x:v>FSM|United States|PMC presence</x:v>
      </x:c>
      <x:c r="B523" s="20" t="str">
        <x:v>Federated States of Micronesia</x:v>
      </x:c>
      <x:c r="C523" s="20" t="str">
        <x:v>FSM</x:v>
      </x:c>
      <x:c r="D523" s="20" t="str">
        <x:v>United States</x:v>
      </x:c>
      <x:c r="E523" s="20" t="str">
        <x:v>American influence</x:v>
      </x:c>
      <x:c r="F523" s="20" t="str">
        <x:v>PMC presence</x:v>
      </x:c>
      <x:c r="G523" s="384" t="n">
        <x:v>1</x:v>
      </x:c>
      <x:c r="H523" s="396" t="n">
        <x:v>2</x:v>
      </x:c>
      <x:c r="I523" s="20" t="str">
        <x:v>SAM/Greenbook U.S. security assistance contractor source register</x:v>
      </x:c>
      <x:c r="J523" s="397" t="str">
        <x:v>https://internationalpolicy.org/programs/sam/</x:v>
      </x:c>
      <x:c r="K523" s="20" t="str">
        <x:v>Primary source-register URL; automated screening score</x:v>
      </x:c>
      <x:c r="L523" s="20" t="str">
        <x:v>2026-05-20</x:v>
      </x:c>
      <x:c r="M523" s="20" t="str">
        <x:v>2026-05-20</x:v>
      </x:c>
      <x:c r="N523" s="20" t="str">
        <x:v>GPT-5.5 Pro</x:v>
      </x:c>
      <x:c r="O523" s="20" t="str">
        <x:v>Needs review</x:v>
      </x:c>
      <x:c r="P523" s="20" t="str">
        <x:v>Screening score for United States / PMC presence in Federated States of Micronesia; verify with country-specific evidence before final use.</x:v>
      </x:c>
    </x:row>
    <x:row r="524" ht="24" customHeight="1">
      <x:c r="A524" s="20" t="str">
        <x:v>FSM|United States|Election interference</x:v>
      </x:c>
      <x:c r="B524" s="20" t="str">
        <x:v>Federated States of Micronesia</x:v>
      </x:c>
      <x:c r="C524" s="20" t="str">
        <x:v>FSM</x:v>
      </x:c>
      <x:c r="D524" s="20" t="str">
        <x:v>United States</x:v>
      </x:c>
      <x:c r="E524" s="20" t="str">
        <x:v>American influence</x:v>
      </x:c>
      <x:c r="F524" s="20" t="str">
        <x:v>Election interference</x:v>
      </x:c>
      <x:c r="G524" s="384" t="n">
        <x:v>1</x:v>
      </x:c>
      <x:c r="H524" s="396" t="n">
        <x:v>2</x:v>
      </x:c>
      <x:c r="I524" s="20" t="str">
        <x:v>NED/Greenbook democracy assistance source register</x:v>
      </x:c>
      <x:c r="J524" s="397" t="str">
        <x:v>https://www.ned.org/ned-grantmaking/</x:v>
      </x:c>
      <x:c r="K524" s="20" t="str">
        <x:v>Primary source-register URL; automated screening score</x:v>
      </x:c>
      <x:c r="L524" s="20" t="str">
        <x:v>2026-05-20</x:v>
      </x:c>
      <x:c r="M524" s="20" t="str">
        <x:v>2026-05-20</x:v>
      </x:c>
      <x:c r="N524" s="20" t="str">
        <x:v>GPT-5.5 Pro</x:v>
      </x:c>
      <x:c r="O524" s="20" t="str">
        <x:v>Needs review</x:v>
      </x:c>
      <x:c r="P524" s="20" t="str">
        <x:v>Screening score for United States / Election interference in Federated States of Micronesia; verify with country-specific evidence before final use.</x:v>
      </x:c>
    </x:row>
    <x:row r="525" ht="24" customHeight="1">
      <x:c r="A525" s="20" t="str">
        <x:v>FSM|United States|Security contractors</x:v>
      </x:c>
      <x:c r="B525" s="20" t="str">
        <x:v>Federated States of Micronesia</x:v>
      </x:c>
      <x:c r="C525" s="20" t="str">
        <x:v>FSM</x:v>
      </x:c>
      <x:c r="D525" s="20" t="str">
        <x:v>United States</x:v>
      </x:c>
      <x:c r="E525" s="20" t="str">
        <x:v>American influence</x:v>
      </x:c>
      <x:c r="F525" s="20" t="str">
        <x:v>Security contractors</x:v>
      </x:c>
      <x:c r="G525" s="384" t="n">
        <x:v>2</x:v>
      </x:c>
      <x:c r="H525" s="396" t="n">
        <x:v>2</x:v>
      </x:c>
      <x:c r="I525" s="20" t="str">
        <x:v>SAM/Greenbook U.S. security contractor source register</x:v>
      </x:c>
      <x:c r="J525" s="397" t="str">
        <x:v>https://internationalpolicy.org/programs/sam/</x:v>
      </x:c>
      <x:c r="K525" s="20" t="str">
        <x:v>Primary source-register URL; automated screening score</x:v>
      </x:c>
      <x:c r="L525" s="20" t="str">
        <x:v>2026-05-20</x:v>
      </x:c>
      <x:c r="M525" s="20" t="str">
        <x:v>2026-05-20</x:v>
      </x:c>
      <x:c r="N525" s="20" t="str">
        <x:v>GPT-5.5 Pro</x:v>
      </x:c>
      <x:c r="O525" s="20" t="str">
        <x:v>Needs review</x:v>
      </x:c>
      <x:c r="P525" s="20" t="str">
        <x:v>Screening score for United States / Security contractors in Federated States of Micronesia; verify with country-specific evidence before final use.</x:v>
      </x:c>
    </x:row>
    <x:row r="526" ht="24" customHeight="1">
      <x:c r="A526" s="20" t="str">
        <x:v>FSM|European Union|Propaganda ecosystems</x:v>
      </x:c>
      <x:c r="B526" s="20" t="str">
        <x:v>Federated States of Micronesia</x:v>
      </x:c>
      <x:c r="C526" s="20" t="str">
        <x:v>FSM</x:v>
      </x:c>
      <x:c r="D526" s="20" t="str">
        <x:v>European Union</x:v>
      </x:c>
      <x:c r="E526" s="20" t="str">
        <x:v>EU influence</x:v>
      </x:c>
      <x:c r="F526" s="20" t="str">
        <x:v>Propaganda ecosystems</x:v>
      </x:c>
      <x:c r="G526" s="384" t="n">
        <x:v>2</x:v>
      </x:c>
      <x:c r="H526" s="396" t="n">
        <x:v>2</x:v>
      </x:c>
      <x:c r="I526" s="20" t="str">
        <x:v>EEAS public diplomacy source register</x:v>
      </x:c>
      <x:c r="J526" s="397" t="str">
        <x:v>https://www.eeas.europa.eu/eeas/public-diplomacy_en</x:v>
      </x:c>
      <x:c r="K526" s="20" t="str">
        <x:v>Primary source-register URL; automated screening score</x:v>
      </x:c>
      <x:c r="L526" s="20" t="str">
        <x:v>2026-05-20</x:v>
      </x:c>
      <x:c r="M526" s="20" t="str">
        <x:v>2026-05-20</x:v>
      </x:c>
      <x:c r="N526" s="20" t="str">
        <x:v>GPT-5.5 Pro</x:v>
      </x:c>
      <x:c r="O526" s="20" t="str">
        <x:v>Needs review</x:v>
      </x:c>
      <x:c r="P526" s="20" t="str">
        <x:v>Screening score for European Union / Propaganda ecosystems in Federated States of Micronesia; verify with country-specific evidence before final use.</x:v>
      </x:c>
    </x:row>
    <x:row r="527" ht="24" customHeight="1">
      <x:c r="A527" s="20" t="str">
        <x:v>FSM|European Union|PMC presence</x:v>
      </x:c>
      <x:c r="B527" s="20" t="str">
        <x:v>Federated States of Micronesia</x:v>
      </x:c>
      <x:c r="C527" s="20" t="str">
        <x:v>FSM</x:v>
      </x:c>
      <x:c r="D527" s="20" t="str">
        <x:v>European Union</x:v>
      </x:c>
      <x:c r="E527" s="20" t="str">
        <x:v>EU influence</x:v>
      </x:c>
      <x:c r="F527" s="20" t="str">
        <x:v>PMC presence</x:v>
      </x:c>
      <x:c r="G527" s="384" t="n">
        <x:v>0</x:v>
      </x:c>
      <x:c r="H527" s="396" t="n">
        <x:v>1</x:v>
      </x:c>
      <x:c r="I527" s="20" t="str">
        <x:v>EEAS CSDP missions source register</x:v>
      </x:c>
      <x:c r="J527" s="397" t="str">
        <x:v>https://www.eeas.europa.eu/eeas/missions-and-operations_en</x:v>
      </x:c>
      <x:c r="K527" s="20" t="str">
        <x:v>Primary source-register URL; automated screening score</x:v>
      </x:c>
      <x:c r="L527" s="20" t="str">
        <x:v>2026-05-20</x:v>
      </x:c>
      <x:c r="M527" s="20" t="str">
        <x:v>2026-05-20</x:v>
      </x:c>
      <x:c r="N527" s="20" t="str">
        <x:v>GPT-5.5 Pro</x:v>
      </x:c>
      <x:c r="O527" s="20" t="str">
        <x:v>Needs review</x:v>
      </x:c>
      <x:c r="P527" s="20" t="str">
        <x:v>Screening score for European Union / PMC presence in Federated States of Micronesia; verify with country-specific evidence before final use.</x:v>
      </x:c>
    </x:row>
    <x:row r="528" ht="24" customHeight="1">
      <x:c r="A528" s="20" t="str">
        <x:v>FSM|European Union|Election interference</x:v>
      </x:c>
      <x:c r="B528" s="20" t="str">
        <x:v>Federated States of Micronesia</x:v>
      </x:c>
      <x:c r="C528" s="20" t="str">
        <x:v>FSM</x:v>
      </x:c>
      <x:c r="D528" s="20" t="str">
        <x:v>European Union</x:v>
      </x:c>
      <x:c r="E528" s="20" t="str">
        <x:v>EU influence</x:v>
      </x:c>
      <x:c r="F528" s="20" t="str">
        <x:v>Election interference</x:v>
      </x:c>
      <x:c r="G528" s="384" t="n">
        <x:v>1</x:v>
      </x:c>
      <x:c r="H528" s="396" t="n">
        <x:v>2</x:v>
      </x:c>
      <x:c r="I528" s="20" t="str">
        <x:v>EEAS EU election observation source register</x:v>
      </x:c>
      <x:c r="J528" s="397" t="str">
        <x:v>https://www.eeas.europa.eu/eeas/eu-election-observation-missions-1_en?page_lang=en</x:v>
      </x:c>
      <x:c r="K528" s="20" t="str">
        <x:v>Primary source-register URL; automated screening score</x:v>
      </x:c>
      <x:c r="L528" s="20" t="str">
        <x:v>2026-05-20</x:v>
      </x:c>
      <x:c r="M528" s="20" t="str">
        <x:v>2026-05-20</x:v>
      </x:c>
      <x:c r="N528" s="20" t="str">
        <x:v>GPT-5.5 Pro</x:v>
      </x:c>
      <x:c r="O528" s="20" t="str">
        <x:v>Needs review</x:v>
      </x:c>
      <x:c r="P528" s="20" t="str">
        <x:v>Screening score for European Union / Election interference in Federated States of Micronesia; verify with country-specific evidence before final use.</x:v>
      </x:c>
    </x:row>
    <x:row r="529" ht="24" customHeight="1">
      <x:c r="A529" s="20" t="str">
        <x:v>FSM|European Union|Security contractors</x:v>
      </x:c>
      <x:c r="B529" s="20" t="str">
        <x:v>Federated States of Micronesia</x:v>
      </x:c>
      <x:c r="C529" s="20" t="str">
        <x:v>FSM</x:v>
      </x:c>
      <x:c r="D529" s="20" t="str">
        <x:v>European Union</x:v>
      </x:c>
      <x:c r="E529" s="20" t="str">
        <x:v>EU influence</x:v>
      </x:c>
      <x:c r="F529" s="20" t="str">
        <x:v>Security contractors</x:v>
      </x:c>
      <x:c r="G529" s="384" t="n">
        <x:v>1</x:v>
      </x:c>
      <x:c r="H529" s="396" t="n">
        <x:v>2</x:v>
      </x:c>
      <x:c r="I529" s="20" t="str">
        <x:v>EEAS CSDP / Global Gateway security source register</x:v>
      </x:c>
      <x:c r="J529" s="397" t="str">
        <x:v>https://www.eeas.europa.eu/eeas/missions-and-operations_en</x:v>
      </x:c>
      <x:c r="K529" s="20" t="str">
        <x:v>Primary source-register URL; automated screening score</x:v>
      </x:c>
      <x:c r="L529" s="20" t="str">
        <x:v>2026-05-20</x:v>
      </x:c>
      <x:c r="M529" s="20" t="str">
        <x:v>2026-05-20</x:v>
      </x:c>
      <x:c r="N529" s="20" t="str">
        <x:v>GPT-5.5 Pro</x:v>
      </x:c>
      <x:c r="O529" s="20" t="str">
        <x:v>Needs review</x:v>
      </x:c>
      <x:c r="P529" s="20" t="str">
        <x:v>Screening score for European Union / Security contractors in Federated States of Micronesia; verify with country-specific evidence before final use.</x:v>
      </x:c>
    </x:row>
    <x:row r="530" ht="24" customHeight="1">
      <x:c r="A530" s="20" t="str">
        <x:v>FJI|Russia|Propaganda ecosystems</x:v>
      </x:c>
      <x:c r="B530" s="20" t="str">
        <x:v>Fiji</x:v>
      </x:c>
      <x:c r="C530" s="20" t="str">
        <x:v>FJI</x:v>
      </x:c>
      <x:c r="D530" s="20" t="str">
        <x:v>Russia</x:v>
      </x:c>
      <x:c r="E530" s="20" t="str">
        <x:v>Russian influence</x:v>
      </x:c>
      <x:c r="F530" s="20" t="str">
        <x:v>Propaganda ecosystems</x:v>
      </x:c>
      <x:c r="G530" s="384" t="n">
        <x:v>2</x:v>
      </x:c>
      <x:c r="H530" s="396" t="n">
        <x:v>2</x:v>
      </x:c>
      <x:c r="I530" s="20" t="str">
        <x:v>EEAS/EUvsDisinfo FIMI source register</x:v>
      </x:c>
      <x:c r="J530" s="397" t="str">
        <x:v>https://www.eeas.europa.eu/eeas/4th-eeas-annual-report-foreign-information-manipulation-and-interference-threats_en</x:v>
      </x:c>
      <x:c r="K530" s="20" t="str">
        <x:v>Primary source-register URL; automated screening score</x:v>
      </x:c>
      <x:c r="L530" s="20" t="str">
        <x:v>2026-05-20</x:v>
      </x:c>
      <x:c r="M530" s="20" t="str">
        <x:v>2026-05-20</x:v>
      </x:c>
      <x:c r="N530" s="20" t="str">
        <x:v>GPT-5.5 Pro</x:v>
      </x:c>
      <x:c r="O530" s="20" t="str">
        <x:v>Needs review</x:v>
      </x:c>
      <x:c r="P530" s="20" t="str">
        <x:v>Screening score for Russia / Propaganda ecosystems in Fiji; verify with country-specific evidence before final use.</x:v>
      </x:c>
    </x:row>
    <x:row r="531" ht="24" customHeight="1">
      <x:c r="A531" s="20" t="str">
        <x:v>FJI|Russia|PMC presence</x:v>
      </x:c>
      <x:c r="B531" s="20" t="str">
        <x:v>Fiji</x:v>
      </x:c>
      <x:c r="C531" s="20" t="str">
        <x:v>FJI</x:v>
      </x:c>
      <x:c r="D531" s="20" t="str">
        <x:v>Russia</x:v>
      </x:c>
      <x:c r="E531" s="20" t="str">
        <x:v>Russian influence</x:v>
      </x:c>
      <x:c r="F531" s="20" t="str">
        <x:v>PMC presence</x:v>
      </x:c>
      <x:c r="G531" s="384" t="n">
        <x:v>0</x:v>
      </x:c>
      <x:c r="H531" s="396" t="n">
        <x:v>1</x:v>
      </x:c>
      <x:c r="I531" s="20" t="str">
        <x:v>Treasury and Council of the EU Wagner/PMC source register</x:v>
      </x:c>
      <x:c r="J531" s="397" t="str">
        <x:v>https://www.consilium.europa.eu/en/press/press-releases/2023/02/25/wagner-group-council-adds-11-individuals-and-7-entities-to-eu-sanctions-lists/</x:v>
      </x:c>
      <x:c r="K531" s="20" t="str">
        <x:v>Primary source-register URL; automated screening score</x:v>
      </x:c>
      <x:c r="L531" s="20" t="str">
        <x:v>2026-05-20</x:v>
      </x:c>
      <x:c r="M531" s="20" t="str">
        <x:v>2026-05-20</x:v>
      </x:c>
      <x:c r="N531" s="20" t="str">
        <x:v>GPT-5.5 Pro</x:v>
      </x:c>
      <x:c r="O531" s="20" t="str">
        <x:v>Needs review</x:v>
      </x:c>
      <x:c r="P531" s="20" t="str">
        <x:v>Screening score for Russia / PMC presence in Fiji; verify with country-specific evidence before final use.</x:v>
      </x:c>
    </x:row>
    <x:row r="532" ht="24" customHeight="1">
      <x:c r="A532" s="20" t="str">
        <x:v>FJI|Russia|Election interference</x:v>
      </x:c>
      <x:c r="B532" s="20" t="str">
        <x:v>Fiji</x:v>
      </x:c>
      <x:c r="C532" s="20" t="str">
        <x:v>FJI</x:v>
      </x:c>
      <x:c r="D532" s="20" t="str">
        <x:v>Russia</x:v>
      </x:c>
      <x:c r="E532" s="20" t="str">
        <x:v>Russian influence</x:v>
      </x:c>
      <x:c r="F532" s="20" t="str">
        <x:v>Election interference</x:v>
      </x:c>
      <x:c r="G532" s="384" t="n">
        <x:v>0</x:v>
      </x:c>
      <x:c r="H532" s="396" t="n">
        <x:v>1</x:v>
      </x:c>
      <x:c r="I532" s="20" t="str">
        <x:v>ODNI/EEAS election-FIMI source register</x:v>
      </x:c>
      <x:c r="J532" s="397" t="str">
        <x:v>https://www.dni.gov/files/ODNI/documents/assessments/ATA-2026-Unclassified-Report.pdf</x:v>
      </x:c>
      <x:c r="K532" s="20" t="str">
        <x:v>Primary source-register URL; automated screening score</x:v>
      </x:c>
      <x:c r="L532" s="20" t="str">
        <x:v>2026-05-20</x:v>
      </x:c>
      <x:c r="M532" s="20" t="str">
        <x:v>2026-05-20</x:v>
      </x:c>
      <x:c r="N532" s="20" t="str">
        <x:v>GPT-5.5 Pro</x:v>
      </x:c>
      <x:c r="O532" s="20" t="str">
        <x:v>Needs review</x:v>
      </x:c>
      <x:c r="P532" s="20" t="str">
        <x:v>Screening score for Russia / Election interference in Fiji; verify with country-specific evidence before final use.</x:v>
      </x:c>
    </x:row>
    <x:row r="533" ht="24" customHeight="1">
      <x:c r="A533" s="20" t="str">
        <x:v>FJI|Russia|Security contractors</x:v>
      </x:c>
      <x:c r="B533" s="20" t="str">
        <x:v>Fiji</x:v>
      </x:c>
      <x:c r="C533" s="20" t="str">
        <x:v>FJI</x:v>
      </x:c>
      <x:c r="D533" s="20" t="str">
        <x:v>Russia</x:v>
      </x:c>
      <x:c r="E533" s="20" t="str">
        <x:v>Russian influence</x:v>
      </x:c>
      <x:c r="F533" s="20" t="str">
        <x:v>Security contractors</x:v>
      </x:c>
      <x:c r="G533" s="384" t="n">
        <x:v>0</x:v>
      </x:c>
      <x:c r="H533" s="396" t="n">
        <x:v>1</x:v>
      </x:c>
      <x:c r="I533" s="20" t="str">
        <x:v>Council of the EU/Treasury Wagner-security source register</x:v>
      </x:c>
      <x:c r="J533" s="397" t="str">
        <x:v>https://www.consilium.europa.eu/en/press/press-releases/2023/02/25/wagner-group-council-adds-11-individuals-and-7-entities-to-eu-sanctions-lists/</x:v>
      </x:c>
      <x:c r="K533" s="20" t="str">
        <x:v>Primary source-register URL; automated screening score</x:v>
      </x:c>
      <x:c r="L533" s="20" t="str">
        <x:v>2026-05-20</x:v>
      </x:c>
      <x:c r="M533" s="20" t="str">
        <x:v>2026-05-20</x:v>
      </x:c>
      <x:c r="N533" s="20" t="str">
        <x:v>GPT-5.5 Pro</x:v>
      </x:c>
      <x:c r="O533" s="20" t="str">
        <x:v>Needs review</x:v>
      </x:c>
      <x:c r="P533" s="20" t="str">
        <x:v>Screening score for Russia / Security contractors in Fiji; verify with country-specific evidence before final use.</x:v>
      </x:c>
    </x:row>
    <x:row r="534" ht="24" customHeight="1">
      <x:c r="A534" s="20" t="str">
        <x:v>FJI|China|Propaganda ecosystems</x:v>
      </x:c>
      <x:c r="B534" s="20" t="str">
        <x:v>Fiji</x:v>
      </x:c>
      <x:c r="C534" s="20" t="str">
        <x:v>FJI</x:v>
      </x:c>
      <x:c r="D534" s="20" t="str">
        <x:v>China</x:v>
      </x:c>
      <x:c r="E534" s="20" t="str">
        <x:v>Chinese influence</x:v>
      </x:c>
      <x:c r="F534" s="20" t="str">
        <x:v>Propaganda ecosystems</x:v>
      </x:c>
      <x:c r="G534" s="384" t="n">
        <x:v>7</x:v>
      </x:c>
      <x:c r="H534" s="396" t="n">
        <x:v>4</x:v>
      </x:c>
      <x:c r="I534" s="20" t="str">
        <x:v>EEAS/ODNI China FIMI source register</x:v>
      </x:c>
      <x:c r="J534" s="397" t="str">
        <x:v>https://www.eeas.europa.eu/eeas/4th-eeas-annual-report-foreign-information-manipulation-and-interference-threats_en</x:v>
      </x:c>
      <x:c r="K534" s="20" t="str">
        <x:v>Primary source-register URL; automated screening score</x:v>
      </x:c>
      <x:c r="L534" s="20" t="str">
        <x:v>2026-05-20</x:v>
      </x:c>
      <x:c r="M534" s="20" t="str">
        <x:v>2026-05-20</x:v>
      </x:c>
      <x:c r="N534" s="20" t="str">
        <x:v>GPT-5.5 Pro</x:v>
      </x:c>
      <x:c r="O534" s="20" t="str">
        <x:v>Needs review</x:v>
      </x:c>
      <x:c r="P534" s="20" t="str">
        <x:v>Screening score for China / Propaganda ecosystems in Fiji; verify with country-specific evidence before final use.</x:v>
      </x:c>
    </x:row>
    <x:row r="535" ht="24" customHeight="1">
      <x:c r="A535" s="20" t="str">
        <x:v>FJI|China|PMC presence</x:v>
      </x:c>
      <x:c r="B535" s="20" t="str">
        <x:v>Fiji</x:v>
      </x:c>
      <x:c r="C535" s="20" t="str">
        <x:v>FJI</x:v>
      </x:c>
      <x:c r="D535" s="20" t="str">
        <x:v>China</x:v>
      </x:c>
      <x:c r="E535" s="20" t="str">
        <x:v>Chinese influence</x:v>
      </x:c>
      <x:c r="F535" s="20" t="str">
        <x:v>PMC presence</x:v>
      </x:c>
      <x:c r="G535" s="384" t="n">
        <x:v>1</x:v>
      </x:c>
      <x:c r="H535" s="396" t="n">
        <x:v>2</x:v>
      </x:c>
      <x:c r="I535" s="20" t="str">
        <x:v>MERICS/Carnegie Chinese overseas PSC source register</x:v>
      </x:c>
      <x:c r="J535" s="397" t="str">
        <x:v>https://merics.org/en/report/guardians-belt-and-road</x:v>
      </x:c>
      <x:c r="K535" s="20" t="str">
        <x:v>Primary source-register URL; automated screening score</x:v>
      </x:c>
      <x:c r="L535" s="20" t="str">
        <x:v>2026-05-20</x:v>
      </x:c>
      <x:c r="M535" s="20" t="str">
        <x:v>2026-05-20</x:v>
      </x:c>
      <x:c r="N535" s="20" t="str">
        <x:v>GPT-5.5 Pro</x:v>
      </x:c>
      <x:c r="O535" s="20" t="str">
        <x:v>Needs review</x:v>
      </x:c>
      <x:c r="P535" s="20" t="str">
        <x:v>Screening score for China / PMC presence in Fiji; verify with country-specific evidence before final use.</x:v>
      </x:c>
    </x:row>
    <x:row r="536" ht="24" customHeight="1">
      <x:c r="A536" s="20" t="str">
        <x:v>FJI|China|Election interference</x:v>
      </x:c>
      <x:c r="B536" s="20" t="str">
        <x:v>Fiji</x:v>
      </x:c>
      <x:c r="C536" s="20" t="str">
        <x:v>FJI</x:v>
      </x:c>
      <x:c r="D536" s="20" t="str">
        <x:v>China</x:v>
      </x:c>
      <x:c r="E536" s="20" t="str">
        <x:v>Chinese influence</x:v>
      </x:c>
      <x:c r="F536" s="20" t="str">
        <x:v>Election interference</x:v>
      </x:c>
      <x:c r="G536" s="384" t="n">
        <x:v>3</x:v>
      </x:c>
      <x:c r="H536" s="396" t="n">
        <x:v>3</x:v>
      </x:c>
      <x:c r="I536" s="20" t="str">
        <x:v>EEAS/ODNI China election-FIMI source register</x:v>
      </x:c>
      <x:c r="J536" s="397" t="str">
        <x:v>https://www.eeas.europa.eu/eeas/4th-eeas-annual-report-foreign-information-manipulation-and-interference-threats_en</x:v>
      </x:c>
      <x:c r="K536" s="20" t="str">
        <x:v>Primary source-register URL; automated screening score</x:v>
      </x:c>
      <x:c r="L536" s="20" t="str">
        <x:v>2026-05-20</x:v>
      </x:c>
      <x:c r="M536" s="20" t="str">
        <x:v>2026-05-20</x:v>
      </x:c>
      <x:c r="N536" s="20" t="str">
        <x:v>GPT-5.5 Pro</x:v>
      </x:c>
      <x:c r="O536" s="20" t="str">
        <x:v>Needs review</x:v>
      </x:c>
      <x:c r="P536" s="20" t="str">
        <x:v>Screening score for China / Election interference in Fiji; verify with country-specific evidence before final use.</x:v>
      </x:c>
    </x:row>
    <x:row r="537" ht="24" customHeight="1">
      <x:c r="A537" s="20" t="str">
        <x:v>FJI|China|Security contractors</x:v>
      </x:c>
      <x:c r="B537" s="20" t="str">
        <x:v>Fiji</x:v>
      </x:c>
      <x:c r="C537" s="20" t="str">
        <x:v>FJI</x:v>
      </x:c>
      <x:c r="D537" s="20" t="str">
        <x:v>China</x:v>
      </x:c>
      <x:c r="E537" s="20" t="str">
        <x:v>Chinese influence</x:v>
      </x:c>
      <x:c r="F537" s="20" t="str">
        <x:v>Security contractors</x:v>
      </x:c>
      <x:c r="G537" s="384" t="n">
        <x:v>2</x:v>
      </x:c>
      <x:c r="H537" s="396" t="n">
        <x:v>2</x:v>
      </x:c>
      <x:c r="I537" s="20" t="str">
        <x:v>MERICS/Carnegie Chinese security contractor source register</x:v>
      </x:c>
      <x:c r="J537" s="397" t="str">
        <x:v>https://merics.org/en/report/guardians-belt-and-road</x:v>
      </x:c>
      <x:c r="K537" s="20" t="str">
        <x:v>Primary source-register URL; automated screening score</x:v>
      </x:c>
      <x:c r="L537" s="20" t="str">
        <x:v>2026-05-20</x:v>
      </x:c>
      <x:c r="M537" s="20" t="str">
        <x:v>2026-05-20</x:v>
      </x:c>
      <x:c r="N537" s="20" t="str">
        <x:v>GPT-5.5 Pro</x:v>
      </x:c>
      <x:c r="O537" s="20" t="str">
        <x:v>Needs review</x:v>
      </x:c>
      <x:c r="P537" s="20" t="str">
        <x:v>Screening score for China / Security contractors in Fiji; verify with country-specific evidence before final use.</x:v>
      </x:c>
    </x:row>
    <x:row r="538" ht="24" customHeight="1">
      <x:c r="A538" s="20" t="str">
        <x:v>FJI|United States|Propaganda ecosystems</x:v>
      </x:c>
      <x:c r="B538" s="20" t="str">
        <x:v>Fiji</x:v>
      </x:c>
      <x:c r="C538" s="20" t="str">
        <x:v>FJI</x:v>
      </x:c>
      <x:c r="D538" s="20" t="str">
        <x:v>United States</x:v>
      </x:c>
      <x:c r="E538" s="20" t="str">
        <x:v>American influence</x:v>
      </x:c>
      <x:c r="F538" s="20" t="str">
        <x:v>Propaganda ecosystems</x:v>
      </x:c>
      <x:c r="G538" s="384" t="n">
        <x:v>3</x:v>
      </x:c>
      <x:c r="H538" s="396" t="n">
        <x:v>3</x:v>
      </x:c>
      <x:c r="I538" s="20" t="str">
        <x:v>USAGM public media source register</x:v>
      </x:c>
      <x:c r="J538" s="397" t="str">
        <x:v>https://www.usagm.gov/our-work/strategy-and-results/strategic-priorities/research-reports/</x:v>
      </x:c>
      <x:c r="K538" s="20" t="str">
        <x:v>Primary source-register URL; automated screening score</x:v>
      </x:c>
      <x:c r="L538" s="20" t="str">
        <x:v>2026-05-20</x:v>
      </x:c>
      <x:c r="M538" s="20" t="str">
        <x:v>2026-05-20</x:v>
      </x:c>
      <x:c r="N538" s="20" t="str">
        <x:v>GPT-5.5 Pro</x:v>
      </x:c>
      <x:c r="O538" s="20" t="str">
        <x:v>Needs review</x:v>
      </x:c>
      <x:c r="P538" s="20" t="str">
        <x:v>Screening score for United States / Propaganda ecosystems in Fiji; verify with country-specific evidence before final use.</x:v>
      </x:c>
    </x:row>
    <x:row r="539" ht="24" customHeight="1">
      <x:c r="A539" s="20" t="str">
        <x:v>FJI|United States|PMC presence</x:v>
      </x:c>
      <x:c r="B539" s="20" t="str">
        <x:v>Fiji</x:v>
      </x:c>
      <x:c r="C539" s="20" t="str">
        <x:v>FJI</x:v>
      </x:c>
      <x:c r="D539" s="20" t="str">
        <x:v>United States</x:v>
      </x:c>
      <x:c r="E539" s="20" t="str">
        <x:v>American influence</x:v>
      </x:c>
      <x:c r="F539" s="20" t="str">
        <x:v>PMC presence</x:v>
      </x:c>
      <x:c r="G539" s="384" t="n">
        <x:v>1</x:v>
      </x:c>
      <x:c r="H539" s="396" t="n">
        <x:v>2</x:v>
      </x:c>
      <x:c r="I539" s="20" t="str">
        <x:v>SAM/Greenbook U.S. security assistance contractor source register</x:v>
      </x:c>
      <x:c r="J539" s="397" t="str">
        <x:v>https://internationalpolicy.org/programs/sam/</x:v>
      </x:c>
      <x:c r="K539" s="20" t="str">
        <x:v>Primary source-register URL; automated screening score</x:v>
      </x:c>
      <x:c r="L539" s="20" t="str">
        <x:v>2026-05-20</x:v>
      </x:c>
      <x:c r="M539" s="20" t="str">
        <x:v>2026-05-20</x:v>
      </x:c>
      <x:c r="N539" s="20" t="str">
        <x:v>GPT-5.5 Pro</x:v>
      </x:c>
      <x:c r="O539" s="20" t="str">
        <x:v>Needs review</x:v>
      </x:c>
      <x:c r="P539" s="20" t="str">
        <x:v>Screening score for United States / PMC presence in Fiji; verify with country-specific evidence before final use.</x:v>
      </x:c>
    </x:row>
    <x:row r="540" ht="24" customHeight="1">
      <x:c r="A540" s="20" t="str">
        <x:v>FJI|United States|Election interference</x:v>
      </x:c>
      <x:c r="B540" s="20" t="str">
        <x:v>Fiji</x:v>
      </x:c>
      <x:c r="C540" s="20" t="str">
        <x:v>FJI</x:v>
      </x:c>
      <x:c r="D540" s="20" t="str">
        <x:v>United States</x:v>
      </x:c>
      <x:c r="E540" s="20" t="str">
        <x:v>American influence</x:v>
      </x:c>
      <x:c r="F540" s="20" t="str">
        <x:v>Election interference</x:v>
      </x:c>
      <x:c r="G540" s="384" t="n">
        <x:v>1</x:v>
      </x:c>
      <x:c r="H540" s="396" t="n">
        <x:v>2</x:v>
      </x:c>
      <x:c r="I540" s="20" t="str">
        <x:v>NED/Greenbook democracy assistance source register</x:v>
      </x:c>
      <x:c r="J540" s="397" t="str">
        <x:v>https://www.ned.org/ned-grantmaking/</x:v>
      </x:c>
      <x:c r="K540" s="20" t="str">
        <x:v>Primary source-register URL; automated screening score</x:v>
      </x:c>
      <x:c r="L540" s="20" t="str">
        <x:v>2026-05-20</x:v>
      </x:c>
      <x:c r="M540" s="20" t="str">
        <x:v>2026-05-20</x:v>
      </x:c>
      <x:c r="N540" s="20" t="str">
        <x:v>GPT-5.5 Pro</x:v>
      </x:c>
      <x:c r="O540" s="20" t="str">
        <x:v>Needs review</x:v>
      </x:c>
      <x:c r="P540" s="20" t="str">
        <x:v>Screening score for United States / Election interference in Fiji; verify with country-specific evidence before final use.</x:v>
      </x:c>
    </x:row>
    <x:row r="541" ht="24" customHeight="1">
      <x:c r="A541" s="20" t="str">
        <x:v>FJI|United States|Security contractors</x:v>
      </x:c>
      <x:c r="B541" s="20" t="str">
        <x:v>Fiji</x:v>
      </x:c>
      <x:c r="C541" s="20" t="str">
        <x:v>FJI</x:v>
      </x:c>
      <x:c r="D541" s="20" t="str">
        <x:v>United States</x:v>
      </x:c>
      <x:c r="E541" s="20" t="str">
        <x:v>American influence</x:v>
      </x:c>
      <x:c r="F541" s="20" t="str">
        <x:v>Security contractors</x:v>
      </x:c>
      <x:c r="G541" s="384" t="n">
        <x:v>2</x:v>
      </x:c>
      <x:c r="H541" s="396" t="n">
        <x:v>2</x:v>
      </x:c>
      <x:c r="I541" s="20" t="str">
        <x:v>SAM/Greenbook U.S. security contractor source register</x:v>
      </x:c>
      <x:c r="J541" s="397" t="str">
        <x:v>https://internationalpolicy.org/programs/sam/</x:v>
      </x:c>
      <x:c r="K541" s="20" t="str">
        <x:v>Primary source-register URL; automated screening score</x:v>
      </x:c>
      <x:c r="L541" s="20" t="str">
        <x:v>2026-05-20</x:v>
      </x:c>
      <x:c r="M541" s="20" t="str">
        <x:v>2026-05-20</x:v>
      </x:c>
      <x:c r="N541" s="20" t="str">
        <x:v>GPT-5.5 Pro</x:v>
      </x:c>
      <x:c r="O541" s="20" t="str">
        <x:v>Needs review</x:v>
      </x:c>
      <x:c r="P541" s="20" t="str">
        <x:v>Screening score for United States / Security contractors in Fiji; verify with country-specific evidence before final use.</x:v>
      </x:c>
    </x:row>
    <x:row r="542" ht="24" customHeight="1">
      <x:c r="A542" s="20" t="str">
        <x:v>FJI|European Union|Propaganda ecosystems</x:v>
      </x:c>
      <x:c r="B542" s="20" t="str">
        <x:v>Fiji</x:v>
      </x:c>
      <x:c r="C542" s="20" t="str">
        <x:v>FJI</x:v>
      </x:c>
      <x:c r="D542" s="20" t="str">
        <x:v>European Union</x:v>
      </x:c>
      <x:c r="E542" s="20" t="str">
        <x:v>EU influence</x:v>
      </x:c>
      <x:c r="F542" s="20" t="str">
        <x:v>Propaganda ecosystems</x:v>
      </x:c>
      <x:c r="G542" s="384" t="n">
        <x:v>2</x:v>
      </x:c>
      <x:c r="H542" s="396" t="n">
        <x:v>2</x:v>
      </x:c>
      <x:c r="I542" s="20" t="str">
        <x:v>EEAS public diplomacy source register</x:v>
      </x:c>
      <x:c r="J542" s="397" t="str">
        <x:v>https://www.eeas.europa.eu/eeas/public-diplomacy_en</x:v>
      </x:c>
      <x:c r="K542" s="20" t="str">
        <x:v>Primary source-register URL; automated screening score</x:v>
      </x:c>
      <x:c r="L542" s="20" t="str">
        <x:v>2026-05-20</x:v>
      </x:c>
      <x:c r="M542" s="20" t="str">
        <x:v>2026-05-20</x:v>
      </x:c>
      <x:c r="N542" s="20" t="str">
        <x:v>GPT-5.5 Pro</x:v>
      </x:c>
      <x:c r="O542" s="20" t="str">
        <x:v>Needs review</x:v>
      </x:c>
      <x:c r="P542" s="20" t="str">
        <x:v>Screening score for European Union / Propaganda ecosystems in Fiji; verify with country-specific evidence before final use.</x:v>
      </x:c>
    </x:row>
    <x:row r="543" ht="24" customHeight="1">
      <x:c r="A543" s="20" t="str">
        <x:v>FJI|European Union|PMC presence</x:v>
      </x:c>
      <x:c r="B543" s="20" t="str">
        <x:v>Fiji</x:v>
      </x:c>
      <x:c r="C543" s="20" t="str">
        <x:v>FJI</x:v>
      </x:c>
      <x:c r="D543" s="20" t="str">
        <x:v>European Union</x:v>
      </x:c>
      <x:c r="E543" s="20" t="str">
        <x:v>EU influence</x:v>
      </x:c>
      <x:c r="F543" s="20" t="str">
        <x:v>PMC presence</x:v>
      </x:c>
      <x:c r="G543" s="384" t="n">
        <x:v>0</x:v>
      </x:c>
      <x:c r="H543" s="396" t="n">
        <x:v>1</x:v>
      </x:c>
      <x:c r="I543" s="20" t="str">
        <x:v>EEAS CSDP missions source register</x:v>
      </x:c>
      <x:c r="J543" s="397" t="str">
        <x:v>https://www.eeas.europa.eu/eeas/missions-and-operations_en</x:v>
      </x:c>
      <x:c r="K543" s="20" t="str">
        <x:v>Primary source-register URL; automated screening score</x:v>
      </x:c>
      <x:c r="L543" s="20" t="str">
        <x:v>2026-05-20</x:v>
      </x:c>
      <x:c r="M543" s="20" t="str">
        <x:v>2026-05-20</x:v>
      </x:c>
      <x:c r="N543" s="20" t="str">
        <x:v>GPT-5.5 Pro</x:v>
      </x:c>
      <x:c r="O543" s="20" t="str">
        <x:v>Needs review</x:v>
      </x:c>
      <x:c r="P543" s="20" t="str">
        <x:v>Screening score for European Union / PMC presence in Fiji; verify with country-specific evidence before final use.</x:v>
      </x:c>
    </x:row>
    <x:row r="544" ht="24" customHeight="1">
      <x:c r="A544" s="20" t="str">
        <x:v>FJI|European Union|Election interference</x:v>
      </x:c>
      <x:c r="B544" s="20" t="str">
        <x:v>Fiji</x:v>
      </x:c>
      <x:c r="C544" s="20" t="str">
        <x:v>FJI</x:v>
      </x:c>
      <x:c r="D544" s="20" t="str">
        <x:v>European Union</x:v>
      </x:c>
      <x:c r="E544" s="20" t="str">
        <x:v>EU influence</x:v>
      </x:c>
      <x:c r="F544" s="20" t="str">
        <x:v>Election interference</x:v>
      </x:c>
      <x:c r="G544" s="384" t="n">
        <x:v>1</x:v>
      </x:c>
      <x:c r="H544" s="396" t="n">
        <x:v>2</x:v>
      </x:c>
      <x:c r="I544" s="20" t="str">
        <x:v>EEAS EU election observation source register</x:v>
      </x:c>
      <x:c r="J544" s="397" t="str">
        <x:v>https://www.eeas.europa.eu/eeas/eu-election-observation-missions-1_en?page_lang=en</x:v>
      </x:c>
      <x:c r="K544" s="20" t="str">
        <x:v>Primary source-register URL; automated screening score</x:v>
      </x:c>
      <x:c r="L544" s="20" t="str">
        <x:v>2026-05-20</x:v>
      </x:c>
      <x:c r="M544" s="20" t="str">
        <x:v>2026-05-20</x:v>
      </x:c>
      <x:c r="N544" s="20" t="str">
        <x:v>GPT-5.5 Pro</x:v>
      </x:c>
      <x:c r="O544" s="20" t="str">
        <x:v>Needs review</x:v>
      </x:c>
      <x:c r="P544" s="20" t="str">
        <x:v>Screening score for European Union / Election interference in Fiji; verify with country-specific evidence before final use.</x:v>
      </x:c>
    </x:row>
    <x:row r="545" ht="24" customHeight="1">
      <x:c r="A545" s="20" t="str">
        <x:v>FJI|European Union|Security contractors</x:v>
      </x:c>
      <x:c r="B545" s="20" t="str">
        <x:v>Fiji</x:v>
      </x:c>
      <x:c r="C545" s="20" t="str">
        <x:v>FJI</x:v>
      </x:c>
      <x:c r="D545" s="20" t="str">
        <x:v>European Union</x:v>
      </x:c>
      <x:c r="E545" s="20" t="str">
        <x:v>EU influence</x:v>
      </x:c>
      <x:c r="F545" s="20" t="str">
        <x:v>Security contractors</x:v>
      </x:c>
      <x:c r="G545" s="384" t="n">
        <x:v>1</x:v>
      </x:c>
      <x:c r="H545" s="396" t="n">
        <x:v>2</x:v>
      </x:c>
      <x:c r="I545" s="20" t="str">
        <x:v>EEAS CSDP / Global Gateway security source register</x:v>
      </x:c>
      <x:c r="J545" s="397" t="str">
        <x:v>https://www.eeas.europa.eu/eeas/missions-and-operations_en</x:v>
      </x:c>
      <x:c r="K545" s="20" t="str">
        <x:v>Primary source-register URL; automated screening score</x:v>
      </x:c>
      <x:c r="L545" s="20" t="str">
        <x:v>2026-05-20</x:v>
      </x:c>
      <x:c r="M545" s="20" t="str">
        <x:v>2026-05-20</x:v>
      </x:c>
      <x:c r="N545" s="20" t="str">
        <x:v>GPT-5.5 Pro</x:v>
      </x:c>
      <x:c r="O545" s="20" t="str">
        <x:v>Needs review</x:v>
      </x:c>
      <x:c r="P545" s="20" t="str">
        <x:v>Screening score for European Union / Security contractors in Fiji; verify with country-specific evidence before final use.</x:v>
      </x:c>
    </x:row>
    <x:row r="546" ht="24" customHeight="1">
      <x:c r="A546" s="20" t="str">
        <x:v>FIN|Russia|Propaganda ecosystems</x:v>
      </x:c>
      <x:c r="B546" s="20" t="str">
        <x:v>Finland</x:v>
      </x:c>
      <x:c r="C546" s="20" t="str">
        <x:v>FIN</x:v>
      </x:c>
      <x:c r="D546" s="20" t="str">
        <x:v>Russia</x:v>
      </x:c>
      <x:c r="E546" s="20" t="str">
        <x:v>Russian influence</x:v>
      </x:c>
      <x:c r="F546" s="20" t="str">
        <x:v>Propaganda ecosystems</x:v>
      </x:c>
      <x:c r="G546" s="384" t="n">
        <x:v>5</x:v>
      </x:c>
      <x:c r="H546" s="396" t="n">
        <x:v>3</x:v>
      </x:c>
      <x:c r="I546" s="20" t="str">
        <x:v>EEAS/EUvsDisinfo FIMI source register</x:v>
      </x:c>
      <x:c r="J546" s="397" t="str">
        <x:v>https://www.eeas.europa.eu/eeas/4th-eeas-annual-report-foreign-information-manipulation-and-interference-threats_en</x:v>
      </x:c>
      <x:c r="K546" s="20" t="str">
        <x:v>Primary source-register URL; automated screening score</x:v>
      </x:c>
      <x:c r="L546" s="20" t="str">
        <x:v>2026-05-20</x:v>
      </x:c>
      <x:c r="M546" s="20" t="str">
        <x:v>2026-05-20</x:v>
      </x:c>
      <x:c r="N546" s="20" t="str">
        <x:v>GPT-5.5 Pro</x:v>
      </x:c>
      <x:c r="O546" s="20" t="str">
        <x:v>Needs review</x:v>
      </x:c>
      <x:c r="P546" s="20" t="str">
        <x:v>Screening score for Russia / Propaganda ecosystems in Finland; verify with country-specific evidence before final use.</x:v>
      </x:c>
    </x:row>
    <x:row r="547" ht="24" customHeight="1">
      <x:c r="A547" s="20" t="str">
        <x:v>FIN|Russia|PMC presence</x:v>
      </x:c>
      <x:c r="B547" s="20" t="str">
        <x:v>Finland</x:v>
      </x:c>
      <x:c r="C547" s="20" t="str">
        <x:v>FIN</x:v>
      </x:c>
      <x:c r="D547" s="20" t="str">
        <x:v>Russia</x:v>
      </x:c>
      <x:c r="E547" s="20" t="str">
        <x:v>Russian influence</x:v>
      </x:c>
      <x:c r="F547" s="20" t="str">
        <x:v>PMC presence</x:v>
      </x:c>
      <x:c r="G547" s="384" t="n">
        <x:v>0</x:v>
      </x:c>
      <x:c r="H547" s="396" t="n">
        <x:v>1</x:v>
      </x:c>
      <x:c r="I547" s="20" t="str">
        <x:v>Treasury and Council of the EU Wagner/PMC source register</x:v>
      </x:c>
      <x:c r="J547" s="397" t="str">
        <x:v>https://www.consilium.europa.eu/en/press/press-releases/2023/02/25/wagner-group-council-adds-11-individuals-and-7-entities-to-eu-sanctions-lists/</x:v>
      </x:c>
      <x:c r="K547" s="20" t="str">
        <x:v>Primary source-register URL; automated screening score</x:v>
      </x:c>
      <x:c r="L547" s="20" t="str">
        <x:v>2026-05-20</x:v>
      </x:c>
      <x:c r="M547" s="20" t="str">
        <x:v>2026-05-20</x:v>
      </x:c>
      <x:c r="N547" s="20" t="str">
        <x:v>GPT-5.5 Pro</x:v>
      </x:c>
      <x:c r="O547" s="20" t="str">
        <x:v>Needs review</x:v>
      </x:c>
      <x:c r="P547" s="20" t="str">
        <x:v>Screening score for Russia / PMC presence in Finland; verify with country-specific evidence before final use.</x:v>
      </x:c>
    </x:row>
    <x:row r="548" ht="24" customHeight="1">
      <x:c r="A548" s="20" t="str">
        <x:v>FIN|Russia|Election interference</x:v>
      </x:c>
      <x:c r="B548" s="20" t="str">
        <x:v>Finland</x:v>
      </x:c>
      <x:c r="C548" s="20" t="str">
        <x:v>FIN</x:v>
      </x:c>
      <x:c r="D548" s="20" t="str">
        <x:v>Russia</x:v>
      </x:c>
      <x:c r="E548" s="20" t="str">
        <x:v>Russian influence</x:v>
      </x:c>
      <x:c r="F548" s="20" t="str">
        <x:v>Election interference</x:v>
      </x:c>
      <x:c r="G548" s="384" t="n">
        <x:v>5</x:v>
      </x:c>
      <x:c r="H548" s="396" t="n">
        <x:v>3</x:v>
      </x:c>
      <x:c r="I548" s="20" t="str">
        <x:v>ODNI/EEAS election-FIMI source register</x:v>
      </x:c>
      <x:c r="J548" s="397" t="str">
        <x:v>https://www.dni.gov/files/ODNI/documents/assessments/ATA-2026-Unclassified-Report.pdf</x:v>
      </x:c>
      <x:c r="K548" s="20" t="str">
        <x:v>Primary source-register URL; automated screening score</x:v>
      </x:c>
      <x:c r="L548" s="20" t="str">
        <x:v>2026-05-20</x:v>
      </x:c>
      <x:c r="M548" s="20" t="str">
        <x:v>2026-05-20</x:v>
      </x:c>
      <x:c r="N548" s="20" t="str">
        <x:v>GPT-5.5 Pro</x:v>
      </x:c>
      <x:c r="O548" s="20" t="str">
        <x:v>Needs review</x:v>
      </x:c>
      <x:c r="P548" s="20" t="str">
        <x:v>Screening score for Russia / Election interference in Finland; verify with country-specific evidence before final use.</x:v>
      </x:c>
    </x:row>
    <x:row r="549" ht="24" customHeight="1">
      <x:c r="A549" s="20" t="str">
        <x:v>FIN|Russia|Security contractors</x:v>
      </x:c>
      <x:c r="B549" s="20" t="str">
        <x:v>Finland</x:v>
      </x:c>
      <x:c r="C549" s="20" t="str">
        <x:v>FIN</x:v>
      </x:c>
      <x:c r="D549" s="20" t="str">
        <x:v>Russia</x:v>
      </x:c>
      <x:c r="E549" s="20" t="str">
        <x:v>Russian influence</x:v>
      </x:c>
      <x:c r="F549" s="20" t="str">
        <x:v>Security contractors</x:v>
      </x:c>
      <x:c r="G549" s="384" t="n">
        <x:v>0</x:v>
      </x:c>
      <x:c r="H549" s="396" t="n">
        <x:v>1</x:v>
      </x:c>
      <x:c r="I549" s="20" t="str">
        <x:v>Council of the EU/Treasury Wagner-security source register</x:v>
      </x:c>
      <x:c r="J549" s="397" t="str">
        <x:v>https://www.consilium.europa.eu/en/press/press-releases/2023/02/25/wagner-group-council-adds-11-individuals-and-7-entities-to-eu-sanctions-lists/</x:v>
      </x:c>
      <x:c r="K549" s="20" t="str">
        <x:v>Primary source-register URL; automated screening score</x:v>
      </x:c>
      <x:c r="L549" s="20" t="str">
        <x:v>2026-05-20</x:v>
      </x:c>
      <x:c r="M549" s="20" t="str">
        <x:v>2026-05-20</x:v>
      </x:c>
      <x:c r="N549" s="20" t="str">
        <x:v>GPT-5.5 Pro</x:v>
      </x:c>
      <x:c r="O549" s="20" t="str">
        <x:v>Needs review</x:v>
      </x:c>
      <x:c r="P549" s="20" t="str">
        <x:v>Screening score for Russia / Security contractors in Finland; verify with country-specific evidence before final use.</x:v>
      </x:c>
    </x:row>
    <x:row r="550" ht="24" customHeight="1">
      <x:c r="A550" s="20" t="str">
        <x:v>FIN|China|Propaganda ecosystems</x:v>
      </x:c>
      <x:c r="B550" s="20" t="str">
        <x:v>Finland</x:v>
      </x:c>
      <x:c r="C550" s="20" t="str">
        <x:v>FIN</x:v>
      </x:c>
      <x:c r="D550" s="20" t="str">
        <x:v>China</x:v>
      </x:c>
      <x:c r="E550" s="20" t="str">
        <x:v>Chinese influence</x:v>
      </x:c>
      <x:c r="F550" s="20" t="str">
        <x:v>Propaganda ecosystems</x:v>
      </x:c>
      <x:c r="G550" s="384" t="n">
        <x:v>4</x:v>
      </x:c>
      <x:c r="H550" s="396" t="n">
        <x:v>3</x:v>
      </x:c>
      <x:c r="I550" s="20" t="str">
        <x:v>EEAS/ODNI China FIMI source register</x:v>
      </x:c>
      <x:c r="J550" s="397" t="str">
        <x:v>https://www.eeas.europa.eu/eeas/4th-eeas-annual-report-foreign-information-manipulation-and-interference-threats_en</x:v>
      </x:c>
      <x:c r="K550" s="20" t="str">
        <x:v>Primary source-register URL; automated screening score</x:v>
      </x:c>
      <x:c r="L550" s="20" t="str">
        <x:v>2026-05-20</x:v>
      </x:c>
      <x:c r="M550" s="20" t="str">
        <x:v>2026-05-20</x:v>
      </x:c>
      <x:c r="N550" s="20" t="str">
        <x:v>GPT-5.5 Pro</x:v>
      </x:c>
      <x:c r="O550" s="20" t="str">
        <x:v>Needs review</x:v>
      </x:c>
      <x:c r="P550" s="20" t="str">
        <x:v>Screening score for China / Propaganda ecosystems in Finland; verify with country-specific evidence before final use.</x:v>
      </x:c>
    </x:row>
    <x:row r="551" ht="24" customHeight="1">
      <x:c r="A551" s="20" t="str">
        <x:v>FIN|China|PMC presence</x:v>
      </x:c>
      <x:c r="B551" s="20" t="str">
        <x:v>Finland</x:v>
      </x:c>
      <x:c r="C551" s="20" t="str">
        <x:v>FIN</x:v>
      </x:c>
      <x:c r="D551" s="20" t="str">
        <x:v>China</x:v>
      </x:c>
      <x:c r="E551" s="20" t="str">
        <x:v>Chinese influence</x:v>
      </x:c>
      <x:c r="F551" s="20" t="str">
        <x:v>PMC presence</x:v>
      </x:c>
      <x:c r="G551" s="384" t="n">
        <x:v>0</x:v>
      </x:c>
      <x:c r="H551" s="396" t="n">
        <x:v>1</x:v>
      </x:c>
      <x:c r="I551" s="20" t="str">
        <x:v>MERICS/Carnegie Chinese overseas PSC source register</x:v>
      </x:c>
      <x:c r="J551" s="397" t="str">
        <x:v>https://merics.org/en/report/guardians-belt-and-road</x:v>
      </x:c>
      <x:c r="K551" s="20" t="str">
        <x:v>Primary source-register URL; automated screening score</x:v>
      </x:c>
      <x:c r="L551" s="20" t="str">
        <x:v>2026-05-20</x:v>
      </x:c>
      <x:c r="M551" s="20" t="str">
        <x:v>2026-05-20</x:v>
      </x:c>
      <x:c r="N551" s="20" t="str">
        <x:v>GPT-5.5 Pro</x:v>
      </x:c>
      <x:c r="O551" s="20" t="str">
        <x:v>Needs review</x:v>
      </x:c>
      <x:c r="P551" s="20" t="str">
        <x:v>Screening score for China / PMC presence in Finland; verify with country-specific evidence before final use.</x:v>
      </x:c>
    </x:row>
    <x:row r="552" ht="24" customHeight="1">
      <x:c r="A552" s="20" t="str">
        <x:v>FIN|China|Election interference</x:v>
      </x:c>
      <x:c r="B552" s="20" t="str">
        <x:v>Finland</x:v>
      </x:c>
      <x:c r="C552" s="20" t="str">
        <x:v>FIN</x:v>
      </x:c>
      <x:c r="D552" s="20" t="str">
        <x:v>China</x:v>
      </x:c>
      <x:c r="E552" s="20" t="str">
        <x:v>Chinese influence</x:v>
      </x:c>
      <x:c r="F552" s="20" t="str">
        <x:v>Election interference</x:v>
      </x:c>
      <x:c r="G552" s="384" t="n">
        <x:v>2</x:v>
      </x:c>
      <x:c r="H552" s="396" t="n">
        <x:v>2</x:v>
      </x:c>
      <x:c r="I552" s="20" t="str">
        <x:v>EEAS/ODNI China election-FIMI source register</x:v>
      </x:c>
      <x:c r="J552" s="397" t="str">
        <x:v>https://www.eeas.europa.eu/eeas/4th-eeas-annual-report-foreign-information-manipulation-and-interference-threats_en</x:v>
      </x:c>
      <x:c r="K552" s="20" t="str">
        <x:v>Primary source-register URL; automated screening score</x:v>
      </x:c>
      <x:c r="L552" s="20" t="str">
        <x:v>2026-05-20</x:v>
      </x:c>
      <x:c r="M552" s="20" t="str">
        <x:v>2026-05-20</x:v>
      </x:c>
      <x:c r="N552" s="20" t="str">
        <x:v>GPT-5.5 Pro</x:v>
      </x:c>
      <x:c r="O552" s="20" t="str">
        <x:v>Needs review</x:v>
      </x:c>
      <x:c r="P552" s="20" t="str">
        <x:v>Screening score for China / Election interference in Finland; verify with country-specific evidence before final use.</x:v>
      </x:c>
    </x:row>
    <x:row r="553" ht="24" customHeight="1">
      <x:c r="A553" s="20" t="str">
        <x:v>FIN|China|Security contractors</x:v>
      </x:c>
      <x:c r="B553" s="20" t="str">
        <x:v>Finland</x:v>
      </x:c>
      <x:c r="C553" s="20" t="str">
        <x:v>FIN</x:v>
      </x:c>
      <x:c r="D553" s="20" t="str">
        <x:v>China</x:v>
      </x:c>
      <x:c r="E553" s="20" t="str">
        <x:v>Chinese influence</x:v>
      </x:c>
      <x:c r="F553" s="20" t="str">
        <x:v>Security contractors</x:v>
      </x:c>
      <x:c r="G553" s="384" t="n">
        <x:v>0</x:v>
      </x:c>
      <x:c r="H553" s="396" t="n">
        <x:v>1</x:v>
      </x:c>
      <x:c r="I553" s="20" t="str">
        <x:v>MERICS/Carnegie Chinese security contractor source register</x:v>
      </x:c>
      <x:c r="J553" s="397" t="str">
        <x:v>https://merics.org/en/report/guardians-belt-and-road</x:v>
      </x:c>
      <x:c r="K553" s="20" t="str">
        <x:v>Primary source-register URL; automated screening score</x:v>
      </x:c>
      <x:c r="L553" s="20" t="str">
        <x:v>2026-05-20</x:v>
      </x:c>
      <x:c r="M553" s="20" t="str">
        <x:v>2026-05-20</x:v>
      </x:c>
      <x:c r="N553" s="20" t="str">
        <x:v>GPT-5.5 Pro</x:v>
      </x:c>
      <x:c r="O553" s="20" t="str">
        <x:v>Needs review</x:v>
      </x:c>
      <x:c r="P553" s="20" t="str">
        <x:v>Screening score for China / Security contractors in Finland; verify with country-specific evidence before final use.</x:v>
      </x:c>
    </x:row>
    <x:row r="554" ht="24" customHeight="1">
      <x:c r="A554" s="20" t="str">
        <x:v>FIN|United States|Propaganda ecosystems</x:v>
      </x:c>
      <x:c r="B554" s="20" t="str">
        <x:v>Finland</x:v>
      </x:c>
      <x:c r="C554" s="20" t="str">
        <x:v>FIN</x:v>
      </x:c>
      <x:c r="D554" s="20" t="str">
        <x:v>United States</x:v>
      </x:c>
      <x:c r="E554" s="20" t="str">
        <x:v>American influence</x:v>
      </x:c>
      <x:c r="F554" s="20" t="str">
        <x:v>Propaganda ecosystems</x:v>
      </x:c>
      <x:c r="G554" s="384" t="n">
        <x:v>4</x:v>
      </x:c>
      <x:c r="H554" s="396" t="n">
        <x:v>3</x:v>
      </x:c>
      <x:c r="I554" s="20" t="str">
        <x:v>USAGM public media source register</x:v>
      </x:c>
      <x:c r="J554" s="397" t="str">
        <x:v>https://www.usagm.gov/our-work/strategy-and-results/strategic-priorities/research-reports/</x:v>
      </x:c>
      <x:c r="K554" s="20" t="str">
        <x:v>Primary source-register URL; automated screening score</x:v>
      </x:c>
      <x:c r="L554" s="20" t="str">
        <x:v>2026-05-20</x:v>
      </x:c>
      <x:c r="M554" s="20" t="str">
        <x:v>2026-05-20</x:v>
      </x:c>
      <x:c r="N554" s="20" t="str">
        <x:v>GPT-5.5 Pro</x:v>
      </x:c>
      <x:c r="O554" s="20" t="str">
        <x:v>Needs review</x:v>
      </x:c>
      <x:c r="P554" s="20" t="str">
        <x:v>Screening score for United States / Propaganda ecosystems in Finland; verify with country-specific evidence before final use.</x:v>
      </x:c>
    </x:row>
    <x:row r="555" ht="24" customHeight="1">
      <x:c r="A555" s="20" t="str">
        <x:v>FIN|United States|PMC presence</x:v>
      </x:c>
      <x:c r="B555" s="20" t="str">
        <x:v>Finland</x:v>
      </x:c>
      <x:c r="C555" s="20" t="str">
        <x:v>FIN</x:v>
      </x:c>
      <x:c r="D555" s="20" t="str">
        <x:v>United States</x:v>
      </x:c>
      <x:c r="E555" s="20" t="str">
        <x:v>American influence</x:v>
      </x:c>
      <x:c r="F555" s="20" t="str">
        <x:v>PMC presence</x:v>
      </x:c>
      <x:c r="G555" s="384" t="n">
        <x:v>3</x:v>
      </x:c>
      <x:c r="H555" s="396" t="n">
        <x:v>3</x:v>
      </x:c>
      <x:c r="I555" s="20" t="str">
        <x:v>SAM/Greenbook U.S. security assistance contractor source register</x:v>
      </x:c>
      <x:c r="J555" s="397" t="str">
        <x:v>https://internationalpolicy.org/programs/sam/</x:v>
      </x:c>
      <x:c r="K555" s="20" t="str">
        <x:v>Primary source-register URL; automated screening score</x:v>
      </x:c>
      <x:c r="L555" s="20" t="str">
        <x:v>2026-05-20</x:v>
      </x:c>
      <x:c r="M555" s="20" t="str">
        <x:v>2026-05-20</x:v>
      </x:c>
      <x:c r="N555" s="20" t="str">
        <x:v>GPT-5.5 Pro</x:v>
      </x:c>
      <x:c r="O555" s="20" t="str">
        <x:v>Needs review</x:v>
      </x:c>
      <x:c r="P555" s="20" t="str">
        <x:v>Screening score for United States / PMC presence in Finland; verify with country-specific evidence before final use.</x:v>
      </x:c>
    </x:row>
    <x:row r="556" ht="24" customHeight="1">
      <x:c r="A556" s="20" t="str">
        <x:v>FIN|United States|Election interference</x:v>
      </x:c>
      <x:c r="B556" s="20" t="str">
        <x:v>Finland</x:v>
      </x:c>
      <x:c r="C556" s="20" t="str">
        <x:v>FIN</x:v>
      </x:c>
      <x:c r="D556" s="20" t="str">
        <x:v>United States</x:v>
      </x:c>
      <x:c r="E556" s="20" t="str">
        <x:v>American influence</x:v>
      </x:c>
      <x:c r="F556" s="20" t="str">
        <x:v>Election interference</x:v>
      </x:c>
      <x:c r="G556" s="384" t="n">
        <x:v>1</x:v>
      </x:c>
      <x:c r="H556" s="396" t="n">
        <x:v>2</x:v>
      </x:c>
      <x:c r="I556" s="20" t="str">
        <x:v>NED/Greenbook democracy assistance source register</x:v>
      </x:c>
      <x:c r="J556" s="397" t="str">
        <x:v>https://www.ned.org/ned-grantmaking/</x:v>
      </x:c>
      <x:c r="K556" s="20" t="str">
        <x:v>Primary source-register URL; automated screening score</x:v>
      </x:c>
      <x:c r="L556" s="20" t="str">
        <x:v>2026-05-20</x:v>
      </x:c>
      <x:c r="M556" s="20" t="str">
        <x:v>2026-05-20</x:v>
      </x:c>
      <x:c r="N556" s="20" t="str">
        <x:v>GPT-5.5 Pro</x:v>
      </x:c>
      <x:c r="O556" s="20" t="str">
        <x:v>Needs review</x:v>
      </x:c>
      <x:c r="P556" s="20" t="str">
        <x:v>Screening score for United States / Election interference in Finland; verify with country-specific evidence before final use.</x:v>
      </x:c>
    </x:row>
    <x:row r="557" ht="24" customHeight="1">
      <x:c r="A557" s="20" t="str">
        <x:v>FIN|United States|Security contractors</x:v>
      </x:c>
      <x:c r="B557" s="20" t="str">
        <x:v>Finland</x:v>
      </x:c>
      <x:c r="C557" s="20" t="str">
        <x:v>FIN</x:v>
      </x:c>
      <x:c r="D557" s="20" t="str">
        <x:v>United States</x:v>
      </x:c>
      <x:c r="E557" s="20" t="str">
        <x:v>American influence</x:v>
      </x:c>
      <x:c r="F557" s="20" t="str">
        <x:v>Security contractors</x:v>
      </x:c>
      <x:c r="G557" s="384" t="n">
        <x:v>6</x:v>
      </x:c>
      <x:c r="H557" s="396" t="n">
        <x:v>4</x:v>
      </x:c>
      <x:c r="I557" s="20" t="str">
        <x:v>SAM/Greenbook U.S. security contractor source register</x:v>
      </x:c>
      <x:c r="J557" s="397" t="str">
        <x:v>https://internationalpolicy.org/programs/sam/</x:v>
      </x:c>
      <x:c r="K557" s="20" t="str">
        <x:v>Primary source-register URL; automated screening score</x:v>
      </x:c>
      <x:c r="L557" s="20" t="str">
        <x:v>2026-05-20</x:v>
      </x:c>
      <x:c r="M557" s="20" t="str">
        <x:v>2026-05-20</x:v>
      </x:c>
      <x:c r="N557" s="20" t="str">
        <x:v>GPT-5.5 Pro</x:v>
      </x:c>
      <x:c r="O557" s="20" t="str">
        <x:v>Needs review</x:v>
      </x:c>
      <x:c r="P557" s="20" t="str">
        <x:v>Screening score for United States / Security contractors in Finland; verify with country-specific evidence before final use.</x:v>
      </x:c>
    </x:row>
    <x:row r="558" ht="24" customHeight="1">
      <x:c r="A558" s="20" t="str">
        <x:v>FIN|European Union|Propaganda ecosystems</x:v>
      </x:c>
      <x:c r="B558" s="20" t="str">
        <x:v>Finland</x:v>
      </x:c>
      <x:c r="C558" s="20" t="str">
        <x:v>FIN</x:v>
      </x:c>
      <x:c r="D558" s="20" t="str">
        <x:v>European Union</x:v>
      </x:c>
      <x:c r="E558" s="20" t="str">
        <x:v>EU influence</x:v>
      </x:c>
      <x:c r="F558" s="20" t="str">
        <x:v>Propaganda ecosystems</x:v>
      </x:c>
      <x:c r="G558" s="384" t="n">
        <x:v>9</x:v>
      </x:c>
      <x:c r="H558" s="396" t="n">
        <x:v>5</x:v>
      </x:c>
      <x:c r="I558" s="20" t="str">
        <x:v>EEAS public diplomacy source register</x:v>
      </x:c>
      <x:c r="J558" s="397" t="str">
        <x:v>https://www.eeas.europa.eu/eeas/public-diplomacy_en</x:v>
      </x:c>
      <x:c r="K558" s="20" t="str">
        <x:v>Primary source-register URL; automated screening score</x:v>
      </x:c>
      <x:c r="L558" s="20" t="str">
        <x:v>2026-05-20</x:v>
      </x:c>
      <x:c r="M558" s="20" t="str">
        <x:v>2026-05-20</x:v>
      </x:c>
      <x:c r="N558" s="20" t="str">
        <x:v>GPT-5.5 Pro</x:v>
      </x:c>
      <x:c r="O558" s="20" t="str">
        <x:v>Needs review</x:v>
      </x:c>
      <x:c r="P558" s="20" t="str">
        <x:v>Screening score for European Union / Propaganda ecosystems in Finland; verify with country-specific evidence before final use.</x:v>
      </x:c>
    </x:row>
    <x:row r="559" ht="24" customHeight="1">
      <x:c r="A559" s="20" t="str">
        <x:v>FIN|European Union|PMC presence</x:v>
      </x:c>
      <x:c r="B559" s="20" t="str">
        <x:v>Finland</x:v>
      </x:c>
      <x:c r="C559" s="20" t="str">
        <x:v>FIN</x:v>
      </x:c>
      <x:c r="D559" s="20" t="str">
        <x:v>European Union</x:v>
      </x:c>
      <x:c r="E559" s="20" t="str">
        <x:v>EU influence</x:v>
      </x:c>
      <x:c r="F559" s="20" t="str">
        <x:v>PMC presence</x:v>
      </x:c>
      <x:c r="G559" s="384" t="n">
        <x:v>0</x:v>
      </x:c>
      <x:c r="H559" s="396" t="n">
        <x:v>1</x:v>
      </x:c>
      <x:c r="I559" s="20" t="str">
        <x:v>EEAS CSDP missions source register</x:v>
      </x:c>
      <x:c r="J559" s="397" t="str">
        <x:v>https://www.eeas.europa.eu/eeas/missions-and-operations_en</x:v>
      </x:c>
      <x:c r="K559" s="20" t="str">
        <x:v>Primary source-register URL; automated screening score</x:v>
      </x:c>
      <x:c r="L559" s="20" t="str">
        <x:v>2026-05-20</x:v>
      </x:c>
      <x:c r="M559" s="20" t="str">
        <x:v>2026-05-20</x:v>
      </x:c>
      <x:c r="N559" s="20" t="str">
        <x:v>GPT-5.5 Pro</x:v>
      </x:c>
      <x:c r="O559" s="20" t="str">
        <x:v>Needs review</x:v>
      </x:c>
      <x:c r="P559" s="20" t="str">
        <x:v>Screening score for European Union / PMC presence in Finland; verify with country-specific evidence before final use.</x:v>
      </x:c>
    </x:row>
    <x:row r="560" ht="24" customHeight="1">
      <x:c r="A560" s="20" t="str">
        <x:v>FIN|European Union|Election interference</x:v>
      </x:c>
      <x:c r="B560" s="20" t="str">
        <x:v>Finland</x:v>
      </x:c>
      <x:c r="C560" s="20" t="str">
        <x:v>FIN</x:v>
      </x:c>
      <x:c r="D560" s="20" t="str">
        <x:v>European Union</x:v>
      </x:c>
      <x:c r="E560" s="20" t="str">
        <x:v>EU influence</x:v>
      </x:c>
      <x:c r="F560" s="20" t="str">
        <x:v>Election interference</x:v>
      </x:c>
      <x:c r="G560" s="384" t="n">
        <x:v>2</x:v>
      </x:c>
      <x:c r="H560" s="396" t="n">
        <x:v>2</x:v>
      </x:c>
      <x:c r="I560" s="20" t="str">
        <x:v>EEAS EU election observation source register</x:v>
      </x:c>
      <x:c r="J560" s="397" t="str">
        <x:v>https://www.eeas.europa.eu/eeas/eu-election-observation-missions-1_en?page_lang=en</x:v>
      </x:c>
      <x:c r="K560" s="20" t="str">
        <x:v>Primary source-register URL; automated screening score</x:v>
      </x:c>
      <x:c r="L560" s="20" t="str">
        <x:v>2026-05-20</x:v>
      </x:c>
      <x:c r="M560" s="20" t="str">
        <x:v>2026-05-20</x:v>
      </x:c>
      <x:c r="N560" s="20" t="str">
        <x:v>GPT-5.5 Pro</x:v>
      </x:c>
      <x:c r="O560" s="20" t="str">
        <x:v>Needs review</x:v>
      </x:c>
      <x:c r="P560" s="20" t="str">
        <x:v>Screening score for European Union / Election interference in Finland; verify with country-specific evidence before final use.</x:v>
      </x:c>
    </x:row>
    <x:row r="561" ht="24" customHeight="1">
      <x:c r="A561" s="20" t="str">
        <x:v>FIN|European Union|Security contractors</x:v>
      </x:c>
      <x:c r="B561" s="20" t="str">
        <x:v>Finland</x:v>
      </x:c>
      <x:c r="C561" s="20" t="str">
        <x:v>FIN</x:v>
      </x:c>
      <x:c r="D561" s="20" t="str">
        <x:v>European Union</x:v>
      </x:c>
      <x:c r="E561" s="20" t="str">
        <x:v>EU influence</x:v>
      </x:c>
      <x:c r="F561" s="20" t="str">
        <x:v>Security contractors</x:v>
      </x:c>
      <x:c r="G561" s="384" t="n">
        <x:v>5</x:v>
      </x:c>
      <x:c r="H561" s="396" t="n">
        <x:v>3</x:v>
      </x:c>
      <x:c r="I561" s="20" t="str">
        <x:v>EEAS CSDP / Global Gateway security source register</x:v>
      </x:c>
      <x:c r="J561" s="397" t="str">
        <x:v>https://www.eeas.europa.eu/eeas/missions-and-operations_en</x:v>
      </x:c>
      <x:c r="K561" s="20" t="str">
        <x:v>Primary source-register URL; automated screening score</x:v>
      </x:c>
      <x:c r="L561" s="20" t="str">
        <x:v>2026-05-20</x:v>
      </x:c>
      <x:c r="M561" s="20" t="str">
        <x:v>2026-05-20</x:v>
      </x:c>
      <x:c r="N561" s="20" t="str">
        <x:v>GPT-5.5 Pro</x:v>
      </x:c>
      <x:c r="O561" s="20" t="str">
        <x:v>Needs review</x:v>
      </x:c>
      <x:c r="P561" s="20" t="str">
        <x:v>Screening score for European Union / Security contractors in Finland; verify with country-specific evidence before final use.</x:v>
      </x:c>
    </x:row>
    <x:row r="562" ht="24" customHeight="1">
      <x:c r="A562" s="20" t="str">
        <x:v>FRA|Russia|Propaganda ecosystems</x:v>
      </x:c>
      <x:c r="B562" s="20" t="str">
        <x:v>France</x:v>
      </x:c>
      <x:c r="C562" s="20" t="str">
        <x:v>FRA</x:v>
      </x:c>
      <x:c r="D562" s="20" t="str">
        <x:v>Russia</x:v>
      </x:c>
      <x:c r="E562" s="20" t="str">
        <x:v>Russian influence</x:v>
      </x:c>
      <x:c r="F562" s="20" t="str">
        <x:v>Propaganda ecosystems</x:v>
      </x:c>
      <x:c r="G562" s="384" t="n">
        <x:v>5</x:v>
      </x:c>
      <x:c r="H562" s="396" t="n">
        <x:v>3</x:v>
      </x:c>
      <x:c r="I562" s="20" t="str">
        <x:v>EEAS/EUvsDisinfo FIMI source register</x:v>
      </x:c>
      <x:c r="J562" s="397" t="str">
        <x:v>https://www.eeas.europa.eu/eeas/4th-eeas-annual-report-foreign-information-manipulation-and-interference-threats_en</x:v>
      </x:c>
      <x:c r="K562" s="20" t="str">
        <x:v>Primary source-register URL; automated screening score</x:v>
      </x:c>
      <x:c r="L562" s="20" t="str">
        <x:v>2026-05-20</x:v>
      </x:c>
      <x:c r="M562" s="20" t="str">
        <x:v>2026-05-20</x:v>
      </x:c>
      <x:c r="N562" s="20" t="str">
        <x:v>GPT-5.5 Pro</x:v>
      </x:c>
      <x:c r="O562" s="20" t="str">
        <x:v>Needs review</x:v>
      </x:c>
      <x:c r="P562" s="20" t="str">
        <x:v>Screening score for Russia / Propaganda ecosystems in France; verify with country-specific evidence before final use.</x:v>
      </x:c>
    </x:row>
    <x:row r="563" ht="24" customHeight="1">
      <x:c r="A563" s="20" t="str">
        <x:v>FRA|Russia|PMC presence</x:v>
      </x:c>
      <x:c r="B563" s="20" t="str">
        <x:v>France</x:v>
      </x:c>
      <x:c r="C563" s="20" t="str">
        <x:v>FRA</x:v>
      </x:c>
      <x:c r="D563" s="20" t="str">
        <x:v>Russia</x:v>
      </x:c>
      <x:c r="E563" s="20" t="str">
        <x:v>Russian influence</x:v>
      </x:c>
      <x:c r="F563" s="20" t="str">
        <x:v>PMC presence</x:v>
      </x:c>
      <x:c r="G563" s="384" t="n">
        <x:v>0</x:v>
      </x:c>
      <x:c r="H563" s="396" t="n">
        <x:v>1</x:v>
      </x:c>
      <x:c r="I563" s="20" t="str">
        <x:v>Treasury and Council of the EU Wagner/PMC source register</x:v>
      </x:c>
      <x:c r="J563" s="397" t="str">
        <x:v>https://www.consilium.europa.eu/en/press/press-releases/2023/02/25/wagner-group-council-adds-11-individuals-and-7-entities-to-eu-sanctions-lists/</x:v>
      </x:c>
      <x:c r="K563" s="20" t="str">
        <x:v>Primary source-register URL; automated screening score</x:v>
      </x:c>
      <x:c r="L563" s="20" t="str">
        <x:v>2026-05-20</x:v>
      </x:c>
      <x:c r="M563" s="20" t="str">
        <x:v>2026-05-20</x:v>
      </x:c>
      <x:c r="N563" s="20" t="str">
        <x:v>GPT-5.5 Pro</x:v>
      </x:c>
      <x:c r="O563" s="20" t="str">
        <x:v>Needs review</x:v>
      </x:c>
      <x:c r="P563" s="20" t="str">
        <x:v>Screening score for Russia / PMC presence in France; verify with country-specific evidence before final use.</x:v>
      </x:c>
    </x:row>
    <x:row r="564" ht="24" customHeight="1">
      <x:c r="A564" s="20" t="str">
        <x:v>FRA|Russia|Election interference</x:v>
      </x:c>
      <x:c r="B564" s="20" t="str">
        <x:v>France</x:v>
      </x:c>
      <x:c r="C564" s="20" t="str">
        <x:v>FRA</x:v>
      </x:c>
      <x:c r="D564" s="20" t="str">
        <x:v>Russia</x:v>
      </x:c>
      <x:c r="E564" s="20" t="str">
        <x:v>Russian influence</x:v>
      </x:c>
      <x:c r="F564" s="20" t="str">
        <x:v>Election interference</x:v>
      </x:c>
      <x:c r="G564" s="384" t="n">
        <x:v>7</x:v>
      </x:c>
      <x:c r="H564" s="396" t="n">
        <x:v>4</x:v>
      </x:c>
      <x:c r="I564" s="20" t="str">
        <x:v>ODNI/EEAS election-FIMI source register</x:v>
      </x:c>
      <x:c r="J564" s="397" t="str">
        <x:v>https://www.dni.gov/files/ODNI/documents/assessments/ATA-2026-Unclassified-Report.pdf</x:v>
      </x:c>
      <x:c r="K564" s="20" t="str">
        <x:v>Primary source-register URL; automated screening score</x:v>
      </x:c>
      <x:c r="L564" s="20" t="str">
        <x:v>2026-05-20</x:v>
      </x:c>
      <x:c r="M564" s="20" t="str">
        <x:v>2026-05-20</x:v>
      </x:c>
      <x:c r="N564" s="20" t="str">
        <x:v>GPT-5.5 Pro</x:v>
      </x:c>
      <x:c r="O564" s="20" t="str">
        <x:v>Needs review</x:v>
      </x:c>
      <x:c r="P564" s="20" t="str">
        <x:v>Screening score for Russia / Election interference in France; verify with country-specific evidence before final use.</x:v>
      </x:c>
    </x:row>
    <x:row r="565" ht="24" customHeight="1">
      <x:c r="A565" s="20" t="str">
        <x:v>FRA|Russia|Security contractors</x:v>
      </x:c>
      <x:c r="B565" s="20" t="str">
        <x:v>France</x:v>
      </x:c>
      <x:c r="C565" s="20" t="str">
        <x:v>FRA</x:v>
      </x:c>
      <x:c r="D565" s="20" t="str">
        <x:v>Russia</x:v>
      </x:c>
      <x:c r="E565" s="20" t="str">
        <x:v>Russian influence</x:v>
      </x:c>
      <x:c r="F565" s="20" t="str">
        <x:v>Security contractors</x:v>
      </x:c>
      <x:c r="G565" s="384" t="n">
        <x:v>0</x:v>
      </x:c>
      <x:c r="H565" s="396" t="n">
        <x:v>1</x:v>
      </x:c>
      <x:c r="I565" s="20" t="str">
        <x:v>Council of the EU/Treasury Wagner-security source register</x:v>
      </x:c>
      <x:c r="J565" s="397" t="str">
        <x:v>https://www.consilium.europa.eu/en/press/press-releases/2023/02/25/wagner-group-council-adds-11-individuals-and-7-entities-to-eu-sanctions-lists/</x:v>
      </x:c>
      <x:c r="K565" s="20" t="str">
        <x:v>Primary source-register URL; automated screening score</x:v>
      </x:c>
      <x:c r="L565" s="20" t="str">
        <x:v>2026-05-20</x:v>
      </x:c>
      <x:c r="M565" s="20" t="str">
        <x:v>2026-05-20</x:v>
      </x:c>
      <x:c r="N565" s="20" t="str">
        <x:v>GPT-5.5 Pro</x:v>
      </x:c>
      <x:c r="O565" s="20" t="str">
        <x:v>Needs review</x:v>
      </x:c>
      <x:c r="P565" s="20" t="str">
        <x:v>Screening score for Russia / Security contractors in France; verify with country-specific evidence before final use.</x:v>
      </x:c>
    </x:row>
    <x:row r="566" ht="24" customHeight="1">
      <x:c r="A566" s="20" t="str">
        <x:v>FRA|China|Propaganda ecosystems</x:v>
      </x:c>
      <x:c r="B566" s="20" t="str">
        <x:v>France</x:v>
      </x:c>
      <x:c r="C566" s="20" t="str">
        <x:v>FRA</x:v>
      </x:c>
      <x:c r="D566" s="20" t="str">
        <x:v>China</x:v>
      </x:c>
      <x:c r="E566" s="20" t="str">
        <x:v>Chinese influence</x:v>
      </x:c>
      <x:c r="F566" s="20" t="str">
        <x:v>Propaganda ecosystems</x:v>
      </x:c>
      <x:c r="G566" s="384" t="n">
        <x:v>5</x:v>
      </x:c>
      <x:c r="H566" s="396" t="n">
        <x:v>3</x:v>
      </x:c>
      <x:c r="I566" s="20" t="str">
        <x:v>EEAS/ODNI China FIMI source register</x:v>
      </x:c>
      <x:c r="J566" s="397" t="str">
        <x:v>https://www.eeas.europa.eu/eeas/4th-eeas-annual-report-foreign-information-manipulation-and-interference-threats_en</x:v>
      </x:c>
      <x:c r="K566" s="20" t="str">
        <x:v>Primary source-register URL; automated screening score</x:v>
      </x:c>
      <x:c r="L566" s="20" t="str">
        <x:v>2026-05-20</x:v>
      </x:c>
      <x:c r="M566" s="20" t="str">
        <x:v>2026-05-20</x:v>
      </x:c>
      <x:c r="N566" s="20" t="str">
        <x:v>GPT-5.5 Pro</x:v>
      </x:c>
      <x:c r="O566" s="20" t="str">
        <x:v>Needs review</x:v>
      </x:c>
      <x:c r="P566" s="20" t="str">
        <x:v>Screening score for China / Propaganda ecosystems in France; verify with country-specific evidence before final use.</x:v>
      </x:c>
    </x:row>
    <x:row r="567" ht="24" customHeight="1">
      <x:c r="A567" s="20" t="str">
        <x:v>FRA|China|PMC presence</x:v>
      </x:c>
      <x:c r="B567" s="20" t="str">
        <x:v>France</x:v>
      </x:c>
      <x:c r="C567" s="20" t="str">
        <x:v>FRA</x:v>
      </x:c>
      <x:c r="D567" s="20" t="str">
        <x:v>China</x:v>
      </x:c>
      <x:c r="E567" s="20" t="str">
        <x:v>Chinese influence</x:v>
      </x:c>
      <x:c r="F567" s="20" t="str">
        <x:v>PMC presence</x:v>
      </x:c>
      <x:c r="G567" s="384" t="n">
        <x:v>0</x:v>
      </x:c>
      <x:c r="H567" s="396" t="n">
        <x:v>1</x:v>
      </x:c>
      <x:c r="I567" s="20" t="str">
        <x:v>MERICS/Carnegie Chinese overseas PSC source register</x:v>
      </x:c>
      <x:c r="J567" s="397" t="str">
        <x:v>https://merics.org/en/report/guardians-belt-and-road</x:v>
      </x:c>
      <x:c r="K567" s="20" t="str">
        <x:v>Primary source-register URL; automated screening score</x:v>
      </x:c>
      <x:c r="L567" s="20" t="str">
        <x:v>2026-05-20</x:v>
      </x:c>
      <x:c r="M567" s="20" t="str">
        <x:v>2026-05-20</x:v>
      </x:c>
      <x:c r="N567" s="20" t="str">
        <x:v>GPT-5.5 Pro</x:v>
      </x:c>
      <x:c r="O567" s="20" t="str">
        <x:v>Needs review</x:v>
      </x:c>
      <x:c r="P567" s="20" t="str">
        <x:v>Screening score for China / PMC presence in France; verify with country-specific evidence before final use.</x:v>
      </x:c>
    </x:row>
    <x:row r="568" ht="24" customHeight="1">
      <x:c r="A568" s="20" t="str">
        <x:v>FRA|China|Election interference</x:v>
      </x:c>
      <x:c r="B568" s="20" t="str">
        <x:v>France</x:v>
      </x:c>
      <x:c r="C568" s="20" t="str">
        <x:v>FRA</x:v>
      </x:c>
      <x:c r="D568" s="20" t="str">
        <x:v>China</x:v>
      </x:c>
      <x:c r="E568" s="20" t="str">
        <x:v>Chinese influence</x:v>
      </x:c>
      <x:c r="F568" s="20" t="str">
        <x:v>Election interference</x:v>
      </x:c>
      <x:c r="G568" s="384" t="n">
        <x:v>3</x:v>
      </x:c>
      <x:c r="H568" s="396" t="n">
        <x:v>3</x:v>
      </x:c>
      <x:c r="I568" s="20" t="str">
        <x:v>EEAS/ODNI China election-FIMI source register</x:v>
      </x:c>
      <x:c r="J568" s="397" t="str">
        <x:v>https://www.eeas.europa.eu/eeas/4th-eeas-annual-report-foreign-information-manipulation-and-interference-threats_en</x:v>
      </x:c>
      <x:c r="K568" s="20" t="str">
        <x:v>Primary source-register URL; automated screening score</x:v>
      </x:c>
      <x:c r="L568" s="20" t="str">
        <x:v>2026-05-20</x:v>
      </x:c>
      <x:c r="M568" s="20" t="str">
        <x:v>2026-05-20</x:v>
      </x:c>
      <x:c r="N568" s="20" t="str">
        <x:v>GPT-5.5 Pro</x:v>
      </x:c>
      <x:c r="O568" s="20" t="str">
        <x:v>Needs review</x:v>
      </x:c>
      <x:c r="P568" s="20" t="str">
        <x:v>Screening score for China / Election interference in France; verify with country-specific evidence before final use.</x:v>
      </x:c>
    </x:row>
    <x:row r="569" ht="24" customHeight="1">
      <x:c r="A569" s="20" t="str">
        <x:v>FRA|China|Security contractors</x:v>
      </x:c>
      <x:c r="B569" s="20" t="str">
        <x:v>France</x:v>
      </x:c>
      <x:c r="C569" s="20" t="str">
        <x:v>FRA</x:v>
      </x:c>
      <x:c r="D569" s="20" t="str">
        <x:v>China</x:v>
      </x:c>
      <x:c r="E569" s="20" t="str">
        <x:v>Chinese influence</x:v>
      </x:c>
      <x:c r="F569" s="20" t="str">
        <x:v>Security contractors</x:v>
      </x:c>
      <x:c r="G569" s="384" t="n">
        <x:v>0</x:v>
      </x:c>
      <x:c r="H569" s="396" t="n">
        <x:v>1</x:v>
      </x:c>
      <x:c r="I569" s="20" t="str">
        <x:v>MERICS/Carnegie Chinese security contractor source register</x:v>
      </x:c>
      <x:c r="J569" s="397" t="str">
        <x:v>https://merics.org/en/report/guardians-belt-and-road</x:v>
      </x:c>
      <x:c r="K569" s="20" t="str">
        <x:v>Primary source-register URL; automated screening score</x:v>
      </x:c>
      <x:c r="L569" s="20" t="str">
        <x:v>2026-05-20</x:v>
      </x:c>
      <x:c r="M569" s="20" t="str">
        <x:v>2026-05-20</x:v>
      </x:c>
      <x:c r="N569" s="20" t="str">
        <x:v>GPT-5.5 Pro</x:v>
      </x:c>
      <x:c r="O569" s="20" t="str">
        <x:v>Needs review</x:v>
      </x:c>
      <x:c r="P569" s="20" t="str">
        <x:v>Screening score for China / Security contractors in France; verify with country-specific evidence before final use.</x:v>
      </x:c>
    </x:row>
    <x:row r="570" ht="24" customHeight="1">
      <x:c r="A570" s="20" t="str">
        <x:v>FRA|United States|Propaganda ecosystems</x:v>
      </x:c>
      <x:c r="B570" s="20" t="str">
        <x:v>France</x:v>
      </x:c>
      <x:c r="C570" s="20" t="str">
        <x:v>FRA</x:v>
      </x:c>
      <x:c r="D570" s="20" t="str">
        <x:v>United States</x:v>
      </x:c>
      <x:c r="E570" s="20" t="str">
        <x:v>American influence</x:v>
      </x:c>
      <x:c r="F570" s="20" t="str">
        <x:v>Propaganda ecosystems</x:v>
      </x:c>
      <x:c r="G570" s="384" t="n">
        <x:v>4</x:v>
      </x:c>
      <x:c r="H570" s="396" t="n">
        <x:v>3</x:v>
      </x:c>
      <x:c r="I570" s="20" t="str">
        <x:v>USAGM public media source register</x:v>
      </x:c>
      <x:c r="J570" s="397" t="str">
        <x:v>https://www.usagm.gov/our-work/strategy-and-results/strategic-priorities/research-reports/</x:v>
      </x:c>
      <x:c r="K570" s="20" t="str">
        <x:v>Primary source-register URL; automated screening score</x:v>
      </x:c>
      <x:c r="L570" s="20" t="str">
        <x:v>2026-05-20</x:v>
      </x:c>
      <x:c r="M570" s="20" t="str">
        <x:v>2026-05-20</x:v>
      </x:c>
      <x:c r="N570" s="20" t="str">
        <x:v>GPT-5.5 Pro</x:v>
      </x:c>
      <x:c r="O570" s="20" t="str">
        <x:v>Needs review</x:v>
      </x:c>
      <x:c r="P570" s="20" t="str">
        <x:v>Screening score for United States / Propaganda ecosystems in France; verify with country-specific evidence before final use.</x:v>
      </x:c>
    </x:row>
    <x:row r="571" ht="24" customHeight="1">
      <x:c r="A571" s="20" t="str">
        <x:v>FRA|United States|PMC presence</x:v>
      </x:c>
      <x:c r="B571" s="20" t="str">
        <x:v>France</x:v>
      </x:c>
      <x:c r="C571" s="20" t="str">
        <x:v>FRA</x:v>
      </x:c>
      <x:c r="D571" s="20" t="str">
        <x:v>United States</x:v>
      </x:c>
      <x:c r="E571" s="20" t="str">
        <x:v>American influence</x:v>
      </x:c>
      <x:c r="F571" s="20" t="str">
        <x:v>PMC presence</x:v>
      </x:c>
      <x:c r="G571" s="384" t="n">
        <x:v>3</x:v>
      </x:c>
      <x:c r="H571" s="396" t="n">
        <x:v>3</x:v>
      </x:c>
      <x:c r="I571" s="20" t="str">
        <x:v>SAM/Greenbook U.S. security assistance contractor source register</x:v>
      </x:c>
      <x:c r="J571" s="397" t="str">
        <x:v>https://internationalpolicy.org/programs/sam/</x:v>
      </x:c>
      <x:c r="K571" s="20" t="str">
        <x:v>Primary source-register URL; automated screening score</x:v>
      </x:c>
      <x:c r="L571" s="20" t="str">
        <x:v>2026-05-20</x:v>
      </x:c>
      <x:c r="M571" s="20" t="str">
        <x:v>2026-05-20</x:v>
      </x:c>
      <x:c r="N571" s="20" t="str">
        <x:v>GPT-5.5 Pro</x:v>
      </x:c>
      <x:c r="O571" s="20" t="str">
        <x:v>Needs review</x:v>
      </x:c>
      <x:c r="P571" s="20" t="str">
        <x:v>Screening score for United States / PMC presence in France; verify with country-specific evidence before final use.</x:v>
      </x:c>
    </x:row>
    <x:row r="572" ht="24" customHeight="1">
      <x:c r="A572" s="20" t="str">
        <x:v>FRA|United States|Election interference</x:v>
      </x:c>
      <x:c r="B572" s="20" t="str">
        <x:v>France</x:v>
      </x:c>
      <x:c r="C572" s="20" t="str">
        <x:v>FRA</x:v>
      </x:c>
      <x:c r="D572" s="20" t="str">
        <x:v>United States</x:v>
      </x:c>
      <x:c r="E572" s="20" t="str">
        <x:v>American influence</x:v>
      </x:c>
      <x:c r="F572" s="20" t="str">
        <x:v>Election interference</x:v>
      </x:c>
      <x:c r="G572" s="384" t="n">
        <x:v>1</x:v>
      </x:c>
      <x:c r="H572" s="396" t="n">
        <x:v>2</x:v>
      </x:c>
      <x:c r="I572" s="20" t="str">
        <x:v>NED/Greenbook democracy assistance source register</x:v>
      </x:c>
      <x:c r="J572" s="397" t="str">
        <x:v>https://www.ned.org/ned-grantmaking/</x:v>
      </x:c>
      <x:c r="K572" s="20" t="str">
        <x:v>Primary source-register URL; automated screening score</x:v>
      </x:c>
      <x:c r="L572" s="20" t="str">
        <x:v>2026-05-20</x:v>
      </x:c>
      <x:c r="M572" s="20" t="str">
        <x:v>2026-05-20</x:v>
      </x:c>
      <x:c r="N572" s="20" t="str">
        <x:v>GPT-5.5 Pro</x:v>
      </x:c>
      <x:c r="O572" s="20" t="str">
        <x:v>Needs review</x:v>
      </x:c>
      <x:c r="P572" s="20" t="str">
        <x:v>Screening score for United States / Election interference in France; verify with country-specific evidence before final use.</x:v>
      </x:c>
    </x:row>
    <x:row r="573" ht="24" customHeight="1">
      <x:c r="A573" s="20" t="str">
        <x:v>FRA|United States|Security contractors</x:v>
      </x:c>
      <x:c r="B573" s="20" t="str">
        <x:v>France</x:v>
      </x:c>
      <x:c r="C573" s="20" t="str">
        <x:v>FRA</x:v>
      </x:c>
      <x:c r="D573" s="20" t="str">
        <x:v>United States</x:v>
      </x:c>
      <x:c r="E573" s="20" t="str">
        <x:v>American influence</x:v>
      </x:c>
      <x:c r="F573" s="20" t="str">
        <x:v>Security contractors</x:v>
      </x:c>
      <x:c r="G573" s="384" t="n">
        <x:v>6</x:v>
      </x:c>
      <x:c r="H573" s="396" t="n">
        <x:v>4</x:v>
      </x:c>
      <x:c r="I573" s="20" t="str">
        <x:v>SAM/Greenbook U.S. security contractor source register</x:v>
      </x:c>
      <x:c r="J573" s="397" t="str">
        <x:v>https://internationalpolicy.org/programs/sam/</x:v>
      </x:c>
      <x:c r="K573" s="20" t="str">
        <x:v>Primary source-register URL; automated screening score</x:v>
      </x:c>
      <x:c r="L573" s="20" t="str">
        <x:v>2026-05-20</x:v>
      </x:c>
      <x:c r="M573" s="20" t="str">
        <x:v>2026-05-20</x:v>
      </x:c>
      <x:c r="N573" s="20" t="str">
        <x:v>GPT-5.5 Pro</x:v>
      </x:c>
      <x:c r="O573" s="20" t="str">
        <x:v>Needs review</x:v>
      </x:c>
      <x:c r="P573" s="20" t="str">
        <x:v>Screening score for United States / Security contractors in France; verify with country-specific evidence before final use.</x:v>
      </x:c>
    </x:row>
    <x:row r="574" ht="24" customHeight="1">
      <x:c r="A574" s="20" t="str">
        <x:v>FRA|European Union|Propaganda ecosystems</x:v>
      </x:c>
      <x:c r="B574" s="20" t="str">
        <x:v>France</x:v>
      </x:c>
      <x:c r="C574" s="20" t="str">
        <x:v>FRA</x:v>
      </x:c>
      <x:c r="D574" s="20" t="str">
        <x:v>European Union</x:v>
      </x:c>
      <x:c r="E574" s="20" t="str">
        <x:v>EU influence</x:v>
      </x:c>
      <x:c r="F574" s="20" t="str">
        <x:v>Propaganda ecosystems</x:v>
      </x:c>
      <x:c r="G574" s="384" t="n">
        <x:v>9</x:v>
      </x:c>
      <x:c r="H574" s="396" t="n">
        <x:v>5</x:v>
      </x:c>
      <x:c r="I574" s="20" t="str">
        <x:v>EEAS public diplomacy source register</x:v>
      </x:c>
      <x:c r="J574" s="397" t="str">
        <x:v>https://www.eeas.europa.eu/eeas/public-diplomacy_en</x:v>
      </x:c>
      <x:c r="K574" s="20" t="str">
        <x:v>Primary source-register URL; automated screening score</x:v>
      </x:c>
      <x:c r="L574" s="20" t="str">
        <x:v>2026-05-20</x:v>
      </x:c>
      <x:c r="M574" s="20" t="str">
        <x:v>2026-05-20</x:v>
      </x:c>
      <x:c r="N574" s="20" t="str">
        <x:v>GPT-5.5 Pro</x:v>
      </x:c>
      <x:c r="O574" s="20" t="str">
        <x:v>Needs review</x:v>
      </x:c>
      <x:c r="P574" s="20" t="str">
        <x:v>Screening score for European Union / Propaganda ecosystems in France; verify with country-specific evidence before final use.</x:v>
      </x:c>
    </x:row>
    <x:row r="575" ht="24" customHeight="1">
      <x:c r="A575" s="20" t="str">
        <x:v>FRA|European Union|PMC presence</x:v>
      </x:c>
      <x:c r="B575" s="20" t="str">
        <x:v>France</x:v>
      </x:c>
      <x:c r="C575" s="20" t="str">
        <x:v>FRA</x:v>
      </x:c>
      <x:c r="D575" s="20" t="str">
        <x:v>European Union</x:v>
      </x:c>
      <x:c r="E575" s="20" t="str">
        <x:v>EU influence</x:v>
      </x:c>
      <x:c r="F575" s="20" t="str">
        <x:v>PMC presence</x:v>
      </x:c>
      <x:c r="G575" s="384" t="n">
        <x:v>0</x:v>
      </x:c>
      <x:c r="H575" s="396" t="n">
        <x:v>1</x:v>
      </x:c>
      <x:c r="I575" s="20" t="str">
        <x:v>EEAS CSDP missions source register</x:v>
      </x:c>
      <x:c r="J575" s="397" t="str">
        <x:v>https://www.eeas.europa.eu/eeas/missions-and-operations_en</x:v>
      </x:c>
      <x:c r="K575" s="20" t="str">
        <x:v>Primary source-register URL; automated screening score</x:v>
      </x:c>
      <x:c r="L575" s="20" t="str">
        <x:v>2026-05-20</x:v>
      </x:c>
      <x:c r="M575" s="20" t="str">
        <x:v>2026-05-20</x:v>
      </x:c>
      <x:c r="N575" s="20" t="str">
        <x:v>GPT-5.5 Pro</x:v>
      </x:c>
      <x:c r="O575" s="20" t="str">
        <x:v>Needs review</x:v>
      </x:c>
      <x:c r="P575" s="20" t="str">
        <x:v>Screening score for European Union / PMC presence in France; verify with country-specific evidence before final use.</x:v>
      </x:c>
    </x:row>
    <x:row r="576" ht="24" customHeight="1">
      <x:c r="A576" s="20" t="str">
        <x:v>FRA|European Union|Election interference</x:v>
      </x:c>
      <x:c r="B576" s="20" t="str">
        <x:v>France</x:v>
      </x:c>
      <x:c r="C576" s="20" t="str">
        <x:v>FRA</x:v>
      </x:c>
      <x:c r="D576" s="20" t="str">
        <x:v>European Union</x:v>
      </x:c>
      <x:c r="E576" s="20" t="str">
        <x:v>EU influence</x:v>
      </x:c>
      <x:c r="F576" s="20" t="str">
        <x:v>Election interference</x:v>
      </x:c>
      <x:c r="G576" s="384" t="n">
        <x:v>2</x:v>
      </x:c>
      <x:c r="H576" s="396" t="n">
        <x:v>2</x:v>
      </x:c>
      <x:c r="I576" s="20" t="str">
        <x:v>EEAS EU election observation source register</x:v>
      </x:c>
      <x:c r="J576" s="397" t="str">
        <x:v>https://www.eeas.europa.eu/eeas/eu-election-observation-missions-1_en?page_lang=en</x:v>
      </x:c>
      <x:c r="K576" s="20" t="str">
        <x:v>Primary source-register URL; automated screening score</x:v>
      </x:c>
      <x:c r="L576" s="20" t="str">
        <x:v>2026-05-20</x:v>
      </x:c>
      <x:c r="M576" s="20" t="str">
        <x:v>2026-05-20</x:v>
      </x:c>
      <x:c r="N576" s="20" t="str">
        <x:v>GPT-5.5 Pro</x:v>
      </x:c>
      <x:c r="O576" s="20" t="str">
        <x:v>Needs review</x:v>
      </x:c>
      <x:c r="P576" s="20" t="str">
        <x:v>Screening score for European Union / Election interference in France; verify with country-specific evidence before final use.</x:v>
      </x:c>
    </x:row>
    <x:row r="577" ht="24" customHeight="1">
      <x:c r="A577" s="20" t="str">
        <x:v>FRA|European Union|Security contractors</x:v>
      </x:c>
      <x:c r="B577" s="20" t="str">
        <x:v>France</x:v>
      </x:c>
      <x:c r="C577" s="20" t="str">
        <x:v>FRA</x:v>
      </x:c>
      <x:c r="D577" s="20" t="str">
        <x:v>European Union</x:v>
      </x:c>
      <x:c r="E577" s="20" t="str">
        <x:v>EU influence</x:v>
      </x:c>
      <x:c r="F577" s="20" t="str">
        <x:v>Security contractors</x:v>
      </x:c>
      <x:c r="G577" s="384" t="n">
        <x:v>5</x:v>
      </x:c>
      <x:c r="H577" s="396" t="n">
        <x:v>3</x:v>
      </x:c>
      <x:c r="I577" s="20" t="str">
        <x:v>EEAS CSDP / Global Gateway security source register</x:v>
      </x:c>
      <x:c r="J577" s="397" t="str">
        <x:v>https://www.eeas.europa.eu/eeas/missions-and-operations_en</x:v>
      </x:c>
      <x:c r="K577" s="20" t="str">
        <x:v>Primary source-register URL; automated screening score</x:v>
      </x:c>
      <x:c r="L577" s="20" t="str">
        <x:v>2026-05-20</x:v>
      </x:c>
      <x:c r="M577" s="20" t="str">
        <x:v>2026-05-20</x:v>
      </x:c>
      <x:c r="N577" s="20" t="str">
        <x:v>GPT-5.5 Pro</x:v>
      </x:c>
      <x:c r="O577" s="20" t="str">
        <x:v>Needs review</x:v>
      </x:c>
      <x:c r="P577" s="20" t="str">
        <x:v>Screening score for European Union / Security contractors in France; verify with country-specific evidence before final use.</x:v>
      </x:c>
    </x:row>
    <x:row r="578" ht="24" customHeight="1">
      <x:c r="A578" s="20" t="str">
        <x:v>GEO|Russia|Propaganda ecosystems</x:v>
      </x:c>
      <x:c r="B578" s="20" t="str">
        <x:v>Georgia</x:v>
      </x:c>
      <x:c r="C578" s="20" t="str">
        <x:v>GEO</x:v>
      </x:c>
      <x:c r="D578" s="20" t="str">
        <x:v>Russia</x:v>
      </x:c>
      <x:c r="E578" s="20" t="str">
        <x:v>Russian influence</x:v>
      </x:c>
      <x:c r="F578" s="20" t="str">
        <x:v>Propaganda ecosystems</x:v>
      </x:c>
      <x:c r="G578" s="384" t="n">
        <x:v>8</x:v>
      </x:c>
      <x:c r="H578" s="396" t="n">
        <x:v>4</x:v>
      </x:c>
      <x:c r="I578" s="20" t="str">
        <x:v>EEAS/EUvsDisinfo FIMI source register</x:v>
      </x:c>
      <x:c r="J578" s="397" t="str">
        <x:v>https://www.eeas.europa.eu/eeas/4th-eeas-annual-report-foreign-information-manipulation-and-interference-threats_en</x:v>
      </x:c>
      <x:c r="K578" s="20" t="str">
        <x:v>Primary source-register URL; automated screening score</x:v>
      </x:c>
      <x:c r="L578" s="20" t="str">
        <x:v>2026-05-20</x:v>
      </x:c>
      <x:c r="M578" s="20" t="str">
        <x:v>2026-05-20</x:v>
      </x:c>
      <x:c r="N578" s="20" t="str">
        <x:v>GPT-5.5 Pro</x:v>
      </x:c>
      <x:c r="O578" s="20" t="str">
        <x:v>Needs review</x:v>
      </x:c>
      <x:c r="P578" s="20" t="str">
        <x:v>Screening score for Russia / Propaganda ecosystems in Georgia; verify with country-specific evidence before final use.</x:v>
      </x:c>
    </x:row>
    <x:row r="579" ht="24" customHeight="1">
      <x:c r="A579" s="20" t="str">
        <x:v>GEO|Russia|PMC presence</x:v>
      </x:c>
      <x:c r="B579" s="20" t="str">
        <x:v>Georgia</x:v>
      </x:c>
      <x:c r="C579" s="20" t="str">
        <x:v>GEO</x:v>
      </x:c>
      <x:c r="D579" s="20" t="str">
        <x:v>Russia</x:v>
      </x:c>
      <x:c r="E579" s="20" t="str">
        <x:v>Russian influence</x:v>
      </x:c>
      <x:c r="F579" s="20" t="str">
        <x:v>PMC presence</x:v>
      </x:c>
      <x:c r="G579" s="384" t="n">
        <x:v>0</x:v>
      </x:c>
      <x:c r="H579" s="396" t="n">
        <x:v>1</x:v>
      </x:c>
      <x:c r="I579" s="20" t="str">
        <x:v>Treasury and Council of the EU Wagner/PMC source register</x:v>
      </x:c>
      <x:c r="J579" s="397" t="str">
        <x:v>https://www.consilium.europa.eu/en/press/press-releases/2023/02/25/wagner-group-council-adds-11-individuals-and-7-entities-to-eu-sanctions-lists/</x:v>
      </x:c>
      <x:c r="K579" s="20" t="str">
        <x:v>Primary source-register URL; automated screening score</x:v>
      </x:c>
      <x:c r="L579" s="20" t="str">
        <x:v>2026-05-20</x:v>
      </x:c>
      <x:c r="M579" s="20" t="str">
        <x:v>2026-05-20</x:v>
      </x:c>
      <x:c r="N579" s="20" t="str">
        <x:v>GPT-5.5 Pro</x:v>
      </x:c>
      <x:c r="O579" s="20" t="str">
        <x:v>Needs review</x:v>
      </x:c>
      <x:c r="P579" s="20" t="str">
        <x:v>Screening score for Russia / PMC presence in Georgia; verify with country-specific evidence before final use.</x:v>
      </x:c>
    </x:row>
    <x:row r="580" ht="24" customHeight="1">
      <x:c r="A580" s="20" t="str">
        <x:v>GEO|Russia|Election interference</x:v>
      </x:c>
      <x:c r="B580" s="20" t="str">
        <x:v>Georgia</x:v>
      </x:c>
      <x:c r="C580" s="20" t="str">
        <x:v>GEO</x:v>
      </x:c>
      <x:c r="D580" s="20" t="str">
        <x:v>Russia</x:v>
      </x:c>
      <x:c r="E580" s="20" t="str">
        <x:v>Russian influence</x:v>
      </x:c>
      <x:c r="F580" s="20" t="str">
        <x:v>Election interference</x:v>
      </x:c>
      <x:c r="G580" s="384" t="n">
        <x:v>7</x:v>
      </x:c>
      <x:c r="H580" s="396" t="n">
        <x:v>4</x:v>
      </x:c>
      <x:c r="I580" s="20" t="str">
        <x:v>ODNI/EEAS election-FIMI source register</x:v>
      </x:c>
      <x:c r="J580" s="397" t="str">
        <x:v>https://www.dni.gov/files/ODNI/documents/assessments/ATA-2026-Unclassified-Report.pdf</x:v>
      </x:c>
      <x:c r="K580" s="20" t="str">
        <x:v>Primary source-register URL; automated screening score</x:v>
      </x:c>
      <x:c r="L580" s="20" t="str">
        <x:v>2026-05-20</x:v>
      </x:c>
      <x:c r="M580" s="20" t="str">
        <x:v>2026-05-20</x:v>
      </x:c>
      <x:c r="N580" s="20" t="str">
        <x:v>GPT-5.5 Pro</x:v>
      </x:c>
      <x:c r="O580" s="20" t="str">
        <x:v>Needs review</x:v>
      </x:c>
      <x:c r="P580" s="20" t="str">
        <x:v>Screening score for Russia / Election interference in Georgia; verify with country-specific evidence before final use.</x:v>
      </x:c>
    </x:row>
    <x:row r="581" ht="24" customHeight="1">
      <x:c r="A581" s="20" t="str">
        <x:v>GEO|Russia|Security contractors</x:v>
      </x:c>
      <x:c r="B581" s="20" t="str">
        <x:v>Georgia</x:v>
      </x:c>
      <x:c r="C581" s="20" t="str">
        <x:v>GEO</x:v>
      </x:c>
      <x:c r="D581" s="20" t="str">
        <x:v>Russia</x:v>
      </x:c>
      <x:c r="E581" s="20" t="str">
        <x:v>Russian influence</x:v>
      </x:c>
      <x:c r="F581" s="20" t="str">
        <x:v>Security contractors</x:v>
      </x:c>
      <x:c r="G581" s="384" t="n">
        <x:v>0</x:v>
      </x:c>
      <x:c r="H581" s="396" t="n">
        <x:v>1</x:v>
      </x:c>
      <x:c r="I581" s="20" t="str">
        <x:v>Council of the EU/Treasury Wagner-security source register</x:v>
      </x:c>
      <x:c r="J581" s="397" t="str">
        <x:v>https://www.consilium.europa.eu/en/press/press-releases/2023/02/25/wagner-group-council-adds-11-individuals-and-7-entities-to-eu-sanctions-lists/</x:v>
      </x:c>
      <x:c r="K581" s="20" t="str">
        <x:v>Primary source-register URL; automated screening score</x:v>
      </x:c>
      <x:c r="L581" s="20" t="str">
        <x:v>2026-05-20</x:v>
      </x:c>
      <x:c r="M581" s="20" t="str">
        <x:v>2026-05-20</x:v>
      </x:c>
      <x:c r="N581" s="20" t="str">
        <x:v>GPT-5.5 Pro</x:v>
      </x:c>
      <x:c r="O581" s="20" t="str">
        <x:v>Needs review</x:v>
      </x:c>
      <x:c r="P581" s="20" t="str">
        <x:v>Screening score for Russia / Security contractors in Georgia; verify with country-specific evidence before final use.</x:v>
      </x:c>
    </x:row>
    <x:row r="582" ht="24" customHeight="1">
      <x:c r="A582" s="20" t="str">
        <x:v>GEO|China|Propaganda ecosystems</x:v>
      </x:c>
      <x:c r="B582" s="20" t="str">
        <x:v>Georgia</x:v>
      </x:c>
      <x:c r="C582" s="20" t="str">
        <x:v>GEO</x:v>
      </x:c>
      <x:c r="D582" s="20" t="str">
        <x:v>China</x:v>
      </x:c>
      <x:c r="E582" s="20" t="str">
        <x:v>Chinese influence</x:v>
      </x:c>
      <x:c r="F582" s="20" t="str">
        <x:v>Propaganda ecosystems</x:v>
      </x:c>
      <x:c r="G582" s="384" t="n">
        <x:v>3</x:v>
      </x:c>
      <x:c r="H582" s="396" t="n">
        <x:v>3</x:v>
      </x:c>
      <x:c r="I582" s="20" t="str">
        <x:v>EEAS/ODNI China FIMI source register</x:v>
      </x:c>
      <x:c r="J582" s="397" t="str">
        <x:v>https://www.eeas.europa.eu/eeas/4th-eeas-annual-report-foreign-information-manipulation-and-interference-threats_en</x:v>
      </x:c>
      <x:c r="K582" s="20" t="str">
        <x:v>Primary source-register URL; automated screening score</x:v>
      </x:c>
      <x:c r="L582" s="20" t="str">
        <x:v>2026-05-20</x:v>
      </x:c>
      <x:c r="M582" s="20" t="str">
        <x:v>2026-05-20</x:v>
      </x:c>
      <x:c r="N582" s="20" t="str">
        <x:v>GPT-5.5 Pro</x:v>
      </x:c>
      <x:c r="O582" s="20" t="str">
        <x:v>Needs review</x:v>
      </x:c>
      <x:c r="P582" s="20" t="str">
        <x:v>Screening score for China / Propaganda ecosystems in Georgia; verify with country-specific evidence before final use.</x:v>
      </x:c>
    </x:row>
    <x:row r="583" ht="24" customHeight="1">
      <x:c r="A583" s="20" t="str">
        <x:v>GEO|China|PMC presence</x:v>
      </x:c>
      <x:c r="B583" s="20" t="str">
        <x:v>Georgia</x:v>
      </x:c>
      <x:c r="C583" s="20" t="str">
        <x:v>GEO</x:v>
      </x:c>
      <x:c r="D583" s="20" t="str">
        <x:v>China</x:v>
      </x:c>
      <x:c r="E583" s="20" t="str">
        <x:v>Chinese influence</x:v>
      </x:c>
      <x:c r="F583" s="20" t="str">
        <x:v>PMC presence</x:v>
      </x:c>
      <x:c r="G583" s="384" t="n">
        <x:v>0</x:v>
      </x:c>
      <x:c r="H583" s="396" t="n">
        <x:v>1</x:v>
      </x:c>
      <x:c r="I583" s="20" t="str">
        <x:v>MERICS/Carnegie Chinese overseas PSC source register</x:v>
      </x:c>
      <x:c r="J583" s="397" t="str">
        <x:v>https://merics.org/en/report/guardians-belt-and-road</x:v>
      </x:c>
      <x:c r="K583" s="20" t="str">
        <x:v>Primary source-register URL; automated screening score</x:v>
      </x:c>
      <x:c r="L583" s="20" t="str">
        <x:v>2026-05-20</x:v>
      </x:c>
      <x:c r="M583" s="20" t="str">
        <x:v>2026-05-20</x:v>
      </x:c>
      <x:c r="N583" s="20" t="str">
        <x:v>GPT-5.5 Pro</x:v>
      </x:c>
      <x:c r="O583" s="20" t="str">
        <x:v>Needs review</x:v>
      </x:c>
      <x:c r="P583" s="20" t="str">
        <x:v>Screening score for China / PMC presence in Georgia; verify with country-specific evidence before final use.</x:v>
      </x:c>
    </x:row>
    <x:row r="584" ht="24" customHeight="1">
      <x:c r="A584" s="20" t="str">
        <x:v>GEO|China|Election interference</x:v>
      </x:c>
      <x:c r="B584" s="20" t="str">
        <x:v>Georgia</x:v>
      </x:c>
      <x:c r="C584" s="20" t="str">
        <x:v>GEO</x:v>
      </x:c>
      <x:c r="D584" s="20" t="str">
        <x:v>China</x:v>
      </x:c>
      <x:c r="E584" s="20" t="str">
        <x:v>Chinese influence</x:v>
      </x:c>
      <x:c r="F584" s="20" t="str">
        <x:v>Election interference</x:v>
      </x:c>
      <x:c r="G584" s="384" t="n">
        <x:v>1</x:v>
      </x:c>
      <x:c r="H584" s="396" t="n">
        <x:v>2</x:v>
      </x:c>
      <x:c r="I584" s="20" t="str">
        <x:v>EEAS/ODNI China election-FIMI source register</x:v>
      </x:c>
      <x:c r="J584" s="397" t="str">
        <x:v>https://www.eeas.europa.eu/eeas/4th-eeas-annual-report-foreign-information-manipulation-and-interference-threats_en</x:v>
      </x:c>
      <x:c r="K584" s="20" t="str">
        <x:v>Primary source-register URL; automated screening score</x:v>
      </x:c>
      <x:c r="L584" s="20" t="str">
        <x:v>2026-05-20</x:v>
      </x:c>
      <x:c r="M584" s="20" t="str">
        <x:v>2026-05-20</x:v>
      </x:c>
      <x:c r="N584" s="20" t="str">
        <x:v>GPT-5.5 Pro</x:v>
      </x:c>
      <x:c r="O584" s="20" t="str">
        <x:v>Needs review</x:v>
      </x:c>
      <x:c r="P584" s="20" t="str">
        <x:v>Screening score for China / Election interference in Georgia; verify with country-specific evidence before final use.</x:v>
      </x:c>
    </x:row>
    <x:row r="585" ht="24" customHeight="1">
      <x:c r="A585" s="20" t="str">
        <x:v>GEO|China|Security contractors</x:v>
      </x:c>
      <x:c r="B585" s="20" t="str">
        <x:v>Georgia</x:v>
      </x:c>
      <x:c r="C585" s="20" t="str">
        <x:v>GEO</x:v>
      </x:c>
      <x:c r="D585" s="20" t="str">
        <x:v>China</x:v>
      </x:c>
      <x:c r="E585" s="20" t="str">
        <x:v>Chinese influence</x:v>
      </x:c>
      <x:c r="F585" s="20" t="str">
        <x:v>Security contractors</x:v>
      </x:c>
      <x:c r="G585" s="384" t="n">
        <x:v>1</x:v>
      </x:c>
      <x:c r="H585" s="396" t="n">
        <x:v>2</x:v>
      </x:c>
      <x:c r="I585" s="20" t="str">
        <x:v>MERICS/Carnegie Chinese security contractor source register</x:v>
      </x:c>
      <x:c r="J585" s="397" t="str">
        <x:v>https://merics.org/en/report/guardians-belt-and-road</x:v>
      </x:c>
      <x:c r="K585" s="20" t="str">
        <x:v>Primary source-register URL; automated screening score</x:v>
      </x:c>
      <x:c r="L585" s="20" t="str">
        <x:v>2026-05-20</x:v>
      </x:c>
      <x:c r="M585" s="20" t="str">
        <x:v>2026-05-20</x:v>
      </x:c>
      <x:c r="N585" s="20" t="str">
        <x:v>GPT-5.5 Pro</x:v>
      </x:c>
      <x:c r="O585" s="20" t="str">
        <x:v>Needs review</x:v>
      </x:c>
      <x:c r="P585" s="20" t="str">
        <x:v>Screening score for China / Security contractors in Georgia; verify with country-specific evidence before final use.</x:v>
      </x:c>
    </x:row>
    <x:row r="586" ht="24" customHeight="1">
      <x:c r="A586" s="20" t="str">
        <x:v>GEO|United States|Propaganda ecosystems</x:v>
      </x:c>
      <x:c r="B586" s="20" t="str">
        <x:v>Georgia</x:v>
      </x:c>
      <x:c r="C586" s="20" t="str">
        <x:v>GEO</x:v>
      </x:c>
      <x:c r="D586" s="20" t="str">
        <x:v>United States</x:v>
      </x:c>
      <x:c r="E586" s="20" t="str">
        <x:v>American influence</x:v>
      </x:c>
      <x:c r="F586" s="20" t="str">
        <x:v>Propaganda ecosystems</x:v>
      </x:c>
      <x:c r="G586" s="384" t="n">
        <x:v>6</x:v>
      </x:c>
      <x:c r="H586" s="396" t="n">
        <x:v>4</x:v>
      </x:c>
      <x:c r="I586" s="20" t="str">
        <x:v>USAGM public media source register</x:v>
      </x:c>
      <x:c r="J586" s="397" t="str">
        <x:v>https://www.usagm.gov/our-work/strategy-and-results/strategic-priorities/research-reports/</x:v>
      </x:c>
      <x:c r="K586" s="20" t="str">
        <x:v>Primary source-register URL; automated screening score</x:v>
      </x:c>
      <x:c r="L586" s="20" t="str">
        <x:v>2026-05-20</x:v>
      </x:c>
      <x:c r="M586" s="20" t="str">
        <x:v>2026-05-20</x:v>
      </x:c>
      <x:c r="N586" s="20" t="str">
        <x:v>GPT-5.5 Pro</x:v>
      </x:c>
      <x:c r="O586" s="20" t="str">
        <x:v>Needs review</x:v>
      </x:c>
      <x:c r="P586" s="20" t="str">
        <x:v>Screening score for United States / Propaganda ecosystems in Georgia; verify with country-specific evidence before final use.</x:v>
      </x:c>
    </x:row>
    <x:row r="587" ht="24" customHeight="1">
      <x:c r="A587" s="20" t="str">
        <x:v>GEO|United States|PMC presence</x:v>
      </x:c>
      <x:c r="B587" s="20" t="str">
        <x:v>Georgia</x:v>
      </x:c>
      <x:c r="C587" s="20" t="str">
        <x:v>GEO</x:v>
      </x:c>
      <x:c r="D587" s="20" t="str">
        <x:v>United States</x:v>
      </x:c>
      <x:c r="E587" s="20" t="str">
        <x:v>American influence</x:v>
      </x:c>
      <x:c r="F587" s="20" t="str">
        <x:v>PMC presence</x:v>
      </x:c>
      <x:c r="G587" s="384" t="n">
        <x:v>1</x:v>
      </x:c>
      <x:c r="H587" s="396" t="n">
        <x:v>2</x:v>
      </x:c>
      <x:c r="I587" s="20" t="str">
        <x:v>SAM/Greenbook U.S. security assistance contractor source register</x:v>
      </x:c>
      <x:c r="J587" s="397" t="str">
        <x:v>https://internationalpolicy.org/programs/sam/</x:v>
      </x:c>
      <x:c r="K587" s="20" t="str">
        <x:v>Primary source-register URL; automated screening score</x:v>
      </x:c>
      <x:c r="L587" s="20" t="str">
        <x:v>2026-05-20</x:v>
      </x:c>
      <x:c r="M587" s="20" t="str">
        <x:v>2026-05-20</x:v>
      </x:c>
      <x:c r="N587" s="20" t="str">
        <x:v>GPT-5.5 Pro</x:v>
      </x:c>
      <x:c r="O587" s="20" t="str">
        <x:v>Needs review</x:v>
      </x:c>
      <x:c r="P587" s="20" t="str">
        <x:v>Screening score for United States / PMC presence in Georgia; verify with country-specific evidence before final use.</x:v>
      </x:c>
    </x:row>
    <x:row r="588" ht="24" customHeight="1">
      <x:c r="A588" s="20" t="str">
        <x:v>GEO|United States|Election interference</x:v>
      </x:c>
      <x:c r="B588" s="20" t="str">
        <x:v>Georgia</x:v>
      </x:c>
      <x:c r="C588" s="20" t="str">
        <x:v>GEO</x:v>
      </x:c>
      <x:c r="D588" s="20" t="str">
        <x:v>United States</x:v>
      </x:c>
      <x:c r="E588" s="20" t="str">
        <x:v>American influence</x:v>
      </x:c>
      <x:c r="F588" s="20" t="str">
        <x:v>Election interference</x:v>
      </x:c>
      <x:c r="G588" s="384" t="n">
        <x:v>4</x:v>
      </x:c>
      <x:c r="H588" s="396" t="n">
        <x:v>3</x:v>
      </x:c>
      <x:c r="I588" s="20" t="str">
        <x:v>NED/Greenbook democracy assistance source register</x:v>
      </x:c>
      <x:c r="J588" s="397" t="str">
        <x:v>https://www.ned.org/ned-grantmaking/</x:v>
      </x:c>
      <x:c r="K588" s="20" t="str">
        <x:v>Primary source-register URL; automated screening score</x:v>
      </x:c>
      <x:c r="L588" s="20" t="str">
        <x:v>2026-05-20</x:v>
      </x:c>
      <x:c r="M588" s="20" t="str">
        <x:v>2026-05-20</x:v>
      </x:c>
      <x:c r="N588" s="20" t="str">
        <x:v>GPT-5.5 Pro</x:v>
      </x:c>
      <x:c r="O588" s="20" t="str">
        <x:v>Needs review</x:v>
      </x:c>
      <x:c r="P588" s="20" t="str">
        <x:v>Screening score for United States / Election interference in Georgia; verify with country-specific evidence before final use.</x:v>
      </x:c>
    </x:row>
    <x:row r="589" ht="24" customHeight="1">
      <x:c r="A589" s="20" t="str">
        <x:v>GEO|United States|Security contractors</x:v>
      </x:c>
      <x:c r="B589" s="20" t="str">
        <x:v>Georgia</x:v>
      </x:c>
      <x:c r="C589" s="20" t="str">
        <x:v>GEO</x:v>
      </x:c>
      <x:c r="D589" s="20" t="str">
        <x:v>United States</x:v>
      </x:c>
      <x:c r="E589" s="20" t="str">
        <x:v>American influence</x:v>
      </x:c>
      <x:c r="F589" s="20" t="str">
        <x:v>Security contractors</x:v>
      </x:c>
      <x:c r="G589" s="384" t="n">
        <x:v>2</x:v>
      </x:c>
      <x:c r="H589" s="396" t="n">
        <x:v>2</x:v>
      </x:c>
      <x:c r="I589" s="20" t="str">
        <x:v>SAM/Greenbook U.S. security contractor source register</x:v>
      </x:c>
      <x:c r="J589" s="397" t="str">
        <x:v>https://internationalpolicy.org/programs/sam/</x:v>
      </x:c>
      <x:c r="K589" s="20" t="str">
        <x:v>Primary source-register URL; automated screening score</x:v>
      </x:c>
      <x:c r="L589" s="20" t="str">
        <x:v>2026-05-20</x:v>
      </x:c>
      <x:c r="M589" s="20" t="str">
        <x:v>2026-05-20</x:v>
      </x:c>
      <x:c r="N589" s="20" t="str">
        <x:v>GPT-5.5 Pro</x:v>
      </x:c>
      <x:c r="O589" s="20" t="str">
        <x:v>Needs review</x:v>
      </x:c>
      <x:c r="P589" s="20" t="str">
        <x:v>Screening score for United States / Security contractors in Georgia; verify with country-specific evidence before final use.</x:v>
      </x:c>
    </x:row>
    <x:row r="590" ht="24" customHeight="1">
      <x:c r="A590" s="20" t="str">
        <x:v>GEO|European Union|Propaganda ecosystems</x:v>
      </x:c>
      <x:c r="B590" s="20" t="str">
        <x:v>Georgia</x:v>
      </x:c>
      <x:c r="C590" s="20" t="str">
        <x:v>GEO</x:v>
      </x:c>
      <x:c r="D590" s="20" t="str">
        <x:v>European Union</x:v>
      </x:c>
      <x:c r="E590" s="20" t="str">
        <x:v>EU influence</x:v>
      </x:c>
      <x:c r="F590" s="20" t="str">
        <x:v>Propaganda ecosystems</x:v>
      </x:c>
      <x:c r="G590" s="384" t="n">
        <x:v>7</x:v>
      </x:c>
      <x:c r="H590" s="396" t="n">
        <x:v>4</x:v>
      </x:c>
      <x:c r="I590" s="20" t="str">
        <x:v>EEAS public diplomacy source register</x:v>
      </x:c>
      <x:c r="J590" s="397" t="str">
        <x:v>https://www.eeas.europa.eu/eeas/public-diplomacy_en</x:v>
      </x:c>
      <x:c r="K590" s="20" t="str">
        <x:v>Primary source-register URL; automated screening score</x:v>
      </x:c>
      <x:c r="L590" s="20" t="str">
        <x:v>2026-05-20</x:v>
      </x:c>
      <x:c r="M590" s="20" t="str">
        <x:v>2026-05-20</x:v>
      </x:c>
      <x:c r="N590" s="20" t="str">
        <x:v>GPT-5.5 Pro</x:v>
      </x:c>
      <x:c r="O590" s="20" t="str">
        <x:v>Needs review</x:v>
      </x:c>
      <x:c r="P590" s="20" t="str">
        <x:v>Screening score for European Union / Propaganda ecosystems in Georgia; verify with country-specific evidence before final use.</x:v>
      </x:c>
    </x:row>
    <x:row r="591" ht="24" customHeight="1">
      <x:c r="A591" s="20" t="str">
        <x:v>GEO|European Union|PMC presence</x:v>
      </x:c>
      <x:c r="B591" s="20" t="str">
        <x:v>Georgia</x:v>
      </x:c>
      <x:c r="C591" s="20" t="str">
        <x:v>GEO</x:v>
      </x:c>
      <x:c r="D591" s="20" t="str">
        <x:v>European Union</x:v>
      </x:c>
      <x:c r="E591" s="20" t="str">
        <x:v>EU influence</x:v>
      </x:c>
      <x:c r="F591" s="20" t="str">
        <x:v>PMC presence</x:v>
      </x:c>
      <x:c r="G591" s="384" t="n">
        <x:v>1</x:v>
      </x:c>
      <x:c r="H591" s="396" t="n">
        <x:v>2</x:v>
      </x:c>
      <x:c r="I591" s="20" t="str">
        <x:v>EEAS CSDP missions source register</x:v>
      </x:c>
      <x:c r="J591" s="397" t="str">
        <x:v>https://www.eeas.europa.eu/eeas/missions-and-operations_en</x:v>
      </x:c>
      <x:c r="K591" s="20" t="str">
        <x:v>Primary source-register URL; automated screening score</x:v>
      </x:c>
      <x:c r="L591" s="20" t="str">
        <x:v>2026-05-20</x:v>
      </x:c>
      <x:c r="M591" s="20" t="str">
        <x:v>2026-05-20</x:v>
      </x:c>
      <x:c r="N591" s="20" t="str">
        <x:v>GPT-5.5 Pro</x:v>
      </x:c>
      <x:c r="O591" s="20" t="str">
        <x:v>Needs review</x:v>
      </x:c>
      <x:c r="P591" s="20" t="str">
        <x:v>Screening score for European Union / PMC presence in Georgia; verify with country-specific evidence before final use.</x:v>
      </x:c>
    </x:row>
    <x:row r="592" ht="24" customHeight="1">
      <x:c r="A592" s="20" t="str">
        <x:v>GEO|European Union|Election interference</x:v>
      </x:c>
      <x:c r="B592" s="20" t="str">
        <x:v>Georgia</x:v>
      </x:c>
      <x:c r="C592" s="20" t="str">
        <x:v>GEO</x:v>
      </x:c>
      <x:c r="D592" s="20" t="str">
        <x:v>European Union</x:v>
      </x:c>
      <x:c r="E592" s="20" t="str">
        <x:v>EU influence</x:v>
      </x:c>
      <x:c r="F592" s="20" t="str">
        <x:v>Election interference</x:v>
      </x:c>
      <x:c r="G592" s="384" t="n">
        <x:v>3</x:v>
      </x:c>
      <x:c r="H592" s="396" t="n">
        <x:v>3</x:v>
      </x:c>
      <x:c r="I592" s="20" t="str">
        <x:v>EEAS EU election observation source register</x:v>
      </x:c>
      <x:c r="J592" s="397" t="str">
        <x:v>https://www.eeas.europa.eu/eeas/eu-election-observation-missions-1_en?page_lang=en</x:v>
      </x:c>
      <x:c r="K592" s="20" t="str">
        <x:v>Primary source-register URL; automated screening score</x:v>
      </x:c>
      <x:c r="L592" s="20" t="str">
        <x:v>2026-05-20</x:v>
      </x:c>
      <x:c r="M592" s="20" t="str">
        <x:v>2026-05-20</x:v>
      </x:c>
      <x:c r="N592" s="20" t="str">
        <x:v>GPT-5.5 Pro</x:v>
      </x:c>
      <x:c r="O592" s="20" t="str">
        <x:v>Needs review</x:v>
      </x:c>
      <x:c r="P592" s="20" t="str">
        <x:v>Screening score for European Union / Election interference in Georgia; verify with country-specific evidence before final use.</x:v>
      </x:c>
    </x:row>
    <x:row r="593" ht="24" customHeight="1">
      <x:c r="A593" s="20" t="str">
        <x:v>GEO|European Union|Security contractors</x:v>
      </x:c>
      <x:c r="B593" s="20" t="str">
        <x:v>Georgia</x:v>
      </x:c>
      <x:c r="C593" s="20" t="str">
        <x:v>GEO</x:v>
      </x:c>
      <x:c r="D593" s="20" t="str">
        <x:v>European Union</x:v>
      </x:c>
      <x:c r="E593" s="20" t="str">
        <x:v>EU influence</x:v>
      </x:c>
      <x:c r="F593" s="20" t="str">
        <x:v>Security contractors</x:v>
      </x:c>
      <x:c r="G593" s="384" t="n">
        <x:v>5</x:v>
      </x:c>
      <x:c r="H593" s="396" t="n">
        <x:v>3</x:v>
      </x:c>
      <x:c r="I593" s="20" t="str">
        <x:v>EEAS CSDP / Global Gateway security source register</x:v>
      </x:c>
      <x:c r="J593" s="397" t="str">
        <x:v>https://www.eeas.europa.eu/eeas/missions-and-operations_en</x:v>
      </x:c>
      <x:c r="K593" s="20" t="str">
        <x:v>Primary source-register URL; automated screening score</x:v>
      </x:c>
      <x:c r="L593" s="20" t="str">
        <x:v>2026-05-20</x:v>
      </x:c>
      <x:c r="M593" s="20" t="str">
        <x:v>2026-05-20</x:v>
      </x:c>
      <x:c r="N593" s="20" t="str">
        <x:v>GPT-5.5 Pro</x:v>
      </x:c>
      <x:c r="O593" s="20" t="str">
        <x:v>Needs review</x:v>
      </x:c>
      <x:c r="P593" s="20" t="str">
        <x:v>Screening score for European Union / Security contractors in Georgia; verify with country-specific evidence before final use.</x:v>
      </x:c>
    </x:row>
    <x:row r="594" ht="24" customHeight="1">
      <x:c r="A594" s="20" t="str">
        <x:v>DEU|Russia|Propaganda ecosystems</x:v>
      </x:c>
      <x:c r="B594" s="20" t="str">
        <x:v>Germany</x:v>
      </x:c>
      <x:c r="C594" s="20" t="str">
        <x:v>DEU</x:v>
      </x:c>
      <x:c r="D594" s="20" t="str">
        <x:v>Russia</x:v>
      </x:c>
      <x:c r="E594" s="20" t="str">
        <x:v>Russian influence</x:v>
      </x:c>
      <x:c r="F594" s="20" t="str">
        <x:v>Propaganda ecosystems</x:v>
      </x:c>
      <x:c r="G594" s="384" t="n">
        <x:v>5</x:v>
      </x:c>
      <x:c r="H594" s="396" t="n">
        <x:v>3</x:v>
      </x:c>
      <x:c r="I594" s="20" t="str">
        <x:v>EEAS/EUvsDisinfo FIMI source register</x:v>
      </x:c>
      <x:c r="J594" s="397" t="str">
        <x:v>https://www.eeas.europa.eu/eeas/4th-eeas-annual-report-foreign-information-manipulation-and-interference-threats_en</x:v>
      </x:c>
      <x:c r="K594" s="20" t="str">
        <x:v>Primary source-register URL; automated screening score</x:v>
      </x:c>
      <x:c r="L594" s="20" t="str">
        <x:v>2026-05-20</x:v>
      </x:c>
      <x:c r="M594" s="20" t="str">
        <x:v>2026-05-20</x:v>
      </x:c>
      <x:c r="N594" s="20" t="str">
        <x:v>GPT-5.5 Pro</x:v>
      </x:c>
      <x:c r="O594" s="20" t="str">
        <x:v>Needs review</x:v>
      </x:c>
      <x:c r="P594" s="20" t="str">
        <x:v>Screening score for Russia / Propaganda ecosystems in Germany; verify with country-specific evidence before final use.</x:v>
      </x:c>
    </x:row>
    <x:row r="595" ht="24" customHeight="1">
      <x:c r="A595" s="20" t="str">
        <x:v>DEU|Russia|PMC presence</x:v>
      </x:c>
      <x:c r="B595" s="20" t="str">
        <x:v>Germany</x:v>
      </x:c>
      <x:c r="C595" s="20" t="str">
        <x:v>DEU</x:v>
      </x:c>
      <x:c r="D595" s="20" t="str">
        <x:v>Russia</x:v>
      </x:c>
      <x:c r="E595" s="20" t="str">
        <x:v>Russian influence</x:v>
      </x:c>
      <x:c r="F595" s="20" t="str">
        <x:v>PMC presence</x:v>
      </x:c>
      <x:c r="G595" s="384" t="n">
        <x:v>0</x:v>
      </x:c>
      <x:c r="H595" s="396" t="n">
        <x:v>1</x:v>
      </x:c>
      <x:c r="I595" s="20" t="str">
        <x:v>Treasury and Council of the EU Wagner/PMC source register</x:v>
      </x:c>
      <x:c r="J595" s="397" t="str">
        <x:v>https://www.consilium.europa.eu/en/press/press-releases/2023/02/25/wagner-group-council-adds-11-individuals-and-7-entities-to-eu-sanctions-lists/</x:v>
      </x:c>
      <x:c r="K595" s="20" t="str">
        <x:v>Primary source-register URL; automated screening score</x:v>
      </x:c>
      <x:c r="L595" s="20" t="str">
        <x:v>2026-05-20</x:v>
      </x:c>
      <x:c r="M595" s="20" t="str">
        <x:v>2026-05-20</x:v>
      </x:c>
      <x:c r="N595" s="20" t="str">
        <x:v>GPT-5.5 Pro</x:v>
      </x:c>
      <x:c r="O595" s="20" t="str">
        <x:v>Needs review</x:v>
      </x:c>
      <x:c r="P595" s="20" t="str">
        <x:v>Screening score for Russia / PMC presence in Germany; verify with country-specific evidence before final use.</x:v>
      </x:c>
    </x:row>
    <x:row r="596" ht="24" customHeight="1">
      <x:c r="A596" s="20" t="str">
        <x:v>DEU|Russia|Election interference</x:v>
      </x:c>
      <x:c r="B596" s="20" t="str">
        <x:v>Germany</x:v>
      </x:c>
      <x:c r="C596" s="20" t="str">
        <x:v>DEU</x:v>
      </x:c>
      <x:c r="D596" s="20" t="str">
        <x:v>Russia</x:v>
      </x:c>
      <x:c r="E596" s="20" t="str">
        <x:v>Russian influence</x:v>
      </x:c>
      <x:c r="F596" s="20" t="str">
        <x:v>Election interference</x:v>
      </x:c>
      <x:c r="G596" s="384" t="n">
        <x:v>7</x:v>
      </x:c>
      <x:c r="H596" s="396" t="n">
        <x:v>4</x:v>
      </x:c>
      <x:c r="I596" s="20" t="str">
        <x:v>ODNI/EEAS election-FIMI source register</x:v>
      </x:c>
      <x:c r="J596" s="397" t="str">
        <x:v>https://www.dni.gov/files/ODNI/documents/assessments/ATA-2026-Unclassified-Report.pdf</x:v>
      </x:c>
      <x:c r="K596" s="20" t="str">
        <x:v>Primary source-register URL; automated screening score</x:v>
      </x:c>
      <x:c r="L596" s="20" t="str">
        <x:v>2026-05-20</x:v>
      </x:c>
      <x:c r="M596" s="20" t="str">
        <x:v>2026-05-20</x:v>
      </x:c>
      <x:c r="N596" s="20" t="str">
        <x:v>GPT-5.5 Pro</x:v>
      </x:c>
      <x:c r="O596" s="20" t="str">
        <x:v>Needs review</x:v>
      </x:c>
      <x:c r="P596" s="20" t="str">
        <x:v>Screening score for Russia / Election interference in Germany; verify with country-specific evidence before final use.</x:v>
      </x:c>
    </x:row>
    <x:row r="597" ht="24" customHeight="1">
      <x:c r="A597" s="20" t="str">
        <x:v>DEU|Russia|Security contractors</x:v>
      </x:c>
      <x:c r="B597" s="20" t="str">
        <x:v>Germany</x:v>
      </x:c>
      <x:c r="C597" s="20" t="str">
        <x:v>DEU</x:v>
      </x:c>
      <x:c r="D597" s="20" t="str">
        <x:v>Russia</x:v>
      </x:c>
      <x:c r="E597" s="20" t="str">
        <x:v>Russian influence</x:v>
      </x:c>
      <x:c r="F597" s="20" t="str">
        <x:v>Security contractors</x:v>
      </x:c>
      <x:c r="G597" s="384" t="n">
        <x:v>0</x:v>
      </x:c>
      <x:c r="H597" s="396" t="n">
        <x:v>1</x:v>
      </x:c>
      <x:c r="I597" s="20" t="str">
        <x:v>Council of the EU/Treasury Wagner-security source register</x:v>
      </x:c>
      <x:c r="J597" s="397" t="str">
        <x:v>https://www.consilium.europa.eu/en/press/press-releases/2023/02/25/wagner-group-council-adds-11-individuals-and-7-entities-to-eu-sanctions-lists/</x:v>
      </x:c>
      <x:c r="K597" s="20" t="str">
        <x:v>Primary source-register URL; automated screening score</x:v>
      </x:c>
      <x:c r="L597" s="20" t="str">
        <x:v>2026-05-20</x:v>
      </x:c>
      <x:c r="M597" s="20" t="str">
        <x:v>2026-05-20</x:v>
      </x:c>
      <x:c r="N597" s="20" t="str">
        <x:v>GPT-5.5 Pro</x:v>
      </x:c>
      <x:c r="O597" s="20" t="str">
        <x:v>Needs review</x:v>
      </x:c>
      <x:c r="P597" s="20" t="str">
        <x:v>Screening score for Russia / Security contractors in Germany; verify with country-specific evidence before final use.</x:v>
      </x:c>
    </x:row>
    <x:row r="598" ht="24" customHeight="1">
      <x:c r="A598" s="20" t="str">
        <x:v>DEU|China|Propaganda ecosystems</x:v>
      </x:c>
      <x:c r="B598" s="20" t="str">
        <x:v>Germany</x:v>
      </x:c>
      <x:c r="C598" s="20" t="str">
        <x:v>DEU</x:v>
      </x:c>
      <x:c r="D598" s="20" t="str">
        <x:v>China</x:v>
      </x:c>
      <x:c r="E598" s="20" t="str">
        <x:v>Chinese influence</x:v>
      </x:c>
      <x:c r="F598" s="20" t="str">
        <x:v>Propaganda ecosystems</x:v>
      </x:c>
      <x:c r="G598" s="384" t="n">
        <x:v>5</x:v>
      </x:c>
      <x:c r="H598" s="396" t="n">
        <x:v>3</x:v>
      </x:c>
      <x:c r="I598" s="20" t="str">
        <x:v>EEAS/ODNI China FIMI source register</x:v>
      </x:c>
      <x:c r="J598" s="397" t="str">
        <x:v>https://www.eeas.europa.eu/eeas/4th-eeas-annual-report-foreign-information-manipulation-and-interference-threats_en</x:v>
      </x:c>
      <x:c r="K598" s="20" t="str">
        <x:v>Primary source-register URL; automated screening score</x:v>
      </x:c>
      <x:c r="L598" s="20" t="str">
        <x:v>2026-05-20</x:v>
      </x:c>
      <x:c r="M598" s="20" t="str">
        <x:v>2026-05-20</x:v>
      </x:c>
      <x:c r="N598" s="20" t="str">
        <x:v>GPT-5.5 Pro</x:v>
      </x:c>
      <x:c r="O598" s="20" t="str">
        <x:v>Needs review</x:v>
      </x:c>
      <x:c r="P598" s="20" t="str">
        <x:v>Screening score for China / Propaganda ecosystems in Germany; verify with country-specific evidence before final use.</x:v>
      </x:c>
    </x:row>
    <x:row r="599" ht="24" customHeight="1">
      <x:c r="A599" s="20" t="str">
        <x:v>DEU|China|PMC presence</x:v>
      </x:c>
      <x:c r="B599" s="20" t="str">
        <x:v>Germany</x:v>
      </x:c>
      <x:c r="C599" s="20" t="str">
        <x:v>DEU</x:v>
      </x:c>
      <x:c r="D599" s="20" t="str">
        <x:v>China</x:v>
      </x:c>
      <x:c r="E599" s="20" t="str">
        <x:v>Chinese influence</x:v>
      </x:c>
      <x:c r="F599" s="20" t="str">
        <x:v>PMC presence</x:v>
      </x:c>
      <x:c r="G599" s="384" t="n">
        <x:v>0</x:v>
      </x:c>
      <x:c r="H599" s="396" t="n">
        <x:v>1</x:v>
      </x:c>
      <x:c r="I599" s="20" t="str">
        <x:v>MERICS/Carnegie Chinese overseas PSC source register</x:v>
      </x:c>
      <x:c r="J599" s="397" t="str">
        <x:v>https://merics.org/en/report/guardians-belt-and-road</x:v>
      </x:c>
      <x:c r="K599" s="20" t="str">
        <x:v>Primary source-register URL; automated screening score</x:v>
      </x:c>
      <x:c r="L599" s="20" t="str">
        <x:v>2026-05-20</x:v>
      </x:c>
      <x:c r="M599" s="20" t="str">
        <x:v>2026-05-20</x:v>
      </x:c>
      <x:c r="N599" s="20" t="str">
        <x:v>GPT-5.5 Pro</x:v>
      </x:c>
      <x:c r="O599" s="20" t="str">
        <x:v>Needs review</x:v>
      </x:c>
      <x:c r="P599" s="20" t="str">
        <x:v>Screening score for China / PMC presence in Germany; verify with country-specific evidence before final use.</x:v>
      </x:c>
    </x:row>
    <x:row r="600" ht="24" customHeight="1">
      <x:c r="A600" s="20" t="str">
        <x:v>DEU|China|Election interference</x:v>
      </x:c>
      <x:c r="B600" s="20" t="str">
        <x:v>Germany</x:v>
      </x:c>
      <x:c r="C600" s="20" t="str">
        <x:v>DEU</x:v>
      </x:c>
      <x:c r="D600" s="20" t="str">
        <x:v>China</x:v>
      </x:c>
      <x:c r="E600" s="20" t="str">
        <x:v>Chinese influence</x:v>
      </x:c>
      <x:c r="F600" s="20" t="str">
        <x:v>Election interference</x:v>
      </x:c>
      <x:c r="G600" s="384" t="n">
        <x:v>3</x:v>
      </x:c>
      <x:c r="H600" s="396" t="n">
        <x:v>3</x:v>
      </x:c>
      <x:c r="I600" s="20" t="str">
        <x:v>EEAS/ODNI China election-FIMI source register</x:v>
      </x:c>
      <x:c r="J600" s="397" t="str">
        <x:v>https://www.eeas.europa.eu/eeas/4th-eeas-annual-report-foreign-information-manipulation-and-interference-threats_en</x:v>
      </x:c>
      <x:c r="K600" s="20" t="str">
        <x:v>Primary source-register URL; automated screening score</x:v>
      </x:c>
      <x:c r="L600" s="20" t="str">
        <x:v>2026-05-20</x:v>
      </x:c>
      <x:c r="M600" s="20" t="str">
        <x:v>2026-05-20</x:v>
      </x:c>
      <x:c r="N600" s="20" t="str">
        <x:v>GPT-5.5 Pro</x:v>
      </x:c>
      <x:c r="O600" s="20" t="str">
        <x:v>Needs review</x:v>
      </x:c>
      <x:c r="P600" s="20" t="str">
        <x:v>Screening score for China / Election interference in Germany; verify with country-specific evidence before final use.</x:v>
      </x:c>
    </x:row>
    <x:row r="601" ht="24" customHeight="1">
      <x:c r="A601" s="20" t="str">
        <x:v>DEU|China|Security contractors</x:v>
      </x:c>
      <x:c r="B601" s="20" t="str">
        <x:v>Germany</x:v>
      </x:c>
      <x:c r="C601" s="20" t="str">
        <x:v>DEU</x:v>
      </x:c>
      <x:c r="D601" s="20" t="str">
        <x:v>China</x:v>
      </x:c>
      <x:c r="E601" s="20" t="str">
        <x:v>Chinese influence</x:v>
      </x:c>
      <x:c r="F601" s="20" t="str">
        <x:v>Security contractors</x:v>
      </x:c>
      <x:c r="G601" s="384" t="n">
        <x:v>0</x:v>
      </x:c>
      <x:c r="H601" s="396" t="n">
        <x:v>1</x:v>
      </x:c>
      <x:c r="I601" s="20" t="str">
        <x:v>MERICS/Carnegie Chinese security contractor source register</x:v>
      </x:c>
      <x:c r="J601" s="397" t="str">
        <x:v>https://merics.org/en/report/guardians-belt-and-road</x:v>
      </x:c>
      <x:c r="K601" s="20" t="str">
        <x:v>Primary source-register URL; automated screening score</x:v>
      </x:c>
      <x:c r="L601" s="20" t="str">
        <x:v>2026-05-20</x:v>
      </x:c>
      <x:c r="M601" s="20" t="str">
        <x:v>2026-05-20</x:v>
      </x:c>
      <x:c r="N601" s="20" t="str">
        <x:v>GPT-5.5 Pro</x:v>
      </x:c>
      <x:c r="O601" s="20" t="str">
        <x:v>Needs review</x:v>
      </x:c>
      <x:c r="P601" s="20" t="str">
        <x:v>Screening score for China / Security contractors in Germany; verify with country-specific evidence before final use.</x:v>
      </x:c>
    </x:row>
    <x:row r="602" ht="24" customHeight="1">
      <x:c r="A602" s="20" t="str">
        <x:v>DEU|United States|Propaganda ecosystems</x:v>
      </x:c>
      <x:c r="B602" s="20" t="str">
        <x:v>Germany</x:v>
      </x:c>
      <x:c r="C602" s="20" t="str">
        <x:v>DEU</x:v>
      </x:c>
      <x:c r="D602" s="20" t="str">
        <x:v>United States</x:v>
      </x:c>
      <x:c r="E602" s="20" t="str">
        <x:v>American influence</x:v>
      </x:c>
      <x:c r="F602" s="20" t="str">
        <x:v>Propaganda ecosystems</x:v>
      </x:c>
      <x:c r="G602" s="384" t="n">
        <x:v>4</x:v>
      </x:c>
      <x:c r="H602" s="396" t="n">
        <x:v>3</x:v>
      </x:c>
      <x:c r="I602" s="20" t="str">
        <x:v>USAGM public media source register</x:v>
      </x:c>
      <x:c r="J602" s="397" t="str">
        <x:v>https://www.usagm.gov/our-work/strategy-and-results/strategic-priorities/research-reports/</x:v>
      </x:c>
      <x:c r="K602" s="20" t="str">
        <x:v>Primary source-register URL; automated screening score</x:v>
      </x:c>
      <x:c r="L602" s="20" t="str">
        <x:v>2026-05-20</x:v>
      </x:c>
      <x:c r="M602" s="20" t="str">
        <x:v>2026-05-20</x:v>
      </x:c>
      <x:c r="N602" s="20" t="str">
        <x:v>GPT-5.5 Pro</x:v>
      </x:c>
      <x:c r="O602" s="20" t="str">
        <x:v>Needs review</x:v>
      </x:c>
      <x:c r="P602" s="20" t="str">
        <x:v>Screening score for United States / Propaganda ecosystems in Germany; verify with country-specific evidence before final use.</x:v>
      </x:c>
    </x:row>
    <x:row r="603" ht="24" customHeight="1">
      <x:c r="A603" s="20" t="str">
        <x:v>DEU|United States|PMC presence</x:v>
      </x:c>
      <x:c r="B603" s="20" t="str">
        <x:v>Germany</x:v>
      </x:c>
      <x:c r="C603" s="20" t="str">
        <x:v>DEU</x:v>
      </x:c>
      <x:c r="D603" s="20" t="str">
        <x:v>United States</x:v>
      </x:c>
      <x:c r="E603" s="20" t="str">
        <x:v>American influence</x:v>
      </x:c>
      <x:c r="F603" s="20" t="str">
        <x:v>PMC presence</x:v>
      </x:c>
      <x:c r="G603" s="384" t="n">
        <x:v>3</x:v>
      </x:c>
      <x:c r="H603" s="396" t="n">
        <x:v>3</x:v>
      </x:c>
      <x:c r="I603" s="20" t="str">
        <x:v>SAM/Greenbook U.S. security assistance contractor source register</x:v>
      </x:c>
      <x:c r="J603" s="397" t="str">
        <x:v>https://internationalpolicy.org/programs/sam/</x:v>
      </x:c>
      <x:c r="K603" s="20" t="str">
        <x:v>Primary source-register URL; automated screening score</x:v>
      </x:c>
      <x:c r="L603" s="20" t="str">
        <x:v>2026-05-20</x:v>
      </x:c>
      <x:c r="M603" s="20" t="str">
        <x:v>2026-05-20</x:v>
      </x:c>
      <x:c r="N603" s="20" t="str">
        <x:v>GPT-5.5 Pro</x:v>
      </x:c>
      <x:c r="O603" s="20" t="str">
        <x:v>Needs review</x:v>
      </x:c>
      <x:c r="P603" s="20" t="str">
        <x:v>Screening score for United States / PMC presence in Germany; verify with country-specific evidence before final use.</x:v>
      </x:c>
    </x:row>
    <x:row r="604" ht="24" customHeight="1">
      <x:c r="A604" s="20" t="str">
        <x:v>DEU|United States|Election interference</x:v>
      </x:c>
      <x:c r="B604" s="20" t="str">
        <x:v>Germany</x:v>
      </x:c>
      <x:c r="C604" s="20" t="str">
        <x:v>DEU</x:v>
      </x:c>
      <x:c r="D604" s="20" t="str">
        <x:v>United States</x:v>
      </x:c>
      <x:c r="E604" s="20" t="str">
        <x:v>American influence</x:v>
      </x:c>
      <x:c r="F604" s="20" t="str">
        <x:v>Election interference</x:v>
      </x:c>
      <x:c r="G604" s="384" t="n">
        <x:v>1</x:v>
      </x:c>
      <x:c r="H604" s="396" t="n">
        <x:v>2</x:v>
      </x:c>
      <x:c r="I604" s="20" t="str">
        <x:v>NED/Greenbook democracy assistance source register</x:v>
      </x:c>
      <x:c r="J604" s="397" t="str">
        <x:v>https://www.ned.org/ned-grantmaking/</x:v>
      </x:c>
      <x:c r="K604" s="20" t="str">
        <x:v>Primary source-register URL; automated screening score</x:v>
      </x:c>
      <x:c r="L604" s="20" t="str">
        <x:v>2026-05-20</x:v>
      </x:c>
      <x:c r="M604" s="20" t="str">
        <x:v>2026-05-20</x:v>
      </x:c>
      <x:c r="N604" s="20" t="str">
        <x:v>GPT-5.5 Pro</x:v>
      </x:c>
      <x:c r="O604" s="20" t="str">
        <x:v>Needs review</x:v>
      </x:c>
      <x:c r="P604" s="20" t="str">
        <x:v>Screening score for United States / Election interference in Germany; verify with country-specific evidence before final use.</x:v>
      </x:c>
    </x:row>
    <x:row r="605" ht="24" customHeight="1">
      <x:c r="A605" s="20" t="str">
        <x:v>DEU|United States|Security contractors</x:v>
      </x:c>
      <x:c r="B605" s="20" t="str">
        <x:v>Germany</x:v>
      </x:c>
      <x:c r="C605" s="20" t="str">
        <x:v>DEU</x:v>
      </x:c>
      <x:c r="D605" s="20" t="str">
        <x:v>United States</x:v>
      </x:c>
      <x:c r="E605" s="20" t="str">
        <x:v>American influence</x:v>
      </x:c>
      <x:c r="F605" s="20" t="str">
        <x:v>Security contractors</x:v>
      </x:c>
      <x:c r="G605" s="384" t="n">
        <x:v>6</x:v>
      </x:c>
      <x:c r="H605" s="396" t="n">
        <x:v>4</x:v>
      </x:c>
      <x:c r="I605" s="20" t="str">
        <x:v>SAM/Greenbook U.S. security contractor source register</x:v>
      </x:c>
      <x:c r="J605" s="397" t="str">
        <x:v>https://internationalpolicy.org/programs/sam/</x:v>
      </x:c>
      <x:c r="K605" s="20" t="str">
        <x:v>Primary source-register URL; automated screening score</x:v>
      </x:c>
      <x:c r="L605" s="20" t="str">
        <x:v>2026-05-20</x:v>
      </x:c>
      <x:c r="M605" s="20" t="str">
        <x:v>2026-05-20</x:v>
      </x:c>
      <x:c r="N605" s="20" t="str">
        <x:v>GPT-5.5 Pro</x:v>
      </x:c>
      <x:c r="O605" s="20" t="str">
        <x:v>Needs review</x:v>
      </x:c>
      <x:c r="P605" s="20" t="str">
        <x:v>Screening score for United States / Security contractors in Germany; verify with country-specific evidence before final use.</x:v>
      </x:c>
    </x:row>
    <x:row r="606" ht="24" customHeight="1">
      <x:c r="A606" s="20" t="str">
        <x:v>DEU|European Union|Propaganda ecosystems</x:v>
      </x:c>
      <x:c r="B606" s="20" t="str">
        <x:v>Germany</x:v>
      </x:c>
      <x:c r="C606" s="20" t="str">
        <x:v>DEU</x:v>
      </x:c>
      <x:c r="D606" s="20" t="str">
        <x:v>European Union</x:v>
      </x:c>
      <x:c r="E606" s="20" t="str">
        <x:v>EU influence</x:v>
      </x:c>
      <x:c r="F606" s="20" t="str">
        <x:v>Propaganda ecosystems</x:v>
      </x:c>
      <x:c r="G606" s="384" t="n">
        <x:v>9</x:v>
      </x:c>
      <x:c r="H606" s="396" t="n">
        <x:v>5</x:v>
      </x:c>
      <x:c r="I606" s="20" t="str">
        <x:v>EEAS public diplomacy source register</x:v>
      </x:c>
      <x:c r="J606" s="397" t="str">
        <x:v>https://www.eeas.europa.eu/eeas/public-diplomacy_en</x:v>
      </x:c>
      <x:c r="K606" s="20" t="str">
        <x:v>Primary source-register URL; automated screening score</x:v>
      </x:c>
      <x:c r="L606" s="20" t="str">
        <x:v>2026-05-20</x:v>
      </x:c>
      <x:c r="M606" s="20" t="str">
        <x:v>2026-05-20</x:v>
      </x:c>
      <x:c r="N606" s="20" t="str">
        <x:v>GPT-5.5 Pro</x:v>
      </x:c>
      <x:c r="O606" s="20" t="str">
        <x:v>Needs review</x:v>
      </x:c>
      <x:c r="P606" s="20" t="str">
        <x:v>Screening score for European Union / Propaganda ecosystems in Germany; verify with country-specific evidence before final use.</x:v>
      </x:c>
    </x:row>
    <x:row r="607" ht="24" customHeight="1">
      <x:c r="A607" s="20" t="str">
        <x:v>DEU|European Union|PMC presence</x:v>
      </x:c>
      <x:c r="B607" s="20" t="str">
        <x:v>Germany</x:v>
      </x:c>
      <x:c r="C607" s="20" t="str">
        <x:v>DEU</x:v>
      </x:c>
      <x:c r="D607" s="20" t="str">
        <x:v>European Union</x:v>
      </x:c>
      <x:c r="E607" s="20" t="str">
        <x:v>EU influence</x:v>
      </x:c>
      <x:c r="F607" s="20" t="str">
        <x:v>PMC presence</x:v>
      </x:c>
      <x:c r="G607" s="384" t="n">
        <x:v>0</x:v>
      </x:c>
      <x:c r="H607" s="396" t="n">
        <x:v>1</x:v>
      </x:c>
      <x:c r="I607" s="20" t="str">
        <x:v>EEAS CSDP missions source register</x:v>
      </x:c>
      <x:c r="J607" s="397" t="str">
        <x:v>https://www.eeas.europa.eu/eeas/missions-and-operations_en</x:v>
      </x:c>
      <x:c r="K607" s="20" t="str">
        <x:v>Primary source-register URL; automated screening score</x:v>
      </x:c>
      <x:c r="L607" s="20" t="str">
        <x:v>2026-05-20</x:v>
      </x:c>
      <x:c r="M607" s="20" t="str">
        <x:v>2026-05-20</x:v>
      </x:c>
      <x:c r="N607" s="20" t="str">
        <x:v>GPT-5.5 Pro</x:v>
      </x:c>
      <x:c r="O607" s="20" t="str">
        <x:v>Needs review</x:v>
      </x:c>
      <x:c r="P607" s="20" t="str">
        <x:v>Screening score for European Union / PMC presence in Germany; verify with country-specific evidence before final use.</x:v>
      </x:c>
    </x:row>
    <x:row r="608" ht="24" customHeight="1">
      <x:c r="A608" s="20" t="str">
        <x:v>DEU|European Union|Election interference</x:v>
      </x:c>
      <x:c r="B608" s="20" t="str">
        <x:v>Germany</x:v>
      </x:c>
      <x:c r="C608" s="20" t="str">
        <x:v>DEU</x:v>
      </x:c>
      <x:c r="D608" s="20" t="str">
        <x:v>European Union</x:v>
      </x:c>
      <x:c r="E608" s="20" t="str">
        <x:v>EU influence</x:v>
      </x:c>
      <x:c r="F608" s="20" t="str">
        <x:v>Election interference</x:v>
      </x:c>
      <x:c r="G608" s="384" t="n">
        <x:v>2</x:v>
      </x:c>
      <x:c r="H608" s="396" t="n">
        <x:v>2</x:v>
      </x:c>
      <x:c r="I608" s="20" t="str">
        <x:v>EEAS EU election observation source register</x:v>
      </x:c>
      <x:c r="J608" s="397" t="str">
        <x:v>https://www.eeas.europa.eu/eeas/eu-election-observation-missions-1_en?page_lang=en</x:v>
      </x:c>
      <x:c r="K608" s="20" t="str">
        <x:v>Primary source-register URL; automated screening score</x:v>
      </x:c>
      <x:c r="L608" s="20" t="str">
        <x:v>2026-05-20</x:v>
      </x:c>
      <x:c r="M608" s="20" t="str">
        <x:v>2026-05-20</x:v>
      </x:c>
      <x:c r="N608" s="20" t="str">
        <x:v>GPT-5.5 Pro</x:v>
      </x:c>
      <x:c r="O608" s="20" t="str">
        <x:v>Needs review</x:v>
      </x:c>
      <x:c r="P608" s="20" t="str">
        <x:v>Screening score for European Union / Election interference in Germany; verify with country-specific evidence before final use.</x:v>
      </x:c>
    </x:row>
    <x:row r="609" ht="24" customHeight="1">
      <x:c r="A609" s="20" t="str">
        <x:v>DEU|European Union|Security contractors</x:v>
      </x:c>
      <x:c r="B609" s="20" t="str">
        <x:v>Germany</x:v>
      </x:c>
      <x:c r="C609" s="20" t="str">
        <x:v>DEU</x:v>
      </x:c>
      <x:c r="D609" s="20" t="str">
        <x:v>European Union</x:v>
      </x:c>
      <x:c r="E609" s="20" t="str">
        <x:v>EU influence</x:v>
      </x:c>
      <x:c r="F609" s="20" t="str">
        <x:v>Security contractors</x:v>
      </x:c>
      <x:c r="G609" s="384" t="n">
        <x:v>5</x:v>
      </x:c>
      <x:c r="H609" s="396" t="n">
        <x:v>3</x:v>
      </x:c>
      <x:c r="I609" s="20" t="str">
        <x:v>EEAS CSDP / Global Gateway security source register</x:v>
      </x:c>
      <x:c r="J609" s="397" t="str">
        <x:v>https://www.eeas.europa.eu/eeas/missions-and-operations_en</x:v>
      </x:c>
      <x:c r="K609" s="20" t="str">
        <x:v>Primary source-register URL; automated screening score</x:v>
      </x:c>
      <x:c r="L609" s="20" t="str">
        <x:v>2026-05-20</x:v>
      </x:c>
      <x:c r="M609" s="20" t="str">
        <x:v>2026-05-20</x:v>
      </x:c>
      <x:c r="N609" s="20" t="str">
        <x:v>GPT-5.5 Pro</x:v>
      </x:c>
      <x:c r="O609" s="20" t="str">
        <x:v>Needs review</x:v>
      </x:c>
      <x:c r="P609" s="20" t="str">
        <x:v>Screening score for European Union / Security contractors in Germany; verify with country-specific evidence before final use.</x:v>
      </x:c>
    </x:row>
    <x:row r="610" ht="24" customHeight="1">
      <x:c r="A610" s="20" t="str">
        <x:v>GHA|Russia|Propaganda ecosystems</x:v>
      </x:c>
      <x:c r="B610" s="20" t="str">
        <x:v>Ghana</x:v>
      </x:c>
      <x:c r="C610" s="20" t="str">
        <x:v>GHA</x:v>
      </x:c>
      <x:c r="D610" s="20" t="str">
        <x:v>Russia</x:v>
      </x:c>
      <x:c r="E610" s="20" t="str">
        <x:v>Russian influence</x:v>
      </x:c>
      <x:c r="F610" s="20" t="str">
        <x:v>Propaganda ecosystems</x:v>
      </x:c>
      <x:c r="G610" s="384" t="n">
        <x:v>4</x:v>
      </x:c>
      <x:c r="H610" s="396" t="n">
        <x:v>3</x:v>
      </x:c>
      <x:c r="I610" s="20" t="str">
        <x:v>EEAS/EUvsDisinfo FIMI source register</x:v>
      </x:c>
      <x:c r="J610" s="397" t="str">
        <x:v>https://www.eeas.europa.eu/eeas/4th-eeas-annual-report-foreign-information-manipulation-and-interference-threats_en</x:v>
      </x:c>
      <x:c r="K610" s="20" t="str">
        <x:v>Primary source-register URL; automated screening score</x:v>
      </x:c>
      <x:c r="L610" s="20" t="str">
        <x:v>2026-05-20</x:v>
      </x:c>
      <x:c r="M610" s="20" t="str">
        <x:v>2026-05-20</x:v>
      </x:c>
      <x:c r="N610" s="20" t="str">
        <x:v>GPT-5.5 Pro</x:v>
      </x:c>
      <x:c r="O610" s="20" t="str">
        <x:v>Needs review</x:v>
      </x:c>
      <x:c r="P610" s="20" t="str">
        <x:v>Screening score for Russia / Propaganda ecosystems in Ghana; verify with country-specific evidence before final use.</x:v>
      </x:c>
    </x:row>
    <x:row r="611" ht="24" customHeight="1">
      <x:c r="A611" s="20" t="str">
        <x:v>GHA|Russia|PMC presence</x:v>
      </x:c>
      <x:c r="B611" s="20" t="str">
        <x:v>Ghana</x:v>
      </x:c>
      <x:c r="C611" s="20" t="str">
        <x:v>GHA</x:v>
      </x:c>
      <x:c r="D611" s="20" t="str">
        <x:v>Russia</x:v>
      </x:c>
      <x:c r="E611" s="20" t="str">
        <x:v>Russian influence</x:v>
      </x:c>
      <x:c r="F611" s="20" t="str">
        <x:v>PMC presence</x:v>
      </x:c>
      <x:c r="G611" s="384" t="n">
        <x:v>1</x:v>
      </x:c>
      <x:c r="H611" s="396" t="n">
        <x:v>2</x:v>
      </x:c>
      <x:c r="I611" s="20" t="str">
        <x:v>Treasury and Council of the EU Wagner/PMC source register</x:v>
      </x:c>
      <x:c r="J611" s="397" t="str">
        <x:v>https://www.consilium.europa.eu/en/press/press-releases/2023/02/25/wagner-group-council-adds-11-individuals-and-7-entities-to-eu-sanctions-lists/</x:v>
      </x:c>
      <x:c r="K611" s="20" t="str">
        <x:v>Primary source-register URL; automated screening score</x:v>
      </x:c>
      <x:c r="L611" s="20" t="str">
        <x:v>2026-05-20</x:v>
      </x:c>
      <x:c r="M611" s="20" t="str">
        <x:v>2026-05-20</x:v>
      </x:c>
      <x:c r="N611" s="20" t="str">
        <x:v>GPT-5.5 Pro</x:v>
      </x:c>
      <x:c r="O611" s="20" t="str">
        <x:v>Needs review</x:v>
      </x:c>
      <x:c r="P611" s="20" t="str">
        <x:v>Screening score for Russia / PMC presence in Ghana; verify with country-specific evidence before final use.</x:v>
      </x:c>
    </x:row>
    <x:row r="612" ht="24" customHeight="1">
      <x:c r="A612" s="20" t="str">
        <x:v>GHA|Russia|Election interference</x:v>
      </x:c>
      <x:c r="B612" s="20" t="str">
        <x:v>Ghana</x:v>
      </x:c>
      <x:c r="C612" s="20" t="str">
        <x:v>GHA</x:v>
      </x:c>
      <x:c r="D612" s="20" t="str">
        <x:v>Russia</x:v>
      </x:c>
      <x:c r="E612" s="20" t="str">
        <x:v>Russian influence</x:v>
      </x:c>
      <x:c r="F612" s="20" t="str">
        <x:v>Election interference</x:v>
      </x:c>
      <x:c r="G612" s="384" t="n">
        <x:v>1</x:v>
      </x:c>
      <x:c r="H612" s="396" t="n">
        <x:v>2</x:v>
      </x:c>
      <x:c r="I612" s="20" t="str">
        <x:v>ODNI/EEAS election-FIMI source register</x:v>
      </x:c>
      <x:c r="J612" s="397" t="str">
        <x:v>https://www.dni.gov/files/ODNI/documents/assessments/ATA-2026-Unclassified-Report.pdf</x:v>
      </x:c>
      <x:c r="K612" s="20" t="str">
        <x:v>Primary source-register URL; automated screening score</x:v>
      </x:c>
      <x:c r="L612" s="20" t="str">
        <x:v>2026-05-20</x:v>
      </x:c>
      <x:c r="M612" s="20" t="str">
        <x:v>2026-05-20</x:v>
      </x:c>
      <x:c r="N612" s="20" t="str">
        <x:v>GPT-5.5 Pro</x:v>
      </x:c>
      <x:c r="O612" s="20" t="str">
        <x:v>Needs review</x:v>
      </x:c>
      <x:c r="P612" s="20" t="str">
        <x:v>Screening score for Russia / Election interference in Ghana; verify with country-specific evidence before final use.</x:v>
      </x:c>
    </x:row>
    <x:row r="613" ht="24" customHeight="1">
      <x:c r="A613" s="20" t="str">
        <x:v>GHA|Russia|Security contractors</x:v>
      </x:c>
      <x:c r="B613" s="20" t="str">
        <x:v>Ghana</x:v>
      </x:c>
      <x:c r="C613" s="20" t="str">
        <x:v>GHA</x:v>
      </x:c>
      <x:c r="D613" s="20" t="str">
        <x:v>Russia</x:v>
      </x:c>
      <x:c r="E613" s="20" t="str">
        <x:v>Russian influence</x:v>
      </x:c>
      <x:c r="F613" s="20" t="str">
        <x:v>Security contractors</x:v>
      </x:c>
      <x:c r="G613" s="384" t="n">
        <x:v>1</x:v>
      </x:c>
      <x:c r="H613" s="396" t="n">
        <x:v>2</x:v>
      </x:c>
      <x:c r="I613" s="20" t="str">
        <x:v>Council of the EU/Treasury Wagner-security source register</x:v>
      </x:c>
      <x:c r="J613" s="397" t="str">
        <x:v>https://www.consilium.europa.eu/en/press/press-releases/2023/02/25/wagner-group-council-adds-11-individuals-and-7-entities-to-eu-sanctions-lists/</x:v>
      </x:c>
      <x:c r="K613" s="20" t="str">
        <x:v>Primary source-register URL; automated screening score</x:v>
      </x:c>
      <x:c r="L613" s="20" t="str">
        <x:v>2026-05-20</x:v>
      </x:c>
      <x:c r="M613" s="20" t="str">
        <x:v>2026-05-20</x:v>
      </x:c>
      <x:c r="N613" s="20" t="str">
        <x:v>GPT-5.5 Pro</x:v>
      </x:c>
      <x:c r="O613" s="20" t="str">
        <x:v>Needs review</x:v>
      </x:c>
      <x:c r="P613" s="20" t="str">
        <x:v>Screening score for Russia / Security contractors in Ghana; verify with country-specific evidence before final use.</x:v>
      </x:c>
    </x:row>
    <x:row r="614" ht="24" customHeight="1">
      <x:c r="A614" s="20" t="str">
        <x:v>GHA|China|Propaganda ecosystems</x:v>
      </x:c>
      <x:c r="B614" s="20" t="str">
        <x:v>Ghana</x:v>
      </x:c>
      <x:c r="C614" s="20" t="str">
        <x:v>GHA</x:v>
      </x:c>
      <x:c r="D614" s="20" t="str">
        <x:v>China</x:v>
      </x:c>
      <x:c r="E614" s="20" t="str">
        <x:v>Chinese influence</x:v>
      </x:c>
      <x:c r="F614" s="20" t="str">
        <x:v>Propaganda ecosystems</x:v>
      </x:c>
      <x:c r="G614" s="384" t="n">
        <x:v>5</x:v>
      </x:c>
      <x:c r="H614" s="396" t="n">
        <x:v>3</x:v>
      </x:c>
      <x:c r="I614" s="20" t="str">
        <x:v>EEAS/ODNI China FIMI source register</x:v>
      </x:c>
      <x:c r="J614" s="397" t="str">
        <x:v>https://www.eeas.europa.eu/eeas/4th-eeas-annual-report-foreign-information-manipulation-and-interference-threats_en</x:v>
      </x:c>
      <x:c r="K614" s="20" t="str">
        <x:v>Primary source-register URL; automated screening score</x:v>
      </x:c>
      <x:c r="L614" s="20" t="str">
        <x:v>2026-05-20</x:v>
      </x:c>
      <x:c r="M614" s="20" t="str">
        <x:v>2026-05-20</x:v>
      </x:c>
      <x:c r="N614" s="20" t="str">
        <x:v>GPT-5.5 Pro</x:v>
      </x:c>
      <x:c r="O614" s="20" t="str">
        <x:v>Needs review</x:v>
      </x:c>
      <x:c r="P614" s="20" t="str">
        <x:v>Screening score for China / Propaganda ecosystems in Ghana; verify with country-specific evidence before final use.</x:v>
      </x:c>
    </x:row>
    <x:row r="615" ht="24" customHeight="1">
      <x:c r="A615" s="20" t="str">
        <x:v>GHA|China|PMC presence</x:v>
      </x:c>
      <x:c r="B615" s="20" t="str">
        <x:v>Ghana</x:v>
      </x:c>
      <x:c r="C615" s="20" t="str">
        <x:v>GHA</x:v>
      </x:c>
      <x:c r="D615" s="20" t="str">
        <x:v>China</x:v>
      </x:c>
      <x:c r="E615" s="20" t="str">
        <x:v>Chinese influence</x:v>
      </x:c>
      <x:c r="F615" s="20" t="str">
        <x:v>PMC presence</x:v>
      </x:c>
      <x:c r="G615" s="384" t="n">
        <x:v>1</x:v>
      </x:c>
      <x:c r="H615" s="396" t="n">
        <x:v>2</x:v>
      </x:c>
      <x:c r="I615" s="20" t="str">
        <x:v>MERICS/Carnegie Chinese overseas PSC source register</x:v>
      </x:c>
      <x:c r="J615" s="397" t="str">
        <x:v>https://merics.org/en/report/guardians-belt-and-road</x:v>
      </x:c>
      <x:c r="K615" s="20" t="str">
        <x:v>Primary source-register URL; automated screening score</x:v>
      </x:c>
      <x:c r="L615" s="20" t="str">
        <x:v>2026-05-20</x:v>
      </x:c>
      <x:c r="M615" s="20" t="str">
        <x:v>2026-05-20</x:v>
      </x:c>
      <x:c r="N615" s="20" t="str">
        <x:v>GPT-5.5 Pro</x:v>
      </x:c>
      <x:c r="O615" s="20" t="str">
        <x:v>Needs review</x:v>
      </x:c>
      <x:c r="P615" s="20" t="str">
        <x:v>Screening score for China / PMC presence in Ghana; verify with country-specific evidence before final use.</x:v>
      </x:c>
    </x:row>
    <x:row r="616" ht="24" customHeight="1">
      <x:c r="A616" s="20" t="str">
        <x:v>GHA|China|Election interference</x:v>
      </x:c>
      <x:c r="B616" s="20" t="str">
        <x:v>Ghana</x:v>
      </x:c>
      <x:c r="C616" s="20" t="str">
        <x:v>GHA</x:v>
      </x:c>
      <x:c r="D616" s="20" t="str">
        <x:v>China</x:v>
      </x:c>
      <x:c r="E616" s="20" t="str">
        <x:v>Chinese influence</x:v>
      </x:c>
      <x:c r="F616" s="20" t="str">
        <x:v>Election interference</x:v>
      </x:c>
      <x:c r="G616" s="384" t="n">
        <x:v>1</x:v>
      </x:c>
      <x:c r="H616" s="396" t="n">
        <x:v>2</x:v>
      </x:c>
      <x:c r="I616" s="20" t="str">
        <x:v>EEAS/ODNI China election-FIMI source register</x:v>
      </x:c>
      <x:c r="J616" s="397" t="str">
        <x:v>https://www.eeas.europa.eu/eeas/4th-eeas-annual-report-foreign-information-manipulation-and-interference-threats_en</x:v>
      </x:c>
      <x:c r="K616" s="20" t="str">
        <x:v>Primary source-register URL; automated screening score</x:v>
      </x:c>
      <x:c r="L616" s="20" t="str">
        <x:v>2026-05-20</x:v>
      </x:c>
      <x:c r="M616" s="20" t="str">
        <x:v>2026-05-20</x:v>
      </x:c>
      <x:c r="N616" s="20" t="str">
        <x:v>GPT-5.5 Pro</x:v>
      </x:c>
      <x:c r="O616" s="20" t="str">
        <x:v>Needs review</x:v>
      </x:c>
      <x:c r="P616" s="20" t="str">
        <x:v>Screening score for China / Election interference in Ghana; verify with country-specific evidence before final use.</x:v>
      </x:c>
    </x:row>
    <x:row r="617" ht="24" customHeight="1">
      <x:c r="A617" s="20" t="str">
        <x:v>GHA|China|Security contractors</x:v>
      </x:c>
      <x:c r="B617" s="20" t="str">
        <x:v>Ghana</x:v>
      </x:c>
      <x:c r="C617" s="20" t="str">
        <x:v>GHA</x:v>
      </x:c>
      <x:c r="D617" s="20" t="str">
        <x:v>China</x:v>
      </x:c>
      <x:c r="E617" s="20" t="str">
        <x:v>Chinese influence</x:v>
      </x:c>
      <x:c r="F617" s="20" t="str">
        <x:v>Security contractors</x:v>
      </x:c>
      <x:c r="G617" s="384" t="n">
        <x:v>2</x:v>
      </x:c>
      <x:c r="H617" s="396" t="n">
        <x:v>2</x:v>
      </x:c>
      <x:c r="I617" s="20" t="str">
        <x:v>MERICS/Carnegie Chinese security contractor source register</x:v>
      </x:c>
      <x:c r="J617" s="397" t="str">
        <x:v>https://merics.org/en/report/guardians-belt-and-road</x:v>
      </x:c>
      <x:c r="K617" s="20" t="str">
        <x:v>Primary source-register URL; automated screening score</x:v>
      </x:c>
      <x:c r="L617" s="20" t="str">
        <x:v>2026-05-20</x:v>
      </x:c>
      <x:c r="M617" s="20" t="str">
        <x:v>2026-05-20</x:v>
      </x:c>
      <x:c r="N617" s="20" t="str">
        <x:v>GPT-5.5 Pro</x:v>
      </x:c>
      <x:c r="O617" s="20" t="str">
        <x:v>Needs review</x:v>
      </x:c>
      <x:c r="P617" s="20" t="str">
        <x:v>Screening score for China / Security contractors in Ghana; verify with country-specific evidence before final use.</x:v>
      </x:c>
    </x:row>
    <x:row r="618" ht="24" customHeight="1">
      <x:c r="A618" s="20" t="str">
        <x:v>GHA|United States|Propaganda ecosystems</x:v>
      </x:c>
      <x:c r="B618" s="20" t="str">
        <x:v>Ghana</x:v>
      </x:c>
      <x:c r="C618" s="20" t="str">
        <x:v>GHA</x:v>
      </x:c>
      <x:c r="D618" s="20" t="str">
        <x:v>United States</x:v>
      </x:c>
      <x:c r="E618" s="20" t="str">
        <x:v>American influence</x:v>
      </x:c>
      <x:c r="F618" s="20" t="str">
        <x:v>Propaganda ecosystems</x:v>
      </x:c>
      <x:c r="G618" s="384" t="n">
        <x:v>4</x:v>
      </x:c>
      <x:c r="H618" s="396" t="n">
        <x:v>3</x:v>
      </x:c>
      <x:c r="I618" s="20" t="str">
        <x:v>USAGM public media source register</x:v>
      </x:c>
      <x:c r="J618" s="397" t="str">
        <x:v>https://www.usagm.gov/our-work/strategy-and-results/strategic-priorities/research-reports/</x:v>
      </x:c>
      <x:c r="K618" s="20" t="str">
        <x:v>Primary source-register URL; automated screening score</x:v>
      </x:c>
      <x:c r="L618" s="20" t="str">
        <x:v>2026-05-20</x:v>
      </x:c>
      <x:c r="M618" s="20" t="str">
        <x:v>2026-05-20</x:v>
      </x:c>
      <x:c r="N618" s="20" t="str">
        <x:v>GPT-5.5 Pro</x:v>
      </x:c>
      <x:c r="O618" s="20" t="str">
        <x:v>Needs review</x:v>
      </x:c>
      <x:c r="P618" s="20" t="str">
        <x:v>Screening score for United States / Propaganda ecosystems in Ghana; verify with country-specific evidence before final use.</x:v>
      </x:c>
    </x:row>
    <x:row r="619" ht="24" customHeight="1">
      <x:c r="A619" s="20" t="str">
        <x:v>GHA|United States|PMC presence</x:v>
      </x:c>
      <x:c r="B619" s="20" t="str">
        <x:v>Ghana</x:v>
      </x:c>
      <x:c r="C619" s="20" t="str">
        <x:v>GHA</x:v>
      </x:c>
      <x:c r="D619" s="20" t="str">
        <x:v>United States</x:v>
      </x:c>
      <x:c r="E619" s="20" t="str">
        <x:v>American influence</x:v>
      </x:c>
      <x:c r="F619" s="20" t="str">
        <x:v>PMC presence</x:v>
      </x:c>
      <x:c r="G619" s="384" t="n">
        <x:v>2</x:v>
      </x:c>
      <x:c r="H619" s="396" t="n">
        <x:v>2</x:v>
      </x:c>
      <x:c r="I619" s="20" t="str">
        <x:v>SAM/Greenbook U.S. security assistance contractor source register</x:v>
      </x:c>
      <x:c r="J619" s="397" t="str">
        <x:v>https://internationalpolicy.org/programs/sam/</x:v>
      </x:c>
      <x:c r="K619" s="20" t="str">
        <x:v>Primary source-register URL; automated screening score</x:v>
      </x:c>
      <x:c r="L619" s="20" t="str">
        <x:v>2026-05-20</x:v>
      </x:c>
      <x:c r="M619" s="20" t="str">
        <x:v>2026-05-20</x:v>
      </x:c>
      <x:c r="N619" s="20" t="str">
        <x:v>GPT-5.5 Pro</x:v>
      </x:c>
      <x:c r="O619" s="20" t="str">
        <x:v>Needs review</x:v>
      </x:c>
      <x:c r="P619" s="20" t="str">
        <x:v>Screening score for United States / PMC presence in Ghana; verify with country-specific evidence before final use.</x:v>
      </x:c>
    </x:row>
    <x:row r="620" ht="24" customHeight="1">
      <x:c r="A620" s="20" t="str">
        <x:v>GHA|United States|Election interference</x:v>
      </x:c>
      <x:c r="B620" s="20" t="str">
        <x:v>Ghana</x:v>
      </x:c>
      <x:c r="C620" s="20" t="str">
        <x:v>GHA</x:v>
      </x:c>
      <x:c r="D620" s="20" t="str">
        <x:v>United States</x:v>
      </x:c>
      <x:c r="E620" s="20" t="str">
        <x:v>American influence</x:v>
      </x:c>
      <x:c r="F620" s="20" t="str">
        <x:v>Election interference</x:v>
      </x:c>
      <x:c r="G620" s="384" t="n">
        <x:v>2</x:v>
      </x:c>
      <x:c r="H620" s="396" t="n">
        <x:v>2</x:v>
      </x:c>
      <x:c r="I620" s="20" t="str">
        <x:v>NED/Greenbook democracy assistance source register</x:v>
      </x:c>
      <x:c r="J620" s="397" t="str">
        <x:v>https://www.ned.org/ned-grantmaking/</x:v>
      </x:c>
      <x:c r="K620" s="20" t="str">
        <x:v>Primary source-register URL; automated screening score</x:v>
      </x:c>
      <x:c r="L620" s="20" t="str">
        <x:v>2026-05-20</x:v>
      </x:c>
      <x:c r="M620" s="20" t="str">
        <x:v>2026-05-20</x:v>
      </x:c>
      <x:c r="N620" s="20" t="str">
        <x:v>GPT-5.5 Pro</x:v>
      </x:c>
      <x:c r="O620" s="20" t="str">
        <x:v>Needs review</x:v>
      </x:c>
      <x:c r="P620" s="20" t="str">
        <x:v>Screening score for United States / Election interference in Ghana; verify with country-specific evidence before final use.</x:v>
      </x:c>
    </x:row>
    <x:row r="621" ht="24" customHeight="1">
      <x:c r="A621" s="20" t="str">
        <x:v>GHA|United States|Security contractors</x:v>
      </x:c>
      <x:c r="B621" s="20" t="str">
        <x:v>Ghana</x:v>
      </x:c>
      <x:c r="C621" s="20" t="str">
        <x:v>GHA</x:v>
      </x:c>
      <x:c r="D621" s="20" t="str">
        <x:v>United States</x:v>
      </x:c>
      <x:c r="E621" s="20" t="str">
        <x:v>American influence</x:v>
      </x:c>
      <x:c r="F621" s="20" t="str">
        <x:v>Security contractors</x:v>
      </x:c>
      <x:c r="G621" s="384" t="n">
        <x:v>3</x:v>
      </x:c>
      <x:c r="H621" s="396" t="n">
        <x:v>3</x:v>
      </x:c>
      <x:c r="I621" s="20" t="str">
        <x:v>SAM/Greenbook U.S. security contractor source register</x:v>
      </x:c>
      <x:c r="J621" s="397" t="str">
        <x:v>https://internationalpolicy.org/programs/sam/</x:v>
      </x:c>
      <x:c r="K621" s="20" t="str">
        <x:v>Primary source-register URL; automated screening score</x:v>
      </x:c>
      <x:c r="L621" s="20" t="str">
        <x:v>2026-05-20</x:v>
      </x:c>
      <x:c r="M621" s="20" t="str">
        <x:v>2026-05-20</x:v>
      </x:c>
      <x:c r="N621" s="20" t="str">
        <x:v>GPT-5.5 Pro</x:v>
      </x:c>
      <x:c r="O621" s="20" t="str">
        <x:v>Needs review</x:v>
      </x:c>
      <x:c r="P621" s="20" t="str">
        <x:v>Screening score for United States / Security contractors in Ghana; verify with country-specific evidence before final use.</x:v>
      </x:c>
    </x:row>
    <x:row r="622" ht="24" customHeight="1">
      <x:c r="A622" s="20" t="str">
        <x:v>GHA|European Union|Propaganda ecosystems</x:v>
      </x:c>
      <x:c r="B622" s="20" t="str">
        <x:v>Ghana</x:v>
      </x:c>
      <x:c r="C622" s="20" t="str">
        <x:v>GHA</x:v>
      </x:c>
      <x:c r="D622" s="20" t="str">
        <x:v>European Union</x:v>
      </x:c>
      <x:c r="E622" s="20" t="str">
        <x:v>EU influence</x:v>
      </x:c>
      <x:c r="F622" s="20" t="str">
        <x:v>Propaganda ecosystems</x:v>
      </x:c>
      <x:c r="G622" s="384" t="n">
        <x:v>3</x:v>
      </x:c>
      <x:c r="H622" s="396" t="n">
        <x:v>3</x:v>
      </x:c>
      <x:c r="I622" s="20" t="str">
        <x:v>EEAS public diplomacy source register</x:v>
      </x:c>
      <x:c r="J622" s="397" t="str">
        <x:v>https://www.eeas.europa.eu/eeas/public-diplomacy_en</x:v>
      </x:c>
      <x:c r="K622" s="20" t="str">
        <x:v>Primary source-register URL; automated screening score</x:v>
      </x:c>
      <x:c r="L622" s="20" t="str">
        <x:v>2026-05-20</x:v>
      </x:c>
      <x:c r="M622" s="20" t="str">
        <x:v>2026-05-20</x:v>
      </x:c>
      <x:c r="N622" s="20" t="str">
        <x:v>GPT-5.5 Pro</x:v>
      </x:c>
      <x:c r="O622" s="20" t="str">
        <x:v>Needs review</x:v>
      </x:c>
      <x:c r="P622" s="20" t="str">
        <x:v>Screening score for European Union / Propaganda ecosystems in Ghana; verify with country-specific evidence before final use.</x:v>
      </x:c>
    </x:row>
    <x:row r="623" ht="24" customHeight="1">
      <x:c r="A623" s="20" t="str">
        <x:v>GHA|European Union|PMC presence</x:v>
      </x:c>
      <x:c r="B623" s="20" t="str">
        <x:v>Ghana</x:v>
      </x:c>
      <x:c r="C623" s="20" t="str">
        <x:v>GHA</x:v>
      </x:c>
      <x:c r="D623" s="20" t="str">
        <x:v>European Union</x:v>
      </x:c>
      <x:c r="E623" s="20" t="str">
        <x:v>EU influence</x:v>
      </x:c>
      <x:c r="F623" s="20" t="str">
        <x:v>PMC presence</x:v>
      </x:c>
      <x:c r="G623" s="384" t="n">
        <x:v>0</x:v>
      </x:c>
      <x:c r="H623" s="396" t="n">
        <x:v>1</x:v>
      </x:c>
      <x:c r="I623" s="20" t="str">
        <x:v>EEAS CSDP missions source register</x:v>
      </x:c>
      <x:c r="J623" s="397" t="str">
        <x:v>https://www.eeas.europa.eu/eeas/missions-and-operations_en</x:v>
      </x:c>
      <x:c r="K623" s="20" t="str">
        <x:v>Primary source-register URL; automated screening score</x:v>
      </x:c>
      <x:c r="L623" s="20" t="str">
        <x:v>2026-05-20</x:v>
      </x:c>
      <x:c r="M623" s="20" t="str">
        <x:v>2026-05-20</x:v>
      </x:c>
      <x:c r="N623" s="20" t="str">
        <x:v>GPT-5.5 Pro</x:v>
      </x:c>
      <x:c r="O623" s="20" t="str">
        <x:v>Needs review</x:v>
      </x:c>
      <x:c r="P623" s="20" t="str">
        <x:v>Screening score for European Union / PMC presence in Ghana; verify with country-specific evidence before final use.</x:v>
      </x:c>
    </x:row>
    <x:row r="624" ht="24" customHeight="1">
      <x:c r="A624" s="20" t="str">
        <x:v>GHA|European Union|Election interference</x:v>
      </x:c>
      <x:c r="B624" s="20" t="str">
        <x:v>Ghana</x:v>
      </x:c>
      <x:c r="C624" s="20" t="str">
        <x:v>GHA</x:v>
      </x:c>
      <x:c r="D624" s="20" t="str">
        <x:v>European Union</x:v>
      </x:c>
      <x:c r="E624" s="20" t="str">
        <x:v>EU influence</x:v>
      </x:c>
      <x:c r="F624" s="20" t="str">
        <x:v>Election interference</x:v>
      </x:c>
      <x:c r="G624" s="384" t="n">
        <x:v>1</x:v>
      </x:c>
      <x:c r="H624" s="396" t="n">
        <x:v>2</x:v>
      </x:c>
      <x:c r="I624" s="20" t="str">
        <x:v>EEAS EU election observation source register</x:v>
      </x:c>
      <x:c r="J624" s="397" t="str">
        <x:v>https://www.eeas.europa.eu/eeas/eu-election-observation-missions-1_en?page_lang=en</x:v>
      </x:c>
      <x:c r="K624" s="20" t="str">
        <x:v>Primary source-register URL; automated screening score</x:v>
      </x:c>
      <x:c r="L624" s="20" t="str">
        <x:v>2026-05-20</x:v>
      </x:c>
      <x:c r="M624" s="20" t="str">
        <x:v>2026-05-20</x:v>
      </x:c>
      <x:c r="N624" s="20" t="str">
        <x:v>GPT-5.5 Pro</x:v>
      </x:c>
      <x:c r="O624" s="20" t="str">
        <x:v>Needs review</x:v>
      </x:c>
      <x:c r="P624" s="20" t="str">
        <x:v>Screening score for European Union / Election interference in Ghana; verify with country-specific evidence before final use.</x:v>
      </x:c>
    </x:row>
    <x:row r="625" ht="24" customHeight="1">
      <x:c r="A625" s="20" t="str">
        <x:v>GHA|European Union|Security contractors</x:v>
      </x:c>
      <x:c r="B625" s="20" t="str">
        <x:v>Ghana</x:v>
      </x:c>
      <x:c r="C625" s="20" t="str">
        <x:v>GHA</x:v>
      </x:c>
      <x:c r="D625" s="20" t="str">
        <x:v>European Union</x:v>
      </x:c>
      <x:c r="E625" s="20" t="str">
        <x:v>EU influence</x:v>
      </x:c>
      <x:c r="F625" s="20" t="str">
        <x:v>Security contractors</x:v>
      </x:c>
      <x:c r="G625" s="384" t="n">
        <x:v>2</x:v>
      </x:c>
      <x:c r="H625" s="396" t="n">
        <x:v>2</x:v>
      </x:c>
      <x:c r="I625" s="20" t="str">
        <x:v>EEAS CSDP / Global Gateway security source register</x:v>
      </x:c>
      <x:c r="J625" s="397" t="str">
        <x:v>https://www.eeas.europa.eu/eeas/missions-and-operations_en</x:v>
      </x:c>
      <x:c r="K625" s="20" t="str">
        <x:v>Primary source-register URL; automated screening score</x:v>
      </x:c>
      <x:c r="L625" s="20" t="str">
        <x:v>2026-05-20</x:v>
      </x:c>
      <x:c r="M625" s="20" t="str">
        <x:v>2026-05-20</x:v>
      </x:c>
      <x:c r="N625" s="20" t="str">
        <x:v>GPT-5.5 Pro</x:v>
      </x:c>
      <x:c r="O625" s="20" t="str">
        <x:v>Needs review</x:v>
      </x:c>
      <x:c r="P625" s="20" t="str">
        <x:v>Screening score for European Union / Security contractors in Ghana; verify with country-specific evidence before final use.</x:v>
      </x:c>
    </x:row>
    <x:row r="626" ht="24" customHeight="1">
      <x:c r="A626" s="20" t="str">
        <x:v>GRC|Russia|Propaganda ecosystems</x:v>
      </x:c>
      <x:c r="B626" s="20" t="str">
        <x:v>Greece</x:v>
      </x:c>
      <x:c r="C626" s="20" t="str">
        <x:v>GRC</x:v>
      </x:c>
      <x:c r="D626" s="20" t="str">
        <x:v>Russia</x:v>
      </x:c>
      <x:c r="E626" s="20" t="str">
        <x:v>Russian influence</x:v>
      </x:c>
      <x:c r="F626" s="20" t="str">
        <x:v>Propaganda ecosystems</x:v>
      </x:c>
      <x:c r="G626" s="384" t="n">
        <x:v>5</x:v>
      </x:c>
      <x:c r="H626" s="396" t="n">
        <x:v>3</x:v>
      </x:c>
      <x:c r="I626" s="20" t="str">
        <x:v>EEAS/EUvsDisinfo FIMI source register</x:v>
      </x:c>
      <x:c r="J626" s="397" t="str">
        <x:v>https://www.eeas.europa.eu/eeas/4th-eeas-annual-report-foreign-information-manipulation-and-interference-threats_en</x:v>
      </x:c>
      <x:c r="K626" s="20" t="str">
        <x:v>Primary source-register URL; automated screening score</x:v>
      </x:c>
      <x:c r="L626" s="20" t="str">
        <x:v>2026-05-20</x:v>
      </x:c>
      <x:c r="M626" s="20" t="str">
        <x:v>2026-05-20</x:v>
      </x:c>
      <x:c r="N626" s="20" t="str">
        <x:v>GPT-5.5 Pro</x:v>
      </x:c>
      <x:c r="O626" s="20" t="str">
        <x:v>Needs review</x:v>
      </x:c>
      <x:c r="P626" s="20" t="str">
        <x:v>Screening score for Russia / Propaganda ecosystems in Greece; verify with country-specific evidence before final use.</x:v>
      </x:c>
    </x:row>
    <x:row r="627" ht="24" customHeight="1">
      <x:c r="A627" s="20" t="str">
        <x:v>GRC|Russia|PMC presence</x:v>
      </x:c>
      <x:c r="B627" s="20" t="str">
        <x:v>Greece</x:v>
      </x:c>
      <x:c r="C627" s="20" t="str">
        <x:v>GRC</x:v>
      </x:c>
      <x:c r="D627" s="20" t="str">
        <x:v>Russia</x:v>
      </x:c>
      <x:c r="E627" s="20" t="str">
        <x:v>Russian influence</x:v>
      </x:c>
      <x:c r="F627" s="20" t="str">
        <x:v>PMC presence</x:v>
      </x:c>
      <x:c r="G627" s="384" t="n">
        <x:v>0</x:v>
      </x:c>
      <x:c r="H627" s="396" t="n">
        <x:v>1</x:v>
      </x:c>
      <x:c r="I627" s="20" t="str">
        <x:v>Treasury and Council of the EU Wagner/PMC source register</x:v>
      </x:c>
      <x:c r="J627" s="397" t="str">
        <x:v>https://www.consilium.europa.eu/en/press/press-releases/2023/02/25/wagner-group-council-adds-11-individuals-and-7-entities-to-eu-sanctions-lists/</x:v>
      </x:c>
      <x:c r="K627" s="20" t="str">
        <x:v>Primary source-register URL; automated screening score</x:v>
      </x:c>
      <x:c r="L627" s="20" t="str">
        <x:v>2026-05-20</x:v>
      </x:c>
      <x:c r="M627" s="20" t="str">
        <x:v>2026-05-20</x:v>
      </x:c>
      <x:c r="N627" s="20" t="str">
        <x:v>GPT-5.5 Pro</x:v>
      </x:c>
      <x:c r="O627" s="20" t="str">
        <x:v>Needs review</x:v>
      </x:c>
      <x:c r="P627" s="20" t="str">
        <x:v>Screening score for Russia / PMC presence in Greece; verify with country-specific evidence before final use.</x:v>
      </x:c>
    </x:row>
    <x:row r="628" ht="24" customHeight="1">
      <x:c r="A628" s="20" t="str">
        <x:v>GRC|Russia|Election interference</x:v>
      </x:c>
      <x:c r="B628" s="20" t="str">
        <x:v>Greece</x:v>
      </x:c>
      <x:c r="C628" s="20" t="str">
        <x:v>GRC</x:v>
      </x:c>
      <x:c r="D628" s="20" t="str">
        <x:v>Russia</x:v>
      </x:c>
      <x:c r="E628" s="20" t="str">
        <x:v>Russian influence</x:v>
      </x:c>
      <x:c r="F628" s="20" t="str">
        <x:v>Election interference</x:v>
      </x:c>
      <x:c r="G628" s="384" t="n">
        <x:v>5</x:v>
      </x:c>
      <x:c r="H628" s="396" t="n">
        <x:v>3</x:v>
      </x:c>
      <x:c r="I628" s="20" t="str">
        <x:v>ODNI/EEAS election-FIMI source register</x:v>
      </x:c>
      <x:c r="J628" s="397" t="str">
        <x:v>https://www.dni.gov/files/ODNI/documents/assessments/ATA-2026-Unclassified-Report.pdf</x:v>
      </x:c>
      <x:c r="K628" s="20" t="str">
        <x:v>Primary source-register URL; automated screening score</x:v>
      </x:c>
      <x:c r="L628" s="20" t="str">
        <x:v>2026-05-20</x:v>
      </x:c>
      <x:c r="M628" s="20" t="str">
        <x:v>2026-05-20</x:v>
      </x:c>
      <x:c r="N628" s="20" t="str">
        <x:v>GPT-5.5 Pro</x:v>
      </x:c>
      <x:c r="O628" s="20" t="str">
        <x:v>Needs review</x:v>
      </x:c>
      <x:c r="P628" s="20" t="str">
        <x:v>Screening score for Russia / Election interference in Greece; verify with country-specific evidence before final use.</x:v>
      </x:c>
    </x:row>
    <x:row r="629" ht="24" customHeight="1">
      <x:c r="A629" s="20" t="str">
        <x:v>GRC|Russia|Security contractors</x:v>
      </x:c>
      <x:c r="B629" s="20" t="str">
        <x:v>Greece</x:v>
      </x:c>
      <x:c r="C629" s="20" t="str">
        <x:v>GRC</x:v>
      </x:c>
      <x:c r="D629" s="20" t="str">
        <x:v>Russia</x:v>
      </x:c>
      <x:c r="E629" s="20" t="str">
        <x:v>Russian influence</x:v>
      </x:c>
      <x:c r="F629" s="20" t="str">
        <x:v>Security contractors</x:v>
      </x:c>
      <x:c r="G629" s="384" t="n">
        <x:v>0</x:v>
      </x:c>
      <x:c r="H629" s="396" t="n">
        <x:v>1</x:v>
      </x:c>
      <x:c r="I629" s="20" t="str">
        <x:v>Council of the EU/Treasury Wagner-security source register</x:v>
      </x:c>
      <x:c r="J629" s="397" t="str">
        <x:v>https://www.consilium.europa.eu/en/press/press-releases/2023/02/25/wagner-group-council-adds-11-individuals-and-7-entities-to-eu-sanctions-lists/</x:v>
      </x:c>
      <x:c r="K629" s="20" t="str">
        <x:v>Primary source-register URL; automated screening score</x:v>
      </x:c>
      <x:c r="L629" s="20" t="str">
        <x:v>2026-05-20</x:v>
      </x:c>
      <x:c r="M629" s="20" t="str">
        <x:v>2026-05-20</x:v>
      </x:c>
      <x:c r="N629" s="20" t="str">
        <x:v>GPT-5.5 Pro</x:v>
      </x:c>
      <x:c r="O629" s="20" t="str">
        <x:v>Needs review</x:v>
      </x:c>
      <x:c r="P629" s="20" t="str">
        <x:v>Screening score for Russia / Security contractors in Greece; verify with country-specific evidence before final use.</x:v>
      </x:c>
    </x:row>
    <x:row r="630" ht="24" customHeight="1">
      <x:c r="A630" s="20" t="str">
        <x:v>GRC|China|Propaganda ecosystems</x:v>
      </x:c>
      <x:c r="B630" s="20" t="str">
        <x:v>Greece</x:v>
      </x:c>
      <x:c r="C630" s="20" t="str">
        <x:v>GRC</x:v>
      </x:c>
      <x:c r="D630" s="20" t="str">
        <x:v>China</x:v>
      </x:c>
      <x:c r="E630" s="20" t="str">
        <x:v>Chinese influence</x:v>
      </x:c>
      <x:c r="F630" s="20" t="str">
        <x:v>Propaganda ecosystems</x:v>
      </x:c>
      <x:c r="G630" s="384" t="n">
        <x:v>4</x:v>
      </x:c>
      <x:c r="H630" s="396" t="n">
        <x:v>3</x:v>
      </x:c>
      <x:c r="I630" s="20" t="str">
        <x:v>EEAS/ODNI China FIMI source register</x:v>
      </x:c>
      <x:c r="J630" s="397" t="str">
        <x:v>https://www.eeas.europa.eu/eeas/4th-eeas-annual-report-foreign-information-manipulation-and-interference-threats_en</x:v>
      </x:c>
      <x:c r="K630" s="20" t="str">
        <x:v>Primary source-register URL; automated screening score</x:v>
      </x:c>
      <x:c r="L630" s="20" t="str">
        <x:v>2026-05-20</x:v>
      </x:c>
      <x:c r="M630" s="20" t="str">
        <x:v>2026-05-20</x:v>
      </x:c>
      <x:c r="N630" s="20" t="str">
        <x:v>GPT-5.5 Pro</x:v>
      </x:c>
      <x:c r="O630" s="20" t="str">
        <x:v>Needs review</x:v>
      </x:c>
      <x:c r="P630" s="20" t="str">
        <x:v>Screening score for China / Propaganda ecosystems in Greece; verify with country-specific evidence before final use.</x:v>
      </x:c>
    </x:row>
    <x:row r="631" ht="24" customHeight="1">
      <x:c r="A631" s="20" t="str">
        <x:v>GRC|China|PMC presence</x:v>
      </x:c>
      <x:c r="B631" s="20" t="str">
        <x:v>Greece</x:v>
      </x:c>
      <x:c r="C631" s="20" t="str">
        <x:v>GRC</x:v>
      </x:c>
      <x:c r="D631" s="20" t="str">
        <x:v>China</x:v>
      </x:c>
      <x:c r="E631" s="20" t="str">
        <x:v>Chinese influence</x:v>
      </x:c>
      <x:c r="F631" s="20" t="str">
        <x:v>PMC presence</x:v>
      </x:c>
      <x:c r="G631" s="384" t="n">
        <x:v>0</x:v>
      </x:c>
      <x:c r="H631" s="396" t="n">
        <x:v>1</x:v>
      </x:c>
      <x:c r="I631" s="20" t="str">
        <x:v>MERICS/Carnegie Chinese overseas PSC source register</x:v>
      </x:c>
      <x:c r="J631" s="397" t="str">
        <x:v>https://merics.org/en/report/guardians-belt-and-road</x:v>
      </x:c>
      <x:c r="K631" s="20" t="str">
        <x:v>Primary source-register URL; automated screening score</x:v>
      </x:c>
      <x:c r="L631" s="20" t="str">
        <x:v>2026-05-20</x:v>
      </x:c>
      <x:c r="M631" s="20" t="str">
        <x:v>2026-05-20</x:v>
      </x:c>
      <x:c r="N631" s="20" t="str">
        <x:v>GPT-5.5 Pro</x:v>
      </x:c>
      <x:c r="O631" s="20" t="str">
        <x:v>Needs review</x:v>
      </x:c>
      <x:c r="P631" s="20" t="str">
        <x:v>Screening score for China / PMC presence in Greece; verify with country-specific evidence before final use.</x:v>
      </x:c>
    </x:row>
    <x:row r="632" ht="24" customHeight="1">
      <x:c r="A632" s="20" t="str">
        <x:v>GRC|China|Election interference</x:v>
      </x:c>
      <x:c r="B632" s="20" t="str">
        <x:v>Greece</x:v>
      </x:c>
      <x:c r="C632" s="20" t="str">
        <x:v>GRC</x:v>
      </x:c>
      <x:c r="D632" s="20" t="str">
        <x:v>China</x:v>
      </x:c>
      <x:c r="E632" s="20" t="str">
        <x:v>Chinese influence</x:v>
      </x:c>
      <x:c r="F632" s="20" t="str">
        <x:v>Election interference</x:v>
      </x:c>
      <x:c r="G632" s="384" t="n">
        <x:v>2</x:v>
      </x:c>
      <x:c r="H632" s="396" t="n">
        <x:v>2</x:v>
      </x:c>
      <x:c r="I632" s="20" t="str">
        <x:v>EEAS/ODNI China election-FIMI source register</x:v>
      </x:c>
      <x:c r="J632" s="397" t="str">
        <x:v>https://www.eeas.europa.eu/eeas/4th-eeas-annual-report-foreign-information-manipulation-and-interference-threats_en</x:v>
      </x:c>
      <x:c r="K632" s="20" t="str">
        <x:v>Primary source-register URL; automated screening score</x:v>
      </x:c>
      <x:c r="L632" s="20" t="str">
        <x:v>2026-05-20</x:v>
      </x:c>
      <x:c r="M632" s="20" t="str">
        <x:v>2026-05-20</x:v>
      </x:c>
      <x:c r="N632" s="20" t="str">
        <x:v>GPT-5.5 Pro</x:v>
      </x:c>
      <x:c r="O632" s="20" t="str">
        <x:v>Needs review</x:v>
      </x:c>
      <x:c r="P632" s="20" t="str">
        <x:v>Screening score for China / Election interference in Greece; verify with country-specific evidence before final use.</x:v>
      </x:c>
    </x:row>
    <x:row r="633" ht="24" customHeight="1">
      <x:c r="A633" s="20" t="str">
        <x:v>GRC|China|Security contractors</x:v>
      </x:c>
      <x:c r="B633" s="20" t="str">
        <x:v>Greece</x:v>
      </x:c>
      <x:c r="C633" s="20" t="str">
        <x:v>GRC</x:v>
      </x:c>
      <x:c r="D633" s="20" t="str">
        <x:v>China</x:v>
      </x:c>
      <x:c r="E633" s="20" t="str">
        <x:v>Chinese influence</x:v>
      </x:c>
      <x:c r="F633" s="20" t="str">
        <x:v>Security contractors</x:v>
      </x:c>
      <x:c r="G633" s="384" t="n">
        <x:v>0</x:v>
      </x:c>
      <x:c r="H633" s="396" t="n">
        <x:v>1</x:v>
      </x:c>
      <x:c r="I633" s="20" t="str">
        <x:v>MERICS/Carnegie Chinese security contractor source register</x:v>
      </x:c>
      <x:c r="J633" s="397" t="str">
        <x:v>https://merics.org/en/report/guardians-belt-and-road</x:v>
      </x:c>
      <x:c r="K633" s="20" t="str">
        <x:v>Primary source-register URL; automated screening score</x:v>
      </x:c>
      <x:c r="L633" s="20" t="str">
        <x:v>2026-05-20</x:v>
      </x:c>
      <x:c r="M633" s="20" t="str">
        <x:v>2026-05-20</x:v>
      </x:c>
      <x:c r="N633" s="20" t="str">
        <x:v>GPT-5.5 Pro</x:v>
      </x:c>
      <x:c r="O633" s="20" t="str">
        <x:v>Needs review</x:v>
      </x:c>
      <x:c r="P633" s="20" t="str">
        <x:v>Screening score for China / Security contractors in Greece; verify with country-specific evidence before final use.</x:v>
      </x:c>
    </x:row>
    <x:row r="634" ht="24" customHeight="1">
      <x:c r="A634" s="20" t="str">
        <x:v>GRC|United States|Propaganda ecosystems</x:v>
      </x:c>
      <x:c r="B634" s="20" t="str">
        <x:v>Greece</x:v>
      </x:c>
      <x:c r="C634" s="20" t="str">
        <x:v>GRC</x:v>
      </x:c>
      <x:c r="D634" s="20" t="str">
        <x:v>United States</x:v>
      </x:c>
      <x:c r="E634" s="20" t="str">
        <x:v>American influence</x:v>
      </x:c>
      <x:c r="F634" s="20" t="str">
        <x:v>Propaganda ecosystems</x:v>
      </x:c>
      <x:c r="G634" s="384" t="n">
        <x:v>4</x:v>
      </x:c>
      <x:c r="H634" s="396" t="n">
        <x:v>3</x:v>
      </x:c>
      <x:c r="I634" s="20" t="str">
        <x:v>USAGM public media source register</x:v>
      </x:c>
      <x:c r="J634" s="397" t="str">
        <x:v>https://www.usagm.gov/our-work/strategy-and-results/strategic-priorities/research-reports/</x:v>
      </x:c>
      <x:c r="K634" s="20" t="str">
        <x:v>Primary source-register URL; automated screening score</x:v>
      </x:c>
      <x:c r="L634" s="20" t="str">
        <x:v>2026-05-20</x:v>
      </x:c>
      <x:c r="M634" s="20" t="str">
        <x:v>2026-05-20</x:v>
      </x:c>
      <x:c r="N634" s="20" t="str">
        <x:v>GPT-5.5 Pro</x:v>
      </x:c>
      <x:c r="O634" s="20" t="str">
        <x:v>Needs review</x:v>
      </x:c>
      <x:c r="P634" s="20" t="str">
        <x:v>Screening score for United States / Propaganda ecosystems in Greece; verify with country-specific evidence before final use.</x:v>
      </x:c>
    </x:row>
    <x:row r="635" ht="24" customHeight="1">
      <x:c r="A635" s="20" t="str">
        <x:v>GRC|United States|PMC presence</x:v>
      </x:c>
      <x:c r="B635" s="20" t="str">
        <x:v>Greece</x:v>
      </x:c>
      <x:c r="C635" s="20" t="str">
        <x:v>GRC</x:v>
      </x:c>
      <x:c r="D635" s="20" t="str">
        <x:v>United States</x:v>
      </x:c>
      <x:c r="E635" s="20" t="str">
        <x:v>American influence</x:v>
      </x:c>
      <x:c r="F635" s="20" t="str">
        <x:v>PMC presence</x:v>
      </x:c>
      <x:c r="G635" s="384" t="n">
        <x:v>3</x:v>
      </x:c>
      <x:c r="H635" s="396" t="n">
        <x:v>3</x:v>
      </x:c>
      <x:c r="I635" s="20" t="str">
        <x:v>SAM/Greenbook U.S. security assistance contractor source register</x:v>
      </x:c>
      <x:c r="J635" s="397" t="str">
        <x:v>https://internationalpolicy.org/programs/sam/</x:v>
      </x:c>
      <x:c r="K635" s="20" t="str">
        <x:v>Primary source-register URL; automated screening score</x:v>
      </x:c>
      <x:c r="L635" s="20" t="str">
        <x:v>2026-05-20</x:v>
      </x:c>
      <x:c r="M635" s="20" t="str">
        <x:v>2026-05-20</x:v>
      </x:c>
      <x:c r="N635" s="20" t="str">
        <x:v>GPT-5.5 Pro</x:v>
      </x:c>
      <x:c r="O635" s="20" t="str">
        <x:v>Needs review</x:v>
      </x:c>
      <x:c r="P635" s="20" t="str">
        <x:v>Screening score for United States / PMC presence in Greece; verify with country-specific evidence before final use.</x:v>
      </x:c>
    </x:row>
    <x:row r="636" ht="24" customHeight="1">
      <x:c r="A636" s="20" t="str">
        <x:v>GRC|United States|Election interference</x:v>
      </x:c>
      <x:c r="B636" s="20" t="str">
        <x:v>Greece</x:v>
      </x:c>
      <x:c r="C636" s="20" t="str">
        <x:v>GRC</x:v>
      </x:c>
      <x:c r="D636" s="20" t="str">
        <x:v>United States</x:v>
      </x:c>
      <x:c r="E636" s="20" t="str">
        <x:v>American influence</x:v>
      </x:c>
      <x:c r="F636" s="20" t="str">
        <x:v>Election interference</x:v>
      </x:c>
      <x:c r="G636" s="384" t="n">
        <x:v>1</x:v>
      </x:c>
      <x:c r="H636" s="396" t="n">
        <x:v>2</x:v>
      </x:c>
      <x:c r="I636" s="20" t="str">
        <x:v>NED/Greenbook democracy assistance source register</x:v>
      </x:c>
      <x:c r="J636" s="397" t="str">
        <x:v>https://www.ned.org/ned-grantmaking/</x:v>
      </x:c>
      <x:c r="K636" s="20" t="str">
        <x:v>Primary source-register URL; automated screening score</x:v>
      </x:c>
      <x:c r="L636" s="20" t="str">
        <x:v>2026-05-20</x:v>
      </x:c>
      <x:c r="M636" s="20" t="str">
        <x:v>2026-05-20</x:v>
      </x:c>
      <x:c r="N636" s="20" t="str">
        <x:v>GPT-5.5 Pro</x:v>
      </x:c>
      <x:c r="O636" s="20" t="str">
        <x:v>Needs review</x:v>
      </x:c>
      <x:c r="P636" s="20" t="str">
        <x:v>Screening score for United States / Election interference in Greece; verify with country-specific evidence before final use.</x:v>
      </x:c>
    </x:row>
    <x:row r="637" ht="24" customHeight="1">
      <x:c r="A637" s="20" t="str">
        <x:v>GRC|United States|Security contractors</x:v>
      </x:c>
      <x:c r="B637" s="20" t="str">
        <x:v>Greece</x:v>
      </x:c>
      <x:c r="C637" s="20" t="str">
        <x:v>GRC</x:v>
      </x:c>
      <x:c r="D637" s="20" t="str">
        <x:v>United States</x:v>
      </x:c>
      <x:c r="E637" s="20" t="str">
        <x:v>American influence</x:v>
      </x:c>
      <x:c r="F637" s="20" t="str">
        <x:v>Security contractors</x:v>
      </x:c>
      <x:c r="G637" s="384" t="n">
        <x:v>6</x:v>
      </x:c>
      <x:c r="H637" s="396" t="n">
        <x:v>4</x:v>
      </x:c>
      <x:c r="I637" s="20" t="str">
        <x:v>SAM/Greenbook U.S. security contractor source register</x:v>
      </x:c>
      <x:c r="J637" s="397" t="str">
        <x:v>https://internationalpolicy.org/programs/sam/</x:v>
      </x:c>
      <x:c r="K637" s="20" t="str">
        <x:v>Primary source-register URL; automated screening score</x:v>
      </x:c>
      <x:c r="L637" s="20" t="str">
        <x:v>2026-05-20</x:v>
      </x:c>
      <x:c r="M637" s="20" t="str">
        <x:v>2026-05-20</x:v>
      </x:c>
      <x:c r="N637" s="20" t="str">
        <x:v>GPT-5.5 Pro</x:v>
      </x:c>
      <x:c r="O637" s="20" t="str">
        <x:v>Needs review</x:v>
      </x:c>
      <x:c r="P637" s="20" t="str">
        <x:v>Screening score for United States / Security contractors in Greece; verify with country-specific evidence before final use.</x:v>
      </x:c>
    </x:row>
    <x:row r="638" ht="24" customHeight="1">
      <x:c r="A638" s="20" t="str">
        <x:v>GRC|European Union|Propaganda ecosystems</x:v>
      </x:c>
      <x:c r="B638" s="20" t="str">
        <x:v>Greece</x:v>
      </x:c>
      <x:c r="C638" s="20" t="str">
        <x:v>GRC</x:v>
      </x:c>
      <x:c r="D638" s="20" t="str">
        <x:v>European Union</x:v>
      </x:c>
      <x:c r="E638" s="20" t="str">
        <x:v>EU influence</x:v>
      </x:c>
      <x:c r="F638" s="20" t="str">
        <x:v>Propaganda ecosystems</x:v>
      </x:c>
      <x:c r="G638" s="384" t="n">
        <x:v>9</x:v>
      </x:c>
      <x:c r="H638" s="396" t="n">
        <x:v>5</x:v>
      </x:c>
      <x:c r="I638" s="20" t="str">
        <x:v>EEAS public diplomacy source register</x:v>
      </x:c>
      <x:c r="J638" s="397" t="str">
        <x:v>https://www.eeas.europa.eu/eeas/public-diplomacy_en</x:v>
      </x:c>
      <x:c r="K638" s="20" t="str">
        <x:v>Primary source-register URL; automated screening score</x:v>
      </x:c>
      <x:c r="L638" s="20" t="str">
        <x:v>2026-05-20</x:v>
      </x:c>
      <x:c r="M638" s="20" t="str">
        <x:v>2026-05-20</x:v>
      </x:c>
      <x:c r="N638" s="20" t="str">
        <x:v>GPT-5.5 Pro</x:v>
      </x:c>
      <x:c r="O638" s="20" t="str">
        <x:v>Needs review</x:v>
      </x:c>
      <x:c r="P638" s="20" t="str">
        <x:v>Screening score for European Union / Propaganda ecosystems in Greece; verify with country-specific evidence before final use.</x:v>
      </x:c>
    </x:row>
    <x:row r="639" ht="24" customHeight="1">
      <x:c r="A639" s="20" t="str">
        <x:v>GRC|European Union|PMC presence</x:v>
      </x:c>
      <x:c r="B639" s="20" t="str">
        <x:v>Greece</x:v>
      </x:c>
      <x:c r="C639" s="20" t="str">
        <x:v>GRC</x:v>
      </x:c>
      <x:c r="D639" s="20" t="str">
        <x:v>European Union</x:v>
      </x:c>
      <x:c r="E639" s="20" t="str">
        <x:v>EU influence</x:v>
      </x:c>
      <x:c r="F639" s="20" t="str">
        <x:v>PMC presence</x:v>
      </x:c>
      <x:c r="G639" s="384" t="n">
        <x:v>0</x:v>
      </x:c>
      <x:c r="H639" s="396" t="n">
        <x:v>1</x:v>
      </x:c>
      <x:c r="I639" s="20" t="str">
        <x:v>EEAS CSDP missions source register</x:v>
      </x:c>
      <x:c r="J639" s="397" t="str">
        <x:v>https://www.eeas.europa.eu/eeas/missions-and-operations_en</x:v>
      </x:c>
      <x:c r="K639" s="20" t="str">
        <x:v>Primary source-register URL; automated screening score</x:v>
      </x:c>
      <x:c r="L639" s="20" t="str">
        <x:v>2026-05-20</x:v>
      </x:c>
      <x:c r="M639" s="20" t="str">
        <x:v>2026-05-20</x:v>
      </x:c>
      <x:c r="N639" s="20" t="str">
        <x:v>GPT-5.5 Pro</x:v>
      </x:c>
      <x:c r="O639" s="20" t="str">
        <x:v>Needs review</x:v>
      </x:c>
      <x:c r="P639" s="20" t="str">
        <x:v>Screening score for European Union / PMC presence in Greece; verify with country-specific evidence before final use.</x:v>
      </x:c>
    </x:row>
    <x:row r="640" ht="24" customHeight="1">
      <x:c r="A640" s="20" t="str">
        <x:v>GRC|European Union|Election interference</x:v>
      </x:c>
      <x:c r="B640" s="20" t="str">
        <x:v>Greece</x:v>
      </x:c>
      <x:c r="C640" s="20" t="str">
        <x:v>GRC</x:v>
      </x:c>
      <x:c r="D640" s="20" t="str">
        <x:v>European Union</x:v>
      </x:c>
      <x:c r="E640" s="20" t="str">
        <x:v>EU influence</x:v>
      </x:c>
      <x:c r="F640" s="20" t="str">
        <x:v>Election interference</x:v>
      </x:c>
      <x:c r="G640" s="384" t="n">
        <x:v>2</x:v>
      </x:c>
      <x:c r="H640" s="396" t="n">
        <x:v>2</x:v>
      </x:c>
      <x:c r="I640" s="20" t="str">
        <x:v>EEAS EU election observation source register</x:v>
      </x:c>
      <x:c r="J640" s="397" t="str">
        <x:v>https://www.eeas.europa.eu/eeas/eu-election-observation-missions-1_en?page_lang=en</x:v>
      </x:c>
      <x:c r="K640" s="20" t="str">
        <x:v>Primary source-register URL; automated screening score</x:v>
      </x:c>
      <x:c r="L640" s="20" t="str">
        <x:v>2026-05-20</x:v>
      </x:c>
      <x:c r="M640" s="20" t="str">
        <x:v>2026-05-20</x:v>
      </x:c>
      <x:c r="N640" s="20" t="str">
        <x:v>GPT-5.5 Pro</x:v>
      </x:c>
      <x:c r="O640" s="20" t="str">
        <x:v>Needs review</x:v>
      </x:c>
      <x:c r="P640" s="20" t="str">
        <x:v>Screening score for European Union / Election interference in Greece; verify with country-specific evidence before final use.</x:v>
      </x:c>
    </x:row>
    <x:row r="641" ht="24" customHeight="1">
      <x:c r="A641" s="20" t="str">
        <x:v>GRC|European Union|Security contractors</x:v>
      </x:c>
      <x:c r="B641" s="20" t="str">
        <x:v>Greece</x:v>
      </x:c>
      <x:c r="C641" s="20" t="str">
        <x:v>GRC</x:v>
      </x:c>
      <x:c r="D641" s="20" t="str">
        <x:v>European Union</x:v>
      </x:c>
      <x:c r="E641" s="20" t="str">
        <x:v>EU influence</x:v>
      </x:c>
      <x:c r="F641" s="20" t="str">
        <x:v>Security contractors</x:v>
      </x:c>
      <x:c r="G641" s="384" t="n">
        <x:v>5</x:v>
      </x:c>
      <x:c r="H641" s="396" t="n">
        <x:v>3</x:v>
      </x:c>
      <x:c r="I641" s="20" t="str">
        <x:v>EEAS CSDP / Global Gateway security source register</x:v>
      </x:c>
      <x:c r="J641" s="397" t="str">
        <x:v>https://www.eeas.europa.eu/eeas/missions-and-operations_en</x:v>
      </x:c>
      <x:c r="K641" s="20" t="str">
        <x:v>Primary source-register URL; automated screening score</x:v>
      </x:c>
      <x:c r="L641" s="20" t="str">
        <x:v>2026-05-20</x:v>
      </x:c>
      <x:c r="M641" s="20" t="str">
        <x:v>2026-05-20</x:v>
      </x:c>
      <x:c r="N641" s="20" t="str">
        <x:v>GPT-5.5 Pro</x:v>
      </x:c>
      <x:c r="O641" s="20" t="str">
        <x:v>Needs review</x:v>
      </x:c>
      <x:c r="P641" s="20" t="str">
        <x:v>Screening score for European Union / Security contractors in Greece; verify with country-specific evidence before final use.</x:v>
      </x:c>
    </x:row>
    <x:row r="642" ht="24" customHeight="1">
      <x:c r="A642" s="20" t="str">
        <x:v>GIN|Russia|Propaganda ecosystems</x:v>
      </x:c>
      <x:c r="B642" s="20" t="str">
        <x:v>Guinea</x:v>
      </x:c>
      <x:c r="C642" s="20" t="str">
        <x:v>GIN</x:v>
      </x:c>
      <x:c r="D642" s="20" t="str">
        <x:v>Russia</x:v>
      </x:c>
      <x:c r="E642" s="20" t="str">
        <x:v>Russian influence</x:v>
      </x:c>
      <x:c r="F642" s="20" t="str">
        <x:v>Propaganda ecosystems</x:v>
      </x:c>
      <x:c r="G642" s="384" t="n">
        <x:v>4</x:v>
      </x:c>
      <x:c r="H642" s="396" t="n">
        <x:v>3</x:v>
      </x:c>
      <x:c r="I642" s="20" t="str">
        <x:v>EEAS/EUvsDisinfo FIMI source register</x:v>
      </x:c>
      <x:c r="J642" s="397" t="str">
        <x:v>https://www.eeas.europa.eu/eeas/4th-eeas-annual-report-foreign-information-manipulation-and-interference-threats_en</x:v>
      </x:c>
      <x:c r="K642" s="20" t="str">
        <x:v>Primary source-register URL; automated screening score</x:v>
      </x:c>
      <x:c r="L642" s="20" t="str">
        <x:v>2026-05-20</x:v>
      </x:c>
      <x:c r="M642" s="20" t="str">
        <x:v>2026-05-20</x:v>
      </x:c>
      <x:c r="N642" s="20" t="str">
        <x:v>GPT-5.5 Pro</x:v>
      </x:c>
      <x:c r="O642" s="20" t="str">
        <x:v>Needs review</x:v>
      </x:c>
      <x:c r="P642" s="20" t="str">
        <x:v>Screening score for Russia / Propaganda ecosystems in Guinea; verify with country-specific evidence before final use.</x:v>
      </x:c>
    </x:row>
    <x:row r="643" ht="24" customHeight="1">
      <x:c r="A643" s="20" t="str">
        <x:v>GIN|Russia|PMC presence</x:v>
      </x:c>
      <x:c r="B643" s="20" t="str">
        <x:v>Guinea</x:v>
      </x:c>
      <x:c r="C643" s="20" t="str">
        <x:v>GIN</x:v>
      </x:c>
      <x:c r="D643" s="20" t="str">
        <x:v>Russia</x:v>
      </x:c>
      <x:c r="E643" s="20" t="str">
        <x:v>Russian influence</x:v>
      </x:c>
      <x:c r="F643" s="20" t="str">
        <x:v>PMC presence</x:v>
      </x:c>
      <x:c r="G643" s="384" t="n">
        <x:v>1</x:v>
      </x:c>
      <x:c r="H643" s="396" t="n">
        <x:v>2</x:v>
      </x:c>
      <x:c r="I643" s="20" t="str">
        <x:v>Treasury and Council of the EU Wagner/PMC source register</x:v>
      </x:c>
      <x:c r="J643" s="397" t="str">
        <x:v>https://www.consilium.europa.eu/en/press/press-releases/2023/02/25/wagner-group-council-adds-11-individuals-and-7-entities-to-eu-sanctions-lists/</x:v>
      </x:c>
      <x:c r="K643" s="20" t="str">
        <x:v>Primary source-register URL; automated screening score</x:v>
      </x:c>
      <x:c r="L643" s="20" t="str">
        <x:v>2026-05-20</x:v>
      </x:c>
      <x:c r="M643" s="20" t="str">
        <x:v>2026-05-20</x:v>
      </x:c>
      <x:c r="N643" s="20" t="str">
        <x:v>GPT-5.5 Pro</x:v>
      </x:c>
      <x:c r="O643" s="20" t="str">
        <x:v>Needs review</x:v>
      </x:c>
      <x:c r="P643" s="20" t="str">
        <x:v>Screening score for Russia / PMC presence in Guinea; verify with country-specific evidence before final use.</x:v>
      </x:c>
    </x:row>
    <x:row r="644" ht="24" customHeight="1">
      <x:c r="A644" s="20" t="str">
        <x:v>GIN|Russia|Election interference</x:v>
      </x:c>
      <x:c r="B644" s="20" t="str">
        <x:v>Guinea</x:v>
      </x:c>
      <x:c r="C644" s="20" t="str">
        <x:v>GIN</x:v>
      </x:c>
      <x:c r="D644" s="20" t="str">
        <x:v>Russia</x:v>
      </x:c>
      <x:c r="E644" s="20" t="str">
        <x:v>Russian influence</x:v>
      </x:c>
      <x:c r="F644" s="20" t="str">
        <x:v>Election interference</x:v>
      </x:c>
      <x:c r="G644" s="384" t="n">
        <x:v>1</x:v>
      </x:c>
      <x:c r="H644" s="396" t="n">
        <x:v>2</x:v>
      </x:c>
      <x:c r="I644" s="20" t="str">
        <x:v>ODNI/EEAS election-FIMI source register</x:v>
      </x:c>
      <x:c r="J644" s="397" t="str">
        <x:v>https://www.dni.gov/files/ODNI/documents/assessments/ATA-2026-Unclassified-Report.pdf</x:v>
      </x:c>
      <x:c r="K644" s="20" t="str">
        <x:v>Primary source-register URL; automated screening score</x:v>
      </x:c>
      <x:c r="L644" s="20" t="str">
        <x:v>2026-05-20</x:v>
      </x:c>
      <x:c r="M644" s="20" t="str">
        <x:v>2026-05-20</x:v>
      </x:c>
      <x:c r="N644" s="20" t="str">
        <x:v>GPT-5.5 Pro</x:v>
      </x:c>
      <x:c r="O644" s="20" t="str">
        <x:v>Needs review</x:v>
      </x:c>
      <x:c r="P644" s="20" t="str">
        <x:v>Screening score for Russia / Election interference in Guinea; verify with country-specific evidence before final use.</x:v>
      </x:c>
    </x:row>
    <x:row r="645" ht="24" customHeight="1">
      <x:c r="A645" s="20" t="str">
        <x:v>GIN|Russia|Security contractors</x:v>
      </x:c>
      <x:c r="B645" s="20" t="str">
        <x:v>Guinea</x:v>
      </x:c>
      <x:c r="C645" s="20" t="str">
        <x:v>GIN</x:v>
      </x:c>
      <x:c r="D645" s="20" t="str">
        <x:v>Russia</x:v>
      </x:c>
      <x:c r="E645" s="20" t="str">
        <x:v>Russian influence</x:v>
      </x:c>
      <x:c r="F645" s="20" t="str">
        <x:v>Security contractors</x:v>
      </x:c>
      <x:c r="G645" s="384" t="n">
        <x:v>1</x:v>
      </x:c>
      <x:c r="H645" s="396" t="n">
        <x:v>2</x:v>
      </x:c>
      <x:c r="I645" s="20" t="str">
        <x:v>Council of the EU/Treasury Wagner-security source register</x:v>
      </x:c>
      <x:c r="J645" s="397" t="str">
        <x:v>https://www.consilium.europa.eu/en/press/press-releases/2023/02/25/wagner-group-council-adds-11-individuals-and-7-entities-to-eu-sanctions-lists/</x:v>
      </x:c>
      <x:c r="K645" s="20" t="str">
        <x:v>Primary source-register URL; automated screening score</x:v>
      </x:c>
      <x:c r="L645" s="20" t="str">
        <x:v>2026-05-20</x:v>
      </x:c>
      <x:c r="M645" s="20" t="str">
        <x:v>2026-05-20</x:v>
      </x:c>
      <x:c r="N645" s="20" t="str">
        <x:v>GPT-5.5 Pro</x:v>
      </x:c>
      <x:c r="O645" s="20" t="str">
        <x:v>Needs review</x:v>
      </x:c>
      <x:c r="P645" s="20" t="str">
        <x:v>Screening score for Russia / Security contractors in Guinea; verify with country-specific evidence before final use.</x:v>
      </x:c>
    </x:row>
    <x:row r="646" ht="24" customHeight="1">
      <x:c r="A646" s="20" t="str">
        <x:v>GIN|China|Propaganda ecosystems</x:v>
      </x:c>
      <x:c r="B646" s="20" t="str">
        <x:v>Guinea</x:v>
      </x:c>
      <x:c r="C646" s="20" t="str">
        <x:v>GIN</x:v>
      </x:c>
      <x:c r="D646" s="20" t="str">
        <x:v>China</x:v>
      </x:c>
      <x:c r="E646" s="20" t="str">
        <x:v>Chinese influence</x:v>
      </x:c>
      <x:c r="F646" s="20" t="str">
        <x:v>Propaganda ecosystems</x:v>
      </x:c>
      <x:c r="G646" s="384" t="n">
        <x:v>5</x:v>
      </x:c>
      <x:c r="H646" s="396" t="n">
        <x:v>3</x:v>
      </x:c>
      <x:c r="I646" s="20" t="str">
        <x:v>EEAS/ODNI China FIMI source register</x:v>
      </x:c>
      <x:c r="J646" s="397" t="str">
        <x:v>https://www.eeas.europa.eu/eeas/4th-eeas-annual-report-foreign-information-manipulation-and-interference-threats_en</x:v>
      </x:c>
      <x:c r="K646" s="20" t="str">
        <x:v>Primary source-register URL; automated screening score</x:v>
      </x:c>
      <x:c r="L646" s="20" t="str">
        <x:v>2026-05-20</x:v>
      </x:c>
      <x:c r="M646" s="20" t="str">
        <x:v>2026-05-20</x:v>
      </x:c>
      <x:c r="N646" s="20" t="str">
        <x:v>GPT-5.5 Pro</x:v>
      </x:c>
      <x:c r="O646" s="20" t="str">
        <x:v>Needs review</x:v>
      </x:c>
      <x:c r="P646" s="20" t="str">
        <x:v>Screening score for China / Propaganda ecosystems in Guinea; verify with country-specific evidence before final use.</x:v>
      </x:c>
    </x:row>
    <x:row r="647" ht="24" customHeight="1">
      <x:c r="A647" s="20" t="str">
        <x:v>GIN|China|PMC presence</x:v>
      </x:c>
      <x:c r="B647" s="20" t="str">
        <x:v>Guinea</x:v>
      </x:c>
      <x:c r="C647" s="20" t="str">
        <x:v>GIN</x:v>
      </x:c>
      <x:c r="D647" s="20" t="str">
        <x:v>China</x:v>
      </x:c>
      <x:c r="E647" s="20" t="str">
        <x:v>Chinese influence</x:v>
      </x:c>
      <x:c r="F647" s="20" t="str">
        <x:v>PMC presence</x:v>
      </x:c>
      <x:c r="G647" s="384" t="n">
        <x:v>1</x:v>
      </x:c>
      <x:c r="H647" s="396" t="n">
        <x:v>2</x:v>
      </x:c>
      <x:c r="I647" s="20" t="str">
        <x:v>MERICS/Carnegie Chinese overseas PSC source register</x:v>
      </x:c>
      <x:c r="J647" s="397" t="str">
        <x:v>https://merics.org/en/report/guardians-belt-and-road</x:v>
      </x:c>
      <x:c r="K647" s="20" t="str">
        <x:v>Primary source-register URL; automated screening score</x:v>
      </x:c>
      <x:c r="L647" s="20" t="str">
        <x:v>2026-05-20</x:v>
      </x:c>
      <x:c r="M647" s="20" t="str">
        <x:v>2026-05-20</x:v>
      </x:c>
      <x:c r="N647" s="20" t="str">
        <x:v>GPT-5.5 Pro</x:v>
      </x:c>
      <x:c r="O647" s="20" t="str">
        <x:v>Needs review</x:v>
      </x:c>
      <x:c r="P647" s="20" t="str">
        <x:v>Screening score for China / PMC presence in Guinea; verify with country-specific evidence before final use.</x:v>
      </x:c>
    </x:row>
    <x:row r="648" ht="24" customHeight="1">
      <x:c r="A648" s="20" t="str">
        <x:v>GIN|China|Election interference</x:v>
      </x:c>
      <x:c r="B648" s="20" t="str">
        <x:v>Guinea</x:v>
      </x:c>
      <x:c r="C648" s="20" t="str">
        <x:v>GIN</x:v>
      </x:c>
      <x:c r="D648" s="20" t="str">
        <x:v>China</x:v>
      </x:c>
      <x:c r="E648" s="20" t="str">
        <x:v>Chinese influence</x:v>
      </x:c>
      <x:c r="F648" s="20" t="str">
        <x:v>Election interference</x:v>
      </x:c>
      <x:c r="G648" s="384" t="n">
        <x:v>1</x:v>
      </x:c>
      <x:c r="H648" s="396" t="n">
        <x:v>2</x:v>
      </x:c>
      <x:c r="I648" s="20" t="str">
        <x:v>EEAS/ODNI China election-FIMI source register</x:v>
      </x:c>
      <x:c r="J648" s="397" t="str">
        <x:v>https://www.eeas.europa.eu/eeas/4th-eeas-annual-report-foreign-information-manipulation-and-interference-threats_en</x:v>
      </x:c>
      <x:c r="K648" s="20" t="str">
        <x:v>Primary source-register URL; automated screening score</x:v>
      </x:c>
      <x:c r="L648" s="20" t="str">
        <x:v>2026-05-20</x:v>
      </x:c>
      <x:c r="M648" s="20" t="str">
        <x:v>2026-05-20</x:v>
      </x:c>
      <x:c r="N648" s="20" t="str">
        <x:v>GPT-5.5 Pro</x:v>
      </x:c>
      <x:c r="O648" s="20" t="str">
        <x:v>Needs review</x:v>
      </x:c>
      <x:c r="P648" s="20" t="str">
        <x:v>Screening score for China / Election interference in Guinea; verify with country-specific evidence before final use.</x:v>
      </x:c>
    </x:row>
    <x:row r="649" ht="24" customHeight="1">
      <x:c r="A649" s="20" t="str">
        <x:v>GIN|China|Security contractors</x:v>
      </x:c>
      <x:c r="B649" s="20" t="str">
        <x:v>Guinea</x:v>
      </x:c>
      <x:c r="C649" s="20" t="str">
        <x:v>GIN</x:v>
      </x:c>
      <x:c r="D649" s="20" t="str">
        <x:v>China</x:v>
      </x:c>
      <x:c r="E649" s="20" t="str">
        <x:v>Chinese influence</x:v>
      </x:c>
      <x:c r="F649" s="20" t="str">
        <x:v>Security contractors</x:v>
      </x:c>
      <x:c r="G649" s="384" t="n">
        <x:v>1</x:v>
      </x:c>
      <x:c r="H649" s="396" t="n">
        <x:v>2</x:v>
      </x:c>
      <x:c r="I649" s="20" t="str">
        <x:v>MERICS/Carnegie Chinese security contractor source register</x:v>
      </x:c>
      <x:c r="J649" s="397" t="str">
        <x:v>https://merics.org/en/report/guardians-belt-and-road</x:v>
      </x:c>
      <x:c r="K649" s="20" t="str">
        <x:v>Primary source-register URL; automated screening score</x:v>
      </x:c>
      <x:c r="L649" s="20" t="str">
        <x:v>2026-05-20</x:v>
      </x:c>
      <x:c r="M649" s="20" t="str">
        <x:v>2026-05-20</x:v>
      </x:c>
      <x:c r="N649" s="20" t="str">
        <x:v>GPT-5.5 Pro</x:v>
      </x:c>
      <x:c r="O649" s="20" t="str">
        <x:v>Needs review</x:v>
      </x:c>
      <x:c r="P649" s="20" t="str">
        <x:v>Screening score for China / Security contractors in Guinea; verify with country-specific evidence before final use.</x:v>
      </x:c>
    </x:row>
    <x:row r="650" ht="24" customHeight="1">
      <x:c r="A650" s="20" t="str">
        <x:v>GIN|United States|Propaganda ecosystems</x:v>
      </x:c>
      <x:c r="B650" s="20" t="str">
        <x:v>Guinea</x:v>
      </x:c>
      <x:c r="C650" s="20" t="str">
        <x:v>GIN</x:v>
      </x:c>
      <x:c r="D650" s="20" t="str">
        <x:v>United States</x:v>
      </x:c>
      <x:c r="E650" s="20" t="str">
        <x:v>American influence</x:v>
      </x:c>
      <x:c r="F650" s="20" t="str">
        <x:v>Propaganda ecosystems</x:v>
      </x:c>
      <x:c r="G650" s="384" t="n">
        <x:v>4</x:v>
      </x:c>
      <x:c r="H650" s="396" t="n">
        <x:v>3</x:v>
      </x:c>
      <x:c r="I650" s="20" t="str">
        <x:v>USAGM public media source register</x:v>
      </x:c>
      <x:c r="J650" s="397" t="str">
        <x:v>https://www.usagm.gov/our-work/strategy-and-results/strategic-priorities/research-reports/</x:v>
      </x:c>
      <x:c r="K650" s="20" t="str">
        <x:v>Primary source-register URL; automated screening score</x:v>
      </x:c>
      <x:c r="L650" s="20" t="str">
        <x:v>2026-05-20</x:v>
      </x:c>
      <x:c r="M650" s="20" t="str">
        <x:v>2026-05-20</x:v>
      </x:c>
      <x:c r="N650" s="20" t="str">
        <x:v>GPT-5.5 Pro</x:v>
      </x:c>
      <x:c r="O650" s="20" t="str">
        <x:v>Needs review</x:v>
      </x:c>
      <x:c r="P650" s="20" t="str">
        <x:v>Screening score for United States / Propaganda ecosystems in Guinea; verify with country-specific evidence before final use.</x:v>
      </x:c>
    </x:row>
    <x:row r="651" ht="24" customHeight="1">
      <x:c r="A651" s="20" t="str">
        <x:v>GIN|United States|PMC presence</x:v>
      </x:c>
      <x:c r="B651" s="20" t="str">
        <x:v>Guinea</x:v>
      </x:c>
      <x:c r="C651" s="20" t="str">
        <x:v>GIN</x:v>
      </x:c>
      <x:c r="D651" s="20" t="str">
        <x:v>United States</x:v>
      </x:c>
      <x:c r="E651" s="20" t="str">
        <x:v>American influence</x:v>
      </x:c>
      <x:c r="F651" s="20" t="str">
        <x:v>PMC presence</x:v>
      </x:c>
      <x:c r="G651" s="384" t="n">
        <x:v>2</x:v>
      </x:c>
      <x:c r="H651" s="396" t="n">
        <x:v>2</x:v>
      </x:c>
      <x:c r="I651" s="20" t="str">
        <x:v>SAM/Greenbook U.S. security assistance contractor source register</x:v>
      </x:c>
      <x:c r="J651" s="397" t="str">
        <x:v>https://internationalpolicy.org/programs/sam/</x:v>
      </x:c>
      <x:c r="K651" s="20" t="str">
        <x:v>Primary source-register URL; automated screening score</x:v>
      </x:c>
      <x:c r="L651" s="20" t="str">
        <x:v>2026-05-20</x:v>
      </x:c>
      <x:c r="M651" s="20" t="str">
        <x:v>2026-05-20</x:v>
      </x:c>
      <x:c r="N651" s="20" t="str">
        <x:v>GPT-5.5 Pro</x:v>
      </x:c>
      <x:c r="O651" s="20" t="str">
        <x:v>Needs review</x:v>
      </x:c>
      <x:c r="P651" s="20" t="str">
        <x:v>Screening score for United States / PMC presence in Guinea; verify with country-specific evidence before final use.</x:v>
      </x:c>
    </x:row>
    <x:row r="652" ht="24" customHeight="1">
      <x:c r="A652" s="20" t="str">
        <x:v>GIN|United States|Election interference</x:v>
      </x:c>
      <x:c r="B652" s="20" t="str">
        <x:v>Guinea</x:v>
      </x:c>
      <x:c r="C652" s="20" t="str">
        <x:v>GIN</x:v>
      </x:c>
      <x:c r="D652" s="20" t="str">
        <x:v>United States</x:v>
      </x:c>
      <x:c r="E652" s="20" t="str">
        <x:v>American influence</x:v>
      </x:c>
      <x:c r="F652" s="20" t="str">
        <x:v>Election interference</x:v>
      </x:c>
      <x:c r="G652" s="384" t="n">
        <x:v>2</x:v>
      </x:c>
      <x:c r="H652" s="396" t="n">
        <x:v>2</x:v>
      </x:c>
      <x:c r="I652" s="20" t="str">
        <x:v>NED/Greenbook democracy assistance source register</x:v>
      </x:c>
      <x:c r="J652" s="397" t="str">
        <x:v>https://www.ned.org/ned-grantmaking/</x:v>
      </x:c>
      <x:c r="K652" s="20" t="str">
        <x:v>Primary source-register URL; automated screening score</x:v>
      </x:c>
      <x:c r="L652" s="20" t="str">
        <x:v>2026-05-20</x:v>
      </x:c>
      <x:c r="M652" s="20" t="str">
        <x:v>2026-05-20</x:v>
      </x:c>
      <x:c r="N652" s="20" t="str">
        <x:v>GPT-5.5 Pro</x:v>
      </x:c>
      <x:c r="O652" s="20" t="str">
        <x:v>Needs review</x:v>
      </x:c>
      <x:c r="P652" s="20" t="str">
        <x:v>Screening score for United States / Election interference in Guinea; verify with country-specific evidence before final use.</x:v>
      </x:c>
    </x:row>
    <x:row r="653" ht="24" customHeight="1">
      <x:c r="A653" s="20" t="str">
        <x:v>GIN|United States|Security contractors</x:v>
      </x:c>
      <x:c r="B653" s="20" t="str">
        <x:v>Guinea</x:v>
      </x:c>
      <x:c r="C653" s="20" t="str">
        <x:v>GIN</x:v>
      </x:c>
      <x:c r="D653" s="20" t="str">
        <x:v>United States</x:v>
      </x:c>
      <x:c r="E653" s="20" t="str">
        <x:v>American influence</x:v>
      </x:c>
      <x:c r="F653" s="20" t="str">
        <x:v>Security contractors</x:v>
      </x:c>
      <x:c r="G653" s="384" t="n">
        <x:v>3</x:v>
      </x:c>
      <x:c r="H653" s="396" t="n">
        <x:v>3</x:v>
      </x:c>
      <x:c r="I653" s="20" t="str">
        <x:v>SAM/Greenbook U.S. security contractor source register</x:v>
      </x:c>
      <x:c r="J653" s="397" t="str">
        <x:v>https://internationalpolicy.org/programs/sam/</x:v>
      </x:c>
      <x:c r="K653" s="20" t="str">
        <x:v>Primary source-register URL; automated screening score</x:v>
      </x:c>
      <x:c r="L653" s="20" t="str">
        <x:v>2026-05-20</x:v>
      </x:c>
      <x:c r="M653" s="20" t="str">
        <x:v>2026-05-20</x:v>
      </x:c>
      <x:c r="N653" s="20" t="str">
        <x:v>GPT-5.5 Pro</x:v>
      </x:c>
      <x:c r="O653" s="20" t="str">
        <x:v>Needs review</x:v>
      </x:c>
      <x:c r="P653" s="20" t="str">
        <x:v>Screening score for United States / Security contractors in Guinea; verify with country-specific evidence before final use.</x:v>
      </x:c>
    </x:row>
    <x:row r="654" ht="24" customHeight="1">
      <x:c r="A654" s="20" t="str">
        <x:v>GIN|European Union|Propaganda ecosystems</x:v>
      </x:c>
      <x:c r="B654" s="20" t="str">
        <x:v>Guinea</x:v>
      </x:c>
      <x:c r="C654" s="20" t="str">
        <x:v>GIN</x:v>
      </x:c>
      <x:c r="D654" s="20" t="str">
        <x:v>European Union</x:v>
      </x:c>
      <x:c r="E654" s="20" t="str">
        <x:v>EU influence</x:v>
      </x:c>
      <x:c r="F654" s="20" t="str">
        <x:v>Propaganda ecosystems</x:v>
      </x:c>
      <x:c r="G654" s="384" t="n">
        <x:v>3</x:v>
      </x:c>
      <x:c r="H654" s="396" t="n">
        <x:v>3</x:v>
      </x:c>
      <x:c r="I654" s="20" t="str">
        <x:v>EEAS public diplomacy source register</x:v>
      </x:c>
      <x:c r="J654" s="397" t="str">
        <x:v>https://www.eeas.europa.eu/eeas/public-diplomacy_en</x:v>
      </x:c>
      <x:c r="K654" s="20" t="str">
        <x:v>Primary source-register URL; automated screening score</x:v>
      </x:c>
      <x:c r="L654" s="20" t="str">
        <x:v>2026-05-20</x:v>
      </x:c>
      <x:c r="M654" s="20" t="str">
        <x:v>2026-05-20</x:v>
      </x:c>
      <x:c r="N654" s="20" t="str">
        <x:v>GPT-5.5 Pro</x:v>
      </x:c>
      <x:c r="O654" s="20" t="str">
        <x:v>Needs review</x:v>
      </x:c>
      <x:c r="P654" s="20" t="str">
        <x:v>Screening score for European Union / Propaganda ecosystems in Guinea; verify with country-specific evidence before final use.</x:v>
      </x:c>
    </x:row>
    <x:row r="655" ht="24" customHeight="1">
      <x:c r="A655" s="20" t="str">
        <x:v>GIN|European Union|PMC presence</x:v>
      </x:c>
      <x:c r="B655" s="20" t="str">
        <x:v>Guinea</x:v>
      </x:c>
      <x:c r="C655" s="20" t="str">
        <x:v>GIN</x:v>
      </x:c>
      <x:c r="D655" s="20" t="str">
        <x:v>European Union</x:v>
      </x:c>
      <x:c r="E655" s="20" t="str">
        <x:v>EU influence</x:v>
      </x:c>
      <x:c r="F655" s="20" t="str">
        <x:v>PMC presence</x:v>
      </x:c>
      <x:c r="G655" s="384" t="n">
        <x:v>0</x:v>
      </x:c>
      <x:c r="H655" s="396" t="n">
        <x:v>1</x:v>
      </x:c>
      <x:c r="I655" s="20" t="str">
        <x:v>EEAS CSDP missions source register</x:v>
      </x:c>
      <x:c r="J655" s="397" t="str">
        <x:v>https://www.eeas.europa.eu/eeas/missions-and-operations_en</x:v>
      </x:c>
      <x:c r="K655" s="20" t="str">
        <x:v>Primary source-register URL; automated screening score</x:v>
      </x:c>
      <x:c r="L655" s="20" t="str">
        <x:v>2026-05-20</x:v>
      </x:c>
      <x:c r="M655" s="20" t="str">
        <x:v>2026-05-20</x:v>
      </x:c>
      <x:c r="N655" s="20" t="str">
        <x:v>GPT-5.5 Pro</x:v>
      </x:c>
      <x:c r="O655" s="20" t="str">
        <x:v>Needs review</x:v>
      </x:c>
      <x:c r="P655" s="20" t="str">
        <x:v>Screening score for European Union / PMC presence in Guinea; verify with country-specific evidence before final use.</x:v>
      </x:c>
    </x:row>
    <x:row r="656" ht="24" customHeight="1">
      <x:c r="A656" s="20" t="str">
        <x:v>GIN|European Union|Election interference</x:v>
      </x:c>
      <x:c r="B656" s="20" t="str">
        <x:v>Guinea</x:v>
      </x:c>
      <x:c r="C656" s="20" t="str">
        <x:v>GIN</x:v>
      </x:c>
      <x:c r="D656" s="20" t="str">
        <x:v>European Union</x:v>
      </x:c>
      <x:c r="E656" s="20" t="str">
        <x:v>EU influence</x:v>
      </x:c>
      <x:c r="F656" s="20" t="str">
        <x:v>Election interference</x:v>
      </x:c>
      <x:c r="G656" s="384" t="n">
        <x:v>1</x:v>
      </x:c>
      <x:c r="H656" s="396" t="n">
        <x:v>2</x:v>
      </x:c>
      <x:c r="I656" s="20" t="str">
        <x:v>EEAS EU election observation source register</x:v>
      </x:c>
      <x:c r="J656" s="397" t="str">
        <x:v>https://www.eeas.europa.eu/eeas/eu-election-observation-missions-1_en?page_lang=en</x:v>
      </x:c>
      <x:c r="K656" s="20" t="str">
        <x:v>Primary source-register URL; automated screening score</x:v>
      </x:c>
      <x:c r="L656" s="20" t="str">
        <x:v>2026-05-20</x:v>
      </x:c>
      <x:c r="M656" s="20" t="str">
        <x:v>2026-05-20</x:v>
      </x:c>
      <x:c r="N656" s="20" t="str">
        <x:v>GPT-5.5 Pro</x:v>
      </x:c>
      <x:c r="O656" s="20" t="str">
        <x:v>Needs review</x:v>
      </x:c>
      <x:c r="P656" s="20" t="str">
        <x:v>Screening score for European Union / Election interference in Guinea; verify with country-specific evidence before final use.</x:v>
      </x:c>
    </x:row>
    <x:row r="657" ht="24" customHeight="1">
      <x:c r="A657" s="20" t="str">
        <x:v>GIN|European Union|Security contractors</x:v>
      </x:c>
      <x:c r="B657" s="20" t="str">
        <x:v>Guinea</x:v>
      </x:c>
      <x:c r="C657" s="20" t="str">
        <x:v>GIN</x:v>
      </x:c>
      <x:c r="D657" s="20" t="str">
        <x:v>European Union</x:v>
      </x:c>
      <x:c r="E657" s="20" t="str">
        <x:v>EU influence</x:v>
      </x:c>
      <x:c r="F657" s="20" t="str">
        <x:v>Security contractors</x:v>
      </x:c>
      <x:c r="G657" s="384" t="n">
        <x:v>2</x:v>
      </x:c>
      <x:c r="H657" s="396" t="n">
        <x:v>2</x:v>
      </x:c>
      <x:c r="I657" s="20" t="str">
        <x:v>EEAS CSDP / Global Gateway security source register</x:v>
      </x:c>
      <x:c r="J657" s="397" t="str">
        <x:v>https://www.eeas.europa.eu/eeas/missions-and-operations_en</x:v>
      </x:c>
      <x:c r="K657" s="20" t="str">
        <x:v>Primary source-register URL; automated screening score</x:v>
      </x:c>
      <x:c r="L657" s="20" t="str">
        <x:v>2026-05-20</x:v>
      </x:c>
      <x:c r="M657" s="20" t="str">
        <x:v>2026-05-20</x:v>
      </x:c>
      <x:c r="N657" s="20" t="str">
        <x:v>GPT-5.5 Pro</x:v>
      </x:c>
      <x:c r="O657" s="20" t="str">
        <x:v>Needs review</x:v>
      </x:c>
      <x:c r="P657" s="20" t="str">
        <x:v>Screening score for European Union / Security contractors in Guinea; verify with country-specific evidence before final use.</x:v>
      </x:c>
    </x:row>
    <x:row r="658" ht="24" customHeight="1">
      <x:c r="A658" s="20" t="str">
        <x:v>GUY|Russia|Propaganda ecosystems</x:v>
      </x:c>
      <x:c r="B658" s="20" t="str">
        <x:v>Guyana</x:v>
      </x:c>
      <x:c r="C658" s="20" t="str">
        <x:v>GUY</x:v>
      </x:c>
      <x:c r="D658" s="20" t="str">
        <x:v>Russia</x:v>
      </x:c>
      <x:c r="E658" s="20" t="str">
        <x:v>Russian influence</x:v>
      </x:c>
      <x:c r="F658" s="20" t="str">
        <x:v>Propaganda ecosystems</x:v>
      </x:c>
      <x:c r="G658" s="384" t="n">
        <x:v>3</x:v>
      </x:c>
      <x:c r="H658" s="396" t="n">
        <x:v>3</x:v>
      </x:c>
      <x:c r="I658" s="20" t="str">
        <x:v>EEAS/EUvsDisinfo FIMI source register</x:v>
      </x:c>
      <x:c r="J658" s="397" t="str">
        <x:v>https://www.eeas.europa.eu/eeas/4th-eeas-annual-report-foreign-information-manipulation-and-interference-threats_en</x:v>
      </x:c>
      <x:c r="K658" s="20" t="str">
        <x:v>Primary source-register URL; automated screening score</x:v>
      </x:c>
      <x:c r="L658" s="20" t="str">
        <x:v>2026-05-20</x:v>
      </x:c>
      <x:c r="M658" s="20" t="str">
        <x:v>2026-05-20</x:v>
      </x:c>
      <x:c r="N658" s="20" t="str">
        <x:v>GPT-5.5 Pro</x:v>
      </x:c>
      <x:c r="O658" s="20" t="str">
        <x:v>Needs review</x:v>
      </x:c>
      <x:c r="P658" s="20" t="str">
        <x:v>Screening score for Russia / Propaganda ecosystems in Guyana; verify with country-specific evidence before final use.</x:v>
      </x:c>
    </x:row>
    <x:row r="659" ht="24" customHeight="1">
      <x:c r="A659" s="20" t="str">
        <x:v>GUY|Russia|PMC presence</x:v>
      </x:c>
      <x:c r="B659" s="20" t="str">
        <x:v>Guyana</x:v>
      </x:c>
      <x:c r="C659" s="20" t="str">
        <x:v>GUY</x:v>
      </x:c>
      <x:c r="D659" s="20" t="str">
        <x:v>Russia</x:v>
      </x:c>
      <x:c r="E659" s="20" t="str">
        <x:v>Russian influence</x:v>
      </x:c>
      <x:c r="F659" s="20" t="str">
        <x:v>PMC presence</x:v>
      </x:c>
      <x:c r="G659" s="384" t="n">
        <x:v>0</x:v>
      </x:c>
      <x:c r="H659" s="396" t="n">
        <x:v>1</x:v>
      </x:c>
      <x:c r="I659" s="20" t="str">
        <x:v>Treasury and Council of the EU Wagner/PMC source register</x:v>
      </x:c>
      <x:c r="J659" s="397" t="str">
        <x:v>https://www.consilium.europa.eu/en/press/press-releases/2023/02/25/wagner-group-council-adds-11-individuals-and-7-entities-to-eu-sanctions-lists/</x:v>
      </x:c>
      <x:c r="K659" s="20" t="str">
        <x:v>Primary source-register URL; automated screening score</x:v>
      </x:c>
      <x:c r="L659" s="20" t="str">
        <x:v>2026-05-20</x:v>
      </x:c>
      <x:c r="M659" s="20" t="str">
        <x:v>2026-05-20</x:v>
      </x:c>
      <x:c r="N659" s="20" t="str">
        <x:v>GPT-5.5 Pro</x:v>
      </x:c>
      <x:c r="O659" s="20" t="str">
        <x:v>Needs review</x:v>
      </x:c>
      <x:c r="P659" s="20" t="str">
        <x:v>Screening score for Russia / PMC presence in Guyana; verify with country-specific evidence before final use.</x:v>
      </x:c>
    </x:row>
    <x:row r="660" ht="24" customHeight="1">
      <x:c r="A660" s="20" t="str">
        <x:v>GUY|Russia|Election interference</x:v>
      </x:c>
      <x:c r="B660" s="20" t="str">
        <x:v>Guyana</x:v>
      </x:c>
      <x:c r="C660" s="20" t="str">
        <x:v>GUY</x:v>
      </x:c>
      <x:c r="D660" s="20" t="str">
        <x:v>Russia</x:v>
      </x:c>
      <x:c r="E660" s="20" t="str">
        <x:v>Russian influence</x:v>
      </x:c>
      <x:c r="F660" s="20" t="str">
        <x:v>Election interference</x:v>
      </x:c>
      <x:c r="G660" s="384" t="n">
        <x:v>1</x:v>
      </x:c>
      <x:c r="H660" s="396" t="n">
        <x:v>2</x:v>
      </x:c>
      <x:c r="I660" s="20" t="str">
        <x:v>ODNI/EEAS election-FIMI source register</x:v>
      </x:c>
      <x:c r="J660" s="397" t="str">
        <x:v>https://www.dni.gov/files/ODNI/documents/assessments/ATA-2026-Unclassified-Report.pdf</x:v>
      </x:c>
      <x:c r="K660" s="20" t="str">
        <x:v>Primary source-register URL; automated screening score</x:v>
      </x:c>
      <x:c r="L660" s="20" t="str">
        <x:v>2026-05-20</x:v>
      </x:c>
      <x:c r="M660" s="20" t="str">
        <x:v>2026-05-20</x:v>
      </x:c>
      <x:c r="N660" s="20" t="str">
        <x:v>GPT-5.5 Pro</x:v>
      </x:c>
      <x:c r="O660" s="20" t="str">
        <x:v>Needs review</x:v>
      </x:c>
      <x:c r="P660" s="20" t="str">
        <x:v>Screening score for Russia / Election interference in Guyana; verify with country-specific evidence before final use.</x:v>
      </x:c>
    </x:row>
    <x:row r="661" ht="24" customHeight="1">
      <x:c r="A661" s="20" t="str">
        <x:v>GUY|Russia|Security contractors</x:v>
      </x:c>
      <x:c r="B661" s="20" t="str">
        <x:v>Guyana</x:v>
      </x:c>
      <x:c r="C661" s="20" t="str">
        <x:v>GUY</x:v>
      </x:c>
      <x:c r="D661" s="20" t="str">
        <x:v>Russia</x:v>
      </x:c>
      <x:c r="E661" s="20" t="str">
        <x:v>Russian influence</x:v>
      </x:c>
      <x:c r="F661" s="20" t="str">
        <x:v>Security contractors</x:v>
      </x:c>
      <x:c r="G661" s="384" t="n">
        <x:v>0</x:v>
      </x:c>
      <x:c r="H661" s="396" t="n">
        <x:v>1</x:v>
      </x:c>
      <x:c r="I661" s="20" t="str">
        <x:v>Council of the EU/Treasury Wagner-security source register</x:v>
      </x:c>
      <x:c r="J661" s="397" t="str">
        <x:v>https://www.consilium.europa.eu/en/press/press-releases/2023/02/25/wagner-group-council-adds-11-individuals-and-7-entities-to-eu-sanctions-lists/</x:v>
      </x:c>
      <x:c r="K661" s="20" t="str">
        <x:v>Primary source-register URL; automated screening score</x:v>
      </x:c>
      <x:c r="L661" s="20" t="str">
        <x:v>2026-05-20</x:v>
      </x:c>
      <x:c r="M661" s="20" t="str">
        <x:v>2026-05-20</x:v>
      </x:c>
      <x:c r="N661" s="20" t="str">
        <x:v>GPT-5.5 Pro</x:v>
      </x:c>
      <x:c r="O661" s="20" t="str">
        <x:v>Needs review</x:v>
      </x:c>
      <x:c r="P661" s="20" t="str">
        <x:v>Screening score for Russia / Security contractors in Guyana; verify with country-specific evidence before final use.</x:v>
      </x:c>
    </x:row>
    <x:row r="662" ht="24" customHeight="1">
      <x:c r="A662" s="20" t="str">
        <x:v>GUY|China|Propaganda ecosystems</x:v>
      </x:c>
      <x:c r="B662" s="20" t="str">
        <x:v>Guyana</x:v>
      </x:c>
      <x:c r="C662" s="20" t="str">
        <x:v>GUY</x:v>
      </x:c>
      <x:c r="D662" s="20" t="str">
        <x:v>China</x:v>
      </x:c>
      <x:c r="E662" s="20" t="str">
        <x:v>Chinese influence</x:v>
      </x:c>
      <x:c r="F662" s="20" t="str">
        <x:v>Propaganda ecosystems</x:v>
      </x:c>
      <x:c r="G662" s="384" t="n">
        <x:v>3</x:v>
      </x:c>
      <x:c r="H662" s="396" t="n">
        <x:v>3</x:v>
      </x:c>
      <x:c r="I662" s="20" t="str">
        <x:v>EEAS/ODNI China FIMI source register</x:v>
      </x:c>
      <x:c r="J662" s="397" t="str">
        <x:v>https://www.eeas.europa.eu/eeas/4th-eeas-annual-report-foreign-information-manipulation-and-interference-threats_en</x:v>
      </x:c>
      <x:c r="K662" s="20" t="str">
        <x:v>Primary source-register URL; automated screening score</x:v>
      </x:c>
      <x:c r="L662" s="20" t="str">
        <x:v>2026-05-20</x:v>
      </x:c>
      <x:c r="M662" s="20" t="str">
        <x:v>2026-05-20</x:v>
      </x:c>
      <x:c r="N662" s="20" t="str">
        <x:v>GPT-5.5 Pro</x:v>
      </x:c>
      <x:c r="O662" s="20" t="str">
        <x:v>Needs review</x:v>
      </x:c>
      <x:c r="P662" s="20" t="str">
        <x:v>Screening score for China / Propaganda ecosystems in Guyana; verify with country-specific evidence before final use.</x:v>
      </x:c>
    </x:row>
    <x:row r="663" ht="24" customHeight="1">
      <x:c r="A663" s="20" t="str">
        <x:v>GUY|China|PMC presence</x:v>
      </x:c>
      <x:c r="B663" s="20" t="str">
        <x:v>Guyana</x:v>
      </x:c>
      <x:c r="C663" s="20" t="str">
        <x:v>GUY</x:v>
      </x:c>
      <x:c r="D663" s="20" t="str">
        <x:v>China</x:v>
      </x:c>
      <x:c r="E663" s="20" t="str">
        <x:v>Chinese influence</x:v>
      </x:c>
      <x:c r="F663" s="20" t="str">
        <x:v>PMC presence</x:v>
      </x:c>
      <x:c r="G663" s="384" t="n">
        <x:v>0</x:v>
      </x:c>
      <x:c r="H663" s="396" t="n">
        <x:v>1</x:v>
      </x:c>
      <x:c r="I663" s="20" t="str">
        <x:v>MERICS/Carnegie Chinese overseas PSC source register</x:v>
      </x:c>
      <x:c r="J663" s="397" t="str">
        <x:v>https://merics.org/en/report/guardians-belt-and-road</x:v>
      </x:c>
      <x:c r="K663" s="20" t="str">
        <x:v>Primary source-register URL; automated screening score</x:v>
      </x:c>
      <x:c r="L663" s="20" t="str">
        <x:v>2026-05-20</x:v>
      </x:c>
      <x:c r="M663" s="20" t="str">
        <x:v>2026-05-20</x:v>
      </x:c>
      <x:c r="N663" s="20" t="str">
        <x:v>GPT-5.5 Pro</x:v>
      </x:c>
      <x:c r="O663" s="20" t="str">
        <x:v>Needs review</x:v>
      </x:c>
      <x:c r="P663" s="20" t="str">
        <x:v>Screening score for China / PMC presence in Guyana; verify with country-specific evidence before final use.</x:v>
      </x:c>
    </x:row>
    <x:row r="664" ht="24" customHeight="1">
      <x:c r="A664" s="20" t="str">
        <x:v>GUY|China|Election interference</x:v>
      </x:c>
      <x:c r="B664" s="20" t="str">
        <x:v>Guyana</x:v>
      </x:c>
      <x:c r="C664" s="20" t="str">
        <x:v>GUY</x:v>
      </x:c>
      <x:c r="D664" s="20" t="str">
        <x:v>China</x:v>
      </x:c>
      <x:c r="E664" s="20" t="str">
        <x:v>Chinese influence</x:v>
      </x:c>
      <x:c r="F664" s="20" t="str">
        <x:v>Election interference</x:v>
      </x:c>
      <x:c r="G664" s="384" t="n">
        <x:v>2</x:v>
      </x:c>
      <x:c r="H664" s="396" t="n">
        <x:v>2</x:v>
      </x:c>
      <x:c r="I664" s="20" t="str">
        <x:v>EEAS/ODNI China election-FIMI source register</x:v>
      </x:c>
      <x:c r="J664" s="397" t="str">
        <x:v>https://www.eeas.europa.eu/eeas/4th-eeas-annual-report-foreign-information-manipulation-and-interference-threats_en</x:v>
      </x:c>
      <x:c r="K664" s="20" t="str">
        <x:v>Primary source-register URL; automated screening score</x:v>
      </x:c>
      <x:c r="L664" s="20" t="str">
        <x:v>2026-05-20</x:v>
      </x:c>
      <x:c r="M664" s="20" t="str">
        <x:v>2026-05-20</x:v>
      </x:c>
      <x:c r="N664" s="20" t="str">
        <x:v>GPT-5.5 Pro</x:v>
      </x:c>
      <x:c r="O664" s="20" t="str">
        <x:v>Needs review</x:v>
      </x:c>
      <x:c r="P664" s="20" t="str">
        <x:v>Screening score for China / Election interference in Guyana; verify with country-specific evidence before final use.</x:v>
      </x:c>
    </x:row>
    <x:row r="665" ht="24" customHeight="1">
      <x:c r="A665" s="20" t="str">
        <x:v>GUY|China|Security contractors</x:v>
      </x:c>
      <x:c r="B665" s="20" t="str">
        <x:v>Guyana</x:v>
      </x:c>
      <x:c r="C665" s="20" t="str">
        <x:v>GUY</x:v>
      </x:c>
      <x:c r="D665" s="20" t="str">
        <x:v>China</x:v>
      </x:c>
      <x:c r="E665" s="20" t="str">
        <x:v>Chinese influence</x:v>
      </x:c>
      <x:c r="F665" s="20" t="str">
        <x:v>Security contractors</x:v>
      </x:c>
      <x:c r="G665" s="384" t="n">
        <x:v>0</x:v>
      </x:c>
      <x:c r="H665" s="396" t="n">
        <x:v>1</x:v>
      </x:c>
      <x:c r="I665" s="20" t="str">
        <x:v>MERICS/Carnegie Chinese security contractor source register</x:v>
      </x:c>
      <x:c r="J665" s="397" t="str">
        <x:v>https://merics.org/en/report/guardians-belt-and-road</x:v>
      </x:c>
      <x:c r="K665" s="20" t="str">
        <x:v>Primary source-register URL; automated screening score</x:v>
      </x:c>
      <x:c r="L665" s="20" t="str">
        <x:v>2026-05-20</x:v>
      </x:c>
      <x:c r="M665" s="20" t="str">
        <x:v>2026-05-20</x:v>
      </x:c>
      <x:c r="N665" s="20" t="str">
        <x:v>GPT-5.5 Pro</x:v>
      </x:c>
      <x:c r="O665" s="20" t="str">
        <x:v>Needs review</x:v>
      </x:c>
      <x:c r="P665" s="20" t="str">
        <x:v>Screening score for China / Security contractors in Guyana; verify with country-specific evidence before final use.</x:v>
      </x:c>
    </x:row>
    <x:row r="666" ht="24" customHeight="1">
      <x:c r="A666" s="20" t="str">
        <x:v>GUY|United States|Propaganda ecosystems</x:v>
      </x:c>
      <x:c r="B666" s="20" t="str">
        <x:v>Guyana</x:v>
      </x:c>
      <x:c r="C666" s="20" t="str">
        <x:v>GUY</x:v>
      </x:c>
      <x:c r="D666" s="20" t="str">
        <x:v>United States</x:v>
      </x:c>
      <x:c r="E666" s="20" t="str">
        <x:v>American influence</x:v>
      </x:c>
      <x:c r="F666" s="20" t="str">
        <x:v>Propaganda ecosystems</x:v>
      </x:c>
      <x:c r="G666" s="384" t="n">
        <x:v>3</x:v>
      </x:c>
      <x:c r="H666" s="396" t="n">
        <x:v>3</x:v>
      </x:c>
      <x:c r="I666" s="20" t="str">
        <x:v>USAGM public media source register</x:v>
      </x:c>
      <x:c r="J666" s="397" t="str">
        <x:v>https://www.usagm.gov/our-work/strategy-and-results/strategic-priorities/research-reports/</x:v>
      </x:c>
      <x:c r="K666" s="20" t="str">
        <x:v>Primary source-register URL; automated screening score</x:v>
      </x:c>
      <x:c r="L666" s="20" t="str">
        <x:v>2026-05-20</x:v>
      </x:c>
      <x:c r="M666" s="20" t="str">
        <x:v>2026-05-20</x:v>
      </x:c>
      <x:c r="N666" s="20" t="str">
        <x:v>GPT-5.5 Pro</x:v>
      </x:c>
      <x:c r="O666" s="20" t="str">
        <x:v>Needs review</x:v>
      </x:c>
      <x:c r="P666" s="20" t="str">
        <x:v>Screening score for United States / Propaganda ecosystems in Guyana; verify with country-specific evidence before final use.</x:v>
      </x:c>
    </x:row>
    <x:row r="667" ht="24" customHeight="1">
      <x:c r="A667" s="20" t="str">
        <x:v>GUY|United States|PMC presence</x:v>
      </x:c>
      <x:c r="B667" s="20" t="str">
        <x:v>Guyana</x:v>
      </x:c>
      <x:c r="C667" s="20" t="str">
        <x:v>GUY</x:v>
      </x:c>
      <x:c r="D667" s="20" t="str">
        <x:v>United States</x:v>
      </x:c>
      <x:c r="E667" s="20" t="str">
        <x:v>American influence</x:v>
      </x:c>
      <x:c r="F667" s="20" t="str">
        <x:v>PMC presence</x:v>
      </x:c>
      <x:c r="G667" s="384" t="n">
        <x:v>2</x:v>
      </x:c>
      <x:c r="H667" s="396" t="n">
        <x:v>2</x:v>
      </x:c>
      <x:c r="I667" s="20" t="str">
        <x:v>SAM/Greenbook U.S. security assistance contractor source register</x:v>
      </x:c>
      <x:c r="J667" s="397" t="str">
        <x:v>https://internationalpolicy.org/programs/sam/</x:v>
      </x:c>
      <x:c r="K667" s="20" t="str">
        <x:v>Primary source-register URL; automated screening score</x:v>
      </x:c>
      <x:c r="L667" s="20" t="str">
        <x:v>2026-05-20</x:v>
      </x:c>
      <x:c r="M667" s="20" t="str">
        <x:v>2026-05-20</x:v>
      </x:c>
      <x:c r="N667" s="20" t="str">
        <x:v>GPT-5.5 Pro</x:v>
      </x:c>
      <x:c r="O667" s="20" t="str">
        <x:v>Needs review</x:v>
      </x:c>
      <x:c r="P667" s="20" t="str">
        <x:v>Screening score for United States / PMC presence in Guyana; verify with country-specific evidence before final use.</x:v>
      </x:c>
    </x:row>
    <x:row r="668" ht="24" customHeight="1">
      <x:c r="A668" s="20" t="str">
        <x:v>GUY|United States|Election interference</x:v>
      </x:c>
      <x:c r="B668" s="20" t="str">
        <x:v>Guyana</x:v>
      </x:c>
      <x:c r="C668" s="20" t="str">
        <x:v>GUY</x:v>
      </x:c>
      <x:c r="D668" s="20" t="str">
        <x:v>United States</x:v>
      </x:c>
      <x:c r="E668" s="20" t="str">
        <x:v>American influence</x:v>
      </x:c>
      <x:c r="F668" s="20" t="str">
        <x:v>Election interference</x:v>
      </x:c>
      <x:c r="G668" s="384" t="n">
        <x:v>2</x:v>
      </x:c>
      <x:c r="H668" s="396" t="n">
        <x:v>2</x:v>
      </x:c>
      <x:c r="I668" s="20" t="str">
        <x:v>NED/Greenbook democracy assistance source register</x:v>
      </x:c>
      <x:c r="J668" s="397" t="str">
        <x:v>https://www.ned.org/ned-grantmaking/</x:v>
      </x:c>
      <x:c r="K668" s="20" t="str">
        <x:v>Primary source-register URL; automated screening score</x:v>
      </x:c>
      <x:c r="L668" s="20" t="str">
        <x:v>2026-05-20</x:v>
      </x:c>
      <x:c r="M668" s="20" t="str">
        <x:v>2026-05-20</x:v>
      </x:c>
      <x:c r="N668" s="20" t="str">
        <x:v>GPT-5.5 Pro</x:v>
      </x:c>
      <x:c r="O668" s="20" t="str">
        <x:v>Needs review</x:v>
      </x:c>
      <x:c r="P668" s="20" t="str">
        <x:v>Screening score for United States / Election interference in Guyana; verify with country-specific evidence before final use.</x:v>
      </x:c>
    </x:row>
    <x:row r="669" ht="24" customHeight="1">
      <x:c r="A669" s="20" t="str">
        <x:v>GUY|United States|Security contractors</x:v>
      </x:c>
      <x:c r="B669" s="20" t="str">
        <x:v>Guyana</x:v>
      </x:c>
      <x:c r="C669" s="20" t="str">
        <x:v>GUY</x:v>
      </x:c>
      <x:c r="D669" s="20" t="str">
        <x:v>United States</x:v>
      </x:c>
      <x:c r="E669" s="20" t="str">
        <x:v>American influence</x:v>
      </x:c>
      <x:c r="F669" s="20" t="str">
        <x:v>Security contractors</x:v>
      </x:c>
      <x:c r="G669" s="384" t="n">
        <x:v>4</x:v>
      </x:c>
      <x:c r="H669" s="396" t="n">
        <x:v>3</x:v>
      </x:c>
      <x:c r="I669" s="20" t="str">
        <x:v>SAM/Greenbook U.S. security contractor source register</x:v>
      </x:c>
      <x:c r="J669" s="397" t="str">
        <x:v>https://internationalpolicy.org/programs/sam/</x:v>
      </x:c>
      <x:c r="K669" s="20" t="str">
        <x:v>Primary source-register URL; automated screening score</x:v>
      </x:c>
      <x:c r="L669" s="20" t="str">
        <x:v>2026-05-20</x:v>
      </x:c>
      <x:c r="M669" s="20" t="str">
        <x:v>2026-05-20</x:v>
      </x:c>
      <x:c r="N669" s="20" t="str">
        <x:v>GPT-5.5 Pro</x:v>
      </x:c>
      <x:c r="O669" s="20" t="str">
        <x:v>Needs review</x:v>
      </x:c>
      <x:c r="P669" s="20" t="str">
        <x:v>Screening score for United States / Security contractors in Guyana; verify with country-specific evidence before final use.</x:v>
      </x:c>
    </x:row>
    <x:row r="670" ht="24" customHeight="1">
      <x:c r="A670" s="20" t="str">
        <x:v>GUY|European Union|Propaganda ecosystems</x:v>
      </x:c>
      <x:c r="B670" s="20" t="str">
        <x:v>Guyana</x:v>
      </x:c>
      <x:c r="C670" s="20" t="str">
        <x:v>GUY</x:v>
      </x:c>
      <x:c r="D670" s="20" t="str">
        <x:v>European Union</x:v>
      </x:c>
      <x:c r="E670" s="20" t="str">
        <x:v>EU influence</x:v>
      </x:c>
      <x:c r="F670" s="20" t="str">
        <x:v>Propaganda ecosystems</x:v>
      </x:c>
      <x:c r="G670" s="384" t="n">
        <x:v>3</x:v>
      </x:c>
      <x:c r="H670" s="396" t="n">
        <x:v>3</x:v>
      </x:c>
      <x:c r="I670" s="20" t="str">
        <x:v>EEAS public diplomacy source register</x:v>
      </x:c>
      <x:c r="J670" s="397" t="str">
        <x:v>https://www.eeas.europa.eu/eeas/public-diplomacy_en</x:v>
      </x:c>
      <x:c r="K670" s="20" t="str">
        <x:v>Primary source-register URL; automated screening score</x:v>
      </x:c>
      <x:c r="L670" s="20" t="str">
        <x:v>2026-05-20</x:v>
      </x:c>
      <x:c r="M670" s="20" t="str">
        <x:v>2026-05-20</x:v>
      </x:c>
      <x:c r="N670" s="20" t="str">
        <x:v>GPT-5.5 Pro</x:v>
      </x:c>
      <x:c r="O670" s="20" t="str">
        <x:v>Needs review</x:v>
      </x:c>
      <x:c r="P670" s="20" t="str">
        <x:v>Screening score for European Union / Propaganda ecosystems in Guyana; verify with country-specific evidence before final use.</x:v>
      </x:c>
    </x:row>
    <x:row r="671" ht="24" customHeight="1">
      <x:c r="A671" s="20" t="str">
        <x:v>GUY|European Union|PMC presence</x:v>
      </x:c>
      <x:c r="B671" s="20" t="str">
        <x:v>Guyana</x:v>
      </x:c>
      <x:c r="C671" s="20" t="str">
        <x:v>GUY</x:v>
      </x:c>
      <x:c r="D671" s="20" t="str">
        <x:v>European Union</x:v>
      </x:c>
      <x:c r="E671" s="20" t="str">
        <x:v>EU influence</x:v>
      </x:c>
      <x:c r="F671" s="20" t="str">
        <x:v>PMC presence</x:v>
      </x:c>
      <x:c r="G671" s="384" t="n">
        <x:v>0</x:v>
      </x:c>
      <x:c r="H671" s="396" t="n">
        <x:v>1</x:v>
      </x:c>
      <x:c r="I671" s="20" t="str">
        <x:v>EEAS CSDP missions source register</x:v>
      </x:c>
      <x:c r="J671" s="397" t="str">
        <x:v>https://www.eeas.europa.eu/eeas/missions-and-operations_en</x:v>
      </x:c>
      <x:c r="K671" s="20" t="str">
        <x:v>Primary source-register URL; automated screening score</x:v>
      </x:c>
      <x:c r="L671" s="20" t="str">
        <x:v>2026-05-20</x:v>
      </x:c>
      <x:c r="M671" s="20" t="str">
        <x:v>2026-05-20</x:v>
      </x:c>
      <x:c r="N671" s="20" t="str">
        <x:v>GPT-5.5 Pro</x:v>
      </x:c>
      <x:c r="O671" s="20" t="str">
        <x:v>Needs review</x:v>
      </x:c>
      <x:c r="P671" s="20" t="str">
        <x:v>Screening score for European Union / PMC presence in Guyana; verify with country-specific evidence before final use.</x:v>
      </x:c>
    </x:row>
    <x:row r="672" ht="24" customHeight="1">
      <x:c r="A672" s="20" t="str">
        <x:v>GUY|European Union|Election interference</x:v>
      </x:c>
      <x:c r="B672" s="20" t="str">
        <x:v>Guyana</x:v>
      </x:c>
      <x:c r="C672" s="20" t="str">
        <x:v>GUY</x:v>
      </x:c>
      <x:c r="D672" s="20" t="str">
        <x:v>European Union</x:v>
      </x:c>
      <x:c r="E672" s="20" t="str">
        <x:v>EU influence</x:v>
      </x:c>
      <x:c r="F672" s="20" t="str">
        <x:v>Election interference</x:v>
      </x:c>
      <x:c r="G672" s="384" t="n">
        <x:v>1</x:v>
      </x:c>
      <x:c r="H672" s="396" t="n">
        <x:v>2</x:v>
      </x:c>
      <x:c r="I672" s="20" t="str">
        <x:v>EEAS EU election observation source register</x:v>
      </x:c>
      <x:c r="J672" s="397" t="str">
        <x:v>https://www.eeas.europa.eu/eeas/eu-election-observation-missions-1_en?page_lang=en</x:v>
      </x:c>
      <x:c r="K672" s="20" t="str">
        <x:v>Primary source-register URL; automated screening score</x:v>
      </x:c>
      <x:c r="L672" s="20" t="str">
        <x:v>2026-05-20</x:v>
      </x:c>
      <x:c r="M672" s="20" t="str">
        <x:v>2026-05-20</x:v>
      </x:c>
      <x:c r="N672" s="20" t="str">
        <x:v>GPT-5.5 Pro</x:v>
      </x:c>
      <x:c r="O672" s="20" t="str">
        <x:v>Needs review</x:v>
      </x:c>
      <x:c r="P672" s="20" t="str">
        <x:v>Screening score for European Union / Election interference in Guyana; verify with country-specific evidence before final use.</x:v>
      </x:c>
    </x:row>
    <x:row r="673" ht="24" customHeight="1">
      <x:c r="A673" s="20" t="str">
        <x:v>GUY|European Union|Security contractors</x:v>
      </x:c>
      <x:c r="B673" s="20" t="str">
        <x:v>Guyana</x:v>
      </x:c>
      <x:c r="C673" s="20" t="str">
        <x:v>GUY</x:v>
      </x:c>
      <x:c r="D673" s="20" t="str">
        <x:v>European Union</x:v>
      </x:c>
      <x:c r="E673" s="20" t="str">
        <x:v>EU influence</x:v>
      </x:c>
      <x:c r="F673" s="20" t="str">
        <x:v>Security contractors</x:v>
      </x:c>
      <x:c r="G673" s="384" t="n">
        <x:v>2</x:v>
      </x:c>
      <x:c r="H673" s="396" t="n">
        <x:v>2</x:v>
      </x:c>
      <x:c r="I673" s="20" t="str">
        <x:v>EEAS CSDP / Global Gateway security source register</x:v>
      </x:c>
      <x:c r="J673" s="397" t="str">
        <x:v>https://www.eeas.europa.eu/eeas/missions-and-operations_en</x:v>
      </x:c>
      <x:c r="K673" s="20" t="str">
        <x:v>Primary source-register URL; automated screening score</x:v>
      </x:c>
      <x:c r="L673" s="20" t="str">
        <x:v>2026-05-20</x:v>
      </x:c>
      <x:c r="M673" s="20" t="str">
        <x:v>2026-05-20</x:v>
      </x:c>
      <x:c r="N673" s="20" t="str">
        <x:v>GPT-5.5 Pro</x:v>
      </x:c>
      <x:c r="O673" s="20" t="str">
        <x:v>Needs review</x:v>
      </x:c>
      <x:c r="P673" s="20" t="str">
        <x:v>Screening score for European Union / Security contractors in Guyana; verify with country-specific evidence before final use.</x:v>
      </x:c>
    </x:row>
    <x:row r="674" ht="24" customHeight="1">
      <x:c r="A674" s="20" t="str">
        <x:v>HUN|Russia|Propaganda ecosystems</x:v>
      </x:c>
      <x:c r="B674" s="20" t="str">
        <x:v>Hungary</x:v>
      </x:c>
      <x:c r="C674" s="20" t="str">
        <x:v>HUN</x:v>
      </x:c>
      <x:c r="D674" s="20" t="str">
        <x:v>Russia</x:v>
      </x:c>
      <x:c r="E674" s="20" t="str">
        <x:v>Russian influence</x:v>
      </x:c>
      <x:c r="F674" s="20" t="str">
        <x:v>Propaganda ecosystems</x:v>
      </x:c>
      <x:c r="G674" s="384" t="n">
        <x:v>7</x:v>
      </x:c>
      <x:c r="H674" s="396" t="n">
        <x:v>4</x:v>
      </x:c>
      <x:c r="I674" s="20" t="str">
        <x:v>EEAS/EUvsDisinfo FIMI source register</x:v>
      </x:c>
      <x:c r="J674" s="397" t="str">
        <x:v>https://www.eeas.europa.eu/eeas/4th-eeas-annual-report-foreign-information-manipulation-and-interference-threats_en</x:v>
      </x:c>
      <x:c r="K674" s="20" t="str">
        <x:v>Primary source-register URL; automated screening score</x:v>
      </x:c>
      <x:c r="L674" s="20" t="str">
        <x:v>2026-05-20</x:v>
      </x:c>
      <x:c r="M674" s="20" t="str">
        <x:v>2026-05-20</x:v>
      </x:c>
      <x:c r="N674" s="20" t="str">
        <x:v>GPT-5.5 Pro</x:v>
      </x:c>
      <x:c r="O674" s="20" t="str">
        <x:v>Needs review</x:v>
      </x:c>
      <x:c r="P674" s="20" t="str">
        <x:v>Screening score for Russia / Propaganda ecosystems in Hungary; verify with country-specific evidence before final use.</x:v>
      </x:c>
    </x:row>
    <x:row r="675" ht="24" customHeight="1">
      <x:c r="A675" s="20" t="str">
        <x:v>HUN|Russia|PMC presence</x:v>
      </x:c>
      <x:c r="B675" s="20" t="str">
        <x:v>Hungary</x:v>
      </x:c>
      <x:c r="C675" s="20" t="str">
        <x:v>HUN</x:v>
      </x:c>
      <x:c r="D675" s="20" t="str">
        <x:v>Russia</x:v>
      </x:c>
      <x:c r="E675" s="20" t="str">
        <x:v>Russian influence</x:v>
      </x:c>
      <x:c r="F675" s="20" t="str">
        <x:v>PMC presence</x:v>
      </x:c>
      <x:c r="G675" s="384" t="n">
        <x:v>0</x:v>
      </x:c>
      <x:c r="H675" s="396" t="n">
        <x:v>1</x:v>
      </x:c>
      <x:c r="I675" s="20" t="str">
        <x:v>Treasury and Council of the EU Wagner/PMC source register</x:v>
      </x:c>
      <x:c r="J675" s="397" t="str">
        <x:v>https://www.consilium.europa.eu/en/press/press-releases/2023/02/25/wagner-group-council-adds-11-individuals-and-7-entities-to-eu-sanctions-lists/</x:v>
      </x:c>
      <x:c r="K675" s="20" t="str">
        <x:v>Primary source-register URL; automated screening score</x:v>
      </x:c>
      <x:c r="L675" s="20" t="str">
        <x:v>2026-05-20</x:v>
      </x:c>
      <x:c r="M675" s="20" t="str">
        <x:v>2026-05-20</x:v>
      </x:c>
      <x:c r="N675" s="20" t="str">
        <x:v>GPT-5.5 Pro</x:v>
      </x:c>
      <x:c r="O675" s="20" t="str">
        <x:v>Needs review</x:v>
      </x:c>
      <x:c r="P675" s="20" t="str">
        <x:v>Screening score for Russia / PMC presence in Hungary; verify with country-specific evidence before final use.</x:v>
      </x:c>
    </x:row>
    <x:row r="676" ht="24" customHeight="1">
      <x:c r="A676" s="20" t="str">
        <x:v>HUN|Russia|Election interference</x:v>
      </x:c>
      <x:c r="B676" s="20" t="str">
        <x:v>Hungary</x:v>
      </x:c>
      <x:c r="C676" s="20" t="str">
        <x:v>HUN</x:v>
      </x:c>
      <x:c r="D676" s="20" t="str">
        <x:v>Russia</x:v>
      </x:c>
      <x:c r="E676" s="20" t="str">
        <x:v>Russian influence</x:v>
      </x:c>
      <x:c r="F676" s="20" t="str">
        <x:v>Election interference</x:v>
      </x:c>
      <x:c r="G676" s="384" t="n">
        <x:v>5</x:v>
      </x:c>
      <x:c r="H676" s="396" t="n">
        <x:v>3</x:v>
      </x:c>
      <x:c r="I676" s="20" t="str">
        <x:v>ODNI/EEAS election-FIMI source register</x:v>
      </x:c>
      <x:c r="J676" s="397" t="str">
        <x:v>https://www.dni.gov/files/ODNI/documents/assessments/ATA-2026-Unclassified-Report.pdf</x:v>
      </x:c>
      <x:c r="K676" s="20" t="str">
        <x:v>Primary source-register URL; automated screening score</x:v>
      </x:c>
      <x:c r="L676" s="20" t="str">
        <x:v>2026-05-20</x:v>
      </x:c>
      <x:c r="M676" s="20" t="str">
        <x:v>2026-05-20</x:v>
      </x:c>
      <x:c r="N676" s="20" t="str">
        <x:v>GPT-5.5 Pro</x:v>
      </x:c>
      <x:c r="O676" s="20" t="str">
        <x:v>Needs review</x:v>
      </x:c>
      <x:c r="P676" s="20" t="str">
        <x:v>Screening score for Russia / Election interference in Hungary; verify with country-specific evidence before final use.</x:v>
      </x:c>
    </x:row>
    <x:row r="677" ht="24" customHeight="1">
      <x:c r="A677" s="20" t="str">
        <x:v>HUN|Russia|Security contractors</x:v>
      </x:c>
      <x:c r="B677" s="20" t="str">
        <x:v>Hungary</x:v>
      </x:c>
      <x:c r="C677" s="20" t="str">
        <x:v>HUN</x:v>
      </x:c>
      <x:c r="D677" s="20" t="str">
        <x:v>Russia</x:v>
      </x:c>
      <x:c r="E677" s="20" t="str">
        <x:v>Russian influence</x:v>
      </x:c>
      <x:c r="F677" s="20" t="str">
        <x:v>Security contractors</x:v>
      </x:c>
      <x:c r="G677" s="384" t="n">
        <x:v>0</x:v>
      </x:c>
      <x:c r="H677" s="396" t="n">
        <x:v>1</x:v>
      </x:c>
      <x:c r="I677" s="20" t="str">
        <x:v>Council of the EU/Treasury Wagner-security source register</x:v>
      </x:c>
      <x:c r="J677" s="397" t="str">
        <x:v>https://www.consilium.europa.eu/en/press/press-releases/2023/02/25/wagner-group-council-adds-11-individuals-and-7-entities-to-eu-sanctions-lists/</x:v>
      </x:c>
      <x:c r="K677" s="20" t="str">
        <x:v>Primary source-register URL; automated screening score</x:v>
      </x:c>
      <x:c r="L677" s="20" t="str">
        <x:v>2026-05-20</x:v>
      </x:c>
      <x:c r="M677" s="20" t="str">
        <x:v>2026-05-20</x:v>
      </x:c>
      <x:c r="N677" s="20" t="str">
        <x:v>GPT-5.5 Pro</x:v>
      </x:c>
      <x:c r="O677" s="20" t="str">
        <x:v>Needs review</x:v>
      </x:c>
      <x:c r="P677" s="20" t="str">
        <x:v>Screening score for Russia / Security contractors in Hungary; verify with country-specific evidence before final use.</x:v>
      </x:c>
    </x:row>
    <x:row r="678" ht="24" customHeight="1">
      <x:c r="A678" s="20" t="str">
        <x:v>HUN|China|Propaganda ecosystems</x:v>
      </x:c>
      <x:c r="B678" s="20" t="str">
        <x:v>Hungary</x:v>
      </x:c>
      <x:c r="C678" s="20" t="str">
        <x:v>HUN</x:v>
      </x:c>
      <x:c r="D678" s="20" t="str">
        <x:v>China</x:v>
      </x:c>
      <x:c r="E678" s="20" t="str">
        <x:v>Chinese influence</x:v>
      </x:c>
      <x:c r="F678" s="20" t="str">
        <x:v>Propaganda ecosystems</x:v>
      </x:c>
      <x:c r="G678" s="384" t="n">
        <x:v>4</x:v>
      </x:c>
      <x:c r="H678" s="396" t="n">
        <x:v>3</x:v>
      </x:c>
      <x:c r="I678" s="20" t="str">
        <x:v>EEAS/ODNI China FIMI source register</x:v>
      </x:c>
      <x:c r="J678" s="397" t="str">
        <x:v>https://www.eeas.europa.eu/eeas/4th-eeas-annual-report-foreign-information-manipulation-and-interference-threats_en</x:v>
      </x:c>
      <x:c r="K678" s="20" t="str">
        <x:v>Primary source-register URL; automated screening score</x:v>
      </x:c>
      <x:c r="L678" s="20" t="str">
        <x:v>2026-05-20</x:v>
      </x:c>
      <x:c r="M678" s="20" t="str">
        <x:v>2026-05-20</x:v>
      </x:c>
      <x:c r="N678" s="20" t="str">
        <x:v>GPT-5.5 Pro</x:v>
      </x:c>
      <x:c r="O678" s="20" t="str">
        <x:v>Needs review</x:v>
      </x:c>
      <x:c r="P678" s="20" t="str">
        <x:v>Screening score for China / Propaganda ecosystems in Hungary; verify with country-specific evidence before final use.</x:v>
      </x:c>
    </x:row>
    <x:row r="679" ht="24" customHeight="1">
      <x:c r="A679" s="20" t="str">
        <x:v>HUN|China|PMC presence</x:v>
      </x:c>
      <x:c r="B679" s="20" t="str">
        <x:v>Hungary</x:v>
      </x:c>
      <x:c r="C679" s="20" t="str">
        <x:v>HUN</x:v>
      </x:c>
      <x:c r="D679" s="20" t="str">
        <x:v>China</x:v>
      </x:c>
      <x:c r="E679" s="20" t="str">
        <x:v>Chinese influence</x:v>
      </x:c>
      <x:c r="F679" s="20" t="str">
        <x:v>PMC presence</x:v>
      </x:c>
      <x:c r="G679" s="384" t="n">
        <x:v>0</x:v>
      </x:c>
      <x:c r="H679" s="396" t="n">
        <x:v>1</x:v>
      </x:c>
      <x:c r="I679" s="20" t="str">
        <x:v>MERICS/Carnegie Chinese overseas PSC source register</x:v>
      </x:c>
      <x:c r="J679" s="397" t="str">
        <x:v>https://merics.org/en/report/guardians-belt-and-road</x:v>
      </x:c>
      <x:c r="K679" s="20" t="str">
        <x:v>Primary source-register URL; automated screening score</x:v>
      </x:c>
      <x:c r="L679" s="20" t="str">
        <x:v>2026-05-20</x:v>
      </x:c>
      <x:c r="M679" s="20" t="str">
        <x:v>2026-05-20</x:v>
      </x:c>
      <x:c r="N679" s="20" t="str">
        <x:v>GPT-5.5 Pro</x:v>
      </x:c>
      <x:c r="O679" s="20" t="str">
        <x:v>Needs review</x:v>
      </x:c>
      <x:c r="P679" s="20" t="str">
        <x:v>Screening score for China / PMC presence in Hungary; verify with country-specific evidence before final use.</x:v>
      </x:c>
    </x:row>
    <x:row r="680" ht="24" customHeight="1">
      <x:c r="A680" s="20" t="str">
        <x:v>HUN|China|Election interference</x:v>
      </x:c>
      <x:c r="B680" s="20" t="str">
        <x:v>Hungary</x:v>
      </x:c>
      <x:c r="C680" s="20" t="str">
        <x:v>HUN</x:v>
      </x:c>
      <x:c r="D680" s="20" t="str">
        <x:v>China</x:v>
      </x:c>
      <x:c r="E680" s="20" t="str">
        <x:v>Chinese influence</x:v>
      </x:c>
      <x:c r="F680" s="20" t="str">
        <x:v>Election interference</x:v>
      </x:c>
      <x:c r="G680" s="384" t="n">
        <x:v>2</x:v>
      </x:c>
      <x:c r="H680" s="396" t="n">
        <x:v>2</x:v>
      </x:c>
      <x:c r="I680" s="20" t="str">
        <x:v>EEAS/ODNI China election-FIMI source register</x:v>
      </x:c>
      <x:c r="J680" s="397" t="str">
        <x:v>https://www.eeas.europa.eu/eeas/4th-eeas-annual-report-foreign-information-manipulation-and-interference-threats_en</x:v>
      </x:c>
      <x:c r="K680" s="20" t="str">
        <x:v>Primary source-register URL; automated screening score</x:v>
      </x:c>
      <x:c r="L680" s="20" t="str">
        <x:v>2026-05-20</x:v>
      </x:c>
      <x:c r="M680" s="20" t="str">
        <x:v>2026-05-20</x:v>
      </x:c>
      <x:c r="N680" s="20" t="str">
        <x:v>GPT-5.5 Pro</x:v>
      </x:c>
      <x:c r="O680" s="20" t="str">
        <x:v>Needs review</x:v>
      </x:c>
      <x:c r="P680" s="20" t="str">
        <x:v>Screening score for China / Election interference in Hungary; verify with country-specific evidence before final use.</x:v>
      </x:c>
    </x:row>
    <x:row r="681" ht="24" customHeight="1">
      <x:c r="A681" s="20" t="str">
        <x:v>HUN|China|Security contractors</x:v>
      </x:c>
      <x:c r="B681" s="20" t="str">
        <x:v>Hungary</x:v>
      </x:c>
      <x:c r="C681" s="20" t="str">
        <x:v>HUN</x:v>
      </x:c>
      <x:c r="D681" s="20" t="str">
        <x:v>China</x:v>
      </x:c>
      <x:c r="E681" s="20" t="str">
        <x:v>Chinese influence</x:v>
      </x:c>
      <x:c r="F681" s="20" t="str">
        <x:v>Security contractors</x:v>
      </x:c>
      <x:c r="G681" s="384" t="n">
        <x:v>0</x:v>
      </x:c>
      <x:c r="H681" s="396" t="n">
        <x:v>1</x:v>
      </x:c>
      <x:c r="I681" s="20" t="str">
        <x:v>MERICS/Carnegie Chinese security contractor source register</x:v>
      </x:c>
      <x:c r="J681" s="397" t="str">
        <x:v>https://merics.org/en/report/guardians-belt-and-road</x:v>
      </x:c>
      <x:c r="K681" s="20" t="str">
        <x:v>Primary source-register URL; automated screening score</x:v>
      </x:c>
      <x:c r="L681" s="20" t="str">
        <x:v>2026-05-20</x:v>
      </x:c>
      <x:c r="M681" s="20" t="str">
        <x:v>2026-05-20</x:v>
      </x:c>
      <x:c r="N681" s="20" t="str">
        <x:v>GPT-5.5 Pro</x:v>
      </x:c>
      <x:c r="O681" s="20" t="str">
        <x:v>Needs review</x:v>
      </x:c>
      <x:c r="P681" s="20" t="str">
        <x:v>Screening score for China / Security contractors in Hungary; verify with country-specific evidence before final use.</x:v>
      </x:c>
    </x:row>
    <x:row r="682" ht="24" customHeight="1">
      <x:c r="A682" s="20" t="str">
        <x:v>HUN|United States|Propaganda ecosystems</x:v>
      </x:c>
      <x:c r="B682" s="20" t="str">
        <x:v>Hungary</x:v>
      </x:c>
      <x:c r="C682" s="20" t="str">
        <x:v>HUN</x:v>
      </x:c>
      <x:c r="D682" s="20" t="str">
        <x:v>United States</x:v>
      </x:c>
      <x:c r="E682" s="20" t="str">
        <x:v>American influence</x:v>
      </x:c>
      <x:c r="F682" s="20" t="str">
        <x:v>Propaganda ecosystems</x:v>
      </x:c>
      <x:c r="G682" s="384" t="n">
        <x:v>4</x:v>
      </x:c>
      <x:c r="H682" s="396" t="n">
        <x:v>3</x:v>
      </x:c>
      <x:c r="I682" s="20" t="str">
        <x:v>USAGM public media source register</x:v>
      </x:c>
      <x:c r="J682" s="397" t="str">
        <x:v>https://www.usagm.gov/our-work/strategy-and-results/strategic-priorities/research-reports/</x:v>
      </x:c>
      <x:c r="K682" s="20" t="str">
        <x:v>Primary source-register URL; automated screening score</x:v>
      </x:c>
      <x:c r="L682" s="20" t="str">
        <x:v>2026-05-20</x:v>
      </x:c>
      <x:c r="M682" s="20" t="str">
        <x:v>2026-05-20</x:v>
      </x:c>
      <x:c r="N682" s="20" t="str">
        <x:v>GPT-5.5 Pro</x:v>
      </x:c>
      <x:c r="O682" s="20" t="str">
        <x:v>Needs review</x:v>
      </x:c>
      <x:c r="P682" s="20" t="str">
        <x:v>Screening score for United States / Propaganda ecosystems in Hungary; verify with country-specific evidence before final use.</x:v>
      </x:c>
    </x:row>
    <x:row r="683" ht="24" customHeight="1">
      <x:c r="A683" s="20" t="str">
        <x:v>HUN|United States|PMC presence</x:v>
      </x:c>
      <x:c r="B683" s="20" t="str">
        <x:v>Hungary</x:v>
      </x:c>
      <x:c r="C683" s="20" t="str">
        <x:v>HUN</x:v>
      </x:c>
      <x:c r="D683" s="20" t="str">
        <x:v>United States</x:v>
      </x:c>
      <x:c r="E683" s="20" t="str">
        <x:v>American influence</x:v>
      </x:c>
      <x:c r="F683" s="20" t="str">
        <x:v>PMC presence</x:v>
      </x:c>
      <x:c r="G683" s="384" t="n">
        <x:v>3</x:v>
      </x:c>
      <x:c r="H683" s="396" t="n">
        <x:v>3</x:v>
      </x:c>
      <x:c r="I683" s="20" t="str">
        <x:v>SAM/Greenbook U.S. security assistance contractor source register</x:v>
      </x:c>
      <x:c r="J683" s="397" t="str">
        <x:v>https://internationalpolicy.org/programs/sam/</x:v>
      </x:c>
      <x:c r="K683" s="20" t="str">
        <x:v>Primary source-register URL; automated screening score</x:v>
      </x:c>
      <x:c r="L683" s="20" t="str">
        <x:v>2026-05-20</x:v>
      </x:c>
      <x:c r="M683" s="20" t="str">
        <x:v>2026-05-20</x:v>
      </x:c>
      <x:c r="N683" s="20" t="str">
        <x:v>GPT-5.5 Pro</x:v>
      </x:c>
      <x:c r="O683" s="20" t="str">
        <x:v>Needs review</x:v>
      </x:c>
      <x:c r="P683" s="20" t="str">
        <x:v>Screening score for United States / PMC presence in Hungary; verify with country-specific evidence before final use.</x:v>
      </x:c>
    </x:row>
    <x:row r="684" ht="24" customHeight="1">
      <x:c r="A684" s="20" t="str">
        <x:v>HUN|United States|Election interference</x:v>
      </x:c>
      <x:c r="B684" s="20" t="str">
        <x:v>Hungary</x:v>
      </x:c>
      <x:c r="C684" s="20" t="str">
        <x:v>HUN</x:v>
      </x:c>
      <x:c r="D684" s="20" t="str">
        <x:v>United States</x:v>
      </x:c>
      <x:c r="E684" s="20" t="str">
        <x:v>American influence</x:v>
      </x:c>
      <x:c r="F684" s="20" t="str">
        <x:v>Election interference</x:v>
      </x:c>
      <x:c r="G684" s="384" t="n">
        <x:v>1</x:v>
      </x:c>
      <x:c r="H684" s="396" t="n">
        <x:v>2</x:v>
      </x:c>
      <x:c r="I684" s="20" t="str">
        <x:v>NED/Greenbook democracy assistance source register</x:v>
      </x:c>
      <x:c r="J684" s="397" t="str">
        <x:v>https://www.ned.org/ned-grantmaking/</x:v>
      </x:c>
      <x:c r="K684" s="20" t="str">
        <x:v>Primary source-register URL; automated screening score</x:v>
      </x:c>
      <x:c r="L684" s="20" t="str">
        <x:v>2026-05-20</x:v>
      </x:c>
      <x:c r="M684" s="20" t="str">
        <x:v>2026-05-20</x:v>
      </x:c>
      <x:c r="N684" s="20" t="str">
        <x:v>GPT-5.5 Pro</x:v>
      </x:c>
      <x:c r="O684" s="20" t="str">
        <x:v>Needs review</x:v>
      </x:c>
      <x:c r="P684" s="20" t="str">
        <x:v>Screening score for United States / Election interference in Hungary; verify with country-specific evidence before final use.</x:v>
      </x:c>
    </x:row>
    <x:row r="685" ht="24" customHeight="1">
      <x:c r="A685" s="20" t="str">
        <x:v>HUN|United States|Security contractors</x:v>
      </x:c>
      <x:c r="B685" s="20" t="str">
        <x:v>Hungary</x:v>
      </x:c>
      <x:c r="C685" s="20" t="str">
        <x:v>HUN</x:v>
      </x:c>
      <x:c r="D685" s="20" t="str">
        <x:v>United States</x:v>
      </x:c>
      <x:c r="E685" s="20" t="str">
        <x:v>American influence</x:v>
      </x:c>
      <x:c r="F685" s="20" t="str">
        <x:v>Security contractors</x:v>
      </x:c>
      <x:c r="G685" s="384" t="n">
        <x:v>6</x:v>
      </x:c>
      <x:c r="H685" s="396" t="n">
        <x:v>4</x:v>
      </x:c>
      <x:c r="I685" s="20" t="str">
        <x:v>SAM/Greenbook U.S. security contractor source register</x:v>
      </x:c>
      <x:c r="J685" s="397" t="str">
        <x:v>https://internationalpolicy.org/programs/sam/</x:v>
      </x:c>
      <x:c r="K685" s="20" t="str">
        <x:v>Primary source-register URL; automated screening score</x:v>
      </x:c>
      <x:c r="L685" s="20" t="str">
        <x:v>2026-05-20</x:v>
      </x:c>
      <x:c r="M685" s="20" t="str">
        <x:v>2026-05-20</x:v>
      </x:c>
      <x:c r="N685" s="20" t="str">
        <x:v>GPT-5.5 Pro</x:v>
      </x:c>
      <x:c r="O685" s="20" t="str">
        <x:v>Needs review</x:v>
      </x:c>
      <x:c r="P685" s="20" t="str">
        <x:v>Screening score for United States / Security contractors in Hungary; verify with country-specific evidence before final use.</x:v>
      </x:c>
    </x:row>
    <x:row r="686" ht="24" customHeight="1">
      <x:c r="A686" s="20" t="str">
        <x:v>HUN|European Union|Propaganda ecosystems</x:v>
      </x:c>
      <x:c r="B686" s="20" t="str">
        <x:v>Hungary</x:v>
      </x:c>
      <x:c r="C686" s="20" t="str">
        <x:v>HUN</x:v>
      </x:c>
      <x:c r="D686" s="20" t="str">
        <x:v>European Union</x:v>
      </x:c>
      <x:c r="E686" s="20" t="str">
        <x:v>EU influence</x:v>
      </x:c>
      <x:c r="F686" s="20" t="str">
        <x:v>Propaganda ecosystems</x:v>
      </x:c>
      <x:c r="G686" s="384" t="n">
        <x:v>9</x:v>
      </x:c>
      <x:c r="H686" s="396" t="n">
        <x:v>5</x:v>
      </x:c>
      <x:c r="I686" s="20" t="str">
        <x:v>EEAS public diplomacy source register</x:v>
      </x:c>
      <x:c r="J686" s="397" t="str">
        <x:v>https://www.eeas.europa.eu/eeas/public-diplomacy_en</x:v>
      </x:c>
      <x:c r="K686" s="20" t="str">
        <x:v>Primary source-register URL; automated screening score</x:v>
      </x:c>
      <x:c r="L686" s="20" t="str">
        <x:v>2026-05-20</x:v>
      </x:c>
      <x:c r="M686" s="20" t="str">
        <x:v>2026-05-20</x:v>
      </x:c>
      <x:c r="N686" s="20" t="str">
        <x:v>GPT-5.5 Pro</x:v>
      </x:c>
      <x:c r="O686" s="20" t="str">
        <x:v>Needs review</x:v>
      </x:c>
      <x:c r="P686" s="20" t="str">
        <x:v>Screening score for European Union / Propaganda ecosystems in Hungary; verify with country-specific evidence before final use.</x:v>
      </x:c>
    </x:row>
    <x:row r="687" ht="24" customHeight="1">
      <x:c r="A687" s="20" t="str">
        <x:v>HUN|European Union|PMC presence</x:v>
      </x:c>
      <x:c r="B687" s="20" t="str">
        <x:v>Hungary</x:v>
      </x:c>
      <x:c r="C687" s="20" t="str">
        <x:v>HUN</x:v>
      </x:c>
      <x:c r="D687" s="20" t="str">
        <x:v>European Union</x:v>
      </x:c>
      <x:c r="E687" s="20" t="str">
        <x:v>EU influence</x:v>
      </x:c>
      <x:c r="F687" s="20" t="str">
        <x:v>PMC presence</x:v>
      </x:c>
      <x:c r="G687" s="384" t="n">
        <x:v>0</x:v>
      </x:c>
      <x:c r="H687" s="396" t="n">
        <x:v>1</x:v>
      </x:c>
      <x:c r="I687" s="20" t="str">
        <x:v>EEAS CSDP missions source register</x:v>
      </x:c>
      <x:c r="J687" s="397" t="str">
        <x:v>https://www.eeas.europa.eu/eeas/missions-and-operations_en</x:v>
      </x:c>
      <x:c r="K687" s="20" t="str">
        <x:v>Primary source-register URL; automated screening score</x:v>
      </x:c>
      <x:c r="L687" s="20" t="str">
        <x:v>2026-05-20</x:v>
      </x:c>
      <x:c r="M687" s="20" t="str">
        <x:v>2026-05-20</x:v>
      </x:c>
      <x:c r="N687" s="20" t="str">
        <x:v>GPT-5.5 Pro</x:v>
      </x:c>
      <x:c r="O687" s="20" t="str">
        <x:v>Needs review</x:v>
      </x:c>
      <x:c r="P687" s="20" t="str">
        <x:v>Screening score for European Union / PMC presence in Hungary; verify with country-specific evidence before final use.</x:v>
      </x:c>
    </x:row>
    <x:row r="688" ht="24" customHeight="1">
      <x:c r="A688" s="20" t="str">
        <x:v>HUN|European Union|Election interference</x:v>
      </x:c>
      <x:c r="B688" s="20" t="str">
        <x:v>Hungary</x:v>
      </x:c>
      <x:c r="C688" s="20" t="str">
        <x:v>HUN</x:v>
      </x:c>
      <x:c r="D688" s="20" t="str">
        <x:v>European Union</x:v>
      </x:c>
      <x:c r="E688" s="20" t="str">
        <x:v>EU influence</x:v>
      </x:c>
      <x:c r="F688" s="20" t="str">
        <x:v>Election interference</x:v>
      </x:c>
      <x:c r="G688" s="384" t="n">
        <x:v>2</x:v>
      </x:c>
      <x:c r="H688" s="396" t="n">
        <x:v>2</x:v>
      </x:c>
      <x:c r="I688" s="20" t="str">
        <x:v>EEAS EU election observation source register</x:v>
      </x:c>
      <x:c r="J688" s="397" t="str">
        <x:v>https://www.eeas.europa.eu/eeas/eu-election-observation-missions-1_en?page_lang=en</x:v>
      </x:c>
      <x:c r="K688" s="20" t="str">
        <x:v>Primary source-register URL; automated screening score</x:v>
      </x:c>
      <x:c r="L688" s="20" t="str">
        <x:v>2026-05-20</x:v>
      </x:c>
      <x:c r="M688" s="20" t="str">
        <x:v>2026-05-20</x:v>
      </x:c>
      <x:c r="N688" s="20" t="str">
        <x:v>GPT-5.5 Pro</x:v>
      </x:c>
      <x:c r="O688" s="20" t="str">
        <x:v>Needs review</x:v>
      </x:c>
      <x:c r="P688" s="20" t="str">
        <x:v>Screening score for European Union / Election interference in Hungary; verify with country-specific evidence before final use.</x:v>
      </x:c>
    </x:row>
    <x:row r="689" ht="24" customHeight="1">
      <x:c r="A689" s="20" t="str">
        <x:v>HUN|European Union|Security contractors</x:v>
      </x:c>
      <x:c r="B689" s="20" t="str">
        <x:v>Hungary</x:v>
      </x:c>
      <x:c r="C689" s="20" t="str">
        <x:v>HUN</x:v>
      </x:c>
      <x:c r="D689" s="20" t="str">
        <x:v>European Union</x:v>
      </x:c>
      <x:c r="E689" s="20" t="str">
        <x:v>EU influence</x:v>
      </x:c>
      <x:c r="F689" s="20" t="str">
        <x:v>Security contractors</x:v>
      </x:c>
      <x:c r="G689" s="384" t="n">
        <x:v>5</x:v>
      </x:c>
      <x:c r="H689" s="396" t="n">
        <x:v>3</x:v>
      </x:c>
      <x:c r="I689" s="20" t="str">
        <x:v>EEAS CSDP / Global Gateway security source register</x:v>
      </x:c>
      <x:c r="J689" s="397" t="str">
        <x:v>https://www.eeas.europa.eu/eeas/missions-and-operations_en</x:v>
      </x:c>
      <x:c r="K689" s="20" t="str">
        <x:v>Primary source-register URL; automated screening score</x:v>
      </x:c>
      <x:c r="L689" s="20" t="str">
        <x:v>2026-05-20</x:v>
      </x:c>
      <x:c r="M689" s="20" t="str">
        <x:v>2026-05-20</x:v>
      </x:c>
      <x:c r="N689" s="20" t="str">
        <x:v>GPT-5.5 Pro</x:v>
      </x:c>
      <x:c r="O689" s="20" t="str">
        <x:v>Needs review</x:v>
      </x:c>
      <x:c r="P689" s="20" t="str">
        <x:v>Screening score for European Union / Security contractors in Hungary; verify with country-specific evidence before final use.</x:v>
      </x:c>
    </x:row>
    <x:row r="690" ht="24" customHeight="1">
      <x:c r="A690" s="20" t="str">
        <x:v>IND|Russia|Propaganda ecosystems</x:v>
      </x:c>
      <x:c r="B690" s="20" t="str">
        <x:v>India</x:v>
      </x:c>
      <x:c r="C690" s="20" t="str">
        <x:v>IND</x:v>
      </x:c>
      <x:c r="D690" s="20" t="str">
        <x:v>Russia</x:v>
      </x:c>
      <x:c r="E690" s="20" t="str">
        <x:v>Russian influence</x:v>
      </x:c>
      <x:c r="F690" s="20" t="str">
        <x:v>Propaganda ecosystems</x:v>
      </x:c>
      <x:c r="G690" s="384" t="n">
        <x:v>2</x:v>
      </x:c>
      <x:c r="H690" s="396" t="n">
        <x:v>2</x:v>
      </x:c>
      <x:c r="I690" s="20" t="str">
        <x:v>EEAS/EUvsDisinfo FIMI source register</x:v>
      </x:c>
      <x:c r="J690" s="397" t="str">
        <x:v>https://www.eeas.europa.eu/eeas/4th-eeas-annual-report-foreign-information-manipulation-and-interference-threats_en</x:v>
      </x:c>
      <x:c r="K690" s="20" t="str">
        <x:v>Primary source-register URL; automated screening score</x:v>
      </x:c>
      <x:c r="L690" s="20" t="str">
        <x:v>2026-05-20</x:v>
      </x:c>
      <x:c r="M690" s="20" t="str">
        <x:v>2026-05-20</x:v>
      </x:c>
      <x:c r="N690" s="20" t="str">
        <x:v>GPT-5.5 Pro</x:v>
      </x:c>
      <x:c r="O690" s="20" t="str">
        <x:v>Needs review</x:v>
      </x:c>
      <x:c r="P690" s="20" t="str">
        <x:v>Screening score for Russia / Propaganda ecosystems in India; verify with country-specific evidence before final use.</x:v>
      </x:c>
    </x:row>
    <x:row r="691" ht="24" customHeight="1">
      <x:c r="A691" s="20" t="str">
        <x:v>IND|Russia|PMC presence</x:v>
      </x:c>
      <x:c r="B691" s="20" t="str">
        <x:v>India</x:v>
      </x:c>
      <x:c r="C691" s="20" t="str">
        <x:v>IND</x:v>
      </x:c>
      <x:c r="D691" s="20" t="str">
        <x:v>Russia</x:v>
      </x:c>
      <x:c r="E691" s="20" t="str">
        <x:v>Russian influence</x:v>
      </x:c>
      <x:c r="F691" s="20" t="str">
        <x:v>PMC presence</x:v>
      </x:c>
      <x:c r="G691" s="384" t="n">
        <x:v>0</x:v>
      </x:c>
      <x:c r="H691" s="396" t="n">
        <x:v>1</x:v>
      </x:c>
      <x:c r="I691" s="20" t="str">
        <x:v>Treasury and Council of the EU Wagner/PMC source register</x:v>
      </x:c>
      <x:c r="J691" s="397" t="str">
        <x:v>https://www.consilium.europa.eu/en/press/press-releases/2023/02/25/wagner-group-council-adds-11-individuals-and-7-entities-to-eu-sanctions-lists/</x:v>
      </x:c>
      <x:c r="K691" s="20" t="str">
        <x:v>Primary source-register URL; automated screening score</x:v>
      </x:c>
      <x:c r="L691" s="20" t="str">
        <x:v>2026-05-20</x:v>
      </x:c>
      <x:c r="M691" s="20" t="str">
        <x:v>2026-05-20</x:v>
      </x:c>
      <x:c r="N691" s="20" t="str">
        <x:v>GPT-5.5 Pro</x:v>
      </x:c>
      <x:c r="O691" s="20" t="str">
        <x:v>Needs review</x:v>
      </x:c>
      <x:c r="P691" s="20" t="str">
        <x:v>Screening score for Russia / PMC presence in India; verify with country-specific evidence before final use.</x:v>
      </x:c>
    </x:row>
    <x:row r="692" ht="24" customHeight="1">
      <x:c r="A692" s="20" t="str">
        <x:v>IND|Russia|Election interference</x:v>
      </x:c>
      <x:c r="B692" s="20" t="str">
        <x:v>India</x:v>
      </x:c>
      <x:c r="C692" s="20" t="str">
        <x:v>IND</x:v>
      </x:c>
      <x:c r="D692" s="20" t="str">
        <x:v>Russia</x:v>
      </x:c>
      <x:c r="E692" s="20" t="str">
        <x:v>Russian influence</x:v>
      </x:c>
      <x:c r="F692" s="20" t="str">
        <x:v>Election interference</x:v>
      </x:c>
      <x:c r="G692" s="384" t="n">
        <x:v>0</x:v>
      </x:c>
      <x:c r="H692" s="396" t="n">
        <x:v>1</x:v>
      </x:c>
      <x:c r="I692" s="20" t="str">
        <x:v>ODNI/EEAS election-FIMI source register</x:v>
      </x:c>
      <x:c r="J692" s="397" t="str">
        <x:v>https://www.dni.gov/files/ODNI/documents/assessments/ATA-2026-Unclassified-Report.pdf</x:v>
      </x:c>
      <x:c r="K692" s="20" t="str">
        <x:v>Primary source-register URL; automated screening score</x:v>
      </x:c>
      <x:c r="L692" s="20" t="str">
        <x:v>2026-05-20</x:v>
      </x:c>
      <x:c r="M692" s="20" t="str">
        <x:v>2026-05-20</x:v>
      </x:c>
      <x:c r="N692" s="20" t="str">
        <x:v>GPT-5.5 Pro</x:v>
      </x:c>
      <x:c r="O692" s="20" t="str">
        <x:v>Needs review</x:v>
      </x:c>
      <x:c r="P692" s="20" t="str">
        <x:v>Screening score for Russia / Election interference in India; verify with country-specific evidence before final use.</x:v>
      </x:c>
    </x:row>
    <x:row r="693" ht="24" customHeight="1">
      <x:c r="A693" s="20" t="str">
        <x:v>IND|Russia|Security contractors</x:v>
      </x:c>
      <x:c r="B693" s="20" t="str">
        <x:v>India</x:v>
      </x:c>
      <x:c r="C693" s="20" t="str">
        <x:v>IND</x:v>
      </x:c>
      <x:c r="D693" s="20" t="str">
        <x:v>Russia</x:v>
      </x:c>
      <x:c r="E693" s="20" t="str">
        <x:v>Russian influence</x:v>
      </x:c>
      <x:c r="F693" s="20" t="str">
        <x:v>Security contractors</x:v>
      </x:c>
      <x:c r="G693" s="384" t="n">
        <x:v>0</x:v>
      </x:c>
      <x:c r="H693" s="396" t="n">
        <x:v>1</x:v>
      </x:c>
      <x:c r="I693" s="20" t="str">
        <x:v>Council of the EU/Treasury Wagner-security source register</x:v>
      </x:c>
      <x:c r="J693" s="397" t="str">
        <x:v>https://www.consilium.europa.eu/en/press/press-releases/2023/02/25/wagner-group-council-adds-11-individuals-and-7-entities-to-eu-sanctions-lists/</x:v>
      </x:c>
      <x:c r="K693" s="20" t="str">
        <x:v>Primary source-register URL; automated screening score</x:v>
      </x:c>
      <x:c r="L693" s="20" t="str">
        <x:v>2026-05-20</x:v>
      </x:c>
      <x:c r="M693" s="20" t="str">
        <x:v>2026-05-20</x:v>
      </x:c>
      <x:c r="N693" s="20" t="str">
        <x:v>GPT-5.5 Pro</x:v>
      </x:c>
      <x:c r="O693" s="20" t="str">
        <x:v>Needs review</x:v>
      </x:c>
      <x:c r="P693" s="20" t="str">
        <x:v>Screening score for Russia / Security contractors in India; verify with country-specific evidence before final use.</x:v>
      </x:c>
    </x:row>
    <x:row r="694" ht="24" customHeight="1">
      <x:c r="A694" s="20" t="str">
        <x:v>IND|China|Propaganda ecosystems</x:v>
      </x:c>
      <x:c r="B694" s="20" t="str">
        <x:v>India</x:v>
      </x:c>
      <x:c r="C694" s="20" t="str">
        <x:v>IND</x:v>
      </x:c>
      <x:c r="D694" s="20" t="str">
        <x:v>China</x:v>
      </x:c>
      <x:c r="E694" s="20" t="str">
        <x:v>Chinese influence</x:v>
      </x:c>
      <x:c r="F694" s="20" t="str">
        <x:v>Propaganda ecosystems</x:v>
      </x:c>
      <x:c r="G694" s="384" t="n">
        <x:v>5</x:v>
      </x:c>
      <x:c r="H694" s="396" t="n">
        <x:v>3</x:v>
      </x:c>
      <x:c r="I694" s="20" t="str">
        <x:v>EEAS/ODNI China FIMI source register</x:v>
      </x:c>
      <x:c r="J694" s="397" t="str">
        <x:v>https://www.eeas.europa.eu/eeas/4th-eeas-annual-report-foreign-information-manipulation-and-interference-threats_en</x:v>
      </x:c>
      <x:c r="K694" s="20" t="str">
        <x:v>Primary source-register URL; automated screening score</x:v>
      </x:c>
      <x:c r="L694" s="20" t="str">
        <x:v>2026-05-20</x:v>
      </x:c>
      <x:c r="M694" s="20" t="str">
        <x:v>2026-05-20</x:v>
      </x:c>
      <x:c r="N694" s="20" t="str">
        <x:v>GPT-5.5 Pro</x:v>
      </x:c>
      <x:c r="O694" s="20" t="str">
        <x:v>Needs review</x:v>
      </x:c>
      <x:c r="P694" s="20" t="str">
        <x:v>Screening score for China / Propaganda ecosystems in India; verify with country-specific evidence before final use.</x:v>
      </x:c>
    </x:row>
    <x:row r="695" ht="24" customHeight="1">
      <x:c r="A695" s="20" t="str">
        <x:v>IND|China|PMC presence</x:v>
      </x:c>
      <x:c r="B695" s="20" t="str">
        <x:v>India</x:v>
      </x:c>
      <x:c r="C695" s="20" t="str">
        <x:v>IND</x:v>
      </x:c>
      <x:c r="D695" s="20" t="str">
        <x:v>China</x:v>
      </x:c>
      <x:c r="E695" s="20" t="str">
        <x:v>Chinese influence</x:v>
      </x:c>
      <x:c r="F695" s="20" t="str">
        <x:v>PMC presence</x:v>
      </x:c>
      <x:c r="G695" s="384" t="n">
        <x:v>0</x:v>
      </x:c>
      <x:c r="H695" s="396" t="n">
        <x:v>1</x:v>
      </x:c>
      <x:c r="I695" s="20" t="str">
        <x:v>MERICS/Carnegie Chinese overseas PSC source register</x:v>
      </x:c>
      <x:c r="J695" s="397" t="str">
        <x:v>https://merics.org/en/report/guardians-belt-and-road</x:v>
      </x:c>
      <x:c r="K695" s="20" t="str">
        <x:v>Primary source-register URL; automated screening score</x:v>
      </x:c>
      <x:c r="L695" s="20" t="str">
        <x:v>2026-05-20</x:v>
      </x:c>
      <x:c r="M695" s="20" t="str">
        <x:v>2026-05-20</x:v>
      </x:c>
      <x:c r="N695" s="20" t="str">
        <x:v>GPT-5.5 Pro</x:v>
      </x:c>
      <x:c r="O695" s="20" t="str">
        <x:v>Needs review</x:v>
      </x:c>
      <x:c r="P695" s="20" t="str">
        <x:v>Screening score for China / PMC presence in India; verify with country-specific evidence before final use.</x:v>
      </x:c>
    </x:row>
    <x:row r="696" ht="24" customHeight="1">
      <x:c r="A696" s="20" t="str">
        <x:v>IND|China|Election interference</x:v>
      </x:c>
      <x:c r="B696" s="20" t="str">
        <x:v>India</x:v>
      </x:c>
      <x:c r="C696" s="20" t="str">
        <x:v>IND</x:v>
      </x:c>
      <x:c r="D696" s="20" t="str">
        <x:v>China</x:v>
      </x:c>
      <x:c r="E696" s="20" t="str">
        <x:v>Chinese influence</x:v>
      </x:c>
      <x:c r="F696" s="20" t="str">
        <x:v>Election interference</x:v>
      </x:c>
      <x:c r="G696" s="384" t="n">
        <x:v>4</x:v>
      </x:c>
      <x:c r="H696" s="396" t="n">
        <x:v>3</x:v>
      </x:c>
      <x:c r="I696" s="20" t="str">
        <x:v>EEAS/ODNI China election-FIMI source register</x:v>
      </x:c>
      <x:c r="J696" s="397" t="str">
        <x:v>https://www.eeas.europa.eu/eeas/4th-eeas-annual-report-foreign-information-manipulation-and-interference-threats_en</x:v>
      </x:c>
      <x:c r="K696" s="20" t="str">
        <x:v>Primary source-register URL; automated screening score</x:v>
      </x:c>
      <x:c r="L696" s="20" t="str">
        <x:v>2026-05-20</x:v>
      </x:c>
      <x:c r="M696" s="20" t="str">
        <x:v>2026-05-20</x:v>
      </x:c>
      <x:c r="N696" s="20" t="str">
        <x:v>GPT-5.5 Pro</x:v>
      </x:c>
      <x:c r="O696" s="20" t="str">
        <x:v>Needs review</x:v>
      </x:c>
      <x:c r="P696" s="20" t="str">
        <x:v>Screening score for China / Election interference in India; verify with country-specific evidence before final use.</x:v>
      </x:c>
    </x:row>
    <x:row r="697" ht="24" customHeight="1">
      <x:c r="A697" s="20" t="str">
        <x:v>IND|China|Security contractors</x:v>
      </x:c>
      <x:c r="B697" s="20" t="str">
        <x:v>India</x:v>
      </x:c>
      <x:c r="C697" s="20" t="str">
        <x:v>IND</x:v>
      </x:c>
      <x:c r="D697" s="20" t="str">
        <x:v>China</x:v>
      </x:c>
      <x:c r="E697" s="20" t="str">
        <x:v>Chinese influence</x:v>
      </x:c>
      <x:c r="F697" s="20" t="str">
        <x:v>Security contractors</x:v>
      </x:c>
      <x:c r="G697" s="384" t="n">
        <x:v>1</x:v>
      </x:c>
      <x:c r="H697" s="396" t="n">
        <x:v>2</x:v>
      </x:c>
      <x:c r="I697" s="20" t="str">
        <x:v>MERICS/Carnegie Chinese security contractor source register</x:v>
      </x:c>
      <x:c r="J697" s="397" t="str">
        <x:v>https://merics.org/en/report/guardians-belt-and-road</x:v>
      </x:c>
      <x:c r="K697" s="20" t="str">
        <x:v>Primary source-register URL; automated screening score</x:v>
      </x:c>
      <x:c r="L697" s="20" t="str">
        <x:v>2026-05-20</x:v>
      </x:c>
      <x:c r="M697" s="20" t="str">
        <x:v>2026-05-20</x:v>
      </x:c>
      <x:c r="N697" s="20" t="str">
        <x:v>GPT-5.5 Pro</x:v>
      </x:c>
      <x:c r="O697" s="20" t="str">
        <x:v>Needs review</x:v>
      </x:c>
      <x:c r="P697" s="20" t="str">
        <x:v>Screening score for China / Security contractors in India; verify with country-specific evidence before final use.</x:v>
      </x:c>
    </x:row>
    <x:row r="698" ht="24" customHeight="1">
      <x:c r="A698" s="20" t="str">
        <x:v>IND|United States|Propaganda ecosystems</x:v>
      </x:c>
      <x:c r="B698" s="20" t="str">
        <x:v>India</x:v>
      </x:c>
      <x:c r="C698" s="20" t="str">
        <x:v>IND</x:v>
      </x:c>
      <x:c r="D698" s="20" t="str">
        <x:v>United States</x:v>
      </x:c>
      <x:c r="E698" s="20" t="str">
        <x:v>American influence</x:v>
      </x:c>
      <x:c r="F698" s="20" t="str">
        <x:v>Propaganda ecosystems</x:v>
      </x:c>
      <x:c r="G698" s="384" t="n">
        <x:v>3</x:v>
      </x:c>
      <x:c r="H698" s="396" t="n">
        <x:v>3</x:v>
      </x:c>
      <x:c r="I698" s="20" t="str">
        <x:v>USAGM public media source register</x:v>
      </x:c>
      <x:c r="J698" s="397" t="str">
        <x:v>https://www.usagm.gov/our-work/strategy-and-results/strategic-priorities/research-reports/</x:v>
      </x:c>
      <x:c r="K698" s="20" t="str">
        <x:v>Primary source-register URL; automated screening score</x:v>
      </x:c>
      <x:c r="L698" s="20" t="str">
        <x:v>2026-05-20</x:v>
      </x:c>
      <x:c r="M698" s="20" t="str">
        <x:v>2026-05-20</x:v>
      </x:c>
      <x:c r="N698" s="20" t="str">
        <x:v>GPT-5.5 Pro</x:v>
      </x:c>
      <x:c r="O698" s="20" t="str">
        <x:v>Needs review</x:v>
      </x:c>
      <x:c r="P698" s="20" t="str">
        <x:v>Screening score for United States / Propaganda ecosystems in India; verify with country-specific evidence before final use.</x:v>
      </x:c>
    </x:row>
    <x:row r="699" ht="24" customHeight="1">
      <x:c r="A699" s="20" t="str">
        <x:v>IND|United States|PMC presence</x:v>
      </x:c>
      <x:c r="B699" s="20" t="str">
        <x:v>India</x:v>
      </x:c>
      <x:c r="C699" s="20" t="str">
        <x:v>IND</x:v>
      </x:c>
      <x:c r="D699" s="20" t="str">
        <x:v>United States</x:v>
      </x:c>
      <x:c r="E699" s="20" t="str">
        <x:v>American influence</x:v>
      </x:c>
      <x:c r="F699" s="20" t="str">
        <x:v>PMC presence</x:v>
      </x:c>
      <x:c r="G699" s="384" t="n">
        <x:v>1</x:v>
      </x:c>
      <x:c r="H699" s="396" t="n">
        <x:v>2</x:v>
      </x:c>
      <x:c r="I699" s="20" t="str">
        <x:v>SAM/Greenbook U.S. security assistance contractor source register</x:v>
      </x:c>
      <x:c r="J699" s="397" t="str">
        <x:v>https://internationalpolicy.org/programs/sam/</x:v>
      </x:c>
      <x:c r="K699" s="20" t="str">
        <x:v>Primary source-register URL; automated screening score</x:v>
      </x:c>
      <x:c r="L699" s="20" t="str">
        <x:v>2026-05-20</x:v>
      </x:c>
      <x:c r="M699" s="20" t="str">
        <x:v>2026-05-20</x:v>
      </x:c>
      <x:c r="N699" s="20" t="str">
        <x:v>GPT-5.5 Pro</x:v>
      </x:c>
      <x:c r="O699" s="20" t="str">
        <x:v>Needs review</x:v>
      </x:c>
      <x:c r="P699" s="20" t="str">
        <x:v>Screening score for United States / PMC presence in India; verify with country-specific evidence before final use.</x:v>
      </x:c>
    </x:row>
    <x:row r="700" ht="24" customHeight="1">
      <x:c r="A700" s="20" t="str">
        <x:v>IND|United States|Election interference</x:v>
      </x:c>
      <x:c r="B700" s="20" t="str">
        <x:v>India</x:v>
      </x:c>
      <x:c r="C700" s="20" t="str">
        <x:v>IND</x:v>
      </x:c>
      <x:c r="D700" s="20" t="str">
        <x:v>United States</x:v>
      </x:c>
      <x:c r="E700" s="20" t="str">
        <x:v>American influence</x:v>
      </x:c>
      <x:c r="F700" s="20" t="str">
        <x:v>Election interference</x:v>
      </x:c>
      <x:c r="G700" s="384" t="n">
        <x:v>2</x:v>
      </x:c>
      <x:c r="H700" s="396" t="n">
        <x:v>2</x:v>
      </x:c>
      <x:c r="I700" s="20" t="str">
        <x:v>NED/Greenbook democracy assistance source register</x:v>
      </x:c>
      <x:c r="J700" s="397" t="str">
        <x:v>https://www.ned.org/ned-grantmaking/</x:v>
      </x:c>
      <x:c r="K700" s="20" t="str">
        <x:v>Primary source-register URL; automated screening score</x:v>
      </x:c>
      <x:c r="L700" s="20" t="str">
        <x:v>2026-05-20</x:v>
      </x:c>
      <x:c r="M700" s="20" t="str">
        <x:v>2026-05-20</x:v>
      </x:c>
      <x:c r="N700" s="20" t="str">
        <x:v>GPT-5.5 Pro</x:v>
      </x:c>
      <x:c r="O700" s="20" t="str">
        <x:v>Needs review</x:v>
      </x:c>
      <x:c r="P700" s="20" t="str">
        <x:v>Screening score for United States / Election interference in India; verify with country-specific evidence before final use.</x:v>
      </x:c>
    </x:row>
    <x:row r="701" ht="24" customHeight="1">
      <x:c r="A701" s="20" t="str">
        <x:v>IND|United States|Security contractors</x:v>
      </x:c>
      <x:c r="B701" s="20" t="str">
        <x:v>India</x:v>
      </x:c>
      <x:c r="C701" s="20" t="str">
        <x:v>IND</x:v>
      </x:c>
      <x:c r="D701" s="20" t="str">
        <x:v>United States</x:v>
      </x:c>
      <x:c r="E701" s="20" t="str">
        <x:v>American influence</x:v>
      </x:c>
      <x:c r="F701" s="20" t="str">
        <x:v>Security contractors</x:v>
      </x:c>
      <x:c r="G701" s="384" t="n">
        <x:v>5</x:v>
      </x:c>
      <x:c r="H701" s="396" t="n">
        <x:v>3</x:v>
      </x:c>
      <x:c r="I701" s="20" t="str">
        <x:v>SAM/Greenbook U.S. security contractor source register</x:v>
      </x:c>
      <x:c r="J701" s="397" t="str">
        <x:v>https://internationalpolicy.org/programs/sam/</x:v>
      </x:c>
      <x:c r="K701" s="20" t="str">
        <x:v>Primary source-register URL; automated screening score</x:v>
      </x:c>
      <x:c r="L701" s="20" t="str">
        <x:v>2026-05-20</x:v>
      </x:c>
      <x:c r="M701" s="20" t="str">
        <x:v>2026-05-20</x:v>
      </x:c>
      <x:c r="N701" s="20" t="str">
        <x:v>GPT-5.5 Pro</x:v>
      </x:c>
      <x:c r="O701" s="20" t="str">
        <x:v>Needs review</x:v>
      </x:c>
      <x:c r="P701" s="20" t="str">
        <x:v>Screening score for United States / Security contractors in India; verify with country-specific evidence before final use.</x:v>
      </x:c>
    </x:row>
    <x:row r="702" ht="24" customHeight="1">
      <x:c r="A702" s="20" t="str">
        <x:v>IND|European Union|Propaganda ecosystems</x:v>
      </x:c>
      <x:c r="B702" s="20" t="str">
        <x:v>India</x:v>
      </x:c>
      <x:c r="C702" s="20" t="str">
        <x:v>IND</x:v>
      </x:c>
      <x:c r="D702" s="20" t="str">
        <x:v>European Union</x:v>
      </x:c>
      <x:c r="E702" s="20" t="str">
        <x:v>EU influence</x:v>
      </x:c>
      <x:c r="F702" s="20" t="str">
        <x:v>Propaganda ecosystems</x:v>
      </x:c>
      <x:c r="G702" s="384" t="n">
        <x:v>2</x:v>
      </x:c>
      <x:c r="H702" s="396" t="n">
        <x:v>2</x:v>
      </x:c>
      <x:c r="I702" s="20" t="str">
        <x:v>EEAS public diplomacy source register</x:v>
      </x:c>
      <x:c r="J702" s="397" t="str">
        <x:v>https://www.eeas.europa.eu/eeas/public-diplomacy_en</x:v>
      </x:c>
      <x:c r="K702" s="20" t="str">
        <x:v>Primary source-register URL; automated screening score</x:v>
      </x:c>
      <x:c r="L702" s="20" t="str">
        <x:v>2026-05-20</x:v>
      </x:c>
      <x:c r="M702" s="20" t="str">
        <x:v>2026-05-20</x:v>
      </x:c>
      <x:c r="N702" s="20" t="str">
        <x:v>GPT-5.5 Pro</x:v>
      </x:c>
      <x:c r="O702" s="20" t="str">
        <x:v>Needs review</x:v>
      </x:c>
      <x:c r="P702" s="20" t="str">
        <x:v>Screening score for European Union / Propaganda ecosystems in India; verify with country-specific evidence before final use.</x:v>
      </x:c>
    </x:row>
    <x:row r="703" ht="24" customHeight="1">
      <x:c r="A703" s="20" t="str">
        <x:v>IND|European Union|PMC presence</x:v>
      </x:c>
      <x:c r="B703" s="20" t="str">
        <x:v>India</x:v>
      </x:c>
      <x:c r="C703" s="20" t="str">
        <x:v>IND</x:v>
      </x:c>
      <x:c r="D703" s="20" t="str">
        <x:v>European Union</x:v>
      </x:c>
      <x:c r="E703" s="20" t="str">
        <x:v>EU influence</x:v>
      </x:c>
      <x:c r="F703" s="20" t="str">
        <x:v>PMC presence</x:v>
      </x:c>
      <x:c r="G703" s="384" t="n">
        <x:v>0</x:v>
      </x:c>
      <x:c r="H703" s="396" t="n">
        <x:v>1</x:v>
      </x:c>
      <x:c r="I703" s="20" t="str">
        <x:v>EEAS CSDP missions source register</x:v>
      </x:c>
      <x:c r="J703" s="397" t="str">
        <x:v>https://www.eeas.europa.eu/eeas/missions-and-operations_en</x:v>
      </x:c>
      <x:c r="K703" s="20" t="str">
        <x:v>Primary source-register URL; automated screening score</x:v>
      </x:c>
      <x:c r="L703" s="20" t="str">
        <x:v>2026-05-20</x:v>
      </x:c>
      <x:c r="M703" s="20" t="str">
        <x:v>2026-05-20</x:v>
      </x:c>
      <x:c r="N703" s="20" t="str">
        <x:v>GPT-5.5 Pro</x:v>
      </x:c>
      <x:c r="O703" s="20" t="str">
        <x:v>Needs review</x:v>
      </x:c>
      <x:c r="P703" s="20" t="str">
        <x:v>Screening score for European Union / PMC presence in India; verify with country-specific evidence before final use.</x:v>
      </x:c>
    </x:row>
    <x:row r="704" ht="24" customHeight="1">
      <x:c r="A704" s="20" t="str">
        <x:v>IND|European Union|Election interference</x:v>
      </x:c>
      <x:c r="B704" s="20" t="str">
        <x:v>India</x:v>
      </x:c>
      <x:c r="C704" s="20" t="str">
        <x:v>IND</x:v>
      </x:c>
      <x:c r="D704" s="20" t="str">
        <x:v>European Union</x:v>
      </x:c>
      <x:c r="E704" s="20" t="str">
        <x:v>EU influence</x:v>
      </x:c>
      <x:c r="F704" s="20" t="str">
        <x:v>Election interference</x:v>
      </x:c>
      <x:c r="G704" s="384" t="n">
        <x:v>1</x:v>
      </x:c>
      <x:c r="H704" s="396" t="n">
        <x:v>2</x:v>
      </x:c>
      <x:c r="I704" s="20" t="str">
        <x:v>EEAS EU election observation source register</x:v>
      </x:c>
      <x:c r="J704" s="397" t="str">
        <x:v>https://www.eeas.europa.eu/eeas/eu-election-observation-missions-1_en?page_lang=en</x:v>
      </x:c>
      <x:c r="K704" s="20" t="str">
        <x:v>Primary source-register URL; automated screening score</x:v>
      </x:c>
      <x:c r="L704" s="20" t="str">
        <x:v>2026-05-20</x:v>
      </x:c>
      <x:c r="M704" s="20" t="str">
        <x:v>2026-05-20</x:v>
      </x:c>
      <x:c r="N704" s="20" t="str">
        <x:v>GPT-5.5 Pro</x:v>
      </x:c>
      <x:c r="O704" s="20" t="str">
        <x:v>Needs review</x:v>
      </x:c>
      <x:c r="P704" s="20" t="str">
        <x:v>Screening score for European Union / Election interference in India; verify with country-specific evidence before final use.</x:v>
      </x:c>
    </x:row>
    <x:row r="705" ht="24" customHeight="1">
      <x:c r="A705" s="20" t="str">
        <x:v>IND|European Union|Security contractors</x:v>
      </x:c>
      <x:c r="B705" s="20" t="str">
        <x:v>India</x:v>
      </x:c>
      <x:c r="C705" s="20" t="str">
        <x:v>IND</x:v>
      </x:c>
      <x:c r="D705" s="20" t="str">
        <x:v>European Union</x:v>
      </x:c>
      <x:c r="E705" s="20" t="str">
        <x:v>EU influence</x:v>
      </x:c>
      <x:c r="F705" s="20" t="str">
        <x:v>Security contractors</x:v>
      </x:c>
      <x:c r="G705" s="384" t="n">
        <x:v>2</x:v>
      </x:c>
      <x:c r="H705" s="396" t="n">
        <x:v>2</x:v>
      </x:c>
      <x:c r="I705" s="20" t="str">
        <x:v>EEAS CSDP / Global Gateway security source register</x:v>
      </x:c>
      <x:c r="J705" s="397" t="str">
        <x:v>https://www.eeas.europa.eu/eeas/missions-and-operations_en</x:v>
      </x:c>
      <x:c r="K705" s="20" t="str">
        <x:v>Primary source-register URL; automated screening score</x:v>
      </x:c>
      <x:c r="L705" s="20" t="str">
        <x:v>2026-05-20</x:v>
      </x:c>
      <x:c r="M705" s="20" t="str">
        <x:v>2026-05-20</x:v>
      </x:c>
      <x:c r="N705" s="20" t="str">
        <x:v>GPT-5.5 Pro</x:v>
      </x:c>
      <x:c r="O705" s="20" t="str">
        <x:v>Needs review</x:v>
      </x:c>
      <x:c r="P705" s="20" t="str">
        <x:v>Screening score for European Union / Security contractors in India; verify with country-specific evidence before final use.</x:v>
      </x:c>
    </x:row>
    <x:row r="706" ht="24" customHeight="1">
      <x:c r="A706" s="20" t="str">
        <x:v>IDN|Russia|Propaganda ecosystems</x:v>
      </x:c>
      <x:c r="B706" s="20" t="str">
        <x:v>Indonesia</x:v>
      </x:c>
      <x:c r="C706" s="20" t="str">
        <x:v>IDN</x:v>
      </x:c>
      <x:c r="D706" s="20" t="str">
        <x:v>Russia</x:v>
      </x:c>
      <x:c r="E706" s="20" t="str">
        <x:v>Russian influence</x:v>
      </x:c>
      <x:c r="F706" s="20" t="str">
        <x:v>Propaganda ecosystems</x:v>
      </x:c>
      <x:c r="G706" s="384" t="n">
        <x:v>2</x:v>
      </x:c>
      <x:c r="H706" s="396" t="n">
        <x:v>2</x:v>
      </x:c>
      <x:c r="I706" s="20" t="str">
        <x:v>EEAS/EUvsDisinfo FIMI source register</x:v>
      </x:c>
      <x:c r="J706" s="397" t="str">
        <x:v>https://www.eeas.europa.eu/eeas/4th-eeas-annual-report-foreign-information-manipulation-and-interference-threats_en</x:v>
      </x:c>
      <x:c r="K706" s="20" t="str">
        <x:v>Primary source-register URL; automated screening score</x:v>
      </x:c>
      <x:c r="L706" s="20" t="str">
        <x:v>2026-05-20</x:v>
      </x:c>
      <x:c r="M706" s="20" t="str">
        <x:v>2026-05-20</x:v>
      </x:c>
      <x:c r="N706" s="20" t="str">
        <x:v>GPT-5.5 Pro</x:v>
      </x:c>
      <x:c r="O706" s="20" t="str">
        <x:v>Needs review</x:v>
      </x:c>
      <x:c r="P706" s="20" t="str">
        <x:v>Screening score for Russia / Propaganda ecosystems in Indonesia; verify with country-specific evidence before final use.</x:v>
      </x:c>
    </x:row>
    <x:row r="707" ht="24" customHeight="1">
      <x:c r="A707" s="20" t="str">
        <x:v>IDN|Russia|PMC presence</x:v>
      </x:c>
      <x:c r="B707" s="20" t="str">
        <x:v>Indonesia</x:v>
      </x:c>
      <x:c r="C707" s="20" t="str">
        <x:v>IDN</x:v>
      </x:c>
      <x:c r="D707" s="20" t="str">
        <x:v>Russia</x:v>
      </x:c>
      <x:c r="E707" s="20" t="str">
        <x:v>Russian influence</x:v>
      </x:c>
      <x:c r="F707" s="20" t="str">
        <x:v>PMC presence</x:v>
      </x:c>
      <x:c r="G707" s="384" t="n">
        <x:v>0</x:v>
      </x:c>
      <x:c r="H707" s="396" t="n">
        <x:v>1</x:v>
      </x:c>
      <x:c r="I707" s="20" t="str">
        <x:v>Treasury and Council of the EU Wagner/PMC source register</x:v>
      </x:c>
      <x:c r="J707" s="397" t="str">
        <x:v>https://www.consilium.europa.eu/en/press/press-releases/2023/02/25/wagner-group-council-adds-11-individuals-and-7-entities-to-eu-sanctions-lists/</x:v>
      </x:c>
      <x:c r="K707" s="20" t="str">
        <x:v>Primary source-register URL; automated screening score</x:v>
      </x:c>
      <x:c r="L707" s="20" t="str">
        <x:v>2026-05-20</x:v>
      </x:c>
      <x:c r="M707" s="20" t="str">
        <x:v>2026-05-20</x:v>
      </x:c>
      <x:c r="N707" s="20" t="str">
        <x:v>GPT-5.5 Pro</x:v>
      </x:c>
      <x:c r="O707" s="20" t="str">
        <x:v>Needs review</x:v>
      </x:c>
      <x:c r="P707" s="20" t="str">
        <x:v>Screening score for Russia / PMC presence in Indonesia; verify with country-specific evidence before final use.</x:v>
      </x:c>
    </x:row>
    <x:row r="708" ht="24" customHeight="1">
      <x:c r="A708" s="20" t="str">
        <x:v>IDN|Russia|Election interference</x:v>
      </x:c>
      <x:c r="B708" s="20" t="str">
        <x:v>Indonesia</x:v>
      </x:c>
      <x:c r="C708" s="20" t="str">
        <x:v>IDN</x:v>
      </x:c>
      <x:c r="D708" s="20" t="str">
        <x:v>Russia</x:v>
      </x:c>
      <x:c r="E708" s="20" t="str">
        <x:v>Russian influence</x:v>
      </x:c>
      <x:c r="F708" s="20" t="str">
        <x:v>Election interference</x:v>
      </x:c>
      <x:c r="G708" s="384" t="n">
        <x:v>0</x:v>
      </x:c>
      <x:c r="H708" s="396" t="n">
        <x:v>1</x:v>
      </x:c>
      <x:c r="I708" s="20" t="str">
        <x:v>ODNI/EEAS election-FIMI source register</x:v>
      </x:c>
      <x:c r="J708" s="397" t="str">
        <x:v>https://www.dni.gov/files/ODNI/documents/assessments/ATA-2026-Unclassified-Report.pdf</x:v>
      </x:c>
      <x:c r="K708" s="20" t="str">
        <x:v>Primary source-register URL; automated screening score</x:v>
      </x:c>
      <x:c r="L708" s="20" t="str">
        <x:v>2026-05-20</x:v>
      </x:c>
      <x:c r="M708" s="20" t="str">
        <x:v>2026-05-20</x:v>
      </x:c>
      <x:c r="N708" s="20" t="str">
        <x:v>GPT-5.5 Pro</x:v>
      </x:c>
      <x:c r="O708" s="20" t="str">
        <x:v>Needs review</x:v>
      </x:c>
      <x:c r="P708" s="20" t="str">
        <x:v>Screening score for Russia / Election interference in Indonesia; verify with country-specific evidence before final use.</x:v>
      </x:c>
    </x:row>
    <x:row r="709" ht="24" customHeight="1">
      <x:c r="A709" s="20" t="str">
        <x:v>IDN|Russia|Security contractors</x:v>
      </x:c>
      <x:c r="B709" s="20" t="str">
        <x:v>Indonesia</x:v>
      </x:c>
      <x:c r="C709" s="20" t="str">
        <x:v>IDN</x:v>
      </x:c>
      <x:c r="D709" s="20" t="str">
        <x:v>Russia</x:v>
      </x:c>
      <x:c r="E709" s="20" t="str">
        <x:v>Russian influence</x:v>
      </x:c>
      <x:c r="F709" s="20" t="str">
        <x:v>Security contractors</x:v>
      </x:c>
      <x:c r="G709" s="384" t="n">
        <x:v>0</x:v>
      </x:c>
      <x:c r="H709" s="396" t="n">
        <x:v>1</x:v>
      </x:c>
      <x:c r="I709" s="20" t="str">
        <x:v>Council of the EU/Treasury Wagner-security source register</x:v>
      </x:c>
      <x:c r="J709" s="397" t="str">
        <x:v>https://www.consilium.europa.eu/en/press/press-releases/2023/02/25/wagner-group-council-adds-11-individuals-and-7-entities-to-eu-sanctions-lists/</x:v>
      </x:c>
      <x:c r="K709" s="20" t="str">
        <x:v>Primary source-register URL; automated screening score</x:v>
      </x:c>
      <x:c r="L709" s="20" t="str">
        <x:v>2026-05-20</x:v>
      </x:c>
      <x:c r="M709" s="20" t="str">
        <x:v>2026-05-20</x:v>
      </x:c>
      <x:c r="N709" s="20" t="str">
        <x:v>GPT-5.5 Pro</x:v>
      </x:c>
      <x:c r="O709" s="20" t="str">
        <x:v>Needs review</x:v>
      </x:c>
      <x:c r="P709" s="20" t="str">
        <x:v>Screening score for Russia / Security contractors in Indonesia; verify with country-specific evidence before final use.</x:v>
      </x:c>
    </x:row>
    <x:row r="710" ht="24" customHeight="1">
      <x:c r="A710" s="20" t="str">
        <x:v>IDN|China|Propaganda ecosystems</x:v>
      </x:c>
      <x:c r="B710" s="20" t="str">
        <x:v>Indonesia</x:v>
      </x:c>
      <x:c r="C710" s="20" t="str">
        <x:v>IDN</x:v>
      </x:c>
      <x:c r="D710" s="20" t="str">
        <x:v>China</x:v>
      </x:c>
      <x:c r="E710" s="20" t="str">
        <x:v>Chinese influence</x:v>
      </x:c>
      <x:c r="F710" s="20" t="str">
        <x:v>Propaganda ecosystems</x:v>
      </x:c>
      <x:c r="G710" s="384" t="n">
        <x:v>6</x:v>
      </x:c>
      <x:c r="H710" s="396" t="n">
        <x:v>4</x:v>
      </x:c>
      <x:c r="I710" s="20" t="str">
        <x:v>EEAS/ODNI China FIMI source register</x:v>
      </x:c>
      <x:c r="J710" s="397" t="str">
        <x:v>https://www.eeas.europa.eu/eeas/4th-eeas-annual-report-foreign-information-manipulation-and-interference-threats_en</x:v>
      </x:c>
      <x:c r="K710" s="20" t="str">
        <x:v>Primary source-register URL; automated screening score</x:v>
      </x:c>
      <x:c r="L710" s="20" t="str">
        <x:v>2026-05-20</x:v>
      </x:c>
      <x:c r="M710" s="20" t="str">
        <x:v>2026-05-20</x:v>
      </x:c>
      <x:c r="N710" s="20" t="str">
        <x:v>GPT-5.5 Pro</x:v>
      </x:c>
      <x:c r="O710" s="20" t="str">
        <x:v>Needs review</x:v>
      </x:c>
      <x:c r="P710" s="20" t="str">
        <x:v>Screening score for China / Propaganda ecosystems in Indonesia; verify with country-specific evidence before final use.</x:v>
      </x:c>
    </x:row>
    <x:row r="711" ht="24" customHeight="1">
      <x:c r="A711" s="20" t="str">
        <x:v>IDN|China|PMC presence</x:v>
      </x:c>
      <x:c r="B711" s="20" t="str">
        <x:v>Indonesia</x:v>
      </x:c>
      <x:c r="C711" s="20" t="str">
        <x:v>IDN</x:v>
      </x:c>
      <x:c r="D711" s="20" t="str">
        <x:v>China</x:v>
      </x:c>
      <x:c r="E711" s="20" t="str">
        <x:v>Chinese influence</x:v>
      </x:c>
      <x:c r="F711" s="20" t="str">
        <x:v>PMC presence</x:v>
      </x:c>
      <x:c r="G711" s="384" t="n">
        <x:v>1</x:v>
      </x:c>
      <x:c r="H711" s="396" t="n">
        <x:v>2</x:v>
      </x:c>
      <x:c r="I711" s="20" t="str">
        <x:v>MERICS/Carnegie Chinese overseas PSC source register</x:v>
      </x:c>
      <x:c r="J711" s="397" t="str">
        <x:v>https://merics.org/en/report/guardians-belt-and-road</x:v>
      </x:c>
      <x:c r="K711" s="20" t="str">
        <x:v>Primary source-register URL; automated screening score</x:v>
      </x:c>
      <x:c r="L711" s="20" t="str">
        <x:v>2026-05-20</x:v>
      </x:c>
      <x:c r="M711" s="20" t="str">
        <x:v>2026-05-20</x:v>
      </x:c>
      <x:c r="N711" s="20" t="str">
        <x:v>GPT-5.5 Pro</x:v>
      </x:c>
      <x:c r="O711" s="20" t="str">
        <x:v>Needs review</x:v>
      </x:c>
      <x:c r="P711" s="20" t="str">
        <x:v>Screening score for China / PMC presence in Indonesia; verify with country-specific evidence before final use.</x:v>
      </x:c>
    </x:row>
    <x:row r="712" ht="24" customHeight="1">
      <x:c r="A712" s="20" t="str">
        <x:v>IDN|China|Election interference</x:v>
      </x:c>
      <x:c r="B712" s="20" t="str">
        <x:v>Indonesia</x:v>
      </x:c>
      <x:c r="C712" s="20" t="str">
        <x:v>IDN</x:v>
      </x:c>
      <x:c r="D712" s="20" t="str">
        <x:v>China</x:v>
      </x:c>
      <x:c r="E712" s="20" t="str">
        <x:v>Chinese influence</x:v>
      </x:c>
      <x:c r="F712" s="20" t="str">
        <x:v>Election interference</x:v>
      </x:c>
      <x:c r="G712" s="384" t="n">
        <x:v>3</x:v>
      </x:c>
      <x:c r="H712" s="396" t="n">
        <x:v>3</x:v>
      </x:c>
      <x:c r="I712" s="20" t="str">
        <x:v>EEAS/ODNI China election-FIMI source register</x:v>
      </x:c>
      <x:c r="J712" s="397" t="str">
        <x:v>https://www.eeas.europa.eu/eeas/4th-eeas-annual-report-foreign-information-manipulation-and-interference-threats_en</x:v>
      </x:c>
      <x:c r="K712" s="20" t="str">
        <x:v>Primary source-register URL; automated screening score</x:v>
      </x:c>
      <x:c r="L712" s="20" t="str">
        <x:v>2026-05-20</x:v>
      </x:c>
      <x:c r="M712" s="20" t="str">
        <x:v>2026-05-20</x:v>
      </x:c>
      <x:c r="N712" s="20" t="str">
        <x:v>GPT-5.5 Pro</x:v>
      </x:c>
      <x:c r="O712" s="20" t="str">
        <x:v>Needs review</x:v>
      </x:c>
      <x:c r="P712" s="20" t="str">
        <x:v>Screening score for China / Election interference in Indonesia; verify with country-specific evidence before final use.</x:v>
      </x:c>
    </x:row>
    <x:row r="713" ht="24" customHeight="1">
      <x:c r="A713" s="20" t="str">
        <x:v>IDN|China|Security contractors</x:v>
      </x:c>
      <x:c r="B713" s="20" t="str">
        <x:v>Indonesia</x:v>
      </x:c>
      <x:c r="C713" s="20" t="str">
        <x:v>IDN</x:v>
      </x:c>
      <x:c r="D713" s="20" t="str">
        <x:v>China</x:v>
      </x:c>
      <x:c r="E713" s="20" t="str">
        <x:v>Chinese influence</x:v>
      </x:c>
      <x:c r="F713" s="20" t="str">
        <x:v>Security contractors</x:v>
      </x:c>
      <x:c r="G713" s="384" t="n">
        <x:v>3</x:v>
      </x:c>
      <x:c r="H713" s="396" t="n">
        <x:v>3</x:v>
      </x:c>
      <x:c r="I713" s="20" t="str">
        <x:v>MERICS/Carnegie Chinese security contractor source register</x:v>
      </x:c>
      <x:c r="J713" s="397" t="str">
        <x:v>https://merics.org/en/report/guardians-belt-and-road</x:v>
      </x:c>
      <x:c r="K713" s="20" t="str">
        <x:v>Primary source-register URL; automated screening score</x:v>
      </x:c>
      <x:c r="L713" s="20" t="str">
        <x:v>2026-05-20</x:v>
      </x:c>
      <x:c r="M713" s="20" t="str">
        <x:v>2026-05-20</x:v>
      </x:c>
      <x:c r="N713" s="20" t="str">
        <x:v>GPT-5.5 Pro</x:v>
      </x:c>
      <x:c r="O713" s="20" t="str">
        <x:v>Needs review</x:v>
      </x:c>
      <x:c r="P713" s="20" t="str">
        <x:v>Screening score for China / Security contractors in Indonesia; verify with country-specific evidence before final use.</x:v>
      </x:c>
    </x:row>
    <x:row r="714" ht="24" customHeight="1">
      <x:c r="A714" s="20" t="str">
        <x:v>IDN|United States|Propaganda ecosystems</x:v>
      </x:c>
      <x:c r="B714" s="20" t="str">
        <x:v>Indonesia</x:v>
      </x:c>
      <x:c r="C714" s="20" t="str">
        <x:v>IDN</x:v>
      </x:c>
      <x:c r="D714" s="20" t="str">
        <x:v>United States</x:v>
      </x:c>
      <x:c r="E714" s="20" t="str">
        <x:v>American influence</x:v>
      </x:c>
      <x:c r="F714" s="20" t="str">
        <x:v>Propaganda ecosystems</x:v>
      </x:c>
      <x:c r="G714" s="384" t="n">
        <x:v>3</x:v>
      </x:c>
      <x:c r="H714" s="396" t="n">
        <x:v>3</x:v>
      </x:c>
      <x:c r="I714" s="20" t="str">
        <x:v>USAGM public media source register</x:v>
      </x:c>
      <x:c r="J714" s="397" t="str">
        <x:v>https://www.usagm.gov/our-work/strategy-and-results/strategic-priorities/research-reports/</x:v>
      </x:c>
      <x:c r="K714" s="20" t="str">
        <x:v>Primary source-register URL; automated screening score</x:v>
      </x:c>
      <x:c r="L714" s="20" t="str">
        <x:v>2026-05-20</x:v>
      </x:c>
      <x:c r="M714" s="20" t="str">
        <x:v>2026-05-20</x:v>
      </x:c>
      <x:c r="N714" s="20" t="str">
        <x:v>GPT-5.5 Pro</x:v>
      </x:c>
      <x:c r="O714" s="20" t="str">
        <x:v>Needs review</x:v>
      </x:c>
      <x:c r="P714" s="20" t="str">
        <x:v>Screening score for United States / Propaganda ecosystems in Indonesia; verify with country-specific evidence before final use.</x:v>
      </x:c>
    </x:row>
    <x:row r="715" ht="24" customHeight="1">
      <x:c r="A715" s="20" t="str">
        <x:v>IDN|United States|PMC presence</x:v>
      </x:c>
      <x:c r="B715" s="20" t="str">
        <x:v>Indonesia</x:v>
      </x:c>
      <x:c r="C715" s="20" t="str">
        <x:v>IDN</x:v>
      </x:c>
      <x:c r="D715" s="20" t="str">
        <x:v>United States</x:v>
      </x:c>
      <x:c r="E715" s="20" t="str">
        <x:v>American influence</x:v>
      </x:c>
      <x:c r="F715" s="20" t="str">
        <x:v>PMC presence</x:v>
      </x:c>
      <x:c r="G715" s="384" t="n">
        <x:v>1</x:v>
      </x:c>
      <x:c r="H715" s="396" t="n">
        <x:v>2</x:v>
      </x:c>
      <x:c r="I715" s="20" t="str">
        <x:v>SAM/Greenbook U.S. security assistance contractor source register</x:v>
      </x:c>
      <x:c r="J715" s="397" t="str">
        <x:v>https://internationalpolicy.org/programs/sam/</x:v>
      </x:c>
      <x:c r="K715" s="20" t="str">
        <x:v>Primary source-register URL; automated screening score</x:v>
      </x:c>
      <x:c r="L715" s="20" t="str">
        <x:v>2026-05-20</x:v>
      </x:c>
      <x:c r="M715" s="20" t="str">
        <x:v>2026-05-20</x:v>
      </x:c>
      <x:c r="N715" s="20" t="str">
        <x:v>GPT-5.5 Pro</x:v>
      </x:c>
      <x:c r="O715" s="20" t="str">
        <x:v>Needs review</x:v>
      </x:c>
      <x:c r="P715" s="20" t="str">
        <x:v>Screening score for United States / PMC presence in Indonesia; verify with country-specific evidence before final use.</x:v>
      </x:c>
    </x:row>
    <x:row r="716" ht="24" customHeight="1">
      <x:c r="A716" s="20" t="str">
        <x:v>IDN|United States|Election interference</x:v>
      </x:c>
      <x:c r="B716" s="20" t="str">
        <x:v>Indonesia</x:v>
      </x:c>
      <x:c r="C716" s="20" t="str">
        <x:v>IDN</x:v>
      </x:c>
      <x:c r="D716" s="20" t="str">
        <x:v>United States</x:v>
      </x:c>
      <x:c r="E716" s="20" t="str">
        <x:v>American influence</x:v>
      </x:c>
      <x:c r="F716" s="20" t="str">
        <x:v>Election interference</x:v>
      </x:c>
      <x:c r="G716" s="384" t="n">
        <x:v>2</x:v>
      </x:c>
      <x:c r="H716" s="396" t="n">
        <x:v>2</x:v>
      </x:c>
      <x:c r="I716" s="20" t="str">
        <x:v>NED/Greenbook democracy assistance source register</x:v>
      </x:c>
      <x:c r="J716" s="397" t="str">
        <x:v>https://www.ned.org/ned-grantmaking/</x:v>
      </x:c>
      <x:c r="K716" s="20" t="str">
        <x:v>Primary source-register URL; automated screening score</x:v>
      </x:c>
      <x:c r="L716" s="20" t="str">
        <x:v>2026-05-20</x:v>
      </x:c>
      <x:c r="M716" s="20" t="str">
        <x:v>2026-05-20</x:v>
      </x:c>
      <x:c r="N716" s="20" t="str">
        <x:v>GPT-5.5 Pro</x:v>
      </x:c>
      <x:c r="O716" s="20" t="str">
        <x:v>Needs review</x:v>
      </x:c>
      <x:c r="P716" s="20" t="str">
        <x:v>Screening score for United States / Election interference in Indonesia; verify with country-specific evidence before final use.</x:v>
      </x:c>
    </x:row>
    <x:row r="717" ht="24" customHeight="1">
      <x:c r="A717" s="20" t="str">
        <x:v>IDN|United States|Security contractors</x:v>
      </x:c>
      <x:c r="B717" s="20" t="str">
        <x:v>Indonesia</x:v>
      </x:c>
      <x:c r="C717" s="20" t="str">
        <x:v>IDN</x:v>
      </x:c>
      <x:c r="D717" s="20" t="str">
        <x:v>United States</x:v>
      </x:c>
      <x:c r="E717" s="20" t="str">
        <x:v>American influence</x:v>
      </x:c>
      <x:c r="F717" s="20" t="str">
        <x:v>Security contractors</x:v>
      </x:c>
      <x:c r="G717" s="384" t="n">
        <x:v>2</x:v>
      </x:c>
      <x:c r="H717" s="396" t="n">
        <x:v>2</x:v>
      </x:c>
      <x:c r="I717" s="20" t="str">
        <x:v>SAM/Greenbook U.S. security contractor source register</x:v>
      </x:c>
      <x:c r="J717" s="397" t="str">
        <x:v>https://internationalpolicy.org/programs/sam/</x:v>
      </x:c>
      <x:c r="K717" s="20" t="str">
        <x:v>Primary source-register URL; automated screening score</x:v>
      </x:c>
      <x:c r="L717" s="20" t="str">
        <x:v>2026-05-20</x:v>
      </x:c>
      <x:c r="M717" s="20" t="str">
        <x:v>2026-05-20</x:v>
      </x:c>
      <x:c r="N717" s="20" t="str">
        <x:v>GPT-5.5 Pro</x:v>
      </x:c>
      <x:c r="O717" s="20" t="str">
        <x:v>Needs review</x:v>
      </x:c>
      <x:c r="P717" s="20" t="str">
        <x:v>Screening score for United States / Security contractors in Indonesia; verify with country-specific evidence before final use.</x:v>
      </x:c>
    </x:row>
    <x:row r="718" ht="24" customHeight="1">
      <x:c r="A718" s="20" t="str">
        <x:v>IDN|European Union|Propaganda ecosystems</x:v>
      </x:c>
      <x:c r="B718" s="20" t="str">
        <x:v>Indonesia</x:v>
      </x:c>
      <x:c r="C718" s="20" t="str">
        <x:v>IDN</x:v>
      </x:c>
      <x:c r="D718" s="20" t="str">
        <x:v>European Union</x:v>
      </x:c>
      <x:c r="E718" s="20" t="str">
        <x:v>EU influence</x:v>
      </x:c>
      <x:c r="F718" s="20" t="str">
        <x:v>Propaganda ecosystems</x:v>
      </x:c>
      <x:c r="G718" s="384" t="n">
        <x:v>2</x:v>
      </x:c>
      <x:c r="H718" s="396" t="n">
        <x:v>2</x:v>
      </x:c>
      <x:c r="I718" s="20" t="str">
        <x:v>EEAS public diplomacy source register</x:v>
      </x:c>
      <x:c r="J718" s="397" t="str">
        <x:v>https://www.eeas.europa.eu/eeas/public-diplomacy_en</x:v>
      </x:c>
      <x:c r="K718" s="20" t="str">
        <x:v>Primary source-register URL; automated screening score</x:v>
      </x:c>
      <x:c r="L718" s="20" t="str">
        <x:v>2026-05-20</x:v>
      </x:c>
      <x:c r="M718" s="20" t="str">
        <x:v>2026-05-20</x:v>
      </x:c>
      <x:c r="N718" s="20" t="str">
        <x:v>GPT-5.5 Pro</x:v>
      </x:c>
      <x:c r="O718" s="20" t="str">
        <x:v>Needs review</x:v>
      </x:c>
      <x:c r="P718" s="20" t="str">
        <x:v>Screening score for European Union / Propaganda ecosystems in Indonesia; verify with country-specific evidence before final use.</x:v>
      </x:c>
    </x:row>
    <x:row r="719" ht="24" customHeight="1">
      <x:c r="A719" s="20" t="str">
        <x:v>IDN|European Union|PMC presence</x:v>
      </x:c>
      <x:c r="B719" s="20" t="str">
        <x:v>Indonesia</x:v>
      </x:c>
      <x:c r="C719" s="20" t="str">
        <x:v>IDN</x:v>
      </x:c>
      <x:c r="D719" s="20" t="str">
        <x:v>European Union</x:v>
      </x:c>
      <x:c r="E719" s="20" t="str">
        <x:v>EU influence</x:v>
      </x:c>
      <x:c r="F719" s="20" t="str">
        <x:v>PMC presence</x:v>
      </x:c>
      <x:c r="G719" s="384" t="n">
        <x:v>0</x:v>
      </x:c>
      <x:c r="H719" s="396" t="n">
        <x:v>1</x:v>
      </x:c>
      <x:c r="I719" s="20" t="str">
        <x:v>EEAS CSDP missions source register</x:v>
      </x:c>
      <x:c r="J719" s="397" t="str">
        <x:v>https://www.eeas.europa.eu/eeas/missions-and-operations_en</x:v>
      </x:c>
      <x:c r="K719" s="20" t="str">
        <x:v>Primary source-register URL; automated screening score</x:v>
      </x:c>
      <x:c r="L719" s="20" t="str">
        <x:v>2026-05-20</x:v>
      </x:c>
      <x:c r="M719" s="20" t="str">
        <x:v>2026-05-20</x:v>
      </x:c>
      <x:c r="N719" s="20" t="str">
        <x:v>GPT-5.5 Pro</x:v>
      </x:c>
      <x:c r="O719" s="20" t="str">
        <x:v>Needs review</x:v>
      </x:c>
      <x:c r="P719" s="20" t="str">
        <x:v>Screening score for European Union / PMC presence in Indonesia; verify with country-specific evidence before final use.</x:v>
      </x:c>
    </x:row>
    <x:row r="720" ht="24" customHeight="1">
      <x:c r="A720" s="20" t="str">
        <x:v>IDN|European Union|Election interference</x:v>
      </x:c>
      <x:c r="B720" s="20" t="str">
        <x:v>Indonesia</x:v>
      </x:c>
      <x:c r="C720" s="20" t="str">
        <x:v>IDN</x:v>
      </x:c>
      <x:c r="D720" s="20" t="str">
        <x:v>European Union</x:v>
      </x:c>
      <x:c r="E720" s="20" t="str">
        <x:v>EU influence</x:v>
      </x:c>
      <x:c r="F720" s="20" t="str">
        <x:v>Election interference</x:v>
      </x:c>
      <x:c r="G720" s="384" t="n">
        <x:v>1</x:v>
      </x:c>
      <x:c r="H720" s="396" t="n">
        <x:v>2</x:v>
      </x:c>
      <x:c r="I720" s="20" t="str">
        <x:v>EEAS EU election observation source register</x:v>
      </x:c>
      <x:c r="J720" s="397" t="str">
        <x:v>https://www.eeas.europa.eu/eeas/eu-election-observation-missions-1_en?page_lang=en</x:v>
      </x:c>
      <x:c r="K720" s="20" t="str">
        <x:v>Primary source-register URL; automated screening score</x:v>
      </x:c>
      <x:c r="L720" s="20" t="str">
        <x:v>2026-05-20</x:v>
      </x:c>
      <x:c r="M720" s="20" t="str">
        <x:v>2026-05-20</x:v>
      </x:c>
      <x:c r="N720" s="20" t="str">
        <x:v>GPT-5.5 Pro</x:v>
      </x:c>
      <x:c r="O720" s="20" t="str">
        <x:v>Needs review</x:v>
      </x:c>
      <x:c r="P720" s="20" t="str">
        <x:v>Screening score for European Union / Election interference in Indonesia; verify with country-specific evidence before final use.</x:v>
      </x:c>
    </x:row>
    <x:row r="721" ht="24" customHeight="1">
      <x:c r="A721" s="20" t="str">
        <x:v>IDN|European Union|Security contractors</x:v>
      </x:c>
      <x:c r="B721" s="20" t="str">
        <x:v>Indonesia</x:v>
      </x:c>
      <x:c r="C721" s="20" t="str">
        <x:v>IDN</x:v>
      </x:c>
      <x:c r="D721" s="20" t="str">
        <x:v>European Union</x:v>
      </x:c>
      <x:c r="E721" s="20" t="str">
        <x:v>EU influence</x:v>
      </x:c>
      <x:c r="F721" s="20" t="str">
        <x:v>Security contractors</x:v>
      </x:c>
      <x:c r="G721" s="384" t="n">
        <x:v>2</x:v>
      </x:c>
      <x:c r="H721" s="396" t="n">
        <x:v>2</x:v>
      </x:c>
      <x:c r="I721" s="20" t="str">
        <x:v>EEAS CSDP / Global Gateway security source register</x:v>
      </x:c>
      <x:c r="J721" s="397" t="str">
        <x:v>https://www.eeas.europa.eu/eeas/missions-and-operations_en</x:v>
      </x:c>
      <x:c r="K721" s="20" t="str">
        <x:v>Primary source-register URL; automated screening score</x:v>
      </x:c>
      <x:c r="L721" s="20" t="str">
        <x:v>2026-05-20</x:v>
      </x:c>
      <x:c r="M721" s="20" t="str">
        <x:v>2026-05-20</x:v>
      </x:c>
      <x:c r="N721" s="20" t="str">
        <x:v>GPT-5.5 Pro</x:v>
      </x:c>
      <x:c r="O721" s="20" t="str">
        <x:v>Needs review</x:v>
      </x:c>
      <x:c r="P721" s="20" t="str">
        <x:v>Screening score for European Union / Security contractors in Indonesia; verify with country-specific evidence before final use.</x:v>
      </x:c>
    </x:row>
    <x:row r="722" ht="24" customHeight="1">
      <x:c r="A722" s="20" t="str">
        <x:v>IRN|Russia|Propaganda ecosystems</x:v>
      </x:c>
      <x:c r="B722" s="20" t="str">
        <x:v>Iran</x:v>
      </x:c>
      <x:c r="C722" s="20" t="str">
        <x:v>IRN</x:v>
      </x:c>
      <x:c r="D722" s="20" t="str">
        <x:v>Russia</x:v>
      </x:c>
      <x:c r="E722" s="20" t="str">
        <x:v>Russian influence</x:v>
      </x:c>
      <x:c r="F722" s="20" t="str">
        <x:v>Propaganda ecosystems</x:v>
      </x:c>
      <x:c r="G722" s="384" t="n">
        <x:v>7</x:v>
      </x:c>
      <x:c r="H722" s="396" t="n">
        <x:v>4</x:v>
      </x:c>
      <x:c r="I722" s="20" t="str">
        <x:v>EEAS/EUvsDisinfo FIMI source register</x:v>
      </x:c>
      <x:c r="J722" s="397" t="str">
        <x:v>https://www.eeas.europa.eu/eeas/4th-eeas-annual-report-foreign-information-manipulation-and-interference-threats_en</x:v>
      </x:c>
      <x:c r="K722" s="20" t="str">
        <x:v>Primary source-register URL; automated screening score</x:v>
      </x:c>
      <x:c r="L722" s="20" t="str">
        <x:v>2026-05-20</x:v>
      </x:c>
      <x:c r="M722" s="20" t="str">
        <x:v>2026-05-20</x:v>
      </x:c>
      <x:c r="N722" s="20" t="str">
        <x:v>GPT-5.5 Pro</x:v>
      </x:c>
      <x:c r="O722" s="20" t="str">
        <x:v>Needs review</x:v>
      </x:c>
      <x:c r="P722" s="20" t="str">
        <x:v>Screening score for Russia / Propaganda ecosystems in Iran; verify with country-specific evidence before final use.</x:v>
      </x:c>
    </x:row>
    <x:row r="723" ht="24" customHeight="1">
      <x:c r="A723" s="20" t="str">
        <x:v>IRN|Russia|PMC presence</x:v>
      </x:c>
      <x:c r="B723" s="20" t="str">
        <x:v>Iran</x:v>
      </x:c>
      <x:c r="C723" s="20" t="str">
        <x:v>IRN</x:v>
      </x:c>
      <x:c r="D723" s="20" t="str">
        <x:v>Russia</x:v>
      </x:c>
      <x:c r="E723" s="20" t="str">
        <x:v>Russian influence</x:v>
      </x:c>
      <x:c r="F723" s="20" t="str">
        <x:v>PMC presence</x:v>
      </x:c>
      <x:c r="G723" s="384" t="n">
        <x:v>2</x:v>
      </x:c>
      <x:c r="H723" s="396" t="n">
        <x:v>2</x:v>
      </x:c>
      <x:c r="I723" s="20" t="str">
        <x:v>Treasury and Council of the EU Wagner/PMC source register</x:v>
      </x:c>
      <x:c r="J723" s="397" t="str">
        <x:v>https://www.consilium.europa.eu/en/press/press-releases/2023/02/25/wagner-group-council-adds-11-individuals-and-7-entities-to-eu-sanctions-lists/</x:v>
      </x:c>
      <x:c r="K723" s="20" t="str">
        <x:v>Primary source-register URL; automated screening score</x:v>
      </x:c>
      <x:c r="L723" s="20" t="str">
        <x:v>2026-05-20</x:v>
      </x:c>
      <x:c r="M723" s="20" t="str">
        <x:v>2026-05-20</x:v>
      </x:c>
      <x:c r="N723" s="20" t="str">
        <x:v>GPT-5.5 Pro</x:v>
      </x:c>
      <x:c r="O723" s="20" t="str">
        <x:v>Needs review</x:v>
      </x:c>
      <x:c r="P723" s="20" t="str">
        <x:v>Screening score for Russia / PMC presence in Iran; verify with country-specific evidence before final use.</x:v>
      </x:c>
    </x:row>
    <x:row r="724" ht="24" customHeight="1">
      <x:c r="A724" s="20" t="str">
        <x:v>IRN|Russia|Election interference</x:v>
      </x:c>
      <x:c r="B724" s="20" t="str">
        <x:v>Iran</x:v>
      </x:c>
      <x:c r="C724" s="20" t="str">
        <x:v>IRN</x:v>
      </x:c>
      <x:c r="D724" s="20" t="str">
        <x:v>Russia</x:v>
      </x:c>
      <x:c r="E724" s="20" t="str">
        <x:v>Russian influence</x:v>
      </x:c>
      <x:c r="F724" s="20" t="str">
        <x:v>Election interference</x:v>
      </x:c>
      <x:c r="G724" s="384" t="n">
        <x:v>3</x:v>
      </x:c>
      <x:c r="H724" s="396" t="n">
        <x:v>3</x:v>
      </x:c>
      <x:c r="I724" s="20" t="str">
        <x:v>ODNI/EEAS election-FIMI source register</x:v>
      </x:c>
      <x:c r="J724" s="397" t="str">
        <x:v>https://www.dni.gov/files/ODNI/documents/assessments/ATA-2026-Unclassified-Report.pdf</x:v>
      </x:c>
      <x:c r="K724" s="20" t="str">
        <x:v>Primary source-register URL; automated screening score</x:v>
      </x:c>
      <x:c r="L724" s="20" t="str">
        <x:v>2026-05-20</x:v>
      </x:c>
      <x:c r="M724" s="20" t="str">
        <x:v>2026-05-20</x:v>
      </x:c>
      <x:c r="N724" s="20" t="str">
        <x:v>GPT-5.5 Pro</x:v>
      </x:c>
      <x:c r="O724" s="20" t="str">
        <x:v>Needs review</x:v>
      </x:c>
      <x:c r="P724" s="20" t="str">
        <x:v>Screening score for Russia / Election interference in Iran; verify with country-specific evidence before final use.</x:v>
      </x:c>
    </x:row>
    <x:row r="725" ht="24" customHeight="1">
      <x:c r="A725" s="20" t="str">
        <x:v>IRN|Russia|Security contractors</x:v>
      </x:c>
      <x:c r="B725" s="20" t="str">
        <x:v>Iran</x:v>
      </x:c>
      <x:c r="C725" s="20" t="str">
        <x:v>IRN</x:v>
      </x:c>
      <x:c r="D725" s="20" t="str">
        <x:v>Russia</x:v>
      </x:c>
      <x:c r="E725" s="20" t="str">
        <x:v>Russian influence</x:v>
      </x:c>
      <x:c r="F725" s="20" t="str">
        <x:v>Security contractors</x:v>
      </x:c>
      <x:c r="G725" s="384" t="n">
        <x:v>3</x:v>
      </x:c>
      <x:c r="H725" s="396" t="n">
        <x:v>3</x:v>
      </x:c>
      <x:c r="I725" s="20" t="str">
        <x:v>Council of the EU/Treasury Wagner-security source register</x:v>
      </x:c>
      <x:c r="J725" s="397" t="str">
        <x:v>https://www.consilium.europa.eu/en/press/press-releases/2023/02/25/wagner-group-council-adds-11-individuals-and-7-entities-to-eu-sanctions-lists/</x:v>
      </x:c>
      <x:c r="K725" s="20" t="str">
        <x:v>Primary source-register URL; automated screening score</x:v>
      </x:c>
      <x:c r="L725" s="20" t="str">
        <x:v>2026-05-20</x:v>
      </x:c>
      <x:c r="M725" s="20" t="str">
        <x:v>2026-05-20</x:v>
      </x:c>
      <x:c r="N725" s="20" t="str">
        <x:v>GPT-5.5 Pro</x:v>
      </x:c>
      <x:c r="O725" s="20" t="str">
        <x:v>Needs review</x:v>
      </x:c>
      <x:c r="P725" s="20" t="str">
        <x:v>Screening score for Russia / Security contractors in Iran; verify with country-specific evidence before final use.</x:v>
      </x:c>
    </x:row>
    <x:row r="726" ht="24" customHeight="1">
      <x:c r="A726" s="20" t="str">
        <x:v>IRN|China|Propaganda ecosystems</x:v>
      </x:c>
      <x:c r="B726" s="20" t="str">
        <x:v>Iran</x:v>
      </x:c>
      <x:c r="C726" s="20" t="str">
        <x:v>IRN</x:v>
      </x:c>
      <x:c r="D726" s="20" t="str">
        <x:v>China</x:v>
      </x:c>
      <x:c r="E726" s="20" t="str">
        <x:v>Chinese influence</x:v>
      </x:c>
      <x:c r="F726" s="20" t="str">
        <x:v>Propaganda ecosystems</x:v>
      </x:c>
      <x:c r="G726" s="384" t="n">
        <x:v>3</x:v>
      </x:c>
      <x:c r="H726" s="396" t="n">
        <x:v>3</x:v>
      </x:c>
      <x:c r="I726" s="20" t="str">
        <x:v>EEAS/ODNI China FIMI source register</x:v>
      </x:c>
      <x:c r="J726" s="397" t="str">
        <x:v>https://www.eeas.europa.eu/eeas/4th-eeas-annual-report-foreign-information-manipulation-and-interference-threats_en</x:v>
      </x:c>
      <x:c r="K726" s="20" t="str">
        <x:v>Primary source-register URL; automated screening score</x:v>
      </x:c>
      <x:c r="L726" s="20" t="str">
        <x:v>2026-05-20</x:v>
      </x:c>
      <x:c r="M726" s="20" t="str">
        <x:v>2026-05-20</x:v>
      </x:c>
      <x:c r="N726" s="20" t="str">
        <x:v>GPT-5.5 Pro</x:v>
      </x:c>
      <x:c r="O726" s="20" t="str">
        <x:v>Needs review</x:v>
      </x:c>
      <x:c r="P726" s="20" t="str">
        <x:v>Screening score for China / Propaganda ecosystems in Iran; verify with country-specific evidence before final use.</x:v>
      </x:c>
    </x:row>
    <x:row r="727" ht="24" customHeight="1">
      <x:c r="A727" s="20" t="str">
        <x:v>IRN|China|PMC presence</x:v>
      </x:c>
      <x:c r="B727" s="20" t="str">
        <x:v>Iran</x:v>
      </x:c>
      <x:c r="C727" s="20" t="str">
        <x:v>IRN</x:v>
      </x:c>
      <x:c r="D727" s="20" t="str">
        <x:v>China</x:v>
      </x:c>
      <x:c r="E727" s="20" t="str">
        <x:v>Chinese influence</x:v>
      </x:c>
      <x:c r="F727" s="20" t="str">
        <x:v>PMC presence</x:v>
      </x:c>
      <x:c r="G727" s="384" t="n">
        <x:v>0</x:v>
      </x:c>
      <x:c r="H727" s="396" t="n">
        <x:v>1</x:v>
      </x:c>
      <x:c r="I727" s="20" t="str">
        <x:v>MERICS/Carnegie Chinese overseas PSC source register</x:v>
      </x:c>
      <x:c r="J727" s="397" t="str">
        <x:v>https://merics.org/en/report/guardians-belt-and-road</x:v>
      </x:c>
      <x:c r="K727" s="20" t="str">
        <x:v>Primary source-register URL; automated screening score</x:v>
      </x:c>
      <x:c r="L727" s="20" t="str">
        <x:v>2026-05-20</x:v>
      </x:c>
      <x:c r="M727" s="20" t="str">
        <x:v>2026-05-20</x:v>
      </x:c>
      <x:c r="N727" s="20" t="str">
        <x:v>GPT-5.5 Pro</x:v>
      </x:c>
      <x:c r="O727" s="20" t="str">
        <x:v>Needs review</x:v>
      </x:c>
      <x:c r="P727" s="20" t="str">
        <x:v>Screening score for China / PMC presence in Iran; verify with country-specific evidence before final use.</x:v>
      </x:c>
    </x:row>
    <x:row r="728" ht="24" customHeight="1">
      <x:c r="A728" s="20" t="str">
        <x:v>IRN|China|Election interference</x:v>
      </x:c>
      <x:c r="B728" s="20" t="str">
        <x:v>Iran</x:v>
      </x:c>
      <x:c r="C728" s="20" t="str">
        <x:v>IRN</x:v>
      </x:c>
      <x:c r="D728" s="20" t="str">
        <x:v>China</x:v>
      </x:c>
      <x:c r="E728" s="20" t="str">
        <x:v>Chinese influence</x:v>
      </x:c>
      <x:c r="F728" s="20" t="str">
        <x:v>Election interference</x:v>
      </x:c>
      <x:c r="G728" s="384" t="n">
        <x:v>1</x:v>
      </x:c>
      <x:c r="H728" s="396" t="n">
        <x:v>2</x:v>
      </x:c>
      <x:c r="I728" s="20" t="str">
        <x:v>EEAS/ODNI China election-FIMI source register</x:v>
      </x:c>
      <x:c r="J728" s="397" t="str">
        <x:v>https://www.eeas.europa.eu/eeas/4th-eeas-annual-report-foreign-information-manipulation-and-interference-threats_en</x:v>
      </x:c>
      <x:c r="K728" s="20" t="str">
        <x:v>Primary source-register URL; automated screening score</x:v>
      </x:c>
      <x:c r="L728" s="20" t="str">
        <x:v>2026-05-20</x:v>
      </x:c>
      <x:c r="M728" s="20" t="str">
        <x:v>2026-05-20</x:v>
      </x:c>
      <x:c r="N728" s="20" t="str">
        <x:v>GPT-5.5 Pro</x:v>
      </x:c>
      <x:c r="O728" s="20" t="str">
        <x:v>Needs review</x:v>
      </x:c>
      <x:c r="P728" s="20" t="str">
        <x:v>Screening score for China / Election interference in Iran; verify with country-specific evidence before final use.</x:v>
      </x:c>
    </x:row>
    <x:row r="729" ht="24" customHeight="1">
      <x:c r="A729" s="20" t="str">
        <x:v>IRN|China|Security contractors</x:v>
      </x:c>
      <x:c r="B729" s="20" t="str">
        <x:v>Iran</x:v>
      </x:c>
      <x:c r="C729" s="20" t="str">
        <x:v>IRN</x:v>
      </x:c>
      <x:c r="D729" s="20" t="str">
        <x:v>China</x:v>
      </x:c>
      <x:c r="E729" s="20" t="str">
        <x:v>Chinese influence</x:v>
      </x:c>
      <x:c r="F729" s="20" t="str">
        <x:v>Security contractors</x:v>
      </x:c>
      <x:c r="G729" s="384" t="n">
        <x:v>1</x:v>
      </x:c>
      <x:c r="H729" s="396" t="n">
        <x:v>2</x:v>
      </x:c>
      <x:c r="I729" s="20" t="str">
        <x:v>MERICS/Carnegie Chinese security contractor source register</x:v>
      </x:c>
      <x:c r="J729" s="397" t="str">
        <x:v>https://merics.org/en/report/guardians-belt-and-road</x:v>
      </x:c>
      <x:c r="K729" s="20" t="str">
        <x:v>Primary source-register URL; automated screening score</x:v>
      </x:c>
      <x:c r="L729" s="20" t="str">
        <x:v>2026-05-20</x:v>
      </x:c>
      <x:c r="M729" s="20" t="str">
        <x:v>2026-05-20</x:v>
      </x:c>
      <x:c r="N729" s="20" t="str">
        <x:v>GPT-5.5 Pro</x:v>
      </x:c>
      <x:c r="O729" s="20" t="str">
        <x:v>Needs review</x:v>
      </x:c>
      <x:c r="P729" s="20" t="str">
        <x:v>Screening score for China / Security contractors in Iran; verify with country-specific evidence before final use.</x:v>
      </x:c>
    </x:row>
    <x:row r="730" ht="24" customHeight="1">
      <x:c r="A730" s="20" t="str">
        <x:v>IRN|United States|Propaganda ecosystems</x:v>
      </x:c>
      <x:c r="B730" s="20" t="str">
        <x:v>Iran</x:v>
      </x:c>
      <x:c r="C730" s="20" t="str">
        <x:v>IRN</x:v>
      </x:c>
      <x:c r="D730" s="20" t="str">
        <x:v>United States</x:v>
      </x:c>
      <x:c r="E730" s="20" t="str">
        <x:v>American influence</x:v>
      </x:c>
      <x:c r="F730" s="20" t="str">
        <x:v>Propaganda ecosystems</x:v>
      </x:c>
      <x:c r="G730" s="384" t="n">
        <x:v>8</x:v>
      </x:c>
      <x:c r="H730" s="396" t="n">
        <x:v>4</x:v>
      </x:c>
      <x:c r="I730" s="20" t="str">
        <x:v>USAGM public media source register</x:v>
      </x:c>
      <x:c r="J730" s="397" t="str">
        <x:v>https://www.usagm.gov/our-work/strategy-and-results/strategic-priorities/research-reports/</x:v>
      </x:c>
      <x:c r="K730" s="20" t="str">
        <x:v>Primary source-register URL; automated screening score</x:v>
      </x:c>
      <x:c r="L730" s="20" t="str">
        <x:v>2026-05-20</x:v>
      </x:c>
      <x:c r="M730" s="20" t="str">
        <x:v>2026-05-20</x:v>
      </x:c>
      <x:c r="N730" s="20" t="str">
        <x:v>GPT-5.5 Pro</x:v>
      </x:c>
      <x:c r="O730" s="20" t="str">
        <x:v>Needs review</x:v>
      </x:c>
      <x:c r="P730" s="20" t="str">
        <x:v>Screening score for United States / Propaganda ecosystems in Iran; verify with country-specific evidence before final use.</x:v>
      </x:c>
    </x:row>
    <x:row r="731" ht="24" customHeight="1">
      <x:c r="A731" s="20" t="str">
        <x:v>IRN|United States|PMC presence</x:v>
      </x:c>
      <x:c r="B731" s="20" t="str">
        <x:v>Iran</x:v>
      </x:c>
      <x:c r="C731" s="20" t="str">
        <x:v>IRN</x:v>
      </x:c>
      <x:c r="D731" s="20" t="str">
        <x:v>United States</x:v>
      </x:c>
      <x:c r="E731" s="20" t="str">
        <x:v>American influence</x:v>
      </x:c>
      <x:c r="F731" s="20" t="str">
        <x:v>PMC presence</x:v>
      </x:c>
      <x:c r="G731" s="384" t="n">
        <x:v>0</x:v>
      </x:c>
      <x:c r="H731" s="396" t="n">
        <x:v>1</x:v>
      </x:c>
      <x:c r="I731" s="20" t="str">
        <x:v>SAM/Greenbook U.S. security assistance contractor source register</x:v>
      </x:c>
      <x:c r="J731" s="397" t="str">
        <x:v>https://internationalpolicy.org/programs/sam/</x:v>
      </x:c>
      <x:c r="K731" s="20" t="str">
        <x:v>Primary source-register URL; automated screening score</x:v>
      </x:c>
      <x:c r="L731" s="20" t="str">
        <x:v>2026-05-20</x:v>
      </x:c>
      <x:c r="M731" s="20" t="str">
        <x:v>2026-05-20</x:v>
      </x:c>
      <x:c r="N731" s="20" t="str">
        <x:v>GPT-5.5 Pro</x:v>
      </x:c>
      <x:c r="O731" s="20" t="str">
        <x:v>Needs review</x:v>
      </x:c>
      <x:c r="P731" s="20" t="str">
        <x:v>Screening score for United States / PMC presence in Iran; verify with country-specific evidence before final use.</x:v>
      </x:c>
    </x:row>
    <x:row r="732" ht="24" customHeight="1">
      <x:c r="A732" s="20" t="str">
        <x:v>IRN|United States|Election interference</x:v>
      </x:c>
      <x:c r="B732" s="20" t="str">
        <x:v>Iran</x:v>
      </x:c>
      <x:c r="C732" s="20" t="str">
        <x:v>IRN</x:v>
      </x:c>
      <x:c r="D732" s="20" t="str">
        <x:v>United States</x:v>
      </x:c>
      <x:c r="E732" s="20" t="str">
        <x:v>American influence</x:v>
      </x:c>
      <x:c r="F732" s="20" t="str">
        <x:v>Election interference</x:v>
      </x:c>
      <x:c r="G732" s="384" t="n">
        <x:v>4</x:v>
      </x:c>
      <x:c r="H732" s="396" t="n">
        <x:v>3</x:v>
      </x:c>
      <x:c r="I732" s="20" t="str">
        <x:v>NED/Greenbook democracy assistance source register</x:v>
      </x:c>
      <x:c r="J732" s="397" t="str">
        <x:v>https://www.ned.org/ned-grantmaking/</x:v>
      </x:c>
      <x:c r="K732" s="20" t="str">
        <x:v>Primary source-register URL; automated screening score</x:v>
      </x:c>
      <x:c r="L732" s="20" t="str">
        <x:v>2026-05-20</x:v>
      </x:c>
      <x:c r="M732" s="20" t="str">
        <x:v>2026-05-20</x:v>
      </x:c>
      <x:c r="N732" s="20" t="str">
        <x:v>GPT-5.5 Pro</x:v>
      </x:c>
      <x:c r="O732" s="20" t="str">
        <x:v>Needs review</x:v>
      </x:c>
      <x:c r="P732" s="20" t="str">
        <x:v>Screening score for United States / Election interference in Iran; verify with country-specific evidence before final use.</x:v>
      </x:c>
    </x:row>
    <x:row r="733" ht="24" customHeight="1">
      <x:c r="A733" s="20" t="str">
        <x:v>IRN|United States|Security contractors</x:v>
      </x:c>
      <x:c r="B733" s="20" t="str">
        <x:v>Iran</x:v>
      </x:c>
      <x:c r="C733" s="20" t="str">
        <x:v>IRN</x:v>
      </x:c>
      <x:c r="D733" s="20" t="str">
        <x:v>United States</x:v>
      </x:c>
      <x:c r="E733" s="20" t="str">
        <x:v>American influence</x:v>
      </x:c>
      <x:c r="F733" s="20" t="str">
        <x:v>Security contractors</x:v>
      </x:c>
      <x:c r="G733" s="384" t="n">
        <x:v>1</x:v>
      </x:c>
      <x:c r="H733" s="396" t="n">
        <x:v>2</x:v>
      </x:c>
      <x:c r="I733" s="20" t="str">
        <x:v>SAM/Greenbook U.S. security contractor source register</x:v>
      </x:c>
      <x:c r="J733" s="397" t="str">
        <x:v>https://internationalpolicy.org/programs/sam/</x:v>
      </x:c>
      <x:c r="K733" s="20" t="str">
        <x:v>Primary source-register URL; automated screening score</x:v>
      </x:c>
      <x:c r="L733" s="20" t="str">
        <x:v>2026-05-20</x:v>
      </x:c>
      <x:c r="M733" s="20" t="str">
        <x:v>2026-05-20</x:v>
      </x:c>
      <x:c r="N733" s="20" t="str">
        <x:v>GPT-5.5 Pro</x:v>
      </x:c>
      <x:c r="O733" s="20" t="str">
        <x:v>Needs review</x:v>
      </x:c>
      <x:c r="P733" s="20" t="str">
        <x:v>Screening score for United States / Security contractors in Iran; verify with country-specific evidence before final use.</x:v>
      </x:c>
    </x:row>
    <x:row r="734" ht="24" customHeight="1">
      <x:c r="A734" s="20" t="str">
        <x:v>IRN|European Union|Propaganda ecosystems</x:v>
      </x:c>
      <x:c r="B734" s="20" t="str">
        <x:v>Iran</x:v>
      </x:c>
      <x:c r="C734" s="20" t="str">
        <x:v>IRN</x:v>
      </x:c>
      <x:c r="D734" s="20" t="str">
        <x:v>European Union</x:v>
      </x:c>
      <x:c r="E734" s="20" t="str">
        <x:v>EU influence</x:v>
      </x:c>
      <x:c r="F734" s="20" t="str">
        <x:v>Propaganda ecosystems</x:v>
      </x:c>
      <x:c r="G734" s="384" t="n">
        <x:v>2</x:v>
      </x:c>
      <x:c r="H734" s="396" t="n">
        <x:v>2</x:v>
      </x:c>
      <x:c r="I734" s="20" t="str">
        <x:v>EEAS public diplomacy source register</x:v>
      </x:c>
      <x:c r="J734" s="397" t="str">
        <x:v>https://www.eeas.europa.eu/eeas/public-diplomacy_en</x:v>
      </x:c>
      <x:c r="K734" s="20" t="str">
        <x:v>Primary source-register URL; automated screening score</x:v>
      </x:c>
      <x:c r="L734" s="20" t="str">
        <x:v>2026-05-20</x:v>
      </x:c>
      <x:c r="M734" s="20" t="str">
        <x:v>2026-05-20</x:v>
      </x:c>
      <x:c r="N734" s="20" t="str">
        <x:v>GPT-5.5 Pro</x:v>
      </x:c>
      <x:c r="O734" s="20" t="str">
        <x:v>Needs review</x:v>
      </x:c>
      <x:c r="P734" s="20" t="str">
        <x:v>Screening score for European Union / Propaganda ecosystems in Iran; verify with country-specific evidence before final use.</x:v>
      </x:c>
    </x:row>
    <x:row r="735" ht="24" customHeight="1">
      <x:c r="A735" s="20" t="str">
        <x:v>IRN|European Union|PMC presence</x:v>
      </x:c>
      <x:c r="B735" s="20" t="str">
        <x:v>Iran</x:v>
      </x:c>
      <x:c r="C735" s="20" t="str">
        <x:v>IRN</x:v>
      </x:c>
      <x:c r="D735" s="20" t="str">
        <x:v>European Union</x:v>
      </x:c>
      <x:c r="E735" s="20" t="str">
        <x:v>EU influence</x:v>
      </x:c>
      <x:c r="F735" s="20" t="str">
        <x:v>PMC presence</x:v>
      </x:c>
      <x:c r="G735" s="384" t="n">
        <x:v>0</x:v>
      </x:c>
      <x:c r="H735" s="396" t="n">
        <x:v>1</x:v>
      </x:c>
      <x:c r="I735" s="20" t="str">
        <x:v>EEAS CSDP missions source register</x:v>
      </x:c>
      <x:c r="J735" s="397" t="str">
        <x:v>https://www.eeas.europa.eu/eeas/missions-and-operations_en</x:v>
      </x:c>
      <x:c r="K735" s="20" t="str">
        <x:v>Primary source-register URL; automated screening score</x:v>
      </x:c>
      <x:c r="L735" s="20" t="str">
        <x:v>2026-05-20</x:v>
      </x:c>
      <x:c r="M735" s="20" t="str">
        <x:v>2026-05-20</x:v>
      </x:c>
      <x:c r="N735" s="20" t="str">
        <x:v>GPT-5.5 Pro</x:v>
      </x:c>
      <x:c r="O735" s="20" t="str">
        <x:v>Needs review</x:v>
      </x:c>
      <x:c r="P735" s="20" t="str">
        <x:v>Screening score for European Union / PMC presence in Iran; verify with country-specific evidence before final use.</x:v>
      </x:c>
    </x:row>
    <x:row r="736" ht="24" customHeight="1">
      <x:c r="A736" s="20" t="str">
        <x:v>IRN|European Union|Election interference</x:v>
      </x:c>
      <x:c r="B736" s="20" t="str">
        <x:v>Iran</x:v>
      </x:c>
      <x:c r="C736" s="20" t="str">
        <x:v>IRN</x:v>
      </x:c>
      <x:c r="D736" s="20" t="str">
        <x:v>European Union</x:v>
      </x:c>
      <x:c r="E736" s="20" t="str">
        <x:v>EU influence</x:v>
      </x:c>
      <x:c r="F736" s="20" t="str">
        <x:v>Election interference</x:v>
      </x:c>
      <x:c r="G736" s="384" t="n">
        <x:v>1</x:v>
      </x:c>
      <x:c r="H736" s="396" t="n">
        <x:v>2</x:v>
      </x:c>
      <x:c r="I736" s="20" t="str">
        <x:v>EEAS EU election observation source register</x:v>
      </x:c>
      <x:c r="J736" s="397" t="str">
        <x:v>https://www.eeas.europa.eu/eeas/eu-election-observation-missions-1_en?page_lang=en</x:v>
      </x:c>
      <x:c r="K736" s="20" t="str">
        <x:v>Primary source-register URL; automated screening score</x:v>
      </x:c>
      <x:c r="L736" s="20" t="str">
        <x:v>2026-05-20</x:v>
      </x:c>
      <x:c r="M736" s="20" t="str">
        <x:v>2026-05-20</x:v>
      </x:c>
      <x:c r="N736" s="20" t="str">
        <x:v>GPT-5.5 Pro</x:v>
      </x:c>
      <x:c r="O736" s="20" t="str">
        <x:v>Needs review</x:v>
      </x:c>
      <x:c r="P736" s="20" t="str">
        <x:v>Screening score for European Union / Election interference in Iran; verify with country-specific evidence before final use.</x:v>
      </x:c>
    </x:row>
    <x:row r="737" ht="24" customHeight="1">
      <x:c r="A737" s="20" t="str">
        <x:v>IRN|European Union|Security contractors</x:v>
      </x:c>
      <x:c r="B737" s="20" t="str">
        <x:v>Iran</x:v>
      </x:c>
      <x:c r="C737" s="20" t="str">
        <x:v>IRN</x:v>
      </x:c>
      <x:c r="D737" s="20" t="str">
        <x:v>European Union</x:v>
      </x:c>
      <x:c r="E737" s="20" t="str">
        <x:v>EU influence</x:v>
      </x:c>
      <x:c r="F737" s="20" t="str">
        <x:v>Security contractors</x:v>
      </x:c>
      <x:c r="G737" s="384" t="n">
        <x:v>2</x:v>
      </x:c>
      <x:c r="H737" s="396" t="n">
        <x:v>2</x:v>
      </x:c>
      <x:c r="I737" s="20" t="str">
        <x:v>EEAS CSDP / Global Gateway security source register</x:v>
      </x:c>
      <x:c r="J737" s="397" t="str">
        <x:v>https://www.eeas.europa.eu/eeas/missions-and-operations_en</x:v>
      </x:c>
      <x:c r="K737" s="20" t="str">
        <x:v>Primary source-register URL; automated screening score</x:v>
      </x:c>
      <x:c r="L737" s="20" t="str">
        <x:v>2026-05-20</x:v>
      </x:c>
      <x:c r="M737" s="20" t="str">
        <x:v>2026-05-20</x:v>
      </x:c>
      <x:c r="N737" s="20" t="str">
        <x:v>GPT-5.5 Pro</x:v>
      </x:c>
      <x:c r="O737" s="20" t="str">
        <x:v>Needs review</x:v>
      </x:c>
      <x:c r="P737" s="20" t="str">
        <x:v>Screening score for European Union / Security contractors in Iran; verify with country-specific evidence before final use.</x:v>
      </x:c>
    </x:row>
    <x:row r="738" ht="24" customHeight="1">
      <x:c r="A738" s="20" t="str">
        <x:v>IRQ|Russia|Propaganda ecosystems</x:v>
      </x:c>
      <x:c r="B738" s="20" t="str">
        <x:v>Iraq</x:v>
      </x:c>
      <x:c r="C738" s="20" t="str">
        <x:v>IRQ</x:v>
      </x:c>
      <x:c r="D738" s="20" t="str">
        <x:v>Russia</x:v>
      </x:c>
      <x:c r="E738" s="20" t="str">
        <x:v>Russian influence</x:v>
      </x:c>
      <x:c r="F738" s="20" t="str">
        <x:v>Propaganda ecosystems</x:v>
      </x:c>
      <x:c r="G738" s="384" t="n">
        <x:v>2</x:v>
      </x:c>
      <x:c r="H738" s="396" t="n">
        <x:v>2</x:v>
      </x:c>
      <x:c r="I738" s="20" t="str">
        <x:v>EEAS/EUvsDisinfo FIMI source register</x:v>
      </x:c>
      <x:c r="J738" s="397" t="str">
        <x:v>https://www.eeas.europa.eu/eeas/4th-eeas-annual-report-foreign-information-manipulation-and-interference-threats_en</x:v>
      </x:c>
      <x:c r="K738" s="20" t="str">
        <x:v>Primary source-register URL; automated screening score</x:v>
      </x:c>
      <x:c r="L738" s="20" t="str">
        <x:v>2026-05-20</x:v>
      </x:c>
      <x:c r="M738" s="20" t="str">
        <x:v>2026-05-20</x:v>
      </x:c>
      <x:c r="N738" s="20" t="str">
        <x:v>GPT-5.5 Pro</x:v>
      </x:c>
      <x:c r="O738" s="20" t="str">
        <x:v>Needs review</x:v>
      </x:c>
      <x:c r="P738" s="20" t="str">
        <x:v>Screening score for Russia / Propaganda ecosystems in Iraq; verify with country-specific evidence before final use.</x:v>
      </x:c>
    </x:row>
    <x:row r="739" ht="24" customHeight="1">
      <x:c r="A739" s="20" t="str">
        <x:v>IRQ|Russia|PMC presence</x:v>
      </x:c>
      <x:c r="B739" s="20" t="str">
        <x:v>Iraq</x:v>
      </x:c>
      <x:c r="C739" s="20" t="str">
        <x:v>IRQ</x:v>
      </x:c>
      <x:c r="D739" s="20" t="str">
        <x:v>Russia</x:v>
      </x:c>
      <x:c r="E739" s="20" t="str">
        <x:v>Russian influence</x:v>
      </x:c>
      <x:c r="F739" s="20" t="str">
        <x:v>PMC presence</x:v>
      </x:c>
      <x:c r="G739" s="384" t="n">
        <x:v>2</x:v>
      </x:c>
      <x:c r="H739" s="396" t="n">
        <x:v>2</x:v>
      </x:c>
      <x:c r="I739" s="20" t="str">
        <x:v>Treasury and Council of the EU Wagner/PMC source register</x:v>
      </x:c>
      <x:c r="J739" s="397" t="str">
        <x:v>https://www.consilium.europa.eu/en/press/press-releases/2023/02/25/wagner-group-council-adds-11-individuals-and-7-entities-to-eu-sanctions-lists/</x:v>
      </x:c>
      <x:c r="K739" s="20" t="str">
        <x:v>Primary source-register URL; automated screening score</x:v>
      </x:c>
      <x:c r="L739" s="20" t="str">
        <x:v>2026-05-20</x:v>
      </x:c>
      <x:c r="M739" s="20" t="str">
        <x:v>2026-05-20</x:v>
      </x:c>
      <x:c r="N739" s="20" t="str">
        <x:v>GPT-5.5 Pro</x:v>
      </x:c>
      <x:c r="O739" s="20" t="str">
        <x:v>Needs review</x:v>
      </x:c>
      <x:c r="P739" s="20" t="str">
        <x:v>Screening score for Russia / PMC presence in Iraq; verify with country-specific evidence before final use.</x:v>
      </x:c>
    </x:row>
    <x:row r="740" ht="24" customHeight="1">
      <x:c r="A740" s="20" t="str">
        <x:v>IRQ|Russia|Election interference</x:v>
      </x:c>
      <x:c r="B740" s="20" t="str">
        <x:v>Iraq</x:v>
      </x:c>
      <x:c r="C740" s="20" t="str">
        <x:v>IRQ</x:v>
      </x:c>
      <x:c r="D740" s="20" t="str">
        <x:v>Russia</x:v>
      </x:c>
      <x:c r="E740" s="20" t="str">
        <x:v>Russian influence</x:v>
      </x:c>
      <x:c r="F740" s="20" t="str">
        <x:v>Election interference</x:v>
      </x:c>
      <x:c r="G740" s="384" t="n">
        <x:v>0</x:v>
      </x:c>
      <x:c r="H740" s="396" t="n">
        <x:v>1</x:v>
      </x:c>
      <x:c r="I740" s="20" t="str">
        <x:v>ODNI/EEAS election-FIMI source register</x:v>
      </x:c>
      <x:c r="J740" s="397" t="str">
        <x:v>https://www.dni.gov/files/ODNI/documents/assessments/ATA-2026-Unclassified-Report.pdf</x:v>
      </x:c>
      <x:c r="K740" s="20" t="str">
        <x:v>Primary source-register URL; automated screening score</x:v>
      </x:c>
      <x:c r="L740" s="20" t="str">
        <x:v>2026-05-20</x:v>
      </x:c>
      <x:c r="M740" s="20" t="str">
        <x:v>2026-05-20</x:v>
      </x:c>
      <x:c r="N740" s="20" t="str">
        <x:v>GPT-5.5 Pro</x:v>
      </x:c>
      <x:c r="O740" s="20" t="str">
        <x:v>Needs review</x:v>
      </x:c>
      <x:c r="P740" s="20" t="str">
        <x:v>Screening score for Russia / Election interference in Iraq; verify with country-specific evidence before final use.</x:v>
      </x:c>
    </x:row>
    <x:row r="741" ht="24" customHeight="1">
      <x:c r="A741" s="20" t="str">
        <x:v>IRQ|Russia|Security contractors</x:v>
      </x:c>
      <x:c r="B741" s="20" t="str">
        <x:v>Iraq</x:v>
      </x:c>
      <x:c r="C741" s="20" t="str">
        <x:v>IRQ</x:v>
      </x:c>
      <x:c r="D741" s="20" t="str">
        <x:v>Russia</x:v>
      </x:c>
      <x:c r="E741" s="20" t="str">
        <x:v>Russian influence</x:v>
      </x:c>
      <x:c r="F741" s="20" t="str">
        <x:v>Security contractors</x:v>
      </x:c>
      <x:c r="G741" s="384" t="n">
        <x:v>2</x:v>
      </x:c>
      <x:c r="H741" s="396" t="n">
        <x:v>2</x:v>
      </x:c>
      <x:c r="I741" s="20" t="str">
        <x:v>Council of the EU/Treasury Wagner-security source register</x:v>
      </x:c>
      <x:c r="J741" s="397" t="str">
        <x:v>https://www.consilium.europa.eu/en/press/press-releases/2023/02/25/wagner-group-council-adds-11-individuals-and-7-entities-to-eu-sanctions-lists/</x:v>
      </x:c>
      <x:c r="K741" s="20" t="str">
        <x:v>Primary source-register URL; automated screening score</x:v>
      </x:c>
      <x:c r="L741" s="20" t="str">
        <x:v>2026-05-20</x:v>
      </x:c>
      <x:c r="M741" s="20" t="str">
        <x:v>2026-05-20</x:v>
      </x:c>
      <x:c r="N741" s="20" t="str">
        <x:v>GPT-5.5 Pro</x:v>
      </x:c>
      <x:c r="O741" s="20" t="str">
        <x:v>Needs review</x:v>
      </x:c>
      <x:c r="P741" s="20" t="str">
        <x:v>Screening score for Russia / Security contractors in Iraq; verify with country-specific evidence before final use.</x:v>
      </x:c>
    </x:row>
    <x:row r="742" ht="24" customHeight="1">
      <x:c r="A742" s="20" t="str">
        <x:v>IRQ|China|Propaganda ecosystems</x:v>
      </x:c>
      <x:c r="B742" s="20" t="str">
        <x:v>Iraq</x:v>
      </x:c>
      <x:c r="C742" s="20" t="str">
        <x:v>IRQ</x:v>
      </x:c>
      <x:c r="D742" s="20" t="str">
        <x:v>China</x:v>
      </x:c>
      <x:c r="E742" s="20" t="str">
        <x:v>Chinese influence</x:v>
      </x:c>
      <x:c r="F742" s="20" t="str">
        <x:v>Propaganda ecosystems</x:v>
      </x:c>
      <x:c r="G742" s="384" t="n">
        <x:v>3</x:v>
      </x:c>
      <x:c r="H742" s="396" t="n">
        <x:v>3</x:v>
      </x:c>
      <x:c r="I742" s="20" t="str">
        <x:v>EEAS/ODNI China FIMI source register</x:v>
      </x:c>
      <x:c r="J742" s="397" t="str">
        <x:v>https://www.eeas.europa.eu/eeas/4th-eeas-annual-report-foreign-information-manipulation-and-interference-threats_en</x:v>
      </x:c>
      <x:c r="K742" s="20" t="str">
        <x:v>Primary source-register URL; automated screening score</x:v>
      </x:c>
      <x:c r="L742" s="20" t="str">
        <x:v>2026-05-20</x:v>
      </x:c>
      <x:c r="M742" s="20" t="str">
        <x:v>2026-05-20</x:v>
      </x:c>
      <x:c r="N742" s="20" t="str">
        <x:v>GPT-5.5 Pro</x:v>
      </x:c>
      <x:c r="O742" s="20" t="str">
        <x:v>Needs review</x:v>
      </x:c>
      <x:c r="P742" s="20" t="str">
        <x:v>Screening score for China / Propaganda ecosystems in Iraq; verify with country-specific evidence before final use.</x:v>
      </x:c>
    </x:row>
    <x:row r="743" ht="24" customHeight="1">
      <x:c r="A743" s="20" t="str">
        <x:v>IRQ|China|PMC presence</x:v>
      </x:c>
      <x:c r="B743" s="20" t="str">
        <x:v>Iraq</x:v>
      </x:c>
      <x:c r="C743" s="20" t="str">
        <x:v>IRQ</x:v>
      </x:c>
      <x:c r="D743" s="20" t="str">
        <x:v>China</x:v>
      </x:c>
      <x:c r="E743" s="20" t="str">
        <x:v>Chinese influence</x:v>
      </x:c>
      <x:c r="F743" s="20" t="str">
        <x:v>PMC presence</x:v>
      </x:c>
      <x:c r="G743" s="384" t="n">
        <x:v>3</x:v>
      </x:c>
      <x:c r="H743" s="396" t="n">
        <x:v>3</x:v>
      </x:c>
      <x:c r="I743" s="20" t="str">
        <x:v>MERICS/Carnegie Chinese overseas PSC source register</x:v>
      </x:c>
      <x:c r="J743" s="397" t="str">
        <x:v>https://merics.org/en/report/guardians-belt-and-road</x:v>
      </x:c>
      <x:c r="K743" s="20" t="str">
        <x:v>Primary source-register URL; automated screening score</x:v>
      </x:c>
      <x:c r="L743" s="20" t="str">
        <x:v>2026-05-20</x:v>
      </x:c>
      <x:c r="M743" s="20" t="str">
        <x:v>2026-05-20</x:v>
      </x:c>
      <x:c r="N743" s="20" t="str">
        <x:v>GPT-5.5 Pro</x:v>
      </x:c>
      <x:c r="O743" s="20" t="str">
        <x:v>Needs review</x:v>
      </x:c>
      <x:c r="P743" s="20" t="str">
        <x:v>Screening score for China / PMC presence in Iraq; verify with country-specific evidence before final use.</x:v>
      </x:c>
    </x:row>
    <x:row r="744" ht="24" customHeight="1">
      <x:c r="A744" s="20" t="str">
        <x:v>IRQ|China|Election interference</x:v>
      </x:c>
      <x:c r="B744" s="20" t="str">
        <x:v>Iraq</x:v>
      </x:c>
      <x:c r="C744" s="20" t="str">
        <x:v>IRQ</x:v>
      </x:c>
      <x:c r="D744" s="20" t="str">
        <x:v>China</x:v>
      </x:c>
      <x:c r="E744" s="20" t="str">
        <x:v>Chinese influence</x:v>
      </x:c>
      <x:c r="F744" s="20" t="str">
        <x:v>Election interference</x:v>
      </x:c>
      <x:c r="G744" s="384" t="n">
        <x:v>1</x:v>
      </x:c>
      <x:c r="H744" s="396" t="n">
        <x:v>2</x:v>
      </x:c>
      <x:c r="I744" s="20" t="str">
        <x:v>EEAS/ODNI China election-FIMI source register</x:v>
      </x:c>
      <x:c r="J744" s="397" t="str">
        <x:v>https://www.eeas.europa.eu/eeas/4th-eeas-annual-report-foreign-information-manipulation-and-interference-threats_en</x:v>
      </x:c>
      <x:c r="K744" s="20" t="str">
        <x:v>Primary source-register URL; automated screening score</x:v>
      </x:c>
      <x:c r="L744" s="20" t="str">
        <x:v>2026-05-20</x:v>
      </x:c>
      <x:c r="M744" s="20" t="str">
        <x:v>2026-05-20</x:v>
      </x:c>
      <x:c r="N744" s="20" t="str">
        <x:v>GPT-5.5 Pro</x:v>
      </x:c>
      <x:c r="O744" s="20" t="str">
        <x:v>Needs review</x:v>
      </x:c>
      <x:c r="P744" s="20" t="str">
        <x:v>Screening score for China / Election interference in Iraq; verify with country-specific evidence before final use.</x:v>
      </x:c>
    </x:row>
    <x:row r="745" ht="24" customHeight="1">
      <x:c r="A745" s="20" t="str">
        <x:v>IRQ|China|Security contractors</x:v>
      </x:c>
      <x:c r="B745" s="20" t="str">
        <x:v>Iraq</x:v>
      </x:c>
      <x:c r="C745" s="20" t="str">
        <x:v>IRQ</x:v>
      </x:c>
      <x:c r="D745" s="20" t="str">
        <x:v>China</x:v>
      </x:c>
      <x:c r="E745" s="20" t="str">
        <x:v>Chinese influence</x:v>
      </x:c>
      <x:c r="F745" s="20" t="str">
        <x:v>Security contractors</x:v>
      </x:c>
      <x:c r="G745" s="384" t="n">
        <x:v>4</x:v>
      </x:c>
      <x:c r="H745" s="396" t="n">
        <x:v>3</x:v>
      </x:c>
      <x:c r="I745" s="20" t="str">
        <x:v>MERICS/Carnegie Chinese security contractor source register</x:v>
      </x:c>
      <x:c r="J745" s="397" t="str">
        <x:v>https://merics.org/en/report/guardians-belt-and-road</x:v>
      </x:c>
      <x:c r="K745" s="20" t="str">
        <x:v>Primary source-register URL; automated screening score</x:v>
      </x:c>
      <x:c r="L745" s="20" t="str">
        <x:v>2026-05-20</x:v>
      </x:c>
      <x:c r="M745" s="20" t="str">
        <x:v>2026-05-20</x:v>
      </x:c>
      <x:c r="N745" s="20" t="str">
        <x:v>GPT-5.5 Pro</x:v>
      </x:c>
      <x:c r="O745" s="20" t="str">
        <x:v>Needs review</x:v>
      </x:c>
      <x:c r="P745" s="20" t="str">
        <x:v>Screening score for China / Security contractors in Iraq; verify with country-specific evidence before final use.</x:v>
      </x:c>
    </x:row>
    <x:row r="746" ht="24" customHeight="1">
      <x:c r="A746" s="20" t="str">
        <x:v>IRQ|United States|Propaganda ecosystems</x:v>
      </x:c>
      <x:c r="B746" s="20" t="str">
        <x:v>Iraq</x:v>
      </x:c>
      <x:c r="C746" s="20" t="str">
        <x:v>IRQ</x:v>
      </x:c>
      <x:c r="D746" s="20" t="str">
        <x:v>United States</x:v>
      </x:c>
      <x:c r="E746" s="20" t="str">
        <x:v>American influence</x:v>
      </x:c>
      <x:c r="F746" s="20" t="str">
        <x:v>Propaganda ecosystems</x:v>
      </x:c>
      <x:c r="G746" s="384" t="n">
        <x:v>7</x:v>
      </x:c>
      <x:c r="H746" s="396" t="n">
        <x:v>4</x:v>
      </x:c>
      <x:c r="I746" s="20" t="str">
        <x:v>USAGM public media source register</x:v>
      </x:c>
      <x:c r="J746" s="397" t="str">
        <x:v>https://www.usagm.gov/our-work/strategy-and-results/strategic-priorities/research-reports/</x:v>
      </x:c>
      <x:c r="K746" s="20" t="str">
        <x:v>Primary source-register URL; automated screening score</x:v>
      </x:c>
      <x:c r="L746" s="20" t="str">
        <x:v>2026-05-20</x:v>
      </x:c>
      <x:c r="M746" s="20" t="str">
        <x:v>2026-05-20</x:v>
      </x:c>
      <x:c r="N746" s="20" t="str">
        <x:v>GPT-5.5 Pro</x:v>
      </x:c>
      <x:c r="O746" s="20" t="str">
        <x:v>Needs review</x:v>
      </x:c>
      <x:c r="P746" s="20" t="str">
        <x:v>Screening score for United States / Propaganda ecosystems in Iraq; verify with country-specific evidence before final use.</x:v>
      </x:c>
    </x:row>
    <x:row r="747" ht="24" customHeight="1">
      <x:c r="A747" s="20" t="str">
        <x:v>IRQ|United States|PMC presence</x:v>
      </x:c>
      <x:c r="B747" s="20" t="str">
        <x:v>Iraq</x:v>
      </x:c>
      <x:c r="C747" s="20" t="str">
        <x:v>IRQ</x:v>
      </x:c>
      <x:c r="D747" s="20" t="str">
        <x:v>United States</x:v>
      </x:c>
      <x:c r="E747" s="20" t="str">
        <x:v>American influence</x:v>
      </x:c>
      <x:c r="F747" s="20" t="str">
        <x:v>PMC presence</x:v>
      </x:c>
      <x:c r="G747" s="384" t="n">
        <x:v>9</x:v>
      </x:c>
      <x:c r="H747" s="396" t="n">
        <x:v>5</x:v>
      </x:c>
      <x:c r="I747" s="20" t="str">
        <x:v>SAM/Greenbook U.S. security assistance contractor source register</x:v>
      </x:c>
      <x:c r="J747" s="397" t="str">
        <x:v>https://internationalpolicy.org/programs/sam/</x:v>
      </x:c>
      <x:c r="K747" s="20" t="str">
        <x:v>Primary source-register URL; automated screening score</x:v>
      </x:c>
      <x:c r="L747" s="20" t="str">
        <x:v>2026-05-20</x:v>
      </x:c>
      <x:c r="M747" s="20" t="str">
        <x:v>2026-05-20</x:v>
      </x:c>
      <x:c r="N747" s="20" t="str">
        <x:v>GPT-5.5 Pro</x:v>
      </x:c>
      <x:c r="O747" s="20" t="str">
        <x:v>Needs review</x:v>
      </x:c>
      <x:c r="P747" s="20" t="str">
        <x:v>Screening score for United States / PMC presence in Iraq; verify with country-specific evidence before final use.</x:v>
      </x:c>
    </x:row>
    <x:row r="748" ht="24" customHeight="1">
      <x:c r="A748" s="20" t="str">
        <x:v>IRQ|United States|Election interference</x:v>
      </x:c>
      <x:c r="B748" s="20" t="str">
        <x:v>Iraq</x:v>
      </x:c>
      <x:c r="C748" s="20" t="str">
        <x:v>IRQ</x:v>
      </x:c>
      <x:c r="D748" s="20" t="str">
        <x:v>United States</x:v>
      </x:c>
      <x:c r="E748" s="20" t="str">
        <x:v>American influence</x:v>
      </x:c>
      <x:c r="F748" s="20" t="str">
        <x:v>Election interference</x:v>
      </x:c>
      <x:c r="G748" s="384" t="n">
        <x:v>2</x:v>
      </x:c>
      <x:c r="H748" s="396" t="n">
        <x:v>2</x:v>
      </x:c>
      <x:c r="I748" s="20" t="str">
        <x:v>NED/Greenbook democracy assistance source register</x:v>
      </x:c>
      <x:c r="J748" s="397" t="str">
        <x:v>https://www.ned.org/ned-grantmaking/</x:v>
      </x:c>
      <x:c r="K748" s="20" t="str">
        <x:v>Primary source-register URL; automated screening score</x:v>
      </x:c>
      <x:c r="L748" s="20" t="str">
        <x:v>2026-05-20</x:v>
      </x:c>
      <x:c r="M748" s="20" t="str">
        <x:v>2026-05-20</x:v>
      </x:c>
      <x:c r="N748" s="20" t="str">
        <x:v>GPT-5.5 Pro</x:v>
      </x:c>
      <x:c r="O748" s="20" t="str">
        <x:v>Needs review</x:v>
      </x:c>
      <x:c r="P748" s="20" t="str">
        <x:v>Screening score for United States / Election interference in Iraq; verify with country-specific evidence before final use.</x:v>
      </x:c>
    </x:row>
    <x:row r="749" ht="24" customHeight="1">
      <x:c r="A749" s="20" t="str">
        <x:v>IRQ|United States|Security contractors</x:v>
      </x:c>
      <x:c r="B749" s="20" t="str">
        <x:v>Iraq</x:v>
      </x:c>
      <x:c r="C749" s="20" t="str">
        <x:v>IRQ</x:v>
      </x:c>
      <x:c r="D749" s="20" t="str">
        <x:v>United States</x:v>
      </x:c>
      <x:c r="E749" s="20" t="str">
        <x:v>American influence</x:v>
      </x:c>
      <x:c r="F749" s="20" t="str">
        <x:v>Security contractors</x:v>
      </x:c>
      <x:c r="G749" s="384" t="n">
        <x:v>9</x:v>
      </x:c>
      <x:c r="H749" s="396" t="n">
        <x:v>5</x:v>
      </x:c>
      <x:c r="I749" s="20" t="str">
        <x:v>SAM/Greenbook U.S. security contractor source register</x:v>
      </x:c>
      <x:c r="J749" s="397" t="str">
        <x:v>https://internationalpolicy.org/programs/sam/</x:v>
      </x:c>
      <x:c r="K749" s="20" t="str">
        <x:v>Primary source-register URL; automated screening score</x:v>
      </x:c>
      <x:c r="L749" s="20" t="str">
        <x:v>2026-05-20</x:v>
      </x:c>
      <x:c r="M749" s="20" t="str">
        <x:v>2026-05-20</x:v>
      </x:c>
      <x:c r="N749" s="20" t="str">
        <x:v>GPT-5.5 Pro</x:v>
      </x:c>
      <x:c r="O749" s="20" t="str">
        <x:v>Needs review</x:v>
      </x:c>
      <x:c r="P749" s="20" t="str">
        <x:v>Screening score for United States / Security contractors in Iraq; verify with country-specific evidence before final use.</x:v>
      </x:c>
    </x:row>
    <x:row r="750" ht="24" customHeight="1">
      <x:c r="A750" s="20" t="str">
        <x:v>IRQ|European Union|Propaganda ecosystems</x:v>
      </x:c>
      <x:c r="B750" s="20" t="str">
        <x:v>Iraq</x:v>
      </x:c>
      <x:c r="C750" s="20" t="str">
        <x:v>IRQ</x:v>
      </x:c>
      <x:c r="D750" s="20" t="str">
        <x:v>European Union</x:v>
      </x:c>
      <x:c r="E750" s="20" t="str">
        <x:v>EU influence</x:v>
      </x:c>
      <x:c r="F750" s="20" t="str">
        <x:v>Propaganda ecosystems</x:v>
      </x:c>
      <x:c r="G750" s="384" t="n">
        <x:v>2</x:v>
      </x:c>
      <x:c r="H750" s="396" t="n">
        <x:v>2</x:v>
      </x:c>
      <x:c r="I750" s="20" t="str">
        <x:v>EEAS public diplomacy source register</x:v>
      </x:c>
      <x:c r="J750" s="397" t="str">
        <x:v>https://www.eeas.europa.eu/eeas/public-diplomacy_en</x:v>
      </x:c>
      <x:c r="K750" s="20" t="str">
        <x:v>Primary source-register URL; automated screening score</x:v>
      </x:c>
      <x:c r="L750" s="20" t="str">
        <x:v>2026-05-20</x:v>
      </x:c>
      <x:c r="M750" s="20" t="str">
        <x:v>2026-05-20</x:v>
      </x:c>
      <x:c r="N750" s="20" t="str">
        <x:v>GPT-5.5 Pro</x:v>
      </x:c>
      <x:c r="O750" s="20" t="str">
        <x:v>Needs review</x:v>
      </x:c>
      <x:c r="P750" s="20" t="str">
        <x:v>Screening score for European Union / Propaganda ecosystems in Iraq; verify with country-specific evidence before final use.</x:v>
      </x:c>
    </x:row>
    <x:row r="751" ht="24" customHeight="1">
      <x:c r="A751" s="20" t="str">
        <x:v>IRQ|European Union|PMC presence</x:v>
      </x:c>
      <x:c r="B751" s="20" t="str">
        <x:v>Iraq</x:v>
      </x:c>
      <x:c r="C751" s="20" t="str">
        <x:v>IRQ</x:v>
      </x:c>
      <x:c r="D751" s="20" t="str">
        <x:v>European Union</x:v>
      </x:c>
      <x:c r="E751" s="20" t="str">
        <x:v>EU influence</x:v>
      </x:c>
      <x:c r="F751" s="20" t="str">
        <x:v>PMC presence</x:v>
      </x:c>
      <x:c r="G751" s="384" t="n">
        <x:v>1</x:v>
      </x:c>
      <x:c r="H751" s="396" t="n">
        <x:v>2</x:v>
      </x:c>
      <x:c r="I751" s="20" t="str">
        <x:v>EEAS CSDP missions source register</x:v>
      </x:c>
      <x:c r="J751" s="397" t="str">
        <x:v>https://www.eeas.europa.eu/eeas/missions-and-operations_en</x:v>
      </x:c>
      <x:c r="K751" s="20" t="str">
        <x:v>Primary source-register URL; automated screening score</x:v>
      </x:c>
      <x:c r="L751" s="20" t="str">
        <x:v>2026-05-20</x:v>
      </x:c>
      <x:c r="M751" s="20" t="str">
        <x:v>2026-05-20</x:v>
      </x:c>
      <x:c r="N751" s="20" t="str">
        <x:v>GPT-5.5 Pro</x:v>
      </x:c>
      <x:c r="O751" s="20" t="str">
        <x:v>Needs review</x:v>
      </x:c>
      <x:c r="P751" s="20" t="str">
        <x:v>Screening score for European Union / PMC presence in Iraq; verify with country-specific evidence before final use.</x:v>
      </x:c>
    </x:row>
    <x:row r="752" ht="24" customHeight="1">
      <x:c r="A752" s="20" t="str">
        <x:v>IRQ|European Union|Election interference</x:v>
      </x:c>
      <x:c r="B752" s="20" t="str">
        <x:v>Iraq</x:v>
      </x:c>
      <x:c r="C752" s="20" t="str">
        <x:v>IRQ</x:v>
      </x:c>
      <x:c r="D752" s="20" t="str">
        <x:v>European Union</x:v>
      </x:c>
      <x:c r="E752" s="20" t="str">
        <x:v>EU influence</x:v>
      </x:c>
      <x:c r="F752" s="20" t="str">
        <x:v>Election interference</x:v>
      </x:c>
      <x:c r="G752" s="384" t="n">
        <x:v>1</x:v>
      </x:c>
      <x:c r="H752" s="396" t="n">
        <x:v>2</x:v>
      </x:c>
      <x:c r="I752" s="20" t="str">
        <x:v>EEAS EU election observation source register</x:v>
      </x:c>
      <x:c r="J752" s="397" t="str">
        <x:v>https://www.eeas.europa.eu/eeas/eu-election-observation-missions-1_en?page_lang=en</x:v>
      </x:c>
      <x:c r="K752" s="20" t="str">
        <x:v>Primary source-register URL; automated screening score</x:v>
      </x:c>
      <x:c r="L752" s="20" t="str">
        <x:v>2026-05-20</x:v>
      </x:c>
      <x:c r="M752" s="20" t="str">
        <x:v>2026-05-20</x:v>
      </x:c>
      <x:c r="N752" s="20" t="str">
        <x:v>GPT-5.5 Pro</x:v>
      </x:c>
      <x:c r="O752" s="20" t="str">
        <x:v>Needs review</x:v>
      </x:c>
      <x:c r="P752" s="20" t="str">
        <x:v>Screening score for European Union / Election interference in Iraq; verify with country-specific evidence before final use.</x:v>
      </x:c>
    </x:row>
    <x:row r="753" ht="24" customHeight="1">
      <x:c r="A753" s="20" t="str">
        <x:v>IRQ|European Union|Security contractors</x:v>
      </x:c>
      <x:c r="B753" s="20" t="str">
        <x:v>Iraq</x:v>
      </x:c>
      <x:c r="C753" s="20" t="str">
        <x:v>IRQ</x:v>
      </x:c>
      <x:c r="D753" s="20" t="str">
        <x:v>European Union</x:v>
      </x:c>
      <x:c r="E753" s="20" t="str">
        <x:v>EU influence</x:v>
      </x:c>
      <x:c r="F753" s="20" t="str">
        <x:v>Security contractors</x:v>
      </x:c>
      <x:c r="G753" s="384" t="n">
        <x:v>4</x:v>
      </x:c>
      <x:c r="H753" s="396" t="n">
        <x:v>3</x:v>
      </x:c>
      <x:c r="I753" s="20" t="str">
        <x:v>EEAS CSDP / Global Gateway security source register</x:v>
      </x:c>
      <x:c r="J753" s="397" t="str">
        <x:v>https://www.eeas.europa.eu/eeas/missions-and-operations_en</x:v>
      </x:c>
      <x:c r="K753" s="20" t="str">
        <x:v>Primary source-register URL; automated screening score</x:v>
      </x:c>
      <x:c r="L753" s="20" t="str">
        <x:v>2026-05-20</x:v>
      </x:c>
      <x:c r="M753" s="20" t="str">
        <x:v>2026-05-20</x:v>
      </x:c>
      <x:c r="N753" s="20" t="str">
        <x:v>GPT-5.5 Pro</x:v>
      </x:c>
      <x:c r="O753" s="20" t="str">
        <x:v>Needs review</x:v>
      </x:c>
      <x:c r="P753" s="20" t="str">
        <x:v>Screening score for European Union / Security contractors in Iraq; verify with country-specific evidence before final use.</x:v>
      </x:c>
    </x:row>
    <x:row r="754" ht="24" customHeight="1">
      <x:c r="A754" s="20" t="str">
        <x:v>ISR|Russia|Propaganda ecosystems</x:v>
      </x:c>
      <x:c r="B754" s="20" t="str">
        <x:v>Israel</x:v>
      </x:c>
      <x:c r="C754" s="20" t="str">
        <x:v>ISR</x:v>
      </x:c>
      <x:c r="D754" s="20" t="str">
        <x:v>Russia</x:v>
      </x:c>
      <x:c r="E754" s="20" t="str">
        <x:v>Russian influence</x:v>
      </x:c>
      <x:c r="F754" s="20" t="str">
        <x:v>Propaganda ecosystems</x:v>
      </x:c>
      <x:c r="G754" s="384" t="n">
        <x:v>2</x:v>
      </x:c>
      <x:c r="H754" s="396" t="n">
        <x:v>2</x:v>
      </x:c>
      <x:c r="I754" s="20" t="str">
        <x:v>EEAS/EUvsDisinfo FIMI source register</x:v>
      </x:c>
      <x:c r="J754" s="397" t="str">
        <x:v>https://www.eeas.europa.eu/eeas/4th-eeas-annual-report-foreign-information-manipulation-and-interference-threats_en</x:v>
      </x:c>
      <x:c r="K754" s="20" t="str">
        <x:v>Primary source-register URL; automated screening score</x:v>
      </x:c>
      <x:c r="L754" s="20" t="str">
        <x:v>2026-05-20</x:v>
      </x:c>
      <x:c r="M754" s="20" t="str">
        <x:v>2026-05-20</x:v>
      </x:c>
      <x:c r="N754" s="20" t="str">
        <x:v>GPT-5.5 Pro</x:v>
      </x:c>
      <x:c r="O754" s="20" t="str">
        <x:v>Needs review</x:v>
      </x:c>
      <x:c r="P754" s="20" t="str">
        <x:v>Screening score for Russia / Propaganda ecosystems in Israel; verify with country-specific evidence before final use.</x:v>
      </x:c>
    </x:row>
    <x:row r="755" ht="24" customHeight="1">
      <x:c r="A755" s="20" t="str">
        <x:v>ISR|Russia|PMC presence</x:v>
      </x:c>
      <x:c r="B755" s="20" t="str">
        <x:v>Israel</x:v>
      </x:c>
      <x:c r="C755" s="20" t="str">
        <x:v>ISR</x:v>
      </x:c>
      <x:c r="D755" s="20" t="str">
        <x:v>Russia</x:v>
      </x:c>
      <x:c r="E755" s="20" t="str">
        <x:v>Russian influence</x:v>
      </x:c>
      <x:c r="F755" s="20" t="str">
        <x:v>PMC presence</x:v>
      </x:c>
      <x:c r="G755" s="384" t="n">
        <x:v>0</x:v>
      </x:c>
      <x:c r="H755" s="396" t="n">
        <x:v>1</x:v>
      </x:c>
      <x:c r="I755" s="20" t="str">
        <x:v>Treasury and Council of the EU Wagner/PMC source register</x:v>
      </x:c>
      <x:c r="J755" s="397" t="str">
        <x:v>https://www.consilium.europa.eu/en/press/press-releases/2023/02/25/wagner-group-council-adds-11-individuals-and-7-entities-to-eu-sanctions-lists/</x:v>
      </x:c>
      <x:c r="K755" s="20" t="str">
        <x:v>Primary source-register URL; automated screening score</x:v>
      </x:c>
      <x:c r="L755" s="20" t="str">
        <x:v>2026-05-20</x:v>
      </x:c>
      <x:c r="M755" s="20" t="str">
        <x:v>2026-05-20</x:v>
      </x:c>
      <x:c r="N755" s="20" t="str">
        <x:v>GPT-5.5 Pro</x:v>
      </x:c>
      <x:c r="O755" s="20" t="str">
        <x:v>Needs review</x:v>
      </x:c>
      <x:c r="P755" s="20" t="str">
        <x:v>Screening score for Russia / PMC presence in Israel; verify with country-specific evidence before final use.</x:v>
      </x:c>
    </x:row>
    <x:row r="756" ht="24" customHeight="1">
      <x:c r="A756" s="20" t="str">
        <x:v>ISR|Russia|Election interference</x:v>
      </x:c>
      <x:c r="B756" s="20" t="str">
        <x:v>Israel</x:v>
      </x:c>
      <x:c r="C756" s="20" t="str">
        <x:v>ISR</x:v>
      </x:c>
      <x:c r="D756" s="20" t="str">
        <x:v>Russia</x:v>
      </x:c>
      <x:c r="E756" s="20" t="str">
        <x:v>Russian influence</x:v>
      </x:c>
      <x:c r="F756" s="20" t="str">
        <x:v>Election interference</x:v>
      </x:c>
      <x:c r="G756" s="384" t="n">
        <x:v>0</x:v>
      </x:c>
      <x:c r="H756" s="396" t="n">
        <x:v>1</x:v>
      </x:c>
      <x:c r="I756" s="20" t="str">
        <x:v>ODNI/EEAS election-FIMI source register</x:v>
      </x:c>
      <x:c r="J756" s="397" t="str">
        <x:v>https://www.dni.gov/files/ODNI/documents/assessments/ATA-2026-Unclassified-Report.pdf</x:v>
      </x:c>
      <x:c r="K756" s="20" t="str">
        <x:v>Primary source-register URL; automated screening score</x:v>
      </x:c>
      <x:c r="L756" s="20" t="str">
        <x:v>2026-05-20</x:v>
      </x:c>
      <x:c r="M756" s="20" t="str">
        <x:v>2026-05-20</x:v>
      </x:c>
      <x:c r="N756" s="20" t="str">
        <x:v>GPT-5.5 Pro</x:v>
      </x:c>
      <x:c r="O756" s="20" t="str">
        <x:v>Needs review</x:v>
      </x:c>
      <x:c r="P756" s="20" t="str">
        <x:v>Screening score for Russia / Election interference in Israel; verify with country-specific evidence before final use.</x:v>
      </x:c>
    </x:row>
    <x:row r="757" ht="24" customHeight="1">
      <x:c r="A757" s="20" t="str">
        <x:v>ISR|Russia|Security contractors</x:v>
      </x:c>
      <x:c r="B757" s="20" t="str">
        <x:v>Israel</x:v>
      </x:c>
      <x:c r="C757" s="20" t="str">
        <x:v>ISR</x:v>
      </x:c>
      <x:c r="D757" s="20" t="str">
        <x:v>Russia</x:v>
      </x:c>
      <x:c r="E757" s="20" t="str">
        <x:v>Russian influence</x:v>
      </x:c>
      <x:c r="F757" s="20" t="str">
        <x:v>Security contractors</x:v>
      </x:c>
      <x:c r="G757" s="384" t="n">
        <x:v>0</x:v>
      </x:c>
      <x:c r="H757" s="396" t="n">
        <x:v>1</x:v>
      </x:c>
      <x:c r="I757" s="20" t="str">
        <x:v>Council of the EU/Treasury Wagner-security source register</x:v>
      </x:c>
      <x:c r="J757" s="397" t="str">
        <x:v>https://www.consilium.europa.eu/en/press/press-releases/2023/02/25/wagner-group-council-adds-11-individuals-and-7-entities-to-eu-sanctions-lists/</x:v>
      </x:c>
      <x:c r="K757" s="20" t="str">
        <x:v>Primary source-register URL; automated screening score</x:v>
      </x:c>
      <x:c r="L757" s="20" t="str">
        <x:v>2026-05-20</x:v>
      </x:c>
      <x:c r="M757" s="20" t="str">
        <x:v>2026-05-20</x:v>
      </x:c>
      <x:c r="N757" s="20" t="str">
        <x:v>GPT-5.5 Pro</x:v>
      </x:c>
      <x:c r="O757" s="20" t="str">
        <x:v>Needs review</x:v>
      </x:c>
      <x:c r="P757" s="20" t="str">
        <x:v>Screening score for Russia / Security contractors in Israel; verify with country-specific evidence before final use.</x:v>
      </x:c>
    </x:row>
    <x:row r="758" ht="24" customHeight="1">
      <x:c r="A758" s="20" t="str">
        <x:v>ISR|China|Propaganda ecosystems</x:v>
      </x:c>
      <x:c r="B758" s="20" t="str">
        <x:v>Israel</x:v>
      </x:c>
      <x:c r="C758" s="20" t="str">
        <x:v>ISR</x:v>
      </x:c>
      <x:c r="D758" s="20" t="str">
        <x:v>China</x:v>
      </x:c>
      <x:c r="E758" s="20" t="str">
        <x:v>Chinese influence</x:v>
      </x:c>
      <x:c r="F758" s="20" t="str">
        <x:v>Propaganda ecosystems</x:v>
      </x:c>
      <x:c r="G758" s="384" t="n">
        <x:v>3</x:v>
      </x:c>
      <x:c r="H758" s="396" t="n">
        <x:v>3</x:v>
      </x:c>
      <x:c r="I758" s="20" t="str">
        <x:v>EEAS/ODNI China FIMI source register</x:v>
      </x:c>
      <x:c r="J758" s="397" t="str">
        <x:v>https://www.eeas.europa.eu/eeas/4th-eeas-annual-report-foreign-information-manipulation-and-interference-threats_en</x:v>
      </x:c>
      <x:c r="K758" s="20" t="str">
        <x:v>Primary source-register URL; automated screening score</x:v>
      </x:c>
      <x:c r="L758" s="20" t="str">
        <x:v>2026-05-20</x:v>
      </x:c>
      <x:c r="M758" s="20" t="str">
        <x:v>2026-05-20</x:v>
      </x:c>
      <x:c r="N758" s="20" t="str">
        <x:v>GPT-5.5 Pro</x:v>
      </x:c>
      <x:c r="O758" s="20" t="str">
        <x:v>Needs review</x:v>
      </x:c>
      <x:c r="P758" s="20" t="str">
        <x:v>Screening score for China / Propaganda ecosystems in Israel; verify with country-specific evidence before final use.</x:v>
      </x:c>
    </x:row>
    <x:row r="759" ht="24" customHeight="1">
      <x:c r="A759" s="20" t="str">
        <x:v>ISR|China|PMC presence</x:v>
      </x:c>
      <x:c r="B759" s="20" t="str">
        <x:v>Israel</x:v>
      </x:c>
      <x:c r="C759" s="20" t="str">
        <x:v>ISR</x:v>
      </x:c>
      <x:c r="D759" s="20" t="str">
        <x:v>China</x:v>
      </x:c>
      <x:c r="E759" s="20" t="str">
        <x:v>Chinese influence</x:v>
      </x:c>
      <x:c r="F759" s="20" t="str">
        <x:v>PMC presence</x:v>
      </x:c>
      <x:c r="G759" s="384" t="n">
        <x:v>0</x:v>
      </x:c>
      <x:c r="H759" s="396" t="n">
        <x:v>1</x:v>
      </x:c>
      <x:c r="I759" s="20" t="str">
        <x:v>MERICS/Carnegie Chinese overseas PSC source register</x:v>
      </x:c>
      <x:c r="J759" s="397" t="str">
        <x:v>https://merics.org/en/report/guardians-belt-and-road</x:v>
      </x:c>
      <x:c r="K759" s="20" t="str">
        <x:v>Primary source-register URL; automated screening score</x:v>
      </x:c>
      <x:c r="L759" s="20" t="str">
        <x:v>2026-05-20</x:v>
      </x:c>
      <x:c r="M759" s="20" t="str">
        <x:v>2026-05-20</x:v>
      </x:c>
      <x:c r="N759" s="20" t="str">
        <x:v>GPT-5.5 Pro</x:v>
      </x:c>
      <x:c r="O759" s="20" t="str">
        <x:v>Needs review</x:v>
      </x:c>
      <x:c r="P759" s="20" t="str">
        <x:v>Screening score for China / PMC presence in Israel; verify with country-specific evidence before final use.</x:v>
      </x:c>
    </x:row>
    <x:row r="760" ht="24" customHeight="1">
      <x:c r="A760" s="20" t="str">
        <x:v>ISR|China|Election interference</x:v>
      </x:c>
      <x:c r="B760" s="20" t="str">
        <x:v>Israel</x:v>
      </x:c>
      <x:c r="C760" s="20" t="str">
        <x:v>ISR</x:v>
      </x:c>
      <x:c r="D760" s="20" t="str">
        <x:v>China</x:v>
      </x:c>
      <x:c r="E760" s="20" t="str">
        <x:v>Chinese influence</x:v>
      </x:c>
      <x:c r="F760" s="20" t="str">
        <x:v>Election interference</x:v>
      </x:c>
      <x:c r="G760" s="384" t="n">
        <x:v>1</x:v>
      </x:c>
      <x:c r="H760" s="396" t="n">
        <x:v>2</x:v>
      </x:c>
      <x:c r="I760" s="20" t="str">
        <x:v>EEAS/ODNI China election-FIMI source register</x:v>
      </x:c>
      <x:c r="J760" s="397" t="str">
        <x:v>https://www.eeas.europa.eu/eeas/4th-eeas-annual-report-foreign-information-manipulation-and-interference-threats_en</x:v>
      </x:c>
      <x:c r="K760" s="20" t="str">
        <x:v>Primary source-register URL; automated screening score</x:v>
      </x:c>
      <x:c r="L760" s="20" t="str">
        <x:v>2026-05-20</x:v>
      </x:c>
      <x:c r="M760" s="20" t="str">
        <x:v>2026-05-20</x:v>
      </x:c>
      <x:c r="N760" s="20" t="str">
        <x:v>GPT-5.5 Pro</x:v>
      </x:c>
      <x:c r="O760" s="20" t="str">
        <x:v>Needs review</x:v>
      </x:c>
      <x:c r="P760" s="20" t="str">
        <x:v>Screening score for China / Election interference in Israel; verify with country-specific evidence before final use.</x:v>
      </x:c>
    </x:row>
    <x:row r="761" ht="24" customHeight="1">
      <x:c r="A761" s="20" t="str">
        <x:v>ISR|China|Security contractors</x:v>
      </x:c>
      <x:c r="B761" s="20" t="str">
        <x:v>Israel</x:v>
      </x:c>
      <x:c r="C761" s="20" t="str">
        <x:v>ISR</x:v>
      </x:c>
      <x:c r="D761" s="20" t="str">
        <x:v>China</x:v>
      </x:c>
      <x:c r="E761" s="20" t="str">
        <x:v>Chinese influence</x:v>
      </x:c>
      <x:c r="F761" s="20" t="str">
        <x:v>Security contractors</x:v>
      </x:c>
      <x:c r="G761" s="384" t="n">
        <x:v>1</x:v>
      </x:c>
      <x:c r="H761" s="396" t="n">
        <x:v>2</x:v>
      </x:c>
      <x:c r="I761" s="20" t="str">
        <x:v>MERICS/Carnegie Chinese security contractor source register</x:v>
      </x:c>
      <x:c r="J761" s="397" t="str">
        <x:v>https://merics.org/en/report/guardians-belt-and-road</x:v>
      </x:c>
      <x:c r="K761" s="20" t="str">
        <x:v>Primary source-register URL; automated screening score</x:v>
      </x:c>
      <x:c r="L761" s="20" t="str">
        <x:v>2026-05-20</x:v>
      </x:c>
      <x:c r="M761" s="20" t="str">
        <x:v>2026-05-20</x:v>
      </x:c>
      <x:c r="N761" s="20" t="str">
        <x:v>GPT-5.5 Pro</x:v>
      </x:c>
      <x:c r="O761" s="20" t="str">
        <x:v>Needs review</x:v>
      </x:c>
      <x:c r="P761" s="20" t="str">
        <x:v>Screening score for China / Security contractors in Israel; verify with country-specific evidence before final use.</x:v>
      </x:c>
    </x:row>
    <x:row r="762" ht="24" customHeight="1">
      <x:c r="A762" s="20" t="str">
        <x:v>ISR|United States|Propaganda ecosystems</x:v>
      </x:c>
      <x:c r="B762" s="20" t="str">
        <x:v>Israel</x:v>
      </x:c>
      <x:c r="C762" s="20" t="str">
        <x:v>ISR</x:v>
      </x:c>
      <x:c r="D762" s="20" t="str">
        <x:v>United States</x:v>
      </x:c>
      <x:c r="E762" s="20" t="str">
        <x:v>American influence</x:v>
      </x:c>
      <x:c r="F762" s="20" t="str">
        <x:v>Propaganda ecosystems</x:v>
      </x:c>
      <x:c r="G762" s="384" t="n">
        <x:v>5</x:v>
      </x:c>
      <x:c r="H762" s="396" t="n">
        <x:v>3</x:v>
      </x:c>
      <x:c r="I762" s="20" t="str">
        <x:v>USAGM public media source register</x:v>
      </x:c>
      <x:c r="J762" s="397" t="str">
        <x:v>https://www.usagm.gov/our-work/strategy-and-results/strategic-priorities/research-reports/</x:v>
      </x:c>
      <x:c r="K762" s="20" t="str">
        <x:v>Primary source-register URL; automated screening score</x:v>
      </x:c>
      <x:c r="L762" s="20" t="str">
        <x:v>2026-05-20</x:v>
      </x:c>
      <x:c r="M762" s="20" t="str">
        <x:v>2026-05-20</x:v>
      </x:c>
      <x:c r="N762" s="20" t="str">
        <x:v>GPT-5.5 Pro</x:v>
      </x:c>
      <x:c r="O762" s="20" t="str">
        <x:v>Needs review</x:v>
      </x:c>
      <x:c r="P762" s="20" t="str">
        <x:v>Screening score for United States / Propaganda ecosystems in Israel; verify with country-specific evidence before final use.</x:v>
      </x:c>
    </x:row>
    <x:row r="763" ht="24" customHeight="1">
      <x:c r="A763" s="20" t="str">
        <x:v>ISR|United States|PMC presence</x:v>
      </x:c>
      <x:c r="B763" s="20" t="str">
        <x:v>Israel</x:v>
      </x:c>
      <x:c r="C763" s="20" t="str">
        <x:v>ISR</x:v>
      </x:c>
      <x:c r="D763" s="20" t="str">
        <x:v>United States</x:v>
      </x:c>
      <x:c r="E763" s="20" t="str">
        <x:v>American influence</x:v>
      </x:c>
      <x:c r="F763" s="20" t="str">
        <x:v>PMC presence</x:v>
      </x:c>
      <x:c r="G763" s="384" t="n">
        <x:v>5</x:v>
      </x:c>
      <x:c r="H763" s="396" t="n">
        <x:v>3</x:v>
      </x:c>
      <x:c r="I763" s="20" t="str">
        <x:v>SAM/Greenbook U.S. security assistance contractor source register</x:v>
      </x:c>
      <x:c r="J763" s="397" t="str">
        <x:v>https://internationalpolicy.org/programs/sam/</x:v>
      </x:c>
      <x:c r="K763" s="20" t="str">
        <x:v>Primary source-register URL; automated screening score</x:v>
      </x:c>
      <x:c r="L763" s="20" t="str">
        <x:v>2026-05-20</x:v>
      </x:c>
      <x:c r="M763" s="20" t="str">
        <x:v>2026-05-20</x:v>
      </x:c>
      <x:c r="N763" s="20" t="str">
        <x:v>GPT-5.5 Pro</x:v>
      </x:c>
      <x:c r="O763" s="20" t="str">
        <x:v>Needs review</x:v>
      </x:c>
      <x:c r="P763" s="20" t="str">
        <x:v>Screening score for United States / PMC presence in Israel; verify with country-specific evidence before final use.</x:v>
      </x:c>
    </x:row>
    <x:row r="764" ht="24" customHeight="1">
      <x:c r="A764" s="20" t="str">
        <x:v>ISR|United States|Election interference</x:v>
      </x:c>
      <x:c r="B764" s="20" t="str">
        <x:v>Israel</x:v>
      </x:c>
      <x:c r="C764" s="20" t="str">
        <x:v>ISR</x:v>
      </x:c>
      <x:c r="D764" s="20" t="str">
        <x:v>United States</x:v>
      </x:c>
      <x:c r="E764" s="20" t="str">
        <x:v>American influence</x:v>
      </x:c>
      <x:c r="F764" s="20" t="str">
        <x:v>Election interference</x:v>
      </x:c>
      <x:c r="G764" s="384" t="n">
        <x:v>2</x:v>
      </x:c>
      <x:c r="H764" s="396" t="n">
        <x:v>2</x:v>
      </x:c>
      <x:c r="I764" s="20" t="str">
        <x:v>NED/Greenbook democracy assistance source register</x:v>
      </x:c>
      <x:c r="J764" s="397" t="str">
        <x:v>https://www.ned.org/ned-grantmaking/</x:v>
      </x:c>
      <x:c r="K764" s="20" t="str">
        <x:v>Primary source-register URL; automated screening score</x:v>
      </x:c>
      <x:c r="L764" s="20" t="str">
        <x:v>2026-05-20</x:v>
      </x:c>
      <x:c r="M764" s="20" t="str">
        <x:v>2026-05-20</x:v>
      </x:c>
      <x:c r="N764" s="20" t="str">
        <x:v>GPT-5.5 Pro</x:v>
      </x:c>
      <x:c r="O764" s="20" t="str">
        <x:v>Needs review</x:v>
      </x:c>
      <x:c r="P764" s="20" t="str">
        <x:v>Screening score for United States / Election interference in Israel; verify with country-specific evidence before final use.</x:v>
      </x:c>
    </x:row>
    <x:row r="765" ht="24" customHeight="1">
      <x:c r="A765" s="20" t="str">
        <x:v>ISR|United States|Security contractors</x:v>
      </x:c>
      <x:c r="B765" s="20" t="str">
        <x:v>Israel</x:v>
      </x:c>
      <x:c r="C765" s="20" t="str">
        <x:v>ISR</x:v>
      </x:c>
      <x:c r="D765" s="20" t="str">
        <x:v>United States</x:v>
      </x:c>
      <x:c r="E765" s="20" t="str">
        <x:v>American influence</x:v>
      </x:c>
      <x:c r="F765" s="20" t="str">
        <x:v>Security contractors</x:v>
      </x:c>
      <x:c r="G765" s="384" t="n">
        <x:v>8</x:v>
      </x:c>
      <x:c r="H765" s="396" t="n">
        <x:v>4</x:v>
      </x:c>
      <x:c r="I765" s="20" t="str">
        <x:v>SAM/Greenbook U.S. security contractor source register</x:v>
      </x:c>
      <x:c r="J765" s="397" t="str">
        <x:v>https://internationalpolicy.org/programs/sam/</x:v>
      </x:c>
      <x:c r="K765" s="20" t="str">
        <x:v>Primary source-register URL; automated screening score</x:v>
      </x:c>
      <x:c r="L765" s="20" t="str">
        <x:v>2026-05-20</x:v>
      </x:c>
      <x:c r="M765" s="20" t="str">
        <x:v>2026-05-20</x:v>
      </x:c>
      <x:c r="N765" s="20" t="str">
        <x:v>GPT-5.5 Pro</x:v>
      </x:c>
      <x:c r="O765" s="20" t="str">
        <x:v>Needs review</x:v>
      </x:c>
      <x:c r="P765" s="20" t="str">
        <x:v>Screening score for United States / Security contractors in Israel; verify with country-specific evidence before final use.</x:v>
      </x:c>
    </x:row>
    <x:row r="766" ht="24" customHeight="1">
      <x:c r="A766" s="20" t="str">
        <x:v>ISR|European Union|Propaganda ecosystems</x:v>
      </x:c>
      <x:c r="B766" s="20" t="str">
        <x:v>Israel</x:v>
      </x:c>
      <x:c r="C766" s="20" t="str">
        <x:v>ISR</x:v>
      </x:c>
      <x:c r="D766" s="20" t="str">
        <x:v>European Union</x:v>
      </x:c>
      <x:c r="E766" s="20" t="str">
        <x:v>EU influence</x:v>
      </x:c>
      <x:c r="F766" s="20" t="str">
        <x:v>Propaganda ecosystems</x:v>
      </x:c>
      <x:c r="G766" s="384" t="n">
        <x:v>2</x:v>
      </x:c>
      <x:c r="H766" s="396" t="n">
        <x:v>2</x:v>
      </x:c>
      <x:c r="I766" s="20" t="str">
        <x:v>EEAS public diplomacy source register</x:v>
      </x:c>
      <x:c r="J766" s="397" t="str">
        <x:v>https://www.eeas.europa.eu/eeas/public-diplomacy_en</x:v>
      </x:c>
      <x:c r="K766" s="20" t="str">
        <x:v>Primary source-register URL; automated screening score</x:v>
      </x:c>
      <x:c r="L766" s="20" t="str">
        <x:v>2026-05-20</x:v>
      </x:c>
      <x:c r="M766" s="20" t="str">
        <x:v>2026-05-20</x:v>
      </x:c>
      <x:c r="N766" s="20" t="str">
        <x:v>GPT-5.5 Pro</x:v>
      </x:c>
      <x:c r="O766" s="20" t="str">
        <x:v>Needs review</x:v>
      </x:c>
      <x:c r="P766" s="20" t="str">
        <x:v>Screening score for European Union / Propaganda ecosystems in Israel; verify with country-specific evidence before final use.</x:v>
      </x:c>
    </x:row>
    <x:row r="767" ht="24" customHeight="1">
      <x:c r="A767" s="20" t="str">
        <x:v>ISR|European Union|PMC presence</x:v>
      </x:c>
      <x:c r="B767" s="20" t="str">
        <x:v>Israel</x:v>
      </x:c>
      <x:c r="C767" s="20" t="str">
        <x:v>ISR</x:v>
      </x:c>
      <x:c r="D767" s="20" t="str">
        <x:v>European Union</x:v>
      </x:c>
      <x:c r="E767" s="20" t="str">
        <x:v>EU influence</x:v>
      </x:c>
      <x:c r="F767" s="20" t="str">
        <x:v>PMC presence</x:v>
      </x:c>
      <x:c r="G767" s="384" t="n">
        <x:v>0</x:v>
      </x:c>
      <x:c r="H767" s="396" t="n">
        <x:v>1</x:v>
      </x:c>
      <x:c r="I767" s="20" t="str">
        <x:v>EEAS CSDP missions source register</x:v>
      </x:c>
      <x:c r="J767" s="397" t="str">
        <x:v>https://www.eeas.europa.eu/eeas/missions-and-operations_en</x:v>
      </x:c>
      <x:c r="K767" s="20" t="str">
        <x:v>Primary source-register URL; automated screening score</x:v>
      </x:c>
      <x:c r="L767" s="20" t="str">
        <x:v>2026-05-20</x:v>
      </x:c>
      <x:c r="M767" s="20" t="str">
        <x:v>2026-05-20</x:v>
      </x:c>
      <x:c r="N767" s="20" t="str">
        <x:v>GPT-5.5 Pro</x:v>
      </x:c>
      <x:c r="O767" s="20" t="str">
        <x:v>Needs review</x:v>
      </x:c>
      <x:c r="P767" s="20" t="str">
        <x:v>Screening score for European Union / PMC presence in Israel; verify with country-specific evidence before final use.</x:v>
      </x:c>
    </x:row>
    <x:row r="768" ht="24" customHeight="1">
      <x:c r="A768" s="20" t="str">
        <x:v>ISR|European Union|Election interference</x:v>
      </x:c>
      <x:c r="B768" s="20" t="str">
        <x:v>Israel</x:v>
      </x:c>
      <x:c r="C768" s="20" t="str">
        <x:v>ISR</x:v>
      </x:c>
      <x:c r="D768" s="20" t="str">
        <x:v>European Union</x:v>
      </x:c>
      <x:c r="E768" s="20" t="str">
        <x:v>EU influence</x:v>
      </x:c>
      <x:c r="F768" s="20" t="str">
        <x:v>Election interference</x:v>
      </x:c>
      <x:c r="G768" s="384" t="n">
        <x:v>1</x:v>
      </x:c>
      <x:c r="H768" s="396" t="n">
        <x:v>2</x:v>
      </x:c>
      <x:c r="I768" s="20" t="str">
        <x:v>EEAS EU election observation source register</x:v>
      </x:c>
      <x:c r="J768" s="397" t="str">
        <x:v>https://www.eeas.europa.eu/eeas/eu-election-observation-missions-1_en?page_lang=en</x:v>
      </x:c>
      <x:c r="K768" s="20" t="str">
        <x:v>Primary source-register URL; automated screening score</x:v>
      </x:c>
      <x:c r="L768" s="20" t="str">
        <x:v>2026-05-20</x:v>
      </x:c>
      <x:c r="M768" s="20" t="str">
        <x:v>2026-05-20</x:v>
      </x:c>
      <x:c r="N768" s="20" t="str">
        <x:v>GPT-5.5 Pro</x:v>
      </x:c>
      <x:c r="O768" s="20" t="str">
        <x:v>Needs review</x:v>
      </x:c>
      <x:c r="P768" s="20" t="str">
        <x:v>Screening score for European Union / Election interference in Israel; verify with country-specific evidence before final use.</x:v>
      </x:c>
    </x:row>
    <x:row r="769" ht="24" customHeight="1">
      <x:c r="A769" s="20" t="str">
        <x:v>ISR|European Union|Security contractors</x:v>
      </x:c>
      <x:c r="B769" s="20" t="str">
        <x:v>Israel</x:v>
      </x:c>
      <x:c r="C769" s="20" t="str">
        <x:v>ISR</x:v>
      </x:c>
      <x:c r="D769" s="20" t="str">
        <x:v>European Union</x:v>
      </x:c>
      <x:c r="E769" s="20" t="str">
        <x:v>EU influence</x:v>
      </x:c>
      <x:c r="F769" s="20" t="str">
        <x:v>Security contractors</x:v>
      </x:c>
      <x:c r="G769" s="384" t="n">
        <x:v>2</x:v>
      </x:c>
      <x:c r="H769" s="396" t="n">
        <x:v>2</x:v>
      </x:c>
      <x:c r="I769" s="20" t="str">
        <x:v>EEAS CSDP / Global Gateway security source register</x:v>
      </x:c>
      <x:c r="J769" s="397" t="str">
        <x:v>https://www.eeas.europa.eu/eeas/missions-and-operations_en</x:v>
      </x:c>
      <x:c r="K769" s="20" t="str">
        <x:v>Primary source-register URL; automated screening score</x:v>
      </x:c>
      <x:c r="L769" s="20" t="str">
        <x:v>2026-05-20</x:v>
      </x:c>
      <x:c r="M769" s="20" t="str">
        <x:v>2026-05-20</x:v>
      </x:c>
      <x:c r="N769" s="20" t="str">
        <x:v>GPT-5.5 Pro</x:v>
      </x:c>
      <x:c r="O769" s="20" t="str">
        <x:v>Needs review</x:v>
      </x:c>
      <x:c r="P769" s="20" t="str">
        <x:v>Screening score for European Union / Security contractors in Israel; verify with country-specific evidence before final use.</x:v>
      </x:c>
    </x:row>
    <x:row r="770" ht="24" customHeight="1">
      <x:c r="A770" s="20" t="str">
        <x:v>ITA|Russia|Propaganda ecosystems</x:v>
      </x:c>
      <x:c r="B770" s="20" t="str">
        <x:v>Italy</x:v>
      </x:c>
      <x:c r="C770" s="20" t="str">
        <x:v>ITA</x:v>
      </x:c>
      <x:c r="D770" s="20" t="str">
        <x:v>Russia</x:v>
      </x:c>
      <x:c r="E770" s="20" t="str">
        <x:v>Russian influence</x:v>
      </x:c>
      <x:c r="F770" s="20" t="str">
        <x:v>Propaganda ecosystems</x:v>
      </x:c>
      <x:c r="G770" s="384" t="n">
        <x:v>5</x:v>
      </x:c>
      <x:c r="H770" s="396" t="n">
        <x:v>3</x:v>
      </x:c>
      <x:c r="I770" s="20" t="str">
        <x:v>EEAS/EUvsDisinfo FIMI source register</x:v>
      </x:c>
      <x:c r="J770" s="397" t="str">
        <x:v>https://www.eeas.europa.eu/eeas/4th-eeas-annual-report-foreign-information-manipulation-and-interference-threats_en</x:v>
      </x:c>
      <x:c r="K770" s="20" t="str">
        <x:v>Primary source-register URL; automated screening score</x:v>
      </x:c>
      <x:c r="L770" s="20" t="str">
        <x:v>2026-05-20</x:v>
      </x:c>
      <x:c r="M770" s="20" t="str">
        <x:v>2026-05-20</x:v>
      </x:c>
      <x:c r="N770" s="20" t="str">
        <x:v>GPT-5.5 Pro</x:v>
      </x:c>
      <x:c r="O770" s="20" t="str">
        <x:v>Needs review</x:v>
      </x:c>
      <x:c r="P770" s="20" t="str">
        <x:v>Screening score for Russia / Propaganda ecosystems in Italy; verify with country-specific evidence before final use.</x:v>
      </x:c>
    </x:row>
    <x:row r="771" ht="24" customHeight="1">
      <x:c r="A771" s="20" t="str">
        <x:v>ITA|Russia|PMC presence</x:v>
      </x:c>
      <x:c r="B771" s="20" t="str">
        <x:v>Italy</x:v>
      </x:c>
      <x:c r="C771" s="20" t="str">
        <x:v>ITA</x:v>
      </x:c>
      <x:c r="D771" s="20" t="str">
        <x:v>Russia</x:v>
      </x:c>
      <x:c r="E771" s="20" t="str">
        <x:v>Russian influence</x:v>
      </x:c>
      <x:c r="F771" s="20" t="str">
        <x:v>PMC presence</x:v>
      </x:c>
      <x:c r="G771" s="384" t="n">
        <x:v>0</x:v>
      </x:c>
      <x:c r="H771" s="396" t="n">
        <x:v>1</x:v>
      </x:c>
      <x:c r="I771" s="20" t="str">
        <x:v>Treasury and Council of the EU Wagner/PMC source register</x:v>
      </x:c>
      <x:c r="J771" s="397" t="str">
        <x:v>https://www.consilium.europa.eu/en/press/press-releases/2023/02/25/wagner-group-council-adds-11-individuals-and-7-entities-to-eu-sanctions-lists/</x:v>
      </x:c>
      <x:c r="K771" s="20" t="str">
        <x:v>Primary source-register URL; automated screening score</x:v>
      </x:c>
      <x:c r="L771" s="20" t="str">
        <x:v>2026-05-20</x:v>
      </x:c>
      <x:c r="M771" s="20" t="str">
        <x:v>2026-05-20</x:v>
      </x:c>
      <x:c r="N771" s="20" t="str">
        <x:v>GPT-5.5 Pro</x:v>
      </x:c>
      <x:c r="O771" s="20" t="str">
        <x:v>Needs review</x:v>
      </x:c>
      <x:c r="P771" s="20" t="str">
        <x:v>Screening score for Russia / PMC presence in Italy; verify with country-specific evidence before final use.</x:v>
      </x:c>
    </x:row>
    <x:row r="772" ht="24" customHeight="1">
      <x:c r="A772" s="20" t="str">
        <x:v>ITA|Russia|Election interference</x:v>
      </x:c>
      <x:c r="B772" s="20" t="str">
        <x:v>Italy</x:v>
      </x:c>
      <x:c r="C772" s="20" t="str">
        <x:v>ITA</x:v>
      </x:c>
      <x:c r="D772" s="20" t="str">
        <x:v>Russia</x:v>
      </x:c>
      <x:c r="E772" s="20" t="str">
        <x:v>Russian influence</x:v>
      </x:c>
      <x:c r="F772" s="20" t="str">
        <x:v>Election interference</x:v>
      </x:c>
      <x:c r="G772" s="384" t="n">
        <x:v>5</x:v>
      </x:c>
      <x:c r="H772" s="396" t="n">
        <x:v>3</x:v>
      </x:c>
      <x:c r="I772" s="20" t="str">
        <x:v>ODNI/EEAS election-FIMI source register</x:v>
      </x:c>
      <x:c r="J772" s="397" t="str">
        <x:v>https://www.dni.gov/files/ODNI/documents/assessments/ATA-2026-Unclassified-Report.pdf</x:v>
      </x:c>
      <x:c r="K772" s="20" t="str">
        <x:v>Primary source-register URL; automated screening score</x:v>
      </x:c>
      <x:c r="L772" s="20" t="str">
        <x:v>2026-05-20</x:v>
      </x:c>
      <x:c r="M772" s="20" t="str">
        <x:v>2026-05-20</x:v>
      </x:c>
      <x:c r="N772" s="20" t="str">
        <x:v>GPT-5.5 Pro</x:v>
      </x:c>
      <x:c r="O772" s="20" t="str">
        <x:v>Needs review</x:v>
      </x:c>
      <x:c r="P772" s="20" t="str">
        <x:v>Screening score for Russia / Election interference in Italy; verify with country-specific evidence before final use.</x:v>
      </x:c>
    </x:row>
    <x:row r="773" ht="24" customHeight="1">
      <x:c r="A773" s="20" t="str">
        <x:v>ITA|Russia|Security contractors</x:v>
      </x:c>
      <x:c r="B773" s="20" t="str">
        <x:v>Italy</x:v>
      </x:c>
      <x:c r="C773" s="20" t="str">
        <x:v>ITA</x:v>
      </x:c>
      <x:c r="D773" s="20" t="str">
        <x:v>Russia</x:v>
      </x:c>
      <x:c r="E773" s="20" t="str">
        <x:v>Russian influence</x:v>
      </x:c>
      <x:c r="F773" s="20" t="str">
        <x:v>Security contractors</x:v>
      </x:c>
      <x:c r="G773" s="384" t="n">
        <x:v>0</x:v>
      </x:c>
      <x:c r="H773" s="396" t="n">
        <x:v>1</x:v>
      </x:c>
      <x:c r="I773" s="20" t="str">
        <x:v>Council of the EU/Treasury Wagner-security source register</x:v>
      </x:c>
      <x:c r="J773" s="397" t="str">
        <x:v>https://www.consilium.europa.eu/en/press/press-releases/2023/02/25/wagner-group-council-adds-11-individuals-and-7-entities-to-eu-sanctions-lists/</x:v>
      </x:c>
      <x:c r="K773" s="20" t="str">
        <x:v>Primary source-register URL; automated screening score</x:v>
      </x:c>
      <x:c r="L773" s="20" t="str">
        <x:v>2026-05-20</x:v>
      </x:c>
      <x:c r="M773" s="20" t="str">
        <x:v>2026-05-20</x:v>
      </x:c>
      <x:c r="N773" s="20" t="str">
        <x:v>GPT-5.5 Pro</x:v>
      </x:c>
      <x:c r="O773" s="20" t="str">
        <x:v>Needs review</x:v>
      </x:c>
      <x:c r="P773" s="20" t="str">
        <x:v>Screening score for Russia / Security contractors in Italy; verify with country-specific evidence before final use.</x:v>
      </x:c>
    </x:row>
    <x:row r="774" ht="24" customHeight="1">
      <x:c r="A774" s="20" t="str">
        <x:v>ITA|China|Propaganda ecosystems</x:v>
      </x:c>
      <x:c r="B774" s="20" t="str">
        <x:v>Italy</x:v>
      </x:c>
      <x:c r="C774" s="20" t="str">
        <x:v>ITA</x:v>
      </x:c>
      <x:c r="D774" s="20" t="str">
        <x:v>China</x:v>
      </x:c>
      <x:c r="E774" s="20" t="str">
        <x:v>Chinese influence</x:v>
      </x:c>
      <x:c r="F774" s="20" t="str">
        <x:v>Propaganda ecosystems</x:v>
      </x:c>
      <x:c r="G774" s="384" t="n">
        <x:v>5</x:v>
      </x:c>
      <x:c r="H774" s="396" t="n">
        <x:v>3</x:v>
      </x:c>
      <x:c r="I774" s="20" t="str">
        <x:v>EEAS/ODNI China FIMI source register</x:v>
      </x:c>
      <x:c r="J774" s="397" t="str">
        <x:v>https://www.eeas.europa.eu/eeas/4th-eeas-annual-report-foreign-information-manipulation-and-interference-threats_en</x:v>
      </x:c>
      <x:c r="K774" s="20" t="str">
        <x:v>Primary source-register URL; automated screening score</x:v>
      </x:c>
      <x:c r="L774" s="20" t="str">
        <x:v>2026-05-20</x:v>
      </x:c>
      <x:c r="M774" s="20" t="str">
        <x:v>2026-05-20</x:v>
      </x:c>
      <x:c r="N774" s="20" t="str">
        <x:v>GPT-5.5 Pro</x:v>
      </x:c>
      <x:c r="O774" s="20" t="str">
        <x:v>Needs review</x:v>
      </x:c>
      <x:c r="P774" s="20" t="str">
        <x:v>Screening score for China / Propaganda ecosystems in Italy; verify with country-specific evidence before final use.</x:v>
      </x:c>
    </x:row>
    <x:row r="775" ht="24" customHeight="1">
      <x:c r="A775" s="20" t="str">
        <x:v>ITA|China|PMC presence</x:v>
      </x:c>
      <x:c r="B775" s="20" t="str">
        <x:v>Italy</x:v>
      </x:c>
      <x:c r="C775" s="20" t="str">
        <x:v>ITA</x:v>
      </x:c>
      <x:c r="D775" s="20" t="str">
        <x:v>China</x:v>
      </x:c>
      <x:c r="E775" s="20" t="str">
        <x:v>Chinese influence</x:v>
      </x:c>
      <x:c r="F775" s="20" t="str">
        <x:v>PMC presence</x:v>
      </x:c>
      <x:c r="G775" s="384" t="n">
        <x:v>0</x:v>
      </x:c>
      <x:c r="H775" s="396" t="n">
        <x:v>1</x:v>
      </x:c>
      <x:c r="I775" s="20" t="str">
        <x:v>MERICS/Carnegie Chinese overseas PSC source register</x:v>
      </x:c>
      <x:c r="J775" s="397" t="str">
        <x:v>https://merics.org/en/report/guardians-belt-and-road</x:v>
      </x:c>
      <x:c r="K775" s="20" t="str">
        <x:v>Primary source-register URL; automated screening score</x:v>
      </x:c>
      <x:c r="L775" s="20" t="str">
        <x:v>2026-05-20</x:v>
      </x:c>
      <x:c r="M775" s="20" t="str">
        <x:v>2026-05-20</x:v>
      </x:c>
      <x:c r="N775" s="20" t="str">
        <x:v>GPT-5.5 Pro</x:v>
      </x:c>
      <x:c r="O775" s="20" t="str">
        <x:v>Needs review</x:v>
      </x:c>
      <x:c r="P775" s="20" t="str">
        <x:v>Screening score for China / PMC presence in Italy; verify with country-specific evidence before final use.</x:v>
      </x:c>
    </x:row>
    <x:row r="776" ht="24" customHeight="1">
      <x:c r="A776" s="20" t="str">
        <x:v>ITA|China|Election interference</x:v>
      </x:c>
      <x:c r="B776" s="20" t="str">
        <x:v>Italy</x:v>
      </x:c>
      <x:c r="C776" s="20" t="str">
        <x:v>ITA</x:v>
      </x:c>
      <x:c r="D776" s="20" t="str">
        <x:v>China</x:v>
      </x:c>
      <x:c r="E776" s="20" t="str">
        <x:v>Chinese influence</x:v>
      </x:c>
      <x:c r="F776" s="20" t="str">
        <x:v>Election interference</x:v>
      </x:c>
      <x:c r="G776" s="384" t="n">
        <x:v>3</x:v>
      </x:c>
      <x:c r="H776" s="396" t="n">
        <x:v>3</x:v>
      </x:c>
      <x:c r="I776" s="20" t="str">
        <x:v>EEAS/ODNI China election-FIMI source register</x:v>
      </x:c>
      <x:c r="J776" s="397" t="str">
        <x:v>https://www.eeas.europa.eu/eeas/4th-eeas-annual-report-foreign-information-manipulation-and-interference-threats_en</x:v>
      </x:c>
      <x:c r="K776" s="20" t="str">
        <x:v>Primary source-register URL; automated screening score</x:v>
      </x:c>
      <x:c r="L776" s="20" t="str">
        <x:v>2026-05-20</x:v>
      </x:c>
      <x:c r="M776" s="20" t="str">
        <x:v>2026-05-20</x:v>
      </x:c>
      <x:c r="N776" s="20" t="str">
        <x:v>GPT-5.5 Pro</x:v>
      </x:c>
      <x:c r="O776" s="20" t="str">
        <x:v>Needs review</x:v>
      </x:c>
      <x:c r="P776" s="20" t="str">
        <x:v>Screening score for China / Election interference in Italy; verify with country-specific evidence before final use.</x:v>
      </x:c>
    </x:row>
    <x:row r="777" ht="24" customHeight="1">
      <x:c r="A777" s="20" t="str">
        <x:v>ITA|China|Security contractors</x:v>
      </x:c>
      <x:c r="B777" s="20" t="str">
        <x:v>Italy</x:v>
      </x:c>
      <x:c r="C777" s="20" t="str">
        <x:v>ITA</x:v>
      </x:c>
      <x:c r="D777" s="20" t="str">
        <x:v>China</x:v>
      </x:c>
      <x:c r="E777" s="20" t="str">
        <x:v>Chinese influence</x:v>
      </x:c>
      <x:c r="F777" s="20" t="str">
        <x:v>Security contractors</x:v>
      </x:c>
      <x:c r="G777" s="384" t="n">
        <x:v>0</x:v>
      </x:c>
      <x:c r="H777" s="396" t="n">
        <x:v>1</x:v>
      </x:c>
      <x:c r="I777" s="20" t="str">
        <x:v>MERICS/Carnegie Chinese security contractor source register</x:v>
      </x:c>
      <x:c r="J777" s="397" t="str">
        <x:v>https://merics.org/en/report/guardians-belt-and-road</x:v>
      </x:c>
      <x:c r="K777" s="20" t="str">
        <x:v>Primary source-register URL; automated screening score</x:v>
      </x:c>
      <x:c r="L777" s="20" t="str">
        <x:v>2026-05-20</x:v>
      </x:c>
      <x:c r="M777" s="20" t="str">
        <x:v>2026-05-20</x:v>
      </x:c>
      <x:c r="N777" s="20" t="str">
        <x:v>GPT-5.5 Pro</x:v>
      </x:c>
      <x:c r="O777" s="20" t="str">
        <x:v>Needs review</x:v>
      </x:c>
      <x:c r="P777" s="20" t="str">
        <x:v>Screening score for China / Security contractors in Italy; verify with country-specific evidence before final use.</x:v>
      </x:c>
    </x:row>
    <x:row r="778" ht="24" customHeight="1">
      <x:c r="A778" s="20" t="str">
        <x:v>ITA|United States|Propaganda ecosystems</x:v>
      </x:c>
      <x:c r="B778" s="20" t="str">
        <x:v>Italy</x:v>
      </x:c>
      <x:c r="C778" s="20" t="str">
        <x:v>ITA</x:v>
      </x:c>
      <x:c r="D778" s="20" t="str">
        <x:v>United States</x:v>
      </x:c>
      <x:c r="E778" s="20" t="str">
        <x:v>American influence</x:v>
      </x:c>
      <x:c r="F778" s="20" t="str">
        <x:v>Propaganda ecosystems</x:v>
      </x:c>
      <x:c r="G778" s="384" t="n">
        <x:v>4</x:v>
      </x:c>
      <x:c r="H778" s="396" t="n">
        <x:v>3</x:v>
      </x:c>
      <x:c r="I778" s="20" t="str">
        <x:v>USAGM public media source register</x:v>
      </x:c>
      <x:c r="J778" s="397" t="str">
        <x:v>https://www.usagm.gov/our-work/strategy-and-results/strategic-priorities/research-reports/</x:v>
      </x:c>
      <x:c r="K778" s="20" t="str">
        <x:v>Primary source-register URL; automated screening score</x:v>
      </x:c>
      <x:c r="L778" s="20" t="str">
        <x:v>2026-05-20</x:v>
      </x:c>
      <x:c r="M778" s="20" t="str">
        <x:v>2026-05-20</x:v>
      </x:c>
      <x:c r="N778" s="20" t="str">
        <x:v>GPT-5.5 Pro</x:v>
      </x:c>
      <x:c r="O778" s="20" t="str">
        <x:v>Needs review</x:v>
      </x:c>
      <x:c r="P778" s="20" t="str">
        <x:v>Screening score for United States / Propaganda ecosystems in Italy; verify with country-specific evidence before final use.</x:v>
      </x:c>
    </x:row>
    <x:row r="779" ht="24" customHeight="1">
      <x:c r="A779" s="20" t="str">
        <x:v>ITA|United States|PMC presence</x:v>
      </x:c>
      <x:c r="B779" s="20" t="str">
        <x:v>Italy</x:v>
      </x:c>
      <x:c r="C779" s="20" t="str">
        <x:v>ITA</x:v>
      </x:c>
      <x:c r="D779" s="20" t="str">
        <x:v>United States</x:v>
      </x:c>
      <x:c r="E779" s="20" t="str">
        <x:v>American influence</x:v>
      </x:c>
      <x:c r="F779" s="20" t="str">
        <x:v>PMC presence</x:v>
      </x:c>
      <x:c r="G779" s="384" t="n">
        <x:v>3</x:v>
      </x:c>
      <x:c r="H779" s="396" t="n">
        <x:v>3</x:v>
      </x:c>
      <x:c r="I779" s="20" t="str">
        <x:v>SAM/Greenbook U.S. security assistance contractor source register</x:v>
      </x:c>
      <x:c r="J779" s="397" t="str">
        <x:v>https://internationalpolicy.org/programs/sam/</x:v>
      </x:c>
      <x:c r="K779" s="20" t="str">
        <x:v>Primary source-register URL; automated screening score</x:v>
      </x:c>
      <x:c r="L779" s="20" t="str">
        <x:v>2026-05-20</x:v>
      </x:c>
      <x:c r="M779" s="20" t="str">
        <x:v>2026-05-20</x:v>
      </x:c>
      <x:c r="N779" s="20" t="str">
        <x:v>GPT-5.5 Pro</x:v>
      </x:c>
      <x:c r="O779" s="20" t="str">
        <x:v>Needs review</x:v>
      </x:c>
      <x:c r="P779" s="20" t="str">
        <x:v>Screening score for United States / PMC presence in Italy; verify with country-specific evidence before final use.</x:v>
      </x:c>
    </x:row>
    <x:row r="780" ht="24" customHeight="1">
      <x:c r="A780" s="20" t="str">
        <x:v>ITA|United States|Election interference</x:v>
      </x:c>
      <x:c r="B780" s="20" t="str">
        <x:v>Italy</x:v>
      </x:c>
      <x:c r="C780" s="20" t="str">
        <x:v>ITA</x:v>
      </x:c>
      <x:c r="D780" s="20" t="str">
        <x:v>United States</x:v>
      </x:c>
      <x:c r="E780" s="20" t="str">
        <x:v>American influence</x:v>
      </x:c>
      <x:c r="F780" s="20" t="str">
        <x:v>Election interference</x:v>
      </x:c>
      <x:c r="G780" s="384" t="n">
        <x:v>1</x:v>
      </x:c>
      <x:c r="H780" s="396" t="n">
        <x:v>2</x:v>
      </x:c>
      <x:c r="I780" s="20" t="str">
        <x:v>NED/Greenbook democracy assistance source register</x:v>
      </x:c>
      <x:c r="J780" s="397" t="str">
        <x:v>https://www.ned.org/ned-grantmaking/</x:v>
      </x:c>
      <x:c r="K780" s="20" t="str">
        <x:v>Primary source-register URL; automated screening score</x:v>
      </x:c>
      <x:c r="L780" s="20" t="str">
        <x:v>2026-05-20</x:v>
      </x:c>
      <x:c r="M780" s="20" t="str">
        <x:v>2026-05-20</x:v>
      </x:c>
      <x:c r="N780" s="20" t="str">
        <x:v>GPT-5.5 Pro</x:v>
      </x:c>
      <x:c r="O780" s="20" t="str">
        <x:v>Needs review</x:v>
      </x:c>
      <x:c r="P780" s="20" t="str">
        <x:v>Screening score for United States / Election interference in Italy; verify with country-specific evidence before final use.</x:v>
      </x:c>
    </x:row>
    <x:row r="781" ht="24" customHeight="1">
      <x:c r="A781" s="20" t="str">
        <x:v>ITA|United States|Security contractors</x:v>
      </x:c>
      <x:c r="B781" s="20" t="str">
        <x:v>Italy</x:v>
      </x:c>
      <x:c r="C781" s="20" t="str">
        <x:v>ITA</x:v>
      </x:c>
      <x:c r="D781" s="20" t="str">
        <x:v>United States</x:v>
      </x:c>
      <x:c r="E781" s="20" t="str">
        <x:v>American influence</x:v>
      </x:c>
      <x:c r="F781" s="20" t="str">
        <x:v>Security contractors</x:v>
      </x:c>
      <x:c r="G781" s="384" t="n">
        <x:v>6</x:v>
      </x:c>
      <x:c r="H781" s="396" t="n">
        <x:v>4</x:v>
      </x:c>
      <x:c r="I781" s="20" t="str">
        <x:v>SAM/Greenbook U.S. security contractor source register</x:v>
      </x:c>
      <x:c r="J781" s="397" t="str">
        <x:v>https://internationalpolicy.org/programs/sam/</x:v>
      </x:c>
      <x:c r="K781" s="20" t="str">
        <x:v>Primary source-register URL; automated screening score</x:v>
      </x:c>
      <x:c r="L781" s="20" t="str">
        <x:v>2026-05-20</x:v>
      </x:c>
      <x:c r="M781" s="20" t="str">
        <x:v>2026-05-20</x:v>
      </x:c>
      <x:c r="N781" s="20" t="str">
        <x:v>GPT-5.5 Pro</x:v>
      </x:c>
      <x:c r="O781" s="20" t="str">
        <x:v>Needs review</x:v>
      </x:c>
      <x:c r="P781" s="20" t="str">
        <x:v>Screening score for United States / Security contractors in Italy; verify with country-specific evidence before final use.</x:v>
      </x:c>
    </x:row>
    <x:row r="782" ht="24" customHeight="1">
      <x:c r="A782" s="20" t="str">
        <x:v>ITA|European Union|Propaganda ecosystems</x:v>
      </x:c>
      <x:c r="B782" s="20" t="str">
        <x:v>Italy</x:v>
      </x:c>
      <x:c r="C782" s="20" t="str">
        <x:v>ITA</x:v>
      </x:c>
      <x:c r="D782" s="20" t="str">
        <x:v>European Union</x:v>
      </x:c>
      <x:c r="E782" s="20" t="str">
        <x:v>EU influence</x:v>
      </x:c>
      <x:c r="F782" s="20" t="str">
        <x:v>Propaganda ecosystems</x:v>
      </x:c>
      <x:c r="G782" s="384" t="n">
        <x:v>9</x:v>
      </x:c>
      <x:c r="H782" s="396" t="n">
        <x:v>5</x:v>
      </x:c>
      <x:c r="I782" s="20" t="str">
        <x:v>EEAS public diplomacy source register</x:v>
      </x:c>
      <x:c r="J782" s="397" t="str">
        <x:v>https://www.eeas.europa.eu/eeas/public-diplomacy_en</x:v>
      </x:c>
      <x:c r="K782" s="20" t="str">
        <x:v>Primary source-register URL; automated screening score</x:v>
      </x:c>
      <x:c r="L782" s="20" t="str">
        <x:v>2026-05-20</x:v>
      </x:c>
      <x:c r="M782" s="20" t="str">
        <x:v>2026-05-20</x:v>
      </x:c>
      <x:c r="N782" s="20" t="str">
        <x:v>GPT-5.5 Pro</x:v>
      </x:c>
      <x:c r="O782" s="20" t="str">
        <x:v>Needs review</x:v>
      </x:c>
      <x:c r="P782" s="20" t="str">
        <x:v>Screening score for European Union / Propaganda ecosystems in Italy; verify with country-specific evidence before final use.</x:v>
      </x:c>
    </x:row>
    <x:row r="783" ht="24" customHeight="1">
      <x:c r="A783" s="20" t="str">
        <x:v>ITA|European Union|PMC presence</x:v>
      </x:c>
      <x:c r="B783" s="20" t="str">
        <x:v>Italy</x:v>
      </x:c>
      <x:c r="C783" s="20" t="str">
        <x:v>ITA</x:v>
      </x:c>
      <x:c r="D783" s="20" t="str">
        <x:v>European Union</x:v>
      </x:c>
      <x:c r="E783" s="20" t="str">
        <x:v>EU influence</x:v>
      </x:c>
      <x:c r="F783" s="20" t="str">
        <x:v>PMC presence</x:v>
      </x:c>
      <x:c r="G783" s="384" t="n">
        <x:v>0</x:v>
      </x:c>
      <x:c r="H783" s="396" t="n">
        <x:v>1</x:v>
      </x:c>
      <x:c r="I783" s="20" t="str">
        <x:v>EEAS CSDP missions source register</x:v>
      </x:c>
      <x:c r="J783" s="397" t="str">
        <x:v>https://www.eeas.europa.eu/eeas/missions-and-operations_en</x:v>
      </x:c>
      <x:c r="K783" s="20" t="str">
        <x:v>Primary source-register URL; automated screening score</x:v>
      </x:c>
      <x:c r="L783" s="20" t="str">
        <x:v>2026-05-20</x:v>
      </x:c>
      <x:c r="M783" s="20" t="str">
        <x:v>2026-05-20</x:v>
      </x:c>
      <x:c r="N783" s="20" t="str">
        <x:v>GPT-5.5 Pro</x:v>
      </x:c>
      <x:c r="O783" s="20" t="str">
        <x:v>Needs review</x:v>
      </x:c>
      <x:c r="P783" s="20" t="str">
        <x:v>Screening score for European Union / PMC presence in Italy; verify with country-specific evidence before final use.</x:v>
      </x:c>
    </x:row>
    <x:row r="784" ht="24" customHeight="1">
      <x:c r="A784" s="20" t="str">
        <x:v>ITA|European Union|Election interference</x:v>
      </x:c>
      <x:c r="B784" s="20" t="str">
        <x:v>Italy</x:v>
      </x:c>
      <x:c r="C784" s="20" t="str">
        <x:v>ITA</x:v>
      </x:c>
      <x:c r="D784" s="20" t="str">
        <x:v>European Union</x:v>
      </x:c>
      <x:c r="E784" s="20" t="str">
        <x:v>EU influence</x:v>
      </x:c>
      <x:c r="F784" s="20" t="str">
        <x:v>Election interference</x:v>
      </x:c>
      <x:c r="G784" s="384" t="n">
        <x:v>2</x:v>
      </x:c>
      <x:c r="H784" s="396" t="n">
        <x:v>2</x:v>
      </x:c>
      <x:c r="I784" s="20" t="str">
        <x:v>EEAS EU election observation source register</x:v>
      </x:c>
      <x:c r="J784" s="397" t="str">
        <x:v>https://www.eeas.europa.eu/eeas/eu-election-observation-missions-1_en?page_lang=en</x:v>
      </x:c>
      <x:c r="K784" s="20" t="str">
        <x:v>Primary source-register URL; automated screening score</x:v>
      </x:c>
      <x:c r="L784" s="20" t="str">
        <x:v>2026-05-20</x:v>
      </x:c>
      <x:c r="M784" s="20" t="str">
        <x:v>2026-05-20</x:v>
      </x:c>
      <x:c r="N784" s="20" t="str">
        <x:v>GPT-5.5 Pro</x:v>
      </x:c>
      <x:c r="O784" s="20" t="str">
        <x:v>Needs review</x:v>
      </x:c>
      <x:c r="P784" s="20" t="str">
        <x:v>Screening score for European Union / Election interference in Italy; verify with country-specific evidence before final use.</x:v>
      </x:c>
    </x:row>
    <x:row r="785" ht="24" customHeight="1">
      <x:c r="A785" s="20" t="str">
        <x:v>ITA|European Union|Security contractors</x:v>
      </x:c>
      <x:c r="B785" s="20" t="str">
        <x:v>Italy</x:v>
      </x:c>
      <x:c r="C785" s="20" t="str">
        <x:v>ITA</x:v>
      </x:c>
      <x:c r="D785" s="20" t="str">
        <x:v>European Union</x:v>
      </x:c>
      <x:c r="E785" s="20" t="str">
        <x:v>EU influence</x:v>
      </x:c>
      <x:c r="F785" s="20" t="str">
        <x:v>Security contractors</x:v>
      </x:c>
      <x:c r="G785" s="384" t="n">
        <x:v>5</x:v>
      </x:c>
      <x:c r="H785" s="396" t="n">
        <x:v>3</x:v>
      </x:c>
      <x:c r="I785" s="20" t="str">
        <x:v>EEAS CSDP / Global Gateway security source register</x:v>
      </x:c>
      <x:c r="J785" s="397" t="str">
        <x:v>https://www.eeas.europa.eu/eeas/missions-and-operations_en</x:v>
      </x:c>
      <x:c r="K785" s="20" t="str">
        <x:v>Primary source-register URL; automated screening score</x:v>
      </x:c>
      <x:c r="L785" s="20" t="str">
        <x:v>2026-05-20</x:v>
      </x:c>
      <x:c r="M785" s="20" t="str">
        <x:v>2026-05-20</x:v>
      </x:c>
      <x:c r="N785" s="20" t="str">
        <x:v>GPT-5.5 Pro</x:v>
      </x:c>
      <x:c r="O785" s="20" t="str">
        <x:v>Needs review</x:v>
      </x:c>
      <x:c r="P785" s="20" t="str">
        <x:v>Screening score for European Union / Security contractors in Italy; verify with country-specific evidence before final use.</x:v>
      </x:c>
    </x:row>
    <x:row r="786" ht="24" customHeight="1">
      <x:c r="A786" s="20" t="str">
        <x:v>JPN|Russia|Propaganda ecosystems</x:v>
      </x:c>
      <x:c r="B786" s="20" t="str">
        <x:v>Japan</x:v>
      </x:c>
      <x:c r="C786" s="20" t="str">
        <x:v>JPN</x:v>
      </x:c>
      <x:c r="D786" s="20" t="str">
        <x:v>Russia</x:v>
      </x:c>
      <x:c r="E786" s="20" t="str">
        <x:v>Russian influence</x:v>
      </x:c>
      <x:c r="F786" s="20" t="str">
        <x:v>Propaganda ecosystems</x:v>
      </x:c>
      <x:c r="G786" s="384" t="n">
        <x:v>2</x:v>
      </x:c>
      <x:c r="H786" s="396" t="n">
        <x:v>2</x:v>
      </x:c>
      <x:c r="I786" s="20" t="str">
        <x:v>EEAS/EUvsDisinfo FIMI source register</x:v>
      </x:c>
      <x:c r="J786" s="397" t="str">
        <x:v>https://www.eeas.europa.eu/eeas/4th-eeas-annual-report-foreign-information-manipulation-and-interference-threats_en</x:v>
      </x:c>
      <x:c r="K786" s="20" t="str">
        <x:v>Primary source-register URL; automated screening score</x:v>
      </x:c>
      <x:c r="L786" s="20" t="str">
        <x:v>2026-05-20</x:v>
      </x:c>
      <x:c r="M786" s="20" t="str">
        <x:v>2026-05-20</x:v>
      </x:c>
      <x:c r="N786" s="20" t="str">
        <x:v>GPT-5.5 Pro</x:v>
      </x:c>
      <x:c r="O786" s="20" t="str">
        <x:v>Needs review</x:v>
      </x:c>
      <x:c r="P786" s="20" t="str">
        <x:v>Screening score for Russia / Propaganda ecosystems in Japan; verify with country-specific evidence before final use.</x:v>
      </x:c>
    </x:row>
    <x:row r="787" ht="24" customHeight="1">
      <x:c r="A787" s="20" t="str">
        <x:v>JPN|Russia|PMC presence</x:v>
      </x:c>
      <x:c r="B787" s="20" t="str">
        <x:v>Japan</x:v>
      </x:c>
      <x:c r="C787" s="20" t="str">
        <x:v>JPN</x:v>
      </x:c>
      <x:c r="D787" s="20" t="str">
        <x:v>Russia</x:v>
      </x:c>
      <x:c r="E787" s="20" t="str">
        <x:v>Russian influence</x:v>
      </x:c>
      <x:c r="F787" s="20" t="str">
        <x:v>PMC presence</x:v>
      </x:c>
      <x:c r="G787" s="384" t="n">
        <x:v>0</x:v>
      </x:c>
      <x:c r="H787" s="396" t="n">
        <x:v>1</x:v>
      </x:c>
      <x:c r="I787" s="20" t="str">
        <x:v>Treasury and Council of the EU Wagner/PMC source register</x:v>
      </x:c>
      <x:c r="J787" s="397" t="str">
        <x:v>https://www.consilium.europa.eu/en/press/press-releases/2023/02/25/wagner-group-council-adds-11-individuals-and-7-entities-to-eu-sanctions-lists/</x:v>
      </x:c>
      <x:c r="K787" s="20" t="str">
        <x:v>Primary source-register URL; automated screening score</x:v>
      </x:c>
      <x:c r="L787" s="20" t="str">
        <x:v>2026-05-20</x:v>
      </x:c>
      <x:c r="M787" s="20" t="str">
        <x:v>2026-05-20</x:v>
      </x:c>
      <x:c r="N787" s="20" t="str">
        <x:v>GPT-5.5 Pro</x:v>
      </x:c>
      <x:c r="O787" s="20" t="str">
        <x:v>Needs review</x:v>
      </x:c>
      <x:c r="P787" s="20" t="str">
        <x:v>Screening score for Russia / PMC presence in Japan; verify with country-specific evidence before final use.</x:v>
      </x:c>
    </x:row>
    <x:row r="788" ht="24" customHeight="1">
      <x:c r="A788" s="20" t="str">
        <x:v>JPN|Russia|Election interference</x:v>
      </x:c>
      <x:c r="B788" s="20" t="str">
        <x:v>Japan</x:v>
      </x:c>
      <x:c r="C788" s="20" t="str">
        <x:v>JPN</x:v>
      </x:c>
      <x:c r="D788" s="20" t="str">
        <x:v>Russia</x:v>
      </x:c>
      <x:c r="E788" s="20" t="str">
        <x:v>Russian influence</x:v>
      </x:c>
      <x:c r="F788" s="20" t="str">
        <x:v>Election interference</x:v>
      </x:c>
      <x:c r="G788" s="384" t="n">
        <x:v>3</x:v>
      </x:c>
      <x:c r="H788" s="396" t="n">
        <x:v>3</x:v>
      </x:c>
      <x:c r="I788" s="20" t="str">
        <x:v>ODNI/EEAS election-FIMI source register</x:v>
      </x:c>
      <x:c r="J788" s="397" t="str">
        <x:v>https://www.dni.gov/files/ODNI/documents/assessments/ATA-2026-Unclassified-Report.pdf</x:v>
      </x:c>
      <x:c r="K788" s="20" t="str">
        <x:v>Primary source-register URL; automated screening score</x:v>
      </x:c>
      <x:c r="L788" s="20" t="str">
        <x:v>2026-05-20</x:v>
      </x:c>
      <x:c r="M788" s="20" t="str">
        <x:v>2026-05-20</x:v>
      </x:c>
      <x:c r="N788" s="20" t="str">
        <x:v>GPT-5.5 Pro</x:v>
      </x:c>
      <x:c r="O788" s="20" t="str">
        <x:v>Needs review</x:v>
      </x:c>
      <x:c r="P788" s="20" t="str">
        <x:v>Screening score for Russia / Election interference in Japan; verify with country-specific evidence before final use.</x:v>
      </x:c>
    </x:row>
    <x:row r="789" ht="24" customHeight="1">
      <x:c r="A789" s="20" t="str">
        <x:v>JPN|Russia|Security contractors</x:v>
      </x:c>
      <x:c r="B789" s="20" t="str">
        <x:v>Japan</x:v>
      </x:c>
      <x:c r="C789" s="20" t="str">
        <x:v>JPN</x:v>
      </x:c>
      <x:c r="D789" s="20" t="str">
        <x:v>Russia</x:v>
      </x:c>
      <x:c r="E789" s="20" t="str">
        <x:v>Russian influence</x:v>
      </x:c>
      <x:c r="F789" s="20" t="str">
        <x:v>Security contractors</x:v>
      </x:c>
      <x:c r="G789" s="384" t="n">
        <x:v>0</x:v>
      </x:c>
      <x:c r="H789" s="396" t="n">
        <x:v>1</x:v>
      </x:c>
      <x:c r="I789" s="20" t="str">
        <x:v>Council of the EU/Treasury Wagner-security source register</x:v>
      </x:c>
      <x:c r="J789" s="397" t="str">
        <x:v>https://www.consilium.europa.eu/en/press/press-releases/2023/02/25/wagner-group-council-adds-11-individuals-and-7-entities-to-eu-sanctions-lists/</x:v>
      </x:c>
      <x:c r="K789" s="20" t="str">
        <x:v>Primary source-register URL; automated screening score</x:v>
      </x:c>
      <x:c r="L789" s="20" t="str">
        <x:v>2026-05-20</x:v>
      </x:c>
      <x:c r="M789" s="20" t="str">
        <x:v>2026-05-20</x:v>
      </x:c>
      <x:c r="N789" s="20" t="str">
        <x:v>GPT-5.5 Pro</x:v>
      </x:c>
      <x:c r="O789" s="20" t="str">
        <x:v>Needs review</x:v>
      </x:c>
      <x:c r="P789" s="20" t="str">
        <x:v>Screening score for Russia / Security contractors in Japan; verify with country-specific evidence before final use.</x:v>
      </x:c>
    </x:row>
    <x:row r="790" ht="24" customHeight="1">
      <x:c r="A790" s="20" t="str">
        <x:v>JPN|China|Propaganda ecosystems</x:v>
      </x:c>
      <x:c r="B790" s="20" t="str">
        <x:v>Japan</x:v>
      </x:c>
      <x:c r="C790" s="20" t="str">
        <x:v>JPN</x:v>
      </x:c>
      <x:c r="D790" s="20" t="str">
        <x:v>China</x:v>
      </x:c>
      <x:c r="E790" s="20" t="str">
        <x:v>Chinese influence</x:v>
      </x:c>
      <x:c r="F790" s="20" t="str">
        <x:v>Propaganda ecosystems</x:v>
      </x:c>
      <x:c r="G790" s="384" t="n">
        <x:v>7</x:v>
      </x:c>
      <x:c r="H790" s="396" t="n">
        <x:v>4</x:v>
      </x:c>
      <x:c r="I790" s="20" t="str">
        <x:v>EEAS/ODNI China FIMI source register</x:v>
      </x:c>
      <x:c r="J790" s="397" t="str">
        <x:v>https://www.eeas.europa.eu/eeas/4th-eeas-annual-report-foreign-information-manipulation-and-interference-threats_en</x:v>
      </x:c>
      <x:c r="K790" s="20" t="str">
        <x:v>Primary source-register URL; automated screening score</x:v>
      </x:c>
      <x:c r="L790" s="20" t="str">
        <x:v>2026-05-20</x:v>
      </x:c>
      <x:c r="M790" s="20" t="str">
        <x:v>2026-05-20</x:v>
      </x:c>
      <x:c r="N790" s="20" t="str">
        <x:v>GPT-5.5 Pro</x:v>
      </x:c>
      <x:c r="O790" s="20" t="str">
        <x:v>Needs review</x:v>
      </x:c>
      <x:c r="P790" s="20" t="str">
        <x:v>Screening score for China / Propaganda ecosystems in Japan; verify with country-specific evidence before final use.</x:v>
      </x:c>
    </x:row>
    <x:row r="791" ht="24" customHeight="1">
      <x:c r="A791" s="20" t="str">
        <x:v>JPN|China|PMC presence</x:v>
      </x:c>
      <x:c r="B791" s="20" t="str">
        <x:v>Japan</x:v>
      </x:c>
      <x:c r="C791" s="20" t="str">
        <x:v>JPN</x:v>
      </x:c>
      <x:c r="D791" s="20" t="str">
        <x:v>China</x:v>
      </x:c>
      <x:c r="E791" s="20" t="str">
        <x:v>Chinese influence</x:v>
      </x:c>
      <x:c r="F791" s="20" t="str">
        <x:v>PMC presence</x:v>
      </x:c>
      <x:c r="G791" s="384" t="n">
        <x:v>0</x:v>
      </x:c>
      <x:c r="H791" s="396" t="n">
        <x:v>1</x:v>
      </x:c>
      <x:c r="I791" s="20" t="str">
        <x:v>MERICS/Carnegie Chinese overseas PSC source register</x:v>
      </x:c>
      <x:c r="J791" s="397" t="str">
        <x:v>https://merics.org/en/report/guardians-belt-and-road</x:v>
      </x:c>
      <x:c r="K791" s="20" t="str">
        <x:v>Primary source-register URL; automated screening score</x:v>
      </x:c>
      <x:c r="L791" s="20" t="str">
        <x:v>2026-05-20</x:v>
      </x:c>
      <x:c r="M791" s="20" t="str">
        <x:v>2026-05-20</x:v>
      </x:c>
      <x:c r="N791" s="20" t="str">
        <x:v>GPT-5.5 Pro</x:v>
      </x:c>
      <x:c r="O791" s="20" t="str">
        <x:v>Needs review</x:v>
      </x:c>
      <x:c r="P791" s="20" t="str">
        <x:v>Screening score for China / PMC presence in Japan; verify with country-specific evidence before final use.</x:v>
      </x:c>
    </x:row>
    <x:row r="792" ht="24" customHeight="1">
      <x:c r="A792" s="20" t="str">
        <x:v>JPN|China|Election interference</x:v>
      </x:c>
      <x:c r="B792" s="20" t="str">
        <x:v>Japan</x:v>
      </x:c>
      <x:c r="C792" s="20" t="str">
        <x:v>JPN</x:v>
      </x:c>
      <x:c r="D792" s="20" t="str">
        <x:v>China</x:v>
      </x:c>
      <x:c r="E792" s="20" t="str">
        <x:v>Chinese influence</x:v>
      </x:c>
      <x:c r="F792" s="20" t="str">
        <x:v>Election interference</x:v>
      </x:c>
      <x:c r="G792" s="384" t="n">
        <x:v>5</x:v>
      </x:c>
      <x:c r="H792" s="396" t="n">
        <x:v>3</x:v>
      </x:c>
      <x:c r="I792" s="20" t="str">
        <x:v>EEAS/ODNI China election-FIMI source register</x:v>
      </x:c>
      <x:c r="J792" s="397" t="str">
        <x:v>https://www.eeas.europa.eu/eeas/4th-eeas-annual-report-foreign-information-manipulation-and-interference-threats_en</x:v>
      </x:c>
      <x:c r="K792" s="20" t="str">
        <x:v>Primary source-register URL; automated screening score</x:v>
      </x:c>
      <x:c r="L792" s="20" t="str">
        <x:v>2026-05-20</x:v>
      </x:c>
      <x:c r="M792" s="20" t="str">
        <x:v>2026-05-20</x:v>
      </x:c>
      <x:c r="N792" s="20" t="str">
        <x:v>GPT-5.5 Pro</x:v>
      </x:c>
      <x:c r="O792" s="20" t="str">
        <x:v>Needs review</x:v>
      </x:c>
      <x:c r="P792" s="20" t="str">
        <x:v>Screening score for China / Election interference in Japan; verify with country-specific evidence before final use.</x:v>
      </x:c>
    </x:row>
    <x:row r="793" ht="24" customHeight="1">
      <x:c r="A793" s="20" t="str">
        <x:v>JPN|China|Security contractors</x:v>
      </x:c>
      <x:c r="B793" s="20" t="str">
        <x:v>Japan</x:v>
      </x:c>
      <x:c r="C793" s="20" t="str">
        <x:v>JPN</x:v>
      </x:c>
      <x:c r="D793" s="20" t="str">
        <x:v>China</x:v>
      </x:c>
      <x:c r="E793" s="20" t="str">
        <x:v>Chinese influence</x:v>
      </x:c>
      <x:c r="F793" s="20" t="str">
        <x:v>Security contractors</x:v>
      </x:c>
      <x:c r="G793" s="384" t="n">
        <x:v>1</x:v>
      </x:c>
      <x:c r="H793" s="396" t="n">
        <x:v>2</x:v>
      </x:c>
      <x:c r="I793" s="20" t="str">
        <x:v>MERICS/Carnegie Chinese security contractor source register</x:v>
      </x:c>
      <x:c r="J793" s="397" t="str">
        <x:v>https://merics.org/en/report/guardians-belt-and-road</x:v>
      </x:c>
      <x:c r="K793" s="20" t="str">
        <x:v>Primary source-register URL; automated screening score</x:v>
      </x:c>
      <x:c r="L793" s="20" t="str">
        <x:v>2026-05-20</x:v>
      </x:c>
      <x:c r="M793" s="20" t="str">
        <x:v>2026-05-20</x:v>
      </x:c>
      <x:c r="N793" s="20" t="str">
        <x:v>GPT-5.5 Pro</x:v>
      </x:c>
      <x:c r="O793" s="20" t="str">
        <x:v>Needs review</x:v>
      </x:c>
      <x:c r="P793" s="20" t="str">
        <x:v>Screening score for China / Security contractors in Japan; verify with country-specific evidence before final use.</x:v>
      </x:c>
    </x:row>
    <x:row r="794" ht="24" customHeight="1">
      <x:c r="A794" s="20" t="str">
        <x:v>JPN|United States|Propaganda ecosystems</x:v>
      </x:c>
      <x:c r="B794" s="20" t="str">
        <x:v>Japan</x:v>
      </x:c>
      <x:c r="C794" s="20" t="str">
        <x:v>JPN</x:v>
      </x:c>
      <x:c r="D794" s="20" t="str">
        <x:v>United States</x:v>
      </x:c>
      <x:c r="E794" s="20" t="str">
        <x:v>American influence</x:v>
      </x:c>
      <x:c r="F794" s="20" t="str">
        <x:v>Propaganda ecosystems</x:v>
      </x:c>
      <x:c r="G794" s="384" t="n">
        <x:v>5</x:v>
      </x:c>
      <x:c r="H794" s="396" t="n">
        <x:v>3</x:v>
      </x:c>
      <x:c r="I794" s="20" t="str">
        <x:v>USAGM public media source register</x:v>
      </x:c>
      <x:c r="J794" s="397" t="str">
        <x:v>https://www.usagm.gov/our-work/strategy-and-results/strategic-priorities/research-reports/</x:v>
      </x:c>
      <x:c r="K794" s="20" t="str">
        <x:v>Primary source-register URL; automated screening score</x:v>
      </x:c>
      <x:c r="L794" s="20" t="str">
        <x:v>2026-05-20</x:v>
      </x:c>
      <x:c r="M794" s="20" t="str">
        <x:v>2026-05-20</x:v>
      </x:c>
      <x:c r="N794" s="20" t="str">
        <x:v>GPT-5.5 Pro</x:v>
      </x:c>
      <x:c r="O794" s="20" t="str">
        <x:v>Needs review</x:v>
      </x:c>
      <x:c r="P794" s="20" t="str">
        <x:v>Screening score for United States / Propaganda ecosystems in Japan; verify with country-specific evidence before final use.</x:v>
      </x:c>
    </x:row>
    <x:row r="795" ht="24" customHeight="1">
      <x:c r="A795" s="20" t="str">
        <x:v>JPN|United States|PMC presence</x:v>
      </x:c>
      <x:c r="B795" s="20" t="str">
        <x:v>Japan</x:v>
      </x:c>
      <x:c r="C795" s="20" t="str">
        <x:v>JPN</x:v>
      </x:c>
      <x:c r="D795" s="20" t="str">
        <x:v>United States</x:v>
      </x:c>
      <x:c r="E795" s="20" t="str">
        <x:v>American influence</x:v>
      </x:c>
      <x:c r="F795" s="20" t="str">
        <x:v>PMC presence</x:v>
      </x:c>
      <x:c r="G795" s="384" t="n">
        <x:v>5</x:v>
      </x:c>
      <x:c r="H795" s="396" t="n">
        <x:v>3</x:v>
      </x:c>
      <x:c r="I795" s="20" t="str">
        <x:v>SAM/Greenbook U.S. security assistance contractor source register</x:v>
      </x:c>
      <x:c r="J795" s="397" t="str">
        <x:v>https://internationalpolicy.org/programs/sam/</x:v>
      </x:c>
      <x:c r="K795" s="20" t="str">
        <x:v>Primary source-register URL; automated screening score</x:v>
      </x:c>
      <x:c r="L795" s="20" t="str">
        <x:v>2026-05-20</x:v>
      </x:c>
      <x:c r="M795" s="20" t="str">
        <x:v>2026-05-20</x:v>
      </x:c>
      <x:c r="N795" s="20" t="str">
        <x:v>GPT-5.5 Pro</x:v>
      </x:c>
      <x:c r="O795" s="20" t="str">
        <x:v>Needs review</x:v>
      </x:c>
      <x:c r="P795" s="20" t="str">
        <x:v>Screening score for United States / PMC presence in Japan; verify with country-specific evidence before final use.</x:v>
      </x:c>
    </x:row>
    <x:row r="796" ht="24" customHeight="1">
      <x:c r="A796" s="20" t="str">
        <x:v>JPN|United States|Election interference</x:v>
      </x:c>
      <x:c r="B796" s="20" t="str">
        <x:v>Japan</x:v>
      </x:c>
      <x:c r="C796" s="20" t="str">
        <x:v>JPN</x:v>
      </x:c>
      <x:c r="D796" s="20" t="str">
        <x:v>United States</x:v>
      </x:c>
      <x:c r="E796" s="20" t="str">
        <x:v>American influence</x:v>
      </x:c>
      <x:c r="F796" s="20" t="str">
        <x:v>Election interference</x:v>
      </x:c>
      <x:c r="G796" s="384" t="n">
        <x:v>2</x:v>
      </x:c>
      <x:c r="H796" s="396" t="n">
        <x:v>2</x:v>
      </x:c>
      <x:c r="I796" s="20" t="str">
        <x:v>NED/Greenbook democracy assistance source register</x:v>
      </x:c>
      <x:c r="J796" s="397" t="str">
        <x:v>https://www.ned.org/ned-grantmaking/</x:v>
      </x:c>
      <x:c r="K796" s="20" t="str">
        <x:v>Primary source-register URL; automated screening score</x:v>
      </x:c>
      <x:c r="L796" s="20" t="str">
        <x:v>2026-05-20</x:v>
      </x:c>
      <x:c r="M796" s="20" t="str">
        <x:v>2026-05-20</x:v>
      </x:c>
      <x:c r="N796" s="20" t="str">
        <x:v>GPT-5.5 Pro</x:v>
      </x:c>
      <x:c r="O796" s="20" t="str">
        <x:v>Needs review</x:v>
      </x:c>
      <x:c r="P796" s="20" t="str">
        <x:v>Screening score for United States / Election interference in Japan; verify with country-specific evidence before final use.</x:v>
      </x:c>
    </x:row>
    <x:row r="797" ht="24" customHeight="1">
      <x:c r="A797" s="20" t="str">
        <x:v>JPN|United States|Security contractors</x:v>
      </x:c>
      <x:c r="B797" s="20" t="str">
        <x:v>Japan</x:v>
      </x:c>
      <x:c r="C797" s="20" t="str">
        <x:v>JPN</x:v>
      </x:c>
      <x:c r="D797" s="20" t="str">
        <x:v>United States</x:v>
      </x:c>
      <x:c r="E797" s="20" t="str">
        <x:v>American influence</x:v>
      </x:c>
      <x:c r="F797" s="20" t="str">
        <x:v>Security contractors</x:v>
      </x:c>
      <x:c r="G797" s="384" t="n">
        <x:v>8</x:v>
      </x:c>
      <x:c r="H797" s="396" t="n">
        <x:v>4</x:v>
      </x:c>
      <x:c r="I797" s="20" t="str">
        <x:v>SAM/Greenbook U.S. security contractor source register</x:v>
      </x:c>
      <x:c r="J797" s="397" t="str">
        <x:v>https://internationalpolicy.org/programs/sam/</x:v>
      </x:c>
      <x:c r="K797" s="20" t="str">
        <x:v>Primary source-register URL; automated screening score</x:v>
      </x:c>
      <x:c r="L797" s="20" t="str">
        <x:v>2026-05-20</x:v>
      </x:c>
      <x:c r="M797" s="20" t="str">
        <x:v>2026-05-20</x:v>
      </x:c>
      <x:c r="N797" s="20" t="str">
        <x:v>GPT-5.5 Pro</x:v>
      </x:c>
      <x:c r="O797" s="20" t="str">
        <x:v>Needs review</x:v>
      </x:c>
      <x:c r="P797" s="20" t="str">
        <x:v>Screening score for United States / Security contractors in Japan; verify with country-specific evidence before final use.</x:v>
      </x:c>
    </x:row>
    <x:row r="798" ht="24" customHeight="1">
      <x:c r="A798" s="20" t="str">
        <x:v>JPN|European Union|Propaganda ecosystems</x:v>
      </x:c>
      <x:c r="B798" s="20" t="str">
        <x:v>Japan</x:v>
      </x:c>
      <x:c r="C798" s="20" t="str">
        <x:v>JPN</x:v>
      </x:c>
      <x:c r="D798" s="20" t="str">
        <x:v>European Union</x:v>
      </x:c>
      <x:c r="E798" s="20" t="str">
        <x:v>EU influence</x:v>
      </x:c>
      <x:c r="F798" s="20" t="str">
        <x:v>Propaganda ecosystems</x:v>
      </x:c>
      <x:c r="G798" s="384" t="n">
        <x:v>3</x:v>
      </x:c>
      <x:c r="H798" s="396" t="n">
        <x:v>3</x:v>
      </x:c>
      <x:c r="I798" s="20" t="str">
        <x:v>EEAS public diplomacy source register</x:v>
      </x:c>
      <x:c r="J798" s="397" t="str">
        <x:v>https://www.eeas.europa.eu/eeas/public-diplomacy_en</x:v>
      </x:c>
      <x:c r="K798" s="20" t="str">
        <x:v>Primary source-register URL; automated screening score</x:v>
      </x:c>
      <x:c r="L798" s="20" t="str">
        <x:v>2026-05-20</x:v>
      </x:c>
      <x:c r="M798" s="20" t="str">
        <x:v>2026-05-20</x:v>
      </x:c>
      <x:c r="N798" s="20" t="str">
        <x:v>GPT-5.5 Pro</x:v>
      </x:c>
      <x:c r="O798" s="20" t="str">
        <x:v>Needs review</x:v>
      </x:c>
      <x:c r="P798" s="20" t="str">
        <x:v>Screening score for European Union / Propaganda ecosystems in Japan; verify with country-specific evidence before final use.</x:v>
      </x:c>
    </x:row>
    <x:row r="799" ht="24" customHeight="1">
      <x:c r="A799" s="20" t="str">
        <x:v>JPN|European Union|PMC presence</x:v>
      </x:c>
      <x:c r="B799" s="20" t="str">
        <x:v>Japan</x:v>
      </x:c>
      <x:c r="C799" s="20" t="str">
        <x:v>JPN</x:v>
      </x:c>
      <x:c r="D799" s="20" t="str">
        <x:v>European Union</x:v>
      </x:c>
      <x:c r="E799" s="20" t="str">
        <x:v>EU influence</x:v>
      </x:c>
      <x:c r="F799" s="20" t="str">
        <x:v>PMC presence</x:v>
      </x:c>
      <x:c r="G799" s="384" t="n">
        <x:v>0</x:v>
      </x:c>
      <x:c r="H799" s="396" t="n">
        <x:v>1</x:v>
      </x:c>
      <x:c r="I799" s="20" t="str">
        <x:v>EEAS CSDP missions source register</x:v>
      </x:c>
      <x:c r="J799" s="397" t="str">
        <x:v>https://www.eeas.europa.eu/eeas/missions-and-operations_en</x:v>
      </x:c>
      <x:c r="K799" s="20" t="str">
        <x:v>Primary source-register URL; automated screening score</x:v>
      </x:c>
      <x:c r="L799" s="20" t="str">
        <x:v>2026-05-20</x:v>
      </x:c>
      <x:c r="M799" s="20" t="str">
        <x:v>2026-05-20</x:v>
      </x:c>
      <x:c r="N799" s="20" t="str">
        <x:v>GPT-5.5 Pro</x:v>
      </x:c>
      <x:c r="O799" s="20" t="str">
        <x:v>Needs review</x:v>
      </x:c>
      <x:c r="P799" s="20" t="str">
        <x:v>Screening score for European Union / PMC presence in Japan; verify with country-specific evidence before final use.</x:v>
      </x:c>
    </x:row>
    <x:row r="800" ht="24" customHeight="1">
      <x:c r="A800" s="20" t="str">
        <x:v>JPN|European Union|Election interference</x:v>
      </x:c>
      <x:c r="B800" s="20" t="str">
        <x:v>Japan</x:v>
      </x:c>
      <x:c r="C800" s="20" t="str">
        <x:v>JPN</x:v>
      </x:c>
      <x:c r="D800" s="20" t="str">
        <x:v>European Union</x:v>
      </x:c>
      <x:c r="E800" s="20" t="str">
        <x:v>EU influence</x:v>
      </x:c>
      <x:c r="F800" s="20" t="str">
        <x:v>Election interference</x:v>
      </x:c>
      <x:c r="G800" s="384" t="n">
        <x:v>1</x:v>
      </x:c>
      <x:c r="H800" s="396" t="n">
        <x:v>2</x:v>
      </x:c>
      <x:c r="I800" s="20" t="str">
        <x:v>EEAS EU election observation source register</x:v>
      </x:c>
      <x:c r="J800" s="397" t="str">
        <x:v>https://www.eeas.europa.eu/eeas/eu-election-observation-missions-1_en?page_lang=en</x:v>
      </x:c>
      <x:c r="K800" s="20" t="str">
        <x:v>Primary source-register URL; automated screening score</x:v>
      </x:c>
      <x:c r="L800" s="20" t="str">
        <x:v>2026-05-20</x:v>
      </x:c>
      <x:c r="M800" s="20" t="str">
        <x:v>2026-05-20</x:v>
      </x:c>
      <x:c r="N800" s="20" t="str">
        <x:v>GPT-5.5 Pro</x:v>
      </x:c>
      <x:c r="O800" s="20" t="str">
        <x:v>Needs review</x:v>
      </x:c>
      <x:c r="P800" s="20" t="str">
        <x:v>Screening score for European Union / Election interference in Japan; verify with country-specific evidence before final use.</x:v>
      </x:c>
    </x:row>
    <x:row r="801" ht="24" customHeight="1">
      <x:c r="A801" s="20" t="str">
        <x:v>JPN|European Union|Security contractors</x:v>
      </x:c>
      <x:c r="B801" s="20" t="str">
        <x:v>Japan</x:v>
      </x:c>
      <x:c r="C801" s="20" t="str">
        <x:v>JPN</x:v>
      </x:c>
      <x:c r="D801" s="20" t="str">
        <x:v>European Union</x:v>
      </x:c>
      <x:c r="E801" s="20" t="str">
        <x:v>EU influence</x:v>
      </x:c>
      <x:c r="F801" s="20" t="str">
        <x:v>Security contractors</x:v>
      </x:c>
      <x:c r="G801" s="384" t="n">
        <x:v>3</x:v>
      </x:c>
      <x:c r="H801" s="396" t="n">
        <x:v>3</x:v>
      </x:c>
      <x:c r="I801" s="20" t="str">
        <x:v>EEAS CSDP / Global Gateway security source register</x:v>
      </x:c>
      <x:c r="J801" s="397" t="str">
        <x:v>https://www.eeas.europa.eu/eeas/missions-and-operations_en</x:v>
      </x:c>
      <x:c r="K801" s="20" t="str">
        <x:v>Primary source-register URL; automated screening score</x:v>
      </x:c>
      <x:c r="L801" s="20" t="str">
        <x:v>2026-05-20</x:v>
      </x:c>
      <x:c r="M801" s="20" t="str">
        <x:v>2026-05-20</x:v>
      </x:c>
      <x:c r="N801" s="20" t="str">
        <x:v>GPT-5.5 Pro</x:v>
      </x:c>
      <x:c r="O801" s="20" t="str">
        <x:v>Needs review</x:v>
      </x:c>
      <x:c r="P801" s="20" t="str">
        <x:v>Screening score for European Union / Security contractors in Japan; verify with country-specific evidence before final use.</x:v>
      </x:c>
    </x:row>
    <x:row r="802" ht="24" customHeight="1">
      <x:c r="A802" s="20" t="str">
        <x:v>JOR|Russia|Propaganda ecosystems</x:v>
      </x:c>
      <x:c r="B802" s="20" t="str">
        <x:v>Jordan</x:v>
      </x:c>
      <x:c r="C802" s="20" t="str">
        <x:v>JOR</x:v>
      </x:c>
      <x:c r="D802" s="20" t="str">
        <x:v>Russia</x:v>
      </x:c>
      <x:c r="E802" s="20" t="str">
        <x:v>Russian influence</x:v>
      </x:c>
      <x:c r="F802" s="20" t="str">
        <x:v>Propaganda ecosystems</x:v>
      </x:c>
      <x:c r="G802" s="384" t="n">
        <x:v>2</x:v>
      </x:c>
      <x:c r="H802" s="396" t="n">
        <x:v>2</x:v>
      </x:c>
      <x:c r="I802" s="20" t="str">
        <x:v>EEAS/EUvsDisinfo FIMI source register</x:v>
      </x:c>
      <x:c r="J802" s="397" t="str">
        <x:v>https://www.eeas.europa.eu/eeas/4th-eeas-annual-report-foreign-information-manipulation-and-interference-threats_en</x:v>
      </x:c>
      <x:c r="K802" s="20" t="str">
        <x:v>Primary source-register URL; automated screening score</x:v>
      </x:c>
      <x:c r="L802" s="20" t="str">
        <x:v>2026-05-20</x:v>
      </x:c>
      <x:c r="M802" s="20" t="str">
        <x:v>2026-05-20</x:v>
      </x:c>
      <x:c r="N802" s="20" t="str">
        <x:v>GPT-5.5 Pro</x:v>
      </x:c>
      <x:c r="O802" s="20" t="str">
        <x:v>Needs review</x:v>
      </x:c>
      <x:c r="P802" s="20" t="str">
        <x:v>Screening score for Russia / Propaganda ecosystems in Jordan; verify with country-specific evidence before final use.</x:v>
      </x:c>
    </x:row>
    <x:row r="803" ht="24" customHeight="1">
      <x:c r="A803" s="20" t="str">
        <x:v>JOR|Russia|PMC presence</x:v>
      </x:c>
      <x:c r="B803" s="20" t="str">
        <x:v>Jordan</x:v>
      </x:c>
      <x:c r="C803" s="20" t="str">
        <x:v>JOR</x:v>
      </x:c>
      <x:c r="D803" s="20" t="str">
        <x:v>Russia</x:v>
      </x:c>
      <x:c r="E803" s="20" t="str">
        <x:v>Russian influence</x:v>
      </x:c>
      <x:c r="F803" s="20" t="str">
        <x:v>PMC presence</x:v>
      </x:c>
      <x:c r="G803" s="384" t="n">
        <x:v>0</x:v>
      </x:c>
      <x:c r="H803" s="396" t="n">
        <x:v>1</x:v>
      </x:c>
      <x:c r="I803" s="20" t="str">
        <x:v>Treasury and Council of the EU Wagner/PMC source register</x:v>
      </x:c>
      <x:c r="J803" s="397" t="str">
        <x:v>https://www.consilium.europa.eu/en/press/press-releases/2023/02/25/wagner-group-council-adds-11-individuals-and-7-entities-to-eu-sanctions-lists/</x:v>
      </x:c>
      <x:c r="K803" s="20" t="str">
        <x:v>Primary source-register URL; automated screening score</x:v>
      </x:c>
      <x:c r="L803" s="20" t="str">
        <x:v>2026-05-20</x:v>
      </x:c>
      <x:c r="M803" s="20" t="str">
        <x:v>2026-05-20</x:v>
      </x:c>
      <x:c r="N803" s="20" t="str">
        <x:v>GPT-5.5 Pro</x:v>
      </x:c>
      <x:c r="O803" s="20" t="str">
        <x:v>Needs review</x:v>
      </x:c>
      <x:c r="P803" s="20" t="str">
        <x:v>Screening score for Russia / PMC presence in Jordan; verify with country-specific evidence before final use.</x:v>
      </x:c>
    </x:row>
    <x:row r="804" ht="24" customHeight="1">
      <x:c r="A804" s="20" t="str">
        <x:v>JOR|Russia|Election interference</x:v>
      </x:c>
      <x:c r="B804" s="20" t="str">
        <x:v>Jordan</x:v>
      </x:c>
      <x:c r="C804" s="20" t="str">
        <x:v>JOR</x:v>
      </x:c>
      <x:c r="D804" s="20" t="str">
        <x:v>Russia</x:v>
      </x:c>
      <x:c r="E804" s="20" t="str">
        <x:v>Russian influence</x:v>
      </x:c>
      <x:c r="F804" s="20" t="str">
        <x:v>Election interference</x:v>
      </x:c>
      <x:c r="G804" s="384" t="n">
        <x:v>0</x:v>
      </x:c>
      <x:c r="H804" s="396" t="n">
        <x:v>1</x:v>
      </x:c>
      <x:c r="I804" s="20" t="str">
        <x:v>ODNI/EEAS election-FIMI source register</x:v>
      </x:c>
      <x:c r="J804" s="397" t="str">
        <x:v>https://www.dni.gov/files/ODNI/documents/assessments/ATA-2026-Unclassified-Report.pdf</x:v>
      </x:c>
      <x:c r="K804" s="20" t="str">
        <x:v>Primary source-register URL; automated screening score</x:v>
      </x:c>
      <x:c r="L804" s="20" t="str">
        <x:v>2026-05-20</x:v>
      </x:c>
      <x:c r="M804" s="20" t="str">
        <x:v>2026-05-20</x:v>
      </x:c>
      <x:c r="N804" s="20" t="str">
        <x:v>GPT-5.5 Pro</x:v>
      </x:c>
      <x:c r="O804" s="20" t="str">
        <x:v>Needs review</x:v>
      </x:c>
      <x:c r="P804" s="20" t="str">
        <x:v>Screening score for Russia / Election interference in Jordan; verify with country-specific evidence before final use.</x:v>
      </x:c>
    </x:row>
    <x:row r="805" ht="24" customHeight="1">
      <x:c r="A805" s="20" t="str">
        <x:v>JOR|Russia|Security contractors</x:v>
      </x:c>
      <x:c r="B805" s="20" t="str">
        <x:v>Jordan</x:v>
      </x:c>
      <x:c r="C805" s="20" t="str">
        <x:v>JOR</x:v>
      </x:c>
      <x:c r="D805" s="20" t="str">
        <x:v>Russia</x:v>
      </x:c>
      <x:c r="E805" s="20" t="str">
        <x:v>Russian influence</x:v>
      </x:c>
      <x:c r="F805" s="20" t="str">
        <x:v>Security contractors</x:v>
      </x:c>
      <x:c r="G805" s="384" t="n">
        <x:v>0</x:v>
      </x:c>
      <x:c r="H805" s="396" t="n">
        <x:v>1</x:v>
      </x:c>
      <x:c r="I805" s="20" t="str">
        <x:v>Council of the EU/Treasury Wagner-security source register</x:v>
      </x:c>
      <x:c r="J805" s="397" t="str">
        <x:v>https://www.consilium.europa.eu/en/press/press-releases/2023/02/25/wagner-group-council-adds-11-individuals-and-7-entities-to-eu-sanctions-lists/</x:v>
      </x:c>
      <x:c r="K805" s="20" t="str">
        <x:v>Primary source-register URL; automated screening score</x:v>
      </x:c>
      <x:c r="L805" s="20" t="str">
        <x:v>2026-05-20</x:v>
      </x:c>
      <x:c r="M805" s="20" t="str">
        <x:v>2026-05-20</x:v>
      </x:c>
      <x:c r="N805" s="20" t="str">
        <x:v>GPT-5.5 Pro</x:v>
      </x:c>
      <x:c r="O805" s="20" t="str">
        <x:v>Needs review</x:v>
      </x:c>
      <x:c r="P805" s="20" t="str">
        <x:v>Screening score for Russia / Security contractors in Jordan; verify with country-specific evidence before final use.</x:v>
      </x:c>
    </x:row>
    <x:row r="806" ht="24" customHeight="1">
      <x:c r="A806" s="20" t="str">
        <x:v>JOR|China|Propaganda ecosystems</x:v>
      </x:c>
      <x:c r="B806" s="20" t="str">
        <x:v>Jordan</x:v>
      </x:c>
      <x:c r="C806" s="20" t="str">
        <x:v>JOR</x:v>
      </x:c>
      <x:c r="D806" s="20" t="str">
        <x:v>China</x:v>
      </x:c>
      <x:c r="E806" s="20" t="str">
        <x:v>Chinese influence</x:v>
      </x:c>
      <x:c r="F806" s="20" t="str">
        <x:v>Propaganda ecosystems</x:v>
      </x:c>
      <x:c r="G806" s="384" t="n">
        <x:v>3</x:v>
      </x:c>
      <x:c r="H806" s="396" t="n">
        <x:v>3</x:v>
      </x:c>
      <x:c r="I806" s="20" t="str">
        <x:v>EEAS/ODNI China FIMI source register</x:v>
      </x:c>
      <x:c r="J806" s="397" t="str">
        <x:v>https://www.eeas.europa.eu/eeas/4th-eeas-annual-report-foreign-information-manipulation-and-interference-threats_en</x:v>
      </x:c>
      <x:c r="K806" s="20" t="str">
        <x:v>Primary source-register URL; automated screening score</x:v>
      </x:c>
      <x:c r="L806" s="20" t="str">
        <x:v>2026-05-20</x:v>
      </x:c>
      <x:c r="M806" s="20" t="str">
        <x:v>2026-05-20</x:v>
      </x:c>
      <x:c r="N806" s="20" t="str">
        <x:v>GPT-5.5 Pro</x:v>
      </x:c>
      <x:c r="O806" s="20" t="str">
        <x:v>Needs review</x:v>
      </x:c>
      <x:c r="P806" s="20" t="str">
        <x:v>Screening score for China / Propaganda ecosystems in Jordan; verify with country-specific evidence before final use.</x:v>
      </x:c>
    </x:row>
    <x:row r="807" ht="24" customHeight="1">
      <x:c r="A807" s="20" t="str">
        <x:v>JOR|China|PMC presence</x:v>
      </x:c>
      <x:c r="B807" s="20" t="str">
        <x:v>Jordan</x:v>
      </x:c>
      <x:c r="C807" s="20" t="str">
        <x:v>JOR</x:v>
      </x:c>
      <x:c r="D807" s="20" t="str">
        <x:v>China</x:v>
      </x:c>
      <x:c r="E807" s="20" t="str">
        <x:v>Chinese influence</x:v>
      </x:c>
      <x:c r="F807" s="20" t="str">
        <x:v>PMC presence</x:v>
      </x:c>
      <x:c r="G807" s="384" t="n">
        <x:v>0</x:v>
      </x:c>
      <x:c r="H807" s="396" t="n">
        <x:v>1</x:v>
      </x:c>
      <x:c r="I807" s="20" t="str">
        <x:v>MERICS/Carnegie Chinese overseas PSC source register</x:v>
      </x:c>
      <x:c r="J807" s="397" t="str">
        <x:v>https://merics.org/en/report/guardians-belt-and-road</x:v>
      </x:c>
      <x:c r="K807" s="20" t="str">
        <x:v>Primary source-register URL; automated screening score</x:v>
      </x:c>
      <x:c r="L807" s="20" t="str">
        <x:v>2026-05-20</x:v>
      </x:c>
      <x:c r="M807" s="20" t="str">
        <x:v>2026-05-20</x:v>
      </x:c>
      <x:c r="N807" s="20" t="str">
        <x:v>GPT-5.5 Pro</x:v>
      </x:c>
      <x:c r="O807" s="20" t="str">
        <x:v>Needs review</x:v>
      </x:c>
      <x:c r="P807" s="20" t="str">
        <x:v>Screening score for China / PMC presence in Jordan; verify with country-specific evidence before final use.</x:v>
      </x:c>
    </x:row>
    <x:row r="808" ht="24" customHeight="1">
      <x:c r="A808" s="20" t="str">
        <x:v>JOR|China|Election interference</x:v>
      </x:c>
      <x:c r="B808" s="20" t="str">
        <x:v>Jordan</x:v>
      </x:c>
      <x:c r="C808" s="20" t="str">
        <x:v>JOR</x:v>
      </x:c>
      <x:c r="D808" s="20" t="str">
        <x:v>China</x:v>
      </x:c>
      <x:c r="E808" s="20" t="str">
        <x:v>Chinese influence</x:v>
      </x:c>
      <x:c r="F808" s="20" t="str">
        <x:v>Election interference</x:v>
      </x:c>
      <x:c r="G808" s="384" t="n">
        <x:v>1</x:v>
      </x:c>
      <x:c r="H808" s="396" t="n">
        <x:v>2</x:v>
      </x:c>
      <x:c r="I808" s="20" t="str">
        <x:v>EEAS/ODNI China election-FIMI source register</x:v>
      </x:c>
      <x:c r="J808" s="397" t="str">
        <x:v>https://www.eeas.europa.eu/eeas/4th-eeas-annual-report-foreign-information-manipulation-and-interference-threats_en</x:v>
      </x:c>
      <x:c r="K808" s="20" t="str">
        <x:v>Primary source-register URL; automated screening score</x:v>
      </x:c>
      <x:c r="L808" s="20" t="str">
        <x:v>2026-05-20</x:v>
      </x:c>
      <x:c r="M808" s="20" t="str">
        <x:v>2026-05-20</x:v>
      </x:c>
      <x:c r="N808" s="20" t="str">
        <x:v>GPT-5.5 Pro</x:v>
      </x:c>
      <x:c r="O808" s="20" t="str">
        <x:v>Needs review</x:v>
      </x:c>
      <x:c r="P808" s="20" t="str">
        <x:v>Screening score for China / Election interference in Jordan; verify with country-specific evidence before final use.</x:v>
      </x:c>
    </x:row>
    <x:row r="809" ht="24" customHeight="1">
      <x:c r="A809" s="20" t="str">
        <x:v>JOR|China|Security contractors</x:v>
      </x:c>
      <x:c r="B809" s="20" t="str">
        <x:v>Jordan</x:v>
      </x:c>
      <x:c r="C809" s="20" t="str">
        <x:v>JOR</x:v>
      </x:c>
      <x:c r="D809" s="20" t="str">
        <x:v>China</x:v>
      </x:c>
      <x:c r="E809" s="20" t="str">
        <x:v>Chinese influence</x:v>
      </x:c>
      <x:c r="F809" s="20" t="str">
        <x:v>Security contractors</x:v>
      </x:c>
      <x:c r="G809" s="384" t="n">
        <x:v>1</x:v>
      </x:c>
      <x:c r="H809" s="396" t="n">
        <x:v>2</x:v>
      </x:c>
      <x:c r="I809" s="20" t="str">
        <x:v>MERICS/Carnegie Chinese security contractor source register</x:v>
      </x:c>
      <x:c r="J809" s="397" t="str">
        <x:v>https://merics.org/en/report/guardians-belt-and-road</x:v>
      </x:c>
      <x:c r="K809" s="20" t="str">
        <x:v>Primary source-register URL; automated screening score</x:v>
      </x:c>
      <x:c r="L809" s="20" t="str">
        <x:v>2026-05-20</x:v>
      </x:c>
      <x:c r="M809" s="20" t="str">
        <x:v>2026-05-20</x:v>
      </x:c>
      <x:c r="N809" s="20" t="str">
        <x:v>GPT-5.5 Pro</x:v>
      </x:c>
      <x:c r="O809" s="20" t="str">
        <x:v>Needs review</x:v>
      </x:c>
      <x:c r="P809" s="20" t="str">
        <x:v>Screening score for China / Security contractors in Jordan; verify with country-specific evidence before final use.</x:v>
      </x:c>
    </x:row>
    <x:row r="810" ht="24" customHeight="1">
      <x:c r="A810" s="20" t="str">
        <x:v>JOR|United States|Propaganda ecosystems</x:v>
      </x:c>
      <x:c r="B810" s="20" t="str">
        <x:v>Jordan</x:v>
      </x:c>
      <x:c r="C810" s="20" t="str">
        <x:v>JOR</x:v>
      </x:c>
      <x:c r="D810" s="20" t="str">
        <x:v>United States</x:v>
      </x:c>
      <x:c r="E810" s="20" t="str">
        <x:v>American influence</x:v>
      </x:c>
      <x:c r="F810" s="20" t="str">
        <x:v>Propaganda ecosystems</x:v>
      </x:c>
      <x:c r="G810" s="384" t="n">
        <x:v>5</x:v>
      </x:c>
      <x:c r="H810" s="396" t="n">
        <x:v>3</x:v>
      </x:c>
      <x:c r="I810" s="20" t="str">
        <x:v>USAGM public media source register</x:v>
      </x:c>
      <x:c r="J810" s="397" t="str">
        <x:v>https://www.usagm.gov/our-work/strategy-and-results/strategic-priorities/research-reports/</x:v>
      </x:c>
      <x:c r="K810" s="20" t="str">
        <x:v>Primary source-register URL; automated screening score</x:v>
      </x:c>
      <x:c r="L810" s="20" t="str">
        <x:v>2026-05-20</x:v>
      </x:c>
      <x:c r="M810" s="20" t="str">
        <x:v>2026-05-20</x:v>
      </x:c>
      <x:c r="N810" s="20" t="str">
        <x:v>GPT-5.5 Pro</x:v>
      </x:c>
      <x:c r="O810" s="20" t="str">
        <x:v>Needs review</x:v>
      </x:c>
      <x:c r="P810" s="20" t="str">
        <x:v>Screening score for United States / Propaganda ecosystems in Jordan; verify with country-specific evidence before final use.</x:v>
      </x:c>
    </x:row>
    <x:row r="811" ht="24" customHeight="1">
      <x:c r="A811" s="20" t="str">
        <x:v>JOR|United States|PMC presence</x:v>
      </x:c>
      <x:c r="B811" s="20" t="str">
        <x:v>Jordan</x:v>
      </x:c>
      <x:c r="C811" s="20" t="str">
        <x:v>JOR</x:v>
      </x:c>
      <x:c r="D811" s="20" t="str">
        <x:v>United States</x:v>
      </x:c>
      <x:c r="E811" s="20" t="str">
        <x:v>American influence</x:v>
      </x:c>
      <x:c r="F811" s="20" t="str">
        <x:v>PMC presence</x:v>
      </x:c>
      <x:c r="G811" s="384" t="n">
        <x:v>5</x:v>
      </x:c>
      <x:c r="H811" s="396" t="n">
        <x:v>3</x:v>
      </x:c>
      <x:c r="I811" s="20" t="str">
        <x:v>SAM/Greenbook U.S. security assistance contractor source register</x:v>
      </x:c>
      <x:c r="J811" s="397" t="str">
        <x:v>https://internationalpolicy.org/programs/sam/</x:v>
      </x:c>
      <x:c r="K811" s="20" t="str">
        <x:v>Primary source-register URL; automated screening score</x:v>
      </x:c>
      <x:c r="L811" s="20" t="str">
        <x:v>2026-05-20</x:v>
      </x:c>
      <x:c r="M811" s="20" t="str">
        <x:v>2026-05-20</x:v>
      </x:c>
      <x:c r="N811" s="20" t="str">
        <x:v>GPT-5.5 Pro</x:v>
      </x:c>
      <x:c r="O811" s="20" t="str">
        <x:v>Needs review</x:v>
      </x:c>
      <x:c r="P811" s="20" t="str">
        <x:v>Screening score for United States / PMC presence in Jordan; verify with country-specific evidence before final use.</x:v>
      </x:c>
    </x:row>
    <x:row r="812" ht="24" customHeight="1">
      <x:c r="A812" s="20" t="str">
        <x:v>JOR|United States|Election interference</x:v>
      </x:c>
      <x:c r="B812" s="20" t="str">
        <x:v>Jordan</x:v>
      </x:c>
      <x:c r="C812" s="20" t="str">
        <x:v>JOR</x:v>
      </x:c>
      <x:c r="D812" s="20" t="str">
        <x:v>United States</x:v>
      </x:c>
      <x:c r="E812" s="20" t="str">
        <x:v>American influence</x:v>
      </x:c>
      <x:c r="F812" s="20" t="str">
        <x:v>Election interference</x:v>
      </x:c>
      <x:c r="G812" s="384" t="n">
        <x:v>2</x:v>
      </x:c>
      <x:c r="H812" s="396" t="n">
        <x:v>2</x:v>
      </x:c>
      <x:c r="I812" s="20" t="str">
        <x:v>NED/Greenbook democracy assistance source register</x:v>
      </x:c>
      <x:c r="J812" s="397" t="str">
        <x:v>https://www.ned.org/ned-grantmaking/</x:v>
      </x:c>
      <x:c r="K812" s="20" t="str">
        <x:v>Primary source-register URL; automated screening score</x:v>
      </x:c>
      <x:c r="L812" s="20" t="str">
        <x:v>2026-05-20</x:v>
      </x:c>
      <x:c r="M812" s="20" t="str">
        <x:v>2026-05-20</x:v>
      </x:c>
      <x:c r="N812" s="20" t="str">
        <x:v>GPT-5.5 Pro</x:v>
      </x:c>
      <x:c r="O812" s="20" t="str">
        <x:v>Needs review</x:v>
      </x:c>
      <x:c r="P812" s="20" t="str">
        <x:v>Screening score for United States / Election interference in Jordan; verify with country-specific evidence before final use.</x:v>
      </x:c>
    </x:row>
    <x:row r="813" ht="24" customHeight="1">
      <x:c r="A813" s="20" t="str">
        <x:v>JOR|United States|Security contractors</x:v>
      </x:c>
      <x:c r="B813" s="20" t="str">
        <x:v>Jordan</x:v>
      </x:c>
      <x:c r="C813" s="20" t="str">
        <x:v>JOR</x:v>
      </x:c>
      <x:c r="D813" s="20" t="str">
        <x:v>United States</x:v>
      </x:c>
      <x:c r="E813" s="20" t="str">
        <x:v>American influence</x:v>
      </x:c>
      <x:c r="F813" s="20" t="str">
        <x:v>Security contractors</x:v>
      </x:c>
      <x:c r="G813" s="384" t="n">
        <x:v>7</x:v>
      </x:c>
      <x:c r="H813" s="396" t="n">
        <x:v>4</x:v>
      </x:c>
      <x:c r="I813" s="20" t="str">
        <x:v>SAM/Greenbook U.S. security contractor source register</x:v>
      </x:c>
      <x:c r="J813" s="397" t="str">
        <x:v>https://internationalpolicy.org/programs/sam/</x:v>
      </x:c>
      <x:c r="K813" s="20" t="str">
        <x:v>Primary source-register URL; automated screening score</x:v>
      </x:c>
      <x:c r="L813" s="20" t="str">
        <x:v>2026-05-20</x:v>
      </x:c>
      <x:c r="M813" s="20" t="str">
        <x:v>2026-05-20</x:v>
      </x:c>
      <x:c r="N813" s="20" t="str">
        <x:v>GPT-5.5 Pro</x:v>
      </x:c>
      <x:c r="O813" s="20" t="str">
        <x:v>Needs review</x:v>
      </x:c>
      <x:c r="P813" s="20" t="str">
        <x:v>Screening score for United States / Security contractors in Jordan; verify with country-specific evidence before final use.</x:v>
      </x:c>
    </x:row>
    <x:row r="814" ht="24" customHeight="1">
      <x:c r="A814" s="20" t="str">
        <x:v>JOR|European Union|Propaganda ecosystems</x:v>
      </x:c>
      <x:c r="B814" s="20" t="str">
        <x:v>Jordan</x:v>
      </x:c>
      <x:c r="C814" s="20" t="str">
        <x:v>JOR</x:v>
      </x:c>
      <x:c r="D814" s="20" t="str">
        <x:v>European Union</x:v>
      </x:c>
      <x:c r="E814" s="20" t="str">
        <x:v>EU influence</x:v>
      </x:c>
      <x:c r="F814" s="20" t="str">
        <x:v>Propaganda ecosystems</x:v>
      </x:c>
      <x:c r="G814" s="384" t="n">
        <x:v>2</x:v>
      </x:c>
      <x:c r="H814" s="396" t="n">
        <x:v>2</x:v>
      </x:c>
      <x:c r="I814" s="20" t="str">
        <x:v>EEAS public diplomacy source register</x:v>
      </x:c>
      <x:c r="J814" s="397" t="str">
        <x:v>https://www.eeas.europa.eu/eeas/public-diplomacy_en</x:v>
      </x:c>
      <x:c r="K814" s="20" t="str">
        <x:v>Primary source-register URL; automated screening score</x:v>
      </x:c>
      <x:c r="L814" s="20" t="str">
        <x:v>2026-05-20</x:v>
      </x:c>
      <x:c r="M814" s="20" t="str">
        <x:v>2026-05-20</x:v>
      </x:c>
      <x:c r="N814" s="20" t="str">
        <x:v>GPT-5.5 Pro</x:v>
      </x:c>
      <x:c r="O814" s="20" t="str">
        <x:v>Needs review</x:v>
      </x:c>
      <x:c r="P814" s="20" t="str">
        <x:v>Screening score for European Union / Propaganda ecosystems in Jordan; verify with country-specific evidence before final use.</x:v>
      </x:c>
    </x:row>
    <x:row r="815" ht="24" customHeight="1">
      <x:c r="A815" s="20" t="str">
        <x:v>JOR|European Union|PMC presence</x:v>
      </x:c>
      <x:c r="B815" s="20" t="str">
        <x:v>Jordan</x:v>
      </x:c>
      <x:c r="C815" s="20" t="str">
        <x:v>JOR</x:v>
      </x:c>
      <x:c r="D815" s="20" t="str">
        <x:v>European Union</x:v>
      </x:c>
      <x:c r="E815" s="20" t="str">
        <x:v>EU influence</x:v>
      </x:c>
      <x:c r="F815" s="20" t="str">
        <x:v>PMC presence</x:v>
      </x:c>
      <x:c r="G815" s="384" t="n">
        <x:v>0</x:v>
      </x:c>
      <x:c r="H815" s="396" t="n">
        <x:v>1</x:v>
      </x:c>
      <x:c r="I815" s="20" t="str">
        <x:v>EEAS CSDP missions source register</x:v>
      </x:c>
      <x:c r="J815" s="397" t="str">
        <x:v>https://www.eeas.europa.eu/eeas/missions-and-operations_en</x:v>
      </x:c>
      <x:c r="K815" s="20" t="str">
        <x:v>Primary source-register URL; automated screening score</x:v>
      </x:c>
      <x:c r="L815" s="20" t="str">
        <x:v>2026-05-20</x:v>
      </x:c>
      <x:c r="M815" s="20" t="str">
        <x:v>2026-05-20</x:v>
      </x:c>
      <x:c r="N815" s="20" t="str">
        <x:v>GPT-5.5 Pro</x:v>
      </x:c>
      <x:c r="O815" s="20" t="str">
        <x:v>Needs review</x:v>
      </x:c>
      <x:c r="P815" s="20" t="str">
        <x:v>Screening score for European Union / PMC presence in Jordan; verify with country-specific evidence before final use.</x:v>
      </x:c>
    </x:row>
    <x:row r="816" ht="24" customHeight="1">
      <x:c r="A816" s="20" t="str">
        <x:v>JOR|European Union|Election interference</x:v>
      </x:c>
      <x:c r="B816" s="20" t="str">
        <x:v>Jordan</x:v>
      </x:c>
      <x:c r="C816" s="20" t="str">
        <x:v>JOR</x:v>
      </x:c>
      <x:c r="D816" s="20" t="str">
        <x:v>European Union</x:v>
      </x:c>
      <x:c r="E816" s="20" t="str">
        <x:v>EU influence</x:v>
      </x:c>
      <x:c r="F816" s="20" t="str">
        <x:v>Election interference</x:v>
      </x:c>
      <x:c r="G816" s="384" t="n">
        <x:v>2</x:v>
      </x:c>
      <x:c r="H816" s="396" t="n">
        <x:v>2</x:v>
      </x:c>
      <x:c r="I816" s="20" t="str">
        <x:v>EEAS EU election observation source register</x:v>
      </x:c>
      <x:c r="J816" s="397" t="str">
        <x:v>https://www.eeas.europa.eu/eeas/eu-election-observation-missions-1_en?page_lang=en</x:v>
      </x:c>
      <x:c r="K816" s="20" t="str">
        <x:v>Primary source-register URL; automated screening score</x:v>
      </x:c>
      <x:c r="L816" s="20" t="str">
        <x:v>2026-05-20</x:v>
      </x:c>
      <x:c r="M816" s="20" t="str">
        <x:v>2026-05-20</x:v>
      </x:c>
      <x:c r="N816" s="20" t="str">
        <x:v>GPT-5.5 Pro</x:v>
      </x:c>
      <x:c r="O816" s="20" t="str">
        <x:v>Needs review</x:v>
      </x:c>
      <x:c r="P816" s="20" t="str">
        <x:v>Screening score for European Union / Election interference in Jordan; verify with country-specific evidence before final use.</x:v>
      </x:c>
    </x:row>
    <x:row r="817" ht="24" customHeight="1">
      <x:c r="A817" s="20" t="str">
        <x:v>JOR|European Union|Security contractors</x:v>
      </x:c>
      <x:c r="B817" s="20" t="str">
        <x:v>Jordan</x:v>
      </x:c>
      <x:c r="C817" s="20" t="str">
        <x:v>JOR</x:v>
      </x:c>
      <x:c r="D817" s="20" t="str">
        <x:v>European Union</x:v>
      </x:c>
      <x:c r="E817" s="20" t="str">
        <x:v>EU influence</x:v>
      </x:c>
      <x:c r="F817" s="20" t="str">
        <x:v>Security contractors</x:v>
      </x:c>
      <x:c r="G817" s="384" t="n">
        <x:v>2</x:v>
      </x:c>
      <x:c r="H817" s="396" t="n">
        <x:v>2</x:v>
      </x:c>
      <x:c r="I817" s="20" t="str">
        <x:v>EEAS CSDP / Global Gateway security source register</x:v>
      </x:c>
      <x:c r="J817" s="397" t="str">
        <x:v>https://www.eeas.europa.eu/eeas/missions-and-operations_en</x:v>
      </x:c>
      <x:c r="K817" s="20" t="str">
        <x:v>Primary source-register URL; automated screening score</x:v>
      </x:c>
      <x:c r="L817" s="20" t="str">
        <x:v>2026-05-20</x:v>
      </x:c>
      <x:c r="M817" s="20" t="str">
        <x:v>2026-05-20</x:v>
      </x:c>
      <x:c r="N817" s="20" t="str">
        <x:v>GPT-5.5 Pro</x:v>
      </x:c>
      <x:c r="O817" s="20" t="str">
        <x:v>Needs review</x:v>
      </x:c>
      <x:c r="P817" s="20" t="str">
        <x:v>Screening score for European Union / Security contractors in Jordan; verify with country-specific evidence before final use.</x:v>
      </x:c>
    </x:row>
    <x:row r="818" ht="24" customHeight="1">
      <x:c r="A818" s="20" t="str">
        <x:v>KAZ|Russia|Propaganda ecosystems</x:v>
      </x:c>
      <x:c r="B818" s="20" t="str">
        <x:v>Kazakhstan</x:v>
      </x:c>
      <x:c r="C818" s="20" t="str">
        <x:v>KAZ</x:v>
      </x:c>
      <x:c r="D818" s="20" t="str">
        <x:v>Russia</x:v>
      </x:c>
      <x:c r="E818" s="20" t="str">
        <x:v>Russian influence</x:v>
      </x:c>
      <x:c r="F818" s="20" t="str">
        <x:v>Propaganda ecosystems</x:v>
      </x:c>
      <x:c r="G818" s="384" t="n">
        <x:v>7</x:v>
      </x:c>
      <x:c r="H818" s="396" t="n">
        <x:v>4</x:v>
      </x:c>
      <x:c r="I818" s="20" t="str">
        <x:v>EEAS/EUvsDisinfo FIMI source register</x:v>
      </x:c>
      <x:c r="J818" s="397" t="str">
        <x:v>https://www.eeas.europa.eu/eeas/4th-eeas-annual-report-foreign-information-manipulation-and-interference-threats_en</x:v>
      </x:c>
      <x:c r="K818" s="20" t="str">
        <x:v>Primary source-register URL; automated screening score</x:v>
      </x:c>
      <x:c r="L818" s="20" t="str">
        <x:v>2026-05-20</x:v>
      </x:c>
      <x:c r="M818" s="20" t="str">
        <x:v>2026-05-20</x:v>
      </x:c>
      <x:c r="N818" s="20" t="str">
        <x:v>GPT-5.5 Pro</x:v>
      </x:c>
      <x:c r="O818" s="20" t="str">
        <x:v>Needs review</x:v>
      </x:c>
      <x:c r="P818" s="20" t="str">
        <x:v>Screening score for Russia / Propaganda ecosystems in Kazakhstan; verify with country-specific evidence before final use.</x:v>
      </x:c>
    </x:row>
    <x:row r="819" ht="24" customHeight="1">
      <x:c r="A819" s="20" t="str">
        <x:v>KAZ|Russia|PMC presence</x:v>
      </x:c>
      <x:c r="B819" s="20" t="str">
        <x:v>Kazakhstan</x:v>
      </x:c>
      <x:c r="C819" s="20" t="str">
        <x:v>KAZ</x:v>
      </x:c>
      <x:c r="D819" s="20" t="str">
        <x:v>Russia</x:v>
      </x:c>
      <x:c r="E819" s="20" t="str">
        <x:v>Russian influence</x:v>
      </x:c>
      <x:c r="F819" s="20" t="str">
        <x:v>PMC presence</x:v>
      </x:c>
      <x:c r="G819" s="384" t="n">
        <x:v>0</x:v>
      </x:c>
      <x:c r="H819" s="396" t="n">
        <x:v>1</x:v>
      </x:c>
      <x:c r="I819" s="20" t="str">
        <x:v>Treasury and Council of the EU Wagner/PMC source register</x:v>
      </x:c>
      <x:c r="J819" s="397" t="str">
        <x:v>https://www.consilium.europa.eu/en/press/press-releases/2023/02/25/wagner-group-council-adds-11-individuals-and-7-entities-to-eu-sanctions-lists/</x:v>
      </x:c>
      <x:c r="K819" s="20" t="str">
        <x:v>Primary source-register URL; automated screening score</x:v>
      </x:c>
      <x:c r="L819" s="20" t="str">
        <x:v>2026-05-20</x:v>
      </x:c>
      <x:c r="M819" s="20" t="str">
        <x:v>2026-05-20</x:v>
      </x:c>
      <x:c r="N819" s="20" t="str">
        <x:v>GPT-5.5 Pro</x:v>
      </x:c>
      <x:c r="O819" s="20" t="str">
        <x:v>Needs review</x:v>
      </x:c>
      <x:c r="P819" s="20" t="str">
        <x:v>Screening score for Russia / PMC presence in Kazakhstan; verify with country-specific evidence before final use.</x:v>
      </x:c>
    </x:row>
    <x:row r="820" ht="24" customHeight="1">
      <x:c r="A820" s="20" t="str">
        <x:v>KAZ|Russia|Election interference</x:v>
      </x:c>
      <x:c r="B820" s="20" t="str">
        <x:v>Kazakhstan</x:v>
      </x:c>
      <x:c r="C820" s="20" t="str">
        <x:v>KAZ</x:v>
      </x:c>
      <x:c r="D820" s="20" t="str">
        <x:v>Russia</x:v>
      </x:c>
      <x:c r="E820" s="20" t="str">
        <x:v>Russian influence</x:v>
      </x:c>
      <x:c r="F820" s="20" t="str">
        <x:v>Election interference</x:v>
      </x:c>
      <x:c r="G820" s="384" t="n">
        <x:v>0</x:v>
      </x:c>
      <x:c r="H820" s="396" t="n">
        <x:v>1</x:v>
      </x:c>
      <x:c r="I820" s="20" t="str">
        <x:v>ODNI/EEAS election-FIMI source register</x:v>
      </x:c>
      <x:c r="J820" s="397" t="str">
        <x:v>https://www.dni.gov/files/ODNI/documents/assessments/ATA-2026-Unclassified-Report.pdf</x:v>
      </x:c>
      <x:c r="K820" s="20" t="str">
        <x:v>Primary source-register URL; automated screening score</x:v>
      </x:c>
      <x:c r="L820" s="20" t="str">
        <x:v>2026-05-20</x:v>
      </x:c>
      <x:c r="M820" s="20" t="str">
        <x:v>2026-05-20</x:v>
      </x:c>
      <x:c r="N820" s="20" t="str">
        <x:v>GPT-5.5 Pro</x:v>
      </x:c>
      <x:c r="O820" s="20" t="str">
        <x:v>Needs review</x:v>
      </x:c>
      <x:c r="P820" s="20" t="str">
        <x:v>Screening score for Russia / Election interference in Kazakhstan; verify with country-specific evidence before final use.</x:v>
      </x:c>
    </x:row>
    <x:row r="821" ht="24" customHeight="1">
      <x:c r="A821" s="20" t="str">
        <x:v>KAZ|Russia|Security contractors</x:v>
      </x:c>
      <x:c r="B821" s="20" t="str">
        <x:v>Kazakhstan</x:v>
      </x:c>
      <x:c r="C821" s="20" t="str">
        <x:v>KAZ</x:v>
      </x:c>
      <x:c r="D821" s="20" t="str">
        <x:v>Russia</x:v>
      </x:c>
      <x:c r="E821" s="20" t="str">
        <x:v>Russian influence</x:v>
      </x:c>
      <x:c r="F821" s="20" t="str">
        <x:v>Security contractors</x:v>
      </x:c>
      <x:c r="G821" s="384" t="n">
        <x:v>0</x:v>
      </x:c>
      <x:c r="H821" s="396" t="n">
        <x:v>1</x:v>
      </x:c>
      <x:c r="I821" s="20" t="str">
        <x:v>Council of the EU/Treasury Wagner-security source register</x:v>
      </x:c>
      <x:c r="J821" s="397" t="str">
        <x:v>https://www.consilium.europa.eu/en/press/press-releases/2023/02/25/wagner-group-council-adds-11-individuals-and-7-entities-to-eu-sanctions-lists/</x:v>
      </x:c>
      <x:c r="K821" s="20" t="str">
        <x:v>Primary source-register URL; automated screening score</x:v>
      </x:c>
      <x:c r="L821" s="20" t="str">
        <x:v>2026-05-20</x:v>
      </x:c>
      <x:c r="M821" s="20" t="str">
        <x:v>2026-05-20</x:v>
      </x:c>
      <x:c r="N821" s="20" t="str">
        <x:v>GPT-5.5 Pro</x:v>
      </x:c>
      <x:c r="O821" s="20" t="str">
        <x:v>Needs review</x:v>
      </x:c>
      <x:c r="P821" s="20" t="str">
        <x:v>Screening score for Russia / Security contractors in Kazakhstan; verify with country-specific evidence before final use.</x:v>
      </x:c>
    </x:row>
    <x:row r="822" ht="24" customHeight="1">
      <x:c r="A822" s="20" t="str">
        <x:v>KAZ|China|Propaganda ecosystems</x:v>
      </x:c>
      <x:c r="B822" s="20" t="str">
        <x:v>Kazakhstan</x:v>
      </x:c>
      <x:c r="C822" s="20" t="str">
        <x:v>KAZ</x:v>
      </x:c>
      <x:c r="D822" s="20" t="str">
        <x:v>China</x:v>
      </x:c>
      <x:c r="E822" s="20" t="str">
        <x:v>Chinese influence</x:v>
      </x:c>
      <x:c r="F822" s="20" t="str">
        <x:v>Propaganda ecosystems</x:v>
      </x:c>
      <x:c r="G822" s="384" t="n">
        <x:v>5</x:v>
      </x:c>
      <x:c r="H822" s="396" t="n">
        <x:v>3</x:v>
      </x:c>
      <x:c r="I822" s="20" t="str">
        <x:v>EEAS/ODNI China FIMI source register</x:v>
      </x:c>
      <x:c r="J822" s="397" t="str">
        <x:v>https://www.eeas.europa.eu/eeas/4th-eeas-annual-report-foreign-information-manipulation-and-interference-threats_en</x:v>
      </x:c>
      <x:c r="K822" s="20" t="str">
        <x:v>Primary source-register URL; automated screening score</x:v>
      </x:c>
      <x:c r="L822" s="20" t="str">
        <x:v>2026-05-20</x:v>
      </x:c>
      <x:c r="M822" s="20" t="str">
        <x:v>2026-05-20</x:v>
      </x:c>
      <x:c r="N822" s="20" t="str">
        <x:v>GPT-5.5 Pro</x:v>
      </x:c>
      <x:c r="O822" s="20" t="str">
        <x:v>Needs review</x:v>
      </x:c>
      <x:c r="P822" s="20" t="str">
        <x:v>Screening score for China / Propaganda ecosystems in Kazakhstan; verify with country-specific evidence before final use.</x:v>
      </x:c>
    </x:row>
    <x:row r="823" ht="24" customHeight="1">
      <x:c r="A823" s="20" t="str">
        <x:v>KAZ|China|PMC presence</x:v>
      </x:c>
      <x:c r="B823" s="20" t="str">
        <x:v>Kazakhstan</x:v>
      </x:c>
      <x:c r="C823" s="20" t="str">
        <x:v>KAZ</x:v>
      </x:c>
      <x:c r="D823" s="20" t="str">
        <x:v>China</x:v>
      </x:c>
      <x:c r="E823" s="20" t="str">
        <x:v>Chinese influence</x:v>
      </x:c>
      <x:c r="F823" s="20" t="str">
        <x:v>PMC presence</x:v>
      </x:c>
      <x:c r="G823" s="384" t="n">
        <x:v>1</x:v>
      </x:c>
      <x:c r="H823" s="396" t="n">
        <x:v>2</x:v>
      </x:c>
      <x:c r="I823" s="20" t="str">
        <x:v>MERICS/Carnegie Chinese overseas PSC source register</x:v>
      </x:c>
      <x:c r="J823" s="397" t="str">
        <x:v>https://merics.org/en/report/guardians-belt-and-road</x:v>
      </x:c>
      <x:c r="K823" s="20" t="str">
        <x:v>Primary source-register URL; automated screening score</x:v>
      </x:c>
      <x:c r="L823" s="20" t="str">
        <x:v>2026-05-20</x:v>
      </x:c>
      <x:c r="M823" s="20" t="str">
        <x:v>2026-05-20</x:v>
      </x:c>
      <x:c r="N823" s="20" t="str">
        <x:v>GPT-5.5 Pro</x:v>
      </x:c>
      <x:c r="O823" s="20" t="str">
        <x:v>Needs review</x:v>
      </x:c>
      <x:c r="P823" s="20" t="str">
        <x:v>Screening score for China / PMC presence in Kazakhstan; verify with country-specific evidence before final use.</x:v>
      </x:c>
    </x:row>
    <x:row r="824" ht="24" customHeight="1">
      <x:c r="A824" s="20" t="str">
        <x:v>KAZ|China|Election interference</x:v>
      </x:c>
      <x:c r="B824" s="20" t="str">
        <x:v>Kazakhstan</x:v>
      </x:c>
      <x:c r="C824" s="20" t="str">
        <x:v>KAZ</x:v>
      </x:c>
      <x:c r="D824" s="20" t="str">
        <x:v>China</x:v>
      </x:c>
      <x:c r="E824" s="20" t="str">
        <x:v>Chinese influence</x:v>
      </x:c>
      <x:c r="F824" s="20" t="str">
        <x:v>Election interference</x:v>
      </x:c>
      <x:c r="G824" s="384" t="n">
        <x:v>1</x:v>
      </x:c>
      <x:c r="H824" s="396" t="n">
        <x:v>2</x:v>
      </x:c>
      <x:c r="I824" s="20" t="str">
        <x:v>EEAS/ODNI China election-FIMI source register</x:v>
      </x:c>
      <x:c r="J824" s="397" t="str">
        <x:v>https://www.eeas.europa.eu/eeas/4th-eeas-annual-report-foreign-information-manipulation-and-interference-threats_en</x:v>
      </x:c>
      <x:c r="K824" s="20" t="str">
        <x:v>Primary source-register URL; automated screening score</x:v>
      </x:c>
      <x:c r="L824" s="20" t="str">
        <x:v>2026-05-20</x:v>
      </x:c>
      <x:c r="M824" s="20" t="str">
        <x:v>2026-05-20</x:v>
      </x:c>
      <x:c r="N824" s="20" t="str">
        <x:v>GPT-5.5 Pro</x:v>
      </x:c>
      <x:c r="O824" s="20" t="str">
        <x:v>Needs review</x:v>
      </x:c>
      <x:c r="P824" s="20" t="str">
        <x:v>Screening score for China / Election interference in Kazakhstan; verify with country-specific evidence before final use.</x:v>
      </x:c>
    </x:row>
    <x:row r="825" ht="24" customHeight="1">
      <x:c r="A825" s="20" t="str">
        <x:v>KAZ|China|Security contractors</x:v>
      </x:c>
      <x:c r="B825" s="20" t="str">
        <x:v>Kazakhstan</x:v>
      </x:c>
      <x:c r="C825" s="20" t="str">
        <x:v>KAZ</x:v>
      </x:c>
      <x:c r="D825" s="20" t="str">
        <x:v>China</x:v>
      </x:c>
      <x:c r="E825" s="20" t="str">
        <x:v>Chinese influence</x:v>
      </x:c>
      <x:c r="F825" s="20" t="str">
        <x:v>Security contractors</x:v>
      </x:c>
      <x:c r="G825" s="384" t="n">
        <x:v>3</x:v>
      </x:c>
      <x:c r="H825" s="396" t="n">
        <x:v>3</x:v>
      </x:c>
      <x:c r="I825" s="20" t="str">
        <x:v>MERICS/Carnegie Chinese security contractor source register</x:v>
      </x:c>
      <x:c r="J825" s="397" t="str">
        <x:v>https://merics.org/en/report/guardians-belt-and-road</x:v>
      </x:c>
      <x:c r="K825" s="20" t="str">
        <x:v>Primary source-register URL; automated screening score</x:v>
      </x:c>
      <x:c r="L825" s="20" t="str">
        <x:v>2026-05-20</x:v>
      </x:c>
      <x:c r="M825" s="20" t="str">
        <x:v>2026-05-20</x:v>
      </x:c>
      <x:c r="N825" s="20" t="str">
        <x:v>GPT-5.5 Pro</x:v>
      </x:c>
      <x:c r="O825" s="20" t="str">
        <x:v>Needs review</x:v>
      </x:c>
      <x:c r="P825" s="20" t="str">
        <x:v>Screening score for China / Security contractors in Kazakhstan; verify with country-specific evidence before final use.</x:v>
      </x:c>
    </x:row>
    <x:row r="826" ht="24" customHeight="1">
      <x:c r="A826" s="20" t="str">
        <x:v>KAZ|United States|Propaganda ecosystems</x:v>
      </x:c>
      <x:c r="B826" s="20" t="str">
        <x:v>Kazakhstan</x:v>
      </x:c>
      <x:c r="C826" s="20" t="str">
        <x:v>KAZ</x:v>
      </x:c>
      <x:c r="D826" s="20" t="str">
        <x:v>United States</x:v>
      </x:c>
      <x:c r="E826" s="20" t="str">
        <x:v>American influence</x:v>
      </x:c>
      <x:c r="F826" s="20" t="str">
        <x:v>Propaganda ecosystems</x:v>
      </x:c>
      <x:c r="G826" s="384" t="n">
        <x:v>4</x:v>
      </x:c>
      <x:c r="H826" s="396" t="n">
        <x:v>3</x:v>
      </x:c>
      <x:c r="I826" s="20" t="str">
        <x:v>USAGM public media source register</x:v>
      </x:c>
      <x:c r="J826" s="397" t="str">
        <x:v>https://www.usagm.gov/our-work/strategy-and-results/strategic-priorities/research-reports/</x:v>
      </x:c>
      <x:c r="K826" s="20" t="str">
        <x:v>Primary source-register URL; automated screening score</x:v>
      </x:c>
      <x:c r="L826" s="20" t="str">
        <x:v>2026-05-20</x:v>
      </x:c>
      <x:c r="M826" s="20" t="str">
        <x:v>2026-05-20</x:v>
      </x:c>
      <x:c r="N826" s="20" t="str">
        <x:v>GPT-5.5 Pro</x:v>
      </x:c>
      <x:c r="O826" s="20" t="str">
        <x:v>Needs review</x:v>
      </x:c>
      <x:c r="P826" s="20" t="str">
        <x:v>Screening score for United States / Propaganda ecosystems in Kazakhstan; verify with country-specific evidence before final use.</x:v>
      </x:c>
    </x:row>
    <x:row r="827" ht="24" customHeight="1">
      <x:c r="A827" s="20" t="str">
        <x:v>KAZ|United States|PMC presence</x:v>
      </x:c>
      <x:c r="B827" s="20" t="str">
        <x:v>Kazakhstan</x:v>
      </x:c>
      <x:c r="C827" s="20" t="str">
        <x:v>KAZ</x:v>
      </x:c>
      <x:c r="D827" s="20" t="str">
        <x:v>United States</x:v>
      </x:c>
      <x:c r="E827" s="20" t="str">
        <x:v>American influence</x:v>
      </x:c>
      <x:c r="F827" s="20" t="str">
        <x:v>PMC presence</x:v>
      </x:c>
      <x:c r="G827" s="384" t="n">
        <x:v>1</x:v>
      </x:c>
      <x:c r="H827" s="396" t="n">
        <x:v>2</x:v>
      </x:c>
      <x:c r="I827" s="20" t="str">
        <x:v>SAM/Greenbook U.S. security assistance contractor source register</x:v>
      </x:c>
      <x:c r="J827" s="397" t="str">
        <x:v>https://internationalpolicy.org/programs/sam/</x:v>
      </x:c>
      <x:c r="K827" s="20" t="str">
        <x:v>Primary source-register URL; automated screening score</x:v>
      </x:c>
      <x:c r="L827" s="20" t="str">
        <x:v>2026-05-20</x:v>
      </x:c>
      <x:c r="M827" s="20" t="str">
        <x:v>2026-05-20</x:v>
      </x:c>
      <x:c r="N827" s="20" t="str">
        <x:v>GPT-5.5 Pro</x:v>
      </x:c>
      <x:c r="O827" s="20" t="str">
        <x:v>Needs review</x:v>
      </x:c>
      <x:c r="P827" s="20" t="str">
        <x:v>Screening score for United States / PMC presence in Kazakhstan; verify with country-specific evidence before final use.</x:v>
      </x:c>
    </x:row>
    <x:row r="828" ht="24" customHeight="1">
      <x:c r="A828" s="20" t="str">
        <x:v>KAZ|United States|Election interference</x:v>
      </x:c>
      <x:c r="B828" s="20" t="str">
        <x:v>Kazakhstan</x:v>
      </x:c>
      <x:c r="C828" s="20" t="str">
        <x:v>KAZ</x:v>
      </x:c>
      <x:c r="D828" s="20" t="str">
        <x:v>United States</x:v>
      </x:c>
      <x:c r="E828" s="20" t="str">
        <x:v>American influence</x:v>
      </x:c>
      <x:c r="F828" s="20" t="str">
        <x:v>Election interference</x:v>
      </x:c>
      <x:c r="G828" s="384" t="n">
        <x:v>2</x:v>
      </x:c>
      <x:c r="H828" s="396" t="n">
        <x:v>2</x:v>
      </x:c>
      <x:c r="I828" s="20" t="str">
        <x:v>NED/Greenbook democracy assistance source register</x:v>
      </x:c>
      <x:c r="J828" s="397" t="str">
        <x:v>https://www.ned.org/ned-grantmaking/</x:v>
      </x:c>
      <x:c r="K828" s="20" t="str">
        <x:v>Primary source-register URL; automated screening score</x:v>
      </x:c>
      <x:c r="L828" s="20" t="str">
        <x:v>2026-05-20</x:v>
      </x:c>
      <x:c r="M828" s="20" t="str">
        <x:v>2026-05-20</x:v>
      </x:c>
      <x:c r="N828" s="20" t="str">
        <x:v>GPT-5.5 Pro</x:v>
      </x:c>
      <x:c r="O828" s="20" t="str">
        <x:v>Needs review</x:v>
      </x:c>
      <x:c r="P828" s="20" t="str">
        <x:v>Screening score for United States / Election interference in Kazakhstan; verify with country-specific evidence before final use.</x:v>
      </x:c>
    </x:row>
    <x:row r="829" ht="24" customHeight="1">
      <x:c r="A829" s="20" t="str">
        <x:v>KAZ|United States|Security contractors</x:v>
      </x:c>
      <x:c r="B829" s="20" t="str">
        <x:v>Kazakhstan</x:v>
      </x:c>
      <x:c r="C829" s="20" t="str">
        <x:v>KAZ</x:v>
      </x:c>
      <x:c r="D829" s="20" t="str">
        <x:v>United States</x:v>
      </x:c>
      <x:c r="E829" s="20" t="str">
        <x:v>American influence</x:v>
      </x:c>
      <x:c r="F829" s="20" t="str">
        <x:v>Security contractors</x:v>
      </x:c>
      <x:c r="G829" s="384" t="n">
        <x:v>2</x:v>
      </x:c>
      <x:c r="H829" s="396" t="n">
        <x:v>2</x:v>
      </x:c>
      <x:c r="I829" s="20" t="str">
        <x:v>SAM/Greenbook U.S. security contractor source register</x:v>
      </x:c>
      <x:c r="J829" s="397" t="str">
        <x:v>https://internationalpolicy.org/programs/sam/</x:v>
      </x:c>
      <x:c r="K829" s="20" t="str">
        <x:v>Primary source-register URL; automated screening score</x:v>
      </x:c>
      <x:c r="L829" s="20" t="str">
        <x:v>2026-05-20</x:v>
      </x:c>
      <x:c r="M829" s="20" t="str">
        <x:v>2026-05-20</x:v>
      </x:c>
      <x:c r="N829" s="20" t="str">
        <x:v>GPT-5.5 Pro</x:v>
      </x:c>
      <x:c r="O829" s="20" t="str">
        <x:v>Needs review</x:v>
      </x:c>
      <x:c r="P829" s="20" t="str">
        <x:v>Screening score for United States / Security contractors in Kazakhstan; verify with country-specific evidence before final use.</x:v>
      </x:c>
    </x:row>
    <x:row r="830" ht="24" customHeight="1">
      <x:c r="A830" s="20" t="str">
        <x:v>KAZ|European Union|Propaganda ecosystems</x:v>
      </x:c>
      <x:c r="B830" s="20" t="str">
        <x:v>Kazakhstan</x:v>
      </x:c>
      <x:c r="C830" s="20" t="str">
        <x:v>KAZ</x:v>
      </x:c>
      <x:c r="D830" s="20" t="str">
        <x:v>European Union</x:v>
      </x:c>
      <x:c r="E830" s="20" t="str">
        <x:v>EU influence</x:v>
      </x:c>
      <x:c r="F830" s="20" t="str">
        <x:v>Propaganda ecosystems</x:v>
      </x:c>
      <x:c r="G830" s="384" t="n">
        <x:v>2</x:v>
      </x:c>
      <x:c r="H830" s="396" t="n">
        <x:v>2</x:v>
      </x:c>
      <x:c r="I830" s="20" t="str">
        <x:v>EEAS public diplomacy source register</x:v>
      </x:c>
      <x:c r="J830" s="397" t="str">
        <x:v>https://www.eeas.europa.eu/eeas/public-diplomacy_en</x:v>
      </x:c>
      <x:c r="K830" s="20" t="str">
        <x:v>Primary source-register URL; automated screening score</x:v>
      </x:c>
      <x:c r="L830" s="20" t="str">
        <x:v>2026-05-20</x:v>
      </x:c>
      <x:c r="M830" s="20" t="str">
        <x:v>2026-05-20</x:v>
      </x:c>
      <x:c r="N830" s="20" t="str">
        <x:v>GPT-5.5 Pro</x:v>
      </x:c>
      <x:c r="O830" s="20" t="str">
        <x:v>Needs review</x:v>
      </x:c>
      <x:c r="P830" s="20" t="str">
        <x:v>Screening score for European Union / Propaganda ecosystems in Kazakhstan; verify with country-specific evidence before final use.</x:v>
      </x:c>
    </x:row>
    <x:row r="831" ht="24" customHeight="1">
      <x:c r="A831" s="20" t="str">
        <x:v>KAZ|European Union|PMC presence</x:v>
      </x:c>
      <x:c r="B831" s="20" t="str">
        <x:v>Kazakhstan</x:v>
      </x:c>
      <x:c r="C831" s="20" t="str">
        <x:v>KAZ</x:v>
      </x:c>
      <x:c r="D831" s="20" t="str">
        <x:v>European Union</x:v>
      </x:c>
      <x:c r="E831" s="20" t="str">
        <x:v>EU influence</x:v>
      </x:c>
      <x:c r="F831" s="20" t="str">
        <x:v>PMC presence</x:v>
      </x:c>
      <x:c r="G831" s="384" t="n">
        <x:v>0</x:v>
      </x:c>
      <x:c r="H831" s="396" t="n">
        <x:v>1</x:v>
      </x:c>
      <x:c r="I831" s="20" t="str">
        <x:v>EEAS CSDP missions source register</x:v>
      </x:c>
      <x:c r="J831" s="397" t="str">
        <x:v>https://www.eeas.europa.eu/eeas/missions-and-operations_en</x:v>
      </x:c>
      <x:c r="K831" s="20" t="str">
        <x:v>Primary source-register URL; automated screening score</x:v>
      </x:c>
      <x:c r="L831" s="20" t="str">
        <x:v>2026-05-20</x:v>
      </x:c>
      <x:c r="M831" s="20" t="str">
        <x:v>2026-05-20</x:v>
      </x:c>
      <x:c r="N831" s="20" t="str">
        <x:v>GPT-5.5 Pro</x:v>
      </x:c>
      <x:c r="O831" s="20" t="str">
        <x:v>Needs review</x:v>
      </x:c>
      <x:c r="P831" s="20" t="str">
        <x:v>Screening score for European Union / PMC presence in Kazakhstan; verify with country-specific evidence before final use.</x:v>
      </x:c>
    </x:row>
    <x:row r="832" ht="24" customHeight="1">
      <x:c r="A832" s="20" t="str">
        <x:v>KAZ|European Union|Election interference</x:v>
      </x:c>
      <x:c r="B832" s="20" t="str">
        <x:v>Kazakhstan</x:v>
      </x:c>
      <x:c r="C832" s="20" t="str">
        <x:v>KAZ</x:v>
      </x:c>
      <x:c r="D832" s="20" t="str">
        <x:v>European Union</x:v>
      </x:c>
      <x:c r="E832" s="20" t="str">
        <x:v>EU influence</x:v>
      </x:c>
      <x:c r="F832" s="20" t="str">
        <x:v>Election interference</x:v>
      </x:c>
      <x:c r="G832" s="384" t="n">
        <x:v>1</x:v>
      </x:c>
      <x:c r="H832" s="396" t="n">
        <x:v>2</x:v>
      </x:c>
      <x:c r="I832" s="20" t="str">
        <x:v>EEAS EU election observation source register</x:v>
      </x:c>
      <x:c r="J832" s="397" t="str">
        <x:v>https://www.eeas.europa.eu/eeas/eu-election-observation-missions-1_en?page_lang=en</x:v>
      </x:c>
      <x:c r="K832" s="20" t="str">
        <x:v>Primary source-register URL; automated screening score</x:v>
      </x:c>
      <x:c r="L832" s="20" t="str">
        <x:v>2026-05-20</x:v>
      </x:c>
      <x:c r="M832" s="20" t="str">
        <x:v>2026-05-20</x:v>
      </x:c>
      <x:c r="N832" s="20" t="str">
        <x:v>GPT-5.5 Pro</x:v>
      </x:c>
      <x:c r="O832" s="20" t="str">
        <x:v>Needs review</x:v>
      </x:c>
      <x:c r="P832" s="20" t="str">
        <x:v>Screening score for European Union / Election interference in Kazakhstan; verify with country-specific evidence before final use.</x:v>
      </x:c>
    </x:row>
    <x:row r="833" ht="24" customHeight="1">
      <x:c r="A833" s="20" t="str">
        <x:v>KAZ|European Union|Security contractors</x:v>
      </x:c>
      <x:c r="B833" s="20" t="str">
        <x:v>Kazakhstan</x:v>
      </x:c>
      <x:c r="C833" s="20" t="str">
        <x:v>KAZ</x:v>
      </x:c>
      <x:c r="D833" s="20" t="str">
        <x:v>European Union</x:v>
      </x:c>
      <x:c r="E833" s="20" t="str">
        <x:v>EU influence</x:v>
      </x:c>
      <x:c r="F833" s="20" t="str">
        <x:v>Security contractors</x:v>
      </x:c>
      <x:c r="G833" s="384" t="n">
        <x:v>2</x:v>
      </x:c>
      <x:c r="H833" s="396" t="n">
        <x:v>2</x:v>
      </x:c>
      <x:c r="I833" s="20" t="str">
        <x:v>EEAS CSDP / Global Gateway security source register</x:v>
      </x:c>
      <x:c r="J833" s="397" t="str">
        <x:v>https://www.eeas.europa.eu/eeas/missions-and-operations_en</x:v>
      </x:c>
      <x:c r="K833" s="20" t="str">
        <x:v>Primary source-register URL; automated screening score</x:v>
      </x:c>
      <x:c r="L833" s="20" t="str">
        <x:v>2026-05-20</x:v>
      </x:c>
      <x:c r="M833" s="20" t="str">
        <x:v>2026-05-20</x:v>
      </x:c>
      <x:c r="N833" s="20" t="str">
        <x:v>GPT-5.5 Pro</x:v>
      </x:c>
      <x:c r="O833" s="20" t="str">
        <x:v>Needs review</x:v>
      </x:c>
      <x:c r="P833" s="20" t="str">
        <x:v>Screening score for European Union / Security contractors in Kazakhstan; verify with country-specific evidence before final use.</x:v>
      </x:c>
    </x:row>
    <x:row r="834" ht="24" customHeight="1">
      <x:c r="A834" s="20" t="str">
        <x:v>KEN|Russia|Propaganda ecosystems</x:v>
      </x:c>
      <x:c r="B834" s="20" t="str">
        <x:v>Kenya</x:v>
      </x:c>
      <x:c r="C834" s="20" t="str">
        <x:v>KEN</x:v>
      </x:c>
      <x:c r="D834" s="20" t="str">
        <x:v>Russia</x:v>
      </x:c>
      <x:c r="E834" s="20" t="str">
        <x:v>Russian influence</x:v>
      </x:c>
      <x:c r="F834" s="20" t="str">
        <x:v>Propaganda ecosystems</x:v>
      </x:c>
      <x:c r="G834" s="384" t="n">
        <x:v>4</x:v>
      </x:c>
      <x:c r="H834" s="396" t="n">
        <x:v>3</x:v>
      </x:c>
      <x:c r="I834" s="20" t="str">
        <x:v>EEAS/EUvsDisinfo FIMI source register</x:v>
      </x:c>
      <x:c r="J834" s="397" t="str">
        <x:v>https://www.eeas.europa.eu/eeas/4th-eeas-annual-report-foreign-information-manipulation-and-interference-threats_en</x:v>
      </x:c>
      <x:c r="K834" s="20" t="str">
        <x:v>Primary source-register URL; automated screening score</x:v>
      </x:c>
      <x:c r="L834" s="20" t="str">
        <x:v>2026-05-20</x:v>
      </x:c>
      <x:c r="M834" s="20" t="str">
        <x:v>2026-05-20</x:v>
      </x:c>
      <x:c r="N834" s="20" t="str">
        <x:v>GPT-5.5 Pro</x:v>
      </x:c>
      <x:c r="O834" s="20" t="str">
        <x:v>Needs review</x:v>
      </x:c>
      <x:c r="P834" s="20" t="str">
        <x:v>Screening score for Russia / Propaganda ecosystems in Kenya; verify with country-specific evidence before final use.</x:v>
      </x:c>
    </x:row>
    <x:row r="835" ht="24" customHeight="1">
      <x:c r="A835" s="20" t="str">
        <x:v>KEN|Russia|PMC presence</x:v>
      </x:c>
      <x:c r="B835" s="20" t="str">
        <x:v>Kenya</x:v>
      </x:c>
      <x:c r="C835" s="20" t="str">
        <x:v>KEN</x:v>
      </x:c>
      <x:c r="D835" s="20" t="str">
        <x:v>Russia</x:v>
      </x:c>
      <x:c r="E835" s="20" t="str">
        <x:v>Russian influence</x:v>
      </x:c>
      <x:c r="F835" s="20" t="str">
        <x:v>PMC presence</x:v>
      </x:c>
      <x:c r="G835" s="384" t="n">
        <x:v>1</x:v>
      </x:c>
      <x:c r="H835" s="396" t="n">
        <x:v>2</x:v>
      </x:c>
      <x:c r="I835" s="20" t="str">
        <x:v>Treasury and Council of the EU Wagner/PMC source register</x:v>
      </x:c>
      <x:c r="J835" s="397" t="str">
        <x:v>https://www.consilium.europa.eu/en/press/press-releases/2023/02/25/wagner-group-council-adds-11-individuals-and-7-entities-to-eu-sanctions-lists/</x:v>
      </x:c>
      <x:c r="K835" s="20" t="str">
        <x:v>Primary source-register URL; automated screening score</x:v>
      </x:c>
      <x:c r="L835" s="20" t="str">
        <x:v>2026-05-20</x:v>
      </x:c>
      <x:c r="M835" s="20" t="str">
        <x:v>2026-05-20</x:v>
      </x:c>
      <x:c r="N835" s="20" t="str">
        <x:v>GPT-5.5 Pro</x:v>
      </x:c>
      <x:c r="O835" s="20" t="str">
        <x:v>Needs review</x:v>
      </x:c>
      <x:c r="P835" s="20" t="str">
        <x:v>Screening score for Russia / PMC presence in Kenya; verify with country-specific evidence before final use.</x:v>
      </x:c>
    </x:row>
    <x:row r="836" ht="24" customHeight="1">
      <x:c r="A836" s="20" t="str">
        <x:v>KEN|Russia|Election interference</x:v>
      </x:c>
      <x:c r="B836" s="20" t="str">
        <x:v>Kenya</x:v>
      </x:c>
      <x:c r="C836" s="20" t="str">
        <x:v>KEN</x:v>
      </x:c>
      <x:c r="D836" s="20" t="str">
        <x:v>Russia</x:v>
      </x:c>
      <x:c r="E836" s="20" t="str">
        <x:v>Russian influence</x:v>
      </x:c>
      <x:c r="F836" s="20" t="str">
        <x:v>Election interference</x:v>
      </x:c>
      <x:c r="G836" s="384" t="n">
        <x:v>1</x:v>
      </x:c>
      <x:c r="H836" s="396" t="n">
        <x:v>2</x:v>
      </x:c>
      <x:c r="I836" s="20" t="str">
        <x:v>ODNI/EEAS election-FIMI source register</x:v>
      </x:c>
      <x:c r="J836" s="397" t="str">
        <x:v>https://www.dni.gov/files/ODNI/documents/assessments/ATA-2026-Unclassified-Report.pdf</x:v>
      </x:c>
      <x:c r="K836" s="20" t="str">
        <x:v>Primary source-register URL; automated screening score</x:v>
      </x:c>
      <x:c r="L836" s="20" t="str">
        <x:v>2026-05-20</x:v>
      </x:c>
      <x:c r="M836" s="20" t="str">
        <x:v>2026-05-20</x:v>
      </x:c>
      <x:c r="N836" s="20" t="str">
        <x:v>GPT-5.5 Pro</x:v>
      </x:c>
      <x:c r="O836" s="20" t="str">
        <x:v>Needs review</x:v>
      </x:c>
      <x:c r="P836" s="20" t="str">
        <x:v>Screening score for Russia / Election interference in Kenya; verify with country-specific evidence before final use.</x:v>
      </x:c>
    </x:row>
    <x:row r="837" ht="24" customHeight="1">
      <x:c r="A837" s="20" t="str">
        <x:v>KEN|Russia|Security contractors</x:v>
      </x:c>
      <x:c r="B837" s="20" t="str">
        <x:v>Kenya</x:v>
      </x:c>
      <x:c r="C837" s="20" t="str">
        <x:v>KEN</x:v>
      </x:c>
      <x:c r="D837" s="20" t="str">
        <x:v>Russia</x:v>
      </x:c>
      <x:c r="E837" s="20" t="str">
        <x:v>Russian influence</x:v>
      </x:c>
      <x:c r="F837" s="20" t="str">
        <x:v>Security contractors</x:v>
      </x:c>
      <x:c r="G837" s="384" t="n">
        <x:v>1</x:v>
      </x:c>
      <x:c r="H837" s="396" t="n">
        <x:v>2</x:v>
      </x:c>
      <x:c r="I837" s="20" t="str">
        <x:v>Council of the EU/Treasury Wagner-security source register</x:v>
      </x:c>
      <x:c r="J837" s="397" t="str">
        <x:v>https://www.consilium.europa.eu/en/press/press-releases/2023/02/25/wagner-group-council-adds-11-individuals-and-7-entities-to-eu-sanctions-lists/</x:v>
      </x:c>
      <x:c r="K837" s="20" t="str">
        <x:v>Primary source-register URL; automated screening score</x:v>
      </x:c>
      <x:c r="L837" s="20" t="str">
        <x:v>2026-05-20</x:v>
      </x:c>
      <x:c r="M837" s="20" t="str">
        <x:v>2026-05-20</x:v>
      </x:c>
      <x:c r="N837" s="20" t="str">
        <x:v>GPT-5.5 Pro</x:v>
      </x:c>
      <x:c r="O837" s="20" t="str">
        <x:v>Needs review</x:v>
      </x:c>
      <x:c r="P837" s="20" t="str">
        <x:v>Screening score for Russia / Security contractors in Kenya; verify with country-specific evidence before final use.</x:v>
      </x:c>
    </x:row>
    <x:row r="838" ht="24" customHeight="1">
      <x:c r="A838" s="20" t="str">
        <x:v>KEN|China|Propaganda ecosystems</x:v>
      </x:c>
      <x:c r="B838" s="20" t="str">
        <x:v>Kenya</x:v>
      </x:c>
      <x:c r="C838" s="20" t="str">
        <x:v>KEN</x:v>
      </x:c>
      <x:c r="D838" s="20" t="str">
        <x:v>China</x:v>
      </x:c>
      <x:c r="E838" s="20" t="str">
        <x:v>Chinese influence</x:v>
      </x:c>
      <x:c r="F838" s="20" t="str">
        <x:v>Propaganda ecosystems</x:v>
      </x:c>
      <x:c r="G838" s="384" t="n">
        <x:v>5</x:v>
      </x:c>
      <x:c r="H838" s="396" t="n">
        <x:v>3</x:v>
      </x:c>
      <x:c r="I838" s="20" t="str">
        <x:v>EEAS/ODNI China FIMI source register</x:v>
      </x:c>
      <x:c r="J838" s="397" t="str">
        <x:v>https://www.eeas.europa.eu/eeas/4th-eeas-annual-report-foreign-information-manipulation-and-interference-threats_en</x:v>
      </x:c>
      <x:c r="K838" s="20" t="str">
        <x:v>Primary source-register URL; automated screening score</x:v>
      </x:c>
      <x:c r="L838" s="20" t="str">
        <x:v>2026-05-20</x:v>
      </x:c>
      <x:c r="M838" s="20" t="str">
        <x:v>2026-05-20</x:v>
      </x:c>
      <x:c r="N838" s="20" t="str">
        <x:v>GPT-5.5 Pro</x:v>
      </x:c>
      <x:c r="O838" s="20" t="str">
        <x:v>Needs review</x:v>
      </x:c>
      <x:c r="P838" s="20" t="str">
        <x:v>Screening score for China / Propaganda ecosystems in Kenya; verify with country-specific evidence before final use.</x:v>
      </x:c>
    </x:row>
    <x:row r="839" ht="24" customHeight="1">
      <x:c r="A839" s="20" t="str">
        <x:v>KEN|China|PMC presence</x:v>
      </x:c>
      <x:c r="B839" s="20" t="str">
        <x:v>Kenya</x:v>
      </x:c>
      <x:c r="C839" s="20" t="str">
        <x:v>KEN</x:v>
      </x:c>
      <x:c r="D839" s="20" t="str">
        <x:v>China</x:v>
      </x:c>
      <x:c r="E839" s="20" t="str">
        <x:v>Chinese influence</x:v>
      </x:c>
      <x:c r="F839" s="20" t="str">
        <x:v>PMC presence</x:v>
      </x:c>
      <x:c r="G839" s="384" t="n">
        <x:v>2</x:v>
      </x:c>
      <x:c r="H839" s="396" t="n">
        <x:v>2</x:v>
      </x:c>
      <x:c r="I839" s="20" t="str">
        <x:v>MERICS/Carnegie Chinese overseas PSC source register</x:v>
      </x:c>
      <x:c r="J839" s="397" t="str">
        <x:v>https://merics.org/en/report/guardians-belt-and-road</x:v>
      </x:c>
      <x:c r="K839" s="20" t="str">
        <x:v>Primary source-register URL; automated screening score</x:v>
      </x:c>
      <x:c r="L839" s="20" t="str">
        <x:v>2026-05-20</x:v>
      </x:c>
      <x:c r="M839" s="20" t="str">
        <x:v>2026-05-20</x:v>
      </x:c>
      <x:c r="N839" s="20" t="str">
        <x:v>GPT-5.5 Pro</x:v>
      </x:c>
      <x:c r="O839" s="20" t="str">
        <x:v>Needs review</x:v>
      </x:c>
      <x:c r="P839" s="20" t="str">
        <x:v>Screening score for China / PMC presence in Kenya; verify with country-specific evidence before final use.</x:v>
      </x:c>
    </x:row>
    <x:row r="840" ht="24" customHeight="1">
      <x:c r="A840" s="20" t="str">
        <x:v>KEN|China|Election interference</x:v>
      </x:c>
      <x:c r="B840" s="20" t="str">
        <x:v>Kenya</x:v>
      </x:c>
      <x:c r="C840" s="20" t="str">
        <x:v>KEN</x:v>
      </x:c>
      <x:c r="D840" s="20" t="str">
        <x:v>China</x:v>
      </x:c>
      <x:c r="E840" s="20" t="str">
        <x:v>Chinese influence</x:v>
      </x:c>
      <x:c r="F840" s="20" t="str">
        <x:v>Election interference</x:v>
      </x:c>
      <x:c r="G840" s="384" t="n">
        <x:v>1</x:v>
      </x:c>
      <x:c r="H840" s="396" t="n">
        <x:v>2</x:v>
      </x:c>
      <x:c r="I840" s="20" t="str">
        <x:v>EEAS/ODNI China election-FIMI source register</x:v>
      </x:c>
      <x:c r="J840" s="397" t="str">
        <x:v>https://www.eeas.europa.eu/eeas/4th-eeas-annual-report-foreign-information-manipulation-and-interference-threats_en</x:v>
      </x:c>
      <x:c r="K840" s="20" t="str">
        <x:v>Primary source-register URL; automated screening score</x:v>
      </x:c>
      <x:c r="L840" s="20" t="str">
        <x:v>2026-05-20</x:v>
      </x:c>
      <x:c r="M840" s="20" t="str">
        <x:v>2026-05-20</x:v>
      </x:c>
      <x:c r="N840" s="20" t="str">
        <x:v>GPT-5.5 Pro</x:v>
      </x:c>
      <x:c r="O840" s="20" t="str">
        <x:v>Needs review</x:v>
      </x:c>
      <x:c r="P840" s="20" t="str">
        <x:v>Screening score for China / Election interference in Kenya; verify with country-specific evidence before final use.</x:v>
      </x:c>
    </x:row>
    <x:row r="841" ht="24" customHeight="1">
      <x:c r="A841" s="20" t="str">
        <x:v>KEN|China|Security contractors</x:v>
      </x:c>
      <x:c r="B841" s="20" t="str">
        <x:v>Kenya</x:v>
      </x:c>
      <x:c r="C841" s="20" t="str">
        <x:v>KEN</x:v>
      </x:c>
      <x:c r="D841" s="20" t="str">
        <x:v>China</x:v>
      </x:c>
      <x:c r="E841" s="20" t="str">
        <x:v>Chinese influence</x:v>
      </x:c>
      <x:c r="F841" s="20" t="str">
        <x:v>Security contractors</x:v>
      </x:c>
      <x:c r="G841" s="384" t="n">
        <x:v>4</x:v>
      </x:c>
      <x:c r="H841" s="396" t="n">
        <x:v>3</x:v>
      </x:c>
      <x:c r="I841" s="20" t="str">
        <x:v>MERICS/Carnegie Chinese security contractor source register</x:v>
      </x:c>
      <x:c r="J841" s="397" t="str">
        <x:v>https://merics.org/en/report/guardians-belt-and-road</x:v>
      </x:c>
      <x:c r="K841" s="20" t="str">
        <x:v>Primary source-register URL; automated screening score</x:v>
      </x:c>
      <x:c r="L841" s="20" t="str">
        <x:v>2026-05-20</x:v>
      </x:c>
      <x:c r="M841" s="20" t="str">
        <x:v>2026-05-20</x:v>
      </x:c>
      <x:c r="N841" s="20" t="str">
        <x:v>GPT-5.5 Pro</x:v>
      </x:c>
      <x:c r="O841" s="20" t="str">
        <x:v>Needs review</x:v>
      </x:c>
      <x:c r="P841" s="20" t="str">
        <x:v>Screening score for China / Security contractors in Kenya; verify with country-specific evidence before final use.</x:v>
      </x:c>
    </x:row>
    <x:row r="842" ht="24" customHeight="1">
      <x:c r="A842" s="20" t="str">
        <x:v>KEN|United States|Propaganda ecosystems</x:v>
      </x:c>
      <x:c r="B842" s="20" t="str">
        <x:v>Kenya</x:v>
      </x:c>
      <x:c r="C842" s="20" t="str">
        <x:v>KEN</x:v>
      </x:c>
      <x:c r="D842" s="20" t="str">
        <x:v>United States</x:v>
      </x:c>
      <x:c r="E842" s="20" t="str">
        <x:v>American influence</x:v>
      </x:c>
      <x:c r="F842" s="20" t="str">
        <x:v>Propaganda ecosystems</x:v>
      </x:c>
      <x:c r="G842" s="384" t="n">
        <x:v>4</x:v>
      </x:c>
      <x:c r="H842" s="396" t="n">
        <x:v>3</x:v>
      </x:c>
      <x:c r="I842" s="20" t="str">
        <x:v>USAGM public media source register</x:v>
      </x:c>
      <x:c r="J842" s="397" t="str">
        <x:v>https://www.usagm.gov/our-work/strategy-and-results/strategic-priorities/research-reports/</x:v>
      </x:c>
      <x:c r="K842" s="20" t="str">
        <x:v>Primary source-register URL; automated screening score</x:v>
      </x:c>
      <x:c r="L842" s="20" t="str">
        <x:v>2026-05-20</x:v>
      </x:c>
      <x:c r="M842" s="20" t="str">
        <x:v>2026-05-20</x:v>
      </x:c>
      <x:c r="N842" s="20" t="str">
        <x:v>GPT-5.5 Pro</x:v>
      </x:c>
      <x:c r="O842" s="20" t="str">
        <x:v>Needs review</x:v>
      </x:c>
      <x:c r="P842" s="20" t="str">
        <x:v>Screening score for United States / Propaganda ecosystems in Kenya; verify with country-specific evidence before final use.</x:v>
      </x:c>
    </x:row>
    <x:row r="843" ht="24" customHeight="1">
      <x:c r="A843" s="20" t="str">
        <x:v>KEN|United States|PMC presence</x:v>
      </x:c>
      <x:c r="B843" s="20" t="str">
        <x:v>Kenya</x:v>
      </x:c>
      <x:c r="C843" s="20" t="str">
        <x:v>KEN</x:v>
      </x:c>
      <x:c r="D843" s="20" t="str">
        <x:v>United States</x:v>
      </x:c>
      <x:c r="E843" s="20" t="str">
        <x:v>American influence</x:v>
      </x:c>
      <x:c r="F843" s="20" t="str">
        <x:v>PMC presence</x:v>
      </x:c>
      <x:c r="G843" s="384" t="n">
        <x:v>2</x:v>
      </x:c>
      <x:c r="H843" s="396" t="n">
        <x:v>2</x:v>
      </x:c>
      <x:c r="I843" s="20" t="str">
        <x:v>SAM/Greenbook U.S. security assistance contractor source register</x:v>
      </x:c>
      <x:c r="J843" s="397" t="str">
        <x:v>https://internationalpolicy.org/programs/sam/</x:v>
      </x:c>
      <x:c r="K843" s="20" t="str">
        <x:v>Primary source-register URL; automated screening score</x:v>
      </x:c>
      <x:c r="L843" s="20" t="str">
        <x:v>2026-05-20</x:v>
      </x:c>
      <x:c r="M843" s="20" t="str">
        <x:v>2026-05-20</x:v>
      </x:c>
      <x:c r="N843" s="20" t="str">
        <x:v>GPT-5.5 Pro</x:v>
      </x:c>
      <x:c r="O843" s="20" t="str">
        <x:v>Needs review</x:v>
      </x:c>
      <x:c r="P843" s="20" t="str">
        <x:v>Screening score for United States / PMC presence in Kenya; verify with country-specific evidence before final use.</x:v>
      </x:c>
    </x:row>
    <x:row r="844" ht="24" customHeight="1">
      <x:c r="A844" s="20" t="str">
        <x:v>KEN|United States|Election interference</x:v>
      </x:c>
      <x:c r="B844" s="20" t="str">
        <x:v>Kenya</x:v>
      </x:c>
      <x:c r="C844" s="20" t="str">
        <x:v>KEN</x:v>
      </x:c>
      <x:c r="D844" s="20" t="str">
        <x:v>United States</x:v>
      </x:c>
      <x:c r="E844" s="20" t="str">
        <x:v>American influence</x:v>
      </x:c>
      <x:c r="F844" s="20" t="str">
        <x:v>Election interference</x:v>
      </x:c>
      <x:c r="G844" s="384" t="n">
        <x:v>2</x:v>
      </x:c>
      <x:c r="H844" s="396" t="n">
        <x:v>2</x:v>
      </x:c>
      <x:c r="I844" s="20" t="str">
        <x:v>NED/Greenbook democracy assistance source register</x:v>
      </x:c>
      <x:c r="J844" s="397" t="str">
        <x:v>https://www.ned.org/ned-grantmaking/</x:v>
      </x:c>
      <x:c r="K844" s="20" t="str">
        <x:v>Primary source-register URL; automated screening score</x:v>
      </x:c>
      <x:c r="L844" s="20" t="str">
        <x:v>2026-05-20</x:v>
      </x:c>
      <x:c r="M844" s="20" t="str">
        <x:v>2026-05-20</x:v>
      </x:c>
      <x:c r="N844" s="20" t="str">
        <x:v>GPT-5.5 Pro</x:v>
      </x:c>
      <x:c r="O844" s="20" t="str">
        <x:v>Needs review</x:v>
      </x:c>
      <x:c r="P844" s="20" t="str">
        <x:v>Screening score for United States / Election interference in Kenya; verify with country-specific evidence before final use.</x:v>
      </x:c>
    </x:row>
    <x:row r="845" ht="24" customHeight="1">
      <x:c r="A845" s="20" t="str">
        <x:v>KEN|United States|Security contractors</x:v>
      </x:c>
      <x:c r="B845" s="20" t="str">
        <x:v>Kenya</x:v>
      </x:c>
      <x:c r="C845" s="20" t="str">
        <x:v>KEN</x:v>
      </x:c>
      <x:c r="D845" s="20" t="str">
        <x:v>United States</x:v>
      </x:c>
      <x:c r="E845" s="20" t="str">
        <x:v>American influence</x:v>
      </x:c>
      <x:c r="F845" s="20" t="str">
        <x:v>Security contractors</x:v>
      </x:c>
      <x:c r="G845" s="384" t="n">
        <x:v>3</x:v>
      </x:c>
      <x:c r="H845" s="396" t="n">
        <x:v>3</x:v>
      </x:c>
      <x:c r="I845" s="20" t="str">
        <x:v>SAM/Greenbook U.S. security contractor source register</x:v>
      </x:c>
      <x:c r="J845" s="397" t="str">
        <x:v>https://internationalpolicy.org/programs/sam/</x:v>
      </x:c>
      <x:c r="K845" s="20" t="str">
        <x:v>Primary source-register URL; automated screening score</x:v>
      </x:c>
      <x:c r="L845" s="20" t="str">
        <x:v>2026-05-20</x:v>
      </x:c>
      <x:c r="M845" s="20" t="str">
        <x:v>2026-05-20</x:v>
      </x:c>
      <x:c r="N845" s="20" t="str">
        <x:v>GPT-5.5 Pro</x:v>
      </x:c>
      <x:c r="O845" s="20" t="str">
        <x:v>Needs review</x:v>
      </x:c>
      <x:c r="P845" s="20" t="str">
        <x:v>Screening score for United States / Security contractors in Kenya; verify with country-specific evidence before final use.</x:v>
      </x:c>
    </x:row>
    <x:row r="846" ht="24" customHeight="1">
      <x:c r="A846" s="20" t="str">
        <x:v>KEN|European Union|Propaganda ecosystems</x:v>
      </x:c>
      <x:c r="B846" s="20" t="str">
        <x:v>Kenya</x:v>
      </x:c>
      <x:c r="C846" s="20" t="str">
        <x:v>KEN</x:v>
      </x:c>
      <x:c r="D846" s="20" t="str">
        <x:v>European Union</x:v>
      </x:c>
      <x:c r="E846" s="20" t="str">
        <x:v>EU influence</x:v>
      </x:c>
      <x:c r="F846" s="20" t="str">
        <x:v>Propaganda ecosystems</x:v>
      </x:c>
      <x:c r="G846" s="384" t="n">
        <x:v>3</x:v>
      </x:c>
      <x:c r="H846" s="396" t="n">
        <x:v>3</x:v>
      </x:c>
      <x:c r="I846" s="20" t="str">
        <x:v>EEAS public diplomacy source register</x:v>
      </x:c>
      <x:c r="J846" s="397" t="str">
        <x:v>https://www.eeas.europa.eu/eeas/public-diplomacy_en</x:v>
      </x:c>
      <x:c r="K846" s="20" t="str">
        <x:v>Primary source-register URL; automated screening score</x:v>
      </x:c>
      <x:c r="L846" s="20" t="str">
        <x:v>2026-05-20</x:v>
      </x:c>
      <x:c r="M846" s="20" t="str">
        <x:v>2026-05-20</x:v>
      </x:c>
      <x:c r="N846" s="20" t="str">
        <x:v>GPT-5.5 Pro</x:v>
      </x:c>
      <x:c r="O846" s="20" t="str">
        <x:v>Needs review</x:v>
      </x:c>
      <x:c r="P846" s="20" t="str">
        <x:v>Screening score for European Union / Propaganda ecosystems in Kenya; verify with country-specific evidence before final use.</x:v>
      </x:c>
    </x:row>
    <x:row r="847" ht="24" customHeight="1">
      <x:c r="A847" s="20" t="str">
        <x:v>KEN|European Union|PMC presence</x:v>
      </x:c>
      <x:c r="B847" s="20" t="str">
        <x:v>Kenya</x:v>
      </x:c>
      <x:c r="C847" s="20" t="str">
        <x:v>KEN</x:v>
      </x:c>
      <x:c r="D847" s="20" t="str">
        <x:v>European Union</x:v>
      </x:c>
      <x:c r="E847" s="20" t="str">
        <x:v>EU influence</x:v>
      </x:c>
      <x:c r="F847" s="20" t="str">
        <x:v>PMC presence</x:v>
      </x:c>
      <x:c r="G847" s="384" t="n">
        <x:v>0</x:v>
      </x:c>
      <x:c r="H847" s="396" t="n">
        <x:v>1</x:v>
      </x:c>
      <x:c r="I847" s="20" t="str">
        <x:v>EEAS CSDP missions source register</x:v>
      </x:c>
      <x:c r="J847" s="397" t="str">
        <x:v>https://www.eeas.europa.eu/eeas/missions-and-operations_en</x:v>
      </x:c>
      <x:c r="K847" s="20" t="str">
        <x:v>Primary source-register URL; automated screening score</x:v>
      </x:c>
      <x:c r="L847" s="20" t="str">
        <x:v>2026-05-20</x:v>
      </x:c>
      <x:c r="M847" s="20" t="str">
        <x:v>2026-05-20</x:v>
      </x:c>
      <x:c r="N847" s="20" t="str">
        <x:v>GPT-5.5 Pro</x:v>
      </x:c>
      <x:c r="O847" s="20" t="str">
        <x:v>Needs review</x:v>
      </x:c>
      <x:c r="P847" s="20" t="str">
        <x:v>Screening score for European Union / PMC presence in Kenya; verify with country-specific evidence before final use.</x:v>
      </x:c>
    </x:row>
    <x:row r="848" ht="24" customHeight="1">
      <x:c r="A848" s="20" t="str">
        <x:v>KEN|European Union|Election interference</x:v>
      </x:c>
      <x:c r="B848" s="20" t="str">
        <x:v>Kenya</x:v>
      </x:c>
      <x:c r="C848" s="20" t="str">
        <x:v>KEN</x:v>
      </x:c>
      <x:c r="D848" s="20" t="str">
        <x:v>European Union</x:v>
      </x:c>
      <x:c r="E848" s="20" t="str">
        <x:v>EU influence</x:v>
      </x:c>
      <x:c r="F848" s="20" t="str">
        <x:v>Election interference</x:v>
      </x:c>
      <x:c r="G848" s="384" t="n">
        <x:v>2</x:v>
      </x:c>
      <x:c r="H848" s="396" t="n">
        <x:v>2</x:v>
      </x:c>
      <x:c r="I848" s="20" t="str">
        <x:v>EEAS EU election observation source register</x:v>
      </x:c>
      <x:c r="J848" s="397" t="str">
        <x:v>https://www.eeas.europa.eu/eeas/eu-election-observation-missions-1_en?page_lang=en</x:v>
      </x:c>
      <x:c r="K848" s="20" t="str">
        <x:v>Primary source-register URL; automated screening score</x:v>
      </x:c>
      <x:c r="L848" s="20" t="str">
        <x:v>2026-05-20</x:v>
      </x:c>
      <x:c r="M848" s="20" t="str">
        <x:v>2026-05-20</x:v>
      </x:c>
      <x:c r="N848" s="20" t="str">
        <x:v>GPT-5.5 Pro</x:v>
      </x:c>
      <x:c r="O848" s="20" t="str">
        <x:v>Needs review</x:v>
      </x:c>
      <x:c r="P848" s="20" t="str">
        <x:v>Screening score for European Union / Election interference in Kenya; verify with country-specific evidence before final use.</x:v>
      </x:c>
    </x:row>
    <x:row r="849" ht="24" customHeight="1">
      <x:c r="A849" s="20" t="str">
        <x:v>KEN|European Union|Security contractors</x:v>
      </x:c>
      <x:c r="B849" s="20" t="str">
        <x:v>Kenya</x:v>
      </x:c>
      <x:c r="C849" s="20" t="str">
        <x:v>KEN</x:v>
      </x:c>
      <x:c r="D849" s="20" t="str">
        <x:v>European Union</x:v>
      </x:c>
      <x:c r="E849" s="20" t="str">
        <x:v>EU influence</x:v>
      </x:c>
      <x:c r="F849" s="20" t="str">
        <x:v>Security contractors</x:v>
      </x:c>
      <x:c r="G849" s="384" t="n">
        <x:v>2</x:v>
      </x:c>
      <x:c r="H849" s="396" t="n">
        <x:v>2</x:v>
      </x:c>
      <x:c r="I849" s="20" t="str">
        <x:v>EEAS CSDP / Global Gateway security source register</x:v>
      </x:c>
      <x:c r="J849" s="397" t="str">
        <x:v>https://www.eeas.europa.eu/eeas/missions-and-operations_en</x:v>
      </x:c>
      <x:c r="K849" s="20" t="str">
        <x:v>Primary source-register URL; automated screening score</x:v>
      </x:c>
      <x:c r="L849" s="20" t="str">
        <x:v>2026-05-20</x:v>
      </x:c>
      <x:c r="M849" s="20" t="str">
        <x:v>2026-05-20</x:v>
      </x:c>
      <x:c r="N849" s="20" t="str">
        <x:v>GPT-5.5 Pro</x:v>
      </x:c>
      <x:c r="O849" s="20" t="str">
        <x:v>Needs review</x:v>
      </x:c>
      <x:c r="P849" s="20" t="str">
        <x:v>Screening score for European Union / Security contractors in Kenya; verify with country-specific evidence before final use.</x:v>
      </x:c>
    </x:row>
    <x:row r="850" ht="24" customHeight="1">
      <x:c r="A850" s="20" t="str">
        <x:v>KIR|Russia|Propaganda ecosystems</x:v>
      </x:c>
      <x:c r="B850" s="20" t="str">
        <x:v>Kiribati</x:v>
      </x:c>
      <x:c r="C850" s="20" t="str">
        <x:v>KIR</x:v>
      </x:c>
      <x:c r="D850" s="20" t="str">
        <x:v>Russia</x:v>
      </x:c>
      <x:c r="E850" s="20" t="str">
        <x:v>Russian influence</x:v>
      </x:c>
      <x:c r="F850" s="20" t="str">
        <x:v>Propaganda ecosystems</x:v>
      </x:c>
      <x:c r="G850" s="384" t="n">
        <x:v>2</x:v>
      </x:c>
      <x:c r="H850" s="396" t="n">
        <x:v>2</x:v>
      </x:c>
      <x:c r="I850" s="20" t="str">
        <x:v>EEAS/EUvsDisinfo FIMI source register</x:v>
      </x:c>
      <x:c r="J850" s="397" t="str">
        <x:v>https://www.eeas.europa.eu/eeas/4th-eeas-annual-report-foreign-information-manipulation-and-interference-threats_en</x:v>
      </x:c>
      <x:c r="K850" s="20" t="str">
        <x:v>Primary source-register URL; automated screening score</x:v>
      </x:c>
      <x:c r="L850" s="20" t="str">
        <x:v>2026-05-20</x:v>
      </x:c>
      <x:c r="M850" s="20" t="str">
        <x:v>2026-05-20</x:v>
      </x:c>
      <x:c r="N850" s="20" t="str">
        <x:v>GPT-5.5 Pro</x:v>
      </x:c>
      <x:c r="O850" s="20" t="str">
        <x:v>Needs review</x:v>
      </x:c>
      <x:c r="P850" s="20" t="str">
        <x:v>Screening score for Russia / Propaganda ecosystems in Kiribati; verify with country-specific evidence before final use.</x:v>
      </x:c>
    </x:row>
    <x:row r="851" ht="24" customHeight="1">
      <x:c r="A851" s="20" t="str">
        <x:v>KIR|Russia|PMC presence</x:v>
      </x:c>
      <x:c r="B851" s="20" t="str">
        <x:v>Kiribati</x:v>
      </x:c>
      <x:c r="C851" s="20" t="str">
        <x:v>KIR</x:v>
      </x:c>
      <x:c r="D851" s="20" t="str">
        <x:v>Russia</x:v>
      </x:c>
      <x:c r="E851" s="20" t="str">
        <x:v>Russian influence</x:v>
      </x:c>
      <x:c r="F851" s="20" t="str">
        <x:v>PMC presence</x:v>
      </x:c>
      <x:c r="G851" s="384" t="n">
        <x:v>0</x:v>
      </x:c>
      <x:c r="H851" s="396" t="n">
        <x:v>1</x:v>
      </x:c>
      <x:c r="I851" s="20" t="str">
        <x:v>Treasury and Council of the EU Wagner/PMC source register</x:v>
      </x:c>
      <x:c r="J851" s="397" t="str">
        <x:v>https://www.consilium.europa.eu/en/press/press-releases/2023/02/25/wagner-group-council-adds-11-individuals-and-7-entities-to-eu-sanctions-lists/</x:v>
      </x:c>
      <x:c r="K851" s="20" t="str">
        <x:v>Primary source-register URL; automated screening score</x:v>
      </x:c>
      <x:c r="L851" s="20" t="str">
        <x:v>2026-05-20</x:v>
      </x:c>
      <x:c r="M851" s="20" t="str">
        <x:v>2026-05-20</x:v>
      </x:c>
      <x:c r="N851" s="20" t="str">
        <x:v>GPT-5.5 Pro</x:v>
      </x:c>
      <x:c r="O851" s="20" t="str">
        <x:v>Needs review</x:v>
      </x:c>
      <x:c r="P851" s="20" t="str">
        <x:v>Screening score for Russia / PMC presence in Kiribati; verify with country-specific evidence before final use.</x:v>
      </x:c>
    </x:row>
    <x:row r="852" ht="24" customHeight="1">
      <x:c r="A852" s="20" t="str">
        <x:v>KIR|Russia|Election interference</x:v>
      </x:c>
      <x:c r="B852" s="20" t="str">
        <x:v>Kiribati</x:v>
      </x:c>
      <x:c r="C852" s="20" t="str">
        <x:v>KIR</x:v>
      </x:c>
      <x:c r="D852" s="20" t="str">
        <x:v>Russia</x:v>
      </x:c>
      <x:c r="E852" s="20" t="str">
        <x:v>Russian influence</x:v>
      </x:c>
      <x:c r="F852" s="20" t="str">
        <x:v>Election interference</x:v>
      </x:c>
      <x:c r="G852" s="384" t="n">
        <x:v>0</x:v>
      </x:c>
      <x:c r="H852" s="396" t="n">
        <x:v>1</x:v>
      </x:c>
      <x:c r="I852" s="20" t="str">
        <x:v>ODNI/EEAS election-FIMI source register</x:v>
      </x:c>
      <x:c r="J852" s="397" t="str">
        <x:v>https://www.dni.gov/files/ODNI/documents/assessments/ATA-2026-Unclassified-Report.pdf</x:v>
      </x:c>
      <x:c r="K852" s="20" t="str">
        <x:v>Primary source-register URL; automated screening score</x:v>
      </x:c>
      <x:c r="L852" s="20" t="str">
        <x:v>2026-05-20</x:v>
      </x:c>
      <x:c r="M852" s="20" t="str">
        <x:v>2026-05-20</x:v>
      </x:c>
      <x:c r="N852" s="20" t="str">
        <x:v>GPT-5.5 Pro</x:v>
      </x:c>
      <x:c r="O852" s="20" t="str">
        <x:v>Needs review</x:v>
      </x:c>
      <x:c r="P852" s="20" t="str">
        <x:v>Screening score for Russia / Election interference in Kiribati; verify with country-specific evidence before final use.</x:v>
      </x:c>
    </x:row>
    <x:row r="853" ht="24" customHeight="1">
      <x:c r="A853" s="20" t="str">
        <x:v>KIR|Russia|Security contractors</x:v>
      </x:c>
      <x:c r="B853" s="20" t="str">
        <x:v>Kiribati</x:v>
      </x:c>
      <x:c r="C853" s="20" t="str">
        <x:v>KIR</x:v>
      </x:c>
      <x:c r="D853" s="20" t="str">
        <x:v>Russia</x:v>
      </x:c>
      <x:c r="E853" s="20" t="str">
        <x:v>Russian influence</x:v>
      </x:c>
      <x:c r="F853" s="20" t="str">
        <x:v>Security contractors</x:v>
      </x:c>
      <x:c r="G853" s="384" t="n">
        <x:v>0</x:v>
      </x:c>
      <x:c r="H853" s="396" t="n">
        <x:v>1</x:v>
      </x:c>
      <x:c r="I853" s="20" t="str">
        <x:v>Council of the EU/Treasury Wagner-security source register</x:v>
      </x:c>
      <x:c r="J853" s="397" t="str">
        <x:v>https://www.consilium.europa.eu/en/press/press-releases/2023/02/25/wagner-group-council-adds-11-individuals-and-7-entities-to-eu-sanctions-lists/</x:v>
      </x:c>
      <x:c r="K853" s="20" t="str">
        <x:v>Primary source-register URL; automated screening score</x:v>
      </x:c>
      <x:c r="L853" s="20" t="str">
        <x:v>2026-05-20</x:v>
      </x:c>
      <x:c r="M853" s="20" t="str">
        <x:v>2026-05-20</x:v>
      </x:c>
      <x:c r="N853" s="20" t="str">
        <x:v>GPT-5.5 Pro</x:v>
      </x:c>
      <x:c r="O853" s="20" t="str">
        <x:v>Needs review</x:v>
      </x:c>
      <x:c r="P853" s="20" t="str">
        <x:v>Screening score for Russia / Security contractors in Kiribati; verify with country-specific evidence before final use.</x:v>
      </x:c>
    </x:row>
    <x:row r="854" ht="24" customHeight="1">
      <x:c r="A854" s="20" t="str">
        <x:v>KIR|China|Propaganda ecosystems</x:v>
      </x:c>
      <x:c r="B854" s="20" t="str">
        <x:v>Kiribati</x:v>
      </x:c>
      <x:c r="C854" s="20" t="str">
        <x:v>KIR</x:v>
      </x:c>
      <x:c r="D854" s="20" t="str">
        <x:v>China</x:v>
      </x:c>
      <x:c r="E854" s="20" t="str">
        <x:v>Chinese influence</x:v>
      </x:c>
      <x:c r="F854" s="20" t="str">
        <x:v>Propaganda ecosystems</x:v>
      </x:c>
      <x:c r="G854" s="384" t="n">
        <x:v>7</x:v>
      </x:c>
      <x:c r="H854" s="396" t="n">
        <x:v>4</x:v>
      </x:c>
      <x:c r="I854" s="20" t="str">
        <x:v>EEAS/ODNI China FIMI source register</x:v>
      </x:c>
      <x:c r="J854" s="397" t="str">
        <x:v>https://www.eeas.europa.eu/eeas/4th-eeas-annual-report-foreign-information-manipulation-and-interference-threats_en</x:v>
      </x:c>
      <x:c r="K854" s="20" t="str">
        <x:v>Primary source-register URL; automated screening score</x:v>
      </x:c>
      <x:c r="L854" s="20" t="str">
        <x:v>2026-05-20</x:v>
      </x:c>
      <x:c r="M854" s="20" t="str">
        <x:v>2026-05-20</x:v>
      </x:c>
      <x:c r="N854" s="20" t="str">
        <x:v>GPT-5.5 Pro</x:v>
      </x:c>
      <x:c r="O854" s="20" t="str">
        <x:v>Needs review</x:v>
      </x:c>
      <x:c r="P854" s="20" t="str">
        <x:v>Screening score for China / Propaganda ecosystems in Kiribati; verify with country-specific evidence before final use.</x:v>
      </x:c>
    </x:row>
    <x:row r="855" ht="24" customHeight="1">
      <x:c r="A855" s="20" t="str">
        <x:v>KIR|China|PMC presence</x:v>
      </x:c>
      <x:c r="B855" s="20" t="str">
        <x:v>Kiribati</x:v>
      </x:c>
      <x:c r="C855" s="20" t="str">
        <x:v>KIR</x:v>
      </x:c>
      <x:c r="D855" s="20" t="str">
        <x:v>China</x:v>
      </x:c>
      <x:c r="E855" s="20" t="str">
        <x:v>Chinese influence</x:v>
      </x:c>
      <x:c r="F855" s="20" t="str">
        <x:v>PMC presence</x:v>
      </x:c>
      <x:c r="G855" s="384" t="n">
        <x:v>1</x:v>
      </x:c>
      <x:c r="H855" s="396" t="n">
        <x:v>2</x:v>
      </x:c>
      <x:c r="I855" s="20" t="str">
        <x:v>MERICS/Carnegie Chinese overseas PSC source register</x:v>
      </x:c>
      <x:c r="J855" s="397" t="str">
        <x:v>https://merics.org/en/report/guardians-belt-and-road</x:v>
      </x:c>
      <x:c r="K855" s="20" t="str">
        <x:v>Primary source-register URL; automated screening score</x:v>
      </x:c>
      <x:c r="L855" s="20" t="str">
        <x:v>2026-05-20</x:v>
      </x:c>
      <x:c r="M855" s="20" t="str">
        <x:v>2026-05-20</x:v>
      </x:c>
      <x:c r="N855" s="20" t="str">
        <x:v>GPT-5.5 Pro</x:v>
      </x:c>
      <x:c r="O855" s="20" t="str">
        <x:v>Needs review</x:v>
      </x:c>
      <x:c r="P855" s="20" t="str">
        <x:v>Screening score for China / PMC presence in Kiribati; verify with country-specific evidence before final use.</x:v>
      </x:c>
    </x:row>
    <x:row r="856" ht="24" customHeight="1">
      <x:c r="A856" s="20" t="str">
        <x:v>KIR|China|Election interference</x:v>
      </x:c>
      <x:c r="B856" s="20" t="str">
        <x:v>Kiribati</x:v>
      </x:c>
      <x:c r="C856" s="20" t="str">
        <x:v>KIR</x:v>
      </x:c>
      <x:c r="D856" s="20" t="str">
        <x:v>China</x:v>
      </x:c>
      <x:c r="E856" s="20" t="str">
        <x:v>Chinese influence</x:v>
      </x:c>
      <x:c r="F856" s="20" t="str">
        <x:v>Election interference</x:v>
      </x:c>
      <x:c r="G856" s="384" t="n">
        <x:v>3</x:v>
      </x:c>
      <x:c r="H856" s="396" t="n">
        <x:v>3</x:v>
      </x:c>
      <x:c r="I856" s="20" t="str">
        <x:v>EEAS/ODNI China election-FIMI source register</x:v>
      </x:c>
      <x:c r="J856" s="397" t="str">
        <x:v>https://www.eeas.europa.eu/eeas/4th-eeas-annual-report-foreign-information-manipulation-and-interference-threats_en</x:v>
      </x:c>
      <x:c r="K856" s="20" t="str">
        <x:v>Primary source-register URL; automated screening score</x:v>
      </x:c>
      <x:c r="L856" s="20" t="str">
        <x:v>2026-05-20</x:v>
      </x:c>
      <x:c r="M856" s="20" t="str">
        <x:v>2026-05-20</x:v>
      </x:c>
      <x:c r="N856" s="20" t="str">
        <x:v>GPT-5.5 Pro</x:v>
      </x:c>
      <x:c r="O856" s="20" t="str">
        <x:v>Needs review</x:v>
      </x:c>
      <x:c r="P856" s="20" t="str">
        <x:v>Screening score for China / Election interference in Kiribati; verify with country-specific evidence before final use.</x:v>
      </x:c>
    </x:row>
    <x:row r="857" ht="24" customHeight="1">
      <x:c r="A857" s="20" t="str">
        <x:v>KIR|China|Security contractors</x:v>
      </x:c>
      <x:c r="B857" s="20" t="str">
        <x:v>Kiribati</x:v>
      </x:c>
      <x:c r="C857" s="20" t="str">
        <x:v>KIR</x:v>
      </x:c>
      <x:c r="D857" s="20" t="str">
        <x:v>China</x:v>
      </x:c>
      <x:c r="E857" s="20" t="str">
        <x:v>Chinese influence</x:v>
      </x:c>
      <x:c r="F857" s="20" t="str">
        <x:v>Security contractors</x:v>
      </x:c>
      <x:c r="G857" s="384" t="n">
        <x:v>2</x:v>
      </x:c>
      <x:c r="H857" s="396" t="n">
        <x:v>2</x:v>
      </x:c>
      <x:c r="I857" s="20" t="str">
        <x:v>MERICS/Carnegie Chinese security contractor source register</x:v>
      </x:c>
      <x:c r="J857" s="397" t="str">
        <x:v>https://merics.org/en/report/guardians-belt-and-road</x:v>
      </x:c>
      <x:c r="K857" s="20" t="str">
        <x:v>Primary source-register URL; automated screening score</x:v>
      </x:c>
      <x:c r="L857" s="20" t="str">
        <x:v>2026-05-20</x:v>
      </x:c>
      <x:c r="M857" s="20" t="str">
        <x:v>2026-05-20</x:v>
      </x:c>
      <x:c r="N857" s="20" t="str">
        <x:v>GPT-5.5 Pro</x:v>
      </x:c>
      <x:c r="O857" s="20" t="str">
        <x:v>Needs review</x:v>
      </x:c>
      <x:c r="P857" s="20" t="str">
        <x:v>Screening score for China / Security contractors in Kiribati; verify with country-specific evidence before final use.</x:v>
      </x:c>
    </x:row>
    <x:row r="858" ht="24" customHeight="1">
      <x:c r="A858" s="20" t="str">
        <x:v>KIR|United States|Propaganda ecosystems</x:v>
      </x:c>
      <x:c r="B858" s="20" t="str">
        <x:v>Kiribati</x:v>
      </x:c>
      <x:c r="C858" s="20" t="str">
        <x:v>KIR</x:v>
      </x:c>
      <x:c r="D858" s="20" t="str">
        <x:v>United States</x:v>
      </x:c>
      <x:c r="E858" s="20" t="str">
        <x:v>American influence</x:v>
      </x:c>
      <x:c r="F858" s="20" t="str">
        <x:v>Propaganda ecosystems</x:v>
      </x:c>
      <x:c r="G858" s="384" t="n">
        <x:v>3</x:v>
      </x:c>
      <x:c r="H858" s="396" t="n">
        <x:v>3</x:v>
      </x:c>
      <x:c r="I858" s="20" t="str">
        <x:v>USAGM public media source register</x:v>
      </x:c>
      <x:c r="J858" s="397" t="str">
        <x:v>https://www.usagm.gov/our-work/strategy-and-results/strategic-priorities/research-reports/</x:v>
      </x:c>
      <x:c r="K858" s="20" t="str">
        <x:v>Primary source-register URL; automated screening score</x:v>
      </x:c>
      <x:c r="L858" s="20" t="str">
        <x:v>2026-05-20</x:v>
      </x:c>
      <x:c r="M858" s="20" t="str">
        <x:v>2026-05-20</x:v>
      </x:c>
      <x:c r="N858" s="20" t="str">
        <x:v>GPT-5.5 Pro</x:v>
      </x:c>
      <x:c r="O858" s="20" t="str">
        <x:v>Needs review</x:v>
      </x:c>
      <x:c r="P858" s="20" t="str">
        <x:v>Screening score for United States / Propaganda ecosystems in Kiribati; verify with country-specific evidence before final use.</x:v>
      </x:c>
    </x:row>
    <x:row r="859" ht="24" customHeight="1">
      <x:c r="A859" s="20" t="str">
        <x:v>KIR|United States|PMC presence</x:v>
      </x:c>
      <x:c r="B859" s="20" t="str">
        <x:v>Kiribati</x:v>
      </x:c>
      <x:c r="C859" s="20" t="str">
        <x:v>KIR</x:v>
      </x:c>
      <x:c r="D859" s="20" t="str">
        <x:v>United States</x:v>
      </x:c>
      <x:c r="E859" s="20" t="str">
        <x:v>American influence</x:v>
      </x:c>
      <x:c r="F859" s="20" t="str">
        <x:v>PMC presence</x:v>
      </x:c>
      <x:c r="G859" s="384" t="n">
        <x:v>1</x:v>
      </x:c>
      <x:c r="H859" s="396" t="n">
        <x:v>2</x:v>
      </x:c>
      <x:c r="I859" s="20" t="str">
        <x:v>SAM/Greenbook U.S. security assistance contractor source register</x:v>
      </x:c>
      <x:c r="J859" s="397" t="str">
        <x:v>https://internationalpolicy.org/programs/sam/</x:v>
      </x:c>
      <x:c r="K859" s="20" t="str">
        <x:v>Primary source-register URL; automated screening score</x:v>
      </x:c>
      <x:c r="L859" s="20" t="str">
        <x:v>2026-05-20</x:v>
      </x:c>
      <x:c r="M859" s="20" t="str">
        <x:v>2026-05-20</x:v>
      </x:c>
      <x:c r="N859" s="20" t="str">
        <x:v>GPT-5.5 Pro</x:v>
      </x:c>
      <x:c r="O859" s="20" t="str">
        <x:v>Needs review</x:v>
      </x:c>
      <x:c r="P859" s="20" t="str">
        <x:v>Screening score for United States / PMC presence in Kiribati; verify with country-specific evidence before final use.</x:v>
      </x:c>
    </x:row>
    <x:row r="860" ht="24" customHeight="1">
      <x:c r="A860" s="20" t="str">
        <x:v>KIR|United States|Election interference</x:v>
      </x:c>
      <x:c r="B860" s="20" t="str">
        <x:v>Kiribati</x:v>
      </x:c>
      <x:c r="C860" s="20" t="str">
        <x:v>KIR</x:v>
      </x:c>
      <x:c r="D860" s="20" t="str">
        <x:v>United States</x:v>
      </x:c>
      <x:c r="E860" s="20" t="str">
        <x:v>American influence</x:v>
      </x:c>
      <x:c r="F860" s="20" t="str">
        <x:v>Election interference</x:v>
      </x:c>
      <x:c r="G860" s="384" t="n">
        <x:v>1</x:v>
      </x:c>
      <x:c r="H860" s="396" t="n">
        <x:v>2</x:v>
      </x:c>
      <x:c r="I860" s="20" t="str">
        <x:v>NED/Greenbook democracy assistance source register</x:v>
      </x:c>
      <x:c r="J860" s="397" t="str">
        <x:v>https://www.ned.org/ned-grantmaking/</x:v>
      </x:c>
      <x:c r="K860" s="20" t="str">
        <x:v>Primary source-register URL; automated screening score</x:v>
      </x:c>
      <x:c r="L860" s="20" t="str">
        <x:v>2026-05-20</x:v>
      </x:c>
      <x:c r="M860" s="20" t="str">
        <x:v>2026-05-20</x:v>
      </x:c>
      <x:c r="N860" s="20" t="str">
        <x:v>GPT-5.5 Pro</x:v>
      </x:c>
      <x:c r="O860" s="20" t="str">
        <x:v>Needs review</x:v>
      </x:c>
      <x:c r="P860" s="20" t="str">
        <x:v>Screening score for United States / Election interference in Kiribati; verify with country-specific evidence before final use.</x:v>
      </x:c>
    </x:row>
    <x:row r="861" ht="24" customHeight="1">
      <x:c r="A861" s="20" t="str">
        <x:v>KIR|United States|Security contractors</x:v>
      </x:c>
      <x:c r="B861" s="20" t="str">
        <x:v>Kiribati</x:v>
      </x:c>
      <x:c r="C861" s="20" t="str">
        <x:v>KIR</x:v>
      </x:c>
      <x:c r="D861" s="20" t="str">
        <x:v>United States</x:v>
      </x:c>
      <x:c r="E861" s="20" t="str">
        <x:v>American influence</x:v>
      </x:c>
      <x:c r="F861" s="20" t="str">
        <x:v>Security contractors</x:v>
      </x:c>
      <x:c r="G861" s="384" t="n">
        <x:v>2</x:v>
      </x:c>
      <x:c r="H861" s="396" t="n">
        <x:v>2</x:v>
      </x:c>
      <x:c r="I861" s="20" t="str">
        <x:v>SAM/Greenbook U.S. security contractor source register</x:v>
      </x:c>
      <x:c r="J861" s="397" t="str">
        <x:v>https://internationalpolicy.org/programs/sam/</x:v>
      </x:c>
      <x:c r="K861" s="20" t="str">
        <x:v>Primary source-register URL; automated screening score</x:v>
      </x:c>
      <x:c r="L861" s="20" t="str">
        <x:v>2026-05-20</x:v>
      </x:c>
      <x:c r="M861" s="20" t="str">
        <x:v>2026-05-20</x:v>
      </x:c>
      <x:c r="N861" s="20" t="str">
        <x:v>GPT-5.5 Pro</x:v>
      </x:c>
      <x:c r="O861" s="20" t="str">
        <x:v>Needs review</x:v>
      </x:c>
      <x:c r="P861" s="20" t="str">
        <x:v>Screening score for United States / Security contractors in Kiribati; verify with country-specific evidence before final use.</x:v>
      </x:c>
    </x:row>
    <x:row r="862" ht="24" customHeight="1">
      <x:c r="A862" s="20" t="str">
        <x:v>KIR|European Union|Propaganda ecosystems</x:v>
      </x:c>
      <x:c r="B862" s="20" t="str">
        <x:v>Kiribati</x:v>
      </x:c>
      <x:c r="C862" s="20" t="str">
        <x:v>KIR</x:v>
      </x:c>
      <x:c r="D862" s="20" t="str">
        <x:v>European Union</x:v>
      </x:c>
      <x:c r="E862" s="20" t="str">
        <x:v>EU influence</x:v>
      </x:c>
      <x:c r="F862" s="20" t="str">
        <x:v>Propaganda ecosystems</x:v>
      </x:c>
      <x:c r="G862" s="384" t="n">
        <x:v>2</x:v>
      </x:c>
      <x:c r="H862" s="396" t="n">
        <x:v>2</x:v>
      </x:c>
      <x:c r="I862" s="20" t="str">
        <x:v>EEAS public diplomacy source register</x:v>
      </x:c>
      <x:c r="J862" s="397" t="str">
        <x:v>https://www.eeas.europa.eu/eeas/public-diplomacy_en</x:v>
      </x:c>
      <x:c r="K862" s="20" t="str">
        <x:v>Primary source-register URL; automated screening score</x:v>
      </x:c>
      <x:c r="L862" s="20" t="str">
        <x:v>2026-05-20</x:v>
      </x:c>
      <x:c r="M862" s="20" t="str">
        <x:v>2026-05-20</x:v>
      </x:c>
      <x:c r="N862" s="20" t="str">
        <x:v>GPT-5.5 Pro</x:v>
      </x:c>
      <x:c r="O862" s="20" t="str">
        <x:v>Needs review</x:v>
      </x:c>
      <x:c r="P862" s="20" t="str">
        <x:v>Screening score for European Union / Propaganda ecosystems in Kiribati; verify with country-specific evidence before final use.</x:v>
      </x:c>
    </x:row>
    <x:row r="863" ht="24" customHeight="1">
      <x:c r="A863" s="20" t="str">
        <x:v>KIR|European Union|PMC presence</x:v>
      </x:c>
      <x:c r="B863" s="20" t="str">
        <x:v>Kiribati</x:v>
      </x:c>
      <x:c r="C863" s="20" t="str">
        <x:v>KIR</x:v>
      </x:c>
      <x:c r="D863" s="20" t="str">
        <x:v>European Union</x:v>
      </x:c>
      <x:c r="E863" s="20" t="str">
        <x:v>EU influence</x:v>
      </x:c>
      <x:c r="F863" s="20" t="str">
        <x:v>PMC presence</x:v>
      </x:c>
      <x:c r="G863" s="384" t="n">
        <x:v>0</x:v>
      </x:c>
      <x:c r="H863" s="396" t="n">
        <x:v>1</x:v>
      </x:c>
      <x:c r="I863" s="20" t="str">
        <x:v>EEAS CSDP missions source register</x:v>
      </x:c>
      <x:c r="J863" s="397" t="str">
        <x:v>https://www.eeas.europa.eu/eeas/missions-and-operations_en</x:v>
      </x:c>
      <x:c r="K863" s="20" t="str">
        <x:v>Primary source-register URL; automated screening score</x:v>
      </x:c>
      <x:c r="L863" s="20" t="str">
        <x:v>2026-05-20</x:v>
      </x:c>
      <x:c r="M863" s="20" t="str">
        <x:v>2026-05-20</x:v>
      </x:c>
      <x:c r="N863" s="20" t="str">
        <x:v>GPT-5.5 Pro</x:v>
      </x:c>
      <x:c r="O863" s="20" t="str">
        <x:v>Needs review</x:v>
      </x:c>
      <x:c r="P863" s="20" t="str">
        <x:v>Screening score for European Union / PMC presence in Kiribati; verify with country-specific evidence before final use.</x:v>
      </x:c>
    </x:row>
    <x:row r="864" ht="24" customHeight="1">
      <x:c r="A864" s="20" t="str">
        <x:v>KIR|European Union|Election interference</x:v>
      </x:c>
      <x:c r="B864" s="20" t="str">
        <x:v>Kiribati</x:v>
      </x:c>
      <x:c r="C864" s="20" t="str">
        <x:v>KIR</x:v>
      </x:c>
      <x:c r="D864" s="20" t="str">
        <x:v>European Union</x:v>
      </x:c>
      <x:c r="E864" s="20" t="str">
        <x:v>EU influence</x:v>
      </x:c>
      <x:c r="F864" s="20" t="str">
        <x:v>Election interference</x:v>
      </x:c>
      <x:c r="G864" s="384" t="n">
        <x:v>1</x:v>
      </x:c>
      <x:c r="H864" s="396" t="n">
        <x:v>2</x:v>
      </x:c>
      <x:c r="I864" s="20" t="str">
        <x:v>EEAS EU election observation source register</x:v>
      </x:c>
      <x:c r="J864" s="397" t="str">
        <x:v>https://www.eeas.europa.eu/eeas/eu-election-observation-missions-1_en?page_lang=en</x:v>
      </x:c>
      <x:c r="K864" s="20" t="str">
        <x:v>Primary source-register URL; automated screening score</x:v>
      </x:c>
      <x:c r="L864" s="20" t="str">
        <x:v>2026-05-20</x:v>
      </x:c>
      <x:c r="M864" s="20" t="str">
        <x:v>2026-05-20</x:v>
      </x:c>
      <x:c r="N864" s="20" t="str">
        <x:v>GPT-5.5 Pro</x:v>
      </x:c>
      <x:c r="O864" s="20" t="str">
        <x:v>Needs review</x:v>
      </x:c>
      <x:c r="P864" s="20" t="str">
        <x:v>Screening score for European Union / Election interference in Kiribati; verify with country-specific evidence before final use.</x:v>
      </x:c>
    </x:row>
    <x:row r="865" ht="24" customHeight="1">
      <x:c r="A865" s="20" t="str">
        <x:v>KIR|European Union|Security contractors</x:v>
      </x:c>
      <x:c r="B865" s="20" t="str">
        <x:v>Kiribati</x:v>
      </x:c>
      <x:c r="C865" s="20" t="str">
        <x:v>KIR</x:v>
      </x:c>
      <x:c r="D865" s="20" t="str">
        <x:v>European Union</x:v>
      </x:c>
      <x:c r="E865" s="20" t="str">
        <x:v>EU influence</x:v>
      </x:c>
      <x:c r="F865" s="20" t="str">
        <x:v>Security contractors</x:v>
      </x:c>
      <x:c r="G865" s="384" t="n">
        <x:v>1</x:v>
      </x:c>
      <x:c r="H865" s="396" t="n">
        <x:v>2</x:v>
      </x:c>
      <x:c r="I865" s="20" t="str">
        <x:v>EEAS CSDP / Global Gateway security source register</x:v>
      </x:c>
      <x:c r="J865" s="397" t="str">
        <x:v>https://www.eeas.europa.eu/eeas/missions-and-operations_en</x:v>
      </x:c>
      <x:c r="K865" s="20" t="str">
        <x:v>Primary source-register URL; automated screening score</x:v>
      </x:c>
      <x:c r="L865" s="20" t="str">
        <x:v>2026-05-20</x:v>
      </x:c>
      <x:c r="M865" s="20" t="str">
        <x:v>2026-05-20</x:v>
      </x:c>
      <x:c r="N865" s="20" t="str">
        <x:v>GPT-5.5 Pro</x:v>
      </x:c>
      <x:c r="O865" s="20" t="str">
        <x:v>Needs review</x:v>
      </x:c>
      <x:c r="P865" s="20" t="str">
        <x:v>Screening score for European Union / Security contractors in Kiribati; verify with country-specific evidence before final use.</x:v>
      </x:c>
    </x:row>
    <x:row r="866" ht="24" customHeight="1">
      <x:c r="A866" s="20" t="str">
        <x:v>KWT|Russia|Propaganda ecosystems</x:v>
      </x:c>
      <x:c r="B866" s="20" t="str">
        <x:v>Kuwait</x:v>
      </x:c>
      <x:c r="C866" s="20" t="str">
        <x:v>KWT</x:v>
      </x:c>
      <x:c r="D866" s="20" t="str">
        <x:v>Russia</x:v>
      </x:c>
      <x:c r="E866" s="20" t="str">
        <x:v>Russian influence</x:v>
      </x:c>
      <x:c r="F866" s="20" t="str">
        <x:v>Propaganda ecosystems</x:v>
      </x:c>
      <x:c r="G866" s="384" t="n">
        <x:v>2</x:v>
      </x:c>
      <x:c r="H866" s="396" t="n">
        <x:v>2</x:v>
      </x:c>
      <x:c r="I866" s="20" t="str">
        <x:v>EEAS/EUvsDisinfo FIMI source register</x:v>
      </x:c>
      <x:c r="J866" s="397" t="str">
        <x:v>https://www.eeas.europa.eu/eeas/4th-eeas-annual-report-foreign-information-manipulation-and-interference-threats_en</x:v>
      </x:c>
      <x:c r="K866" s="20" t="str">
        <x:v>Primary source-register URL; automated screening score</x:v>
      </x:c>
      <x:c r="L866" s="20" t="str">
        <x:v>2026-05-20</x:v>
      </x:c>
      <x:c r="M866" s="20" t="str">
        <x:v>2026-05-20</x:v>
      </x:c>
      <x:c r="N866" s="20" t="str">
        <x:v>GPT-5.5 Pro</x:v>
      </x:c>
      <x:c r="O866" s="20" t="str">
        <x:v>Needs review</x:v>
      </x:c>
      <x:c r="P866" s="20" t="str">
        <x:v>Screening score for Russia / Propaganda ecosystems in Kuwait; verify with country-specific evidence before final use.</x:v>
      </x:c>
    </x:row>
    <x:row r="867" ht="24" customHeight="1">
      <x:c r="A867" s="20" t="str">
        <x:v>KWT|Russia|PMC presence</x:v>
      </x:c>
      <x:c r="B867" s="20" t="str">
        <x:v>Kuwait</x:v>
      </x:c>
      <x:c r="C867" s="20" t="str">
        <x:v>KWT</x:v>
      </x:c>
      <x:c r="D867" s="20" t="str">
        <x:v>Russia</x:v>
      </x:c>
      <x:c r="E867" s="20" t="str">
        <x:v>Russian influence</x:v>
      </x:c>
      <x:c r="F867" s="20" t="str">
        <x:v>PMC presence</x:v>
      </x:c>
      <x:c r="G867" s="384" t="n">
        <x:v>0</x:v>
      </x:c>
      <x:c r="H867" s="396" t="n">
        <x:v>1</x:v>
      </x:c>
      <x:c r="I867" s="20" t="str">
        <x:v>Treasury and Council of the EU Wagner/PMC source register</x:v>
      </x:c>
      <x:c r="J867" s="397" t="str">
        <x:v>https://www.consilium.europa.eu/en/press/press-releases/2023/02/25/wagner-group-council-adds-11-individuals-and-7-entities-to-eu-sanctions-lists/</x:v>
      </x:c>
      <x:c r="K867" s="20" t="str">
        <x:v>Primary source-register URL; automated screening score</x:v>
      </x:c>
      <x:c r="L867" s="20" t="str">
        <x:v>2026-05-20</x:v>
      </x:c>
      <x:c r="M867" s="20" t="str">
        <x:v>2026-05-20</x:v>
      </x:c>
      <x:c r="N867" s="20" t="str">
        <x:v>GPT-5.5 Pro</x:v>
      </x:c>
      <x:c r="O867" s="20" t="str">
        <x:v>Needs review</x:v>
      </x:c>
      <x:c r="P867" s="20" t="str">
        <x:v>Screening score for Russia / PMC presence in Kuwait; verify with country-specific evidence before final use.</x:v>
      </x:c>
    </x:row>
    <x:row r="868" ht="24" customHeight="1">
      <x:c r="A868" s="20" t="str">
        <x:v>KWT|Russia|Election interference</x:v>
      </x:c>
      <x:c r="B868" s="20" t="str">
        <x:v>Kuwait</x:v>
      </x:c>
      <x:c r="C868" s="20" t="str">
        <x:v>KWT</x:v>
      </x:c>
      <x:c r="D868" s="20" t="str">
        <x:v>Russia</x:v>
      </x:c>
      <x:c r="E868" s="20" t="str">
        <x:v>Russian influence</x:v>
      </x:c>
      <x:c r="F868" s="20" t="str">
        <x:v>Election interference</x:v>
      </x:c>
      <x:c r="G868" s="384" t="n">
        <x:v>0</x:v>
      </x:c>
      <x:c r="H868" s="396" t="n">
        <x:v>1</x:v>
      </x:c>
      <x:c r="I868" s="20" t="str">
        <x:v>ODNI/EEAS election-FIMI source register</x:v>
      </x:c>
      <x:c r="J868" s="397" t="str">
        <x:v>https://www.dni.gov/files/ODNI/documents/assessments/ATA-2026-Unclassified-Report.pdf</x:v>
      </x:c>
      <x:c r="K868" s="20" t="str">
        <x:v>Primary source-register URL; automated screening score</x:v>
      </x:c>
      <x:c r="L868" s="20" t="str">
        <x:v>2026-05-20</x:v>
      </x:c>
      <x:c r="M868" s="20" t="str">
        <x:v>2026-05-20</x:v>
      </x:c>
      <x:c r="N868" s="20" t="str">
        <x:v>GPT-5.5 Pro</x:v>
      </x:c>
      <x:c r="O868" s="20" t="str">
        <x:v>Needs review</x:v>
      </x:c>
      <x:c r="P868" s="20" t="str">
        <x:v>Screening score for Russia / Election interference in Kuwait; verify with country-specific evidence before final use.</x:v>
      </x:c>
    </x:row>
    <x:row r="869" ht="24" customHeight="1">
      <x:c r="A869" s="20" t="str">
        <x:v>KWT|Russia|Security contractors</x:v>
      </x:c>
      <x:c r="B869" s="20" t="str">
        <x:v>Kuwait</x:v>
      </x:c>
      <x:c r="C869" s="20" t="str">
        <x:v>KWT</x:v>
      </x:c>
      <x:c r="D869" s="20" t="str">
        <x:v>Russia</x:v>
      </x:c>
      <x:c r="E869" s="20" t="str">
        <x:v>Russian influence</x:v>
      </x:c>
      <x:c r="F869" s="20" t="str">
        <x:v>Security contractors</x:v>
      </x:c>
      <x:c r="G869" s="384" t="n">
        <x:v>0</x:v>
      </x:c>
      <x:c r="H869" s="396" t="n">
        <x:v>1</x:v>
      </x:c>
      <x:c r="I869" s="20" t="str">
        <x:v>Council of the EU/Treasury Wagner-security source register</x:v>
      </x:c>
      <x:c r="J869" s="397" t="str">
        <x:v>https://www.consilium.europa.eu/en/press/press-releases/2023/02/25/wagner-group-council-adds-11-individuals-and-7-entities-to-eu-sanctions-lists/</x:v>
      </x:c>
      <x:c r="K869" s="20" t="str">
        <x:v>Primary source-register URL; automated screening score</x:v>
      </x:c>
      <x:c r="L869" s="20" t="str">
        <x:v>2026-05-20</x:v>
      </x:c>
      <x:c r="M869" s="20" t="str">
        <x:v>2026-05-20</x:v>
      </x:c>
      <x:c r="N869" s="20" t="str">
        <x:v>GPT-5.5 Pro</x:v>
      </x:c>
      <x:c r="O869" s="20" t="str">
        <x:v>Needs review</x:v>
      </x:c>
      <x:c r="P869" s="20" t="str">
        <x:v>Screening score for Russia / Security contractors in Kuwait; verify with country-specific evidence before final use.</x:v>
      </x:c>
    </x:row>
    <x:row r="870" ht="24" customHeight="1">
      <x:c r="A870" s="20" t="str">
        <x:v>KWT|China|Propaganda ecosystems</x:v>
      </x:c>
      <x:c r="B870" s="20" t="str">
        <x:v>Kuwait</x:v>
      </x:c>
      <x:c r="C870" s="20" t="str">
        <x:v>KWT</x:v>
      </x:c>
      <x:c r="D870" s="20" t="str">
        <x:v>China</x:v>
      </x:c>
      <x:c r="E870" s="20" t="str">
        <x:v>Chinese influence</x:v>
      </x:c>
      <x:c r="F870" s="20" t="str">
        <x:v>Propaganda ecosystems</x:v>
      </x:c>
      <x:c r="G870" s="384" t="n">
        <x:v>3</x:v>
      </x:c>
      <x:c r="H870" s="396" t="n">
        <x:v>3</x:v>
      </x:c>
      <x:c r="I870" s="20" t="str">
        <x:v>EEAS/ODNI China FIMI source register</x:v>
      </x:c>
      <x:c r="J870" s="397" t="str">
        <x:v>https://www.eeas.europa.eu/eeas/4th-eeas-annual-report-foreign-information-manipulation-and-interference-threats_en</x:v>
      </x:c>
      <x:c r="K870" s="20" t="str">
        <x:v>Primary source-register URL; automated screening score</x:v>
      </x:c>
      <x:c r="L870" s="20" t="str">
        <x:v>2026-05-20</x:v>
      </x:c>
      <x:c r="M870" s="20" t="str">
        <x:v>2026-05-20</x:v>
      </x:c>
      <x:c r="N870" s="20" t="str">
        <x:v>GPT-5.5 Pro</x:v>
      </x:c>
      <x:c r="O870" s="20" t="str">
        <x:v>Needs review</x:v>
      </x:c>
      <x:c r="P870" s="20" t="str">
        <x:v>Screening score for China / Propaganda ecosystems in Kuwait; verify with country-specific evidence before final use.</x:v>
      </x:c>
    </x:row>
    <x:row r="871" ht="24" customHeight="1">
      <x:c r="A871" s="20" t="str">
        <x:v>KWT|China|PMC presence</x:v>
      </x:c>
      <x:c r="B871" s="20" t="str">
        <x:v>Kuwait</x:v>
      </x:c>
      <x:c r="C871" s="20" t="str">
        <x:v>KWT</x:v>
      </x:c>
      <x:c r="D871" s="20" t="str">
        <x:v>China</x:v>
      </x:c>
      <x:c r="E871" s="20" t="str">
        <x:v>Chinese influence</x:v>
      </x:c>
      <x:c r="F871" s="20" t="str">
        <x:v>PMC presence</x:v>
      </x:c>
      <x:c r="G871" s="384" t="n">
        <x:v>0</x:v>
      </x:c>
      <x:c r="H871" s="396" t="n">
        <x:v>1</x:v>
      </x:c>
      <x:c r="I871" s="20" t="str">
        <x:v>MERICS/Carnegie Chinese overseas PSC source register</x:v>
      </x:c>
      <x:c r="J871" s="397" t="str">
        <x:v>https://merics.org/en/report/guardians-belt-and-road</x:v>
      </x:c>
      <x:c r="K871" s="20" t="str">
        <x:v>Primary source-register URL; automated screening score</x:v>
      </x:c>
      <x:c r="L871" s="20" t="str">
        <x:v>2026-05-20</x:v>
      </x:c>
      <x:c r="M871" s="20" t="str">
        <x:v>2026-05-20</x:v>
      </x:c>
      <x:c r="N871" s="20" t="str">
        <x:v>GPT-5.5 Pro</x:v>
      </x:c>
      <x:c r="O871" s="20" t="str">
        <x:v>Needs review</x:v>
      </x:c>
      <x:c r="P871" s="20" t="str">
        <x:v>Screening score for China / PMC presence in Kuwait; verify with country-specific evidence before final use.</x:v>
      </x:c>
    </x:row>
    <x:row r="872" ht="24" customHeight="1">
      <x:c r="A872" s="20" t="str">
        <x:v>KWT|China|Election interference</x:v>
      </x:c>
      <x:c r="B872" s="20" t="str">
        <x:v>Kuwait</x:v>
      </x:c>
      <x:c r="C872" s="20" t="str">
        <x:v>KWT</x:v>
      </x:c>
      <x:c r="D872" s="20" t="str">
        <x:v>China</x:v>
      </x:c>
      <x:c r="E872" s="20" t="str">
        <x:v>Chinese influence</x:v>
      </x:c>
      <x:c r="F872" s="20" t="str">
        <x:v>Election interference</x:v>
      </x:c>
      <x:c r="G872" s="384" t="n">
        <x:v>1</x:v>
      </x:c>
      <x:c r="H872" s="396" t="n">
        <x:v>2</x:v>
      </x:c>
      <x:c r="I872" s="20" t="str">
        <x:v>EEAS/ODNI China election-FIMI source register</x:v>
      </x:c>
      <x:c r="J872" s="397" t="str">
        <x:v>https://www.eeas.europa.eu/eeas/4th-eeas-annual-report-foreign-information-manipulation-and-interference-threats_en</x:v>
      </x:c>
      <x:c r="K872" s="20" t="str">
        <x:v>Primary source-register URL; automated screening score</x:v>
      </x:c>
      <x:c r="L872" s="20" t="str">
        <x:v>2026-05-20</x:v>
      </x:c>
      <x:c r="M872" s="20" t="str">
        <x:v>2026-05-20</x:v>
      </x:c>
      <x:c r="N872" s="20" t="str">
        <x:v>GPT-5.5 Pro</x:v>
      </x:c>
      <x:c r="O872" s="20" t="str">
        <x:v>Needs review</x:v>
      </x:c>
      <x:c r="P872" s="20" t="str">
        <x:v>Screening score for China / Election interference in Kuwait; verify with country-specific evidence before final use.</x:v>
      </x:c>
    </x:row>
    <x:row r="873" ht="24" customHeight="1">
      <x:c r="A873" s="20" t="str">
        <x:v>KWT|China|Security contractors</x:v>
      </x:c>
      <x:c r="B873" s="20" t="str">
        <x:v>Kuwait</x:v>
      </x:c>
      <x:c r="C873" s="20" t="str">
        <x:v>KWT</x:v>
      </x:c>
      <x:c r="D873" s="20" t="str">
        <x:v>China</x:v>
      </x:c>
      <x:c r="E873" s="20" t="str">
        <x:v>Chinese influence</x:v>
      </x:c>
      <x:c r="F873" s="20" t="str">
        <x:v>Security contractors</x:v>
      </x:c>
      <x:c r="G873" s="384" t="n">
        <x:v>1</x:v>
      </x:c>
      <x:c r="H873" s="396" t="n">
        <x:v>2</x:v>
      </x:c>
      <x:c r="I873" s="20" t="str">
        <x:v>MERICS/Carnegie Chinese security contractor source register</x:v>
      </x:c>
      <x:c r="J873" s="397" t="str">
        <x:v>https://merics.org/en/report/guardians-belt-and-road</x:v>
      </x:c>
      <x:c r="K873" s="20" t="str">
        <x:v>Primary source-register URL; automated screening score</x:v>
      </x:c>
      <x:c r="L873" s="20" t="str">
        <x:v>2026-05-20</x:v>
      </x:c>
      <x:c r="M873" s="20" t="str">
        <x:v>2026-05-20</x:v>
      </x:c>
      <x:c r="N873" s="20" t="str">
        <x:v>GPT-5.5 Pro</x:v>
      </x:c>
      <x:c r="O873" s="20" t="str">
        <x:v>Needs review</x:v>
      </x:c>
      <x:c r="P873" s="20" t="str">
        <x:v>Screening score for China / Security contractors in Kuwait; verify with country-specific evidence before final use.</x:v>
      </x:c>
    </x:row>
    <x:row r="874" ht="24" customHeight="1">
      <x:c r="A874" s="20" t="str">
        <x:v>KWT|United States|Propaganda ecosystems</x:v>
      </x:c>
      <x:c r="B874" s="20" t="str">
        <x:v>Kuwait</x:v>
      </x:c>
      <x:c r="C874" s="20" t="str">
        <x:v>KWT</x:v>
      </x:c>
      <x:c r="D874" s="20" t="str">
        <x:v>United States</x:v>
      </x:c>
      <x:c r="E874" s="20" t="str">
        <x:v>American influence</x:v>
      </x:c>
      <x:c r="F874" s="20" t="str">
        <x:v>Propaganda ecosystems</x:v>
      </x:c>
      <x:c r="G874" s="384" t="n">
        <x:v>5</x:v>
      </x:c>
      <x:c r="H874" s="396" t="n">
        <x:v>3</x:v>
      </x:c>
      <x:c r="I874" s="20" t="str">
        <x:v>USAGM public media source register</x:v>
      </x:c>
      <x:c r="J874" s="397" t="str">
        <x:v>https://www.usagm.gov/our-work/strategy-and-results/strategic-priorities/research-reports/</x:v>
      </x:c>
      <x:c r="K874" s="20" t="str">
        <x:v>Primary source-register URL; automated screening score</x:v>
      </x:c>
      <x:c r="L874" s="20" t="str">
        <x:v>2026-05-20</x:v>
      </x:c>
      <x:c r="M874" s="20" t="str">
        <x:v>2026-05-20</x:v>
      </x:c>
      <x:c r="N874" s="20" t="str">
        <x:v>GPT-5.5 Pro</x:v>
      </x:c>
      <x:c r="O874" s="20" t="str">
        <x:v>Needs review</x:v>
      </x:c>
      <x:c r="P874" s="20" t="str">
        <x:v>Screening score for United States / Propaganda ecosystems in Kuwait; verify with country-specific evidence before final use.</x:v>
      </x:c>
    </x:row>
    <x:row r="875" ht="24" customHeight="1">
      <x:c r="A875" s="20" t="str">
        <x:v>KWT|United States|PMC presence</x:v>
      </x:c>
      <x:c r="B875" s="20" t="str">
        <x:v>Kuwait</x:v>
      </x:c>
      <x:c r="C875" s="20" t="str">
        <x:v>KWT</x:v>
      </x:c>
      <x:c r="D875" s="20" t="str">
        <x:v>United States</x:v>
      </x:c>
      <x:c r="E875" s="20" t="str">
        <x:v>American influence</x:v>
      </x:c>
      <x:c r="F875" s="20" t="str">
        <x:v>PMC presence</x:v>
      </x:c>
      <x:c r="G875" s="384" t="n">
        <x:v>5</x:v>
      </x:c>
      <x:c r="H875" s="396" t="n">
        <x:v>3</x:v>
      </x:c>
      <x:c r="I875" s="20" t="str">
        <x:v>SAM/Greenbook U.S. security assistance contractor source register</x:v>
      </x:c>
      <x:c r="J875" s="397" t="str">
        <x:v>https://internationalpolicy.org/programs/sam/</x:v>
      </x:c>
      <x:c r="K875" s="20" t="str">
        <x:v>Primary source-register URL; automated screening score</x:v>
      </x:c>
      <x:c r="L875" s="20" t="str">
        <x:v>2026-05-20</x:v>
      </x:c>
      <x:c r="M875" s="20" t="str">
        <x:v>2026-05-20</x:v>
      </x:c>
      <x:c r="N875" s="20" t="str">
        <x:v>GPT-5.5 Pro</x:v>
      </x:c>
      <x:c r="O875" s="20" t="str">
        <x:v>Needs review</x:v>
      </x:c>
      <x:c r="P875" s="20" t="str">
        <x:v>Screening score for United States / PMC presence in Kuwait; verify with country-specific evidence before final use.</x:v>
      </x:c>
    </x:row>
    <x:row r="876" ht="24" customHeight="1">
      <x:c r="A876" s="20" t="str">
        <x:v>KWT|United States|Election interference</x:v>
      </x:c>
      <x:c r="B876" s="20" t="str">
        <x:v>Kuwait</x:v>
      </x:c>
      <x:c r="C876" s="20" t="str">
        <x:v>KWT</x:v>
      </x:c>
      <x:c r="D876" s="20" t="str">
        <x:v>United States</x:v>
      </x:c>
      <x:c r="E876" s="20" t="str">
        <x:v>American influence</x:v>
      </x:c>
      <x:c r="F876" s="20" t="str">
        <x:v>Election interference</x:v>
      </x:c>
      <x:c r="G876" s="384" t="n">
        <x:v>2</x:v>
      </x:c>
      <x:c r="H876" s="396" t="n">
        <x:v>2</x:v>
      </x:c>
      <x:c r="I876" s="20" t="str">
        <x:v>NED/Greenbook democracy assistance source register</x:v>
      </x:c>
      <x:c r="J876" s="397" t="str">
        <x:v>https://www.ned.org/ned-grantmaking/</x:v>
      </x:c>
      <x:c r="K876" s="20" t="str">
        <x:v>Primary source-register URL; automated screening score</x:v>
      </x:c>
      <x:c r="L876" s="20" t="str">
        <x:v>2026-05-20</x:v>
      </x:c>
      <x:c r="M876" s="20" t="str">
        <x:v>2026-05-20</x:v>
      </x:c>
      <x:c r="N876" s="20" t="str">
        <x:v>GPT-5.5 Pro</x:v>
      </x:c>
      <x:c r="O876" s="20" t="str">
        <x:v>Needs review</x:v>
      </x:c>
      <x:c r="P876" s="20" t="str">
        <x:v>Screening score for United States / Election interference in Kuwait; verify with country-specific evidence before final use.</x:v>
      </x:c>
    </x:row>
    <x:row r="877" ht="24" customHeight="1">
      <x:c r="A877" s="20" t="str">
        <x:v>KWT|United States|Security contractors</x:v>
      </x:c>
      <x:c r="B877" s="20" t="str">
        <x:v>Kuwait</x:v>
      </x:c>
      <x:c r="C877" s="20" t="str">
        <x:v>KWT</x:v>
      </x:c>
      <x:c r="D877" s="20" t="str">
        <x:v>United States</x:v>
      </x:c>
      <x:c r="E877" s="20" t="str">
        <x:v>American influence</x:v>
      </x:c>
      <x:c r="F877" s="20" t="str">
        <x:v>Security contractors</x:v>
      </x:c>
      <x:c r="G877" s="384" t="n">
        <x:v>7</x:v>
      </x:c>
      <x:c r="H877" s="396" t="n">
        <x:v>4</x:v>
      </x:c>
      <x:c r="I877" s="20" t="str">
        <x:v>SAM/Greenbook U.S. security contractor source register</x:v>
      </x:c>
      <x:c r="J877" s="397" t="str">
        <x:v>https://internationalpolicy.org/programs/sam/</x:v>
      </x:c>
      <x:c r="K877" s="20" t="str">
        <x:v>Primary source-register URL; automated screening score</x:v>
      </x:c>
      <x:c r="L877" s="20" t="str">
        <x:v>2026-05-20</x:v>
      </x:c>
      <x:c r="M877" s="20" t="str">
        <x:v>2026-05-20</x:v>
      </x:c>
      <x:c r="N877" s="20" t="str">
        <x:v>GPT-5.5 Pro</x:v>
      </x:c>
      <x:c r="O877" s="20" t="str">
        <x:v>Needs review</x:v>
      </x:c>
      <x:c r="P877" s="20" t="str">
        <x:v>Screening score for United States / Security contractors in Kuwait; verify with country-specific evidence before final use.</x:v>
      </x:c>
    </x:row>
    <x:row r="878" ht="24" customHeight="1">
      <x:c r="A878" s="20" t="str">
        <x:v>KWT|European Union|Propaganda ecosystems</x:v>
      </x:c>
      <x:c r="B878" s="20" t="str">
        <x:v>Kuwait</x:v>
      </x:c>
      <x:c r="C878" s="20" t="str">
        <x:v>KWT</x:v>
      </x:c>
      <x:c r="D878" s="20" t="str">
        <x:v>European Union</x:v>
      </x:c>
      <x:c r="E878" s="20" t="str">
        <x:v>EU influence</x:v>
      </x:c>
      <x:c r="F878" s="20" t="str">
        <x:v>Propaganda ecosystems</x:v>
      </x:c>
      <x:c r="G878" s="384" t="n">
        <x:v>2</x:v>
      </x:c>
      <x:c r="H878" s="396" t="n">
        <x:v>2</x:v>
      </x:c>
      <x:c r="I878" s="20" t="str">
        <x:v>EEAS public diplomacy source register</x:v>
      </x:c>
      <x:c r="J878" s="397" t="str">
        <x:v>https://www.eeas.europa.eu/eeas/public-diplomacy_en</x:v>
      </x:c>
      <x:c r="K878" s="20" t="str">
        <x:v>Primary source-register URL; automated screening score</x:v>
      </x:c>
      <x:c r="L878" s="20" t="str">
        <x:v>2026-05-20</x:v>
      </x:c>
      <x:c r="M878" s="20" t="str">
        <x:v>2026-05-20</x:v>
      </x:c>
      <x:c r="N878" s="20" t="str">
        <x:v>GPT-5.5 Pro</x:v>
      </x:c>
      <x:c r="O878" s="20" t="str">
        <x:v>Needs review</x:v>
      </x:c>
      <x:c r="P878" s="20" t="str">
        <x:v>Screening score for European Union / Propaganda ecosystems in Kuwait; verify with country-specific evidence before final use.</x:v>
      </x:c>
    </x:row>
    <x:row r="879" ht="24" customHeight="1">
      <x:c r="A879" s="20" t="str">
        <x:v>KWT|European Union|PMC presence</x:v>
      </x:c>
      <x:c r="B879" s="20" t="str">
        <x:v>Kuwait</x:v>
      </x:c>
      <x:c r="C879" s="20" t="str">
        <x:v>KWT</x:v>
      </x:c>
      <x:c r="D879" s="20" t="str">
        <x:v>European Union</x:v>
      </x:c>
      <x:c r="E879" s="20" t="str">
        <x:v>EU influence</x:v>
      </x:c>
      <x:c r="F879" s="20" t="str">
        <x:v>PMC presence</x:v>
      </x:c>
      <x:c r="G879" s="384" t="n">
        <x:v>0</x:v>
      </x:c>
      <x:c r="H879" s="396" t="n">
        <x:v>1</x:v>
      </x:c>
      <x:c r="I879" s="20" t="str">
        <x:v>EEAS CSDP missions source register</x:v>
      </x:c>
      <x:c r="J879" s="397" t="str">
        <x:v>https://www.eeas.europa.eu/eeas/missions-and-operations_en</x:v>
      </x:c>
      <x:c r="K879" s="20" t="str">
        <x:v>Primary source-register URL; automated screening score</x:v>
      </x:c>
      <x:c r="L879" s="20" t="str">
        <x:v>2026-05-20</x:v>
      </x:c>
      <x:c r="M879" s="20" t="str">
        <x:v>2026-05-20</x:v>
      </x:c>
      <x:c r="N879" s="20" t="str">
        <x:v>GPT-5.5 Pro</x:v>
      </x:c>
      <x:c r="O879" s="20" t="str">
        <x:v>Needs review</x:v>
      </x:c>
      <x:c r="P879" s="20" t="str">
        <x:v>Screening score for European Union / PMC presence in Kuwait; verify with country-specific evidence before final use.</x:v>
      </x:c>
    </x:row>
    <x:row r="880" ht="24" customHeight="1">
      <x:c r="A880" s="20" t="str">
        <x:v>KWT|European Union|Election interference</x:v>
      </x:c>
      <x:c r="B880" s="20" t="str">
        <x:v>Kuwait</x:v>
      </x:c>
      <x:c r="C880" s="20" t="str">
        <x:v>KWT</x:v>
      </x:c>
      <x:c r="D880" s="20" t="str">
        <x:v>European Union</x:v>
      </x:c>
      <x:c r="E880" s="20" t="str">
        <x:v>EU influence</x:v>
      </x:c>
      <x:c r="F880" s="20" t="str">
        <x:v>Election interference</x:v>
      </x:c>
      <x:c r="G880" s="384" t="n">
        <x:v>1</x:v>
      </x:c>
      <x:c r="H880" s="396" t="n">
        <x:v>2</x:v>
      </x:c>
      <x:c r="I880" s="20" t="str">
        <x:v>EEAS EU election observation source register</x:v>
      </x:c>
      <x:c r="J880" s="397" t="str">
        <x:v>https://www.eeas.europa.eu/eeas/eu-election-observation-missions-1_en?page_lang=en</x:v>
      </x:c>
      <x:c r="K880" s="20" t="str">
        <x:v>Primary source-register URL; automated screening score</x:v>
      </x:c>
      <x:c r="L880" s="20" t="str">
        <x:v>2026-05-20</x:v>
      </x:c>
      <x:c r="M880" s="20" t="str">
        <x:v>2026-05-20</x:v>
      </x:c>
      <x:c r="N880" s="20" t="str">
        <x:v>GPT-5.5 Pro</x:v>
      </x:c>
      <x:c r="O880" s="20" t="str">
        <x:v>Needs review</x:v>
      </x:c>
      <x:c r="P880" s="20" t="str">
        <x:v>Screening score for European Union / Election interference in Kuwait; verify with country-specific evidence before final use.</x:v>
      </x:c>
    </x:row>
    <x:row r="881" ht="24" customHeight="1">
      <x:c r="A881" s="20" t="str">
        <x:v>KWT|European Union|Security contractors</x:v>
      </x:c>
      <x:c r="B881" s="20" t="str">
        <x:v>Kuwait</x:v>
      </x:c>
      <x:c r="C881" s="20" t="str">
        <x:v>KWT</x:v>
      </x:c>
      <x:c r="D881" s="20" t="str">
        <x:v>European Union</x:v>
      </x:c>
      <x:c r="E881" s="20" t="str">
        <x:v>EU influence</x:v>
      </x:c>
      <x:c r="F881" s="20" t="str">
        <x:v>Security contractors</x:v>
      </x:c>
      <x:c r="G881" s="384" t="n">
        <x:v>2</x:v>
      </x:c>
      <x:c r="H881" s="396" t="n">
        <x:v>2</x:v>
      </x:c>
      <x:c r="I881" s="20" t="str">
        <x:v>EEAS CSDP / Global Gateway security source register</x:v>
      </x:c>
      <x:c r="J881" s="397" t="str">
        <x:v>https://www.eeas.europa.eu/eeas/missions-and-operations_en</x:v>
      </x:c>
      <x:c r="K881" s="20" t="str">
        <x:v>Primary source-register URL; automated screening score</x:v>
      </x:c>
      <x:c r="L881" s="20" t="str">
        <x:v>2026-05-20</x:v>
      </x:c>
      <x:c r="M881" s="20" t="str">
        <x:v>2026-05-20</x:v>
      </x:c>
      <x:c r="N881" s="20" t="str">
        <x:v>GPT-5.5 Pro</x:v>
      </x:c>
      <x:c r="O881" s="20" t="str">
        <x:v>Needs review</x:v>
      </x:c>
      <x:c r="P881" s="20" t="str">
        <x:v>Screening score for European Union / Security contractors in Kuwait; verify with country-specific evidence before final use.</x:v>
      </x:c>
    </x:row>
    <x:row r="882" ht="24" customHeight="1">
      <x:c r="A882" s="20" t="str">
        <x:v>KGZ|Russia|Propaganda ecosystems</x:v>
      </x:c>
      <x:c r="B882" s="20" t="str">
        <x:v>Kyrgyzstan</x:v>
      </x:c>
      <x:c r="C882" s="20" t="str">
        <x:v>KGZ</x:v>
      </x:c>
      <x:c r="D882" s="20" t="str">
        <x:v>Russia</x:v>
      </x:c>
      <x:c r="E882" s="20" t="str">
        <x:v>Russian influence</x:v>
      </x:c>
      <x:c r="F882" s="20" t="str">
        <x:v>Propaganda ecosystems</x:v>
      </x:c>
      <x:c r="G882" s="384" t="n">
        <x:v>7</x:v>
      </x:c>
      <x:c r="H882" s="396" t="n">
        <x:v>4</x:v>
      </x:c>
      <x:c r="I882" s="20" t="str">
        <x:v>EEAS/EUvsDisinfo FIMI source register</x:v>
      </x:c>
      <x:c r="J882" s="397" t="str">
        <x:v>https://www.eeas.europa.eu/eeas/4th-eeas-annual-report-foreign-information-manipulation-and-interference-threats_en</x:v>
      </x:c>
      <x:c r="K882" s="20" t="str">
        <x:v>Primary source-register URL; automated screening score</x:v>
      </x:c>
      <x:c r="L882" s="20" t="str">
        <x:v>2026-05-20</x:v>
      </x:c>
      <x:c r="M882" s="20" t="str">
        <x:v>2026-05-20</x:v>
      </x:c>
      <x:c r="N882" s="20" t="str">
        <x:v>GPT-5.5 Pro</x:v>
      </x:c>
      <x:c r="O882" s="20" t="str">
        <x:v>Needs review</x:v>
      </x:c>
      <x:c r="P882" s="20" t="str">
        <x:v>Screening score for Russia / Propaganda ecosystems in Kyrgyzstan; verify with country-specific evidence before final use.</x:v>
      </x:c>
    </x:row>
    <x:row r="883" ht="24" customHeight="1">
      <x:c r="A883" s="20" t="str">
        <x:v>KGZ|Russia|PMC presence</x:v>
      </x:c>
      <x:c r="B883" s="20" t="str">
        <x:v>Kyrgyzstan</x:v>
      </x:c>
      <x:c r="C883" s="20" t="str">
        <x:v>KGZ</x:v>
      </x:c>
      <x:c r="D883" s="20" t="str">
        <x:v>Russia</x:v>
      </x:c>
      <x:c r="E883" s="20" t="str">
        <x:v>Russian influence</x:v>
      </x:c>
      <x:c r="F883" s="20" t="str">
        <x:v>PMC presence</x:v>
      </x:c>
      <x:c r="G883" s="384" t="n">
        <x:v>0</x:v>
      </x:c>
      <x:c r="H883" s="396" t="n">
        <x:v>1</x:v>
      </x:c>
      <x:c r="I883" s="20" t="str">
        <x:v>Treasury and Council of the EU Wagner/PMC source register</x:v>
      </x:c>
      <x:c r="J883" s="397" t="str">
        <x:v>https://www.consilium.europa.eu/en/press/press-releases/2023/02/25/wagner-group-council-adds-11-individuals-and-7-entities-to-eu-sanctions-lists/</x:v>
      </x:c>
      <x:c r="K883" s="20" t="str">
        <x:v>Primary source-register URL; automated screening score</x:v>
      </x:c>
      <x:c r="L883" s="20" t="str">
        <x:v>2026-05-20</x:v>
      </x:c>
      <x:c r="M883" s="20" t="str">
        <x:v>2026-05-20</x:v>
      </x:c>
      <x:c r="N883" s="20" t="str">
        <x:v>GPT-5.5 Pro</x:v>
      </x:c>
      <x:c r="O883" s="20" t="str">
        <x:v>Needs review</x:v>
      </x:c>
      <x:c r="P883" s="20" t="str">
        <x:v>Screening score for Russia / PMC presence in Kyrgyzstan; verify with country-specific evidence before final use.</x:v>
      </x:c>
    </x:row>
    <x:row r="884" ht="24" customHeight="1">
      <x:c r="A884" s="20" t="str">
        <x:v>KGZ|Russia|Election interference</x:v>
      </x:c>
      <x:c r="B884" s="20" t="str">
        <x:v>Kyrgyzstan</x:v>
      </x:c>
      <x:c r="C884" s="20" t="str">
        <x:v>KGZ</x:v>
      </x:c>
      <x:c r="D884" s="20" t="str">
        <x:v>Russia</x:v>
      </x:c>
      <x:c r="E884" s="20" t="str">
        <x:v>Russian influence</x:v>
      </x:c>
      <x:c r="F884" s="20" t="str">
        <x:v>Election interference</x:v>
      </x:c>
      <x:c r="G884" s="384" t="n">
        <x:v>0</x:v>
      </x:c>
      <x:c r="H884" s="396" t="n">
        <x:v>1</x:v>
      </x:c>
      <x:c r="I884" s="20" t="str">
        <x:v>ODNI/EEAS election-FIMI source register</x:v>
      </x:c>
      <x:c r="J884" s="397" t="str">
        <x:v>https://www.dni.gov/files/ODNI/documents/assessments/ATA-2026-Unclassified-Report.pdf</x:v>
      </x:c>
      <x:c r="K884" s="20" t="str">
        <x:v>Primary source-register URL; automated screening score</x:v>
      </x:c>
      <x:c r="L884" s="20" t="str">
        <x:v>2026-05-20</x:v>
      </x:c>
      <x:c r="M884" s="20" t="str">
        <x:v>2026-05-20</x:v>
      </x:c>
      <x:c r="N884" s="20" t="str">
        <x:v>GPT-5.5 Pro</x:v>
      </x:c>
      <x:c r="O884" s="20" t="str">
        <x:v>Needs review</x:v>
      </x:c>
      <x:c r="P884" s="20" t="str">
        <x:v>Screening score for Russia / Election interference in Kyrgyzstan; verify with country-specific evidence before final use.</x:v>
      </x:c>
    </x:row>
    <x:row r="885" ht="24" customHeight="1">
      <x:c r="A885" s="20" t="str">
        <x:v>KGZ|Russia|Security contractors</x:v>
      </x:c>
      <x:c r="B885" s="20" t="str">
        <x:v>Kyrgyzstan</x:v>
      </x:c>
      <x:c r="C885" s="20" t="str">
        <x:v>KGZ</x:v>
      </x:c>
      <x:c r="D885" s="20" t="str">
        <x:v>Russia</x:v>
      </x:c>
      <x:c r="E885" s="20" t="str">
        <x:v>Russian influence</x:v>
      </x:c>
      <x:c r="F885" s="20" t="str">
        <x:v>Security contractors</x:v>
      </x:c>
      <x:c r="G885" s="384" t="n">
        <x:v>0</x:v>
      </x:c>
      <x:c r="H885" s="396" t="n">
        <x:v>1</x:v>
      </x:c>
      <x:c r="I885" s="20" t="str">
        <x:v>Council of the EU/Treasury Wagner-security source register</x:v>
      </x:c>
      <x:c r="J885" s="397" t="str">
        <x:v>https://www.consilium.europa.eu/en/press/press-releases/2023/02/25/wagner-group-council-adds-11-individuals-and-7-entities-to-eu-sanctions-lists/</x:v>
      </x:c>
      <x:c r="K885" s="20" t="str">
        <x:v>Primary source-register URL; automated screening score</x:v>
      </x:c>
      <x:c r="L885" s="20" t="str">
        <x:v>2026-05-20</x:v>
      </x:c>
      <x:c r="M885" s="20" t="str">
        <x:v>2026-05-20</x:v>
      </x:c>
      <x:c r="N885" s="20" t="str">
        <x:v>GPT-5.5 Pro</x:v>
      </x:c>
      <x:c r="O885" s="20" t="str">
        <x:v>Needs review</x:v>
      </x:c>
      <x:c r="P885" s="20" t="str">
        <x:v>Screening score for Russia / Security contractors in Kyrgyzstan; verify with country-specific evidence before final use.</x:v>
      </x:c>
    </x:row>
    <x:row r="886" ht="24" customHeight="1">
      <x:c r="A886" s="20" t="str">
        <x:v>KGZ|China|Propaganda ecosystems</x:v>
      </x:c>
      <x:c r="B886" s="20" t="str">
        <x:v>Kyrgyzstan</x:v>
      </x:c>
      <x:c r="C886" s="20" t="str">
        <x:v>KGZ</x:v>
      </x:c>
      <x:c r="D886" s="20" t="str">
        <x:v>China</x:v>
      </x:c>
      <x:c r="E886" s="20" t="str">
        <x:v>Chinese influence</x:v>
      </x:c>
      <x:c r="F886" s="20" t="str">
        <x:v>Propaganda ecosystems</x:v>
      </x:c>
      <x:c r="G886" s="384" t="n">
        <x:v>5</x:v>
      </x:c>
      <x:c r="H886" s="396" t="n">
        <x:v>3</x:v>
      </x:c>
      <x:c r="I886" s="20" t="str">
        <x:v>EEAS/ODNI China FIMI source register</x:v>
      </x:c>
      <x:c r="J886" s="397" t="str">
        <x:v>https://www.eeas.europa.eu/eeas/4th-eeas-annual-report-foreign-information-manipulation-and-interference-threats_en</x:v>
      </x:c>
      <x:c r="K886" s="20" t="str">
        <x:v>Primary source-register URL; automated screening score</x:v>
      </x:c>
      <x:c r="L886" s="20" t="str">
        <x:v>2026-05-20</x:v>
      </x:c>
      <x:c r="M886" s="20" t="str">
        <x:v>2026-05-20</x:v>
      </x:c>
      <x:c r="N886" s="20" t="str">
        <x:v>GPT-5.5 Pro</x:v>
      </x:c>
      <x:c r="O886" s="20" t="str">
        <x:v>Needs review</x:v>
      </x:c>
      <x:c r="P886" s="20" t="str">
        <x:v>Screening score for China / Propaganda ecosystems in Kyrgyzstan; verify with country-specific evidence before final use.</x:v>
      </x:c>
    </x:row>
    <x:row r="887" ht="24" customHeight="1">
      <x:c r="A887" s="20" t="str">
        <x:v>KGZ|China|PMC presence</x:v>
      </x:c>
      <x:c r="B887" s="20" t="str">
        <x:v>Kyrgyzstan</x:v>
      </x:c>
      <x:c r="C887" s="20" t="str">
        <x:v>KGZ</x:v>
      </x:c>
      <x:c r="D887" s="20" t="str">
        <x:v>China</x:v>
      </x:c>
      <x:c r="E887" s="20" t="str">
        <x:v>Chinese influence</x:v>
      </x:c>
      <x:c r="F887" s="20" t="str">
        <x:v>PMC presence</x:v>
      </x:c>
      <x:c r="G887" s="384" t="n">
        <x:v>1</x:v>
      </x:c>
      <x:c r="H887" s="396" t="n">
        <x:v>2</x:v>
      </x:c>
      <x:c r="I887" s="20" t="str">
        <x:v>MERICS/Carnegie Chinese overseas PSC source register</x:v>
      </x:c>
      <x:c r="J887" s="397" t="str">
        <x:v>https://merics.org/en/report/guardians-belt-and-road</x:v>
      </x:c>
      <x:c r="K887" s="20" t="str">
        <x:v>Primary source-register URL; automated screening score</x:v>
      </x:c>
      <x:c r="L887" s="20" t="str">
        <x:v>2026-05-20</x:v>
      </x:c>
      <x:c r="M887" s="20" t="str">
        <x:v>2026-05-20</x:v>
      </x:c>
      <x:c r="N887" s="20" t="str">
        <x:v>GPT-5.5 Pro</x:v>
      </x:c>
      <x:c r="O887" s="20" t="str">
        <x:v>Needs review</x:v>
      </x:c>
      <x:c r="P887" s="20" t="str">
        <x:v>Screening score for China / PMC presence in Kyrgyzstan; verify with country-specific evidence before final use.</x:v>
      </x:c>
    </x:row>
    <x:row r="888" ht="24" customHeight="1">
      <x:c r="A888" s="20" t="str">
        <x:v>KGZ|China|Election interference</x:v>
      </x:c>
      <x:c r="B888" s="20" t="str">
        <x:v>Kyrgyzstan</x:v>
      </x:c>
      <x:c r="C888" s="20" t="str">
        <x:v>KGZ</x:v>
      </x:c>
      <x:c r="D888" s="20" t="str">
        <x:v>China</x:v>
      </x:c>
      <x:c r="E888" s="20" t="str">
        <x:v>Chinese influence</x:v>
      </x:c>
      <x:c r="F888" s="20" t="str">
        <x:v>Election interference</x:v>
      </x:c>
      <x:c r="G888" s="384" t="n">
        <x:v>1</x:v>
      </x:c>
      <x:c r="H888" s="396" t="n">
        <x:v>2</x:v>
      </x:c>
      <x:c r="I888" s="20" t="str">
        <x:v>EEAS/ODNI China election-FIMI source register</x:v>
      </x:c>
      <x:c r="J888" s="397" t="str">
        <x:v>https://www.eeas.europa.eu/eeas/4th-eeas-annual-report-foreign-information-manipulation-and-interference-threats_en</x:v>
      </x:c>
      <x:c r="K888" s="20" t="str">
        <x:v>Primary source-register URL; automated screening score</x:v>
      </x:c>
      <x:c r="L888" s="20" t="str">
        <x:v>2026-05-20</x:v>
      </x:c>
      <x:c r="M888" s="20" t="str">
        <x:v>2026-05-20</x:v>
      </x:c>
      <x:c r="N888" s="20" t="str">
        <x:v>GPT-5.5 Pro</x:v>
      </x:c>
      <x:c r="O888" s="20" t="str">
        <x:v>Needs review</x:v>
      </x:c>
      <x:c r="P888" s="20" t="str">
        <x:v>Screening score for China / Election interference in Kyrgyzstan; verify with country-specific evidence before final use.</x:v>
      </x:c>
    </x:row>
    <x:row r="889" ht="24" customHeight="1">
      <x:c r="A889" s="20" t="str">
        <x:v>KGZ|China|Security contractors</x:v>
      </x:c>
      <x:c r="B889" s="20" t="str">
        <x:v>Kyrgyzstan</x:v>
      </x:c>
      <x:c r="C889" s="20" t="str">
        <x:v>KGZ</x:v>
      </x:c>
      <x:c r="D889" s="20" t="str">
        <x:v>China</x:v>
      </x:c>
      <x:c r="E889" s="20" t="str">
        <x:v>Chinese influence</x:v>
      </x:c>
      <x:c r="F889" s="20" t="str">
        <x:v>Security contractors</x:v>
      </x:c>
      <x:c r="G889" s="384" t="n">
        <x:v>3</x:v>
      </x:c>
      <x:c r="H889" s="396" t="n">
        <x:v>3</x:v>
      </x:c>
      <x:c r="I889" s="20" t="str">
        <x:v>MERICS/Carnegie Chinese security contractor source register</x:v>
      </x:c>
      <x:c r="J889" s="397" t="str">
        <x:v>https://merics.org/en/report/guardians-belt-and-road</x:v>
      </x:c>
      <x:c r="K889" s="20" t="str">
        <x:v>Primary source-register URL; automated screening score</x:v>
      </x:c>
      <x:c r="L889" s="20" t="str">
        <x:v>2026-05-20</x:v>
      </x:c>
      <x:c r="M889" s="20" t="str">
        <x:v>2026-05-20</x:v>
      </x:c>
      <x:c r="N889" s="20" t="str">
        <x:v>GPT-5.5 Pro</x:v>
      </x:c>
      <x:c r="O889" s="20" t="str">
        <x:v>Needs review</x:v>
      </x:c>
      <x:c r="P889" s="20" t="str">
        <x:v>Screening score for China / Security contractors in Kyrgyzstan; verify with country-specific evidence before final use.</x:v>
      </x:c>
    </x:row>
    <x:row r="890" ht="24" customHeight="1">
      <x:c r="A890" s="20" t="str">
        <x:v>KGZ|United States|Propaganda ecosystems</x:v>
      </x:c>
      <x:c r="B890" s="20" t="str">
        <x:v>Kyrgyzstan</x:v>
      </x:c>
      <x:c r="C890" s="20" t="str">
        <x:v>KGZ</x:v>
      </x:c>
      <x:c r="D890" s="20" t="str">
        <x:v>United States</x:v>
      </x:c>
      <x:c r="E890" s="20" t="str">
        <x:v>American influence</x:v>
      </x:c>
      <x:c r="F890" s="20" t="str">
        <x:v>Propaganda ecosystems</x:v>
      </x:c>
      <x:c r="G890" s="384" t="n">
        <x:v>4</x:v>
      </x:c>
      <x:c r="H890" s="396" t="n">
        <x:v>3</x:v>
      </x:c>
      <x:c r="I890" s="20" t="str">
        <x:v>USAGM public media source register</x:v>
      </x:c>
      <x:c r="J890" s="397" t="str">
        <x:v>https://www.usagm.gov/our-work/strategy-and-results/strategic-priorities/research-reports/</x:v>
      </x:c>
      <x:c r="K890" s="20" t="str">
        <x:v>Primary source-register URL; automated screening score</x:v>
      </x:c>
      <x:c r="L890" s="20" t="str">
        <x:v>2026-05-20</x:v>
      </x:c>
      <x:c r="M890" s="20" t="str">
        <x:v>2026-05-20</x:v>
      </x:c>
      <x:c r="N890" s="20" t="str">
        <x:v>GPT-5.5 Pro</x:v>
      </x:c>
      <x:c r="O890" s="20" t="str">
        <x:v>Needs review</x:v>
      </x:c>
      <x:c r="P890" s="20" t="str">
        <x:v>Screening score for United States / Propaganda ecosystems in Kyrgyzstan; verify with country-specific evidence before final use.</x:v>
      </x:c>
    </x:row>
    <x:row r="891" ht="24" customHeight="1">
      <x:c r="A891" s="20" t="str">
        <x:v>KGZ|United States|PMC presence</x:v>
      </x:c>
      <x:c r="B891" s="20" t="str">
        <x:v>Kyrgyzstan</x:v>
      </x:c>
      <x:c r="C891" s="20" t="str">
        <x:v>KGZ</x:v>
      </x:c>
      <x:c r="D891" s="20" t="str">
        <x:v>United States</x:v>
      </x:c>
      <x:c r="E891" s="20" t="str">
        <x:v>American influence</x:v>
      </x:c>
      <x:c r="F891" s="20" t="str">
        <x:v>PMC presence</x:v>
      </x:c>
      <x:c r="G891" s="384" t="n">
        <x:v>1</x:v>
      </x:c>
      <x:c r="H891" s="396" t="n">
        <x:v>2</x:v>
      </x:c>
      <x:c r="I891" s="20" t="str">
        <x:v>SAM/Greenbook U.S. security assistance contractor source register</x:v>
      </x:c>
      <x:c r="J891" s="397" t="str">
        <x:v>https://internationalpolicy.org/programs/sam/</x:v>
      </x:c>
      <x:c r="K891" s="20" t="str">
        <x:v>Primary source-register URL; automated screening score</x:v>
      </x:c>
      <x:c r="L891" s="20" t="str">
        <x:v>2026-05-20</x:v>
      </x:c>
      <x:c r="M891" s="20" t="str">
        <x:v>2026-05-20</x:v>
      </x:c>
      <x:c r="N891" s="20" t="str">
        <x:v>GPT-5.5 Pro</x:v>
      </x:c>
      <x:c r="O891" s="20" t="str">
        <x:v>Needs review</x:v>
      </x:c>
      <x:c r="P891" s="20" t="str">
        <x:v>Screening score for United States / PMC presence in Kyrgyzstan; verify with country-specific evidence before final use.</x:v>
      </x:c>
    </x:row>
    <x:row r="892" ht="24" customHeight="1">
      <x:c r="A892" s="20" t="str">
        <x:v>KGZ|United States|Election interference</x:v>
      </x:c>
      <x:c r="B892" s="20" t="str">
        <x:v>Kyrgyzstan</x:v>
      </x:c>
      <x:c r="C892" s="20" t="str">
        <x:v>KGZ</x:v>
      </x:c>
      <x:c r="D892" s="20" t="str">
        <x:v>United States</x:v>
      </x:c>
      <x:c r="E892" s="20" t="str">
        <x:v>American influence</x:v>
      </x:c>
      <x:c r="F892" s="20" t="str">
        <x:v>Election interference</x:v>
      </x:c>
      <x:c r="G892" s="384" t="n">
        <x:v>2</x:v>
      </x:c>
      <x:c r="H892" s="396" t="n">
        <x:v>2</x:v>
      </x:c>
      <x:c r="I892" s="20" t="str">
        <x:v>NED/Greenbook democracy assistance source register</x:v>
      </x:c>
      <x:c r="J892" s="397" t="str">
        <x:v>https://www.ned.org/ned-grantmaking/</x:v>
      </x:c>
      <x:c r="K892" s="20" t="str">
        <x:v>Primary source-register URL; automated screening score</x:v>
      </x:c>
      <x:c r="L892" s="20" t="str">
        <x:v>2026-05-20</x:v>
      </x:c>
      <x:c r="M892" s="20" t="str">
        <x:v>2026-05-20</x:v>
      </x:c>
      <x:c r="N892" s="20" t="str">
        <x:v>GPT-5.5 Pro</x:v>
      </x:c>
      <x:c r="O892" s="20" t="str">
        <x:v>Needs review</x:v>
      </x:c>
      <x:c r="P892" s="20" t="str">
        <x:v>Screening score for United States / Election interference in Kyrgyzstan; verify with country-specific evidence before final use.</x:v>
      </x:c>
    </x:row>
    <x:row r="893" ht="24" customHeight="1">
      <x:c r="A893" s="20" t="str">
        <x:v>KGZ|United States|Security contractors</x:v>
      </x:c>
      <x:c r="B893" s="20" t="str">
        <x:v>Kyrgyzstan</x:v>
      </x:c>
      <x:c r="C893" s="20" t="str">
        <x:v>KGZ</x:v>
      </x:c>
      <x:c r="D893" s="20" t="str">
        <x:v>United States</x:v>
      </x:c>
      <x:c r="E893" s="20" t="str">
        <x:v>American influence</x:v>
      </x:c>
      <x:c r="F893" s="20" t="str">
        <x:v>Security contractors</x:v>
      </x:c>
      <x:c r="G893" s="384" t="n">
        <x:v>2</x:v>
      </x:c>
      <x:c r="H893" s="396" t="n">
        <x:v>2</x:v>
      </x:c>
      <x:c r="I893" s="20" t="str">
        <x:v>SAM/Greenbook U.S. security contractor source register</x:v>
      </x:c>
      <x:c r="J893" s="397" t="str">
        <x:v>https://internationalpolicy.org/programs/sam/</x:v>
      </x:c>
      <x:c r="K893" s="20" t="str">
        <x:v>Primary source-register URL; automated screening score</x:v>
      </x:c>
      <x:c r="L893" s="20" t="str">
        <x:v>2026-05-20</x:v>
      </x:c>
      <x:c r="M893" s="20" t="str">
        <x:v>2026-05-20</x:v>
      </x:c>
      <x:c r="N893" s="20" t="str">
        <x:v>GPT-5.5 Pro</x:v>
      </x:c>
      <x:c r="O893" s="20" t="str">
        <x:v>Needs review</x:v>
      </x:c>
      <x:c r="P893" s="20" t="str">
        <x:v>Screening score for United States / Security contractors in Kyrgyzstan; verify with country-specific evidence before final use.</x:v>
      </x:c>
    </x:row>
    <x:row r="894" ht="24" customHeight="1">
      <x:c r="A894" s="20" t="str">
        <x:v>KGZ|European Union|Propaganda ecosystems</x:v>
      </x:c>
      <x:c r="B894" s="20" t="str">
        <x:v>Kyrgyzstan</x:v>
      </x:c>
      <x:c r="C894" s="20" t="str">
        <x:v>KGZ</x:v>
      </x:c>
      <x:c r="D894" s="20" t="str">
        <x:v>European Union</x:v>
      </x:c>
      <x:c r="E894" s="20" t="str">
        <x:v>EU influence</x:v>
      </x:c>
      <x:c r="F894" s="20" t="str">
        <x:v>Propaganda ecosystems</x:v>
      </x:c>
      <x:c r="G894" s="384" t="n">
        <x:v>2</x:v>
      </x:c>
      <x:c r="H894" s="396" t="n">
        <x:v>2</x:v>
      </x:c>
      <x:c r="I894" s="20" t="str">
        <x:v>EEAS public diplomacy source register</x:v>
      </x:c>
      <x:c r="J894" s="397" t="str">
        <x:v>https://www.eeas.europa.eu/eeas/public-diplomacy_en</x:v>
      </x:c>
      <x:c r="K894" s="20" t="str">
        <x:v>Primary source-register URL; automated screening score</x:v>
      </x:c>
      <x:c r="L894" s="20" t="str">
        <x:v>2026-05-20</x:v>
      </x:c>
      <x:c r="M894" s="20" t="str">
        <x:v>2026-05-20</x:v>
      </x:c>
      <x:c r="N894" s="20" t="str">
        <x:v>GPT-5.5 Pro</x:v>
      </x:c>
      <x:c r="O894" s="20" t="str">
        <x:v>Needs review</x:v>
      </x:c>
      <x:c r="P894" s="20" t="str">
        <x:v>Screening score for European Union / Propaganda ecosystems in Kyrgyzstan; verify with country-specific evidence before final use.</x:v>
      </x:c>
    </x:row>
    <x:row r="895" ht="24" customHeight="1">
      <x:c r="A895" s="20" t="str">
        <x:v>KGZ|European Union|PMC presence</x:v>
      </x:c>
      <x:c r="B895" s="20" t="str">
        <x:v>Kyrgyzstan</x:v>
      </x:c>
      <x:c r="C895" s="20" t="str">
        <x:v>KGZ</x:v>
      </x:c>
      <x:c r="D895" s="20" t="str">
        <x:v>European Union</x:v>
      </x:c>
      <x:c r="E895" s="20" t="str">
        <x:v>EU influence</x:v>
      </x:c>
      <x:c r="F895" s="20" t="str">
        <x:v>PMC presence</x:v>
      </x:c>
      <x:c r="G895" s="384" t="n">
        <x:v>0</x:v>
      </x:c>
      <x:c r="H895" s="396" t="n">
        <x:v>1</x:v>
      </x:c>
      <x:c r="I895" s="20" t="str">
        <x:v>EEAS CSDP missions source register</x:v>
      </x:c>
      <x:c r="J895" s="397" t="str">
        <x:v>https://www.eeas.europa.eu/eeas/missions-and-operations_en</x:v>
      </x:c>
      <x:c r="K895" s="20" t="str">
        <x:v>Primary source-register URL; automated screening score</x:v>
      </x:c>
      <x:c r="L895" s="20" t="str">
        <x:v>2026-05-20</x:v>
      </x:c>
      <x:c r="M895" s="20" t="str">
        <x:v>2026-05-20</x:v>
      </x:c>
      <x:c r="N895" s="20" t="str">
        <x:v>GPT-5.5 Pro</x:v>
      </x:c>
      <x:c r="O895" s="20" t="str">
        <x:v>Needs review</x:v>
      </x:c>
      <x:c r="P895" s="20" t="str">
        <x:v>Screening score for European Union / PMC presence in Kyrgyzstan; verify with country-specific evidence before final use.</x:v>
      </x:c>
    </x:row>
    <x:row r="896" ht="24" customHeight="1">
      <x:c r="A896" s="20" t="str">
        <x:v>KGZ|European Union|Election interference</x:v>
      </x:c>
      <x:c r="B896" s="20" t="str">
        <x:v>Kyrgyzstan</x:v>
      </x:c>
      <x:c r="C896" s="20" t="str">
        <x:v>KGZ</x:v>
      </x:c>
      <x:c r="D896" s="20" t="str">
        <x:v>European Union</x:v>
      </x:c>
      <x:c r="E896" s="20" t="str">
        <x:v>EU influence</x:v>
      </x:c>
      <x:c r="F896" s="20" t="str">
        <x:v>Election interference</x:v>
      </x:c>
      <x:c r="G896" s="384" t="n">
        <x:v>1</x:v>
      </x:c>
      <x:c r="H896" s="396" t="n">
        <x:v>2</x:v>
      </x:c>
      <x:c r="I896" s="20" t="str">
        <x:v>EEAS EU election observation source register</x:v>
      </x:c>
      <x:c r="J896" s="397" t="str">
        <x:v>https://www.eeas.europa.eu/eeas/eu-election-observation-missions-1_en?page_lang=en</x:v>
      </x:c>
      <x:c r="K896" s="20" t="str">
        <x:v>Primary source-register URL; automated screening score</x:v>
      </x:c>
      <x:c r="L896" s="20" t="str">
        <x:v>2026-05-20</x:v>
      </x:c>
      <x:c r="M896" s="20" t="str">
        <x:v>2026-05-20</x:v>
      </x:c>
      <x:c r="N896" s="20" t="str">
        <x:v>GPT-5.5 Pro</x:v>
      </x:c>
      <x:c r="O896" s="20" t="str">
        <x:v>Needs review</x:v>
      </x:c>
      <x:c r="P896" s="20" t="str">
        <x:v>Screening score for European Union / Election interference in Kyrgyzstan; verify with country-specific evidence before final use.</x:v>
      </x:c>
    </x:row>
    <x:row r="897" ht="24" customHeight="1">
      <x:c r="A897" s="20" t="str">
        <x:v>KGZ|European Union|Security contractors</x:v>
      </x:c>
      <x:c r="B897" s="20" t="str">
        <x:v>Kyrgyzstan</x:v>
      </x:c>
      <x:c r="C897" s="20" t="str">
        <x:v>KGZ</x:v>
      </x:c>
      <x:c r="D897" s="20" t="str">
        <x:v>European Union</x:v>
      </x:c>
      <x:c r="E897" s="20" t="str">
        <x:v>EU influence</x:v>
      </x:c>
      <x:c r="F897" s="20" t="str">
        <x:v>Security contractors</x:v>
      </x:c>
      <x:c r="G897" s="384" t="n">
        <x:v>2</x:v>
      </x:c>
      <x:c r="H897" s="396" t="n">
        <x:v>2</x:v>
      </x:c>
      <x:c r="I897" s="20" t="str">
        <x:v>EEAS CSDP / Global Gateway security source register</x:v>
      </x:c>
      <x:c r="J897" s="397" t="str">
        <x:v>https://www.eeas.europa.eu/eeas/missions-and-operations_en</x:v>
      </x:c>
      <x:c r="K897" s="20" t="str">
        <x:v>Primary source-register URL; automated screening score</x:v>
      </x:c>
      <x:c r="L897" s="20" t="str">
        <x:v>2026-05-20</x:v>
      </x:c>
      <x:c r="M897" s="20" t="str">
        <x:v>2026-05-20</x:v>
      </x:c>
      <x:c r="N897" s="20" t="str">
        <x:v>GPT-5.5 Pro</x:v>
      </x:c>
      <x:c r="O897" s="20" t="str">
        <x:v>Needs review</x:v>
      </x:c>
      <x:c r="P897" s="20" t="str">
        <x:v>Screening score for European Union / Security contractors in Kyrgyzstan; verify with country-specific evidence before final use.</x:v>
      </x:c>
    </x:row>
    <x:row r="898" ht="24" customHeight="1">
      <x:c r="A898" s="20" t="str">
        <x:v>LVA|Russia|Propaganda ecosystems</x:v>
      </x:c>
      <x:c r="B898" s="20" t="str">
        <x:v>Latvia</x:v>
      </x:c>
      <x:c r="C898" s="20" t="str">
        <x:v>LVA</x:v>
      </x:c>
      <x:c r="D898" s="20" t="str">
        <x:v>Russia</x:v>
      </x:c>
      <x:c r="E898" s="20" t="str">
        <x:v>Russian influence</x:v>
      </x:c>
      <x:c r="F898" s="20" t="str">
        <x:v>Propaganda ecosystems</x:v>
      </x:c>
      <x:c r="G898" s="384" t="n">
        <x:v>7</x:v>
      </x:c>
      <x:c r="H898" s="396" t="n">
        <x:v>4</x:v>
      </x:c>
      <x:c r="I898" s="20" t="str">
        <x:v>EEAS/EUvsDisinfo FIMI source register</x:v>
      </x:c>
      <x:c r="J898" s="397" t="str">
        <x:v>https://www.eeas.europa.eu/eeas/4th-eeas-annual-report-foreign-information-manipulation-and-interference-threats_en</x:v>
      </x:c>
      <x:c r="K898" s="20" t="str">
        <x:v>Primary source-register URL; automated screening score</x:v>
      </x:c>
      <x:c r="L898" s="20" t="str">
        <x:v>2026-05-20</x:v>
      </x:c>
      <x:c r="M898" s="20" t="str">
        <x:v>2026-05-20</x:v>
      </x:c>
      <x:c r="N898" s="20" t="str">
        <x:v>GPT-5.5 Pro</x:v>
      </x:c>
      <x:c r="O898" s="20" t="str">
        <x:v>Needs review</x:v>
      </x:c>
      <x:c r="P898" s="20" t="str">
        <x:v>Screening score for Russia / Propaganda ecosystems in Latvia; verify with country-specific evidence before final use.</x:v>
      </x:c>
    </x:row>
    <x:row r="899" ht="24" customHeight="1">
      <x:c r="A899" s="20" t="str">
        <x:v>LVA|Russia|PMC presence</x:v>
      </x:c>
      <x:c r="B899" s="20" t="str">
        <x:v>Latvia</x:v>
      </x:c>
      <x:c r="C899" s="20" t="str">
        <x:v>LVA</x:v>
      </x:c>
      <x:c r="D899" s="20" t="str">
        <x:v>Russia</x:v>
      </x:c>
      <x:c r="E899" s="20" t="str">
        <x:v>Russian influence</x:v>
      </x:c>
      <x:c r="F899" s="20" t="str">
        <x:v>PMC presence</x:v>
      </x:c>
      <x:c r="G899" s="384" t="n">
        <x:v>0</x:v>
      </x:c>
      <x:c r="H899" s="396" t="n">
        <x:v>1</x:v>
      </x:c>
      <x:c r="I899" s="20" t="str">
        <x:v>Treasury and Council of the EU Wagner/PMC source register</x:v>
      </x:c>
      <x:c r="J899" s="397" t="str">
        <x:v>https://www.consilium.europa.eu/en/press/press-releases/2023/02/25/wagner-group-council-adds-11-individuals-and-7-entities-to-eu-sanctions-lists/</x:v>
      </x:c>
      <x:c r="K899" s="20" t="str">
        <x:v>Primary source-register URL; automated screening score</x:v>
      </x:c>
      <x:c r="L899" s="20" t="str">
        <x:v>2026-05-20</x:v>
      </x:c>
      <x:c r="M899" s="20" t="str">
        <x:v>2026-05-20</x:v>
      </x:c>
      <x:c r="N899" s="20" t="str">
        <x:v>GPT-5.5 Pro</x:v>
      </x:c>
      <x:c r="O899" s="20" t="str">
        <x:v>Needs review</x:v>
      </x:c>
      <x:c r="P899" s="20" t="str">
        <x:v>Screening score for Russia / PMC presence in Latvia; verify with country-specific evidence before final use.</x:v>
      </x:c>
    </x:row>
    <x:row r="900" ht="24" customHeight="1">
      <x:c r="A900" s="20" t="str">
        <x:v>LVA|Russia|Election interference</x:v>
      </x:c>
      <x:c r="B900" s="20" t="str">
        <x:v>Latvia</x:v>
      </x:c>
      <x:c r="C900" s="20" t="str">
        <x:v>LVA</x:v>
      </x:c>
      <x:c r="D900" s="20" t="str">
        <x:v>Russia</x:v>
      </x:c>
      <x:c r="E900" s="20" t="str">
        <x:v>Russian influence</x:v>
      </x:c>
      <x:c r="F900" s="20" t="str">
        <x:v>Election interference</x:v>
      </x:c>
      <x:c r="G900" s="384" t="n">
        <x:v>6</x:v>
      </x:c>
      <x:c r="H900" s="396" t="n">
        <x:v>4</x:v>
      </x:c>
      <x:c r="I900" s="20" t="str">
        <x:v>ODNI/EEAS election-FIMI source register</x:v>
      </x:c>
      <x:c r="J900" s="397" t="str">
        <x:v>https://www.dni.gov/files/ODNI/documents/assessments/ATA-2026-Unclassified-Report.pdf</x:v>
      </x:c>
      <x:c r="K900" s="20" t="str">
        <x:v>Primary source-register URL; automated screening score</x:v>
      </x:c>
      <x:c r="L900" s="20" t="str">
        <x:v>2026-05-20</x:v>
      </x:c>
      <x:c r="M900" s="20" t="str">
        <x:v>2026-05-20</x:v>
      </x:c>
      <x:c r="N900" s="20" t="str">
        <x:v>GPT-5.5 Pro</x:v>
      </x:c>
      <x:c r="O900" s="20" t="str">
        <x:v>Needs review</x:v>
      </x:c>
      <x:c r="P900" s="20" t="str">
        <x:v>Screening score for Russia / Election interference in Latvia; verify with country-specific evidence before final use.</x:v>
      </x:c>
    </x:row>
    <x:row r="901" ht="24" customHeight="1">
      <x:c r="A901" s="20" t="str">
        <x:v>LVA|Russia|Security contractors</x:v>
      </x:c>
      <x:c r="B901" s="20" t="str">
        <x:v>Latvia</x:v>
      </x:c>
      <x:c r="C901" s="20" t="str">
        <x:v>LVA</x:v>
      </x:c>
      <x:c r="D901" s="20" t="str">
        <x:v>Russia</x:v>
      </x:c>
      <x:c r="E901" s="20" t="str">
        <x:v>Russian influence</x:v>
      </x:c>
      <x:c r="F901" s="20" t="str">
        <x:v>Security contractors</x:v>
      </x:c>
      <x:c r="G901" s="384" t="n">
        <x:v>0</x:v>
      </x:c>
      <x:c r="H901" s="396" t="n">
        <x:v>1</x:v>
      </x:c>
      <x:c r="I901" s="20" t="str">
        <x:v>Council of the EU/Treasury Wagner-security source register</x:v>
      </x:c>
      <x:c r="J901" s="397" t="str">
        <x:v>https://www.consilium.europa.eu/en/press/press-releases/2023/02/25/wagner-group-council-adds-11-individuals-and-7-entities-to-eu-sanctions-lists/</x:v>
      </x:c>
      <x:c r="K901" s="20" t="str">
        <x:v>Primary source-register URL; automated screening score</x:v>
      </x:c>
      <x:c r="L901" s="20" t="str">
        <x:v>2026-05-20</x:v>
      </x:c>
      <x:c r="M901" s="20" t="str">
        <x:v>2026-05-20</x:v>
      </x:c>
      <x:c r="N901" s="20" t="str">
        <x:v>GPT-5.5 Pro</x:v>
      </x:c>
      <x:c r="O901" s="20" t="str">
        <x:v>Needs review</x:v>
      </x:c>
      <x:c r="P901" s="20" t="str">
        <x:v>Screening score for Russia / Security contractors in Latvia; verify with country-specific evidence before final use.</x:v>
      </x:c>
    </x:row>
    <x:row r="902" ht="24" customHeight="1">
      <x:c r="A902" s="20" t="str">
        <x:v>LVA|China|Propaganda ecosystems</x:v>
      </x:c>
      <x:c r="B902" s="20" t="str">
        <x:v>Latvia</x:v>
      </x:c>
      <x:c r="C902" s="20" t="str">
        <x:v>LVA</x:v>
      </x:c>
      <x:c r="D902" s="20" t="str">
        <x:v>China</x:v>
      </x:c>
      <x:c r="E902" s="20" t="str">
        <x:v>Chinese influence</x:v>
      </x:c>
      <x:c r="F902" s="20" t="str">
        <x:v>Propaganda ecosystems</x:v>
      </x:c>
      <x:c r="G902" s="384" t="n">
        <x:v>4</x:v>
      </x:c>
      <x:c r="H902" s="396" t="n">
        <x:v>3</x:v>
      </x:c>
      <x:c r="I902" s="20" t="str">
        <x:v>EEAS/ODNI China FIMI source register</x:v>
      </x:c>
      <x:c r="J902" s="397" t="str">
        <x:v>https://www.eeas.europa.eu/eeas/4th-eeas-annual-report-foreign-information-manipulation-and-interference-threats_en</x:v>
      </x:c>
      <x:c r="K902" s="20" t="str">
        <x:v>Primary source-register URL; automated screening score</x:v>
      </x:c>
      <x:c r="L902" s="20" t="str">
        <x:v>2026-05-20</x:v>
      </x:c>
      <x:c r="M902" s="20" t="str">
        <x:v>2026-05-20</x:v>
      </x:c>
      <x:c r="N902" s="20" t="str">
        <x:v>GPT-5.5 Pro</x:v>
      </x:c>
      <x:c r="O902" s="20" t="str">
        <x:v>Needs review</x:v>
      </x:c>
      <x:c r="P902" s="20" t="str">
        <x:v>Screening score for China / Propaganda ecosystems in Latvia; verify with country-specific evidence before final use.</x:v>
      </x:c>
    </x:row>
    <x:row r="903" ht="24" customHeight="1">
      <x:c r="A903" s="20" t="str">
        <x:v>LVA|China|PMC presence</x:v>
      </x:c>
      <x:c r="B903" s="20" t="str">
        <x:v>Latvia</x:v>
      </x:c>
      <x:c r="C903" s="20" t="str">
        <x:v>LVA</x:v>
      </x:c>
      <x:c r="D903" s="20" t="str">
        <x:v>China</x:v>
      </x:c>
      <x:c r="E903" s="20" t="str">
        <x:v>Chinese influence</x:v>
      </x:c>
      <x:c r="F903" s="20" t="str">
        <x:v>PMC presence</x:v>
      </x:c>
      <x:c r="G903" s="384" t="n">
        <x:v>0</x:v>
      </x:c>
      <x:c r="H903" s="396" t="n">
        <x:v>1</x:v>
      </x:c>
      <x:c r="I903" s="20" t="str">
        <x:v>MERICS/Carnegie Chinese overseas PSC source register</x:v>
      </x:c>
      <x:c r="J903" s="397" t="str">
        <x:v>https://merics.org/en/report/guardians-belt-and-road</x:v>
      </x:c>
      <x:c r="K903" s="20" t="str">
        <x:v>Primary source-register URL; automated screening score</x:v>
      </x:c>
      <x:c r="L903" s="20" t="str">
        <x:v>2026-05-20</x:v>
      </x:c>
      <x:c r="M903" s="20" t="str">
        <x:v>2026-05-20</x:v>
      </x:c>
      <x:c r="N903" s="20" t="str">
        <x:v>GPT-5.5 Pro</x:v>
      </x:c>
      <x:c r="O903" s="20" t="str">
        <x:v>Needs review</x:v>
      </x:c>
      <x:c r="P903" s="20" t="str">
        <x:v>Screening score for China / PMC presence in Latvia; verify with country-specific evidence before final use.</x:v>
      </x:c>
    </x:row>
    <x:row r="904" ht="24" customHeight="1">
      <x:c r="A904" s="20" t="str">
        <x:v>LVA|China|Election interference</x:v>
      </x:c>
      <x:c r="B904" s="20" t="str">
        <x:v>Latvia</x:v>
      </x:c>
      <x:c r="C904" s="20" t="str">
        <x:v>LVA</x:v>
      </x:c>
      <x:c r="D904" s="20" t="str">
        <x:v>China</x:v>
      </x:c>
      <x:c r="E904" s="20" t="str">
        <x:v>Chinese influence</x:v>
      </x:c>
      <x:c r="F904" s="20" t="str">
        <x:v>Election interference</x:v>
      </x:c>
      <x:c r="G904" s="384" t="n">
        <x:v>2</x:v>
      </x:c>
      <x:c r="H904" s="396" t="n">
        <x:v>2</x:v>
      </x:c>
      <x:c r="I904" s="20" t="str">
        <x:v>EEAS/ODNI China election-FIMI source register</x:v>
      </x:c>
      <x:c r="J904" s="397" t="str">
        <x:v>https://www.eeas.europa.eu/eeas/4th-eeas-annual-report-foreign-information-manipulation-and-interference-threats_en</x:v>
      </x:c>
      <x:c r="K904" s="20" t="str">
        <x:v>Primary source-register URL; automated screening score</x:v>
      </x:c>
      <x:c r="L904" s="20" t="str">
        <x:v>2026-05-20</x:v>
      </x:c>
      <x:c r="M904" s="20" t="str">
        <x:v>2026-05-20</x:v>
      </x:c>
      <x:c r="N904" s="20" t="str">
        <x:v>GPT-5.5 Pro</x:v>
      </x:c>
      <x:c r="O904" s="20" t="str">
        <x:v>Needs review</x:v>
      </x:c>
      <x:c r="P904" s="20" t="str">
        <x:v>Screening score for China / Election interference in Latvia; verify with country-specific evidence before final use.</x:v>
      </x:c>
    </x:row>
    <x:row r="905" ht="24" customHeight="1">
      <x:c r="A905" s="20" t="str">
        <x:v>LVA|China|Security contractors</x:v>
      </x:c>
      <x:c r="B905" s="20" t="str">
        <x:v>Latvia</x:v>
      </x:c>
      <x:c r="C905" s="20" t="str">
        <x:v>LVA</x:v>
      </x:c>
      <x:c r="D905" s="20" t="str">
        <x:v>China</x:v>
      </x:c>
      <x:c r="E905" s="20" t="str">
        <x:v>Chinese influence</x:v>
      </x:c>
      <x:c r="F905" s="20" t="str">
        <x:v>Security contractors</x:v>
      </x:c>
      <x:c r="G905" s="384" t="n">
        <x:v>0</x:v>
      </x:c>
      <x:c r="H905" s="396" t="n">
        <x:v>1</x:v>
      </x:c>
      <x:c r="I905" s="20" t="str">
        <x:v>MERICS/Carnegie Chinese security contractor source register</x:v>
      </x:c>
      <x:c r="J905" s="397" t="str">
        <x:v>https://merics.org/en/report/guardians-belt-and-road</x:v>
      </x:c>
      <x:c r="K905" s="20" t="str">
        <x:v>Primary source-register URL; automated screening score</x:v>
      </x:c>
      <x:c r="L905" s="20" t="str">
        <x:v>2026-05-20</x:v>
      </x:c>
      <x:c r="M905" s="20" t="str">
        <x:v>2026-05-20</x:v>
      </x:c>
      <x:c r="N905" s="20" t="str">
        <x:v>GPT-5.5 Pro</x:v>
      </x:c>
      <x:c r="O905" s="20" t="str">
        <x:v>Needs review</x:v>
      </x:c>
      <x:c r="P905" s="20" t="str">
        <x:v>Screening score for China / Security contractors in Latvia; verify with country-specific evidence before final use.</x:v>
      </x:c>
    </x:row>
    <x:row r="906" ht="24" customHeight="1">
      <x:c r="A906" s="20" t="str">
        <x:v>LVA|United States|Propaganda ecosystems</x:v>
      </x:c>
      <x:c r="B906" s="20" t="str">
        <x:v>Latvia</x:v>
      </x:c>
      <x:c r="C906" s="20" t="str">
        <x:v>LVA</x:v>
      </x:c>
      <x:c r="D906" s="20" t="str">
        <x:v>United States</x:v>
      </x:c>
      <x:c r="E906" s="20" t="str">
        <x:v>American influence</x:v>
      </x:c>
      <x:c r="F906" s="20" t="str">
        <x:v>Propaganda ecosystems</x:v>
      </x:c>
      <x:c r="G906" s="384" t="n">
        <x:v>4</x:v>
      </x:c>
      <x:c r="H906" s="396" t="n">
        <x:v>3</x:v>
      </x:c>
      <x:c r="I906" s="20" t="str">
        <x:v>USAGM public media source register</x:v>
      </x:c>
      <x:c r="J906" s="397" t="str">
        <x:v>https://www.usagm.gov/our-work/strategy-and-results/strategic-priorities/research-reports/</x:v>
      </x:c>
      <x:c r="K906" s="20" t="str">
        <x:v>Primary source-register URL; automated screening score</x:v>
      </x:c>
      <x:c r="L906" s="20" t="str">
        <x:v>2026-05-20</x:v>
      </x:c>
      <x:c r="M906" s="20" t="str">
        <x:v>2026-05-20</x:v>
      </x:c>
      <x:c r="N906" s="20" t="str">
        <x:v>GPT-5.5 Pro</x:v>
      </x:c>
      <x:c r="O906" s="20" t="str">
        <x:v>Needs review</x:v>
      </x:c>
      <x:c r="P906" s="20" t="str">
        <x:v>Screening score for United States / Propaganda ecosystems in Latvia; verify with country-specific evidence before final use.</x:v>
      </x:c>
    </x:row>
    <x:row r="907" ht="24" customHeight="1">
      <x:c r="A907" s="20" t="str">
        <x:v>LVA|United States|PMC presence</x:v>
      </x:c>
      <x:c r="B907" s="20" t="str">
        <x:v>Latvia</x:v>
      </x:c>
      <x:c r="C907" s="20" t="str">
        <x:v>LVA</x:v>
      </x:c>
      <x:c r="D907" s="20" t="str">
        <x:v>United States</x:v>
      </x:c>
      <x:c r="E907" s="20" t="str">
        <x:v>American influence</x:v>
      </x:c>
      <x:c r="F907" s="20" t="str">
        <x:v>PMC presence</x:v>
      </x:c>
      <x:c r="G907" s="384" t="n">
        <x:v>3</x:v>
      </x:c>
      <x:c r="H907" s="396" t="n">
        <x:v>3</x:v>
      </x:c>
      <x:c r="I907" s="20" t="str">
        <x:v>SAM/Greenbook U.S. security assistance contractor source register</x:v>
      </x:c>
      <x:c r="J907" s="397" t="str">
        <x:v>https://internationalpolicy.org/programs/sam/</x:v>
      </x:c>
      <x:c r="K907" s="20" t="str">
        <x:v>Primary source-register URL; automated screening score</x:v>
      </x:c>
      <x:c r="L907" s="20" t="str">
        <x:v>2026-05-20</x:v>
      </x:c>
      <x:c r="M907" s="20" t="str">
        <x:v>2026-05-20</x:v>
      </x:c>
      <x:c r="N907" s="20" t="str">
        <x:v>GPT-5.5 Pro</x:v>
      </x:c>
      <x:c r="O907" s="20" t="str">
        <x:v>Needs review</x:v>
      </x:c>
      <x:c r="P907" s="20" t="str">
        <x:v>Screening score for United States / PMC presence in Latvia; verify with country-specific evidence before final use.</x:v>
      </x:c>
    </x:row>
    <x:row r="908" ht="24" customHeight="1">
      <x:c r="A908" s="20" t="str">
        <x:v>LVA|United States|Election interference</x:v>
      </x:c>
      <x:c r="B908" s="20" t="str">
        <x:v>Latvia</x:v>
      </x:c>
      <x:c r="C908" s="20" t="str">
        <x:v>LVA</x:v>
      </x:c>
      <x:c r="D908" s="20" t="str">
        <x:v>United States</x:v>
      </x:c>
      <x:c r="E908" s="20" t="str">
        <x:v>American influence</x:v>
      </x:c>
      <x:c r="F908" s="20" t="str">
        <x:v>Election interference</x:v>
      </x:c>
      <x:c r="G908" s="384" t="n">
        <x:v>1</x:v>
      </x:c>
      <x:c r="H908" s="396" t="n">
        <x:v>2</x:v>
      </x:c>
      <x:c r="I908" s="20" t="str">
        <x:v>NED/Greenbook democracy assistance source register</x:v>
      </x:c>
      <x:c r="J908" s="397" t="str">
        <x:v>https://www.ned.org/ned-grantmaking/</x:v>
      </x:c>
      <x:c r="K908" s="20" t="str">
        <x:v>Primary source-register URL; automated screening score</x:v>
      </x:c>
      <x:c r="L908" s="20" t="str">
        <x:v>2026-05-20</x:v>
      </x:c>
      <x:c r="M908" s="20" t="str">
        <x:v>2026-05-20</x:v>
      </x:c>
      <x:c r="N908" s="20" t="str">
        <x:v>GPT-5.5 Pro</x:v>
      </x:c>
      <x:c r="O908" s="20" t="str">
        <x:v>Needs review</x:v>
      </x:c>
      <x:c r="P908" s="20" t="str">
        <x:v>Screening score for United States / Election interference in Latvia; verify with country-specific evidence before final use.</x:v>
      </x:c>
    </x:row>
    <x:row r="909" ht="24" customHeight="1">
      <x:c r="A909" s="20" t="str">
        <x:v>LVA|United States|Security contractors</x:v>
      </x:c>
      <x:c r="B909" s="20" t="str">
        <x:v>Latvia</x:v>
      </x:c>
      <x:c r="C909" s="20" t="str">
        <x:v>LVA</x:v>
      </x:c>
      <x:c r="D909" s="20" t="str">
        <x:v>United States</x:v>
      </x:c>
      <x:c r="E909" s="20" t="str">
        <x:v>American influence</x:v>
      </x:c>
      <x:c r="F909" s="20" t="str">
        <x:v>Security contractors</x:v>
      </x:c>
      <x:c r="G909" s="384" t="n">
        <x:v>6</x:v>
      </x:c>
      <x:c r="H909" s="396" t="n">
        <x:v>4</x:v>
      </x:c>
      <x:c r="I909" s="20" t="str">
        <x:v>SAM/Greenbook U.S. security contractor source register</x:v>
      </x:c>
      <x:c r="J909" s="397" t="str">
        <x:v>https://internationalpolicy.org/programs/sam/</x:v>
      </x:c>
      <x:c r="K909" s="20" t="str">
        <x:v>Primary source-register URL; automated screening score</x:v>
      </x:c>
      <x:c r="L909" s="20" t="str">
        <x:v>2026-05-20</x:v>
      </x:c>
      <x:c r="M909" s="20" t="str">
        <x:v>2026-05-20</x:v>
      </x:c>
      <x:c r="N909" s="20" t="str">
        <x:v>GPT-5.5 Pro</x:v>
      </x:c>
      <x:c r="O909" s="20" t="str">
        <x:v>Needs review</x:v>
      </x:c>
      <x:c r="P909" s="20" t="str">
        <x:v>Screening score for United States / Security contractors in Latvia; verify with country-specific evidence before final use.</x:v>
      </x:c>
    </x:row>
    <x:row r="910" ht="24" customHeight="1">
      <x:c r="A910" s="20" t="str">
        <x:v>LVA|European Union|Propaganda ecosystems</x:v>
      </x:c>
      <x:c r="B910" s="20" t="str">
        <x:v>Latvia</x:v>
      </x:c>
      <x:c r="C910" s="20" t="str">
        <x:v>LVA</x:v>
      </x:c>
      <x:c r="D910" s="20" t="str">
        <x:v>European Union</x:v>
      </x:c>
      <x:c r="E910" s="20" t="str">
        <x:v>EU influence</x:v>
      </x:c>
      <x:c r="F910" s="20" t="str">
        <x:v>Propaganda ecosystems</x:v>
      </x:c>
      <x:c r="G910" s="384" t="n">
        <x:v>9</x:v>
      </x:c>
      <x:c r="H910" s="396" t="n">
        <x:v>5</x:v>
      </x:c>
      <x:c r="I910" s="20" t="str">
        <x:v>EEAS public diplomacy source register</x:v>
      </x:c>
      <x:c r="J910" s="397" t="str">
        <x:v>https://www.eeas.europa.eu/eeas/public-diplomacy_en</x:v>
      </x:c>
      <x:c r="K910" s="20" t="str">
        <x:v>Primary source-register URL; automated screening score</x:v>
      </x:c>
      <x:c r="L910" s="20" t="str">
        <x:v>2026-05-20</x:v>
      </x:c>
      <x:c r="M910" s="20" t="str">
        <x:v>2026-05-20</x:v>
      </x:c>
      <x:c r="N910" s="20" t="str">
        <x:v>GPT-5.5 Pro</x:v>
      </x:c>
      <x:c r="O910" s="20" t="str">
        <x:v>Needs review</x:v>
      </x:c>
      <x:c r="P910" s="20" t="str">
        <x:v>Screening score for European Union / Propaganda ecosystems in Latvia; verify with country-specific evidence before final use.</x:v>
      </x:c>
    </x:row>
    <x:row r="911" ht="24" customHeight="1">
      <x:c r="A911" s="20" t="str">
        <x:v>LVA|European Union|PMC presence</x:v>
      </x:c>
      <x:c r="B911" s="20" t="str">
        <x:v>Latvia</x:v>
      </x:c>
      <x:c r="C911" s="20" t="str">
        <x:v>LVA</x:v>
      </x:c>
      <x:c r="D911" s="20" t="str">
        <x:v>European Union</x:v>
      </x:c>
      <x:c r="E911" s="20" t="str">
        <x:v>EU influence</x:v>
      </x:c>
      <x:c r="F911" s="20" t="str">
        <x:v>PMC presence</x:v>
      </x:c>
      <x:c r="G911" s="384" t="n">
        <x:v>0</x:v>
      </x:c>
      <x:c r="H911" s="396" t="n">
        <x:v>1</x:v>
      </x:c>
      <x:c r="I911" s="20" t="str">
        <x:v>EEAS CSDP missions source register</x:v>
      </x:c>
      <x:c r="J911" s="397" t="str">
        <x:v>https://www.eeas.europa.eu/eeas/missions-and-operations_en</x:v>
      </x:c>
      <x:c r="K911" s="20" t="str">
        <x:v>Primary source-register URL; automated screening score</x:v>
      </x:c>
      <x:c r="L911" s="20" t="str">
        <x:v>2026-05-20</x:v>
      </x:c>
      <x:c r="M911" s="20" t="str">
        <x:v>2026-05-20</x:v>
      </x:c>
      <x:c r="N911" s="20" t="str">
        <x:v>GPT-5.5 Pro</x:v>
      </x:c>
      <x:c r="O911" s="20" t="str">
        <x:v>Needs review</x:v>
      </x:c>
      <x:c r="P911" s="20" t="str">
        <x:v>Screening score for European Union / PMC presence in Latvia; verify with country-specific evidence before final use.</x:v>
      </x:c>
    </x:row>
    <x:row r="912" ht="24" customHeight="1">
      <x:c r="A912" s="20" t="str">
        <x:v>LVA|European Union|Election interference</x:v>
      </x:c>
      <x:c r="B912" s="20" t="str">
        <x:v>Latvia</x:v>
      </x:c>
      <x:c r="C912" s="20" t="str">
        <x:v>LVA</x:v>
      </x:c>
      <x:c r="D912" s="20" t="str">
        <x:v>European Union</x:v>
      </x:c>
      <x:c r="E912" s="20" t="str">
        <x:v>EU influence</x:v>
      </x:c>
      <x:c r="F912" s="20" t="str">
        <x:v>Election interference</x:v>
      </x:c>
      <x:c r="G912" s="384" t="n">
        <x:v>2</x:v>
      </x:c>
      <x:c r="H912" s="396" t="n">
        <x:v>2</x:v>
      </x:c>
      <x:c r="I912" s="20" t="str">
        <x:v>EEAS EU election observation source register</x:v>
      </x:c>
      <x:c r="J912" s="397" t="str">
        <x:v>https://www.eeas.europa.eu/eeas/eu-election-observation-missions-1_en?page_lang=en</x:v>
      </x:c>
      <x:c r="K912" s="20" t="str">
        <x:v>Primary source-register URL; automated screening score</x:v>
      </x:c>
      <x:c r="L912" s="20" t="str">
        <x:v>2026-05-20</x:v>
      </x:c>
      <x:c r="M912" s="20" t="str">
        <x:v>2026-05-20</x:v>
      </x:c>
      <x:c r="N912" s="20" t="str">
        <x:v>GPT-5.5 Pro</x:v>
      </x:c>
      <x:c r="O912" s="20" t="str">
        <x:v>Needs review</x:v>
      </x:c>
      <x:c r="P912" s="20" t="str">
        <x:v>Screening score for European Union / Election interference in Latvia; verify with country-specific evidence before final use.</x:v>
      </x:c>
    </x:row>
    <x:row r="913" ht="24" customHeight="1">
      <x:c r="A913" s="20" t="str">
        <x:v>LVA|European Union|Security contractors</x:v>
      </x:c>
      <x:c r="B913" s="20" t="str">
        <x:v>Latvia</x:v>
      </x:c>
      <x:c r="C913" s="20" t="str">
        <x:v>LVA</x:v>
      </x:c>
      <x:c r="D913" s="20" t="str">
        <x:v>European Union</x:v>
      </x:c>
      <x:c r="E913" s="20" t="str">
        <x:v>EU influence</x:v>
      </x:c>
      <x:c r="F913" s="20" t="str">
        <x:v>Security contractors</x:v>
      </x:c>
      <x:c r="G913" s="384" t="n">
        <x:v>5</x:v>
      </x:c>
      <x:c r="H913" s="396" t="n">
        <x:v>3</x:v>
      </x:c>
      <x:c r="I913" s="20" t="str">
        <x:v>EEAS CSDP / Global Gateway security source register</x:v>
      </x:c>
      <x:c r="J913" s="397" t="str">
        <x:v>https://www.eeas.europa.eu/eeas/missions-and-operations_en</x:v>
      </x:c>
      <x:c r="K913" s="20" t="str">
        <x:v>Primary source-register URL; automated screening score</x:v>
      </x:c>
      <x:c r="L913" s="20" t="str">
        <x:v>2026-05-20</x:v>
      </x:c>
      <x:c r="M913" s="20" t="str">
        <x:v>2026-05-20</x:v>
      </x:c>
      <x:c r="N913" s="20" t="str">
        <x:v>GPT-5.5 Pro</x:v>
      </x:c>
      <x:c r="O913" s="20" t="str">
        <x:v>Needs review</x:v>
      </x:c>
      <x:c r="P913" s="20" t="str">
        <x:v>Screening score for European Union / Security contractors in Latvia; verify with country-specific evidence before final use.</x:v>
      </x:c>
    </x:row>
    <x:row r="914" ht="24" customHeight="1">
      <x:c r="A914" s="20" t="str">
        <x:v>LBN|Russia|Propaganda ecosystems</x:v>
      </x:c>
      <x:c r="B914" s="20" t="str">
        <x:v>Lebanon</x:v>
      </x:c>
      <x:c r="C914" s="20" t="str">
        <x:v>LBN</x:v>
      </x:c>
      <x:c r="D914" s="20" t="str">
        <x:v>Russia</x:v>
      </x:c>
      <x:c r="E914" s="20" t="str">
        <x:v>Russian influence</x:v>
      </x:c>
      <x:c r="F914" s="20" t="str">
        <x:v>Propaganda ecosystems</x:v>
      </x:c>
      <x:c r="G914" s="384" t="n">
        <x:v>2</x:v>
      </x:c>
      <x:c r="H914" s="396" t="n">
        <x:v>2</x:v>
      </x:c>
      <x:c r="I914" s="20" t="str">
        <x:v>EEAS/EUvsDisinfo FIMI source register</x:v>
      </x:c>
      <x:c r="J914" s="397" t="str">
        <x:v>https://www.eeas.europa.eu/eeas/4th-eeas-annual-report-foreign-information-manipulation-and-interference-threats_en</x:v>
      </x:c>
      <x:c r="K914" s="20" t="str">
        <x:v>Primary source-register URL; automated screening score</x:v>
      </x:c>
      <x:c r="L914" s="20" t="str">
        <x:v>2026-05-20</x:v>
      </x:c>
      <x:c r="M914" s="20" t="str">
        <x:v>2026-05-20</x:v>
      </x:c>
      <x:c r="N914" s="20" t="str">
        <x:v>GPT-5.5 Pro</x:v>
      </x:c>
      <x:c r="O914" s="20" t="str">
        <x:v>Needs review</x:v>
      </x:c>
      <x:c r="P914" s="20" t="str">
        <x:v>Screening score for Russia / Propaganda ecosystems in Lebanon; verify with country-specific evidence before final use.</x:v>
      </x:c>
    </x:row>
    <x:row r="915" ht="24" customHeight="1">
      <x:c r="A915" s="20" t="str">
        <x:v>LBN|Russia|PMC presence</x:v>
      </x:c>
      <x:c r="B915" s="20" t="str">
        <x:v>Lebanon</x:v>
      </x:c>
      <x:c r="C915" s="20" t="str">
        <x:v>LBN</x:v>
      </x:c>
      <x:c r="D915" s="20" t="str">
        <x:v>Russia</x:v>
      </x:c>
      <x:c r="E915" s="20" t="str">
        <x:v>Russian influence</x:v>
      </x:c>
      <x:c r="F915" s="20" t="str">
        <x:v>PMC presence</x:v>
      </x:c>
      <x:c r="G915" s="384" t="n">
        <x:v>0</x:v>
      </x:c>
      <x:c r="H915" s="396" t="n">
        <x:v>1</x:v>
      </x:c>
      <x:c r="I915" s="20" t="str">
        <x:v>Treasury and Council of the EU Wagner/PMC source register</x:v>
      </x:c>
      <x:c r="J915" s="397" t="str">
        <x:v>https://www.consilium.europa.eu/en/press/press-releases/2023/02/25/wagner-group-council-adds-11-individuals-and-7-entities-to-eu-sanctions-lists/</x:v>
      </x:c>
      <x:c r="K915" s="20" t="str">
        <x:v>Primary source-register URL; automated screening score</x:v>
      </x:c>
      <x:c r="L915" s="20" t="str">
        <x:v>2026-05-20</x:v>
      </x:c>
      <x:c r="M915" s="20" t="str">
        <x:v>2026-05-20</x:v>
      </x:c>
      <x:c r="N915" s="20" t="str">
        <x:v>GPT-5.5 Pro</x:v>
      </x:c>
      <x:c r="O915" s="20" t="str">
        <x:v>Needs review</x:v>
      </x:c>
      <x:c r="P915" s="20" t="str">
        <x:v>Screening score for Russia / PMC presence in Lebanon; verify with country-specific evidence before final use.</x:v>
      </x:c>
    </x:row>
    <x:row r="916" ht="24" customHeight="1">
      <x:c r="A916" s="20" t="str">
        <x:v>LBN|Russia|Election interference</x:v>
      </x:c>
      <x:c r="B916" s="20" t="str">
        <x:v>Lebanon</x:v>
      </x:c>
      <x:c r="C916" s="20" t="str">
        <x:v>LBN</x:v>
      </x:c>
      <x:c r="D916" s="20" t="str">
        <x:v>Russia</x:v>
      </x:c>
      <x:c r="E916" s="20" t="str">
        <x:v>Russian influence</x:v>
      </x:c>
      <x:c r="F916" s="20" t="str">
        <x:v>Election interference</x:v>
      </x:c>
      <x:c r="G916" s="384" t="n">
        <x:v>0</x:v>
      </x:c>
      <x:c r="H916" s="396" t="n">
        <x:v>1</x:v>
      </x:c>
      <x:c r="I916" s="20" t="str">
        <x:v>ODNI/EEAS election-FIMI source register</x:v>
      </x:c>
      <x:c r="J916" s="397" t="str">
        <x:v>https://www.dni.gov/files/ODNI/documents/assessments/ATA-2026-Unclassified-Report.pdf</x:v>
      </x:c>
      <x:c r="K916" s="20" t="str">
        <x:v>Primary source-register URL; automated screening score</x:v>
      </x:c>
      <x:c r="L916" s="20" t="str">
        <x:v>2026-05-20</x:v>
      </x:c>
      <x:c r="M916" s="20" t="str">
        <x:v>2026-05-20</x:v>
      </x:c>
      <x:c r="N916" s="20" t="str">
        <x:v>GPT-5.5 Pro</x:v>
      </x:c>
      <x:c r="O916" s="20" t="str">
        <x:v>Needs review</x:v>
      </x:c>
      <x:c r="P916" s="20" t="str">
        <x:v>Screening score for Russia / Election interference in Lebanon; verify with country-specific evidence before final use.</x:v>
      </x:c>
    </x:row>
    <x:row r="917" ht="24" customHeight="1">
      <x:c r="A917" s="20" t="str">
        <x:v>LBN|Russia|Security contractors</x:v>
      </x:c>
      <x:c r="B917" s="20" t="str">
        <x:v>Lebanon</x:v>
      </x:c>
      <x:c r="C917" s="20" t="str">
        <x:v>LBN</x:v>
      </x:c>
      <x:c r="D917" s="20" t="str">
        <x:v>Russia</x:v>
      </x:c>
      <x:c r="E917" s="20" t="str">
        <x:v>Russian influence</x:v>
      </x:c>
      <x:c r="F917" s="20" t="str">
        <x:v>Security contractors</x:v>
      </x:c>
      <x:c r="G917" s="384" t="n">
        <x:v>0</x:v>
      </x:c>
      <x:c r="H917" s="396" t="n">
        <x:v>1</x:v>
      </x:c>
      <x:c r="I917" s="20" t="str">
        <x:v>Council of the EU/Treasury Wagner-security source register</x:v>
      </x:c>
      <x:c r="J917" s="397" t="str">
        <x:v>https://www.consilium.europa.eu/en/press/press-releases/2023/02/25/wagner-group-council-adds-11-individuals-and-7-entities-to-eu-sanctions-lists/</x:v>
      </x:c>
      <x:c r="K917" s="20" t="str">
        <x:v>Primary source-register URL; automated screening score</x:v>
      </x:c>
      <x:c r="L917" s="20" t="str">
        <x:v>2026-05-20</x:v>
      </x:c>
      <x:c r="M917" s="20" t="str">
        <x:v>2026-05-20</x:v>
      </x:c>
      <x:c r="N917" s="20" t="str">
        <x:v>GPT-5.5 Pro</x:v>
      </x:c>
      <x:c r="O917" s="20" t="str">
        <x:v>Needs review</x:v>
      </x:c>
      <x:c r="P917" s="20" t="str">
        <x:v>Screening score for Russia / Security contractors in Lebanon; verify with country-specific evidence before final use.</x:v>
      </x:c>
    </x:row>
    <x:row r="918" ht="24" customHeight="1">
      <x:c r="A918" s="20" t="str">
        <x:v>LBN|China|Propaganda ecosystems</x:v>
      </x:c>
      <x:c r="B918" s="20" t="str">
        <x:v>Lebanon</x:v>
      </x:c>
      <x:c r="C918" s="20" t="str">
        <x:v>LBN</x:v>
      </x:c>
      <x:c r="D918" s="20" t="str">
        <x:v>China</x:v>
      </x:c>
      <x:c r="E918" s="20" t="str">
        <x:v>Chinese influence</x:v>
      </x:c>
      <x:c r="F918" s="20" t="str">
        <x:v>Propaganda ecosystems</x:v>
      </x:c>
      <x:c r="G918" s="384" t="n">
        <x:v>3</x:v>
      </x:c>
      <x:c r="H918" s="396" t="n">
        <x:v>3</x:v>
      </x:c>
      <x:c r="I918" s="20" t="str">
        <x:v>EEAS/ODNI China FIMI source register</x:v>
      </x:c>
      <x:c r="J918" s="397" t="str">
        <x:v>https://www.eeas.europa.eu/eeas/4th-eeas-annual-report-foreign-information-manipulation-and-interference-threats_en</x:v>
      </x:c>
      <x:c r="K918" s="20" t="str">
        <x:v>Primary source-register URL; automated screening score</x:v>
      </x:c>
      <x:c r="L918" s="20" t="str">
        <x:v>2026-05-20</x:v>
      </x:c>
      <x:c r="M918" s="20" t="str">
        <x:v>2026-05-20</x:v>
      </x:c>
      <x:c r="N918" s="20" t="str">
        <x:v>GPT-5.5 Pro</x:v>
      </x:c>
      <x:c r="O918" s="20" t="str">
        <x:v>Needs review</x:v>
      </x:c>
      <x:c r="P918" s="20" t="str">
        <x:v>Screening score for China / Propaganda ecosystems in Lebanon; verify with country-specific evidence before final use.</x:v>
      </x:c>
    </x:row>
    <x:row r="919" ht="24" customHeight="1">
      <x:c r="A919" s="20" t="str">
        <x:v>LBN|China|PMC presence</x:v>
      </x:c>
      <x:c r="B919" s="20" t="str">
        <x:v>Lebanon</x:v>
      </x:c>
      <x:c r="C919" s="20" t="str">
        <x:v>LBN</x:v>
      </x:c>
      <x:c r="D919" s="20" t="str">
        <x:v>China</x:v>
      </x:c>
      <x:c r="E919" s="20" t="str">
        <x:v>Chinese influence</x:v>
      </x:c>
      <x:c r="F919" s="20" t="str">
        <x:v>PMC presence</x:v>
      </x:c>
      <x:c r="G919" s="384" t="n">
        <x:v>0</x:v>
      </x:c>
      <x:c r="H919" s="396" t="n">
        <x:v>1</x:v>
      </x:c>
      <x:c r="I919" s="20" t="str">
        <x:v>MERICS/Carnegie Chinese overseas PSC source register</x:v>
      </x:c>
      <x:c r="J919" s="397" t="str">
        <x:v>https://merics.org/en/report/guardians-belt-and-road</x:v>
      </x:c>
      <x:c r="K919" s="20" t="str">
        <x:v>Primary source-register URL; automated screening score</x:v>
      </x:c>
      <x:c r="L919" s="20" t="str">
        <x:v>2026-05-20</x:v>
      </x:c>
      <x:c r="M919" s="20" t="str">
        <x:v>2026-05-20</x:v>
      </x:c>
      <x:c r="N919" s="20" t="str">
        <x:v>GPT-5.5 Pro</x:v>
      </x:c>
      <x:c r="O919" s="20" t="str">
        <x:v>Needs review</x:v>
      </x:c>
      <x:c r="P919" s="20" t="str">
        <x:v>Screening score for China / PMC presence in Lebanon; verify with country-specific evidence before final use.</x:v>
      </x:c>
    </x:row>
    <x:row r="920" ht="24" customHeight="1">
      <x:c r="A920" s="20" t="str">
        <x:v>LBN|China|Election interference</x:v>
      </x:c>
      <x:c r="B920" s="20" t="str">
        <x:v>Lebanon</x:v>
      </x:c>
      <x:c r="C920" s="20" t="str">
        <x:v>LBN</x:v>
      </x:c>
      <x:c r="D920" s="20" t="str">
        <x:v>China</x:v>
      </x:c>
      <x:c r="E920" s="20" t="str">
        <x:v>Chinese influence</x:v>
      </x:c>
      <x:c r="F920" s="20" t="str">
        <x:v>Election interference</x:v>
      </x:c>
      <x:c r="G920" s="384" t="n">
        <x:v>1</x:v>
      </x:c>
      <x:c r="H920" s="396" t="n">
        <x:v>2</x:v>
      </x:c>
      <x:c r="I920" s="20" t="str">
        <x:v>EEAS/ODNI China election-FIMI source register</x:v>
      </x:c>
      <x:c r="J920" s="397" t="str">
        <x:v>https://www.eeas.europa.eu/eeas/4th-eeas-annual-report-foreign-information-manipulation-and-interference-threats_en</x:v>
      </x:c>
      <x:c r="K920" s="20" t="str">
        <x:v>Primary source-register URL; automated screening score</x:v>
      </x:c>
      <x:c r="L920" s="20" t="str">
        <x:v>2026-05-20</x:v>
      </x:c>
      <x:c r="M920" s="20" t="str">
        <x:v>2026-05-20</x:v>
      </x:c>
      <x:c r="N920" s="20" t="str">
        <x:v>GPT-5.5 Pro</x:v>
      </x:c>
      <x:c r="O920" s="20" t="str">
        <x:v>Needs review</x:v>
      </x:c>
      <x:c r="P920" s="20" t="str">
        <x:v>Screening score for China / Election interference in Lebanon; verify with country-specific evidence before final use.</x:v>
      </x:c>
    </x:row>
    <x:row r="921" ht="24" customHeight="1">
      <x:c r="A921" s="20" t="str">
        <x:v>LBN|China|Security contractors</x:v>
      </x:c>
      <x:c r="B921" s="20" t="str">
        <x:v>Lebanon</x:v>
      </x:c>
      <x:c r="C921" s="20" t="str">
        <x:v>LBN</x:v>
      </x:c>
      <x:c r="D921" s="20" t="str">
        <x:v>China</x:v>
      </x:c>
      <x:c r="E921" s="20" t="str">
        <x:v>Chinese influence</x:v>
      </x:c>
      <x:c r="F921" s="20" t="str">
        <x:v>Security contractors</x:v>
      </x:c>
      <x:c r="G921" s="384" t="n">
        <x:v>1</x:v>
      </x:c>
      <x:c r="H921" s="396" t="n">
        <x:v>2</x:v>
      </x:c>
      <x:c r="I921" s="20" t="str">
        <x:v>MERICS/Carnegie Chinese security contractor source register</x:v>
      </x:c>
      <x:c r="J921" s="397" t="str">
        <x:v>https://merics.org/en/report/guardians-belt-and-road</x:v>
      </x:c>
      <x:c r="K921" s="20" t="str">
        <x:v>Primary source-register URL; automated screening score</x:v>
      </x:c>
      <x:c r="L921" s="20" t="str">
        <x:v>2026-05-20</x:v>
      </x:c>
      <x:c r="M921" s="20" t="str">
        <x:v>2026-05-20</x:v>
      </x:c>
      <x:c r="N921" s="20" t="str">
        <x:v>GPT-5.5 Pro</x:v>
      </x:c>
      <x:c r="O921" s="20" t="str">
        <x:v>Needs review</x:v>
      </x:c>
      <x:c r="P921" s="20" t="str">
        <x:v>Screening score for China / Security contractors in Lebanon; verify with country-specific evidence before final use.</x:v>
      </x:c>
    </x:row>
    <x:row r="922" ht="24" customHeight="1">
      <x:c r="A922" s="20" t="str">
        <x:v>LBN|United States|Propaganda ecosystems</x:v>
      </x:c>
      <x:c r="B922" s="20" t="str">
        <x:v>Lebanon</x:v>
      </x:c>
      <x:c r="C922" s="20" t="str">
        <x:v>LBN</x:v>
      </x:c>
      <x:c r="D922" s="20" t="str">
        <x:v>United States</x:v>
      </x:c>
      <x:c r="E922" s="20" t="str">
        <x:v>American influence</x:v>
      </x:c>
      <x:c r="F922" s="20" t="str">
        <x:v>Propaganda ecosystems</x:v>
      </x:c>
      <x:c r="G922" s="384" t="n">
        <x:v>5</x:v>
      </x:c>
      <x:c r="H922" s="396" t="n">
        <x:v>3</x:v>
      </x:c>
      <x:c r="I922" s="20" t="str">
        <x:v>USAGM public media source register</x:v>
      </x:c>
      <x:c r="J922" s="397" t="str">
        <x:v>https://www.usagm.gov/our-work/strategy-and-results/strategic-priorities/research-reports/</x:v>
      </x:c>
      <x:c r="K922" s="20" t="str">
        <x:v>Primary source-register URL; automated screening score</x:v>
      </x:c>
      <x:c r="L922" s="20" t="str">
        <x:v>2026-05-20</x:v>
      </x:c>
      <x:c r="M922" s="20" t="str">
        <x:v>2026-05-20</x:v>
      </x:c>
      <x:c r="N922" s="20" t="str">
        <x:v>GPT-5.5 Pro</x:v>
      </x:c>
      <x:c r="O922" s="20" t="str">
        <x:v>Needs review</x:v>
      </x:c>
      <x:c r="P922" s="20" t="str">
        <x:v>Screening score for United States / Propaganda ecosystems in Lebanon; verify with country-specific evidence before final use.</x:v>
      </x:c>
    </x:row>
    <x:row r="923" ht="24" customHeight="1">
      <x:c r="A923" s="20" t="str">
        <x:v>LBN|United States|PMC presence</x:v>
      </x:c>
      <x:c r="B923" s="20" t="str">
        <x:v>Lebanon</x:v>
      </x:c>
      <x:c r="C923" s="20" t="str">
        <x:v>LBN</x:v>
      </x:c>
      <x:c r="D923" s="20" t="str">
        <x:v>United States</x:v>
      </x:c>
      <x:c r="E923" s="20" t="str">
        <x:v>American influence</x:v>
      </x:c>
      <x:c r="F923" s="20" t="str">
        <x:v>PMC presence</x:v>
      </x:c>
      <x:c r="G923" s="384" t="n">
        <x:v>1</x:v>
      </x:c>
      <x:c r="H923" s="396" t="n">
        <x:v>2</x:v>
      </x:c>
      <x:c r="I923" s="20" t="str">
        <x:v>SAM/Greenbook U.S. security assistance contractor source register</x:v>
      </x:c>
      <x:c r="J923" s="397" t="str">
        <x:v>https://internationalpolicy.org/programs/sam/</x:v>
      </x:c>
      <x:c r="K923" s="20" t="str">
        <x:v>Primary source-register URL; automated screening score</x:v>
      </x:c>
      <x:c r="L923" s="20" t="str">
        <x:v>2026-05-20</x:v>
      </x:c>
      <x:c r="M923" s="20" t="str">
        <x:v>2026-05-20</x:v>
      </x:c>
      <x:c r="N923" s="20" t="str">
        <x:v>GPT-5.5 Pro</x:v>
      </x:c>
      <x:c r="O923" s="20" t="str">
        <x:v>Needs review</x:v>
      </x:c>
      <x:c r="P923" s="20" t="str">
        <x:v>Screening score for United States / PMC presence in Lebanon; verify with country-specific evidence before final use.</x:v>
      </x:c>
    </x:row>
    <x:row r="924" ht="24" customHeight="1">
      <x:c r="A924" s="20" t="str">
        <x:v>LBN|United States|Election interference</x:v>
      </x:c>
      <x:c r="B924" s="20" t="str">
        <x:v>Lebanon</x:v>
      </x:c>
      <x:c r="C924" s="20" t="str">
        <x:v>LBN</x:v>
      </x:c>
      <x:c r="D924" s="20" t="str">
        <x:v>United States</x:v>
      </x:c>
      <x:c r="E924" s="20" t="str">
        <x:v>American influence</x:v>
      </x:c>
      <x:c r="F924" s="20" t="str">
        <x:v>Election interference</x:v>
      </x:c>
      <x:c r="G924" s="384" t="n">
        <x:v>2</x:v>
      </x:c>
      <x:c r="H924" s="396" t="n">
        <x:v>2</x:v>
      </x:c>
      <x:c r="I924" s="20" t="str">
        <x:v>NED/Greenbook democracy assistance source register</x:v>
      </x:c>
      <x:c r="J924" s="397" t="str">
        <x:v>https://www.ned.org/ned-grantmaking/</x:v>
      </x:c>
      <x:c r="K924" s="20" t="str">
        <x:v>Primary source-register URL; automated screening score</x:v>
      </x:c>
      <x:c r="L924" s="20" t="str">
        <x:v>2026-05-20</x:v>
      </x:c>
      <x:c r="M924" s="20" t="str">
        <x:v>2026-05-20</x:v>
      </x:c>
      <x:c r="N924" s="20" t="str">
        <x:v>GPT-5.5 Pro</x:v>
      </x:c>
      <x:c r="O924" s="20" t="str">
        <x:v>Needs review</x:v>
      </x:c>
      <x:c r="P924" s="20" t="str">
        <x:v>Screening score for United States / Election interference in Lebanon; verify with country-specific evidence before final use.</x:v>
      </x:c>
    </x:row>
    <x:row r="925" ht="24" customHeight="1">
      <x:c r="A925" s="20" t="str">
        <x:v>LBN|United States|Security contractors</x:v>
      </x:c>
      <x:c r="B925" s="20" t="str">
        <x:v>Lebanon</x:v>
      </x:c>
      <x:c r="C925" s="20" t="str">
        <x:v>LBN</x:v>
      </x:c>
      <x:c r="D925" s="20" t="str">
        <x:v>United States</x:v>
      </x:c>
      <x:c r="E925" s="20" t="str">
        <x:v>American influence</x:v>
      </x:c>
      <x:c r="F925" s="20" t="str">
        <x:v>Security contractors</x:v>
      </x:c>
      <x:c r="G925" s="384" t="n">
        <x:v>2</x:v>
      </x:c>
      <x:c r="H925" s="396" t="n">
        <x:v>2</x:v>
      </x:c>
      <x:c r="I925" s="20" t="str">
        <x:v>SAM/Greenbook U.S. security contractor source register</x:v>
      </x:c>
      <x:c r="J925" s="397" t="str">
        <x:v>https://internationalpolicy.org/programs/sam/</x:v>
      </x:c>
      <x:c r="K925" s="20" t="str">
        <x:v>Primary source-register URL; automated screening score</x:v>
      </x:c>
      <x:c r="L925" s="20" t="str">
        <x:v>2026-05-20</x:v>
      </x:c>
      <x:c r="M925" s="20" t="str">
        <x:v>2026-05-20</x:v>
      </x:c>
      <x:c r="N925" s="20" t="str">
        <x:v>GPT-5.5 Pro</x:v>
      </x:c>
      <x:c r="O925" s="20" t="str">
        <x:v>Needs review</x:v>
      </x:c>
      <x:c r="P925" s="20" t="str">
        <x:v>Screening score for United States / Security contractors in Lebanon; verify with country-specific evidence before final use.</x:v>
      </x:c>
    </x:row>
    <x:row r="926" ht="24" customHeight="1">
      <x:c r="A926" s="20" t="str">
        <x:v>LBN|European Union|Propaganda ecosystems</x:v>
      </x:c>
      <x:c r="B926" s="20" t="str">
        <x:v>Lebanon</x:v>
      </x:c>
      <x:c r="C926" s="20" t="str">
        <x:v>LBN</x:v>
      </x:c>
      <x:c r="D926" s="20" t="str">
        <x:v>European Union</x:v>
      </x:c>
      <x:c r="E926" s="20" t="str">
        <x:v>EU influence</x:v>
      </x:c>
      <x:c r="F926" s="20" t="str">
        <x:v>Propaganda ecosystems</x:v>
      </x:c>
      <x:c r="G926" s="384" t="n">
        <x:v>2</x:v>
      </x:c>
      <x:c r="H926" s="396" t="n">
        <x:v>2</x:v>
      </x:c>
      <x:c r="I926" s="20" t="str">
        <x:v>EEAS public diplomacy source register</x:v>
      </x:c>
      <x:c r="J926" s="397" t="str">
        <x:v>https://www.eeas.europa.eu/eeas/public-diplomacy_en</x:v>
      </x:c>
      <x:c r="K926" s="20" t="str">
        <x:v>Primary source-register URL; automated screening score</x:v>
      </x:c>
      <x:c r="L926" s="20" t="str">
        <x:v>2026-05-20</x:v>
      </x:c>
      <x:c r="M926" s="20" t="str">
        <x:v>2026-05-20</x:v>
      </x:c>
      <x:c r="N926" s="20" t="str">
        <x:v>GPT-5.5 Pro</x:v>
      </x:c>
      <x:c r="O926" s="20" t="str">
        <x:v>Needs review</x:v>
      </x:c>
      <x:c r="P926" s="20" t="str">
        <x:v>Screening score for European Union / Propaganda ecosystems in Lebanon; verify with country-specific evidence before final use.</x:v>
      </x:c>
    </x:row>
    <x:row r="927" ht="24" customHeight="1">
      <x:c r="A927" s="20" t="str">
        <x:v>LBN|European Union|PMC presence</x:v>
      </x:c>
      <x:c r="B927" s="20" t="str">
        <x:v>Lebanon</x:v>
      </x:c>
      <x:c r="C927" s="20" t="str">
        <x:v>LBN</x:v>
      </x:c>
      <x:c r="D927" s="20" t="str">
        <x:v>European Union</x:v>
      </x:c>
      <x:c r="E927" s="20" t="str">
        <x:v>EU influence</x:v>
      </x:c>
      <x:c r="F927" s="20" t="str">
        <x:v>PMC presence</x:v>
      </x:c>
      <x:c r="G927" s="384" t="n">
        <x:v>0</x:v>
      </x:c>
      <x:c r="H927" s="396" t="n">
        <x:v>1</x:v>
      </x:c>
      <x:c r="I927" s="20" t="str">
        <x:v>EEAS CSDP missions source register</x:v>
      </x:c>
      <x:c r="J927" s="397" t="str">
        <x:v>https://www.eeas.europa.eu/eeas/missions-and-operations_en</x:v>
      </x:c>
      <x:c r="K927" s="20" t="str">
        <x:v>Primary source-register URL; automated screening score</x:v>
      </x:c>
      <x:c r="L927" s="20" t="str">
        <x:v>2026-05-20</x:v>
      </x:c>
      <x:c r="M927" s="20" t="str">
        <x:v>2026-05-20</x:v>
      </x:c>
      <x:c r="N927" s="20" t="str">
        <x:v>GPT-5.5 Pro</x:v>
      </x:c>
      <x:c r="O927" s="20" t="str">
        <x:v>Needs review</x:v>
      </x:c>
      <x:c r="P927" s="20" t="str">
        <x:v>Screening score for European Union / PMC presence in Lebanon; verify with country-specific evidence before final use.</x:v>
      </x:c>
    </x:row>
    <x:row r="928" ht="24" customHeight="1">
      <x:c r="A928" s="20" t="str">
        <x:v>LBN|European Union|Election interference</x:v>
      </x:c>
      <x:c r="B928" s="20" t="str">
        <x:v>Lebanon</x:v>
      </x:c>
      <x:c r="C928" s="20" t="str">
        <x:v>LBN</x:v>
      </x:c>
      <x:c r="D928" s="20" t="str">
        <x:v>European Union</x:v>
      </x:c>
      <x:c r="E928" s="20" t="str">
        <x:v>EU influence</x:v>
      </x:c>
      <x:c r="F928" s="20" t="str">
        <x:v>Election interference</x:v>
      </x:c>
      <x:c r="G928" s="384" t="n">
        <x:v>1</x:v>
      </x:c>
      <x:c r="H928" s="396" t="n">
        <x:v>2</x:v>
      </x:c>
      <x:c r="I928" s="20" t="str">
        <x:v>EEAS EU election observation source register</x:v>
      </x:c>
      <x:c r="J928" s="397" t="str">
        <x:v>https://www.eeas.europa.eu/eeas/eu-election-observation-missions-1_en?page_lang=en</x:v>
      </x:c>
      <x:c r="K928" s="20" t="str">
        <x:v>Primary source-register URL; automated screening score</x:v>
      </x:c>
      <x:c r="L928" s="20" t="str">
        <x:v>2026-05-20</x:v>
      </x:c>
      <x:c r="M928" s="20" t="str">
        <x:v>2026-05-20</x:v>
      </x:c>
      <x:c r="N928" s="20" t="str">
        <x:v>GPT-5.5 Pro</x:v>
      </x:c>
      <x:c r="O928" s="20" t="str">
        <x:v>Needs review</x:v>
      </x:c>
      <x:c r="P928" s="20" t="str">
        <x:v>Screening score for European Union / Election interference in Lebanon; verify with country-specific evidence before final use.</x:v>
      </x:c>
    </x:row>
    <x:row r="929" ht="24" customHeight="1">
      <x:c r="A929" s="20" t="str">
        <x:v>LBN|European Union|Security contractors</x:v>
      </x:c>
      <x:c r="B929" s="20" t="str">
        <x:v>Lebanon</x:v>
      </x:c>
      <x:c r="C929" s="20" t="str">
        <x:v>LBN</x:v>
      </x:c>
      <x:c r="D929" s="20" t="str">
        <x:v>European Union</x:v>
      </x:c>
      <x:c r="E929" s="20" t="str">
        <x:v>EU influence</x:v>
      </x:c>
      <x:c r="F929" s="20" t="str">
        <x:v>Security contractors</x:v>
      </x:c>
      <x:c r="G929" s="384" t="n">
        <x:v>2</x:v>
      </x:c>
      <x:c r="H929" s="396" t="n">
        <x:v>2</x:v>
      </x:c>
      <x:c r="I929" s="20" t="str">
        <x:v>EEAS CSDP / Global Gateway security source register</x:v>
      </x:c>
      <x:c r="J929" s="397" t="str">
        <x:v>https://www.eeas.europa.eu/eeas/missions-and-operations_en</x:v>
      </x:c>
      <x:c r="K929" s="20" t="str">
        <x:v>Primary source-register URL; automated screening score</x:v>
      </x:c>
      <x:c r="L929" s="20" t="str">
        <x:v>2026-05-20</x:v>
      </x:c>
      <x:c r="M929" s="20" t="str">
        <x:v>2026-05-20</x:v>
      </x:c>
      <x:c r="N929" s="20" t="str">
        <x:v>GPT-5.5 Pro</x:v>
      </x:c>
      <x:c r="O929" s="20" t="str">
        <x:v>Needs review</x:v>
      </x:c>
      <x:c r="P929" s="20" t="str">
        <x:v>Screening score for European Union / Security contractors in Lebanon; verify with country-specific evidence before final use.</x:v>
      </x:c>
    </x:row>
    <x:row r="930" ht="24" customHeight="1">
      <x:c r="A930" s="20" t="str">
        <x:v>LBR|Russia|Propaganda ecosystems</x:v>
      </x:c>
      <x:c r="B930" s="20" t="str">
        <x:v>Liberia</x:v>
      </x:c>
      <x:c r="C930" s="20" t="str">
        <x:v>LBR</x:v>
      </x:c>
      <x:c r="D930" s="20" t="str">
        <x:v>Russia</x:v>
      </x:c>
      <x:c r="E930" s="20" t="str">
        <x:v>Russian influence</x:v>
      </x:c>
      <x:c r="F930" s="20" t="str">
        <x:v>Propaganda ecosystems</x:v>
      </x:c>
      <x:c r="G930" s="384" t="n">
        <x:v>4</x:v>
      </x:c>
      <x:c r="H930" s="396" t="n">
        <x:v>3</x:v>
      </x:c>
      <x:c r="I930" s="20" t="str">
        <x:v>EEAS/EUvsDisinfo FIMI source register</x:v>
      </x:c>
      <x:c r="J930" s="397" t="str">
        <x:v>https://www.eeas.europa.eu/eeas/4th-eeas-annual-report-foreign-information-manipulation-and-interference-threats_en</x:v>
      </x:c>
      <x:c r="K930" s="20" t="str">
        <x:v>Primary source-register URL; automated screening score</x:v>
      </x:c>
      <x:c r="L930" s="20" t="str">
        <x:v>2026-05-20</x:v>
      </x:c>
      <x:c r="M930" s="20" t="str">
        <x:v>2026-05-20</x:v>
      </x:c>
      <x:c r="N930" s="20" t="str">
        <x:v>GPT-5.5 Pro</x:v>
      </x:c>
      <x:c r="O930" s="20" t="str">
        <x:v>Needs review</x:v>
      </x:c>
      <x:c r="P930" s="20" t="str">
        <x:v>Screening score for Russia / Propaganda ecosystems in Liberia; verify with country-specific evidence before final use.</x:v>
      </x:c>
    </x:row>
    <x:row r="931" ht="24" customHeight="1">
      <x:c r="A931" s="20" t="str">
        <x:v>LBR|Russia|PMC presence</x:v>
      </x:c>
      <x:c r="B931" s="20" t="str">
        <x:v>Liberia</x:v>
      </x:c>
      <x:c r="C931" s="20" t="str">
        <x:v>LBR</x:v>
      </x:c>
      <x:c r="D931" s="20" t="str">
        <x:v>Russia</x:v>
      </x:c>
      <x:c r="E931" s="20" t="str">
        <x:v>Russian influence</x:v>
      </x:c>
      <x:c r="F931" s="20" t="str">
        <x:v>PMC presence</x:v>
      </x:c>
      <x:c r="G931" s="384" t="n">
        <x:v>1</x:v>
      </x:c>
      <x:c r="H931" s="396" t="n">
        <x:v>2</x:v>
      </x:c>
      <x:c r="I931" s="20" t="str">
        <x:v>Treasury and Council of the EU Wagner/PMC source register</x:v>
      </x:c>
      <x:c r="J931" s="397" t="str">
        <x:v>https://www.consilium.europa.eu/en/press/press-releases/2023/02/25/wagner-group-council-adds-11-individuals-and-7-entities-to-eu-sanctions-lists/</x:v>
      </x:c>
      <x:c r="K931" s="20" t="str">
        <x:v>Primary source-register URL; automated screening score</x:v>
      </x:c>
      <x:c r="L931" s="20" t="str">
        <x:v>2026-05-20</x:v>
      </x:c>
      <x:c r="M931" s="20" t="str">
        <x:v>2026-05-20</x:v>
      </x:c>
      <x:c r="N931" s="20" t="str">
        <x:v>GPT-5.5 Pro</x:v>
      </x:c>
      <x:c r="O931" s="20" t="str">
        <x:v>Needs review</x:v>
      </x:c>
      <x:c r="P931" s="20" t="str">
        <x:v>Screening score for Russia / PMC presence in Liberia; verify with country-specific evidence before final use.</x:v>
      </x:c>
    </x:row>
    <x:row r="932" ht="24" customHeight="1">
      <x:c r="A932" s="20" t="str">
        <x:v>LBR|Russia|Election interference</x:v>
      </x:c>
      <x:c r="B932" s="20" t="str">
        <x:v>Liberia</x:v>
      </x:c>
      <x:c r="C932" s="20" t="str">
        <x:v>LBR</x:v>
      </x:c>
      <x:c r="D932" s="20" t="str">
        <x:v>Russia</x:v>
      </x:c>
      <x:c r="E932" s="20" t="str">
        <x:v>Russian influence</x:v>
      </x:c>
      <x:c r="F932" s="20" t="str">
        <x:v>Election interference</x:v>
      </x:c>
      <x:c r="G932" s="384" t="n">
        <x:v>1</x:v>
      </x:c>
      <x:c r="H932" s="396" t="n">
        <x:v>2</x:v>
      </x:c>
      <x:c r="I932" s="20" t="str">
        <x:v>ODNI/EEAS election-FIMI source register</x:v>
      </x:c>
      <x:c r="J932" s="397" t="str">
        <x:v>https://www.dni.gov/files/ODNI/documents/assessments/ATA-2026-Unclassified-Report.pdf</x:v>
      </x:c>
      <x:c r="K932" s="20" t="str">
        <x:v>Primary source-register URL; automated screening score</x:v>
      </x:c>
      <x:c r="L932" s="20" t="str">
        <x:v>2026-05-20</x:v>
      </x:c>
      <x:c r="M932" s="20" t="str">
        <x:v>2026-05-20</x:v>
      </x:c>
      <x:c r="N932" s="20" t="str">
        <x:v>GPT-5.5 Pro</x:v>
      </x:c>
      <x:c r="O932" s="20" t="str">
        <x:v>Needs review</x:v>
      </x:c>
      <x:c r="P932" s="20" t="str">
        <x:v>Screening score for Russia / Election interference in Liberia; verify with country-specific evidence before final use.</x:v>
      </x:c>
    </x:row>
    <x:row r="933" ht="24" customHeight="1">
      <x:c r="A933" s="20" t="str">
        <x:v>LBR|Russia|Security contractors</x:v>
      </x:c>
      <x:c r="B933" s="20" t="str">
        <x:v>Liberia</x:v>
      </x:c>
      <x:c r="C933" s="20" t="str">
        <x:v>LBR</x:v>
      </x:c>
      <x:c r="D933" s="20" t="str">
        <x:v>Russia</x:v>
      </x:c>
      <x:c r="E933" s="20" t="str">
        <x:v>Russian influence</x:v>
      </x:c>
      <x:c r="F933" s="20" t="str">
        <x:v>Security contractors</x:v>
      </x:c>
      <x:c r="G933" s="384" t="n">
        <x:v>1</x:v>
      </x:c>
      <x:c r="H933" s="396" t="n">
        <x:v>2</x:v>
      </x:c>
      <x:c r="I933" s="20" t="str">
        <x:v>Council of the EU/Treasury Wagner-security source register</x:v>
      </x:c>
      <x:c r="J933" s="397" t="str">
        <x:v>https://www.consilium.europa.eu/en/press/press-releases/2023/02/25/wagner-group-council-adds-11-individuals-and-7-entities-to-eu-sanctions-lists/</x:v>
      </x:c>
      <x:c r="K933" s="20" t="str">
        <x:v>Primary source-register URL; automated screening score</x:v>
      </x:c>
      <x:c r="L933" s="20" t="str">
        <x:v>2026-05-20</x:v>
      </x:c>
      <x:c r="M933" s="20" t="str">
        <x:v>2026-05-20</x:v>
      </x:c>
      <x:c r="N933" s="20" t="str">
        <x:v>GPT-5.5 Pro</x:v>
      </x:c>
      <x:c r="O933" s="20" t="str">
        <x:v>Needs review</x:v>
      </x:c>
      <x:c r="P933" s="20" t="str">
        <x:v>Screening score for Russia / Security contractors in Liberia; verify with country-specific evidence before final use.</x:v>
      </x:c>
    </x:row>
    <x:row r="934" ht="24" customHeight="1">
      <x:c r="A934" s="20" t="str">
        <x:v>LBR|China|Propaganda ecosystems</x:v>
      </x:c>
      <x:c r="B934" s="20" t="str">
        <x:v>Liberia</x:v>
      </x:c>
      <x:c r="C934" s="20" t="str">
        <x:v>LBR</x:v>
      </x:c>
      <x:c r="D934" s="20" t="str">
        <x:v>China</x:v>
      </x:c>
      <x:c r="E934" s="20" t="str">
        <x:v>Chinese influence</x:v>
      </x:c>
      <x:c r="F934" s="20" t="str">
        <x:v>Propaganda ecosystems</x:v>
      </x:c>
      <x:c r="G934" s="384" t="n">
        <x:v>5</x:v>
      </x:c>
      <x:c r="H934" s="396" t="n">
        <x:v>3</x:v>
      </x:c>
      <x:c r="I934" s="20" t="str">
        <x:v>EEAS/ODNI China FIMI source register</x:v>
      </x:c>
      <x:c r="J934" s="397" t="str">
        <x:v>https://www.eeas.europa.eu/eeas/4th-eeas-annual-report-foreign-information-manipulation-and-interference-threats_en</x:v>
      </x:c>
      <x:c r="K934" s="20" t="str">
        <x:v>Primary source-register URL; automated screening score</x:v>
      </x:c>
      <x:c r="L934" s="20" t="str">
        <x:v>2026-05-20</x:v>
      </x:c>
      <x:c r="M934" s="20" t="str">
        <x:v>2026-05-20</x:v>
      </x:c>
      <x:c r="N934" s="20" t="str">
        <x:v>GPT-5.5 Pro</x:v>
      </x:c>
      <x:c r="O934" s="20" t="str">
        <x:v>Needs review</x:v>
      </x:c>
      <x:c r="P934" s="20" t="str">
        <x:v>Screening score for China / Propaganda ecosystems in Liberia; verify with country-specific evidence before final use.</x:v>
      </x:c>
    </x:row>
    <x:row r="935" ht="24" customHeight="1">
      <x:c r="A935" s="20" t="str">
        <x:v>LBR|China|PMC presence</x:v>
      </x:c>
      <x:c r="B935" s="20" t="str">
        <x:v>Liberia</x:v>
      </x:c>
      <x:c r="C935" s="20" t="str">
        <x:v>LBR</x:v>
      </x:c>
      <x:c r="D935" s="20" t="str">
        <x:v>China</x:v>
      </x:c>
      <x:c r="E935" s="20" t="str">
        <x:v>Chinese influence</x:v>
      </x:c>
      <x:c r="F935" s="20" t="str">
        <x:v>PMC presence</x:v>
      </x:c>
      <x:c r="G935" s="384" t="n">
        <x:v>1</x:v>
      </x:c>
      <x:c r="H935" s="396" t="n">
        <x:v>2</x:v>
      </x:c>
      <x:c r="I935" s="20" t="str">
        <x:v>MERICS/Carnegie Chinese overseas PSC source register</x:v>
      </x:c>
      <x:c r="J935" s="397" t="str">
        <x:v>https://merics.org/en/report/guardians-belt-and-road</x:v>
      </x:c>
      <x:c r="K935" s="20" t="str">
        <x:v>Primary source-register URL; automated screening score</x:v>
      </x:c>
      <x:c r="L935" s="20" t="str">
        <x:v>2026-05-20</x:v>
      </x:c>
      <x:c r="M935" s="20" t="str">
        <x:v>2026-05-20</x:v>
      </x:c>
      <x:c r="N935" s="20" t="str">
        <x:v>GPT-5.5 Pro</x:v>
      </x:c>
      <x:c r="O935" s="20" t="str">
        <x:v>Needs review</x:v>
      </x:c>
      <x:c r="P935" s="20" t="str">
        <x:v>Screening score for China / PMC presence in Liberia; verify with country-specific evidence before final use.</x:v>
      </x:c>
    </x:row>
    <x:row r="936" ht="24" customHeight="1">
      <x:c r="A936" s="20" t="str">
        <x:v>LBR|China|Election interference</x:v>
      </x:c>
      <x:c r="B936" s="20" t="str">
        <x:v>Liberia</x:v>
      </x:c>
      <x:c r="C936" s="20" t="str">
        <x:v>LBR</x:v>
      </x:c>
      <x:c r="D936" s="20" t="str">
        <x:v>China</x:v>
      </x:c>
      <x:c r="E936" s="20" t="str">
        <x:v>Chinese influence</x:v>
      </x:c>
      <x:c r="F936" s="20" t="str">
        <x:v>Election interference</x:v>
      </x:c>
      <x:c r="G936" s="384" t="n">
        <x:v>1</x:v>
      </x:c>
      <x:c r="H936" s="396" t="n">
        <x:v>2</x:v>
      </x:c>
      <x:c r="I936" s="20" t="str">
        <x:v>EEAS/ODNI China election-FIMI source register</x:v>
      </x:c>
      <x:c r="J936" s="397" t="str">
        <x:v>https://www.eeas.europa.eu/eeas/4th-eeas-annual-report-foreign-information-manipulation-and-interference-threats_en</x:v>
      </x:c>
      <x:c r="K936" s="20" t="str">
        <x:v>Primary source-register URL; automated screening score</x:v>
      </x:c>
      <x:c r="L936" s="20" t="str">
        <x:v>2026-05-20</x:v>
      </x:c>
      <x:c r="M936" s="20" t="str">
        <x:v>2026-05-20</x:v>
      </x:c>
      <x:c r="N936" s="20" t="str">
        <x:v>GPT-5.5 Pro</x:v>
      </x:c>
      <x:c r="O936" s="20" t="str">
        <x:v>Needs review</x:v>
      </x:c>
      <x:c r="P936" s="20" t="str">
        <x:v>Screening score for China / Election interference in Liberia; verify with country-specific evidence before final use.</x:v>
      </x:c>
    </x:row>
    <x:row r="937" ht="24" customHeight="1">
      <x:c r="A937" s="20" t="str">
        <x:v>LBR|China|Security contractors</x:v>
      </x:c>
      <x:c r="B937" s="20" t="str">
        <x:v>Liberia</x:v>
      </x:c>
      <x:c r="C937" s="20" t="str">
        <x:v>LBR</x:v>
      </x:c>
      <x:c r="D937" s="20" t="str">
        <x:v>China</x:v>
      </x:c>
      <x:c r="E937" s="20" t="str">
        <x:v>Chinese influence</x:v>
      </x:c>
      <x:c r="F937" s="20" t="str">
        <x:v>Security contractors</x:v>
      </x:c>
      <x:c r="G937" s="384" t="n">
        <x:v>1</x:v>
      </x:c>
      <x:c r="H937" s="396" t="n">
        <x:v>2</x:v>
      </x:c>
      <x:c r="I937" s="20" t="str">
        <x:v>MERICS/Carnegie Chinese security contractor source register</x:v>
      </x:c>
      <x:c r="J937" s="397" t="str">
        <x:v>https://merics.org/en/report/guardians-belt-and-road</x:v>
      </x:c>
      <x:c r="K937" s="20" t="str">
        <x:v>Primary source-register URL; automated screening score</x:v>
      </x:c>
      <x:c r="L937" s="20" t="str">
        <x:v>2026-05-20</x:v>
      </x:c>
      <x:c r="M937" s="20" t="str">
        <x:v>2026-05-20</x:v>
      </x:c>
      <x:c r="N937" s="20" t="str">
        <x:v>GPT-5.5 Pro</x:v>
      </x:c>
      <x:c r="O937" s="20" t="str">
        <x:v>Needs review</x:v>
      </x:c>
      <x:c r="P937" s="20" t="str">
        <x:v>Screening score for China / Security contractors in Liberia; verify with country-specific evidence before final use.</x:v>
      </x:c>
    </x:row>
    <x:row r="938" ht="24" customHeight="1">
      <x:c r="A938" s="20" t="str">
        <x:v>LBR|United States|Propaganda ecosystems</x:v>
      </x:c>
      <x:c r="B938" s="20" t="str">
        <x:v>Liberia</x:v>
      </x:c>
      <x:c r="C938" s="20" t="str">
        <x:v>LBR</x:v>
      </x:c>
      <x:c r="D938" s="20" t="str">
        <x:v>United States</x:v>
      </x:c>
      <x:c r="E938" s="20" t="str">
        <x:v>American influence</x:v>
      </x:c>
      <x:c r="F938" s="20" t="str">
        <x:v>Propaganda ecosystems</x:v>
      </x:c>
      <x:c r="G938" s="384" t="n">
        <x:v>4</x:v>
      </x:c>
      <x:c r="H938" s="396" t="n">
        <x:v>3</x:v>
      </x:c>
      <x:c r="I938" s="20" t="str">
        <x:v>USAGM public media source register</x:v>
      </x:c>
      <x:c r="J938" s="397" t="str">
        <x:v>https://www.usagm.gov/our-work/strategy-and-results/strategic-priorities/research-reports/</x:v>
      </x:c>
      <x:c r="K938" s="20" t="str">
        <x:v>Primary source-register URL; automated screening score</x:v>
      </x:c>
      <x:c r="L938" s="20" t="str">
        <x:v>2026-05-20</x:v>
      </x:c>
      <x:c r="M938" s="20" t="str">
        <x:v>2026-05-20</x:v>
      </x:c>
      <x:c r="N938" s="20" t="str">
        <x:v>GPT-5.5 Pro</x:v>
      </x:c>
      <x:c r="O938" s="20" t="str">
        <x:v>Needs review</x:v>
      </x:c>
      <x:c r="P938" s="20" t="str">
        <x:v>Screening score for United States / Propaganda ecosystems in Liberia; verify with country-specific evidence before final use.</x:v>
      </x:c>
    </x:row>
    <x:row r="939" ht="24" customHeight="1">
      <x:c r="A939" s="20" t="str">
        <x:v>LBR|United States|PMC presence</x:v>
      </x:c>
      <x:c r="B939" s="20" t="str">
        <x:v>Liberia</x:v>
      </x:c>
      <x:c r="C939" s="20" t="str">
        <x:v>LBR</x:v>
      </x:c>
      <x:c r="D939" s="20" t="str">
        <x:v>United States</x:v>
      </x:c>
      <x:c r="E939" s="20" t="str">
        <x:v>American influence</x:v>
      </x:c>
      <x:c r="F939" s="20" t="str">
        <x:v>PMC presence</x:v>
      </x:c>
      <x:c r="G939" s="384" t="n">
        <x:v>2</x:v>
      </x:c>
      <x:c r="H939" s="396" t="n">
        <x:v>2</x:v>
      </x:c>
      <x:c r="I939" s="20" t="str">
        <x:v>SAM/Greenbook U.S. security assistance contractor source register</x:v>
      </x:c>
      <x:c r="J939" s="397" t="str">
        <x:v>https://internationalpolicy.org/programs/sam/</x:v>
      </x:c>
      <x:c r="K939" s="20" t="str">
        <x:v>Primary source-register URL; automated screening score</x:v>
      </x:c>
      <x:c r="L939" s="20" t="str">
        <x:v>2026-05-20</x:v>
      </x:c>
      <x:c r="M939" s="20" t="str">
        <x:v>2026-05-20</x:v>
      </x:c>
      <x:c r="N939" s="20" t="str">
        <x:v>GPT-5.5 Pro</x:v>
      </x:c>
      <x:c r="O939" s="20" t="str">
        <x:v>Needs review</x:v>
      </x:c>
      <x:c r="P939" s="20" t="str">
        <x:v>Screening score for United States / PMC presence in Liberia; verify with country-specific evidence before final use.</x:v>
      </x:c>
    </x:row>
    <x:row r="940" ht="24" customHeight="1">
      <x:c r="A940" s="20" t="str">
        <x:v>LBR|United States|Election interference</x:v>
      </x:c>
      <x:c r="B940" s="20" t="str">
        <x:v>Liberia</x:v>
      </x:c>
      <x:c r="C940" s="20" t="str">
        <x:v>LBR</x:v>
      </x:c>
      <x:c r="D940" s="20" t="str">
        <x:v>United States</x:v>
      </x:c>
      <x:c r="E940" s="20" t="str">
        <x:v>American influence</x:v>
      </x:c>
      <x:c r="F940" s="20" t="str">
        <x:v>Election interference</x:v>
      </x:c>
      <x:c r="G940" s="384" t="n">
        <x:v>2</x:v>
      </x:c>
      <x:c r="H940" s="396" t="n">
        <x:v>2</x:v>
      </x:c>
      <x:c r="I940" s="20" t="str">
        <x:v>NED/Greenbook democracy assistance source register</x:v>
      </x:c>
      <x:c r="J940" s="397" t="str">
        <x:v>https://www.ned.org/ned-grantmaking/</x:v>
      </x:c>
      <x:c r="K940" s="20" t="str">
        <x:v>Primary source-register URL; automated screening score</x:v>
      </x:c>
      <x:c r="L940" s="20" t="str">
        <x:v>2026-05-20</x:v>
      </x:c>
      <x:c r="M940" s="20" t="str">
        <x:v>2026-05-20</x:v>
      </x:c>
      <x:c r="N940" s="20" t="str">
        <x:v>GPT-5.5 Pro</x:v>
      </x:c>
      <x:c r="O940" s="20" t="str">
        <x:v>Needs review</x:v>
      </x:c>
      <x:c r="P940" s="20" t="str">
        <x:v>Screening score for United States / Election interference in Liberia; verify with country-specific evidence before final use.</x:v>
      </x:c>
    </x:row>
    <x:row r="941" ht="24" customHeight="1">
      <x:c r="A941" s="20" t="str">
        <x:v>LBR|United States|Security contractors</x:v>
      </x:c>
      <x:c r="B941" s="20" t="str">
        <x:v>Liberia</x:v>
      </x:c>
      <x:c r="C941" s="20" t="str">
        <x:v>LBR</x:v>
      </x:c>
      <x:c r="D941" s="20" t="str">
        <x:v>United States</x:v>
      </x:c>
      <x:c r="E941" s="20" t="str">
        <x:v>American influence</x:v>
      </x:c>
      <x:c r="F941" s="20" t="str">
        <x:v>Security contractors</x:v>
      </x:c>
      <x:c r="G941" s="384" t="n">
        <x:v>3</x:v>
      </x:c>
      <x:c r="H941" s="396" t="n">
        <x:v>3</x:v>
      </x:c>
      <x:c r="I941" s="20" t="str">
        <x:v>SAM/Greenbook U.S. security contractor source register</x:v>
      </x:c>
      <x:c r="J941" s="397" t="str">
        <x:v>https://internationalpolicy.org/programs/sam/</x:v>
      </x:c>
      <x:c r="K941" s="20" t="str">
        <x:v>Primary source-register URL; automated screening score</x:v>
      </x:c>
      <x:c r="L941" s="20" t="str">
        <x:v>2026-05-20</x:v>
      </x:c>
      <x:c r="M941" s="20" t="str">
        <x:v>2026-05-20</x:v>
      </x:c>
      <x:c r="N941" s="20" t="str">
        <x:v>GPT-5.5 Pro</x:v>
      </x:c>
      <x:c r="O941" s="20" t="str">
        <x:v>Needs review</x:v>
      </x:c>
      <x:c r="P941" s="20" t="str">
        <x:v>Screening score for United States / Security contractors in Liberia; verify with country-specific evidence before final use.</x:v>
      </x:c>
    </x:row>
    <x:row r="942" ht="24" customHeight="1">
      <x:c r="A942" s="20" t="str">
        <x:v>LBR|European Union|Propaganda ecosystems</x:v>
      </x:c>
      <x:c r="B942" s="20" t="str">
        <x:v>Liberia</x:v>
      </x:c>
      <x:c r="C942" s="20" t="str">
        <x:v>LBR</x:v>
      </x:c>
      <x:c r="D942" s="20" t="str">
        <x:v>European Union</x:v>
      </x:c>
      <x:c r="E942" s="20" t="str">
        <x:v>EU influence</x:v>
      </x:c>
      <x:c r="F942" s="20" t="str">
        <x:v>Propaganda ecosystems</x:v>
      </x:c>
      <x:c r="G942" s="384" t="n">
        <x:v>3</x:v>
      </x:c>
      <x:c r="H942" s="396" t="n">
        <x:v>3</x:v>
      </x:c>
      <x:c r="I942" s="20" t="str">
        <x:v>EEAS public diplomacy source register</x:v>
      </x:c>
      <x:c r="J942" s="397" t="str">
        <x:v>https://www.eeas.europa.eu/eeas/public-diplomacy_en</x:v>
      </x:c>
      <x:c r="K942" s="20" t="str">
        <x:v>Primary source-register URL; automated screening score</x:v>
      </x:c>
      <x:c r="L942" s="20" t="str">
        <x:v>2026-05-20</x:v>
      </x:c>
      <x:c r="M942" s="20" t="str">
        <x:v>2026-05-20</x:v>
      </x:c>
      <x:c r="N942" s="20" t="str">
        <x:v>GPT-5.5 Pro</x:v>
      </x:c>
      <x:c r="O942" s="20" t="str">
        <x:v>Needs review</x:v>
      </x:c>
      <x:c r="P942" s="20" t="str">
        <x:v>Screening score for European Union / Propaganda ecosystems in Liberia; verify with country-specific evidence before final use.</x:v>
      </x:c>
    </x:row>
    <x:row r="943" ht="24" customHeight="1">
      <x:c r="A943" s="20" t="str">
        <x:v>LBR|European Union|PMC presence</x:v>
      </x:c>
      <x:c r="B943" s="20" t="str">
        <x:v>Liberia</x:v>
      </x:c>
      <x:c r="C943" s="20" t="str">
        <x:v>LBR</x:v>
      </x:c>
      <x:c r="D943" s="20" t="str">
        <x:v>European Union</x:v>
      </x:c>
      <x:c r="E943" s="20" t="str">
        <x:v>EU influence</x:v>
      </x:c>
      <x:c r="F943" s="20" t="str">
        <x:v>PMC presence</x:v>
      </x:c>
      <x:c r="G943" s="384" t="n">
        <x:v>0</x:v>
      </x:c>
      <x:c r="H943" s="396" t="n">
        <x:v>1</x:v>
      </x:c>
      <x:c r="I943" s="20" t="str">
        <x:v>EEAS CSDP missions source register</x:v>
      </x:c>
      <x:c r="J943" s="397" t="str">
        <x:v>https://www.eeas.europa.eu/eeas/missions-and-operations_en</x:v>
      </x:c>
      <x:c r="K943" s="20" t="str">
        <x:v>Primary source-register URL; automated screening score</x:v>
      </x:c>
      <x:c r="L943" s="20" t="str">
        <x:v>2026-05-20</x:v>
      </x:c>
      <x:c r="M943" s="20" t="str">
        <x:v>2026-05-20</x:v>
      </x:c>
      <x:c r="N943" s="20" t="str">
        <x:v>GPT-5.5 Pro</x:v>
      </x:c>
      <x:c r="O943" s="20" t="str">
        <x:v>Needs review</x:v>
      </x:c>
      <x:c r="P943" s="20" t="str">
        <x:v>Screening score for European Union / PMC presence in Liberia; verify with country-specific evidence before final use.</x:v>
      </x:c>
    </x:row>
    <x:row r="944" ht="24" customHeight="1">
      <x:c r="A944" s="20" t="str">
        <x:v>LBR|European Union|Election interference</x:v>
      </x:c>
      <x:c r="B944" s="20" t="str">
        <x:v>Liberia</x:v>
      </x:c>
      <x:c r="C944" s="20" t="str">
        <x:v>LBR</x:v>
      </x:c>
      <x:c r="D944" s="20" t="str">
        <x:v>European Union</x:v>
      </x:c>
      <x:c r="E944" s="20" t="str">
        <x:v>EU influence</x:v>
      </x:c>
      <x:c r="F944" s="20" t="str">
        <x:v>Election interference</x:v>
      </x:c>
      <x:c r="G944" s="384" t="n">
        <x:v>1</x:v>
      </x:c>
      <x:c r="H944" s="396" t="n">
        <x:v>2</x:v>
      </x:c>
      <x:c r="I944" s="20" t="str">
        <x:v>EEAS EU election observation source register</x:v>
      </x:c>
      <x:c r="J944" s="397" t="str">
        <x:v>https://www.eeas.europa.eu/eeas/eu-election-observation-missions-1_en?page_lang=en</x:v>
      </x:c>
      <x:c r="K944" s="20" t="str">
        <x:v>Primary source-register URL; automated screening score</x:v>
      </x:c>
      <x:c r="L944" s="20" t="str">
        <x:v>2026-05-20</x:v>
      </x:c>
      <x:c r="M944" s="20" t="str">
        <x:v>2026-05-20</x:v>
      </x:c>
      <x:c r="N944" s="20" t="str">
        <x:v>GPT-5.5 Pro</x:v>
      </x:c>
      <x:c r="O944" s="20" t="str">
        <x:v>Needs review</x:v>
      </x:c>
      <x:c r="P944" s="20" t="str">
        <x:v>Screening score for European Union / Election interference in Liberia; verify with country-specific evidence before final use.</x:v>
      </x:c>
    </x:row>
    <x:row r="945" ht="24" customHeight="1">
      <x:c r="A945" s="20" t="str">
        <x:v>LBR|European Union|Security contractors</x:v>
      </x:c>
      <x:c r="B945" s="20" t="str">
        <x:v>Liberia</x:v>
      </x:c>
      <x:c r="C945" s="20" t="str">
        <x:v>LBR</x:v>
      </x:c>
      <x:c r="D945" s="20" t="str">
        <x:v>European Union</x:v>
      </x:c>
      <x:c r="E945" s="20" t="str">
        <x:v>EU influence</x:v>
      </x:c>
      <x:c r="F945" s="20" t="str">
        <x:v>Security contractors</x:v>
      </x:c>
      <x:c r="G945" s="384" t="n">
        <x:v>2</x:v>
      </x:c>
      <x:c r="H945" s="396" t="n">
        <x:v>2</x:v>
      </x:c>
      <x:c r="I945" s="20" t="str">
        <x:v>EEAS CSDP / Global Gateway security source register</x:v>
      </x:c>
      <x:c r="J945" s="397" t="str">
        <x:v>https://www.eeas.europa.eu/eeas/missions-and-operations_en</x:v>
      </x:c>
      <x:c r="K945" s="20" t="str">
        <x:v>Primary source-register URL; automated screening score</x:v>
      </x:c>
      <x:c r="L945" s="20" t="str">
        <x:v>2026-05-20</x:v>
      </x:c>
      <x:c r="M945" s="20" t="str">
        <x:v>2026-05-20</x:v>
      </x:c>
      <x:c r="N945" s="20" t="str">
        <x:v>GPT-5.5 Pro</x:v>
      </x:c>
      <x:c r="O945" s="20" t="str">
        <x:v>Needs review</x:v>
      </x:c>
      <x:c r="P945" s="20" t="str">
        <x:v>Screening score for European Union / Security contractors in Liberia; verify with country-specific evidence before final use.</x:v>
      </x:c>
    </x:row>
    <x:row r="946" ht="24" customHeight="1">
      <x:c r="A946" s="20" t="str">
        <x:v>LBY|Russia|Propaganda ecosystems</x:v>
      </x:c>
      <x:c r="B946" s="20" t="str">
        <x:v>Libya</x:v>
      </x:c>
      <x:c r="C946" s="20" t="str">
        <x:v>LBY</x:v>
      </x:c>
      <x:c r="D946" s="20" t="str">
        <x:v>Russia</x:v>
      </x:c>
      <x:c r="E946" s="20" t="str">
        <x:v>Russian influence</x:v>
      </x:c>
      <x:c r="F946" s="20" t="str">
        <x:v>Propaganda ecosystems</x:v>
      </x:c>
      <x:c r="G946" s="384" t="n">
        <x:v>7</x:v>
      </x:c>
      <x:c r="H946" s="396" t="n">
        <x:v>4</x:v>
      </x:c>
      <x:c r="I946" s="20" t="str">
        <x:v>EEAS/EUvsDisinfo FIMI source register</x:v>
      </x:c>
      <x:c r="J946" s="397" t="str">
        <x:v>https://www.eeas.europa.eu/eeas/4th-eeas-annual-report-foreign-information-manipulation-and-interference-threats_en</x:v>
      </x:c>
      <x:c r="K946" s="20" t="str">
        <x:v>Primary source-register URL; automated screening score</x:v>
      </x:c>
      <x:c r="L946" s="20" t="str">
        <x:v>2026-05-20</x:v>
      </x:c>
      <x:c r="M946" s="20" t="str">
        <x:v>2026-05-20</x:v>
      </x:c>
      <x:c r="N946" s="20" t="str">
        <x:v>GPT-5.5 Pro</x:v>
      </x:c>
      <x:c r="O946" s="20" t="str">
        <x:v>Needs review</x:v>
      </x:c>
      <x:c r="P946" s="20" t="str">
        <x:v>Screening score for Russia / Propaganda ecosystems in Libya; verify with country-specific evidence before final use.</x:v>
      </x:c>
    </x:row>
    <x:row r="947" ht="24" customHeight="1">
      <x:c r="A947" s="20" t="str">
        <x:v>LBY|Russia|PMC presence</x:v>
      </x:c>
      <x:c r="B947" s="20" t="str">
        <x:v>Libya</x:v>
      </x:c>
      <x:c r="C947" s="20" t="str">
        <x:v>LBY</x:v>
      </x:c>
      <x:c r="D947" s="20" t="str">
        <x:v>Russia</x:v>
      </x:c>
      <x:c r="E947" s="20" t="str">
        <x:v>Russian influence</x:v>
      </x:c>
      <x:c r="F947" s="20" t="str">
        <x:v>PMC presence</x:v>
      </x:c>
      <x:c r="G947" s="384" t="n">
        <x:v>8</x:v>
      </x:c>
      <x:c r="H947" s="396" t="n">
        <x:v>4</x:v>
      </x:c>
      <x:c r="I947" s="20" t="str">
        <x:v>Treasury and Council of the EU Wagner/PMC source register</x:v>
      </x:c>
      <x:c r="J947" s="397" t="str">
        <x:v>https://www.consilium.europa.eu/en/press/press-releases/2023/02/25/wagner-group-council-adds-11-individuals-and-7-entities-to-eu-sanctions-lists/</x:v>
      </x:c>
      <x:c r="K947" s="20" t="str">
        <x:v>Primary source-register URL; automated screening score</x:v>
      </x:c>
      <x:c r="L947" s="20" t="str">
        <x:v>2026-05-20</x:v>
      </x:c>
      <x:c r="M947" s="20" t="str">
        <x:v>2026-05-20</x:v>
      </x:c>
      <x:c r="N947" s="20" t="str">
        <x:v>GPT-5.5 Pro</x:v>
      </x:c>
      <x:c r="O947" s="20" t="str">
        <x:v>Needs review</x:v>
      </x:c>
      <x:c r="P947" s="20" t="str">
        <x:v>Screening score for Russia / PMC presence in Libya; verify with country-specific evidence before final use.</x:v>
      </x:c>
    </x:row>
    <x:row r="948" ht="24" customHeight="1">
      <x:c r="A948" s="20" t="str">
        <x:v>LBY|Russia|Election interference</x:v>
      </x:c>
      <x:c r="B948" s="20" t="str">
        <x:v>Libya</x:v>
      </x:c>
      <x:c r="C948" s="20" t="str">
        <x:v>LBY</x:v>
      </x:c>
      <x:c r="D948" s="20" t="str">
        <x:v>Russia</x:v>
      </x:c>
      <x:c r="E948" s="20" t="str">
        <x:v>Russian influence</x:v>
      </x:c>
      <x:c r="F948" s="20" t="str">
        <x:v>Election interference</x:v>
      </x:c>
      <x:c r="G948" s="384" t="n">
        <x:v>3</x:v>
      </x:c>
      <x:c r="H948" s="396" t="n">
        <x:v>3</x:v>
      </x:c>
      <x:c r="I948" s="20" t="str">
        <x:v>ODNI/EEAS election-FIMI source register</x:v>
      </x:c>
      <x:c r="J948" s="397" t="str">
        <x:v>https://www.dni.gov/files/ODNI/documents/assessments/ATA-2026-Unclassified-Report.pdf</x:v>
      </x:c>
      <x:c r="K948" s="20" t="str">
        <x:v>Primary source-register URL; automated screening score</x:v>
      </x:c>
      <x:c r="L948" s="20" t="str">
        <x:v>2026-05-20</x:v>
      </x:c>
      <x:c r="M948" s="20" t="str">
        <x:v>2026-05-20</x:v>
      </x:c>
      <x:c r="N948" s="20" t="str">
        <x:v>GPT-5.5 Pro</x:v>
      </x:c>
      <x:c r="O948" s="20" t="str">
        <x:v>Needs review</x:v>
      </x:c>
      <x:c r="P948" s="20" t="str">
        <x:v>Screening score for Russia / Election interference in Libya; verify with country-specific evidence before final use.</x:v>
      </x:c>
    </x:row>
    <x:row r="949" ht="24" customHeight="1">
      <x:c r="A949" s="20" t="str">
        <x:v>LBY|Russia|Security contractors</x:v>
      </x:c>
      <x:c r="B949" s="20" t="str">
        <x:v>Libya</x:v>
      </x:c>
      <x:c r="C949" s="20" t="str">
        <x:v>LBY</x:v>
      </x:c>
      <x:c r="D949" s="20" t="str">
        <x:v>Russia</x:v>
      </x:c>
      <x:c r="E949" s="20" t="str">
        <x:v>Russian influence</x:v>
      </x:c>
      <x:c r="F949" s="20" t="str">
        <x:v>Security contractors</x:v>
      </x:c>
      <x:c r="G949" s="384" t="n">
        <x:v>7</x:v>
      </x:c>
      <x:c r="H949" s="396" t="n">
        <x:v>4</x:v>
      </x:c>
      <x:c r="I949" s="20" t="str">
        <x:v>Council of the EU/Treasury Wagner-security source register</x:v>
      </x:c>
      <x:c r="J949" s="397" t="str">
        <x:v>https://www.consilium.europa.eu/en/press/press-releases/2023/02/25/wagner-group-council-adds-11-individuals-and-7-entities-to-eu-sanctions-lists/</x:v>
      </x:c>
      <x:c r="K949" s="20" t="str">
        <x:v>Primary source-register URL; automated screening score</x:v>
      </x:c>
      <x:c r="L949" s="20" t="str">
        <x:v>2026-05-20</x:v>
      </x:c>
      <x:c r="M949" s="20" t="str">
        <x:v>2026-05-20</x:v>
      </x:c>
      <x:c r="N949" s="20" t="str">
        <x:v>GPT-5.5 Pro</x:v>
      </x:c>
      <x:c r="O949" s="20" t="str">
        <x:v>Needs review</x:v>
      </x:c>
      <x:c r="P949" s="20" t="str">
        <x:v>Screening score for Russia / Security contractors in Libya; verify with country-specific evidence before final use.</x:v>
      </x:c>
    </x:row>
    <x:row r="950" ht="24" customHeight="1">
      <x:c r="A950" s="20" t="str">
        <x:v>LBY|China|Propaganda ecosystems</x:v>
      </x:c>
      <x:c r="B950" s="20" t="str">
        <x:v>Libya</x:v>
      </x:c>
      <x:c r="C950" s="20" t="str">
        <x:v>LBY</x:v>
      </x:c>
      <x:c r="D950" s="20" t="str">
        <x:v>China</x:v>
      </x:c>
      <x:c r="E950" s="20" t="str">
        <x:v>Chinese influence</x:v>
      </x:c>
      <x:c r="F950" s="20" t="str">
        <x:v>Propaganda ecosystems</x:v>
      </x:c>
      <x:c r="G950" s="384" t="n">
        <x:v>5</x:v>
      </x:c>
      <x:c r="H950" s="396" t="n">
        <x:v>3</x:v>
      </x:c>
      <x:c r="I950" s="20" t="str">
        <x:v>EEAS/ODNI China FIMI source register</x:v>
      </x:c>
      <x:c r="J950" s="397" t="str">
        <x:v>https://www.eeas.europa.eu/eeas/4th-eeas-annual-report-foreign-information-manipulation-and-interference-threats_en</x:v>
      </x:c>
      <x:c r="K950" s="20" t="str">
        <x:v>Primary source-register URL; automated screening score</x:v>
      </x:c>
      <x:c r="L950" s="20" t="str">
        <x:v>2026-05-20</x:v>
      </x:c>
      <x:c r="M950" s="20" t="str">
        <x:v>2026-05-20</x:v>
      </x:c>
      <x:c r="N950" s="20" t="str">
        <x:v>GPT-5.5 Pro</x:v>
      </x:c>
      <x:c r="O950" s="20" t="str">
        <x:v>Needs review</x:v>
      </x:c>
      <x:c r="P950" s="20" t="str">
        <x:v>Screening score for China / Propaganda ecosystems in Libya; verify with country-specific evidence before final use.</x:v>
      </x:c>
    </x:row>
    <x:row r="951" ht="24" customHeight="1">
      <x:c r="A951" s="20" t="str">
        <x:v>LBY|China|PMC presence</x:v>
      </x:c>
      <x:c r="B951" s="20" t="str">
        <x:v>Libya</x:v>
      </x:c>
      <x:c r="C951" s="20" t="str">
        <x:v>LBY</x:v>
      </x:c>
      <x:c r="D951" s="20" t="str">
        <x:v>China</x:v>
      </x:c>
      <x:c r="E951" s="20" t="str">
        <x:v>Chinese influence</x:v>
      </x:c>
      <x:c r="F951" s="20" t="str">
        <x:v>PMC presence</x:v>
      </x:c>
      <x:c r="G951" s="384" t="n">
        <x:v>1</x:v>
      </x:c>
      <x:c r="H951" s="396" t="n">
        <x:v>2</x:v>
      </x:c>
      <x:c r="I951" s="20" t="str">
        <x:v>MERICS/Carnegie Chinese overseas PSC source register</x:v>
      </x:c>
      <x:c r="J951" s="397" t="str">
        <x:v>https://merics.org/en/report/guardians-belt-and-road</x:v>
      </x:c>
      <x:c r="K951" s="20" t="str">
        <x:v>Primary source-register URL; automated screening score</x:v>
      </x:c>
      <x:c r="L951" s="20" t="str">
        <x:v>2026-05-20</x:v>
      </x:c>
      <x:c r="M951" s="20" t="str">
        <x:v>2026-05-20</x:v>
      </x:c>
      <x:c r="N951" s="20" t="str">
        <x:v>GPT-5.5 Pro</x:v>
      </x:c>
      <x:c r="O951" s="20" t="str">
        <x:v>Needs review</x:v>
      </x:c>
      <x:c r="P951" s="20" t="str">
        <x:v>Screening score for China / PMC presence in Libya; verify with country-specific evidence before final use.</x:v>
      </x:c>
    </x:row>
    <x:row r="952" ht="24" customHeight="1">
      <x:c r="A952" s="20" t="str">
        <x:v>LBY|China|Election interference</x:v>
      </x:c>
      <x:c r="B952" s="20" t="str">
        <x:v>Libya</x:v>
      </x:c>
      <x:c r="C952" s="20" t="str">
        <x:v>LBY</x:v>
      </x:c>
      <x:c r="D952" s="20" t="str">
        <x:v>China</x:v>
      </x:c>
      <x:c r="E952" s="20" t="str">
        <x:v>Chinese influence</x:v>
      </x:c>
      <x:c r="F952" s="20" t="str">
        <x:v>Election interference</x:v>
      </x:c>
      <x:c r="G952" s="384" t="n">
        <x:v>1</x:v>
      </x:c>
      <x:c r="H952" s="396" t="n">
        <x:v>2</x:v>
      </x:c>
      <x:c r="I952" s="20" t="str">
        <x:v>EEAS/ODNI China election-FIMI source register</x:v>
      </x:c>
      <x:c r="J952" s="397" t="str">
        <x:v>https://www.eeas.europa.eu/eeas/4th-eeas-annual-report-foreign-information-manipulation-and-interference-threats_en</x:v>
      </x:c>
      <x:c r="K952" s="20" t="str">
        <x:v>Primary source-register URL; automated screening score</x:v>
      </x:c>
      <x:c r="L952" s="20" t="str">
        <x:v>2026-05-20</x:v>
      </x:c>
      <x:c r="M952" s="20" t="str">
        <x:v>2026-05-20</x:v>
      </x:c>
      <x:c r="N952" s="20" t="str">
        <x:v>GPT-5.5 Pro</x:v>
      </x:c>
      <x:c r="O952" s="20" t="str">
        <x:v>Needs review</x:v>
      </x:c>
      <x:c r="P952" s="20" t="str">
        <x:v>Screening score for China / Election interference in Libya; verify with country-specific evidence before final use.</x:v>
      </x:c>
    </x:row>
    <x:row r="953" ht="24" customHeight="1">
      <x:c r="A953" s="20" t="str">
        <x:v>LBY|China|Security contractors</x:v>
      </x:c>
      <x:c r="B953" s="20" t="str">
        <x:v>Libya</x:v>
      </x:c>
      <x:c r="C953" s="20" t="str">
        <x:v>LBY</x:v>
      </x:c>
      <x:c r="D953" s="20" t="str">
        <x:v>China</x:v>
      </x:c>
      <x:c r="E953" s="20" t="str">
        <x:v>Chinese influence</x:v>
      </x:c>
      <x:c r="F953" s="20" t="str">
        <x:v>Security contractors</x:v>
      </x:c>
      <x:c r="G953" s="384" t="n">
        <x:v>1</x:v>
      </x:c>
      <x:c r="H953" s="396" t="n">
        <x:v>2</x:v>
      </x:c>
      <x:c r="I953" s="20" t="str">
        <x:v>MERICS/Carnegie Chinese security contractor source register</x:v>
      </x:c>
      <x:c r="J953" s="397" t="str">
        <x:v>https://merics.org/en/report/guardians-belt-and-road</x:v>
      </x:c>
      <x:c r="K953" s="20" t="str">
        <x:v>Primary source-register URL; automated screening score</x:v>
      </x:c>
      <x:c r="L953" s="20" t="str">
        <x:v>2026-05-20</x:v>
      </x:c>
      <x:c r="M953" s="20" t="str">
        <x:v>2026-05-20</x:v>
      </x:c>
      <x:c r="N953" s="20" t="str">
        <x:v>GPT-5.5 Pro</x:v>
      </x:c>
      <x:c r="O953" s="20" t="str">
        <x:v>Needs review</x:v>
      </x:c>
      <x:c r="P953" s="20" t="str">
        <x:v>Screening score for China / Security contractors in Libya; verify with country-specific evidence before final use.</x:v>
      </x:c>
    </x:row>
    <x:row r="954" ht="24" customHeight="1">
      <x:c r="A954" s="20" t="str">
        <x:v>LBY|United States|Propaganda ecosystems</x:v>
      </x:c>
      <x:c r="B954" s="20" t="str">
        <x:v>Libya</x:v>
      </x:c>
      <x:c r="C954" s="20" t="str">
        <x:v>LBY</x:v>
      </x:c>
      <x:c r="D954" s="20" t="str">
        <x:v>United States</x:v>
      </x:c>
      <x:c r="E954" s="20" t="str">
        <x:v>American influence</x:v>
      </x:c>
      <x:c r="F954" s="20" t="str">
        <x:v>Propaganda ecosystems</x:v>
      </x:c>
      <x:c r="G954" s="384" t="n">
        <x:v>4</x:v>
      </x:c>
      <x:c r="H954" s="396" t="n">
        <x:v>3</x:v>
      </x:c>
      <x:c r="I954" s="20" t="str">
        <x:v>USAGM public media source register</x:v>
      </x:c>
      <x:c r="J954" s="397" t="str">
        <x:v>https://www.usagm.gov/our-work/strategy-and-results/strategic-priorities/research-reports/</x:v>
      </x:c>
      <x:c r="K954" s="20" t="str">
        <x:v>Primary source-register URL; automated screening score</x:v>
      </x:c>
      <x:c r="L954" s="20" t="str">
        <x:v>2026-05-20</x:v>
      </x:c>
      <x:c r="M954" s="20" t="str">
        <x:v>2026-05-20</x:v>
      </x:c>
      <x:c r="N954" s="20" t="str">
        <x:v>GPT-5.5 Pro</x:v>
      </x:c>
      <x:c r="O954" s="20" t="str">
        <x:v>Needs review</x:v>
      </x:c>
      <x:c r="P954" s="20" t="str">
        <x:v>Screening score for United States / Propaganda ecosystems in Libya; verify with country-specific evidence before final use.</x:v>
      </x:c>
    </x:row>
    <x:row r="955" ht="24" customHeight="1">
      <x:c r="A955" s="20" t="str">
        <x:v>LBY|United States|PMC presence</x:v>
      </x:c>
      <x:c r="B955" s="20" t="str">
        <x:v>Libya</x:v>
      </x:c>
      <x:c r="C955" s="20" t="str">
        <x:v>LBY</x:v>
      </x:c>
      <x:c r="D955" s="20" t="str">
        <x:v>United States</x:v>
      </x:c>
      <x:c r="E955" s="20" t="str">
        <x:v>American influence</x:v>
      </x:c>
      <x:c r="F955" s="20" t="str">
        <x:v>PMC presence</x:v>
      </x:c>
      <x:c r="G955" s="384" t="n">
        <x:v>2</x:v>
      </x:c>
      <x:c r="H955" s="396" t="n">
        <x:v>2</x:v>
      </x:c>
      <x:c r="I955" s="20" t="str">
        <x:v>SAM/Greenbook U.S. security assistance contractor source register</x:v>
      </x:c>
      <x:c r="J955" s="397" t="str">
        <x:v>https://internationalpolicy.org/programs/sam/</x:v>
      </x:c>
      <x:c r="K955" s="20" t="str">
        <x:v>Primary source-register URL; automated screening score</x:v>
      </x:c>
      <x:c r="L955" s="20" t="str">
        <x:v>2026-05-20</x:v>
      </x:c>
      <x:c r="M955" s="20" t="str">
        <x:v>2026-05-20</x:v>
      </x:c>
      <x:c r="N955" s="20" t="str">
        <x:v>GPT-5.5 Pro</x:v>
      </x:c>
      <x:c r="O955" s="20" t="str">
        <x:v>Needs review</x:v>
      </x:c>
      <x:c r="P955" s="20" t="str">
        <x:v>Screening score for United States / PMC presence in Libya; verify with country-specific evidence before final use.</x:v>
      </x:c>
    </x:row>
    <x:row r="956" ht="24" customHeight="1">
      <x:c r="A956" s="20" t="str">
        <x:v>LBY|United States|Election interference</x:v>
      </x:c>
      <x:c r="B956" s="20" t="str">
        <x:v>Libya</x:v>
      </x:c>
      <x:c r="C956" s="20" t="str">
        <x:v>LBY</x:v>
      </x:c>
      <x:c r="D956" s="20" t="str">
        <x:v>United States</x:v>
      </x:c>
      <x:c r="E956" s="20" t="str">
        <x:v>American influence</x:v>
      </x:c>
      <x:c r="F956" s="20" t="str">
        <x:v>Election interference</x:v>
      </x:c>
      <x:c r="G956" s="384" t="n">
        <x:v>2</x:v>
      </x:c>
      <x:c r="H956" s="396" t="n">
        <x:v>2</x:v>
      </x:c>
      <x:c r="I956" s="20" t="str">
        <x:v>NED/Greenbook democracy assistance source register</x:v>
      </x:c>
      <x:c r="J956" s="397" t="str">
        <x:v>https://www.ned.org/ned-grantmaking/</x:v>
      </x:c>
      <x:c r="K956" s="20" t="str">
        <x:v>Primary source-register URL; automated screening score</x:v>
      </x:c>
      <x:c r="L956" s="20" t="str">
        <x:v>2026-05-20</x:v>
      </x:c>
      <x:c r="M956" s="20" t="str">
        <x:v>2026-05-20</x:v>
      </x:c>
      <x:c r="N956" s="20" t="str">
        <x:v>GPT-5.5 Pro</x:v>
      </x:c>
      <x:c r="O956" s="20" t="str">
        <x:v>Needs review</x:v>
      </x:c>
      <x:c r="P956" s="20" t="str">
        <x:v>Screening score for United States / Election interference in Libya; verify with country-specific evidence before final use.</x:v>
      </x:c>
    </x:row>
    <x:row r="957" ht="24" customHeight="1">
      <x:c r="A957" s="20" t="str">
        <x:v>LBY|United States|Security contractors</x:v>
      </x:c>
      <x:c r="B957" s="20" t="str">
        <x:v>Libya</x:v>
      </x:c>
      <x:c r="C957" s="20" t="str">
        <x:v>LBY</x:v>
      </x:c>
      <x:c r="D957" s="20" t="str">
        <x:v>United States</x:v>
      </x:c>
      <x:c r="E957" s="20" t="str">
        <x:v>American influence</x:v>
      </x:c>
      <x:c r="F957" s="20" t="str">
        <x:v>Security contractors</x:v>
      </x:c>
      <x:c r="G957" s="384" t="n">
        <x:v>3</x:v>
      </x:c>
      <x:c r="H957" s="396" t="n">
        <x:v>3</x:v>
      </x:c>
      <x:c r="I957" s="20" t="str">
        <x:v>SAM/Greenbook U.S. security contractor source register</x:v>
      </x:c>
      <x:c r="J957" s="397" t="str">
        <x:v>https://internationalpolicy.org/programs/sam/</x:v>
      </x:c>
      <x:c r="K957" s="20" t="str">
        <x:v>Primary source-register URL; automated screening score</x:v>
      </x:c>
      <x:c r="L957" s="20" t="str">
        <x:v>2026-05-20</x:v>
      </x:c>
      <x:c r="M957" s="20" t="str">
        <x:v>2026-05-20</x:v>
      </x:c>
      <x:c r="N957" s="20" t="str">
        <x:v>GPT-5.5 Pro</x:v>
      </x:c>
      <x:c r="O957" s="20" t="str">
        <x:v>Needs review</x:v>
      </x:c>
      <x:c r="P957" s="20" t="str">
        <x:v>Screening score for United States / Security contractors in Libya; verify with country-specific evidence before final use.</x:v>
      </x:c>
    </x:row>
    <x:row r="958" ht="24" customHeight="1">
      <x:c r="A958" s="20" t="str">
        <x:v>LBY|European Union|Propaganda ecosystems</x:v>
      </x:c>
      <x:c r="B958" s="20" t="str">
        <x:v>Libya</x:v>
      </x:c>
      <x:c r="C958" s="20" t="str">
        <x:v>LBY</x:v>
      </x:c>
      <x:c r="D958" s="20" t="str">
        <x:v>European Union</x:v>
      </x:c>
      <x:c r="E958" s="20" t="str">
        <x:v>EU influence</x:v>
      </x:c>
      <x:c r="F958" s="20" t="str">
        <x:v>Propaganda ecosystems</x:v>
      </x:c>
      <x:c r="G958" s="384" t="n">
        <x:v>3</x:v>
      </x:c>
      <x:c r="H958" s="396" t="n">
        <x:v>3</x:v>
      </x:c>
      <x:c r="I958" s="20" t="str">
        <x:v>EEAS public diplomacy source register</x:v>
      </x:c>
      <x:c r="J958" s="397" t="str">
        <x:v>https://www.eeas.europa.eu/eeas/public-diplomacy_en</x:v>
      </x:c>
      <x:c r="K958" s="20" t="str">
        <x:v>Primary source-register URL; automated screening score</x:v>
      </x:c>
      <x:c r="L958" s="20" t="str">
        <x:v>2026-05-20</x:v>
      </x:c>
      <x:c r="M958" s="20" t="str">
        <x:v>2026-05-20</x:v>
      </x:c>
      <x:c r="N958" s="20" t="str">
        <x:v>GPT-5.5 Pro</x:v>
      </x:c>
      <x:c r="O958" s="20" t="str">
        <x:v>Needs review</x:v>
      </x:c>
      <x:c r="P958" s="20" t="str">
        <x:v>Screening score for European Union / Propaganda ecosystems in Libya; verify with country-specific evidence before final use.</x:v>
      </x:c>
    </x:row>
    <x:row r="959" ht="24" customHeight="1">
      <x:c r="A959" s="20" t="str">
        <x:v>LBY|European Union|PMC presence</x:v>
      </x:c>
      <x:c r="B959" s="20" t="str">
        <x:v>Libya</x:v>
      </x:c>
      <x:c r="C959" s="20" t="str">
        <x:v>LBY</x:v>
      </x:c>
      <x:c r="D959" s="20" t="str">
        <x:v>European Union</x:v>
      </x:c>
      <x:c r="E959" s="20" t="str">
        <x:v>EU influence</x:v>
      </x:c>
      <x:c r="F959" s="20" t="str">
        <x:v>PMC presence</x:v>
      </x:c>
      <x:c r="G959" s="384" t="n">
        <x:v>1</x:v>
      </x:c>
      <x:c r="H959" s="396" t="n">
        <x:v>2</x:v>
      </x:c>
      <x:c r="I959" s="20" t="str">
        <x:v>EEAS CSDP missions source register</x:v>
      </x:c>
      <x:c r="J959" s="397" t="str">
        <x:v>https://www.eeas.europa.eu/eeas/missions-and-operations_en</x:v>
      </x:c>
      <x:c r="K959" s="20" t="str">
        <x:v>Primary source-register URL; automated screening score</x:v>
      </x:c>
      <x:c r="L959" s="20" t="str">
        <x:v>2026-05-20</x:v>
      </x:c>
      <x:c r="M959" s="20" t="str">
        <x:v>2026-05-20</x:v>
      </x:c>
      <x:c r="N959" s="20" t="str">
        <x:v>GPT-5.5 Pro</x:v>
      </x:c>
      <x:c r="O959" s="20" t="str">
        <x:v>Needs review</x:v>
      </x:c>
      <x:c r="P959" s="20" t="str">
        <x:v>Screening score for European Union / PMC presence in Libya; verify with country-specific evidence before final use.</x:v>
      </x:c>
    </x:row>
    <x:row r="960" ht="24" customHeight="1">
      <x:c r="A960" s="20" t="str">
        <x:v>LBY|European Union|Election interference</x:v>
      </x:c>
      <x:c r="B960" s="20" t="str">
        <x:v>Libya</x:v>
      </x:c>
      <x:c r="C960" s="20" t="str">
        <x:v>LBY</x:v>
      </x:c>
      <x:c r="D960" s="20" t="str">
        <x:v>European Union</x:v>
      </x:c>
      <x:c r="E960" s="20" t="str">
        <x:v>EU influence</x:v>
      </x:c>
      <x:c r="F960" s="20" t="str">
        <x:v>Election interference</x:v>
      </x:c>
      <x:c r="G960" s="384" t="n">
        <x:v>1</x:v>
      </x:c>
      <x:c r="H960" s="396" t="n">
        <x:v>2</x:v>
      </x:c>
      <x:c r="I960" s="20" t="str">
        <x:v>EEAS EU election observation source register</x:v>
      </x:c>
      <x:c r="J960" s="397" t="str">
        <x:v>https://www.eeas.europa.eu/eeas/eu-election-observation-missions-1_en?page_lang=en</x:v>
      </x:c>
      <x:c r="K960" s="20" t="str">
        <x:v>Primary source-register URL; automated screening score</x:v>
      </x:c>
      <x:c r="L960" s="20" t="str">
        <x:v>2026-05-20</x:v>
      </x:c>
      <x:c r="M960" s="20" t="str">
        <x:v>2026-05-20</x:v>
      </x:c>
      <x:c r="N960" s="20" t="str">
        <x:v>GPT-5.5 Pro</x:v>
      </x:c>
      <x:c r="O960" s="20" t="str">
        <x:v>Needs review</x:v>
      </x:c>
      <x:c r="P960" s="20" t="str">
        <x:v>Screening score for European Union / Election interference in Libya; verify with country-specific evidence before final use.</x:v>
      </x:c>
    </x:row>
    <x:row r="961" ht="24" customHeight="1">
      <x:c r="A961" s="20" t="str">
        <x:v>LBY|European Union|Security contractors</x:v>
      </x:c>
      <x:c r="B961" s="20" t="str">
        <x:v>Libya</x:v>
      </x:c>
      <x:c r="C961" s="20" t="str">
        <x:v>LBY</x:v>
      </x:c>
      <x:c r="D961" s="20" t="str">
        <x:v>European Union</x:v>
      </x:c>
      <x:c r="E961" s="20" t="str">
        <x:v>EU influence</x:v>
      </x:c>
      <x:c r="F961" s="20" t="str">
        <x:v>Security contractors</x:v>
      </x:c>
      <x:c r="G961" s="384" t="n">
        <x:v>4</x:v>
      </x:c>
      <x:c r="H961" s="396" t="n">
        <x:v>3</x:v>
      </x:c>
      <x:c r="I961" s="20" t="str">
        <x:v>EEAS CSDP / Global Gateway security source register</x:v>
      </x:c>
      <x:c r="J961" s="397" t="str">
        <x:v>https://www.eeas.europa.eu/eeas/missions-and-operations_en</x:v>
      </x:c>
      <x:c r="K961" s="20" t="str">
        <x:v>Primary source-register URL; automated screening score</x:v>
      </x:c>
      <x:c r="L961" s="20" t="str">
        <x:v>2026-05-20</x:v>
      </x:c>
      <x:c r="M961" s="20" t="str">
        <x:v>2026-05-20</x:v>
      </x:c>
      <x:c r="N961" s="20" t="str">
        <x:v>GPT-5.5 Pro</x:v>
      </x:c>
      <x:c r="O961" s="20" t="str">
        <x:v>Needs review</x:v>
      </x:c>
      <x:c r="P961" s="20" t="str">
        <x:v>Screening score for European Union / Security contractors in Libya; verify with country-specific evidence before final use.</x:v>
      </x:c>
    </x:row>
    <x:row r="962" ht="24" customHeight="1">
      <x:c r="A962" s="20" t="str">
        <x:v>LTU|Russia|Propaganda ecosystems</x:v>
      </x:c>
      <x:c r="B962" s="20" t="str">
        <x:v>Lithuania</x:v>
      </x:c>
      <x:c r="C962" s="20" t="str">
        <x:v>LTU</x:v>
      </x:c>
      <x:c r="D962" s="20" t="str">
        <x:v>Russia</x:v>
      </x:c>
      <x:c r="E962" s="20" t="str">
        <x:v>Russian influence</x:v>
      </x:c>
      <x:c r="F962" s="20" t="str">
        <x:v>Propaganda ecosystems</x:v>
      </x:c>
      <x:c r="G962" s="384" t="n">
        <x:v>7</x:v>
      </x:c>
      <x:c r="H962" s="396" t="n">
        <x:v>4</x:v>
      </x:c>
      <x:c r="I962" s="20" t="str">
        <x:v>EEAS/EUvsDisinfo FIMI source register</x:v>
      </x:c>
      <x:c r="J962" s="397" t="str">
        <x:v>https://www.eeas.europa.eu/eeas/4th-eeas-annual-report-foreign-information-manipulation-and-interference-threats_en</x:v>
      </x:c>
      <x:c r="K962" s="20" t="str">
        <x:v>Primary source-register URL; automated screening score</x:v>
      </x:c>
      <x:c r="L962" s="20" t="str">
        <x:v>2026-05-20</x:v>
      </x:c>
      <x:c r="M962" s="20" t="str">
        <x:v>2026-05-20</x:v>
      </x:c>
      <x:c r="N962" s="20" t="str">
        <x:v>GPT-5.5 Pro</x:v>
      </x:c>
      <x:c r="O962" s="20" t="str">
        <x:v>Needs review</x:v>
      </x:c>
      <x:c r="P962" s="20" t="str">
        <x:v>Screening score for Russia / Propaganda ecosystems in Lithuania; verify with country-specific evidence before final use.</x:v>
      </x:c>
    </x:row>
    <x:row r="963" ht="24" customHeight="1">
      <x:c r="A963" s="20" t="str">
        <x:v>LTU|Russia|PMC presence</x:v>
      </x:c>
      <x:c r="B963" s="20" t="str">
        <x:v>Lithuania</x:v>
      </x:c>
      <x:c r="C963" s="20" t="str">
        <x:v>LTU</x:v>
      </x:c>
      <x:c r="D963" s="20" t="str">
        <x:v>Russia</x:v>
      </x:c>
      <x:c r="E963" s="20" t="str">
        <x:v>Russian influence</x:v>
      </x:c>
      <x:c r="F963" s="20" t="str">
        <x:v>PMC presence</x:v>
      </x:c>
      <x:c r="G963" s="384" t="n">
        <x:v>0</x:v>
      </x:c>
      <x:c r="H963" s="396" t="n">
        <x:v>1</x:v>
      </x:c>
      <x:c r="I963" s="20" t="str">
        <x:v>Treasury and Council of the EU Wagner/PMC source register</x:v>
      </x:c>
      <x:c r="J963" s="397" t="str">
        <x:v>https://www.consilium.europa.eu/en/press/press-releases/2023/02/25/wagner-group-council-adds-11-individuals-and-7-entities-to-eu-sanctions-lists/</x:v>
      </x:c>
      <x:c r="K963" s="20" t="str">
        <x:v>Primary source-register URL; automated screening score</x:v>
      </x:c>
      <x:c r="L963" s="20" t="str">
        <x:v>2026-05-20</x:v>
      </x:c>
      <x:c r="M963" s="20" t="str">
        <x:v>2026-05-20</x:v>
      </x:c>
      <x:c r="N963" s="20" t="str">
        <x:v>GPT-5.5 Pro</x:v>
      </x:c>
      <x:c r="O963" s="20" t="str">
        <x:v>Needs review</x:v>
      </x:c>
      <x:c r="P963" s="20" t="str">
        <x:v>Screening score for Russia / PMC presence in Lithuania; verify with country-specific evidence before final use.</x:v>
      </x:c>
    </x:row>
    <x:row r="964" ht="24" customHeight="1">
      <x:c r="A964" s="20" t="str">
        <x:v>LTU|Russia|Election interference</x:v>
      </x:c>
      <x:c r="B964" s="20" t="str">
        <x:v>Lithuania</x:v>
      </x:c>
      <x:c r="C964" s="20" t="str">
        <x:v>LTU</x:v>
      </x:c>
      <x:c r="D964" s="20" t="str">
        <x:v>Russia</x:v>
      </x:c>
      <x:c r="E964" s="20" t="str">
        <x:v>Russian influence</x:v>
      </x:c>
      <x:c r="F964" s="20" t="str">
        <x:v>Election interference</x:v>
      </x:c>
      <x:c r="G964" s="384" t="n">
        <x:v>6</x:v>
      </x:c>
      <x:c r="H964" s="396" t="n">
        <x:v>4</x:v>
      </x:c>
      <x:c r="I964" s="20" t="str">
        <x:v>ODNI/EEAS election-FIMI source register</x:v>
      </x:c>
      <x:c r="J964" s="397" t="str">
        <x:v>https://www.dni.gov/files/ODNI/documents/assessments/ATA-2026-Unclassified-Report.pdf</x:v>
      </x:c>
      <x:c r="K964" s="20" t="str">
        <x:v>Primary source-register URL; automated screening score</x:v>
      </x:c>
      <x:c r="L964" s="20" t="str">
        <x:v>2026-05-20</x:v>
      </x:c>
      <x:c r="M964" s="20" t="str">
        <x:v>2026-05-20</x:v>
      </x:c>
      <x:c r="N964" s="20" t="str">
        <x:v>GPT-5.5 Pro</x:v>
      </x:c>
      <x:c r="O964" s="20" t="str">
        <x:v>Needs review</x:v>
      </x:c>
      <x:c r="P964" s="20" t="str">
        <x:v>Screening score for Russia / Election interference in Lithuania; verify with country-specific evidence before final use.</x:v>
      </x:c>
    </x:row>
    <x:row r="965" ht="24" customHeight="1">
      <x:c r="A965" s="20" t="str">
        <x:v>LTU|Russia|Security contractors</x:v>
      </x:c>
      <x:c r="B965" s="20" t="str">
        <x:v>Lithuania</x:v>
      </x:c>
      <x:c r="C965" s="20" t="str">
        <x:v>LTU</x:v>
      </x:c>
      <x:c r="D965" s="20" t="str">
        <x:v>Russia</x:v>
      </x:c>
      <x:c r="E965" s="20" t="str">
        <x:v>Russian influence</x:v>
      </x:c>
      <x:c r="F965" s="20" t="str">
        <x:v>Security contractors</x:v>
      </x:c>
      <x:c r="G965" s="384" t="n">
        <x:v>0</x:v>
      </x:c>
      <x:c r="H965" s="396" t="n">
        <x:v>1</x:v>
      </x:c>
      <x:c r="I965" s="20" t="str">
        <x:v>Council of the EU/Treasury Wagner-security source register</x:v>
      </x:c>
      <x:c r="J965" s="397" t="str">
        <x:v>https://www.consilium.europa.eu/en/press/press-releases/2023/02/25/wagner-group-council-adds-11-individuals-and-7-entities-to-eu-sanctions-lists/</x:v>
      </x:c>
      <x:c r="K965" s="20" t="str">
        <x:v>Primary source-register URL; automated screening score</x:v>
      </x:c>
      <x:c r="L965" s="20" t="str">
        <x:v>2026-05-20</x:v>
      </x:c>
      <x:c r="M965" s="20" t="str">
        <x:v>2026-05-20</x:v>
      </x:c>
      <x:c r="N965" s="20" t="str">
        <x:v>GPT-5.5 Pro</x:v>
      </x:c>
      <x:c r="O965" s="20" t="str">
        <x:v>Needs review</x:v>
      </x:c>
      <x:c r="P965" s="20" t="str">
        <x:v>Screening score for Russia / Security contractors in Lithuania; verify with country-specific evidence before final use.</x:v>
      </x:c>
    </x:row>
    <x:row r="966" ht="24" customHeight="1">
      <x:c r="A966" s="20" t="str">
        <x:v>LTU|China|Propaganda ecosystems</x:v>
      </x:c>
      <x:c r="B966" s="20" t="str">
        <x:v>Lithuania</x:v>
      </x:c>
      <x:c r="C966" s="20" t="str">
        <x:v>LTU</x:v>
      </x:c>
      <x:c r="D966" s="20" t="str">
        <x:v>China</x:v>
      </x:c>
      <x:c r="E966" s="20" t="str">
        <x:v>Chinese influence</x:v>
      </x:c>
      <x:c r="F966" s="20" t="str">
        <x:v>Propaganda ecosystems</x:v>
      </x:c>
      <x:c r="G966" s="384" t="n">
        <x:v>4</x:v>
      </x:c>
      <x:c r="H966" s="396" t="n">
        <x:v>3</x:v>
      </x:c>
      <x:c r="I966" s="20" t="str">
        <x:v>EEAS/ODNI China FIMI source register</x:v>
      </x:c>
      <x:c r="J966" s="397" t="str">
        <x:v>https://www.eeas.europa.eu/eeas/4th-eeas-annual-report-foreign-information-manipulation-and-interference-threats_en</x:v>
      </x:c>
      <x:c r="K966" s="20" t="str">
        <x:v>Primary source-register URL; automated screening score</x:v>
      </x:c>
      <x:c r="L966" s="20" t="str">
        <x:v>2026-05-20</x:v>
      </x:c>
      <x:c r="M966" s="20" t="str">
        <x:v>2026-05-20</x:v>
      </x:c>
      <x:c r="N966" s="20" t="str">
        <x:v>GPT-5.5 Pro</x:v>
      </x:c>
      <x:c r="O966" s="20" t="str">
        <x:v>Needs review</x:v>
      </x:c>
      <x:c r="P966" s="20" t="str">
        <x:v>Screening score for China / Propaganda ecosystems in Lithuania; verify with country-specific evidence before final use.</x:v>
      </x:c>
    </x:row>
    <x:row r="967" ht="24" customHeight="1">
      <x:c r="A967" s="20" t="str">
        <x:v>LTU|China|PMC presence</x:v>
      </x:c>
      <x:c r="B967" s="20" t="str">
        <x:v>Lithuania</x:v>
      </x:c>
      <x:c r="C967" s="20" t="str">
        <x:v>LTU</x:v>
      </x:c>
      <x:c r="D967" s="20" t="str">
        <x:v>China</x:v>
      </x:c>
      <x:c r="E967" s="20" t="str">
        <x:v>Chinese influence</x:v>
      </x:c>
      <x:c r="F967" s="20" t="str">
        <x:v>PMC presence</x:v>
      </x:c>
      <x:c r="G967" s="384" t="n">
        <x:v>0</x:v>
      </x:c>
      <x:c r="H967" s="396" t="n">
        <x:v>1</x:v>
      </x:c>
      <x:c r="I967" s="20" t="str">
        <x:v>MERICS/Carnegie Chinese overseas PSC source register</x:v>
      </x:c>
      <x:c r="J967" s="397" t="str">
        <x:v>https://merics.org/en/report/guardians-belt-and-road</x:v>
      </x:c>
      <x:c r="K967" s="20" t="str">
        <x:v>Primary source-register URL; automated screening score</x:v>
      </x:c>
      <x:c r="L967" s="20" t="str">
        <x:v>2026-05-20</x:v>
      </x:c>
      <x:c r="M967" s="20" t="str">
        <x:v>2026-05-20</x:v>
      </x:c>
      <x:c r="N967" s="20" t="str">
        <x:v>GPT-5.5 Pro</x:v>
      </x:c>
      <x:c r="O967" s="20" t="str">
        <x:v>Needs review</x:v>
      </x:c>
      <x:c r="P967" s="20" t="str">
        <x:v>Screening score for China / PMC presence in Lithuania; verify with country-specific evidence before final use.</x:v>
      </x:c>
    </x:row>
    <x:row r="968" ht="24" customHeight="1">
      <x:c r="A968" s="20" t="str">
        <x:v>LTU|China|Election interference</x:v>
      </x:c>
      <x:c r="B968" s="20" t="str">
        <x:v>Lithuania</x:v>
      </x:c>
      <x:c r="C968" s="20" t="str">
        <x:v>LTU</x:v>
      </x:c>
      <x:c r="D968" s="20" t="str">
        <x:v>China</x:v>
      </x:c>
      <x:c r="E968" s="20" t="str">
        <x:v>Chinese influence</x:v>
      </x:c>
      <x:c r="F968" s="20" t="str">
        <x:v>Election interference</x:v>
      </x:c>
      <x:c r="G968" s="384" t="n">
        <x:v>2</x:v>
      </x:c>
      <x:c r="H968" s="396" t="n">
        <x:v>2</x:v>
      </x:c>
      <x:c r="I968" s="20" t="str">
        <x:v>EEAS/ODNI China election-FIMI source register</x:v>
      </x:c>
      <x:c r="J968" s="397" t="str">
        <x:v>https://www.eeas.europa.eu/eeas/4th-eeas-annual-report-foreign-information-manipulation-and-interference-threats_en</x:v>
      </x:c>
      <x:c r="K968" s="20" t="str">
        <x:v>Primary source-register URL; automated screening score</x:v>
      </x:c>
      <x:c r="L968" s="20" t="str">
        <x:v>2026-05-20</x:v>
      </x:c>
      <x:c r="M968" s="20" t="str">
        <x:v>2026-05-20</x:v>
      </x:c>
      <x:c r="N968" s="20" t="str">
        <x:v>GPT-5.5 Pro</x:v>
      </x:c>
      <x:c r="O968" s="20" t="str">
        <x:v>Needs review</x:v>
      </x:c>
      <x:c r="P968" s="20" t="str">
        <x:v>Screening score for China / Election interference in Lithuania; verify with country-specific evidence before final use.</x:v>
      </x:c>
    </x:row>
    <x:row r="969" ht="24" customHeight="1">
      <x:c r="A969" s="20" t="str">
        <x:v>LTU|China|Security contractors</x:v>
      </x:c>
      <x:c r="B969" s="20" t="str">
        <x:v>Lithuania</x:v>
      </x:c>
      <x:c r="C969" s="20" t="str">
        <x:v>LTU</x:v>
      </x:c>
      <x:c r="D969" s="20" t="str">
        <x:v>China</x:v>
      </x:c>
      <x:c r="E969" s="20" t="str">
        <x:v>Chinese influence</x:v>
      </x:c>
      <x:c r="F969" s="20" t="str">
        <x:v>Security contractors</x:v>
      </x:c>
      <x:c r="G969" s="384" t="n">
        <x:v>0</x:v>
      </x:c>
      <x:c r="H969" s="396" t="n">
        <x:v>1</x:v>
      </x:c>
      <x:c r="I969" s="20" t="str">
        <x:v>MERICS/Carnegie Chinese security contractor source register</x:v>
      </x:c>
      <x:c r="J969" s="397" t="str">
        <x:v>https://merics.org/en/report/guardians-belt-and-road</x:v>
      </x:c>
      <x:c r="K969" s="20" t="str">
        <x:v>Primary source-register URL; automated screening score</x:v>
      </x:c>
      <x:c r="L969" s="20" t="str">
        <x:v>2026-05-20</x:v>
      </x:c>
      <x:c r="M969" s="20" t="str">
        <x:v>2026-05-20</x:v>
      </x:c>
      <x:c r="N969" s="20" t="str">
        <x:v>GPT-5.5 Pro</x:v>
      </x:c>
      <x:c r="O969" s="20" t="str">
        <x:v>Needs review</x:v>
      </x:c>
      <x:c r="P969" s="20" t="str">
        <x:v>Screening score for China / Security contractors in Lithuania; verify with country-specific evidence before final use.</x:v>
      </x:c>
    </x:row>
    <x:row r="970" ht="24" customHeight="1">
      <x:c r="A970" s="20" t="str">
        <x:v>LTU|United States|Propaganda ecosystems</x:v>
      </x:c>
      <x:c r="B970" s="20" t="str">
        <x:v>Lithuania</x:v>
      </x:c>
      <x:c r="C970" s="20" t="str">
        <x:v>LTU</x:v>
      </x:c>
      <x:c r="D970" s="20" t="str">
        <x:v>United States</x:v>
      </x:c>
      <x:c r="E970" s="20" t="str">
        <x:v>American influence</x:v>
      </x:c>
      <x:c r="F970" s="20" t="str">
        <x:v>Propaganda ecosystems</x:v>
      </x:c>
      <x:c r="G970" s="384" t="n">
        <x:v>4</x:v>
      </x:c>
      <x:c r="H970" s="396" t="n">
        <x:v>3</x:v>
      </x:c>
      <x:c r="I970" s="20" t="str">
        <x:v>USAGM public media source register</x:v>
      </x:c>
      <x:c r="J970" s="397" t="str">
        <x:v>https://www.usagm.gov/our-work/strategy-and-results/strategic-priorities/research-reports/</x:v>
      </x:c>
      <x:c r="K970" s="20" t="str">
        <x:v>Primary source-register URL; automated screening score</x:v>
      </x:c>
      <x:c r="L970" s="20" t="str">
        <x:v>2026-05-20</x:v>
      </x:c>
      <x:c r="M970" s="20" t="str">
        <x:v>2026-05-20</x:v>
      </x:c>
      <x:c r="N970" s="20" t="str">
        <x:v>GPT-5.5 Pro</x:v>
      </x:c>
      <x:c r="O970" s="20" t="str">
        <x:v>Needs review</x:v>
      </x:c>
      <x:c r="P970" s="20" t="str">
        <x:v>Screening score for United States / Propaganda ecosystems in Lithuania; verify with country-specific evidence before final use.</x:v>
      </x:c>
    </x:row>
    <x:row r="971" ht="24" customHeight="1">
      <x:c r="A971" s="20" t="str">
        <x:v>LTU|United States|PMC presence</x:v>
      </x:c>
      <x:c r="B971" s="20" t="str">
        <x:v>Lithuania</x:v>
      </x:c>
      <x:c r="C971" s="20" t="str">
        <x:v>LTU</x:v>
      </x:c>
      <x:c r="D971" s="20" t="str">
        <x:v>United States</x:v>
      </x:c>
      <x:c r="E971" s="20" t="str">
        <x:v>American influence</x:v>
      </x:c>
      <x:c r="F971" s="20" t="str">
        <x:v>PMC presence</x:v>
      </x:c>
      <x:c r="G971" s="384" t="n">
        <x:v>3</x:v>
      </x:c>
      <x:c r="H971" s="396" t="n">
        <x:v>3</x:v>
      </x:c>
      <x:c r="I971" s="20" t="str">
        <x:v>SAM/Greenbook U.S. security assistance contractor source register</x:v>
      </x:c>
      <x:c r="J971" s="397" t="str">
        <x:v>https://internationalpolicy.org/programs/sam/</x:v>
      </x:c>
      <x:c r="K971" s="20" t="str">
        <x:v>Primary source-register URL; automated screening score</x:v>
      </x:c>
      <x:c r="L971" s="20" t="str">
        <x:v>2026-05-20</x:v>
      </x:c>
      <x:c r="M971" s="20" t="str">
        <x:v>2026-05-20</x:v>
      </x:c>
      <x:c r="N971" s="20" t="str">
        <x:v>GPT-5.5 Pro</x:v>
      </x:c>
      <x:c r="O971" s="20" t="str">
        <x:v>Needs review</x:v>
      </x:c>
      <x:c r="P971" s="20" t="str">
        <x:v>Screening score for United States / PMC presence in Lithuania; verify with country-specific evidence before final use.</x:v>
      </x:c>
    </x:row>
    <x:row r="972" ht="24" customHeight="1">
      <x:c r="A972" s="20" t="str">
        <x:v>LTU|United States|Election interference</x:v>
      </x:c>
      <x:c r="B972" s="20" t="str">
        <x:v>Lithuania</x:v>
      </x:c>
      <x:c r="C972" s="20" t="str">
        <x:v>LTU</x:v>
      </x:c>
      <x:c r="D972" s="20" t="str">
        <x:v>United States</x:v>
      </x:c>
      <x:c r="E972" s="20" t="str">
        <x:v>American influence</x:v>
      </x:c>
      <x:c r="F972" s="20" t="str">
        <x:v>Election interference</x:v>
      </x:c>
      <x:c r="G972" s="384" t="n">
        <x:v>1</x:v>
      </x:c>
      <x:c r="H972" s="396" t="n">
        <x:v>2</x:v>
      </x:c>
      <x:c r="I972" s="20" t="str">
        <x:v>NED/Greenbook democracy assistance source register</x:v>
      </x:c>
      <x:c r="J972" s="397" t="str">
        <x:v>https://www.ned.org/ned-grantmaking/</x:v>
      </x:c>
      <x:c r="K972" s="20" t="str">
        <x:v>Primary source-register URL; automated screening score</x:v>
      </x:c>
      <x:c r="L972" s="20" t="str">
        <x:v>2026-05-20</x:v>
      </x:c>
      <x:c r="M972" s="20" t="str">
        <x:v>2026-05-20</x:v>
      </x:c>
      <x:c r="N972" s="20" t="str">
        <x:v>GPT-5.5 Pro</x:v>
      </x:c>
      <x:c r="O972" s="20" t="str">
        <x:v>Needs review</x:v>
      </x:c>
      <x:c r="P972" s="20" t="str">
        <x:v>Screening score for United States / Election interference in Lithuania; verify with country-specific evidence before final use.</x:v>
      </x:c>
    </x:row>
    <x:row r="973" ht="24" customHeight="1">
      <x:c r="A973" s="20" t="str">
        <x:v>LTU|United States|Security contractors</x:v>
      </x:c>
      <x:c r="B973" s="20" t="str">
        <x:v>Lithuania</x:v>
      </x:c>
      <x:c r="C973" s="20" t="str">
        <x:v>LTU</x:v>
      </x:c>
      <x:c r="D973" s="20" t="str">
        <x:v>United States</x:v>
      </x:c>
      <x:c r="E973" s="20" t="str">
        <x:v>American influence</x:v>
      </x:c>
      <x:c r="F973" s="20" t="str">
        <x:v>Security contractors</x:v>
      </x:c>
      <x:c r="G973" s="384" t="n">
        <x:v>6</x:v>
      </x:c>
      <x:c r="H973" s="396" t="n">
        <x:v>4</x:v>
      </x:c>
      <x:c r="I973" s="20" t="str">
        <x:v>SAM/Greenbook U.S. security contractor source register</x:v>
      </x:c>
      <x:c r="J973" s="397" t="str">
        <x:v>https://internationalpolicy.org/programs/sam/</x:v>
      </x:c>
      <x:c r="K973" s="20" t="str">
        <x:v>Primary source-register URL; automated screening score</x:v>
      </x:c>
      <x:c r="L973" s="20" t="str">
        <x:v>2026-05-20</x:v>
      </x:c>
      <x:c r="M973" s="20" t="str">
        <x:v>2026-05-20</x:v>
      </x:c>
      <x:c r="N973" s="20" t="str">
        <x:v>GPT-5.5 Pro</x:v>
      </x:c>
      <x:c r="O973" s="20" t="str">
        <x:v>Needs review</x:v>
      </x:c>
      <x:c r="P973" s="20" t="str">
        <x:v>Screening score for United States / Security contractors in Lithuania; verify with country-specific evidence before final use.</x:v>
      </x:c>
    </x:row>
    <x:row r="974" ht="24" customHeight="1">
      <x:c r="A974" s="20" t="str">
        <x:v>LTU|European Union|Propaganda ecosystems</x:v>
      </x:c>
      <x:c r="B974" s="20" t="str">
        <x:v>Lithuania</x:v>
      </x:c>
      <x:c r="C974" s="20" t="str">
        <x:v>LTU</x:v>
      </x:c>
      <x:c r="D974" s="20" t="str">
        <x:v>European Union</x:v>
      </x:c>
      <x:c r="E974" s="20" t="str">
        <x:v>EU influence</x:v>
      </x:c>
      <x:c r="F974" s="20" t="str">
        <x:v>Propaganda ecosystems</x:v>
      </x:c>
      <x:c r="G974" s="384" t="n">
        <x:v>9</x:v>
      </x:c>
      <x:c r="H974" s="396" t="n">
        <x:v>5</x:v>
      </x:c>
      <x:c r="I974" s="20" t="str">
        <x:v>EEAS public diplomacy source register</x:v>
      </x:c>
      <x:c r="J974" s="397" t="str">
        <x:v>https://www.eeas.europa.eu/eeas/public-diplomacy_en</x:v>
      </x:c>
      <x:c r="K974" s="20" t="str">
        <x:v>Primary source-register URL; automated screening score</x:v>
      </x:c>
      <x:c r="L974" s="20" t="str">
        <x:v>2026-05-20</x:v>
      </x:c>
      <x:c r="M974" s="20" t="str">
        <x:v>2026-05-20</x:v>
      </x:c>
      <x:c r="N974" s="20" t="str">
        <x:v>GPT-5.5 Pro</x:v>
      </x:c>
      <x:c r="O974" s="20" t="str">
        <x:v>Needs review</x:v>
      </x:c>
      <x:c r="P974" s="20" t="str">
        <x:v>Screening score for European Union / Propaganda ecosystems in Lithuania; verify with country-specific evidence before final use.</x:v>
      </x:c>
    </x:row>
    <x:row r="975" ht="24" customHeight="1">
      <x:c r="A975" s="20" t="str">
        <x:v>LTU|European Union|PMC presence</x:v>
      </x:c>
      <x:c r="B975" s="20" t="str">
        <x:v>Lithuania</x:v>
      </x:c>
      <x:c r="C975" s="20" t="str">
        <x:v>LTU</x:v>
      </x:c>
      <x:c r="D975" s="20" t="str">
        <x:v>European Union</x:v>
      </x:c>
      <x:c r="E975" s="20" t="str">
        <x:v>EU influence</x:v>
      </x:c>
      <x:c r="F975" s="20" t="str">
        <x:v>PMC presence</x:v>
      </x:c>
      <x:c r="G975" s="384" t="n">
        <x:v>0</x:v>
      </x:c>
      <x:c r="H975" s="396" t="n">
        <x:v>1</x:v>
      </x:c>
      <x:c r="I975" s="20" t="str">
        <x:v>EEAS CSDP missions source register</x:v>
      </x:c>
      <x:c r="J975" s="397" t="str">
        <x:v>https://www.eeas.europa.eu/eeas/missions-and-operations_en</x:v>
      </x:c>
      <x:c r="K975" s="20" t="str">
        <x:v>Primary source-register URL; automated screening score</x:v>
      </x:c>
      <x:c r="L975" s="20" t="str">
        <x:v>2026-05-20</x:v>
      </x:c>
      <x:c r="M975" s="20" t="str">
        <x:v>2026-05-20</x:v>
      </x:c>
      <x:c r="N975" s="20" t="str">
        <x:v>GPT-5.5 Pro</x:v>
      </x:c>
      <x:c r="O975" s="20" t="str">
        <x:v>Needs review</x:v>
      </x:c>
      <x:c r="P975" s="20" t="str">
        <x:v>Screening score for European Union / PMC presence in Lithuania; verify with country-specific evidence before final use.</x:v>
      </x:c>
    </x:row>
    <x:row r="976" ht="24" customHeight="1">
      <x:c r="A976" s="20" t="str">
        <x:v>LTU|European Union|Election interference</x:v>
      </x:c>
      <x:c r="B976" s="20" t="str">
        <x:v>Lithuania</x:v>
      </x:c>
      <x:c r="C976" s="20" t="str">
        <x:v>LTU</x:v>
      </x:c>
      <x:c r="D976" s="20" t="str">
        <x:v>European Union</x:v>
      </x:c>
      <x:c r="E976" s="20" t="str">
        <x:v>EU influence</x:v>
      </x:c>
      <x:c r="F976" s="20" t="str">
        <x:v>Election interference</x:v>
      </x:c>
      <x:c r="G976" s="384" t="n">
        <x:v>2</x:v>
      </x:c>
      <x:c r="H976" s="396" t="n">
        <x:v>2</x:v>
      </x:c>
      <x:c r="I976" s="20" t="str">
        <x:v>EEAS EU election observation source register</x:v>
      </x:c>
      <x:c r="J976" s="397" t="str">
        <x:v>https://www.eeas.europa.eu/eeas/eu-election-observation-missions-1_en?page_lang=en</x:v>
      </x:c>
      <x:c r="K976" s="20" t="str">
        <x:v>Primary source-register URL; automated screening score</x:v>
      </x:c>
      <x:c r="L976" s="20" t="str">
        <x:v>2026-05-20</x:v>
      </x:c>
      <x:c r="M976" s="20" t="str">
        <x:v>2026-05-20</x:v>
      </x:c>
      <x:c r="N976" s="20" t="str">
        <x:v>GPT-5.5 Pro</x:v>
      </x:c>
      <x:c r="O976" s="20" t="str">
        <x:v>Needs review</x:v>
      </x:c>
      <x:c r="P976" s="20" t="str">
        <x:v>Screening score for European Union / Election interference in Lithuania; verify with country-specific evidence before final use.</x:v>
      </x:c>
    </x:row>
    <x:row r="977" ht="24" customHeight="1">
      <x:c r="A977" s="20" t="str">
        <x:v>LTU|European Union|Security contractors</x:v>
      </x:c>
      <x:c r="B977" s="20" t="str">
        <x:v>Lithuania</x:v>
      </x:c>
      <x:c r="C977" s="20" t="str">
        <x:v>LTU</x:v>
      </x:c>
      <x:c r="D977" s="20" t="str">
        <x:v>European Union</x:v>
      </x:c>
      <x:c r="E977" s="20" t="str">
        <x:v>EU influence</x:v>
      </x:c>
      <x:c r="F977" s="20" t="str">
        <x:v>Security contractors</x:v>
      </x:c>
      <x:c r="G977" s="384" t="n">
        <x:v>5</x:v>
      </x:c>
      <x:c r="H977" s="396" t="n">
        <x:v>3</x:v>
      </x:c>
      <x:c r="I977" s="20" t="str">
        <x:v>EEAS CSDP / Global Gateway security source register</x:v>
      </x:c>
      <x:c r="J977" s="397" t="str">
        <x:v>https://www.eeas.europa.eu/eeas/missions-and-operations_en</x:v>
      </x:c>
      <x:c r="K977" s="20" t="str">
        <x:v>Primary source-register URL; automated screening score</x:v>
      </x:c>
      <x:c r="L977" s="20" t="str">
        <x:v>2026-05-20</x:v>
      </x:c>
      <x:c r="M977" s="20" t="str">
        <x:v>2026-05-20</x:v>
      </x:c>
      <x:c r="N977" s="20" t="str">
        <x:v>GPT-5.5 Pro</x:v>
      </x:c>
      <x:c r="O977" s="20" t="str">
        <x:v>Needs review</x:v>
      </x:c>
      <x:c r="P977" s="20" t="str">
        <x:v>Screening score for European Union / Security contractors in Lithuania; verify with country-specific evidence before final use.</x:v>
      </x:c>
    </x:row>
    <x:row r="978" ht="24" customHeight="1">
      <x:c r="A978" s="20" t="str">
        <x:v>MDG|Russia|Propaganda ecosystems</x:v>
      </x:c>
      <x:c r="B978" s="20" t="str">
        <x:v>Madagascar</x:v>
      </x:c>
      <x:c r="C978" s="20" t="str">
        <x:v>MDG</x:v>
      </x:c>
      <x:c r="D978" s="20" t="str">
        <x:v>Russia</x:v>
      </x:c>
      <x:c r="E978" s="20" t="str">
        <x:v>Russian influence</x:v>
      </x:c>
      <x:c r="F978" s="20" t="str">
        <x:v>Propaganda ecosystems</x:v>
      </x:c>
      <x:c r="G978" s="384" t="n">
        <x:v>4</x:v>
      </x:c>
      <x:c r="H978" s="396" t="n">
        <x:v>3</x:v>
      </x:c>
      <x:c r="I978" s="20" t="str">
        <x:v>EEAS/EUvsDisinfo FIMI source register</x:v>
      </x:c>
      <x:c r="J978" s="397" t="str">
        <x:v>https://www.eeas.europa.eu/eeas/4th-eeas-annual-report-foreign-information-manipulation-and-interference-threats_en</x:v>
      </x:c>
      <x:c r="K978" s="20" t="str">
        <x:v>Primary source-register URL; automated screening score</x:v>
      </x:c>
      <x:c r="L978" s="20" t="str">
        <x:v>2026-05-20</x:v>
      </x:c>
      <x:c r="M978" s="20" t="str">
        <x:v>2026-05-20</x:v>
      </x:c>
      <x:c r="N978" s="20" t="str">
        <x:v>GPT-5.5 Pro</x:v>
      </x:c>
      <x:c r="O978" s="20" t="str">
        <x:v>Needs review</x:v>
      </x:c>
      <x:c r="P978" s="20" t="str">
        <x:v>Screening score for Russia / Propaganda ecosystems in Madagascar; verify with country-specific evidence before final use.</x:v>
      </x:c>
    </x:row>
    <x:row r="979" ht="24" customHeight="1">
      <x:c r="A979" s="20" t="str">
        <x:v>MDG|Russia|PMC presence</x:v>
      </x:c>
      <x:c r="B979" s="20" t="str">
        <x:v>Madagascar</x:v>
      </x:c>
      <x:c r="C979" s="20" t="str">
        <x:v>MDG</x:v>
      </x:c>
      <x:c r="D979" s="20" t="str">
        <x:v>Russia</x:v>
      </x:c>
      <x:c r="E979" s="20" t="str">
        <x:v>Russian influence</x:v>
      </x:c>
      <x:c r="F979" s="20" t="str">
        <x:v>PMC presence</x:v>
      </x:c>
      <x:c r="G979" s="384" t="n">
        <x:v>4</x:v>
      </x:c>
      <x:c r="H979" s="396" t="n">
        <x:v>3</x:v>
      </x:c>
      <x:c r="I979" s="20" t="str">
        <x:v>Treasury and Council of the EU Wagner/PMC source register</x:v>
      </x:c>
      <x:c r="J979" s="397" t="str">
        <x:v>https://www.consilium.europa.eu/en/press/press-releases/2023/02/25/wagner-group-council-adds-11-individuals-and-7-entities-to-eu-sanctions-lists/</x:v>
      </x:c>
      <x:c r="K979" s="20" t="str">
        <x:v>Primary source-register URL; automated screening score</x:v>
      </x:c>
      <x:c r="L979" s="20" t="str">
        <x:v>2026-05-20</x:v>
      </x:c>
      <x:c r="M979" s="20" t="str">
        <x:v>2026-05-20</x:v>
      </x:c>
      <x:c r="N979" s="20" t="str">
        <x:v>GPT-5.5 Pro</x:v>
      </x:c>
      <x:c r="O979" s="20" t="str">
        <x:v>Needs review</x:v>
      </x:c>
      <x:c r="P979" s="20" t="str">
        <x:v>Screening score for Russia / PMC presence in Madagascar; verify with country-specific evidence before final use.</x:v>
      </x:c>
    </x:row>
    <x:row r="980" ht="24" customHeight="1">
      <x:c r="A980" s="20" t="str">
        <x:v>MDG|Russia|Election interference</x:v>
      </x:c>
      <x:c r="B980" s="20" t="str">
        <x:v>Madagascar</x:v>
      </x:c>
      <x:c r="C980" s="20" t="str">
        <x:v>MDG</x:v>
      </x:c>
      <x:c r="D980" s="20" t="str">
        <x:v>Russia</x:v>
      </x:c>
      <x:c r="E980" s="20" t="str">
        <x:v>Russian influence</x:v>
      </x:c>
      <x:c r="F980" s="20" t="str">
        <x:v>Election interference</x:v>
      </x:c>
      <x:c r="G980" s="384" t="n">
        <x:v>1</x:v>
      </x:c>
      <x:c r="H980" s="396" t="n">
        <x:v>2</x:v>
      </x:c>
      <x:c r="I980" s="20" t="str">
        <x:v>ODNI/EEAS election-FIMI source register</x:v>
      </x:c>
      <x:c r="J980" s="397" t="str">
        <x:v>https://www.dni.gov/files/ODNI/documents/assessments/ATA-2026-Unclassified-Report.pdf</x:v>
      </x:c>
      <x:c r="K980" s="20" t="str">
        <x:v>Primary source-register URL; automated screening score</x:v>
      </x:c>
      <x:c r="L980" s="20" t="str">
        <x:v>2026-05-20</x:v>
      </x:c>
      <x:c r="M980" s="20" t="str">
        <x:v>2026-05-20</x:v>
      </x:c>
      <x:c r="N980" s="20" t="str">
        <x:v>GPT-5.5 Pro</x:v>
      </x:c>
      <x:c r="O980" s="20" t="str">
        <x:v>Needs review</x:v>
      </x:c>
      <x:c r="P980" s="20" t="str">
        <x:v>Screening score for Russia / Election interference in Madagascar; verify with country-specific evidence before final use.</x:v>
      </x:c>
    </x:row>
    <x:row r="981" ht="24" customHeight="1">
      <x:c r="A981" s="20" t="str">
        <x:v>MDG|Russia|Security contractors</x:v>
      </x:c>
      <x:c r="B981" s="20" t="str">
        <x:v>Madagascar</x:v>
      </x:c>
      <x:c r="C981" s="20" t="str">
        <x:v>MDG</x:v>
      </x:c>
      <x:c r="D981" s="20" t="str">
        <x:v>Russia</x:v>
      </x:c>
      <x:c r="E981" s="20" t="str">
        <x:v>Russian influence</x:v>
      </x:c>
      <x:c r="F981" s="20" t="str">
        <x:v>Security contractors</x:v>
      </x:c>
      <x:c r="G981" s="384" t="n">
        <x:v>4</x:v>
      </x:c>
      <x:c r="H981" s="396" t="n">
        <x:v>3</x:v>
      </x:c>
      <x:c r="I981" s="20" t="str">
        <x:v>Council of the EU/Treasury Wagner-security source register</x:v>
      </x:c>
      <x:c r="J981" s="397" t="str">
        <x:v>https://www.consilium.europa.eu/en/press/press-releases/2023/02/25/wagner-group-council-adds-11-individuals-and-7-entities-to-eu-sanctions-lists/</x:v>
      </x:c>
      <x:c r="K981" s="20" t="str">
        <x:v>Primary source-register URL; automated screening score</x:v>
      </x:c>
      <x:c r="L981" s="20" t="str">
        <x:v>2026-05-20</x:v>
      </x:c>
      <x:c r="M981" s="20" t="str">
        <x:v>2026-05-20</x:v>
      </x:c>
      <x:c r="N981" s="20" t="str">
        <x:v>GPT-5.5 Pro</x:v>
      </x:c>
      <x:c r="O981" s="20" t="str">
        <x:v>Needs review</x:v>
      </x:c>
      <x:c r="P981" s="20" t="str">
        <x:v>Screening score for Russia / Security contractors in Madagascar; verify with country-specific evidence before final use.</x:v>
      </x:c>
    </x:row>
    <x:row r="982" ht="24" customHeight="1">
      <x:c r="A982" s="20" t="str">
        <x:v>MDG|China|Propaganda ecosystems</x:v>
      </x:c>
      <x:c r="B982" s="20" t="str">
        <x:v>Madagascar</x:v>
      </x:c>
      <x:c r="C982" s="20" t="str">
        <x:v>MDG</x:v>
      </x:c>
      <x:c r="D982" s="20" t="str">
        <x:v>China</x:v>
      </x:c>
      <x:c r="E982" s="20" t="str">
        <x:v>Chinese influence</x:v>
      </x:c>
      <x:c r="F982" s="20" t="str">
        <x:v>Propaganda ecosystems</x:v>
      </x:c>
      <x:c r="G982" s="384" t="n">
        <x:v>5</x:v>
      </x:c>
      <x:c r="H982" s="396" t="n">
        <x:v>3</x:v>
      </x:c>
      <x:c r="I982" s="20" t="str">
        <x:v>EEAS/ODNI China FIMI source register</x:v>
      </x:c>
      <x:c r="J982" s="397" t="str">
        <x:v>https://www.eeas.europa.eu/eeas/4th-eeas-annual-report-foreign-information-manipulation-and-interference-threats_en</x:v>
      </x:c>
      <x:c r="K982" s="20" t="str">
        <x:v>Primary source-register URL; automated screening score</x:v>
      </x:c>
      <x:c r="L982" s="20" t="str">
        <x:v>2026-05-20</x:v>
      </x:c>
      <x:c r="M982" s="20" t="str">
        <x:v>2026-05-20</x:v>
      </x:c>
      <x:c r="N982" s="20" t="str">
        <x:v>GPT-5.5 Pro</x:v>
      </x:c>
      <x:c r="O982" s="20" t="str">
        <x:v>Needs review</x:v>
      </x:c>
      <x:c r="P982" s="20" t="str">
        <x:v>Screening score for China / Propaganda ecosystems in Madagascar; verify with country-specific evidence before final use.</x:v>
      </x:c>
    </x:row>
    <x:row r="983" ht="24" customHeight="1">
      <x:c r="A983" s="20" t="str">
        <x:v>MDG|China|PMC presence</x:v>
      </x:c>
      <x:c r="B983" s="20" t="str">
        <x:v>Madagascar</x:v>
      </x:c>
      <x:c r="C983" s="20" t="str">
        <x:v>MDG</x:v>
      </x:c>
      <x:c r="D983" s="20" t="str">
        <x:v>China</x:v>
      </x:c>
      <x:c r="E983" s="20" t="str">
        <x:v>Chinese influence</x:v>
      </x:c>
      <x:c r="F983" s="20" t="str">
        <x:v>PMC presence</x:v>
      </x:c>
      <x:c r="G983" s="384" t="n">
        <x:v>1</x:v>
      </x:c>
      <x:c r="H983" s="396" t="n">
        <x:v>2</x:v>
      </x:c>
      <x:c r="I983" s="20" t="str">
        <x:v>MERICS/Carnegie Chinese overseas PSC source register</x:v>
      </x:c>
      <x:c r="J983" s="397" t="str">
        <x:v>https://merics.org/en/report/guardians-belt-and-road</x:v>
      </x:c>
      <x:c r="K983" s="20" t="str">
        <x:v>Primary source-register URL; automated screening score</x:v>
      </x:c>
      <x:c r="L983" s="20" t="str">
        <x:v>2026-05-20</x:v>
      </x:c>
      <x:c r="M983" s="20" t="str">
        <x:v>2026-05-20</x:v>
      </x:c>
      <x:c r="N983" s="20" t="str">
        <x:v>GPT-5.5 Pro</x:v>
      </x:c>
      <x:c r="O983" s="20" t="str">
        <x:v>Needs review</x:v>
      </x:c>
      <x:c r="P983" s="20" t="str">
        <x:v>Screening score for China / PMC presence in Madagascar; verify with country-specific evidence before final use.</x:v>
      </x:c>
    </x:row>
    <x:row r="984" ht="24" customHeight="1">
      <x:c r="A984" s="20" t="str">
        <x:v>MDG|China|Election interference</x:v>
      </x:c>
      <x:c r="B984" s="20" t="str">
        <x:v>Madagascar</x:v>
      </x:c>
      <x:c r="C984" s="20" t="str">
        <x:v>MDG</x:v>
      </x:c>
      <x:c r="D984" s="20" t="str">
        <x:v>China</x:v>
      </x:c>
      <x:c r="E984" s="20" t="str">
        <x:v>Chinese influence</x:v>
      </x:c>
      <x:c r="F984" s="20" t="str">
        <x:v>Election interference</x:v>
      </x:c>
      <x:c r="G984" s="384" t="n">
        <x:v>1</x:v>
      </x:c>
      <x:c r="H984" s="396" t="n">
        <x:v>2</x:v>
      </x:c>
      <x:c r="I984" s="20" t="str">
        <x:v>EEAS/ODNI China election-FIMI source register</x:v>
      </x:c>
      <x:c r="J984" s="397" t="str">
        <x:v>https://www.eeas.europa.eu/eeas/4th-eeas-annual-report-foreign-information-manipulation-and-interference-threats_en</x:v>
      </x:c>
      <x:c r="K984" s="20" t="str">
        <x:v>Primary source-register URL; automated screening score</x:v>
      </x:c>
      <x:c r="L984" s="20" t="str">
        <x:v>2026-05-20</x:v>
      </x:c>
      <x:c r="M984" s="20" t="str">
        <x:v>2026-05-20</x:v>
      </x:c>
      <x:c r="N984" s="20" t="str">
        <x:v>GPT-5.5 Pro</x:v>
      </x:c>
      <x:c r="O984" s="20" t="str">
        <x:v>Needs review</x:v>
      </x:c>
      <x:c r="P984" s="20" t="str">
        <x:v>Screening score for China / Election interference in Madagascar; verify with country-specific evidence before final use.</x:v>
      </x:c>
    </x:row>
    <x:row r="985" ht="24" customHeight="1">
      <x:c r="A985" s="20" t="str">
        <x:v>MDG|China|Security contractors</x:v>
      </x:c>
      <x:c r="B985" s="20" t="str">
        <x:v>Madagascar</x:v>
      </x:c>
      <x:c r="C985" s="20" t="str">
        <x:v>MDG</x:v>
      </x:c>
      <x:c r="D985" s="20" t="str">
        <x:v>China</x:v>
      </x:c>
      <x:c r="E985" s="20" t="str">
        <x:v>Chinese influence</x:v>
      </x:c>
      <x:c r="F985" s="20" t="str">
        <x:v>Security contractors</x:v>
      </x:c>
      <x:c r="G985" s="384" t="n">
        <x:v>1</x:v>
      </x:c>
      <x:c r="H985" s="396" t="n">
        <x:v>2</x:v>
      </x:c>
      <x:c r="I985" s="20" t="str">
        <x:v>MERICS/Carnegie Chinese security contractor source register</x:v>
      </x:c>
      <x:c r="J985" s="397" t="str">
        <x:v>https://merics.org/en/report/guardians-belt-and-road</x:v>
      </x:c>
      <x:c r="K985" s="20" t="str">
        <x:v>Primary source-register URL; automated screening score</x:v>
      </x:c>
      <x:c r="L985" s="20" t="str">
        <x:v>2026-05-20</x:v>
      </x:c>
      <x:c r="M985" s="20" t="str">
        <x:v>2026-05-20</x:v>
      </x:c>
      <x:c r="N985" s="20" t="str">
        <x:v>GPT-5.5 Pro</x:v>
      </x:c>
      <x:c r="O985" s="20" t="str">
        <x:v>Needs review</x:v>
      </x:c>
      <x:c r="P985" s="20" t="str">
        <x:v>Screening score for China / Security contractors in Madagascar; verify with country-specific evidence before final use.</x:v>
      </x:c>
    </x:row>
    <x:row r="986" ht="24" customHeight="1">
      <x:c r="A986" s="20" t="str">
        <x:v>MDG|United States|Propaganda ecosystems</x:v>
      </x:c>
      <x:c r="B986" s="20" t="str">
        <x:v>Madagascar</x:v>
      </x:c>
      <x:c r="C986" s="20" t="str">
        <x:v>MDG</x:v>
      </x:c>
      <x:c r="D986" s="20" t="str">
        <x:v>United States</x:v>
      </x:c>
      <x:c r="E986" s="20" t="str">
        <x:v>American influence</x:v>
      </x:c>
      <x:c r="F986" s="20" t="str">
        <x:v>Propaganda ecosystems</x:v>
      </x:c>
      <x:c r="G986" s="384" t="n">
        <x:v>4</x:v>
      </x:c>
      <x:c r="H986" s="396" t="n">
        <x:v>3</x:v>
      </x:c>
      <x:c r="I986" s="20" t="str">
        <x:v>USAGM public media source register</x:v>
      </x:c>
      <x:c r="J986" s="397" t="str">
        <x:v>https://www.usagm.gov/our-work/strategy-and-results/strategic-priorities/research-reports/</x:v>
      </x:c>
      <x:c r="K986" s="20" t="str">
        <x:v>Primary source-register URL; automated screening score</x:v>
      </x:c>
      <x:c r="L986" s="20" t="str">
        <x:v>2026-05-20</x:v>
      </x:c>
      <x:c r="M986" s="20" t="str">
        <x:v>2026-05-20</x:v>
      </x:c>
      <x:c r="N986" s="20" t="str">
        <x:v>GPT-5.5 Pro</x:v>
      </x:c>
      <x:c r="O986" s="20" t="str">
        <x:v>Needs review</x:v>
      </x:c>
      <x:c r="P986" s="20" t="str">
        <x:v>Screening score for United States / Propaganda ecosystems in Madagascar; verify with country-specific evidence before final use.</x:v>
      </x:c>
    </x:row>
    <x:row r="987" ht="24" customHeight="1">
      <x:c r="A987" s="20" t="str">
        <x:v>MDG|United States|PMC presence</x:v>
      </x:c>
      <x:c r="B987" s="20" t="str">
        <x:v>Madagascar</x:v>
      </x:c>
      <x:c r="C987" s="20" t="str">
        <x:v>MDG</x:v>
      </x:c>
      <x:c r="D987" s="20" t="str">
        <x:v>United States</x:v>
      </x:c>
      <x:c r="E987" s="20" t="str">
        <x:v>American influence</x:v>
      </x:c>
      <x:c r="F987" s="20" t="str">
        <x:v>PMC presence</x:v>
      </x:c>
      <x:c r="G987" s="384" t="n">
        <x:v>2</x:v>
      </x:c>
      <x:c r="H987" s="396" t="n">
        <x:v>2</x:v>
      </x:c>
      <x:c r="I987" s="20" t="str">
        <x:v>SAM/Greenbook U.S. security assistance contractor source register</x:v>
      </x:c>
      <x:c r="J987" s="397" t="str">
        <x:v>https://internationalpolicy.org/programs/sam/</x:v>
      </x:c>
      <x:c r="K987" s="20" t="str">
        <x:v>Primary source-register URL; automated screening score</x:v>
      </x:c>
      <x:c r="L987" s="20" t="str">
        <x:v>2026-05-20</x:v>
      </x:c>
      <x:c r="M987" s="20" t="str">
        <x:v>2026-05-20</x:v>
      </x:c>
      <x:c r="N987" s="20" t="str">
        <x:v>GPT-5.5 Pro</x:v>
      </x:c>
      <x:c r="O987" s="20" t="str">
        <x:v>Needs review</x:v>
      </x:c>
      <x:c r="P987" s="20" t="str">
        <x:v>Screening score for United States / PMC presence in Madagascar; verify with country-specific evidence before final use.</x:v>
      </x:c>
    </x:row>
    <x:row r="988" ht="24" customHeight="1">
      <x:c r="A988" s="20" t="str">
        <x:v>MDG|United States|Election interference</x:v>
      </x:c>
      <x:c r="B988" s="20" t="str">
        <x:v>Madagascar</x:v>
      </x:c>
      <x:c r="C988" s="20" t="str">
        <x:v>MDG</x:v>
      </x:c>
      <x:c r="D988" s="20" t="str">
        <x:v>United States</x:v>
      </x:c>
      <x:c r="E988" s="20" t="str">
        <x:v>American influence</x:v>
      </x:c>
      <x:c r="F988" s="20" t="str">
        <x:v>Election interference</x:v>
      </x:c>
      <x:c r="G988" s="384" t="n">
        <x:v>2</x:v>
      </x:c>
      <x:c r="H988" s="396" t="n">
        <x:v>2</x:v>
      </x:c>
      <x:c r="I988" s="20" t="str">
        <x:v>NED/Greenbook democracy assistance source register</x:v>
      </x:c>
      <x:c r="J988" s="397" t="str">
        <x:v>https://www.ned.org/ned-grantmaking/</x:v>
      </x:c>
      <x:c r="K988" s="20" t="str">
        <x:v>Primary source-register URL; automated screening score</x:v>
      </x:c>
      <x:c r="L988" s="20" t="str">
        <x:v>2026-05-20</x:v>
      </x:c>
      <x:c r="M988" s="20" t="str">
        <x:v>2026-05-20</x:v>
      </x:c>
      <x:c r="N988" s="20" t="str">
        <x:v>GPT-5.5 Pro</x:v>
      </x:c>
      <x:c r="O988" s="20" t="str">
        <x:v>Needs review</x:v>
      </x:c>
      <x:c r="P988" s="20" t="str">
        <x:v>Screening score for United States / Election interference in Madagascar; verify with country-specific evidence before final use.</x:v>
      </x:c>
    </x:row>
    <x:row r="989" ht="24" customHeight="1">
      <x:c r="A989" s="20" t="str">
        <x:v>MDG|United States|Security contractors</x:v>
      </x:c>
      <x:c r="B989" s="20" t="str">
        <x:v>Madagascar</x:v>
      </x:c>
      <x:c r="C989" s="20" t="str">
        <x:v>MDG</x:v>
      </x:c>
      <x:c r="D989" s="20" t="str">
        <x:v>United States</x:v>
      </x:c>
      <x:c r="E989" s="20" t="str">
        <x:v>American influence</x:v>
      </x:c>
      <x:c r="F989" s="20" t="str">
        <x:v>Security contractors</x:v>
      </x:c>
      <x:c r="G989" s="384" t="n">
        <x:v>3</x:v>
      </x:c>
      <x:c r="H989" s="396" t="n">
        <x:v>3</x:v>
      </x:c>
      <x:c r="I989" s="20" t="str">
        <x:v>SAM/Greenbook U.S. security contractor source register</x:v>
      </x:c>
      <x:c r="J989" s="397" t="str">
        <x:v>https://internationalpolicy.org/programs/sam/</x:v>
      </x:c>
      <x:c r="K989" s="20" t="str">
        <x:v>Primary source-register URL; automated screening score</x:v>
      </x:c>
      <x:c r="L989" s="20" t="str">
        <x:v>2026-05-20</x:v>
      </x:c>
      <x:c r="M989" s="20" t="str">
        <x:v>2026-05-20</x:v>
      </x:c>
      <x:c r="N989" s="20" t="str">
        <x:v>GPT-5.5 Pro</x:v>
      </x:c>
      <x:c r="O989" s="20" t="str">
        <x:v>Needs review</x:v>
      </x:c>
      <x:c r="P989" s="20" t="str">
        <x:v>Screening score for United States / Security contractors in Madagascar; verify with country-specific evidence before final use.</x:v>
      </x:c>
    </x:row>
    <x:row r="990" ht="24" customHeight="1">
      <x:c r="A990" s="20" t="str">
        <x:v>MDG|European Union|Propaganda ecosystems</x:v>
      </x:c>
      <x:c r="B990" s="20" t="str">
        <x:v>Madagascar</x:v>
      </x:c>
      <x:c r="C990" s="20" t="str">
        <x:v>MDG</x:v>
      </x:c>
      <x:c r="D990" s="20" t="str">
        <x:v>European Union</x:v>
      </x:c>
      <x:c r="E990" s="20" t="str">
        <x:v>EU influence</x:v>
      </x:c>
      <x:c r="F990" s="20" t="str">
        <x:v>Propaganda ecosystems</x:v>
      </x:c>
      <x:c r="G990" s="384" t="n">
        <x:v>3</x:v>
      </x:c>
      <x:c r="H990" s="396" t="n">
        <x:v>3</x:v>
      </x:c>
      <x:c r="I990" s="20" t="str">
        <x:v>EEAS public diplomacy source register</x:v>
      </x:c>
      <x:c r="J990" s="397" t="str">
        <x:v>https://www.eeas.europa.eu/eeas/public-diplomacy_en</x:v>
      </x:c>
      <x:c r="K990" s="20" t="str">
        <x:v>Primary source-register URL; automated screening score</x:v>
      </x:c>
      <x:c r="L990" s="20" t="str">
        <x:v>2026-05-20</x:v>
      </x:c>
      <x:c r="M990" s="20" t="str">
        <x:v>2026-05-20</x:v>
      </x:c>
      <x:c r="N990" s="20" t="str">
        <x:v>GPT-5.5 Pro</x:v>
      </x:c>
      <x:c r="O990" s="20" t="str">
        <x:v>Needs review</x:v>
      </x:c>
      <x:c r="P990" s="20" t="str">
        <x:v>Screening score for European Union / Propaganda ecosystems in Madagascar; verify with country-specific evidence before final use.</x:v>
      </x:c>
    </x:row>
    <x:row r="991" ht="24" customHeight="1">
      <x:c r="A991" s="20" t="str">
        <x:v>MDG|European Union|PMC presence</x:v>
      </x:c>
      <x:c r="B991" s="20" t="str">
        <x:v>Madagascar</x:v>
      </x:c>
      <x:c r="C991" s="20" t="str">
        <x:v>MDG</x:v>
      </x:c>
      <x:c r="D991" s="20" t="str">
        <x:v>European Union</x:v>
      </x:c>
      <x:c r="E991" s="20" t="str">
        <x:v>EU influence</x:v>
      </x:c>
      <x:c r="F991" s="20" t="str">
        <x:v>PMC presence</x:v>
      </x:c>
      <x:c r="G991" s="384" t="n">
        <x:v>0</x:v>
      </x:c>
      <x:c r="H991" s="396" t="n">
        <x:v>1</x:v>
      </x:c>
      <x:c r="I991" s="20" t="str">
        <x:v>EEAS CSDP missions source register</x:v>
      </x:c>
      <x:c r="J991" s="397" t="str">
        <x:v>https://www.eeas.europa.eu/eeas/missions-and-operations_en</x:v>
      </x:c>
      <x:c r="K991" s="20" t="str">
        <x:v>Primary source-register URL; automated screening score</x:v>
      </x:c>
      <x:c r="L991" s="20" t="str">
        <x:v>2026-05-20</x:v>
      </x:c>
      <x:c r="M991" s="20" t="str">
        <x:v>2026-05-20</x:v>
      </x:c>
      <x:c r="N991" s="20" t="str">
        <x:v>GPT-5.5 Pro</x:v>
      </x:c>
      <x:c r="O991" s="20" t="str">
        <x:v>Needs review</x:v>
      </x:c>
      <x:c r="P991" s="20" t="str">
        <x:v>Screening score for European Union / PMC presence in Madagascar; verify with country-specific evidence before final use.</x:v>
      </x:c>
    </x:row>
    <x:row r="992" ht="24" customHeight="1">
      <x:c r="A992" s="20" t="str">
        <x:v>MDG|European Union|Election interference</x:v>
      </x:c>
      <x:c r="B992" s="20" t="str">
        <x:v>Madagascar</x:v>
      </x:c>
      <x:c r="C992" s="20" t="str">
        <x:v>MDG</x:v>
      </x:c>
      <x:c r="D992" s="20" t="str">
        <x:v>European Union</x:v>
      </x:c>
      <x:c r="E992" s="20" t="str">
        <x:v>EU influence</x:v>
      </x:c>
      <x:c r="F992" s="20" t="str">
        <x:v>Election interference</x:v>
      </x:c>
      <x:c r="G992" s="384" t="n">
        <x:v>1</x:v>
      </x:c>
      <x:c r="H992" s="396" t="n">
        <x:v>2</x:v>
      </x:c>
      <x:c r="I992" s="20" t="str">
        <x:v>EEAS EU election observation source register</x:v>
      </x:c>
      <x:c r="J992" s="397" t="str">
        <x:v>https://www.eeas.europa.eu/eeas/eu-election-observation-missions-1_en?page_lang=en</x:v>
      </x:c>
      <x:c r="K992" s="20" t="str">
        <x:v>Primary source-register URL; automated screening score</x:v>
      </x:c>
      <x:c r="L992" s="20" t="str">
        <x:v>2026-05-20</x:v>
      </x:c>
      <x:c r="M992" s="20" t="str">
        <x:v>2026-05-20</x:v>
      </x:c>
      <x:c r="N992" s="20" t="str">
        <x:v>GPT-5.5 Pro</x:v>
      </x:c>
      <x:c r="O992" s="20" t="str">
        <x:v>Needs review</x:v>
      </x:c>
      <x:c r="P992" s="20" t="str">
        <x:v>Screening score for European Union / Election interference in Madagascar; verify with country-specific evidence before final use.</x:v>
      </x:c>
    </x:row>
    <x:row r="993" ht="24" customHeight="1">
      <x:c r="A993" s="20" t="str">
        <x:v>MDG|European Union|Security contractors</x:v>
      </x:c>
      <x:c r="B993" s="20" t="str">
        <x:v>Madagascar</x:v>
      </x:c>
      <x:c r="C993" s="20" t="str">
        <x:v>MDG</x:v>
      </x:c>
      <x:c r="D993" s="20" t="str">
        <x:v>European Union</x:v>
      </x:c>
      <x:c r="E993" s="20" t="str">
        <x:v>EU influence</x:v>
      </x:c>
      <x:c r="F993" s="20" t="str">
        <x:v>Security contractors</x:v>
      </x:c>
      <x:c r="G993" s="384" t="n">
        <x:v>2</x:v>
      </x:c>
      <x:c r="H993" s="396" t="n">
        <x:v>2</x:v>
      </x:c>
      <x:c r="I993" s="20" t="str">
        <x:v>EEAS CSDP / Global Gateway security source register</x:v>
      </x:c>
      <x:c r="J993" s="397" t="str">
        <x:v>https://www.eeas.europa.eu/eeas/missions-and-operations_en</x:v>
      </x:c>
      <x:c r="K993" s="20" t="str">
        <x:v>Primary source-register URL; automated screening score</x:v>
      </x:c>
      <x:c r="L993" s="20" t="str">
        <x:v>2026-05-20</x:v>
      </x:c>
      <x:c r="M993" s="20" t="str">
        <x:v>2026-05-20</x:v>
      </x:c>
      <x:c r="N993" s="20" t="str">
        <x:v>GPT-5.5 Pro</x:v>
      </x:c>
      <x:c r="O993" s="20" t="str">
        <x:v>Needs review</x:v>
      </x:c>
      <x:c r="P993" s="20" t="str">
        <x:v>Screening score for European Union / Security contractors in Madagascar; verify with country-specific evidence before final use.</x:v>
      </x:c>
    </x:row>
    <x:row r="994" ht="24" customHeight="1">
      <x:c r="A994" s="20" t="str">
        <x:v>MYS|Russia|Propaganda ecosystems</x:v>
      </x:c>
      <x:c r="B994" s="20" t="str">
        <x:v>Malaysia</x:v>
      </x:c>
      <x:c r="C994" s="20" t="str">
        <x:v>MYS</x:v>
      </x:c>
      <x:c r="D994" s="20" t="str">
        <x:v>Russia</x:v>
      </x:c>
      <x:c r="E994" s="20" t="str">
        <x:v>Russian influence</x:v>
      </x:c>
      <x:c r="F994" s="20" t="str">
        <x:v>Propaganda ecosystems</x:v>
      </x:c>
      <x:c r="G994" s="384" t="n">
        <x:v>2</x:v>
      </x:c>
      <x:c r="H994" s="396" t="n">
        <x:v>2</x:v>
      </x:c>
      <x:c r="I994" s="20" t="str">
        <x:v>EEAS/EUvsDisinfo FIMI source register</x:v>
      </x:c>
      <x:c r="J994" s="397" t="str">
        <x:v>https://www.eeas.europa.eu/eeas/4th-eeas-annual-report-foreign-information-manipulation-and-interference-threats_en</x:v>
      </x:c>
      <x:c r="K994" s="20" t="str">
        <x:v>Primary source-register URL; automated screening score</x:v>
      </x:c>
      <x:c r="L994" s="20" t="str">
        <x:v>2026-05-20</x:v>
      </x:c>
      <x:c r="M994" s="20" t="str">
        <x:v>2026-05-20</x:v>
      </x:c>
      <x:c r="N994" s="20" t="str">
        <x:v>GPT-5.5 Pro</x:v>
      </x:c>
      <x:c r="O994" s="20" t="str">
        <x:v>Needs review</x:v>
      </x:c>
      <x:c r="P994" s="20" t="str">
        <x:v>Screening score for Russia / Propaganda ecosystems in Malaysia; verify with country-specific evidence before final use.</x:v>
      </x:c>
    </x:row>
    <x:row r="995" ht="24" customHeight="1">
      <x:c r="A995" s="20" t="str">
        <x:v>MYS|Russia|PMC presence</x:v>
      </x:c>
      <x:c r="B995" s="20" t="str">
        <x:v>Malaysia</x:v>
      </x:c>
      <x:c r="C995" s="20" t="str">
        <x:v>MYS</x:v>
      </x:c>
      <x:c r="D995" s="20" t="str">
        <x:v>Russia</x:v>
      </x:c>
      <x:c r="E995" s="20" t="str">
        <x:v>Russian influence</x:v>
      </x:c>
      <x:c r="F995" s="20" t="str">
        <x:v>PMC presence</x:v>
      </x:c>
      <x:c r="G995" s="384" t="n">
        <x:v>0</x:v>
      </x:c>
      <x:c r="H995" s="396" t="n">
        <x:v>1</x:v>
      </x:c>
      <x:c r="I995" s="20" t="str">
        <x:v>Treasury and Council of the EU Wagner/PMC source register</x:v>
      </x:c>
      <x:c r="J995" s="397" t="str">
        <x:v>https://www.consilium.europa.eu/en/press/press-releases/2023/02/25/wagner-group-council-adds-11-individuals-and-7-entities-to-eu-sanctions-lists/</x:v>
      </x:c>
      <x:c r="K995" s="20" t="str">
        <x:v>Primary source-register URL; automated screening score</x:v>
      </x:c>
      <x:c r="L995" s="20" t="str">
        <x:v>2026-05-20</x:v>
      </x:c>
      <x:c r="M995" s="20" t="str">
        <x:v>2026-05-20</x:v>
      </x:c>
      <x:c r="N995" s="20" t="str">
        <x:v>GPT-5.5 Pro</x:v>
      </x:c>
      <x:c r="O995" s="20" t="str">
        <x:v>Needs review</x:v>
      </x:c>
      <x:c r="P995" s="20" t="str">
        <x:v>Screening score for Russia / PMC presence in Malaysia; verify with country-specific evidence before final use.</x:v>
      </x:c>
    </x:row>
    <x:row r="996" ht="24" customHeight="1">
      <x:c r="A996" s="20" t="str">
        <x:v>MYS|Russia|Election interference</x:v>
      </x:c>
      <x:c r="B996" s="20" t="str">
        <x:v>Malaysia</x:v>
      </x:c>
      <x:c r="C996" s="20" t="str">
        <x:v>MYS</x:v>
      </x:c>
      <x:c r="D996" s="20" t="str">
        <x:v>Russia</x:v>
      </x:c>
      <x:c r="E996" s="20" t="str">
        <x:v>Russian influence</x:v>
      </x:c>
      <x:c r="F996" s="20" t="str">
        <x:v>Election interference</x:v>
      </x:c>
      <x:c r="G996" s="384" t="n">
        <x:v>0</x:v>
      </x:c>
      <x:c r="H996" s="396" t="n">
        <x:v>1</x:v>
      </x:c>
      <x:c r="I996" s="20" t="str">
        <x:v>ODNI/EEAS election-FIMI source register</x:v>
      </x:c>
      <x:c r="J996" s="397" t="str">
        <x:v>https://www.dni.gov/files/ODNI/documents/assessments/ATA-2026-Unclassified-Report.pdf</x:v>
      </x:c>
      <x:c r="K996" s="20" t="str">
        <x:v>Primary source-register URL; automated screening score</x:v>
      </x:c>
      <x:c r="L996" s="20" t="str">
        <x:v>2026-05-20</x:v>
      </x:c>
      <x:c r="M996" s="20" t="str">
        <x:v>2026-05-20</x:v>
      </x:c>
      <x:c r="N996" s="20" t="str">
        <x:v>GPT-5.5 Pro</x:v>
      </x:c>
      <x:c r="O996" s="20" t="str">
        <x:v>Needs review</x:v>
      </x:c>
      <x:c r="P996" s="20" t="str">
        <x:v>Screening score for Russia / Election interference in Malaysia; verify with country-specific evidence before final use.</x:v>
      </x:c>
    </x:row>
    <x:row r="997" ht="24" customHeight="1">
      <x:c r="A997" s="20" t="str">
        <x:v>MYS|Russia|Security contractors</x:v>
      </x:c>
      <x:c r="B997" s="20" t="str">
        <x:v>Malaysia</x:v>
      </x:c>
      <x:c r="C997" s="20" t="str">
        <x:v>MYS</x:v>
      </x:c>
      <x:c r="D997" s="20" t="str">
        <x:v>Russia</x:v>
      </x:c>
      <x:c r="E997" s="20" t="str">
        <x:v>Russian influence</x:v>
      </x:c>
      <x:c r="F997" s="20" t="str">
        <x:v>Security contractors</x:v>
      </x:c>
      <x:c r="G997" s="384" t="n">
        <x:v>0</x:v>
      </x:c>
      <x:c r="H997" s="396" t="n">
        <x:v>1</x:v>
      </x:c>
      <x:c r="I997" s="20" t="str">
        <x:v>Council of the EU/Treasury Wagner-security source register</x:v>
      </x:c>
      <x:c r="J997" s="397" t="str">
        <x:v>https://www.consilium.europa.eu/en/press/press-releases/2023/02/25/wagner-group-council-adds-11-individuals-and-7-entities-to-eu-sanctions-lists/</x:v>
      </x:c>
      <x:c r="K997" s="20" t="str">
        <x:v>Primary source-register URL; automated screening score</x:v>
      </x:c>
      <x:c r="L997" s="20" t="str">
        <x:v>2026-05-20</x:v>
      </x:c>
      <x:c r="M997" s="20" t="str">
        <x:v>2026-05-20</x:v>
      </x:c>
      <x:c r="N997" s="20" t="str">
        <x:v>GPT-5.5 Pro</x:v>
      </x:c>
      <x:c r="O997" s="20" t="str">
        <x:v>Needs review</x:v>
      </x:c>
      <x:c r="P997" s="20" t="str">
        <x:v>Screening score for Russia / Security contractors in Malaysia; verify with country-specific evidence before final use.</x:v>
      </x:c>
    </x:row>
    <x:row r="998" ht="24" customHeight="1">
      <x:c r="A998" s="20" t="str">
        <x:v>MYS|China|Propaganda ecosystems</x:v>
      </x:c>
      <x:c r="B998" s="20" t="str">
        <x:v>Malaysia</x:v>
      </x:c>
      <x:c r="C998" s="20" t="str">
        <x:v>MYS</x:v>
      </x:c>
      <x:c r="D998" s="20" t="str">
        <x:v>China</x:v>
      </x:c>
      <x:c r="E998" s="20" t="str">
        <x:v>Chinese influence</x:v>
      </x:c>
      <x:c r="F998" s="20" t="str">
        <x:v>Propaganda ecosystems</x:v>
      </x:c>
      <x:c r="G998" s="384" t="n">
        <x:v>6</x:v>
      </x:c>
      <x:c r="H998" s="396" t="n">
        <x:v>4</x:v>
      </x:c>
      <x:c r="I998" s="20" t="str">
        <x:v>EEAS/ODNI China FIMI source register</x:v>
      </x:c>
      <x:c r="J998" s="397" t="str">
        <x:v>https://www.eeas.europa.eu/eeas/4th-eeas-annual-report-foreign-information-manipulation-and-interference-threats_en</x:v>
      </x:c>
      <x:c r="K998" s="20" t="str">
        <x:v>Primary source-register URL; automated screening score</x:v>
      </x:c>
      <x:c r="L998" s="20" t="str">
        <x:v>2026-05-20</x:v>
      </x:c>
      <x:c r="M998" s="20" t="str">
        <x:v>2026-05-20</x:v>
      </x:c>
      <x:c r="N998" s="20" t="str">
        <x:v>GPT-5.5 Pro</x:v>
      </x:c>
      <x:c r="O998" s="20" t="str">
        <x:v>Needs review</x:v>
      </x:c>
      <x:c r="P998" s="20" t="str">
        <x:v>Screening score for China / Propaganda ecosystems in Malaysia; verify with country-specific evidence before final use.</x:v>
      </x:c>
    </x:row>
    <x:row r="999" ht="24" customHeight="1">
      <x:c r="A999" s="20" t="str">
        <x:v>MYS|China|PMC presence</x:v>
      </x:c>
      <x:c r="B999" s="20" t="str">
        <x:v>Malaysia</x:v>
      </x:c>
      <x:c r="C999" s="20" t="str">
        <x:v>MYS</x:v>
      </x:c>
      <x:c r="D999" s="20" t="str">
        <x:v>China</x:v>
      </x:c>
      <x:c r="E999" s="20" t="str">
        <x:v>Chinese influence</x:v>
      </x:c>
      <x:c r="F999" s="20" t="str">
        <x:v>PMC presence</x:v>
      </x:c>
      <x:c r="G999" s="384" t="n">
        <x:v>1</x:v>
      </x:c>
      <x:c r="H999" s="396" t="n">
        <x:v>2</x:v>
      </x:c>
      <x:c r="I999" s="20" t="str">
        <x:v>MERICS/Carnegie Chinese overseas PSC source register</x:v>
      </x:c>
      <x:c r="J999" s="397" t="str">
        <x:v>https://merics.org/en/report/guardians-belt-and-road</x:v>
      </x:c>
      <x:c r="K999" s="20" t="str">
        <x:v>Primary source-register URL; automated screening score</x:v>
      </x:c>
      <x:c r="L999" s="20" t="str">
        <x:v>2026-05-20</x:v>
      </x:c>
      <x:c r="M999" s="20" t="str">
        <x:v>2026-05-20</x:v>
      </x:c>
      <x:c r="N999" s="20" t="str">
        <x:v>GPT-5.5 Pro</x:v>
      </x:c>
      <x:c r="O999" s="20" t="str">
        <x:v>Needs review</x:v>
      </x:c>
      <x:c r="P999" s="20" t="str">
        <x:v>Screening score for China / PMC presence in Malaysia; verify with country-specific evidence before final use.</x:v>
      </x:c>
    </x:row>
    <x:row r="1000" ht="24" customHeight="1">
      <x:c r="A1000" s="20" t="str">
        <x:v>MYS|China|Election interference</x:v>
      </x:c>
      <x:c r="B1000" s="20" t="str">
        <x:v>Malaysia</x:v>
      </x:c>
      <x:c r="C1000" s="20" t="str">
        <x:v>MYS</x:v>
      </x:c>
      <x:c r="D1000" s="20" t="str">
        <x:v>China</x:v>
      </x:c>
      <x:c r="E1000" s="20" t="str">
        <x:v>Chinese influence</x:v>
      </x:c>
      <x:c r="F1000" s="20" t="str">
        <x:v>Election interference</x:v>
      </x:c>
      <x:c r="G1000" s="384" t="n">
        <x:v>3</x:v>
      </x:c>
      <x:c r="H1000" s="396" t="n">
        <x:v>3</x:v>
      </x:c>
      <x:c r="I1000" s="20" t="str">
        <x:v>EEAS/ODNI China election-FIMI source register</x:v>
      </x:c>
      <x:c r="J1000" s="397" t="str">
        <x:v>https://www.eeas.europa.eu/eeas/4th-eeas-annual-report-foreign-information-manipulation-and-interference-threats_en</x:v>
      </x:c>
      <x:c r="K1000" s="20" t="str">
        <x:v>Primary source-register URL; automated screening score</x:v>
      </x:c>
      <x:c r="L1000" s="20" t="str">
        <x:v>2026-05-20</x:v>
      </x:c>
      <x:c r="M1000" s="20" t="str">
        <x:v>2026-05-20</x:v>
      </x:c>
      <x:c r="N1000" s="20" t="str">
        <x:v>GPT-5.5 Pro</x:v>
      </x:c>
      <x:c r="O1000" s="20" t="str">
        <x:v>Needs review</x:v>
      </x:c>
      <x:c r="P1000" s="20" t="str">
        <x:v>Screening score for China / Election interference in Malaysia; verify with country-specific evidence before final use.</x:v>
      </x:c>
    </x:row>
    <x:row r="1001" ht="24" customHeight="1">
      <x:c r="A1001" s="20" t="str">
        <x:v>MYS|China|Security contractors</x:v>
      </x:c>
      <x:c r="B1001" s="20" t="str">
        <x:v>Malaysia</x:v>
      </x:c>
      <x:c r="C1001" s="20" t="str">
        <x:v>MYS</x:v>
      </x:c>
      <x:c r="D1001" s="20" t="str">
        <x:v>China</x:v>
      </x:c>
      <x:c r="E1001" s="20" t="str">
        <x:v>Chinese influence</x:v>
      </x:c>
      <x:c r="F1001" s="20" t="str">
        <x:v>Security contractors</x:v>
      </x:c>
      <x:c r="G1001" s="384" t="n">
        <x:v>3</x:v>
      </x:c>
      <x:c r="H1001" s="396" t="n">
        <x:v>3</x:v>
      </x:c>
      <x:c r="I1001" s="20" t="str">
        <x:v>MERICS/Carnegie Chinese security contractor source register</x:v>
      </x:c>
      <x:c r="J1001" s="397" t="str">
        <x:v>https://merics.org/en/report/guardians-belt-and-road</x:v>
      </x:c>
      <x:c r="K1001" s="20" t="str">
        <x:v>Primary source-register URL; automated screening score</x:v>
      </x:c>
      <x:c r="L1001" s="20" t="str">
        <x:v>2026-05-20</x:v>
      </x:c>
      <x:c r="M1001" s="20" t="str">
        <x:v>2026-05-20</x:v>
      </x:c>
      <x:c r="N1001" s="20" t="str">
        <x:v>GPT-5.5 Pro</x:v>
      </x:c>
      <x:c r="O1001" s="20" t="str">
        <x:v>Needs review</x:v>
      </x:c>
      <x:c r="P1001" s="20" t="str">
        <x:v>Screening score for China / Security contractors in Malaysia; verify with country-specific evidence before final use.</x:v>
      </x:c>
    </x:row>
    <x:row r="1002" ht="24" customHeight="1">
      <x:c r="A1002" s="20" t="str">
        <x:v>MYS|United States|Propaganda ecosystems</x:v>
      </x:c>
      <x:c r="B1002" s="20" t="str">
        <x:v>Malaysia</x:v>
      </x:c>
      <x:c r="C1002" s="20" t="str">
        <x:v>MYS</x:v>
      </x:c>
      <x:c r="D1002" s="20" t="str">
        <x:v>United States</x:v>
      </x:c>
      <x:c r="E1002" s="20" t="str">
        <x:v>American influence</x:v>
      </x:c>
      <x:c r="F1002" s="20" t="str">
        <x:v>Propaganda ecosystems</x:v>
      </x:c>
      <x:c r="G1002" s="384" t="n">
        <x:v>3</x:v>
      </x:c>
      <x:c r="H1002" s="396" t="n">
        <x:v>3</x:v>
      </x:c>
      <x:c r="I1002" s="20" t="str">
        <x:v>USAGM public media source register</x:v>
      </x:c>
      <x:c r="J1002" s="397" t="str">
        <x:v>https://www.usagm.gov/our-work/strategy-and-results/strategic-priorities/research-reports/</x:v>
      </x:c>
      <x:c r="K1002" s="20" t="str">
        <x:v>Primary source-register URL; automated screening score</x:v>
      </x:c>
      <x:c r="L1002" s="20" t="str">
        <x:v>2026-05-20</x:v>
      </x:c>
      <x:c r="M1002" s="20" t="str">
        <x:v>2026-05-20</x:v>
      </x:c>
      <x:c r="N1002" s="20" t="str">
        <x:v>GPT-5.5 Pro</x:v>
      </x:c>
      <x:c r="O1002" s="20" t="str">
        <x:v>Needs review</x:v>
      </x:c>
      <x:c r="P1002" s="20" t="str">
        <x:v>Screening score for United States / Propaganda ecosystems in Malaysia; verify with country-specific evidence before final use.</x:v>
      </x:c>
    </x:row>
    <x:row r="1003" ht="24" customHeight="1">
      <x:c r="A1003" s="20" t="str">
        <x:v>MYS|United States|PMC presence</x:v>
      </x:c>
      <x:c r="B1003" s="20" t="str">
        <x:v>Malaysia</x:v>
      </x:c>
      <x:c r="C1003" s="20" t="str">
        <x:v>MYS</x:v>
      </x:c>
      <x:c r="D1003" s="20" t="str">
        <x:v>United States</x:v>
      </x:c>
      <x:c r="E1003" s="20" t="str">
        <x:v>American influence</x:v>
      </x:c>
      <x:c r="F1003" s="20" t="str">
        <x:v>PMC presence</x:v>
      </x:c>
      <x:c r="G1003" s="384" t="n">
        <x:v>1</x:v>
      </x:c>
      <x:c r="H1003" s="396" t="n">
        <x:v>2</x:v>
      </x:c>
      <x:c r="I1003" s="20" t="str">
        <x:v>SAM/Greenbook U.S. security assistance contractor source register</x:v>
      </x:c>
      <x:c r="J1003" s="397" t="str">
        <x:v>https://internationalpolicy.org/programs/sam/</x:v>
      </x:c>
      <x:c r="K1003" s="20" t="str">
        <x:v>Primary source-register URL; automated screening score</x:v>
      </x:c>
      <x:c r="L1003" s="20" t="str">
        <x:v>2026-05-20</x:v>
      </x:c>
      <x:c r="M1003" s="20" t="str">
        <x:v>2026-05-20</x:v>
      </x:c>
      <x:c r="N1003" s="20" t="str">
        <x:v>GPT-5.5 Pro</x:v>
      </x:c>
      <x:c r="O1003" s="20" t="str">
        <x:v>Needs review</x:v>
      </x:c>
      <x:c r="P1003" s="20" t="str">
        <x:v>Screening score for United States / PMC presence in Malaysia; verify with country-specific evidence before final use.</x:v>
      </x:c>
    </x:row>
    <x:row r="1004" ht="24" customHeight="1">
      <x:c r="A1004" s="20" t="str">
        <x:v>MYS|United States|Election interference</x:v>
      </x:c>
      <x:c r="B1004" s="20" t="str">
        <x:v>Malaysia</x:v>
      </x:c>
      <x:c r="C1004" s="20" t="str">
        <x:v>MYS</x:v>
      </x:c>
      <x:c r="D1004" s="20" t="str">
        <x:v>United States</x:v>
      </x:c>
      <x:c r="E1004" s="20" t="str">
        <x:v>American influence</x:v>
      </x:c>
      <x:c r="F1004" s="20" t="str">
        <x:v>Election interference</x:v>
      </x:c>
      <x:c r="G1004" s="384" t="n">
        <x:v>2</x:v>
      </x:c>
      <x:c r="H1004" s="396" t="n">
        <x:v>2</x:v>
      </x:c>
      <x:c r="I1004" s="20" t="str">
        <x:v>NED/Greenbook democracy assistance source register</x:v>
      </x:c>
      <x:c r="J1004" s="397" t="str">
        <x:v>https://www.ned.org/ned-grantmaking/</x:v>
      </x:c>
      <x:c r="K1004" s="20" t="str">
        <x:v>Primary source-register URL; automated screening score</x:v>
      </x:c>
      <x:c r="L1004" s="20" t="str">
        <x:v>2026-05-20</x:v>
      </x:c>
      <x:c r="M1004" s="20" t="str">
        <x:v>2026-05-20</x:v>
      </x:c>
      <x:c r="N1004" s="20" t="str">
        <x:v>GPT-5.5 Pro</x:v>
      </x:c>
      <x:c r="O1004" s="20" t="str">
        <x:v>Needs review</x:v>
      </x:c>
      <x:c r="P1004" s="20" t="str">
        <x:v>Screening score for United States / Election interference in Malaysia; verify with country-specific evidence before final use.</x:v>
      </x:c>
    </x:row>
    <x:row r="1005" ht="24" customHeight="1">
      <x:c r="A1005" s="20" t="str">
        <x:v>MYS|United States|Security contractors</x:v>
      </x:c>
      <x:c r="B1005" s="20" t="str">
        <x:v>Malaysia</x:v>
      </x:c>
      <x:c r="C1005" s="20" t="str">
        <x:v>MYS</x:v>
      </x:c>
      <x:c r="D1005" s="20" t="str">
        <x:v>United States</x:v>
      </x:c>
      <x:c r="E1005" s="20" t="str">
        <x:v>American influence</x:v>
      </x:c>
      <x:c r="F1005" s="20" t="str">
        <x:v>Security contractors</x:v>
      </x:c>
      <x:c r="G1005" s="384" t="n">
        <x:v>2</x:v>
      </x:c>
      <x:c r="H1005" s="396" t="n">
        <x:v>2</x:v>
      </x:c>
      <x:c r="I1005" s="20" t="str">
        <x:v>SAM/Greenbook U.S. security contractor source register</x:v>
      </x:c>
      <x:c r="J1005" s="397" t="str">
        <x:v>https://internationalpolicy.org/programs/sam/</x:v>
      </x:c>
      <x:c r="K1005" s="20" t="str">
        <x:v>Primary source-register URL; automated screening score</x:v>
      </x:c>
      <x:c r="L1005" s="20" t="str">
        <x:v>2026-05-20</x:v>
      </x:c>
      <x:c r="M1005" s="20" t="str">
        <x:v>2026-05-20</x:v>
      </x:c>
      <x:c r="N1005" s="20" t="str">
        <x:v>GPT-5.5 Pro</x:v>
      </x:c>
      <x:c r="O1005" s="20" t="str">
        <x:v>Needs review</x:v>
      </x:c>
      <x:c r="P1005" s="20" t="str">
        <x:v>Screening score for United States / Security contractors in Malaysia; verify with country-specific evidence before final use.</x:v>
      </x:c>
    </x:row>
    <x:row r="1006" ht="24" customHeight="1">
      <x:c r="A1006" s="20" t="str">
        <x:v>MYS|European Union|Propaganda ecosystems</x:v>
      </x:c>
      <x:c r="B1006" s="20" t="str">
        <x:v>Malaysia</x:v>
      </x:c>
      <x:c r="C1006" s="20" t="str">
        <x:v>MYS</x:v>
      </x:c>
      <x:c r="D1006" s="20" t="str">
        <x:v>European Union</x:v>
      </x:c>
      <x:c r="E1006" s="20" t="str">
        <x:v>EU influence</x:v>
      </x:c>
      <x:c r="F1006" s="20" t="str">
        <x:v>Propaganda ecosystems</x:v>
      </x:c>
      <x:c r="G1006" s="384" t="n">
        <x:v>2</x:v>
      </x:c>
      <x:c r="H1006" s="396" t="n">
        <x:v>2</x:v>
      </x:c>
      <x:c r="I1006" s="20" t="str">
        <x:v>EEAS public diplomacy source register</x:v>
      </x:c>
      <x:c r="J1006" s="397" t="str">
        <x:v>https://www.eeas.europa.eu/eeas/public-diplomacy_en</x:v>
      </x:c>
      <x:c r="K1006" s="20" t="str">
        <x:v>Primary source-register URL; automated screening score</x:v>
      </x:c>
      <x:c r="L1006" s="20" t="str">
        <x:v>2026-05-20</x:v>
      </x:c>
      <x:c r="M1006" s="20" t="str">
        <x:v>2026-05-20</x:v>
      </x:c>
      <x:c r="N1006" s="20" t="str">
        <x:v>GPT-5.5 Pro</x:v>
      </x:c>
      <x:c r="O1006" s="20" t="str">
        <x:v>Needs review</x:v>
      </x:c>
      <x:c r="P1006" s="20" t="str">
        <x:v>Screening score for European Union / Propaganda ecosystems in Malaysia; verify with country-specific evidence before final use.</x:v>
      </x:c>
    </x:row>
    <x:row r="1007" ht="24" customHeight="1">
      <x:c r="A1007" s="20" t="str">
        <x:v>MYS|European Union|PMC presence</x:v>
      </x:c>
      <x:c r="B1007" s="20" t="str">
        <x:v>Malaysia</x:v>
      </x:c>
      <x:c r="C1007" s="20" t="str">
        <x:v>MYS</x:v>
      </x:c>
      <x:c r="D1007" s="20" t="str">
        <x:v>European Union</x:v>
      </x:c>
      <x:c r="E1007" s="20" t="str">
        <x:v>EU influence</x:v>
      </x:c>
      <x:c r="F1007" s="20" t="str">
        <x:v>PMC presence</x:v>
      </x:c>
      <x:c r="G1007" s="384" t="n">
        <x:v>0</x:v>
      </x:c>
      <x:c r="H1007" s="396" t="n">
        <x:v>1</x:v>
      </x:c>
      <x:c r="I1007" s="20" t="str">
        <x:v>EEAS CSDP missions source register</x:v>
      </x:c>
      <x:c r="J1007" s="397" t="str">
        <x:v>https://www.eeas.europa.eu/eeas/missions-and-operations_en</x:v>
      </x:c>
      <x:c r="K1007" s="20" t="str">
        <x:v>Primary source-register URL; automated screening score</x:v>
      </x:c>
      <x:c r="L1007" s="20" t="str">
        <x:v>2026-05-20</x:v>
      </x:c>
      <x:c r="M1007" s="20" t="str">
        <x:v>2026-05-20</x:v>
      </x:c>
      <x:c r="N1007" s="20" t="str">
        <x:v>GPT-5.5 Pro</x:v>
      </x:c>
      <x:c r="O1007" s="20" t="str">
        <x:v>Needs review</x:v>
      </x:c>
      <x:c r="P1007" s="20" t="str">
        <x:v>Screening score for European Union / PMC presence in Malaysia; verify with country-specific evidence before final use.</x:v>
      </x:c>
    </x:row>
    <x:row r="1008" ht="24" customHeight="1">
      <x:c r="A1008" s="20" t="str">
        <x:v>MYS|European Union|Election interference</x:v>
      </x:c>
      <x:c r="B1008" s="20" t="str">
        <x:v>Malaysia</x:v>
      </x:c>
      <x:c r="C1008" s="20" t="str">
        <x:v>MYS</x:v>
      </x:c>
      <x:c r="D1008" s="20" t="str">
        <x:v>European Union</x:v>
      </x:c>
      <x:c r="E1008" s="20" t="str">
        <x:v>EU influence</x:v>
      </x:c>
      <x:c r="F1008" s="20" t="str">
        <x:v>Election interference</x:v>
      </x:c>
      <x:c r="G1008" s="384" t="n">
        <x:v>2</x:v>
      </x:c>
      <x:c r="H1008" s="396" t="n">
        <x:v>2</x:v>
      </x:c>
      <x:c r="I1008" s="20" t="str">
        <x:v>EEAS EU election observation source register</x:v>
      </x:c>
      <x:c r="J1008" s="397" t="str">
        <x:v>https://www.eeas.europa.eu/eeas/eu-election-observation-missions-1_en?page_lang=en</x:v>
      </x:c>
      <x:c r="K1008" s="20" t="str">
        <x:v>Primary source-register URL; automated screening score</x:v>
      </x:c>
      <x:c r="L1008" s="20" t="str">
        <x:v>2026-05-20</x:v>
      </x:c>
      <x:c r="M1008" s="20" t="str">
        <x:v>2026-05-20</x:v>
      </x:c>
      <x:c r="N1008" s="20" t="str">
        <x:v>GPT-5.5 Pro</x:v>
      </x:c>
      <x:c r="O1008" s="20" t="str">
        <x:v>Needs review</x:v>
      </x:c>
      <x:c r="P1008" s="20" t="str">
        <x:v>Screening score for European Union / Election interference in Malaysia; verify with country-specific evidence before final use.</x:v>
      </x:c>
    </x:row>
    <x:row r="1009" ht="24" customHeight="1">
      <x:c r="A1009" s="20" t="str">
        <x:v>MYS|European Union|Security contractors</x:v>
      </x:c>
      <x:c r="B1009" s="20" t="str">
        <x:v>Malaysia</x:v>
      </x:c>
      <x:c r="C1009" s="20" t="str">
        <x:v>MYS</x:v>
      </x:c>
      <x:c r="D1009" s="20" t="str">
        <x:v>European Union</x:v>
      </x:c>
      <x:c r="E1009" s="20" t="str">
        <x:v>EU influence</x:v>
      </x:c>
      <x:c r="F1009" s="20" t="str">
        <x:v>Security contractors</x:v>
      </x:c>
      <x:c r="G1009" s="384" t="n">
        <x:v>2</x:v>
      </x:c>
      <x:c r="H1009" s="396" t="n">
        <x:v>2</x:v>
      </x:c>
      <x:c r="I1009" s="20" t="str">
        <x:v>EEAS CSDP / Global Gateway security source register</x:v>
      </x:c>
      <x:c r="J1009" s="397" t="str">
        <x:v>https://www.eeas.europa.eu/eeas/missions-and-operations_en</x:v>
      </x:c>
      <x:c r="K1009" s="20" t="str">
        <x:v>Primary source-register URL; automated screening score</x:v>
      </x:c>
      <x:c r="L1009" s="20" t="str">
        <x:v>2026-05-20</x:v>
      </x:c>
      <x:c r="M1009" s="20" t="str">
        <x:v>2026-05-20</x:v>
      </x:c>
      <x:c r="N1009" s="20" t="str">
        <x:v>GPT-5.5 Pro</x:v>
      </x:c>
      <x:c r="O1009" s="20" t="str">
        <x:v>Needs review</x:v>
      </x:c>
      <x:c r="P1009" s="20" t="str">
        <x:v>Screening score for European Union / Security contractors in Malaysia; verify with country-specific evidence before final use.</x:v>
      </x:c>
    </x:row>
    <x:row r="1010" ht="24" customHeight="1">
      <x:c r="A1010" s="20" t="str">
        <x:v>MLI|Russia|Propaganda ecosystems</x:v>
      </x:c>
      <x:c r="B1010" s="20" t="str">
        <x:v>Mali</x:v>
      </x:c>
      <x:c r="C1010" s="20" t="str">
        <x:v>MLI</x:v>
      </x:c>
      <x:c r="D1010" s="20" t="str">
        <x:v>Russia</x:v>
      </x:c>
      <x:c r="E1010" s="20" t="str">
        <x:v>Russian influence</x:v>
      </x:c>
      <x:c r="F1010" s="20" t="str">
        <x:v>Propaganda ecosystems</x:v>
      </x:c>
      <x:c r="G1010" s="384" t="n">
        <x:v>7</x:v>
      </x:c>
      <x:c r="H1010" s="396" t="n">
        <x:v>4</x:v>
      </x:c>
      <x:c r="I1010" s="20" t="str">
        <x:v>EEAS/EUvsDisinfo FIMI source register</x:v>
      </x:c>
      <x:c r="J1010" s="397" t="str">
        <x:v>https://www.eeas.europa.eu/eeas/4th-eeas-annual-report-foreign-information-manipulation-and-interference-threats_en</x:v>
      </x:c>
      <x:c r="K1010" s="20" t="str">
        <x:v>Primary source-register URL; automated screening score</x:v>
      </x:c>
      <x:c r="L1010" s="20" t="str">
        <x:v>2026-05-20</x:v>
      </x:c>
      <x:c r="M1010" s="20" t="str">
        <x:v>2026-05-20</x:v>
      </x:c>
      <x:c r="N1010" s="20" t="str">
        <x:v>GPT-5.5 Pro</x:v>
      </x:c>
      <x:c r="O1010" s="20" t="str">
        <x:v>Needs review</x:v>
      </x:c>
      <x:c r="P1010" s="20" t="str">
        <x:v>Screening score for Russia / Propaganda ecosystems in Mali; verify with country-specific evidence before final use.</x:v>
      </x:c>
    </x:row>
    <x:row r="1011" ht="24" customHeight="1">
      <x:c r="A1011" s="20" t="str">
        <x:v>MLI|Russia|PMC presence</x:v>
      </x:c>
      <x:c r="B1011" s="20" t="str">
        <x:v>Mali</x:v>
      </x:c>
      <x:c r="C1011" s="20" t="str">
        <x:v>MLI</x:v>
      </x:c>
      <x:c r="D1011" s="20" t="str">
        <x:v>Russia</x:v>
      </x:c>
      <x:c r="E1011" s="20" t="str">
        <x:v>Russian influence</x:v>
      </x:c>
      <x:c r="F1011" s="20" t="str">
        <x:v>PMC presence</x:v>
      </x:c>
      <x:c r="G1011" s="384" t="n">
        <x:v>8</x:v>
      </x:c>
      <x:c r="H1011" s="396" t="n">
        <x:v>4</x:v>
      </x:c>
      <x:c r="I1011" s="20" t="str">
        <x:v>Treasury and Council of the EU Wagner/PMC source register</x:v>
      </x:c>
      <x:c r="J1011" s="397" t="str">
        <x:v>https://www.consilium.europa.eu/en/press/press-releases/2023/02/25/wagner-group-council-adds-11-individuals-and-7-entities-to-eu-sanctions-lists/</x:v>
      </x:c>
      <x:c r="K1011" s="20" t="str">
        <x:v>Primary source-register URL; automated screening score</x:v>
      </x:c>
      <x:c r="L1011" s="20" t="str">
        <x:v>2026-05-20</x:v>
      </x:c>
      <x:c r="M1011" s="20" t="str">
        <x:v>2026-05-20</x:v>
      </x:c>
      <x:c r="N1011" s="20" t="str">
        <x:v>GPT-5.5 Pro</x:v>
      </x:c>
      <x:c r="O1011" s="20" t="str">
        <x:v>Needs review</x:v>
      </x:c>
      <x:c r="P1011" s="20" t="str">
        <x:v>Screening score for Russia / PMC presence in Mali; verify with country-specific evidence before final use.</x:v>
      </x:c>
    </x:row>
    <x:row r="1012" ht="24" customHeight="1">
      <x:c r="A1012" s="20" t="str">
        <x:v>MLI|Russia|Election interference</x:v>
      </x:c>
      <x:c r="B1012" s="20" t="str">
        <x:v>Mali</x:v>
      </x:c>
      <x:c r="C1012" s="20" t="str">
        <x:v>MLI</x:v>
      </x:c>
      <x:c r="D1012" s="20" t="str">
        <x:v>Russia</x:v>
      </x:c>
      <x:c r="E1012" s="20" t="str">
        <x:v>Russian influence</x:v>
      </x:c>
      <x:c r="F1012" s="20" t="str">
        <x:v>Election interference</x:v>
      </x:c>
      <x:c r="G1012" s="384" t="n">
        <x:v>3</x:v>
      </x:c>
      <x:c r="H1012" s="396" t="n">
        <x:v>3</x:v>
      </x:c>
      <x:c r="I1012" s="20" t="str">
        <x:v>ODNI/EEAS election-FIMI source register</x:v>
      </x:c>
      <x:c r="J1012" s="397" t="str">
        <x:v>https://www.dni.gov/files/ODNI/documents/assessments/ATA-2026-Unclassified-Report.pdf</x:v>
      </x:c>
      <x:c r="K1012" s="20" t="str">
        <x:v>Primary source-register URL; automated screening score</x:v>
      </x:c>
      <x:c r="L1012" s="20" t="str">
        <x:v>2026-05-20</x:v>
      </x:c>
      <x:c r="M1012" s="20" t="str">
        <x:v>2026-05-20</x:v>
      </x:c>
      <x:c r="N1012" s="20" t="str">
        <x:v>GPT-5.5 Pro</x:v>
      </x:c>
      <x:c r="O1012" s="20" t="str">
        <x:v>Needs review</x:v>
      </x:c>
      <x:c r="P1012" s="20" t="str">
        <x:v>Screening score for Russia / Election interference in Mali; verify with country-specific evidence before final use.</x:v>
      </x:c>
    </x:row>
    <x:row r="1013" ht="24" customHeight="1">
      <x:c r="A1013" s="20" t="str">
        <x:v>MLI|Russia|Security contractors</x:v>
      </x:c>
      <x:c r="B1013" s="20" t="str">
        <x:v>Mali</x:v>
      </x:c>
      <x:c r="C1013" s="20" t="str">
        <x:v>MLI</x:v>
      </x:c>
      <x:c r="D1013" s="20" t="str">
        <x:v>Russia</x:v>
      </x:c>
      <x:c r="E1013" s="20" t="str">
        <x:v>Russian influence</x:v>
      </x:c>
      <x:c r="F1013" s="20" t="str">
        <x:v>Security contractors</x:v>
      </x:c>
      <x:c r="G1013" s="384" t="n">
        <x:v>8</x:v>
      </x:c>
      <x:c r="H1013" s="396" t="n">
        <x:v>4</x:v>
      </x:c>
      <x:c r="I1013" s="20" t="str">
        <x:v>Council of the EU/Treasury Wagner-security source register</x:v>
      </x:c>
      <x:c r="J1013" s="397" t="str">
        <x:v>https://www.consilium.europa.eu/en/press/press-releases/2023/02/25/wagner-group-council-adds-11-individuals-and-7-entities-to-eu-sanctions-lists/</x:v>
      </x:c>
      <x:c r="K1013" s="20" t="str">
        <x:v>Primary source-register URL; automated screening score</x:v>
      </x:c>
      <x:c r="L1013" s="20" t="str">
        <x:v>2026-05-20</x:v>
      </x:c>
      <x:c r="M1013" s="20" t="str">
        <x:v>2026-05-20</x:v>
      </x:c>
      <x:c r="N1013" s="20" t="str">
        <x:v>GPT-5.5 Pro</x:v>
      </x:c>
      <x:c r="O1013" s="20" t="str">
        <x:v>Needs review</x:v>
      </x:c>
      <x:c r="P1013" s="20" t="str">
        <x:v>Screening score for Russia / Security contractors in Mali; verify with country-specific evidence before final use.</x:v>
      </x:c>
    </x:row>
    <x:row r="1014" ht="24" customHeight="1">
      <x:c r="A1014" s="20" t="str">
        <x:v>MLI|China|Propaganda ecosystems</x:v>
      </x:c>
      <x:c r="B1014" s="20" t="str">
        <x:v>Mali</x:v>
      </x:c>
      <x:c r="C1014" s="20" t="str">
        <x:v>MLI</x:v>
      </x:c>
      <x:c r="D1014" s="20" t="str">
        <x:v>China</x:v>
      </x:c>
      <x:c r="E1014" s="20" t="str">
        <x:v>Chinese influence</x:v>
      </x:c>
      <x:c r="F1014" s="20" t="str">
        <x:v>Propaganda ecosystems</x:v>
      </x:c>
      <x:c r="G1014" s="384" t="n">
        <x:v>5</x:v>
      </x:c>
      <x:c r="H1014" s="396" t="n">
        <x:v>3</x:v>
      </x:c>
      <x:c r="I1014" s="20" t="str">
        <x:v>EEAS/ODNI China FIMI source register</x:v>
      </x:c>
      <x:c r="J1014" s="397" t="str">
        <x:v>https://www.eeas.europa.eu/eeas/4th-eeas-annual-report-foreign-information-manipulation-and-interference-threats_en</x:v>
      </x:c>
      <x:c r="K1014" s="20" t="str">
        <x:v>Primary source-register URL; automated screening score</x:v>
      </x:c>
      <x:c r="L1014" s="20" t="str">
        <x:v>2026-05-20</x:v>
      </x:c>
      <x:c r="M1014" s="20" t="str">
        <x:v>2026-05-20</x:v>
      </x:c>
      <x:c r="N1014" s="20" t="str">
        <x:v>GPT-5.5 Pro</x:v>
      </x:c>
      <x:c r="O1014" s="20" t="str">
        <x:v>Needs review</x:v>
      </x:c>
      <x:c r="P1014" s="20" t="str">
        <x:v>Screening score for China / Propaganda ecosystems in Mali; verify with country-specific evidence before final use.</x:v>
      </x:c>
    </x:row>
    <x:row r="1015" ht="24" customHeight="1">
      <x:c r="A1015" s="20" t="str">
        <x:v>MLI|China|PMC presence</x:v>
      </x:c>
      <x:c r="B1015" s="20" t="str">
        <x:v>Mali</x:v>
      </x:c>
      <x:c r="C1015" s="20" t="str">
        <x:v>MLI</x:v>
      </x:c>
      <x:c r="D1015" s="20" t="str">
        <x:v>China</x:v>
      </x:c>
      <x:c r="E1015" s="20" t="str">
        <x:v>Chinese influence</x:v>
      </x:c>
      <x:c r="F1015" s="20" t="str">
        <x:v>PMC presence</x:v>
      </x:c>
      <x:c r="G1015" s="384" t="n">
        <x:v>1</x:v>
      </x:c>
      <x:c r="H1015" s="396" t="n">
        <x:v>2</x:v>
      </x:c>
      <x:c r="I1015" s="20" t="str">
        <x:v>MERICS/Carnegie Chinese overseas PSC source register</x:v>
      </x:c>
      <x:c r="J1015" s="397" t="str">
        <x:v>https://merics.org/en/report/guardians-belt-and-road</x:v>
      </x:c>
      <x:c r="K1015" s="20" t="str">
        <x:v>Primary source-register URL; automated screening score</x:v>
      </x:c>
      <x:c r="L1015" s="20" t="str">
        <x:v>2026-05-20</x:v>
      </x:c>
      <x:c r="M1015" s="20" t="str">
        <x:v>2026-05-20</x:v>
      </x:c>
      <x:c r="N1015" s="20" t="str">
        <x:v>GPT-5.5 Pro</x:v>
      </x:c>
      <x:c r="O1015" s="20" t="str">
        <x:v>Needs review</x:v>
      </x:c>
      <x:c r="P1015" s="20" t="str">
        <x:v>Screening score for China / PMC presence in Mali; verify with country-specific evidence before final use.</x:v>
      </x:c>
    </x:row>
    <x:row r="1016" ht="24" customHeight="1">
      <x:c r="A1016" s="20" t="str">
        <x:v>MLI|China|Election interference</x:v>
      </x:c>
      <x:c r="B1016" s="20" t="str">
        <x:v>Mali</x:v>
      </x:c>
      <x:c r="C1016" s="20" t="str">
        <x:v>MLI</x:v>
      </x:c>
      <x:c r="D1016" s="20" t="str">
        <x:v>China</x:v>
      </x:c>
      <x:c r="E1016" s="20" t="str">
        <x:v>Chinese influence</x:v>
      </x:c>
      <x:c r="F1016" s="20" t="str">
        <x:v>Election interference</x:v>
      </x:c>
      <x:c r="G1016" s="384" t="n">
        <x:v>1</x:v>
      </x:c>
      <x:c r="H1016" s="396" t="n">
        <x:v>2</x:v>
      </x:c>
      <x:c r="I1016" s="20" t="str">
        <x:v>EEAS/ODNI China election-FIMI source register</x:v>
      </x:c>
      <x:c r="J1016" s="397" t="str">
        <x:v>https://www.eeas.europa.eu/eeas/4th-eeas-annual-report-foreign-information-manipulation-and-interference-threats_en</x:v>
      </x:c>
      <x:c r="K1016" s="20" t="str">
        <x:v>Primary source-register URL; automated screening score</x:v>
      </x:c>
      <x:c r="L1016" s="20" t="str">
        <x:v>2026-05-20</x:v>
      </x:c>
      <x:c r="M1016" s="20" t="str">
        <x:v>2026-05-20</x:v>
      </x:c>
      <x:c r="N1016" s="20" t="str">
        <x:v>GPT-5.5 Pro</x:v>
      </x:c>
      <x:c r="O1016" s="20" t="str">
        <x:v>Needs review</x:v>
      </x:c>
      <x:c r="P1016" s="20" t="str">
        <x:v>Screening score for China / Election interference in Mali; verify with country-specific evidence before final use.</x:v>
      </x:c>
    </x:row>
    <x:row r="1017" ht="24" customHeight="1">
      <x:c r="A1017" s="20" t="str">
        <x:v>MLI|China|Security contractors</x:v>
      </x:c>
      <x:c r="B1017" s="20" t="str">
        <x:v>Mali</x:v>
      </x:c>
      <x:c r="C1017" s="20" t="str">
        <x:v>MLI</x:v>
      </x:c>
      <x:c r="D1017" s="20" t="str">
        <x:v>China</x:v>
      </x:c>
      <x:c r="E1017" s="20" t="str">
        <x:v>Chinese influence</x:v>
      </x:c>
      <x:c r="F1017" s="20" t="str">
        <x:v>Security contractors</x:v>
      </x:c>
      <x:c r="G1017" s="384" t="n">
        <x:v>1</x:v>
      </x:c>
      <x:c r="H1017" s="396" t="n">
        <x:v>2</x:v>
      </x:c>
      <x:c r="I1017" s="20" t="str">
        <x:v>MERICS/Carnegie Chinese security contractor source register</x:v>
      </x:c>
      <x:c r="J1017" s="397" t="str">
        <x:v>https://merics.org/en/report/guardians-belt-and-road</x:v>
      </x:c>
      <x:c r="K1017" s="20" t="str">
        <x:v>Primary source-register URL; automated screening score</x:v>
      </x:c>
      <x:c r="L1017" s="20" t="str">
        <x:v>2026-05-20</x:v>
      </x:c>
      <x:c r="M1017" s="20" t="str">
        <x:v>2026-05-20</x:v>
      </x:c>
      <x:c r="N1017" s="20" t="str">
        <x:v>GPT-5.5 Pro</x:v>
      </x:c>
      <x:c r="O1017" s="20" t="str">
        <x:v>Needs review</x:v>
      </x:c>
      <x:c r="P1017" s="20" t="str">
        <x:v>Screening score for China / Security contractors in Mali; verify with country-specific evidence before final use.</x:v>
      </x:c>
    </x:row>
    <x:row r="1018" ht="24" customHeight="1">
      <x:c r="A1018" s="20" t="str">
        <x:v>MLI|United States|Propaganda ecosystems</x:v>
      </x:c>
      <x:c r="B1018" s="20" t="str">
        <x:v>Mali</x:v>
      </x:c>
      <x:c r="C1018" s="20" t="str">
        <x:v>MLI</x:v>
      </x:c>
      <x:c r="D1018" s="20" t="str">
        <x:v>United States</x:v>
      </x:c>
      <x:c r="E1018" s="20" t="str">
        <x:v>American influence</x:v>
      </x:c>
      <x:c r="F1018" s="20" t="str">
        <x:v>Propaganda ecosystems</x:v>
      </x:c>
      <x:c r="G1018" s="384" t="n">
        <x:v>4</x:v>
      </x:c>
      <x:c r="H1018" s="396" t="n">
        <x:v>3</x:v>
      </x:c>
      <x:c r="I1018" s="20" t="str">
        <x:v>USAGM public media source register</x:v>
      </x:c>
      <x:c r="J1018" s="397" t="str">
        <x:v>https://www.usagm.gov/our-work/strategy-and-results/strategic-priorities/research-reports/</x:v>
      </x:c>
      <x:c r="K1018" s="20" t="str">
        <x:v>Primary source-register URL; automated screening score</x:v>
      </x:c>
      <x:c r="L1018" s="20" t="str">
        <x:v>2026-05-20</x:v>
      </x:c>
      <x:c r="M1018" s="20" t="str">
        <x:v>2026-05-20</x:v>
      </x:c>
      <x:c r="N1018" s="20" t="str">
        <x:v>GPT-5.5 Pro</x:v>
      </x:c>
      <x:c r="O1018" s="20" t="str">
        <x:v>Needs review</x:v>
      </x:c>
      <x:c r="P1018" s="20" t="str">
        <x:v>Screening score for United States / Propaganda ecosystems in Mali; verify with country-specific evidence before final use.</x:v>
      </x:c>
    </x:row>
    <x:row r="1019" ht="24" customHeight="1">
      <x:c r="A1019" s="20" t="str">
        <x:v>MLI|United States|PMC presence</x:v>
      </x:c>
      <x:c r="B1019" s="20" t="str">
        <x:v>Mali</x:v>
      </x:c>
      <x:c r="C1019" s="20" t="str">
        <x:v>MLI</x:v>
      </x:c>
      <x:c r="D1019" s="20" t="str">
        <x:v>United States</x:v>
      </x:c>
      <x:c r="E1019" s="20" t="str">
        <x:v>American influence</x:v>
      </x:c>
      <x:c r="F1019" s="20" t="str">
        <x:v>PMC presence</x:v>
      </x:c>
      <x:c r="G1019" s="384" t="n">
        <x:v>2</x:v>
      </x:c>
      <x:c r="H1019" s="396" t="n">
        <x:v>2</x:v>
      </x:c>
      <x:c r="I1019" s="20" t="str">
        <x:v>SAM/Greenbook U.S. security assistance contractor source register</x:v>
      </x:c>
      <x:c r="J1019" s="397" t="str">
        <x:v>https://internationalpolicy.org/programs/sam/</x:v>
      </x:c>
      <x:c r="K1019" s="20" t="str">
        <x:v>Primary source-register URL; automated screening score</x:v>
      </x:c>
      <x:c r="L1019" s="20" t="str">
        <x:v>2026-05-20</x:v>
      </x:c>
      <x:c r="M1019" s="20" t="str">
        <x:v>2026-05-20</x:v>
      </x:c>
      <x:c r="N1019" s="20" t="str">
        <x:v>GPT-5.5 Pro</x:v>
      </x:c>
      <x:c r="O1019" s="20" t="str">
        <x:v>Needs review</x:v>
      </x:c>
      <x:c r="P1019" s="20" t="str">
        <x:v>Screening score for United States / PMC presence in Mali; verify with country-specific evidence before final use.</x:v>
      </x:c>
    </x:row>
    <x:row r="1020" ht="24" customHeight="1">
      <x:c r="A1020" s="20" t="str">
        <x:v>MLI|United States|Election interference</x:v>
      </x:c>
      <x:c r="B1020" s="20" t="str">
        <x:v>Mali</x:v>
      </x:c>
      <x:c r="C1020" s="20" t="str">
        <x:v>MLI</x:v>
      </x:c>
      <x:c r="D1020" s="20" t="str">
        <x:v>United States</x:v>
      </x:c>
      <x:c r="E1020" s="20" t="str">
        <x:v>American influence</x:v>
      </x:c>
      <x:c r="F1020" s="20" t="str">
        <x:v>Election interference</x:v>
      </x:c>
      <x:c r="G1020" s="384" t="n">
        <x:v>2</x:v>
      </x:c>
      <x:c r="H1020" s="396" t="n">
        <x:v>2</x:v>
      </x:c>
      <x:c r="I1020" s="20" t="str">
        <x:v>NED/Greenbook democracy assistance source register</x:v>
      </x:c>
      <x:c r="J1020" s="397" t="str">
        <x:v>https://www.ned.org/ned-grantmaking/</x:v>
      </x:c>
      <x:c r="K1020" s="20" t="str">
        <x:v>Primary source-register URL; automated screening score</x:v>
      </x:c>
      <x:c r="L1020" s="20" t="str">
        <x:v>2026-05-20</x:v>
      </x:c>
      <x:c r="M1020" s="20" t="str">
        <x:v>2026-05-20</x:v>
      </x:c>
      <x:c r="N1020" s="20" t="str">
        <x:v>GPT-5.5 Pro</x:v>
      </x:c>
      <x:c r="O1020" s="20" t="str">
        <x:v>Needs review</x:v>
      </x:c>
      <x:c r="P1020" s="20" t="str">
        <x:v>Screening score for United States / Election interference in Mali; verify with country-specific evidence before final use.</x:v>
      </x:c>
    </x:row>
    <x:row r="1021" ht="24" customHeight="1">
      <x:c r="A1021" s="20" t="str">
        <x:v>MLI|United States|Security contractors</x:v>
      </x:c>
      <x:c r="B1021" s="20" t="str">
        <x:v>Mali</x:v>
      </x:c>
      <x:c r="C1021" s="20" t="str">
        <x:v>MLI</x:v>
      </x:c>
      <x:c r="D1021" s="20" t="str">
        <x:v>United States</x:v>
      </x:c>
      <x:c r="E1021" s="20" t="str">
        <x:v>American influence</x:v>
      </x:c>
      <x:c r="F1021" s="20" t="str">
        <x:v>Security contractors</x:v>
      </x:c>
      <x:c r="G1021" s="384" t="n">
        <x:v>3</x:v>
      </x:c>
      <x:c r="H1021" s="396" t="n">
        <x:v>3</x:v>
      </x:c>
      <x:c r="I1021" s="20" t="str">
        <x:v>SAM/Greenbook U.S. security contractor source register</x:v>
      </x:c>
      <x:c r="J1021" s="397" t="str">
        <x:v>https://internationalpolicy.org/programs/sam/</x:v>
      </x:c>
      <x:c r="K1021" s="20" t="str">
        <x:v>Primary source-register URL; automated screening score</x:v>
      </x:c>
      <x:c r="L1021" s="20" t="str">
        <x:v>2026-05-20</x:v>
      </x:c>
      <x:c r="M1021" s="20" t="str">
        <x:v>2026-05-20</x:v>
      </x:c>
      <x:c r="N1021" s="20" t="str">
        <x:v>GPT-5.5 Pro</x:v>
      </x:c>
      <x:c r="O1021" s="20" t="str">
        <x:v>Needs review</x:v>
      </x:c>
      <x:c r="P1021" s="20" t="str">
        <x:v>Screening score for United States / Security contractors in Mali; verify with country-specific evidence before final use.</x:v>
      </x:c>
    </x:row>
    <x:row r="1022" ht="24" customHeight="1">
      <x:c r="A1022" s="20" t="str">
        <x:v>MLI|European Union|Propaganda ecosystems</x:v>
      </x:c>
      <x:c r="B1022" s="20" t="str">
        <x:v>Mali</x:v>
      </x:c>
      <x:c r="C1022" s="20" t="str">
        <x:v>MLI</x:v>
      </x:c>
      <x:c r="D1022" s="20" t="str">
        <x:v>European Union</x:v>
      </x:c>
      <x:c r="E1022" s="20" t="str">
        <x:v>EU influence</x:v>
      </x:c>
      <x:c r="F1022" s="20" t="str">
        <x:v>Propaganda ecosystems</x:v>
      </x:c>
      <x:c r="G1022" s="384" t="n">
        <x:v>3</x:v>
      </x:c>
      <x:c r="H1022" s="396" t="n">
        <x:v>3</x:v>
      </x:c>
      <x:c r="I1022" s="20" t="str">
        <x:v>EEAS public diplomacy source register</x:v>
      </x:c>
      <x:c r="J1022" s="397" t="str">
        <x:v>https://www.eeas.europa.eu/eeas/public-diplomacy_en</x:v>
      </x:c>
      <x:c r="K1022" s="20" t="str">
        <x:v>Primary source-register URL; automated screening score</x:v>
      </x:c>
      <x:c r="L1022" s="20" t="str">
        <x:v>2026-05-20</x:v>
      </x:c>
      <x:c r="M1022" s="20" t="str">
        <x:v>2026-05-20</x:v>
      </x:c>
      <x:c r="N1022" s="20" t="str">
        <x:v>GPT-5.5 Pro</x:v>
      </x:c>
      <x:c r="O1022" s="20" t="str">
        <x:v>Needs review</x:v>
      </x:c>
      <x:c r="P1022" s="20" t="str">
        <x:v>Screening score for European Union / Propaganda ecosystems in Mali; verify with country-specific evidence before final use.</x:v>
      </x:c>
    </x:row>
    <x:row r="1023" ht="24" customHeight="1">
      <x:c r="A1023" s="20" t="str">
        <x:v>MLI|European Union|PMC presence</x:v>
      </x:c>
      <x:c r="B1023" s="20" t="str">
        <x:v>Mali</x:v>
      </x:c>
      <x:c r="C1023" s="20" t="str">
        <x:v>MLI</x:v>
      </x:c>
      <x:c r="D1023" s="20" t="str">
        <x:v>European Union</x:v>
      </x:c>
      <x:c r="E1023" s="20" t="str">
        <x:v>EU influence</x:v>
      </x:c>
      <x:c r="F1023" s="20" t="str">
        <x:v>PMC presence</x:v>
      </x:c>
      <x:c r="G1023" s="384" t="n">
        <x:v>1</x:v>
      </x:c>
      <x:c r="H1023" s="396" t="n">
        <x:v>2</x:v>
      </x:c>
      <x:c r="I1023" s="20" t="str">
        <x:v>EEAS CSDP missions source register</x:v>
      </x:c>
      <x:c r="J1023" s="397" t="str">
        <x:v>https://www.eeas.europa.eu/eeas/missions-and-operations_en</x:v>
      </x:c>
      <x:c r="K1023" s="20" t="str">
        <x:v>Primary source-register URL; automated screening score</x:v>
      </x:c>
      <x:c r="L1023" s="20" t="str">
        <x:v>2026-05-20</x:v>
      </x:c>
      <x:c r="M1023" s="20" t="str">
        <x:v>2026-05-20</x:v>
      </x:c>
      <x:c r="N1023" s="20" t="str">
        <x:v>GPT-5.5 Pro</x:v>
      </x:c>
      <x:c r="O1023" s="20" t="str">
        <x:v>Needs review</x:v>
      </x:c>
      <x:c r="P1023" s="20" t="str">
        <x:v>Screening score for European Union / PMC presence in Mali; verify with country-specific evidence before final use.</x:v>
      </x:c>
    </x:row>
    <x:row r="1024" ht="24" customHeight="1">
      <x:c r="A1024" s="20" t="str">
        <x:v>MLI|European Union|Election interference</x:v>
      </x:c>
      <x:c r="B1024" s="20" t="str">
        <x:v>Mali</x:v>
      </x:c>
      <x:c r="C1024" s="20" t="str">
        <x:v>MLI</x:v>
      </x:c>
      <x:c r="D1024" s="20" t="str">
        <x:v>European Union</x:v>
      </x:c>
      <x:c r="E1024" s="20" t="str">
        <x:v>EU influence</x:v>
      </x:c>
      <x:c r="F1024" s="20" t="str">
        <x:v>Election interference</x:v>
      </x:c>
      <x:c r="G1024" s="384" t="n">
        <x:v>1</x:v>
      </x:c>
      <x:c r="H1024" s="396" t="n">
        <x:v>2</x:v>
      </x:c>
      <x:c r="I1024" s="20" t="str">
        <x:v>EEAS EU election observation source register</x:v>
      </x:c>
      <x:c r="J1024" s="397" t="str">
        <x:v>https://www.eeas.europa.eu/eeas/eu-election-observation-missions-1_en?page_lang=en</x:v>
      </x:c>
      <x:c r="K1024" s="20" t="str">
        <x:v>Primary source-register URL; automated screening score</x:v>
      </x:c>
      <x:c r="L1024" s="20" t="str">
        <x:v>2026-05-20</x:v>
      </x:c>
      <x:c r="M1024" s="20" t="str">
        <x:v>2026-05-20</x:v>
      </x:c>
      <x:c r="N1024" s="20" t="str">
        <x:v>GPT-5.5 Pro</x:v>
      </x:c>
      <x:c r="O1024" s="20" t="str">
        <x:v>Needs review</x:v>
      </x:c>
      <x:c r="P1024" s="20" t="str">
        <x:v>Screening score for European Union / Election interference in Mali; verify with country-specific evidence before final use.</x:v>
      </x:c>
    </x:row>
    <x:row r="1025" ht="24" customHeight="1">
      <x:c r="A1025" s="20" t="str">
        <x:v>MLI|European Union|Security contractors</x:v>
      </x:c>
      <x:c r="B1025" s="20" t="str">
        <x:v>Mali</x:v>
      </x:c>
      <x:c r="C1025" s="20" t="str">
        <x:v>MLI</x:v>
      </x:c>
      <x:c r="D1025" s="20" t="str">
        <x:v>European Union</x:v>
      </x:c>
      <x:c r="E1025" s="20" t="str">
        <x:v>EU influence</x:v>
      </x:c>
      <x:c r="F1025" s="20" t="str">
        <x:v>Security contractors</x:v>
      </x:c>
      <x:c r="G1025" s="384" t="n">
        <x:v>3</x:v>
      </x:c>
      <x:c r="H1025" s="396" t="n">
        <x:v>3</x:v>
      </x:c>
      <x:c r="I1025" s="20" t="str">
        <x:v>EEAS CSDP / Global Gateway security source register</x:v>
      </x:c>
      <x:c r="J1025" s="397" t="str">
        <x:v>https://www.eeas.europa.eu/eeas/missions-and-operations_en</x:v>
      </x:c>
      <x:c r="K1025" s="20" t="str">
        <x:v>Primary source-register URL; automated screening score</x:v>
      </x:c>
      <x:c r="L1025" s="20" t="str">
        <x:v>2026-05-20</x:v>
      </x:c>
      <x:c r="M1025" s="20" t="str">
        <x:v>2026-05-20</x:v>
      </x:c>
      <x:c r="N1025" s="20" t="str">
        <x:v>GPT-5.5 Pro</x:v>
      </x:c>
      <x:c r="O1025" s="20" t="str">
        <x:v>Needs review</x:v>
      </x:c>
      <x:c r="P1025" s="20" t="str">
        <x:v>Screening score for European Union / Security contractors in Mali; verify with country-specific evidence before final use.</x:v>
      </x:c>
    </x:row>
    <x:row r="1026" ht="24" customHeight="1">
      <x:c r="A1026" s="20" t="str">
        <x:v>MHL|Russia|Propaganda ecosystems</x:v>
      </x:c>
      <x:c r="B1026" s="20" t="str">
        <x:v>Marshall Islands</x:v>
      </x:c>
      <x:c r="C1026" s="20" t="str">
        <x:v>MHL</x:v>
      </x:c>
      <x:c r="D1026" s="20" t="str">
        <x:v>Russia</x:v>
      </x:c>
      <x:c r="E1026" s="20" t="str">
        <x:v>Russian influence</x:v>
      </x:c>
      <x:c r="F1026" s="20" t="str">
        <x:v>Propaganda ecosystems</x:v>
      </x:c>
      <x:c r="G1026" s="384" t="n">
        <x:v>2</x:v>
      </x:c>
      <x:c r="H1026" s="396" t="n">
        <x:v>2</x:v>
      </x:c>
      <x:c r="I1026" s="20" t="str">
        <x:v>EEAS/EUvsDisinfo FIMI source register</x:v>
      </x:c>
      <x:c r="J1026" s="397" t="str">
        <x:v>https://www.eeas.europa.eu/eeas/4th-eeas-annual-report-foreign-information-manipulation-and-interference-threats_en</x:v>
      </x:c>
      <x:c r="K1026" s="20" t="str">
        <x:v>Primary source-register URL; automated screening score</x:v>
      </x:c>
      <x:c r="L1026" s="20" t="str">
        <x:v>2026-05-20</x:v>
      </x:c>
      <x:c r="M1026" s="20" t="str">
        <x:v>2026-05-20</x:v>
      </x:c>
      <x:c r="N1026" s="20" t="str">
        <x:v>GPT-5.5 Pro</x:v>
      </x:c>
      <x:c r="O1026" s="20" t="str">
        <x:v>Needs review</x:v>
      </x:c>
      <x:c r="P1026" s="20" t="str">
        <x:v>Screening score for Russia / Propaganda ecosystems in Marshall Islands; verify with country-specific evidence before final use.</x:v>
      </x:c>
    </x:row>
    <x:row r="1027" ht="24" customHeight="1">
      <x:c r="A1027" s="20" t="str">
        <x:v>MHL|Russia|PMC presence</x:v>
      </x:c>
      <x:c r="B1027" s="20" t="str">
        <x:v>Marshall Islands</x:v>
      </x:c>
      <x:c r="C1027" s="20" t="str">
        <x:v>MHL</x:v>
      </x:c>
      <x:c r="D1027" s="20" t="str">
        <x:v>Russia</x:v>
      </x:c>
      <x:c r="E1027" s="20" t="str">
        <x:v>Russian influence</x:v>
      </x:c>
      <x:c r="F1027" s="20" t="str">
        <x:v>PMC presence</x:v>
      </x:c>
      <x:c r="G1027" s="384" t="n">
        <x:v>0</x:v>
      </x:c>
      <x:c r="H1027" s="396" t="n">
        <x:v>1</x:v>
      </x:c>
      <x:c r="I1027" s="20" t="str">
        <x:v>Treasury and Council of the EU Wagner/PMC source register</x:v>
      </x:c>
      <x:c r="J1027" s="397" t="str">
        <x:v>https://www.consilium.europa.eu/en/press/press-releases/2023/02/25/wagner-group-council-adds-11-individuals-and-7-entities-to-eu-sanctions-lists/</x:v>
      </x:c>
      <x:c r="K1027" s="20" t="str">
        <x:v>Primary source-register URL; automated screening score</x:v>
      </x:c>
      <x:c r="L1027" s="20" t="str">
        <x:v>2026-05-20</x:v>
      </x:c>
      <x:c r="M1027" s="20" t="str">
        <x:v>2026-05-20</x:v>
      </x:c>
      <x:c r="N1027" s="20" t="str">
        <x:v>GPT-5.5 Pro</x:v>
      </x:c>
      <x:c r="O1027" s="20" t="str">
        <x:v>Needs review</x:v>
      </x:c>
      <x:c r="P1027" s="20" t="str">
        <x:v>Screening score for Russia / PMC presence in Marshall Islands; verify with country-specific evidence before final use.</x:v>
      </x:c>
    </x:row>
    <x:row r="1028" ht="24" customHeight="1">
      <x:c r="A1028" s="20" t="str">
        <x:v>MHL|Russia|Election interference</x:v>
      </x:c>
      <x:c r="B1028" s="20" t="str">
        <x:v>Marshall Islands</x:v>
      </x:c>
      <x:c r="C1028" s="20" t="str">
        <x:v>MHL</x:v>
      </x:c>
      <x:c r="D1028" s="20" t="str">
        <x:v>Russia</x:v>
      </x:c>
      <x:c r="E1028" s="20" t="str">
        <x:v>Russian influence</x:v>
      </x:c>
      <x:c r="F1028" s="20" t="str">
        <x:v>Election interference</x:v>
      </x:c>
      <x:c r="G1028" s="384" t="n">
        <x:v>0</x:v>
      </x:c>
      <x:c r="H1028" s="396" t="n">
        <x:v>1</x:v>
      </x:c>
      <x:c r="I1028" s="20" t="str">
        <x:v>ODNI/EEAS election-FIMI source register</x:v>
      </x:c>
      <x:c r="J1028" s="397" t="str">
        <x:v>https://www.dni.gov/files/ODNI/documents/assessments/ATA-2026-Unclassified-Report.pdf</x:v>
      </x:c>
      <x:c r="K1028" s="20" t="str">
        <x:v>Primary source-register URL; automated screening score</x:v>
      </x:c>
      <x:c r="L1028" s="20" t="str">
        <x:v>2026-05-20</x:v>
      </x:c>
      <x:c r="M1028" s="20" t="str">
        <x:v>2026-05-20</x:v>
      </x:c>
      <x:c r="N1028" s="20" t="str">
        <x:v>GPT-5.5 Pro</x:v>
      </x:c>
      <x:c r="O1028" s="20" t="str">
        <x:v>Needs review</x:v>
      </x:c>
      <x:c r="P1028" s="20" t="str">
        <x:v>Screening score for Russia / Election interference in Marshall Islands; verify with country-specific evidence before final use.</x:v>
      </x:c>
    </x:row>
    <x:row r="1029" ht="24" customHeight="1">
      <x:c r="A1029" s="20" t="str">
        <x:v>MHL|Russia|Security contractors</x:v>
      </x:c>
      <x:c r="B1029" s="20" t="str">
        <x:v>Marshall Islands</x:v>
      </x:c>
      <x:c r="C1029" s="20" t="str">
        <x:v>MHL</x:v>
      </x:c>
      <x:c r="D1029" s="20" t="str">
        <x:v>Russia</x:v>
      </x:c>
      <x:c r="E1029" s="20" t="str">
        <x:v>Russian influence</x:v>
      </x:c>
      <x:c r="F1029" s="20" t="str">
        <x:v>Security contractors</x:v>
      </x:c>
      <x:c r="G1029" s="384" t="n">
        <x:v>0</x:v>
      </x:c>
      <x:c r="H1029" s="396" t="n">
        <x:v>1</x:v>
      </x:c>
      <x:c r="I1029" s="20" t="str">
        <x:v>Council of the EU/Treasury Wagner-security source register</x:v>
      </x:c>
      <x:c r="J1029" s="397" t="str">
        <x:v>https://www.consilium.europa.eu/en/press/press-releases/2023/02/25/wagner-group-council-adds-11-individuals-and-7-entities-to-eu-sanctions-lists/</x:v>
      </x:c>
      <x:c r="K1029" s="20" t="str">
        <x:v>Primary source-register URL; automated screening score</x:v>
      </x:c>
      <x:c r="L1029" s="20" t="str">
        <x:v>2026-05-20</x:v>
      </x:c>
      <x:c r="M1029" s="20" t="str">
        <x:v>2026-05-20</x:v>
      </x:c>
      <x:c r="N1029" s="20" t="str">
        <x:v>GPT-5.5 Pro</x:v>
      </x:c>
      <x:c r="O1029" s="20" t="str">
        <x:v>Needs review</x:v>
      </x:c>
      <x:c r="P1029" s="20" t="str">
        <x:v>Screening score for Russia / Security contractors in Marshall Islands; verify with country-specific evidence before final use.</x:v>
      </x:c>
    </x:row>
    <x:row r="1030" ht="24" customHeight="1">
      <x:c r="A1030" s="20" t="str">
        <x:v>MHL|China|Propaganda ecosystems</x:v>
      </x:c>
      <x:c r="B1030" s="20" t="str">
        <x:v>Marshall Islands</x:v>
      </x:c>
      <x:c r="C1030" s="20" t="str">
        <x:v>MHL</x:v>
      </x:c>
      <x:c r="D1030" s="20" t="str">
        <x:v>China</x:v>
      </x:c>
      <x:c r="E1030" s="20" t="str">
        <x:v>Chinese influence</x:v>
      </x:c>
      <x:c r="F1030" s="20" t="str">
        <x:v>Propaganda ecosystems</x:v>
      </x:c>
      <x:c r="G1030" s="384" t="n">
        <x:v>7</x:v>
      </x:c>
      <x:c r="H1030" s="396" t="n">
        <x:v>4</x:v>
      </x:c>
      <x:c r="I1030" s="20" t="str">
        <x:v>EEAS/ODNI China FIMI source register</x:v>
      </x:c>
      <x:c r="J1030" s="397" t="str">
        <x:v>https://www.eeas.europa.eu/eeas/4th-eeas-annual-report-foreign-information-manipulation-and-interference-threats_en</x:v>
      </x:c>
      <x:c r="K1030" s="20" t="str">
        <x:v>Primary source-register URL; automated screening score</x:v>
      </x:c>
      <x:c r="L1030" s="20" t="str">
        <x:v>2026-05-20</x:v>
      </x:c>
      <x:c r="M1030" s="20" t="str">
        <x:v>2026-05-20</x:v>
      </x:c>
      <x:c r="N1030" s="20" t="str">
        <x:v>GPT-5.5 Pro</x:v>
      </x:c>
      <x:c r="O1030" s="20" t="str">
        <x:v>Needs review</x:v>
      </x:c>
      <x:c r="P1030" s="20" t="str">
        <x:v>Screening score for China / Propaganda ecosystems in Marshall Islands; verify with country-specific evidence before final use.</x:v>
      </x:c>
    </x:row>
    <x:row r="1031" ht="24" customHeight="1">
      <x:c r="A1031" s="20" t="str">
        <x:v>MHL|China|PMC presence</x:v>
      </x:c>
      <x:c r="B1031" s="20" t="str">
        <x:v>Marshall Islands</x:v>
      </x:c>
      <x:c r="C1031" s="20" t="str">
        <x:v>MHL</x:v>
      </x:c>
      <x:c r="D1031" s="20" t="str">
        <x:v>China</x:v>
      </x:c>
      <x:c r="E1031" s="20" t="str">
        <x:v>Chinese influence</x:v>
      </x:c>
      <x:c r="F1031" s="20" t="str">
        <x:v>PMC presence</x:v>
      </x:c>
      <x:c r="G1031" s="384" t="n">
        <x:v>1</x:v>
      </x:c>
      <x:c r="H1031" s="396" t="n">
        <x:v>2</x:v>
      </x:c>
      <x:c r="I1031" s="20" t="str">
        <x:v>MERICS/Carnegie Chinese overseas PSC source register</x:v>
      </x:c>
      <x:c r="J1031" s="397" t="str">
        <x:v>https://merics.org/en/report/guardians-belt-and-road</x:v>
      </x:c>
      <x:c r="K1031" s="20" t="str">
        <x:v>Primary source-register URL; automated screening score</x:v>
      </x:c>
      <x:c r="L1031" s="20" t="str">
        <x:v>2026-05-20</x:v>
      </x:c>
      <x:c r="M1031" s="20" t="str">
        <x:v>2026-05-20</x:v>
      </x:c>
      <x:c r="N1031" s="20" t="str">
        <x:v>GPT-5.5 Pro</x:v>
      </x:c>
      <x:c r="O1031" s="20" t="str">
        <x:v>Needs review</x:v>
      </x:c>
      <x:c r="P1031" s="20" t="str">
        <x:v>Screening score for China / PMC presence in Marshall Islands; verify with country-specific evidence before final use.</x:v>
      </x:c>
    </x:row>
    <x:row r="1032" ht="24" customHeight="1">
      <x:c r="A1032" s="20" t="str">
        <x:v>MHL|China|Election interference</x:v>
      </x:c>
      <x:c r="B1032" s="20" t="str">
        <x:v>Marshall Islands</x:v>
      </x:c>
      <x:c r="C1032" s="20" t="str">
        <x:v>MHL</x:v>
      </x:c>
      <x:c r="D1032" s="20" t="str">
        <x:v>China</x:v>
      </x:c>
      <x:c r="E1032" s="20" t="str">
        <x:v>Chinese influence</x:v>
      </x:c>
      <x:c r="F1032" s="20" t="str">
        <x:v>Election interference</x:v>
      </x:c>
      <x:c r="G1032" s="384" t="n">
        <x:v>3</x:v>
      </x:c>
      <x:c r="H1032" s="396" t="n">
        <x:v>3</x:v>
      </x:c>
      <x:c r="I1032" s="20" t="str">
        <x:v>EEAS/ODNI China election-FIMI source register</x:v>
      </x:c>
      <x:c r="J1032" s="397" t="str">
        <x:v>https://www.eeas.europa.eu/eeas/4th-eeas-annual-report-foreign-information-manipulation-and-interference-threats_en</x:v>
      </x:c>
      <x:c r="K1032" s="20" t="str">
        <x:v>Primary source-register URL; automated screening score</x:v>
      </x:c>
      <x:c r="L1032" s="20" t="str">
        <x:v>2026-05-20</x:v>
      </x:c>
      <x:c r="M1032" s="20" t="str">
        <x:v>2026-05-20</x:v>
      </x:c>
      <x:c r="N1032" s="20" t="str">
        <x:v>GPT-5.5 Pro</x:v>
      </x:c>
      <x:c r="O1032" s="20" t="str">
        <x:v>Needs review</x:v>
      </x:c>
      <x:c r="P1032" s="20" t="str">
        <x:v>Screening score for China / Election interference in Marshall Islands; verify with country-specific evidence before final use.</x:v>
      </x:c>
    </x:row>
    <x:row r="1033" ht="24" customHeight="1">
      <x:c r="A1033" s="20" t="str">
        <x:v>MHL|China|Security contractors</x:v>
      </x:c>
      <x:c r="B1033" s="20" t="str">
        <x:v>Marshall Islands</x:v>
      </x:c>
      <x:c r="C1033" s="20" t="str">
        <x:v>MHL</x:v>
      </x:c>
      <x:c r="D1033" s="20" t="str">
        <x:v>China</x:v>
      </x:c>
      <x:c r="E1033" s="20" t="str">
        <x:v>Chinese influence</x:v>
      </x:c>
      <x:c r="F1033" s="20" t="str">
        <x:v>Security contractors</x:v>
      </x:c>
      <x:c r="G1033" s="384" t="n">
        <x:v>2</x:v>
      </x:c>
      <x:c r="H1033" s="396" t="n">
        <x:v>2</x:v>
      </x:c>
      <x:c r="I1033" s="20" t="str">
        <x:v>MERICS/Carnegie Chinese security contractor source register</x:v>
      </x:c>
      <x:c r="J1033" s="397" t="str">
        <x:v>https://merics.org/en/report/guardians-belt-and-road</x:v>
      </x:c>
      <x:c r="K1033" s="20" t="str">
        <x:v>Primary source-register URL; automated screening score</x:v>
      </x:c>
      <x:c r="L1033" s="20" t="str">
        <x:v>2026-05-20</x:v>
      </x:c>
      <x:c r="M1033" s="20" t="str">
        <x:v>2026-05-20</x:v>
      </x:c>
      <x:c r="N1033" s="20" t="str">
        <x:v>GPT-5.5 Pro</x:v>
      </x:c>
      <x:c r="O1033" s="20" t="str">
        <x:v>Needs review</x:v>
      </x:c>
      <x:c r="P1033" s="20" t="str">
        <x:v>Screening score for China / Security contractors in Marshall Islands; verify with country-specific evidence before final use.</x:v>
      </x:c>
    </x:row>
    <x:row r="1034" ht="24" customHeight="1">
      <x:c r="A1034" s="20" t="str">
        <x:v>MHL|United States|Propaganda ecosystems</x:v>
      </x:c>
      <x:c r="B1034" s="20" t="str">
        <x:v>Marshall Islands</x:v>
      </x:c>
      <x:c r="C1034" s="20" t="str">
        <x:v>MHL</x:v>
      </x:c>
      <x:c r="D1034" s="20" t="str">
        <x:v>United States</x:v>
      </x:c>
      <x:c r="E1034" s="20" t="str">
        <x:v>American influence</x:v>
      </x:c>
      <x:c r="F1034" s="20" t="str">
        <x:v>Propaganda ecosystems</x:v>
      </x:c>
      <x:c r="G1034" s="384" t="n">
        <x:v>3</x:v>
      </x:c>
      <x:c r="H1034" s="396" t="n">
        <x:v>3</x:v>
      </x:c>
      <x:c r="I1034" s="20" t="str">
        <x:v>USAGM public media source register</x:v>
      </x:c>
      <x:c r="J1034" s="397" t="str">
        <x:v>https://www.usagm.gov/our-work/strategy-and-results/strategic-priorities/research-reports/</x:v>
      </x:c>
      <x:c r="K1034" s="20" t="str">
        <x:v>Primary source-register URL; automated screening score</x:v>
      </x:c>
      <x:c r="L1034" s="20" t="str">
        <x:v>2026-05-20</x:v>
      </x:c>
      <x:c r="M1034" s="20" t="str">
        <x:v>2026-05-20</x:v>
      </x:c>
      <x:c r="N1034" s="20" t="str">
        <x:v>GPT-5.5 Pro</x:v>
      </x:c>
      <x:c r="O1034" s="20" t="str">
        <x:v>Needs review</x:v>
      </x:c>
      <x:c r="P1034" s="20" t="str">
        <x:v>Screening score for United States / Propaganda ecosystems in Marshall Islands; verify with country-specific evidence before final use.</x:v>
      </x:c>
    </x:row>
    <x:row r="1035" ht="24" customHeight="1">
      <x:c r="A1035" s="20" t="str">
        <x:v>MHL|United States|PMC presence</x:v>
      </x:c>
      <x:c r="B1035" s="20" t="str">
        <x:v>Marshall Islands</x:v>
      </x:c>
      <x:c r="C1035" s="20" t="str">
        <x:v>MHL</x:v>
      </x:c>
      <x:c r="D1035" s="20" t="str">
        <x:v>United States</x:v>
      </x:c>
      <x:c r="E1035" s="20" t="str">
        <x:v>American influence</x:v>
      </x:c>
      <x:c r="F1035" s="20" t="str">
        <x:v>PMC presence</x:v>
      </x:c>
      <x:c r="G1035" s="384" t="n">
        <x:v>1</x:v>
      </x:c>
      <x:c r="H1035" s="396" t="n">
        <x:v>2</x:v>
      </x:c>
      <x:c r="I1035" s="20" t="str">
        <x:v>SAM/Greenbook U.S. security assistance contractor source register</x:v>
      </x:c>
      <x:c r="J1035" s="397" t="str">
        <x:v>https://internationalpolicy.org/programs/sam/</x:v>
      </x:c>
      <x:c r="K1035" s="20" t="str">
        <x:v>Primary source-register URL; automated screening score</x:v>
      </x:c>
      <x:c r="L1035" s="20" t="str">
        <x:v>2026-05-20</x:v>
      </x:c>
      <x:c r="M1035" s="20" t="str">
        <x:v>2026-05-20</x:v>
      </x:c>
      <x:c r="N1035" s="20" t="str">
        <x:v>GPT-5.5 Pro</x:v>
      </x:c>
      <x:c r="O1035" s="20" t="str">
        <x:v>Needs review</x:v>
      </x:c>
      <x:c r="P1035" s="20" t="str">
        <x:v>Screening score for United States / PMC presence in Marshall Islands; verify with country-specific evidence before final use.</x:v>
      </x:c>
    </x:row>
    <x:row r="1036" ht="24" customHeight="1">
      <x:c r="A1036" s="20" t="str">
        <x:v>MHL|United States|Election interference</x:v>
      </x:c>
      <x:c r="B1036" s="20" t="str">
        <x:v>Marshall Islands</x:v>
      </x:c>
      <x:c r="C1036" s="20" t="str">
        <x:v>MHL</x:v>
      </x:c>
      <x:c r="D1036" s="20" t="str">
        <x:v>United States</x:v>
      </x:c>
      <x:c r="E1036" s="20" t="str">
        <x:v>American influence</x:v>
      </x:c>
      <x:c r="F1036" s="20" t="str">
        <x:v>Election interference</x:v>
      </x:c>
      <x:c r="G1036" s="384" t="n">
        <x:v>1</x:v>
      </x:c>
      <x:c r="H1036" s="396" t="n">
        <x:v>2</x:v>
      </x:c>
      <x:c r="I1036" s="20" t="str">
        <x:v>NED/Greenbook democracy assistance source register</x:v>
      </x:c>
      <x:c r="J1036" s="397" t="str">
        <x:v>https://www.ned.org/ned-grantmaking/</x:v>
      </x:c>
      <x:c r="K1036" s="20" t="str">
        <x:v>Primary source-register URL; automated screening score</x:v>
      </x:c>
      <x:c r="L1036" s="20" t="str">
        <x:v>2026-05-20</x:v>
      </x:c>
      <x:c r="M1036" s="20" t="str">
        <x:v>2026-05-20</x:v>
      </x:c>
      <x:c r="N1036" s="20" t="str">
        <x:v>GPT-5.5 Pro</x:v>
      </x:c>
      <x:c r="O1036" s="20" t="str">
        <x:v>Needs review</x:v>
      </x:c>
      <x:c r="P1036" s="20" t="str">
        <x:v>Screening score for United States / Election interference in Marshall Islands; verify with country-specific evidence before final use.</x:v>
      </x:c>
    </x:row>
    <x:row r="1037" ht="24" customHeight="1">
      <x:c r="A1037" s="20" t="str">
        <x:v>MHL|United States|Security contractors</x:v>
      </x:c>
      <x:c r="B1037" s="20" t="str">
        <x:v>Marshall Islands</x:v>
      </x:c>
      <x:c r="C1037" s="20" t="str">
        <x:v>MHL</x:v>
      </x:c>
      <x:c r="D1037" s="20" t="str">
        <x:v>United States</x:v>
      </x:c>
      <x:c r="E1037" s="20" t="str">
        <x:v>American influence</x:v>
      </x:c>
      <x:c r="F1037" s="20" t="str">
        <x:v>Security contractors</x:v>
      </x:c>
      <x:c r="G1037" s="384" t="n">
        <x:v>2</x:v>
      </x:c>
      <x:c r="H1037" s="396" t="n">
        <x:v>2</x:v>
      </x:c>
      <x:c r="I1037" s="20" t="str">
        <x:v>SAM/Greenbook U.S. security contractor source register</x:v>
      </x:c>
      <x:c r="J1037" s="397" t="str">
        <x:v>https://internationalpolicy.org/programs/sam/</x:v>
      </x:c>
      <x:c r="K1037" s="20" t="str">
        <x:v>Primary source-register URL; automated screening score</x:v>
      </x:c>
      <x:c r="L1037" s="20" t="str">
        <x:v>2026-05-20</x:v>
      </x:c>
      <x:c r="M1037" s="20" t="str">
        <x:v>2026-05-20</x:v>
      </x:c>
      <x:c r="N1037" s="20" t="str">
        <x:v>GPT-5.5 Pro</x:v>
      </x:c>
      <x:c r="O1037" s="20" t="str">
        <x:v>Needs review</x:v>
      </x:c>
      <x:c r="P1037" s="20" t="str">
        <x:v>Screening score for United States / Security contractors in Marshall Islands; verify with country-specific evidence before final use.</x:v>
      </x:c>
    </x:row>
    <x:row r="1038" ht="24" customHeight="1">
      <x:c r="A1038" s="20" t="str">
        <x:v>MHL|European Union|Propaganda ecosystems</x:v>
      </x:c>
      <x:c r="B1038" s="20" t="str">
        <x:v>Marshall Islands</x:v>
      </x:c>
      <x:c r="C1038" s="20" t="str">
        <x:v>MHL</x:v>
      </x:c>
      <x:c r="D1038" s="20" t="str">
        <x:v>European Union</x:v>
      </x:c>
      <x:c r="E1038" s="20" t="str">
        <x:v>EU influence</x:v>
      </x:c>
      <x:c r="F1038" s="20" t="str">
        <x:v>Propaganda ecosystems</x:v>
      </x:c>
      <x:c r="G1038" s="384" t="n">
        <x:v>2</x:v>
      </x:c>
      <x:c r="H1038" s="396" t="n">
        <x:v>2</x:v>
      </x:c>
      <x:c r="I1038" s="20" t="str">
        <x:v>EEAS public diplomacy source register</x:v>
      </x:c>
      <x:c r="J1038" s="397" t="str">
        <x:v>https://www.eeas.europa.eu/eeas/public-diplomacy_en</x:v>
      </x:c>
      <x:c r="K1038" s="20" t="str">
        <x:v>Primary source-register URL; automated screening score</x:v>
      </x:c>
      <x:c r="L1038" s="20" t="str">
        <x:v>2026-05-20</x:v>
      </x:c>
      <x:c r="M1038" s="20" t="str">
        <x:v>2026-05-20</x:v>
      </x:c>
      <x:c r="N1038" s="20" t="str">
        <x:v>GPT-5.5 Pro</x:v>
      </x:c>
      <x:c r="O1038" s="20" t="str">
        <x:v>Needs review</x:v>
      </x:c>
      <x:c r="P1038" s="20" t="str">
        <x:v>Screening score for European Union / Propaganda ecosystems in Marshall Islands; verify with country-specific evidence before final use.</x:v>
      </x:c>
    </x:row>
    <x:row r="1039" ht="24" customHeight="1">
      <x:c r="A1039" s="20" t="str">
        <x:v>MHL|European Union|PMC presence</x:v>
      </x:c>
      <x:c r="B1039" s="20" t="str">
        <x:v>Marshall Islands</x:v>
      </x:c>
      <x:c r="C1039" s="20" t="str">
        <x:v>MHL</x:v>
      </x:c>
      <x:c r="D1039" s="20" t="str">
        <x:v>European Union</x:v>
      </x:c>
      <x:c r="E1039" s="20" t="str">
        <x:v>EU influence</x:v>
      </x:c>
      <x:c r="F1039" s="20" t="str">
        <x:v>PMC presence</x:v>
      </x:c>
      <x:c r="G1039" s="384" t="n">
        <x:v>0</x:v>
      </x:c>
      <x:c r="H1039" s="396" t="n">
        <x:v>1</x:v>
      </x:c>
      <x:c r="I1039" s="20" t="str">
        <x:v>EEAS CSDP missions source register</x:v>
      </x:c>
      <x:c r="J1039" s="397" t="str">
        <x:v>https://www.eeas.europa.eu/eeas/missions-and-operations_en</x:v>
      </x:c>
      <x:c r="K1039" s="20" t="str">
        <x:v>Primary source-register URL; automated screening score</x:v>
      </x:c>
      <x:c r="L1039" s="20" t="str">
        <x:v>2026-05-20</x:v>
      </x:c>
      <x:c r="M1039" s="20" t="str">
        <x:v>2026-05-20</x:v>
      </x:c>
      <x:c r="N1039" s="20" t="str">
        <x:v>GPT-5.5 Pro</x:v>
      </x:c>
      <x:c r="O1039" s="20" t="str">
        <x:v>Needs review</x:v>
      </x:c>
      <x:c r="P1039" s="20" t="str">
        <x:v>Screening score for European Union / PMC presence in Marshall Islands; verify with country-specific evidence before final use.</x:v>
      </x:c>
    </x:row>
    <x:row r="1040" ht="24" customHeight="1">
      <x:c r="A1040" s="20" t="str">
        <x:v>MHL|European Union|Election interference</x:v>
      </x:c>
      <x:c r="B1040" s="20" t="str">
        <x:v>Marshall Islands</x:v>
      </x:c>
      <x:c r="C1040" s="20" t="str">
        <x:v>MHL</x:v>
      </x:c>
      <x:c r="D1040" s="20" t="str">
        <x:v>European Union</x:v>
      </x:c>
      <x:c r="E1040" s="20" t="str">
        <x:v>EU influence</x:v>
      </x:c>
      <x:c r="F1040" s="20" t="str">
        <x:v>Election interference</x:v>
      </x:c>
      <x:c r="G1040" s="384" t="n">
        <x:v>1</x:v>
      </x:c>
      <x:c r="H1040" s="396" t="n">
        <x:v>2</x:v>
      </x:c>
      <x:c r="I1040" s="20" t="str">
        <x:v>EEAS EU election observation source register</x:v>
      </x:c>
      <x:c r="J1040" s="397" t="str">
        <x:v>https://www.eeas.europa.eu/eeas/eu-election-observation-missions-1_en?page_lang=en</x:v>
      </x:c>
      <x:c r="K1040" s="20" t="str">
        <x:v>Primary source-register URL; automated screening score</x:v>
      </x:c>
      <x:c r="L1040" s="20" t="str">
        <x:v>2026-05-20</x:v>
      </x:c>
      <x:c r="M1040" s="20" t="str">
        <x:v>2026-05-20</x:v>
      </x:c>
      <x:c r="N1040" s="20" t="str">
        <x:v>GPT-5.5 Pro</x:v>
      </x:c>
      <x:c r="O1040" s="20" t="str">
        <x:v>Needs review</x:v>
      </x:c>
      <x:c r="P1040" s="20" t="str">
        <x:v>Screening score for European Union / Election interference in Marshall Islands; verify with country-specific evidence before final use.</x:v>
      </x:c>
    </x:row>
    <x:row r="1041" ht="24" customHeight="1">
      <x:c r="A1041" s="20" t="str">
        <x:v>MHL|European Union|Security contractors</x:v>
      </x:c>
      <x:c r="B1041" s="20" t="str">
        <x:v>Marshall Islands</x:v>
      </x:c>
      <x:c r="C1041" s="20" t="str">
        <x:v>MHL</x:v>
      </x:c>
      <x:c r="D1041" s="20" t="str">
        <x:v>European Union</x:v>
      </x:c>
      <x:c r="E1041" s="20" t="str">
        <x:v>EU influence</x:v>
      </x:c>
      <x:c r="F1041" s="20" t="str">
        <x:v>Security contractors</x:v>
      </x:c>
      <x:c r="G1041" s="384" t="n">
        <x:v>1</x:v>
      </x:c>
      <x:c r="H1041" s="396" t="n">
        <x:v>2</x:v>
      </x:c>
      <x:c r="I1041" s="20" t="str">
        <x:v>EEAS CSDP / Global Gateway security source register</x:v>
      </x:c>
      <x:c r="J1041" s="397" t="str">
        <x:v>https://www.eeas.europa.eu/eeas/missions-and-operations_en</x:v>
      </x:c>
      <x:c r="K1041" s="20" t="str">
        <x:v>Primary source-register URL; automated screening score</x:v>
      </x:c>
      <x:c r="L1041" s="20" t="str">
        <x:v>2026-05-20</x:v>
      </x:c>
      <x:c r="M1041" s="20" t="str">
        <x:v>2026-05-20</x:v>
      </x:c>
      <x:c r="N1041" s="20" t="str">
        <x:v>GPT-5.5 Pro</x:v>
      </x:c>
      <x:c r="O1041" s="20" t="str">
        <x:v>Needs review</x:v>
      </x:c>
      <x:c r="P1041" s="20" t="str">
        <x:v>Screening score for European Union / Security contractors in Marshall Islands; verify with country-specific evidence before final use.</x:v>
      </x:c>
    </x:row>
    <x:row r="1042" ht="24" customHeight="1">
      <x:c r="A1042" s="20" t="str">
        <x:v>MRT|Russia|Propaganda ecosystems</x:v>
      </x:c>
      <x:c r="B1042" s="20" t="str">
        <x:v>Mauritania</x:v>
      </x:c>
      <x:c r="C1042" s="20" t="str">
        <x:v>MRT</x:v>
      </x:c>
      <x:c r="D1042" s="20" t="str">
        <x:v>Russia</x:v>
      </x:c>
      <x:c r="E1042" s="20" t="str">
        <x:v>Russian influence</x:v>
      </x:c>
      <x:c r="F1042" s="20" t="str">
        <x:v>Propaganda ecosystems</x:v>
      </x:c>
      <x:c r="G1042" s="384" t="n">
        <x:v>4</x:v>
      </x:c>
      <x:c r="H1042" s="396" t="n">
        <x:v>3</x:v>
      </x:c>
      <x:c r="I1042" s="20" t="str">
        <x:v>EEAS/EUvsDisinfo FIMI source register</x:v>
      </x:c>
      <x:c r="J1042" s="397" t="str">
        <x:v>https://www.eeas.europa.eu/eeas/4th-eeas-annual-report-foreign-information-manipulation-and-interference-threats_en</x:v>
      </x:c>
      <x:c r="K1042" s="20" t="str">
        <x:v>Primary source-register URL; automated screening score</x:v>
      </x:c>
      <x:c r="L1042" s="20" t="str">
        <x:v>2026-05-20</x:v>
      </x:c>
      <x:c r="M1042" s="20" t="str">
        <x:v>2026-05-20</x:v>
      </x:c>
      <x:c r="N1042" s="20" t="str">
        <x:v>GPT-5.5 Pro</x:v>
      </x:c>
      <x:c r="O1042" s="20" t="str">
        <x:v>Needs review</x:v>
      </x:c>
      <x:c r="P1042" s="20" t="str">
        <x:v>Screening score for Russia / Propaganda ecosystems in Mauritania; verify with country-specific evidence before final use.</x:v>
      </x:c>
    </x:row>
    <x:row r="1043" ht="24" customHeight="1">
      <x:c r="A1043" s="20" t="str">
        <x:v>MRT|Russia|PMC presence</x:v>
      </x:c>
      <x:c r="B1043" s="20" t="str">
        <x:v>Mauritania</x:v>
      </x:c>
      <x:c r="C1043" s="20" t="str">
        <x:v>MRT</x:v>
      </x:c>
      <x:c r="D1043" s="20" t="str">
        <x:v>Russia</x:v>
      </x:c>
      <x:c r="E1043" s="20" t="str">
        <x:v>Russian influence</x:v>
      </x:c>
      <x:c r="F1043" s="20" t="str">
        <x:v>PMC presence</x:v>
      </x:c>
      <x:c r="G1043" s="384" t="n">
        <x:v>1</x:v>
      </x:c>
      <x:c r="H1043" s="396" t="n">
        <x:v>2</x:v>
      </x:c>
      <x:c r="I1043" s="20" t="str">
        <x:v>Treasury and Council of the EU Wagner/PMC source register</x:v>
      </x:c>
      <x:c r="J1043" s="397" t="str">
        <x:v>https://www.consilium.europa.eu/en/press/press-releases/2023/02/25/wagner-group-council-adds-11-individuals-and-7-entities-to-eu-sanctions-lists/</x:v>
      </x:c>
      <x:c r="K1043" s="20" t="str">
        <x:v>Primary source-register URL; automated screening score</x:v>
      </x:c>
      <x:c r="L1043" s="20" t="str">
        <x:v>2026-05-20</x:v>
      </x:c>
      <x:c r="M1043" s="20" t="str">
        <x:v>2026-05-20</x:v>
      </x:c>
      <x:c r="N1043" s="20" t="str">
        <x:v>GPT-5.5 Pro</x:v>
      </x:c>
      <x:c r="O1043" s="20" t="str">
        <x:v>Needs review</x:v>
      </x:c>
      <x:c r="P1043" s="20" t="str">
        <x:v>Screening score for Russia / PMC presence in Mauritania; verify with country-specific evidence before final use.</x:v>
      </x:c>
    </x:row>
    <x:row r="1044" ht="24" customHeight="1">
      <x:c r="A1044" s="20" t="str">
        <x:v>MRT|Russia|Election interference</x:v>
      </x:c>
      <x:c r="B1044" s="20" t="str">
        <x:v>Mauritania</x:v>
      </x:c>
      <x:c r="C1044" s="20" t="str">
        <x:v>MRT</x:v>
      </x:c>
      <x:c r="D1044" s="20" t="str">
        <x:v>Russia</x:v>
      </x:c>
      <x:c r="E1044" s="20" t="str">
        <x:v>Russian influence</x:v>
      </x:c>
      <x:c r="F1044" s="20" t="str">
        <x:v>Election interference</x:v>
      </x:c>
      <x:c r="G1044" s="384" t="n">
        <x:v>1</x:v>
      </x:c>
      <x:c r="H1044" s="396" t="n">
        <x:v>2</x:v>
      </x:c>
      <x:c r="I1044" s="20" t="str">
        <x:v>ODNI/EEAS election-FIMI source register</x:v>
      </x:c>
      <x:c r="J1044" s="397" t="str">
        <x:v>https://www.dni.gov/files/ODNI/documents/assessments/ATA-2026-Unclassified-Report.pdf</x:v>
      </x:c>
      <x:c r="K1044" s="20" t="str">
        <x:v>Primary source-register URL; automated screening score</x:v>
      </x:c>
      <x:c r="L1044" s="20" t="str">
        <x:v>2026-05-20</x:v>
      </x:c>
      <x:c r="M1044" s="20" t="str">
        <x:v>2026-05-20</x:v>
      </x:c>
      <x:c r="N1044" s="20" t="str">
        <x:v>GPT-5.5 Pro</x:v>
      </x:c>
      <x:c r="O1044" s="20" t="str">
        <x:v>Needs review</x:v>
      </x:c>
      <x:c r="P1044" s="20" t="str">
        <x:v>Screening score for Russia / Election interference in Mauritania; verify with country-specific evidence before final use.</x:v>
      </x:c>
    </x:row>
    <x:row r="1045" ht="24" customHeight="1">
      <x:c r="A1045" s="20" t="str">
        <x:v>MRT|Russia|Security contractors</x:v>
      </x:c>
      <x:c r="B1045" s="20" t="str">
        <x:v>Mauritania</x:v>
      </x:c>
      <x:c r="C1045" s="20" t="str">
        <x:v>MRT</x:v>
      </x:c>
      <x:c r="D1045" s="20" t="str">
        <x:v>Russia</x:v>
      </x:c>
      <x:c r="E1045" s="20" t="str">
        <x:v>Russian influence</x:v>
      </x:c>
      <x:c r="F1045" s="20" t="str">
        <x:v>Security contractors</x:v>
      </x:c>
      <x:c r="G1045" s="384" t="n">
        <x:v>1</x:v>
      </x:c>
      <x:c r="H1045" s="396" t="n">
        <x:v>2</x:v>
      </x:c>
      <x:c r="I1045" s="20" t="str">
        <x:v>Council of the EU/Treasury Wagner-security source register</x:v>
      </x:c>
      <x:c r="J1045" s="397" t="str">
        <x:v>https://www.consilium.europa.eu/en/press/press-releases/2023/02/25/wagner-group-council-adds-11-individuals-and-7-entities-to-eu-sanctions-lists/</x:v>
      </x:c>
      <x:c r="K1045" s="20" t="str">
        <x:v>Primary source-register URL; automated screening score</x:v>
      </x:c>
      <x:c r="L1045" s="20" t="str">
        <x:v>2026-05-20</x:v>
      </x:c>
      <x:c r="M1045" s="20" t="str">
        <x:v>2026-05-20</x:v>
      </x:c>
      <x:c r="N1045" s="20" t="str">
        <x:v>GPT-5.5 Pro</x:v>
      </x:c>
      <x:c r="O1045" s="20" t="str">
        <x:v>Needs review</x:v>
      </x:c>
      <x:c r="P1045" s="20" t="str">
        <x:v>Screening score for Russia / Security contractors in Mauritania; verify with country-specific evidence before final use.</x:v>
      </x:c>
    </x:row>
    <x:row r="1046" ht="24" customHeight="1">
      <x:c r="A1046" s="20" t="str">
        <x:v>MRT|China|Propaganda ecosystems</x:v>
      </x:c>
      <x:c r="B1046" s="20" t="str">
        <x:v>Mauritania</x:v>
      </x:c>
      <x:c r="C1046" s="20" t="str">
        <x:v>MRT</x:v>
      </x:c>
      <x:c r="D1046" s="20" t="str">
        <x:v>China</x:v>
      </x:c>
      <x:c r="E1046" s="20" t="str">
        <x:v>Chinese influence</x:v>
      </x:c>
      <x:c r="F1046" s="20" t="str">
        <x:v>Propaganda ecosystems</x:v>
      </x:c>
      <x:c r="G1046" s="384" t="n">
        <x:v>5</x:v>
      </x:c>
      <x:c r="H1046" s="396" t="n">
        <x:v>3</x:v>
      </x:c>
      <x:c r="I1046" s="20" t="str">
        <x:v>EEAS/ODNI China FIMI source register</x:v>
      </x:c>
      <x:c r="J1046" s="397" t="str">
        <x:v>https://www.eeas.europa.eu/eeas/4th-eeas-annual-report-foreign-information-manipulation-and-interference-threats_en</x:v>
      </x:c>
      <x:c r="K1046" s="20" t="str">
        <x:v>Primary source-register URL; automated screening score</x:v>
      </x:c>
      <x:c r="L1046" s="20" t="str">
        <x:v>2026-05-20</x:v>
      </x:c>
      <x:c r="M1046" s="20" t="str">
        <x:v>2026-05-20</x:v>
      </x:c>
      <x:c r="N1046" s="20" t="str">
        <x:v>GPT-5.5 Pro</x:v>
      </x:c>
      <x:c r="O1046" s="20" t="str">
        <x:v>Needs review</x:v>
      </x:c>
      <x:c r="P1046" s="20" t="str">
        <x:v>Screening score for China / Propaganda ecosystems in Mauritania; verify with country-specific evidence before final use.</x:v>
      </x:c>
    </x:row>
    <x:row r="1047" ht="24" customHeight="1">
      <x:c r="A1047" s="20" t="str">
        <x:v>MRT|China|PMC presence</x:v>
      </x:c>
      <x:c r="B1047" s="20" t="str">
        <x:v>Mauritania</x:v>
      </x:c>
      <x:c r="C1047" s="20" t="str">
        <x:v>MRT</x:v>
      </x:c>
      <x:c r="D1047" s="20" t="str">
        <x:v>China</x:v>
      </x:c>
      <x:c r="E1047" s="20" t="str">
        <x:v>Chinese influence</x:v>
      </x:c>
      <x:c r="F1047" s="20" t="str">
        <x:v>PMC presence</x:v>
      </x:c>
      <x:c r="G1047" s="384" t="n">
        <x:v>1</x:v>
      </x:c>
      <x:c r="H1047" s="396" t="n">
        <x:v>2</x:v>
      </x:c>
      <x:c r="I1047" s="20" t="str">
        <x:v>MERICS/Carnegie Chinese overseas PSC source register</x:v>
      </x:c>
      <x:c r="J1047" s="397" t="str">
        <x:v>https://merics.org/en/report/guardians-belt-and-road</x:v>
      </x:c>
      <x:c r="K1047" s="20" t="str">
        <x:v>Primary source-register URL; automated screening score</x:v>
      </x:c>
      <x:c r="L1047" s="20" t="str">
        <x:v>2026-05-20</x:v>
      </x:c>
      <x:c r="M1047" s="20" t="str">
        <x:v>2026-05-20</x:v>
      </x:c>
      <x:c r="N1047" s="20" t="str">
        <x:v>GPT-5.5 Pro</x:v>
      </x:c>
      <x:c r="O1047" s="20" t="str">
        <x:v>Needs review</x:v>
      </x:c>
      <x:c r="P1047" s="20" t="str">
        <x:v>Screening score for China / PMC presence in Mauritania; verify with country-specific evidence before final use.</x:v>
      </x:c>
    </x:row>
    <x:row r="1048" ht="24" customHeight="1">
      <x:c r="A1048" s="20" t="str">
        <x:v>MRT|China|Election interference</x:v>
      </x:c>
      <x:c r="B1048" s="20" t="str">
        <x:v>Mauritania</x:v>
      </x:c>
      <x:c r="C1048" s="20" t="str">
        <x:v>MRT</x:v>
      </x:c>
      <x:c r="D1048" s="20" t="str">
        <x:v>China</x:v>
      </x:c>
      <x:c r="E1048" s="20" t="str">
        <x:v>Chinese influence</x:v>
      </x:c>
      <x:c r="F1048" s="20" t="str">
        <x:v>Election interference</x:v>
      </x:c>
      <x:c r="G1048" s="384" t="n">
        <x:v>1</x:v>
      </x:c>
      <x:c r="H1048" s="396" t="n">
        <x:v>2</x:v>
      </x:c>
      <x:c r="I1048" s="20" t="str">
        <x:v>EEAS/ODNI China election-FIMI source register</x:v>
      </x:c>
      <x:c r="J1048" s="397" t="str">
        <x:v>https://www.eeas.europa.eu/eeas/4th-eeas-annual-report-foreign-information-manipulation-and-interference-threats_en</x:v>
      </x:c>
      <x:c r="K1048" s="20" t="str">
        <x:v>Primary source-register URL; automated screening score</x:v>
      </x:c>
      <x:c r="L1048" s="20" t="str">
        <x:v>2026-05-20</x:v>
      </x:c>
      <x:c r="M1048" s="20" t="str">
        <x:v>2026-05-20</x:v>
      </x:c>
      <x:c r="N1048" s="20" t="str">
        <x:v>GPT-5.5 Pro</x:v>
      </x:c>
      <x:c r="O1048" s="20" t="str">
        <x:v>Needs review</x:v>
      </x:c>
      <x:c r="P1048" s="20" t="str">
        <x:v>Screening score for China / Election interference in Mauritania; verify with country-specific evidence before final use.</x:v>
      </x:c>
    </x:row>
    <x:row r="1049" ht="24" customHeight="1">
      <x:c r="A1049" s="20" t="str">
        <x:v>MRT|China|Security contractors</x:v>
      </x:c>
      <x:c r="B1049" s="20" t="str">
        <x:v>Mauritania</x:v>
      </x:c>
      <x:c r="C1049" s="20" t="str">
        <x:v>MRT</x:v>
      </x:c>
      <x:c r="D1049" s="20" t="str">
        <x:v>China</x:v>
      </x:c>
      <x:c r="E1049" s="20" t="str">
        <x:v>Chinese influence</x:v>
      </x:c>
      <x:c r="F1049" s="20" t="str">
        <x:v>Security contractors</x:v>
      </x:c>
      <x:c r="G1049" s="384" t="n">
        <x:v>1</x:v>
      </x:c>
      <x:c r="H1049" s="396" t="n">
        <x:v>2</x:v>
      </x:c>
      <x:c r="I1049" s="20" t="str">
        <x:v>MERICS/Carnegie Chinese security contractor source register</x:v>
      </x:c>
      <x:c r="J1049" s="397" t="str">
        <x:v>https://merics.org/en/report/guardians-belt-and-road</x:v>
      </x:c>
      <x:c r="K1049" s="20" t="str">
        <x:v>Primary source-register URL; automated screening score</x:v>
      </x:c>
      <x:c r="L1049" s="20" t="str">
        <x:v>2026-05-20</x:v>
      </x:c>
      <x:c r="M1049" s="20" t="str">
        <x:v>2026-05-20</x:v>
      </x:c>
      <x:c r="N1049" s="20" t="str">
        <x:v>GPT-5.5 Pro</x:v>
      </x:c>
      <x:c r="O1049" s="20" t="str">
        <x:v>Needs review</x:v>
      </x:c>
      <x:c r="P1049" s="20" t="str">
        <x:v>Screening score for China / Security contractors in Mauritania; verify with country-specific evidence before final use.</x:v>
      </x:c>
    </x:row>
    <x:row r="1050" ht="24" customHeight="1">
      <x:c r="A1050" s="20" t="str">
        <x:v>MRT|United States|Propaganda ecosystems</x:v>
      </x:c>
      <x:c r="B1050" s="20" t="str">
        <x:v>Mauritania</x:v>
      </x:c>
      <x:c r="C1050" s="20" t="str">
        <x:v>MRT</x:v>
      </x:c>
      <x:c r="D1050" s="20" t="str">
        <x:v>United States</x:v>
      </x:c>
      <x:c r="E1050" s="20" t="str">
        <x:v>American influence</x:v>
      </x:c>
      <x:c r="F1050" s="20" t="str">
        <x:v>Propaganda ecosystems</x:v>
      </x:c>
      <x:c r="G1050" s="384" t="n">
        <x:v>4</x:v>
      </x:c>
      <x:c r="H1050" s="396" t="n">
        <x:v>3</x:v>
      </x:c>
      <x:c r="I1050" s="20" t="str">
        <x:v>USAGM public media source register</x:v>
      </x:c>
      <x:c r="J1050" s="397" t="str">
        <x:v>https://www.usagm.gov/our-work/strategy-and-results/strategic-priorities/research-reports/</x:v>
      </x:c>
      <x:c r="K1050" s="20" t="str">
        <x:v>Primary source-register URL; automated screening score</x:v>
      </x:c>
      <x:c r="L1050" s="20" t="str">
        <x:v>2026-05-20</x:v>
      </x:c>
      <x:c r="M1050" s="20" t="str">
        <x:v>2026-05-20</x:v>
      </x:c>
      <x:c r="N1050" s="20" t="str">
        <x:v>GPT-5.5 Pro</x:v>
      </x:c>
      <x:c r="O1050" s="20" t="str">
        <x:v>Needs review</x:v>
      </x:c>
      <x:c r="P1050" s="20" t="str">
        <x:v>Screening score for United States / Propaganda ecosystems in Mauritania; verify with country-specific evidence before final use.</x:v>
      </x:c>
    </x:row>
    <x:row r="1051" ht="24" customHeight="1">
      <x:c r="A1051" s="20" t="str">
        <x:v>MRT|United States|PMC presence</x:v>
      </x:c>
      <x:c r="B1051" s="20" t="str">
        <x:v>Mauritania</x:v>
      </x:c>
      <x:c r="C1051" s="20" t="str">
        <x:v>MRT</x:v>
      </x:c>
      <x:c r="D1051" s="20" t="str">
        <x:v>United States</x:v>
      </x:c>
      <x:c r="E1051" s="20" t="str">
        <x:v>American influence</x:v>
      </x:c>
      <x:c r="F1051" s="20" t="str">
        <x:v>PMC presence</x:v>
      </x:c>
      <x:c r="G1051" s="384" t="n">
        <x:v>2</x:v>
      </x:c>
      <x:c r="H1051" s="396" t="n">
        <x:v>2</x:v>
      </x:c>
      <x:c r="I1051" s="20" t="str">
        <x:v>SAM/Greenbook U.S. security assistance contractor source register</x:v>
      </x:c>
      <x:c r="J1051" s="397" t="str">
        <x:v>https://internationalpolicy.org/programs/sam/</x:v>
      </x:c>
      <x:c r="K1051" s="20" t="str">
        <x:v>Primary source-register URL; automated screening score</x:v>
      </x:c>
      <x:c r="L1051" s="20" t="str">
        <x:v>2026-05-20</x:v>
      </x:c>
      <x:c r="M1051" s="20" t="str">
        <x:v>2026-05-20</x:v>
      </x:c>
      <x:c r="N1051" s="20" t="str">
        <x:v>GPT-5.5 Pro</x:v>
      </x:c>
      <x:c r="O1051" s="20" t="str">
        <x:v>Needs review</x:v>
      </x:c>
      <x:c r="P1051" s="20" t="str">
        <x:v>Screening score for United States / PMC presence in Mauritania; verify with country-specific evidence before final use.</x:v>
      </x:c>
    </x:row>
    <x:row r="1052" ht="24" customHeight="1">
      <x:c r="A1052" s="20" t="str">
        <x:v>MRT|United States|Election interference</x:v>
      </x:c>
      <x:c r="B1052" s="20" t="str">
        <x:v>Mauritania</x:v>
      </x:c>
      <x:c r="C1052" s="20" t="str">
        <x:v>MRT</x:v>
      </x:c>
      <x:c r="D1052" s="20" t="str">
        <x:v>United States</x:v>
      </x:c>
      <x:c r="E1052" s="20" t="str">
        <x:v>American influence</x:v>
      </x:c>
      <x:c r="F1052" s="20" t="str">
        <x:v>Election interference</x:v>
      </x:c>
      <x:c r="G1052" s="384" t="n">
        <x:v>2</x:v>
      </x:c>
      <x:c r="H1052" s="396" t="n">
        <x:v>2</x:v>
      </x:c>
      <x:c r="I1052" s="20" t="str">
        <x:v>NED/Greenbook democracy assistance source register</x:v>
      </x:c>
      <x:c r="J1052" s="397" t="str">
        <x:v>https://www.ned.org/ned-grantmaking/</x:v>
      </x:c>
      <x:c r="K1052" s="20" t="str">
        <x:v>Primary source-register URL; automated screening score</x:v>
      </x:c>
      <x:c r="L1052" s="20" t="str">
        <x:v>2026-05-20</x:v>
      </x:c>
      <x:c r="M1052" s="20" t="str">
        <x:v>2026-05-20</x:v>
      </x:c>
      <x:c r="N1052" s="20" t="str">
        <x:v>GPT-5.5 Pro</x:v>
      </x:c>
      <x:c r="O1052" s="20" t="str">
        <x:v>Needs review</x:v>
      </x:c>
      <x:c r="P1052" s="20" t="str">
        <x:v>Screening score for United States / Election interference in Mauritania; verify with country-specific evidence before final use.</x:v>
      </x:c>
    </x:row>
    <x:row r="1053" ht="24" customHeight="1">
      <x:c r="A1053" s="20" t="str">
        <x:v>MRT|United States|Security contractors</x:v>
      </x:c>
      <x:c r="B1053" s="20" t="str">
        <x:v>Mauritania</x:v>
      </x:c>
      <x:c r="C1053" s="20" t="str">
        <x:v>MRT</x:v>
      </x:c>
      <x:c r="D1053" s="20" t="str">
        <x:v>United States</x:v>
      </x:c>
      <x:c r="E1053" s="20" t="str">
        <x:v>American influence</x:v>
      </x:c>
      <x:c r="F1053" s="20" t="str">
        <x:v>Security contractors</x:v>
      </x:c>
      <x:c r="G1053" s="384" t="n">
        <x:v>3</x:v>
      </x:c>
      <x:c r="H1053" s="396" t="n">
        <x:v>3</x:v>
      </x:c>
      <x:c r="I1053" s="20" t="str">
        <x:v>SAM/Greenbook U.S. security contractor source register</x:v>
      </x:c>
      <x:c r="J1053" s="397" t="str">
        <x:v>https://internationalpolicy.org/programs/sam/</x:v>
      </x:c>
      <x:c r="K1053" s="20" t="str">
        <x:v>Primary source-register URL; automated screening score</x:v>
      </x:c>
      <x:c r="L1053" s="20" t="str">
        <x:v>2026-05-20</x:v>
      </x:c>
      <x:c r="M1053" s="20" t="str">
        <x:v>2026-05-20</x:v>
      </x:c>
      <x:c r="N1053" s="20" t="str">
        <x:v>GPT-5.5 Pro</x:v>
      </x:c>
      <x:c r="O1053" s="20" t="str">
        <x:v>Needs review</x:v>
      </x:c>
      <x:c r="P1053" s="20" t="str">
        <x:v>Screening score for United States / Security contractors in Mauritania; verify with country-specific evidence before final use.</x:v>
      </x:c>
    </x:row>
    <x:row r="1054" ht="24" customHeight="1">
      <x:c r="A1054" s="20" t="str">
        <x:v>MRT|European Union|Propaganda ecosystems</x:v>
      </x:c>
      <x:c r="B1054" s="20" t="str">
        <x:v>Mauritania</x:v>
      </x:c>
      <x:c r="C1054" s="20" t="str">
        <x:v>MRT</x:v>
      </x:c>
      <x:c r="D1054" s="20" t="str">
        <x:v>European Union</x:v>
      </x:c>
      <x:c r="E1054" s="20" t="str">
        <x:v>EU influence</x:v>
      </x:c>
      <x:c r="F1054" s="20" t="str">
        <x:v>Propaganda ecosystems</x:v>
      </x:c>
      <x:c r="G1054" s="384" t="n">
        <x:v>3</x:v>
      </x:c>
      <x:c r="H1054" s="396" t="n">
        <x:v>3</x:v>
      </x:c>
      <x:c r="I1054" s="20" t="str">
        <x:v>EEAS public diplomacy source register</x:v>
      </x:c>
      <x:c r="J1054" s="397" t="str">
        <x:v>https://www.eeas.europa.eu/eeas/public-diplomacy_en</x:v>
      </x:c>
      <x:c r="K1054" s="20" t="str">
        <x:v>Primary source-register URL; automated screening score</x:v>
      </x:c>
      <x:c r="L1054" s="20" t="str">
        <x:v>2026-05-20</x:v>
      </x:c>
      <x:c r="M1054" s="20" t="str">
        <x:v>2026-05-20</x:v>
      </x:c>
      <x:c r="N1054" s="20" t="str">
        <x:v>GPT-5.5 Pro</x:v>
      </x:c>
      <x:c r="O1054" s="20" t="str">
        <x:v>Needs review</x:v>
      </x:c>
      <x:c r="P1054" s="20" t="str">
        <x:v>Screening score for European Union / Propaganda ecosystems in Mauritania; verify with country-specific evidence before final use.</x:v>
      </x:c>
    </x:row>
    <x:row r="1055" ht="24" customHeight="1">
      <x:c r="A1055" s="20" t="str">
        <x:v>MRT|European Union|PMC presence</x:v>
      </x:c>
      <x:c r="B1055" s="20" t="str">
        <x:v>Mauritania</x:v>
      </x:c>
      <x:c r="C1055" s="20" t="str">
        <x:v>MRT</x:v>
      </x:c>
      <x:c r="D1055" s="20" t="str">
        <x:v>European Union</x:v>
      </x:c>
      <x:c r="E1055" s="20" t="str">
        <x:v>EU influence</x:v>
      </x:c>
      <x:c r="F1055" s="20" t="str">
        <x:v>PMC presence</x:v>
      </x:c>
      <x:c r="G1055" s="384" t="n">
        <x:v>0</x:v>
      </x:c>
      <x:c r="H1055" s="396" t="n">
        <x:v>1</x:v>
      </x:c>
      <x:c r="I1055" s="20" t="str">
        <x:v>EEAS CSDP missions source register</x:v>
      </x:c>
      <x:c r="J1055" s="397" t="str">
        <x:v>https://www.eeas.europa.eu/eeas/missions-and-operations_en</x:v>
      </x:c>
      <x:c r="K1055" s="20" t="str">
        <x:v>Primary source-register URL; automated screening score</x:v>
      </x:c>
      <x:c r="L1055" s="20" t="str">
        <x:v>2026-05-20</x:v>
      </x:c>
      <x:c r="M1055" s="20" t="str">
        <x:v>2026-05-20</x:v>
      </x:c>
      <x:c r="N1055" s="20" t="str">
        <x:v>GPT-5.5 Pro</x:v>
      </x:c>
      <x:c r="O1055" s="20" t="str">
        <x:v>Needs review</x:v>
      </x:c>
      <x:c r="P1055" s="20" t="str">
        <x:v>Screening score for European Union / PMC presence in Mauritania; verify with country-specific evidence before final use.</x:v>
      </x:c>
    </x:row>
    <x:row r="1056" ht="24" customHeight="1">
      <x:c r="A1056" s="20" t="str">
        <x:v>MRT|European Union|Election interference</x:v>
      </x:c>
      <x:c r="B1056" s="20" t="str">
        <x:v>Mauritania</x:v>
      </x:c>
      <x:c r="C1056" s="20" t="str">
        <x:v>MRT</x:v>
      </x:c>
      <x:c r="D1056" s="20" t="str">
        <x:v>European Union</x:v>
      </x:c>
      <x:c r="E1056" s="20" t="str">
        <x:v>EU influence</x:v>
      </x:c>
      <x:c r="F1056" s="20" t="str">
        <x:v>Election interference</x:v>
      </x:c>
      <x:c r="G1056" s="384" t="n">
        <x:v>1</x:v>
      </x:c>
      <x:c r="H1056" s="396" t="n">
        <x:v>2</x:v>
      </x:c>
      <x:c r="I1056" s="20" t="str">
        <x:v>EEAS EU election observation source register</x:v>
      </x:c>
      <x:c r="J1056" s="397" t="str">
        <x:v>https://www.eeas.europa.eu/eeas/eu-election-observation-missions-1_en?page_lang=en</x:v>
      </x:c>
      <x:c r="K1056" s="20" t="str">
        <x:v>Primary source-register URL; automated screening score</x:v>
      </x:c>
      <x:c r="L1056" s="20" t="str">
        <x:v>2026-05-20</x:v>
      </x:c>
      <x:c r="M1056" s="20" t="str">
        <x:v>2026-05-20</x:v>
      </x:c>
      <x:c r="N1056" s="20" t="str">
        <x:v>GPT-5.5 Pro</x:v>
      </x:c>
      <x:c r="O1056" s="20" t="str">
        <x:v>Needs review</x:v>
      </x:c>
      <x:c r="P1056" s="20" t="str">
        <x:v>Screening score for European Union / Election interference in Mauritania; verify with country-specific evidence before final use.</x:v>
      </x:c>
    </x:row>
    <x:row r="1057" ht="24" customHeight="1">
      <x:c r="A1057" s="20" t="str">
        <x:v>MRT|European Union|Security contractors</x:v>
      </x:c>
      <x:c r="B1057" s="20" t="str">
        <x:v>Mauritania</x:v>
      </x:c>
      <x:c r="C1057" s="20" t="str">
        <x:v>MRT</x:v>
      </x:c>
      <x:c r="D1057" s="20" t="str">
        <x:v>European Union</x:v>
      </x:c>
      <x:c r="E1057" s="20" t="str">
        <x:v>EU influence</x:v>
      </x:c>
      <x:c r="F1057" s="20" t="str">
        <x:v>Security contractors</x:v>
      </x:c>
      <x:c r="G1057" s="384" t="n">
        <x:v>2</x:v>
      </x:c>
      <x:c r="H1057" s="396" t="n">
        <x:v>2</x:v>
      </x:c>
      <x:c r="I1057" s="20" t="str">
        <x:v>EEAS CSDP / Global Gateway security source register</x:v>
      </x:c>
      <x:c r="J1057" s="397" t="str">
        <x:v>https://www.eeas.europa.eu/eeas/missions-and-operations_en</x:v>
      </x:c>
      <x:c r="K1057" s="20" t="str">
        <x:v>Primary source-register URL; automated screening score</x:v>
      </x:c>
      <x:c r="L1057" s="20" t="str">
        <x:v>2026-05-20</x:v>
      </x:c>
      <x:c r="M1057" s="20" t="str">
        <x:v>2026-05-20</x:v>
      </x:c>
      <x:c r="N1057" s="20" t="str">
        <x:v>GPT-5.5 Pro</x:v>
      </x:c>
      <x:c r="O1057" s="20" t="str">
        <x:v>Needs review</x:v>
      </x:c>
      <x:c r="P1057" s="20" t="str">
        <x:v>Screening score for European Union / Security contractors in Mauritania; verify with country-specific evidence before final use.</x:v>
      </x:c>
    </x:row>
    <x:row r="1058" ht="24" customHeight="1">
      <x:c r="A1058" s="20" t="str">
        <x:v>MDA|Russia|Propaganda ecosystems</x:v>
      </x:c>
      <x:c r="B1058" s="20" t="str">
        <x:v>Moldova</x:v>
      </x:c>
      <x:c r="C1058" s="20" t="str">
        <x:v>MDA</x:v>
      </x:c>
      <x:c r="D1058" s="20" t="str">
        <x:v>Russia</x:v>
      </x:c>
      <x:c r="E1058" s="20" t="str">
        <x:v>Russian influence</x:v>
      </x:c>
      <x:c r="F1058" s="20" t="str">
        <x:v>Propaganda ecosystems</x:v>
      </x:c>
      <x:c r="G1058" s="384" t="n">
        <x:v>8</x:v>
      </x:c>
      <x:c r="H1058" s="396" t="n">
        <x:v>4</x:v>
      </x:c>
      <x:c r="I1058" s="20" t="str">
        <x:v>EEAS/EUvsDisinfo FIMI source register</x:v>
      </x:c>
      <x:c r="J1058" s="397" t="str">
        <x:v>https://www.eeas.europa.eu/eeas/4th-eeas-annual-report-foreign-information-manipulation-and-interference-threats_en</x:v>
      </x:c>
      <x:c r="K1058" s="20" t="str">
        <x:v>Primary source-register URL; automated screening score</x:v>
      </x:c>
      <x:c r="L1058" s="20" t="str">
        <x:v>2026-05-20</x:v>
      </x:c>
      <x:c r="M1058" s="20" t="str">
        <x:v>2026-05-20</x:v>
      </x:c>
      <x:c r="N1058" s="20" t="str">
        <x:v>GPT-5.5 Pro</x:v>
      </x:c>
      <x:c r="O1058" s="20" t="str">
        <x:v>Needs review</x:v>
      </x:c>
      <x:c r="P1058" s="20" t="str">
        <x:v>Screening score for Russia / Propaganda ecosystems in Moldova; verify with country-specific evidence before final use.</x:v>
      </x:c>
    </x:row>
    <x:row r="1059" ht="24" customHeight="1">
      <x:c r="A1059" s="20" t="str">
        <x:v>MDA|Russia|PMC presence</x:v>
      </x:c>
      <x:c r="B1059" s="20" t="str">
        <x:v>Moldova</x:v>
      </x:c>
      <x:c r="C1059" s="20" t="str">
        <x:v>MDA</x:v>
      </x:c>
      <x:c r="D1059" s="20" t="str">
        <x:v>Russia</x:v>
      </x:c>
      <x:c r="E1059" s="20" t="str">
        <x:v>Russian influence</x:v>
      </x:c>
      <x:c r="F1059" s="20" t="str">
        <x:v>PMC presence</x:v>
      </x:c>
      <x:c r="G1059" s="384" t="n">
        <x:v>0</x:v>
      </x:c>
      <x:c r="H1059" s="396" t="n">
        <x:v>1</x:v>
      </x:c>
      <x:c r="I1059" s="20" t="str">
        <x:v>Treasury and Council of the EU Wagner/PMC source register</x:v>
      </x:c>
      <x:c r="J1059" s="397" t="str">
        <x:v>https://www.consilium.europa.eu/en/press/press-releases/2023/02/25/wagner-group-council-adds-11-individuals-and-7-entities-to-eu-sanctions-lists/</x:v>
      </x:c>
      <x:c r="K1059" s="20" t="str">
        <x:v>Primary source-register URL; automated screening score</x:v>
      </x:c>
      <x:c r="L1059" s="20" t="str">
        <x:v>2026-05-20</x:v>
      </x:c>
      <x:c r="M1059" s="20" t="str">
        <x:v>2026-05-20</x:v>
      </x:c>
      <x:c r="N1059" s="20" t="str">
        <x:v>GPT-5.5 Pro</x:v>
      </x:c>
      <x:c r="O1059" s="20" t="str">
        <x:v>Needs review</x:v>
      </x:c>
      <x:c r="P1059" s="20" t="str">
        <x:v>Screening score for Russia / PMC presence in Moldova; verify with country-specific evidence before final use.</x:v>
      </x:c>
    </x:row>
    <x:row r="1060" ht="24" customHeight="1">
      <x:c r="A1060" s="20" t="str">
        <x:v>MDA|Russia|Election interference</x:v>
      </x:c>
      <x:c r="B1060" s="20" t="str">
        <x:v>Moldova</x:v>
      </x:c>
      <x:c r="C1060" s="20" t="str">
        <x:v>MDA</x:v>
      </x:c>
      <x:c r="D1060" s="20" t="str">
        <x:v>Russia</x:v>
      </x:c>
      <x:c r="E1060" s="20" t="str">
        <x:v>Russian influence</x:v>
      </x:c>
      <x:c r="F1060" s="20" t="str">
        <x:v>Election interference</x:v>
      </x:c>
      <x:c r="G1060" s="384" t="n">
        <x:v>8</x:v>
      </x:c>
      <x:c r="H1060" s="396" t="n">
        <x:v>4</x:v>
      </x:c>
      <x:c r="I1060" s="20" t="str">
        <x:v>ODNI/EEAS election-FIMI source register</x:v>
      </x:c>
      <x:c r="J1060" s="397" t="str">
        <x:v>https://www.dni.gov/files/ODNI/documents/assessments/ATA-2026-Unclassified-Report.pdf</x:v>
      </x:c>
      <x:c r="K1060" s="20" t="str">
        <x:v>Primary source-register URL; automated screening score</x:v>
      </x:c>
      <x:c r="L1060" s="20" t="str">
        <x:v>2026-05-20</x:v>
      </x:c>
      <x:c r="M1060" s="20" t="str">
        <x:v>2026-05-20</x:v>
      </x:c>
      <x:c r="N1060" s="20" t="str">
        <x:v>GPT-5.5 Pro</x:v>
      </x:c>
      <x:c r="O1060" s="20" t="str">
        <x:v>Needs review</x:v>
      </x:c>
      <x:c r="P1060" s="20" t="str">
        <x:v>Screening score for Russia / Election interference in Moldova; verify with country-specific evidence before final use.</x:v>
      </x:c>
    </x:row>
    <x:row r="1061" ht="24" customHeight="1">
      <x:c r="A1061" s="20" t="str">
        <x:v>MDA|Russia|Security contractors</x:v>
      </x:c>
      <x:c r="B1061" s="20" t="str">
        <x:v>Moldova</x:v>
      </x:c>
      <x:c r="C1061" s="20" t="str">
        <x:v>MDA</x:v>
      </x:c>
      <x:c r="D1061" s="20" t="str">
        <x:v>Russia</x:v>
      </x:c>
      <x:c r="E1061" s="20" t="str">
        <x:v>Russian influence</x:v>
      </x:c>
      <x:c r="F1061" s="20" t="str">
        <x:v>Security contractors</x:v>
      </x:c>
      <x:c r="G1061" s="384" t="n">
        <x:v>0</x:v>
      </x:c>
      <x:c r="H1061" s="396" t="n">
        <x:v>1</x:v>
      </x:c>
      <x:c r="I1061" s="20" t="str">
        <x:v>Council of the EU/Treasury Wagner-security source register</x:v>
      </x:c>
      <x:c r="J1061" s="397" t="str">
        <x:v>https://www.consilium.europa.eu/en/press/press-releases/2023/02/25/wagner-group-council-adds-11-individuals-and-7-entities-to-eu-sanctions-lists/</x:v>
      </x:c>
      <x:c r="K1061" s="20" t="str">
        <x:v>Primary source-register URL; automated screening score</x:v>
      </x:c>
      <x:c r="L1061" s="20" t="str">
        <x:v>2026-05-20</x:v>
      </x:c>
      <x:c r="M1061" s="20" t="str">
        <x:v>2026-05-20</x:v>
      </x:c>
      <x:c r="N1061" s="20" t="str">
        <x:v>GPT-5.5 Pro</x:v>
      </x:c>
      <x:c r="O1061" s="20" t="str">
        <x:v>Needs review</x:v>
      </x:c>
      <x:c r="P1061" s="20" t="str">
        <x:v>Screening score for Russia / Security contractors in Moldova; verify with country-specific evidence before final use.</x:v>
      </x:c>
    </x:row>
    <x:row r="1062" ht="24" customHeight="1">
      <x:c r="A1062" s="20" t="str">
        <x:v>MDA|China|Propaganda ecosystems</x:v>
      </x:c>
      <x:c r="B1062" s="20" t="str">
        <x:v>Moldova</x:v>
      </x:c>
      <x:c r="C1062" s="20" t="str">
        <x:v>MDA</x:v>
      </x:c>
      <x:c r="D1062" s="20" t="str">
        <x:v>China</x:v>
      </x:c>
      <x:c r="E1062" s="20" t="str">
        <x:v>Chinese influence</x:v>
      </x:c>
      <x:c r="F1062" s="20" t="str">
        <x:v>Propaganda ecosystems</x:v>
      </x:c>
      <x:c r="G1062" s="384" t="n">
        <x:v>4</x:v>
      </x:c>
      <x:c r="H1062" s="396" t="n">
        <x:v>3</x:v>
      </x:c>
      <x:c r="I1062" s="20" t="str">
        <x:v>EEAS/ODNI China FIMI source register</x:v>
      </x:c>
      <x:c r="J1062" s="397" t="str">
        <x:v>https://www.eeas.europa.eu/eeas/4th-eeas-annual-report-foreign-information-manipulation-and-interference-threats_en</x:v>
      </x:c>
      <x:c r="K1062" s="20" t="str">
        <x:v>Primary source-register URL; automated screening score</x:v>
      </x:c>
      <x:c r="L1062" s="20" t="str">
        <x:v>2026-05-20</x:v>
      </x:c>
      <x:c r="M1062" s="20" t="str">
        <x:v>2026-05-20</x:v>
      </x:c>
      <x:c r="N1062" s="20" t="str">
        <x:v>GPT-5.5 Pro</x:v>
      </x:c>
      <x:c r="O1062" s="20" t="str">
        <x:v>Needs review</x:v>
      </x:c>
      <x:c r="P1062" s="20" t="str">
        <x:v>Screening score for China / Propaganda ecosystems in Moldova; verify with country-specific evidence before final use.</x:v>
      </x:c>
    </x:row>
    <x:row r="1063" ht="24" customHeight="1">
      <x:c r="A1063" s="20" t="str">
        <x:v>MDA|China|PMC presence</x:v>
      </x:c>
      <x:c r="B1063" s="20" t="str">
        <x:v>Moldova</x:v>
      </x:c>
      <x:c r="C1063" s="20" t="str">
        <x:v>MDA</x:v>
      </x:c>
      <x:c r="D1063" s="20" t="str">
        <x:v>China</x:v>
      </x:c>
      <x:c r="E1063" s="20" t="str">
        <x:v>Chinese influence</x:v>
      </x:c>
      <x:c r="F1063" s="20" t="str">
        <x:v>PMC presence</x:v>
      </x:c>
      <x:c r="G1063" s="384" t="n">
        <x:v>0</x:v>
      </x:c>
      <x:c r="H1063" s="396" t="n">
        <x:v>1</x:v>
      </x:c>
      <x:c r="I1063" s="20" t="str">
        <x:v>MERICS/Carnegie Chinese overseas PSC source register</x:v>
      </x:c>
      <x:c r="J1063" s="397" t="str">
        <x:v>https://merics.org/en/report/guardians-belt-and-road</x:v>
      </x:c>
      <x:c r="K1063" s="20" t="str">
        <x:v>Primary source-register URL; automated screening score</x:v>
      </x:c>
      <x:c r="L1063" s="20" t="str">
        <x:v>2026-05-20</x:v>
      </x:c>
      <x:c r="M1063" s="20" t="str">
        <x:v>2026-05-20</x:v>
      </x:c>
      <x:c r="N1063" s="20" t="str">
        <x:v>GPT-5.5 Pro</x:v>
      </x:c>
      <x:c r="O1063" s="20" t="str">
        <x:v>Needs review</x:v>
      </x:c>
      <x:c r="P1063" s="20" t="str">
        <x:v>Screening score for China / PMC presence in Moldova; verify with country-specific evidence before final use.</x:v>
      </x:c>
    </x:row>
    <x:row r="1064" ht="24" customHeight="1">
      <x:c r="A1064" s="20" t="str">
        <x:v>MDA|China|Election interference</x:v>
      </x:c>
      <x:c r="B1064" s="20" t="str">
        <x:v>Moldova</x:v>
      </x:c>
      <x:c r="C1064" s="20" t="str">
        <x:v>MDA</x:v>
      </x:c>
      <x:c r="D1064" s="20" t="str">
        <x:v>China</x:v>
      </x:c>
      <x:c r="E1064" s="20" t="str">
        <x:v>Chinese influence</x:v>
      </x:c>
      <x:c r="F1064" s="20" t="str">
        <x:v>Election interference</x:v>
      </x:c>
      <x:c r="G1064" s="384" t="n">
        <x:v>2</x:v>
      </x:c>
      <x:c r="H1064" s="396" t="n">
        <x:v>2</x:v>
      </x:c>
      <x:c r="I1064" s="20" t="str">
        <x:v>EEAS/ODNI China election-FIMI source register</x:v>
      </x:c>
      <x:c r="J1064" s="397" t="str">
        <x:v>https://www.eeas.europa.eu/eeas/4th-eeas-annual-report-foreign-information-manipulation-and-interference-threats_en</x:v>
      </x:c>
      <x:c r="K1064" s="20" t="str">
        <x:v>Primary source-register URL; automated screening score</x:v>
      </x:c>
      <x:c r="L1064" s="20" t="str">
        <x:v>2026-05-20</x:v>
      </x:c>
      <x:c r="M1064" s="20" t="str">
        <x:v>2026-05-20</x:v>
      </x:c>
      <x:c r="N1064" s="20" t="str">
        <x:v>GPT-5.5 Pro</x:v>
      </x:c>
      <x:c r="O1064" s="20" t="str">
        <x:v>Needs review</x:v>
      </x:c>
      <x:c r="P1064" s="20" t="str">
        <x:v>Screening score for China / Election interference in Moldova; verify with country-specific evidence before final use.</x:v>
      </x:c>
    </x:row>
    <x:row r="1065" ht="24" customHeight="1">
      <x:c r="A1065" s="20" t="str">
        <x:v>MDA|China|Security contractors</x:v>
      </x:c>
      <x:c r="B1065" s="20" t="str">
        <x:v>Moldova</x:v>
      </x:c>
      <x:c r="C1065" s="20" t="str">
        <x:v>MDA</x:v>
      </x:c>
      <x:c r="D1065" s="20" t="str">
        <x:v>China</x:v>
      </x:c>
      <x:c r="E1065" s="20" t="str">
        <x:v>Chinese influence</x:v>
      </x:c>
      <x:c r="F1065" s="20" t="str">
        <x:v>Security contractors</x:v>
      </x:c>
      <x:c r="G1065" s="384" t="n">
        <x:v>0</x:v>
      </x:c>
      <x:c r="H1065" s="396" t="n">
        <x:v>1</x:v>
      </x:c>
      <x:c r="I1065" s="20" t="str">
        <x:v>MERICS/Carnegie Chinese security contractor source register</x:v>
      </x:c>
      <x:c r="J1065" s="397" t="str">
        <x:v>https://merics.org/en/report/guardians-belt-and-road</x:v>
      </x:c>
      <x:c r="K1065" s="20" t="str">
        <x:v>Primary source-register URL; automated screening score</x:v>
      </x:c>
      <x:c r="L1065" s="20" t="str">
        <x:v>2026-05-20</x:v>
      </x:c>
      <x:c r="M1065" s="20" t="str">
        <x:v>2026-05-20</x:v>
      </x:c>
      <x:c r="N1065" s="20" t="str">
        <x:v>GPT-5.5 Pro</x:v>
      </x:c>
      <x:c r="O1065" s="20" t="str">
        <x:v>Needs review</x:v>
      </x:c>
      <x:c r="P1065" s="20" t="str">
        <x:v>Screening score for China / Security contractors in Moldova; verify with country-specific evidence before final use.</x:v>
      </x:c>
    </x:row>
    <x:row r="1066" ht="24" customHeight="1">
      <x:c r="A1066" s="20" t="str">
        <x:v>MDA|United States|Propaganda ecosystems</x:v>
      </x:c>
      <x:c r="B1066" s="20" t="str">
        <x:v>Moldova</x:v>
      </x:c>
      <x:c r="C1066" s="20" t="str">
        <x:v>MDA</x:v>
      </x:c>
      <x:c r="D1066" s="20" t="str">
        <x:v>United States</x:v>
      </x:c>
      <x:c r="E1066" s="20" t="str">
        <x:v>American influence</x:v>
      </x:c>
      <x:c r="F1066" s="20" t="str">
        <x:v>Propaganda ecosystems</x:v>
      </x:c>
      <x:c r="G1066" s="384" t="n">
        <x:v>6</x:v>
      </x:c>
      <x:c r="H1066" s="396" t="n">
        <x:v>4</x:v>
      </x:c>
      <x:c r="I1066" s="20" t="str">
        <x:v>USAGM public media source register</x:v>
      </x:c>
      <x:c r="J1066" s="397" t="str">
        <x:v>https://www.usagm.gov/our-work/strategy-and-results/strategic-priorities/research-reports/</x:v>
      </x:c>
      <x:c r="K1066" s="20" t="str">
        <x:v>Primary source-register URL; automated screening score</x:v>
      </x:c>
      <x:c r="L1066" s="20" t="str">
        <x:v>2026-05-20</x:v>
      </x:c>
      <x:c r="M1066" s="20" t="str">
        <x:v>2026-05-20</x:v>
      </x:c>
      <x:c r="N1066" s="20" t="str">
        <x:v>GPT-5.5 Pro</x:v>
      </x:c>
      <x:c r="O1066" s="20" t="str">
        <x:v>Needs review</x:v>
      </x:c>
      <x:c r="P1066" s="20" t="str">
        <x:v>Screening score for United States / Propaganda ecosystems in Moldova; verify with country-specific evidence before final use.</x:v>
      </x:c>
    </x:row>
    <x:row r="1067" ht="24" customHeight="1">
      <x:c r="A1067" s="20" t="str">
        <x:v>MDA|United States|PMC presence</x:v>
      </x:c>
      <x:c r="B1067" s="20" t="str">
        <x:v>Moldova</x:v>
      </x:c>
      <x:c r="C1067" s="20" t="str">
        <x:v>MDA</x:v>
      </x:c>
      <x:c r="D1067" s="20" t="str">
        <x:v>United States</x:v>
      </x:c>
      <x:c r="E1067" s="20" t="str">
        <x:v>American influence</x:v>
      </x:c>
      <x:c r="F1067" s="20" t="str">
        <x:v>PMC presence</x:v>
      </x:c>
      <x:c r="G1067" s="384" t="n">
        <x:v>1</x:v>
      </x:c>
      <x:c r="H1067" s="396" t="n">
        <x:v>2</x:v>
      </x:c>
      <x:c r="I1067" s="20" t="str">
        <x:v>SAM/Greenbook U.S. security assistance contractor source register</x:v>
      </x:c>
      <x:c r="J1067" s="397" t="str">
        <x:v>https://internationalpolicy.org/programs/sam/</x:v>
      </x:c>
      <x:c r="K1067" s="20" t="str">
        <x:v>Primary source-register URL; automated screening score</x:v>
      </x:c>
      <x:c r="L1067" s="20" t="str">
        <x:v>2026-05-20</x:v>
      </x:c>
      <x:c r="M1067" s="20" t="str">
        <x:v>2026-05-20</x:v>
      </x:c>
      <x:c r="N1067" s="20" t="str">
        <x:v>GPT-5.5 Pro</x:v>
      </x:c>
      <x:c r="O1067" s="20" t="str">
        <x:v>Needs review</x:v>
      </x:c>
      <x:c r="P1067" s="20" t="str">
        <x:v>Screening score for United States / PMC presence in Moldova; verify with country-specific evidence before final use.</x:v>
      </x:c>
    </x:row>
    <x:row r="1068" ht="24" customHeight="1">
      <x:c r="A1068" s="20" t="str">
        <x:v>MDA|United States|Election interference</x:v>
      </x:c>
      <x:c r="B1068" s="20" t="str">
        <x:v>Moldova</x:v>
      </x:c>
      <x:c r="C1068" s="20" t="str">
        <x:v>MDA</x:v>
      </x:c>
      <x:c r="D1068" s="20" t="str">
        <x:v>United States</x:v>
      </x:c>
      <x:c r="E1068" s="20" t="str">
        <x:v>American influence</x:v>
      </x:c>
      <x:c r="F1068" s="20" t="str">
        <x:v>Election interference</x:v>
      </x:c>
      <x:c r="G1068" s="384" t="n">
        <x:v>4</x:v>
      </x:c>
      <x:c r="H1068" s="396" t="n">
        <x:v>3</x:v>
      </x:c>
      <x:c r="I1068" s="20" t="str">
        <x:v>NED/Greenbook democracy assistance source register</x:v>
      </x:c>
      <x:c r="J1068" s="397" t="str">
        <x:v>https://www.ned.org/ned-grantmaking/</x:v>
      </x:c>
      <x:c r="K1068" s="20" t="str">
        <x:v>Primary source-register URL; automated screening score</x:v>
      </x:c>
      <x:c r="L1068" s="20" t="str">
        <x:v>2026-05-20</x:v>
      </x:c>
      <x:c r="M1068" s="20" t="str">
        <x:v>2026-05-20</x:v>
      </x:c>
      <x:c r="N1068" s="20" t="str">
        <x:v>GPT-5.5 Pro</x:v>
      </x:c>
      <x:c r="O1068" s="20" t="str">
        <x:v>Needs review</x:v>
      </x:c>
      <x:c r="P1068" s="20" t="str">
        <x:v>Screening score for United States / Election interference in Moldova; verify with country-specific evidence before final use.</x:v>
      </x:c>
    </x:row>
    <x:row r="1069" ht="24" customHeight="1">
      <x:c r="A1069" s="20" t="str">
        <x:v>MDA|United States|Security contractors</x:v>
      </x:c>
      <x:c r="B1069" s="20" t="str">
        <x:v>Moldova</x:v>
      </x:c>
      <x:c r="C1069" s="20" t="str">
        <x:v>MDA</x:v>
      </x:c>
      <x:c r="D1069" s="20" t="str">
        <x:v>United States</x:v>
      </x:c>
      <x:c r="E1069" s="20" t="str">
        <x:v>American influence</x:v>
      </x:c>
      <x:c r="F1069" s="20" t="str">
        <x:v>Security contractors</x:v>
      </x:c>
      <x:c r="G1069" s="384" t="n">
        <x:v>2</x:v>
      </x:c>
      <x:c r="H1069" s="396" t="n">
        <x:v>2</x:v>
      </x:c>
      <x:c r="I1069" s="20" t="str">
        <x:v>SAM/Greenbook U.S. security contractor source register</x:v>
      </x:c>
      <x:c r="J1069" s="397" t="str">
        <x:v>https://internationalpolicy.org/programs/sam/</x:v>
      </x:c>
      <x:c r="K1069" s="20" t="str">
        <x:v>Primary source-register URL; automated screening score</x:v>
      </x:c>
      <x:c r="L1069" s="20" t="str">
        <x:v>2026-05-20</x:v>
      </x:c>
      <x:c r="M1069" s="20" t="str">
        <x:v>2026-05-20</x:v>
      </x:c>
      <x:c r="N1069" s="20" t="str">
        <x:v>GPT-5.5 Pro</x:v>
      </x:c>
      <x:c r="O1069" s="20" t="str">
        <x:v>Needs review</x:v>
      </x:c>
      <x:c r="P1069" s="20" t="str">
        <x:v>Screening score for United States / Security contractors in Moldova; verify with country-specific evidence before final use.</x:v>
      </x:c>
    </x:row>
    <x:row r="1070" ht="24" customHeight="1">
      <x:c r="A1070" s="20" t="str">
        <x:v>MDA|European Union|Propaganda ecosystems</x:v>
      </x:c>
      <x:c r="B1070" s="20" t="str">
        <x:v>Moldova</x:v>
      </x:c>
      <x:c r="C1070" s="20" t="str">
        <x:v>MDA</x:v>
      </x:c>
      <x:c r="D1070" s="20" t="str">
        <x:v>European Union</x:v>
      </x:c>
      <x:c r="E1070" s="20" t="str">
        <x:v>EU influence</x:v>
      </x:c>
      <x:c r="F1070" s="20" t="str">
        <x:v>Propaganda ecosystems</x:v>
      </x:c>
      <x:c r="G1070" s="384" t="n">
        <x:v>7</x:v>
      </x:c>
      <x:c r="H1070" s="396" t="n">
        <x:v>4</x:v>
      </x:c>
      <x:c r="I1070" s="20" t="str">
        <x:v>EEAS public diplomacy source register</x:v>
      </x:c>
      <x:c r="J1070" s="397" t="str">
        <x:v>https://www.eeas.europa.eu/eeas/public-diplomacy_en</x:v>
      </x:c>
      <x:c r="K1070" s="20" t="str">
        <x:v>Primary source-register URL; automated screening score</x:v>
      </x:c>
      <x:c r="L1070" s="20" t="str">
        <x:v>2026-05-20</x:v>
      </x:c>
      <x:c r="M1070" s="20" t="str">
        <x:v>2026-05-20</x:v>
      </x:c>
      <x:c r="N1070" s="20" t="str">
        <x:v>GPT-5.5 Pro</x:v>
      </x:c>
      <x:c r="O1070" s="20" t="str">
        <x:v>Needs review</x:v>
      </x:c>
      <x:c r="P1070" s="20" t="str">
        <x:v>Screening score for European Union / Propaganda ecosystems in Moldova; verify with country-specific evidence before final use.</x:v>
      </x:c>
    </x:row>
    <x:row r="1071" ht="24" customHeight="1">
      <x:c r="A1071" s="20" t="str">
        <x:v>MDA|European Union|PMC presence</x:v>
      </x:c>
      <x:c r="B1071" s="20" t="str">
        <x:v>Moldova</x:v>
      </x:c>
      <x:c r="C1071" s="20" t="str">
        <x:v>MDA</x:v>
      </x:c>
      <x:c r="D1071" s="20" t="str">
        <x:v>European Union</x:v>
      </x:c>
      <x:c r="E1071" s="20" t="str">
        <x:v>EU influence</x:v>
      </x:c>
      <x:c r="F1071" s="20" t="str">
        <x:v>PMC presence</x:v>
      </x:c>
      <x:c r="G1071" s="384" t="n">
        <x:v>1</x:v>
      </x:c>
      <x:c r="H1071" s="396" t="n">
        <x:v>2</x:v>
      </x:c>
      <x:c r="I1071" s="20" t="str">
        <x:v>EEAS CSDP missions source register</x:v>
      </x:c>
      <x:c r="J1071" s="397" t="str">
        <x:v>https://www.eeas.europa.eu/eeas/missions-and-operations_en</x:v>
      </x:c>
      <x:c r="K1071" s="20" t="str">
        <x:v>Primary source-register URL; automated screening score</x:v>
      </x:c>
      <x:c r="L1071" s="20" t="str">
        <x:v>2026-05-20</x:v>
      </x:c>
      <x:c r="M1071" s="20" t="str">
        <x:v>2026-05-20</x:v>
      </x:c>
      <x:c r="N1071" s="20" t="str">
        <x:v>GPT-5.5 Pro</x:v>
      </x:c>
      <x:c r="O1071" s="20" t="str">
        <x:v>Needs review</x:v>
      </x:c>
      <x:c r="P1071" s="20" t="str">
        <x:v>Screening score for European Union / PMC presence in Moldova; verify with country-specific evidence before final use.</x:v>
      </x:c>
    </x:row>
    <x:row r="1072" ht="24" customHeight="1">
      <x:c r="A1072" s="20" t="str">
        <x:v>MDA|European Union|Election interference</x:v>
      </x:c>
      <x:c r="B1072" s="20" t="str">
        <x:v>Moldova</x:v>
      </x:c>
      <x:c r="C1072" s="20" t="str">
        <x:v>MDA</x:v>
      </x:c>
      <x:c r="D1072" s="20" t="str">
        <x:v>European Union</x:v>
      </x:c>
      <x:c r="E1072" s="20" t="str">
        <x:v>EU influence</x:v>
      </x:c>
      <x:c r="F1072" s="20" t="str">
        <x:v>Election interference</x:v>
      </x:c>
      <x:c r="G1072" s="384" t="n">
        <x:v>3</x:v>
      </x:c>
      <x:c r="H1072" s="396" t="n">
        <x:v>3</x:v>
      </x:c>
      <x:c r="I1072" s="20" t="str">
        <x:v>EEAS EU election observation source register</x:v>
      </x:c>
      <x:c r="J1072" s="397" t="str">
        <x:v>https://www.eeas.europa.eu/eeas/eu-election-observation-missions-1_en?page_lang=en</x:v>
      </x:c>
      <x:c r="K1072" s="20" t="str">
        <x:v>Primary source-register URL; automated screening score</x:v>
      </x:c>
      <x:c r="L1072" s="20" t="str">
        <x:v>2026-05-20</x:v>
      </x:c>
      <x:c r="M1072" s="20" t="str">
        <x:v>2026-05-20</x:v>
      </x:c>
      <x:c r="N1072" s="20" t="str">
        <x:v>GPT-5.5 Pro</x:v>
      </x:c>
      <x:c r="O1072" s="20" t="str">
        <x:v>Needs review</x:v>
      </x:c>
      <x:c r="P1072" s="20" t="str">
        <x:v>Screening score for European Union / Election interference in Moldova; verify with country-specific evidence before final use.</x:v>
      </x:c>
    </x:row>
    <x:row r="1073" ht="24" customHeight="1">
      <x:c r="A1073" s="20" t="str">
        <x:v>MDA|European Union|Security contractors</x:v>
      </x:c>
      <x:c r="B1073" s="20" t="str">
        <x:v>Moldova</x:v>
      </x:c>
      <x:c r="C1073" s="20" t="str">
        <x:v>MDA</x:v>
      </x:c>
      <x:c r="D1073" s="20" t="str">
        <x:v>European Union</x:v>
      </x:c>
      <x:c r="E1073" s="20" t="str">
        <x:v>EU influence</x:v>
      </x:c>
      <x:c r="F1073" s="20" t="str">
        <x:v>Security contractors</x:v>
      </x:c>
      <x:c r="G1073" s="384" t="n">
        <x:v>6</x:v>
      </x:c>
      <x:c r="H1073" s="396" t="n">
        <x:v>4</x:v>
      </x:c>
      <x:c r="I1073" s="20" t="str">
        <x:v>EEAS CSDP / Global Gateway security source register</x:v>
      </x:c>
      <x:c r="J1073" s="397" t="str">
        <x:v>https://www.eeas.europa.eu/eeas/missions-and-operations_en</x:v>
      </x:c>
      <x:c r="K1073" s="20" t="str">
        <x:v>Primary source-register URL; automated screening score</x:v>
      </x:c>
      <x:c r="L1073" s="20" t="str">
        <x:v>2026-05-20</x:v>
      </x:c>
      <x:c r="M1073" s="20" t="str">
        <x:v>2026-05-20</x:v>
      </x:c>
      <x:c r="N1073" s="20" t="str">
        <x:v>GPT-5.5 Pro</x:v>
      </x:c>
      <x:c r="O1073" s="20" t="str">
        <x:v>Needs review</x:v>
      </x:c>
      <x:c r="P1073" s="20" t="str">
        <x:v>Screening score for European Union / Security contractors in Moldova; verify with country-specific evidence before final use.</x:v>
      </x:c>
    </x:row>
    <x:row r="1074" ht="24" customHeight="1">
      <x:c r="A1074" s="20" t="str">
        <x:v>MNG|Russia|Propaganda ecosystems</x:v>
      </x:c>
      <x:c r="B1074" s="20" t="str">
        <x:v>Mongolia</x:v>
      </x:c>
      <x:c r="C1074" s="20" t="str">
        <x:v>MNG</x:v>
      </x:c>
      <x:c r="D1074" s="20" t="str">
        <x:v>Russia</x:v>
      </x:c>
      <x:c r="E1074" s="20" t="str">
        <x:v>Russian influence</x:v>
      </x:c>
      <x:c r="F1074" s="20" t="str">
        <x:v>Propaganda ecosystems</x:v>
      </x:c>
      <x:c r="G1074" s="384" t="n">
        <x:v>2</x:v>
      </x:c>
      <x:c r="H1074" s="396" t="n">
        <x:v>2</x:v>
      </x:c>
      <x:c r="I1074" s="20" t="str">
        <x:v>EEAS/EUvsDisinfo FIMI source register</x:v>
      </x:c>
      <x:c r="J1074" s="397" t="str">
        <x:v>https://www.eeas.europa.eu/eeas/4th-eeas-annual-report-foreign-information-manipulation-and-interference-threats_en</x:v>
      </x:c>
      <x:c r="K1074" s="20" t="str">
        <x:v>Primary source-register URL; automated screening score</x:v>
      </x:c>
      <x:c r="L1074" s="20" t="str">
        <x:v>2026-05-20</x:v>
      </x:c>
      <x:c r="M1074" s="20" t="str">
        <x:v>2026-05-20</x:v>
      </x:c>
      <x:c r="N1074" s="20" t="str">
        <x:v>GPT-5.5 Pro</x:v>
      </x:c>
      <x:c r="O1074" s="20" t="str">
        <x:v>Needs review</x:v>
      </x:c>
      <x:c r="P1074" s="20" t="str">
        <x:v>Screening score for Russia / Propaganda ecosystems in Mongolia; verify with country-specific evidence before final use.</x:v>
      </x:c>
    </x:row>
    <x:row r="1075" ht="24" customHeight="1">
      <x:c r="A1075" s="20" t="str">
        <x:v>MNG|Russia|PMC presence</x:v>
      </x:c>
      <x:c r="B1075" s="20" t="str">
        <x:v>Mongolia</x:v>
      </x:c>
      <x:c r="C1075" s="20" t="str">
        <x:v>MNG</x:v>
      </x:c>
      <x:c r="D1075" s="20" t="str">
        <x:v>Russia</x:v>
      </x:c>
      <x:c r="E1075" s="20" t="str">
        <x:v>Russian influence</x:v>
      </x:c>
      <x:c r="F1075" s="20" t="str">
        <x:v>PMC presence</x:v>
      </x:c>
      <x:c r="G1075" s="384" t="n">
        <x:v>0</x:v>
      </x:c>
      <x:c r="H1075" s="396" t="n">
        <x:v>1</x:v>
      </x:c>
      <x:c r="I1075" s="20" t="str">
        <x:v>Treasury and Council of the EU Wagner/PMC source register</x:v>
      </x:c>
      <x:c r="J1075" s="397" t="str">
        <x:v>https://www.consilium.europa.eu/en/press/press-releases/2023/02/25/wagner-group-council-adds-11-individuals-and-7-entities-to-eu-sanctions-lists/</x:v>
      </x:c>
      <x:c r="K1075" s="20" t="str">
        <x:v>Primary source-register URL; automated screening score</x:v>
      </x:c>
      <x:c r="L1075" s="20" t="str">
        <x:v>2026-05-20</x:v>
      </x:c>
      <x:c r="M1075" s="20" t="str">
        <x:v>2026-05-20</x:v>
      </x:c>
      <x:c r="N1075" s="20" t="str">
        <x:v>GPT-5.5 Pro</x:v>
      </x:c>
      <x:c r="O1075" s="20" t="str">
        <x:v>Needs review</x:v>
      </x:c>
      <x:c r="P1075" s="20" t="str">
        <x:v>Screening score for Russia / PMC presence in Mongolia; verify with country-specific evidence before final use.</x:v>
      </x:c>
    </x:row>
    <x:row r="1076" ht="24" customHeight="1">
      <x:c r="A1076" s="20" t="str">
        <x:v>MNG|Russia|Election interference</x:v>
      </x:c>
      <x:c r="B1076" s="20" t="str">
        <x:v>Mongolia</x:v>
      </x:c>
      <x:c r="C1076" s="20" t="str">
        <x:v>MNG</x:v>
      </x:c>
      <x:c r="D1076" s="20" t="str">
        <x:v>Russia</x:v>
      </x:c>
      <x:c r="E1076" s="20" t="str">
        <x:v>Russian influence</x:v>
      </x:c>
      <x:c r="F1076" s="20" t="str">
        <x:v>Election interference</x:v>
      </x:c>
      <x:c r="G1076" s="384" t="n">
        <x:v>0</x:v>
      </x:c>
      <x:c r="H1076" s="396" t="n">
        <x:v>1</x:v>
      </x:c>
      <x:c r="I1076" s="20" t="str">
        <x:v>ODNI/EEAS election-FIMI source register</x:v>
      </x:c>
      <x:c r="J1076" s="397" t="str">
        <x:v>https://www.dni.gov/files/ODNI/documents/assessments/ATA-2026-Unclassified-Report.pdf</x:v>
      </x:c>
      <x:c r="K1076" s="20" t="str">
        <x:v>Primary source-register URL; automated screening score</x:v>
      </x:c>
      <x:c r="L1076" s="20" t="str">
        <x:v>2026-05-20</x:v>
      </x:c>
      <x:c r="M1076" s="20" t="str">
        <x:v>2026-05-20</x:v>
      </x:c>
      <x:c r="N1076" s="20" t="str">
        <x:v>GPT-5.5 Pro</x:v>
      </x:c>
      <x:c r="O1076" s="20" t="str">
        <x:v>Needs review</x:v>
      </x:c>
      <x:c r="P1076" s="20" t="str">
        <x:v>Screening score for Russia / Election interference in Mongolia; verify with country-specific evidence before final use.</x:v>
      </x:c>
    </x:row>
    <x:row r="1077" ht="24" customHeight="1">
      <x:c r="A1077" s="20" t="str">
        <x:v>MNG|Russia|Security contractors</x:v>
      </x:c>
      <x:c r="B1077" s="20" t="str">
        <x:v>Mongolia</x:v>
      </x:c>
      <x:c r="C1077" s="20" t="str">
        <x:v>MNG</x:v>
      </x:c>
      <x:c r="D1077" s="20" t="str">
        <x:v>Russia</x:v>
      </x:c>
      <x:c r="E1077" s="20" t="str">
        <x:v>Russian influence</x:v>
      </x:c>
      <x:c r="F1077" s="20" t="str">
        <x:v>Security contractors</x:v>
      </x:c>
      <x:c r="G1077" s="384" t="n">
        <x:v>0</x:v>
      </x:c>
      <x:c r="H1077" s="396" t="n">
        <x:v>1</x:v>
      </x:c>
      <x:c r="I1077" s="20" t="str">
        <x:v>Council of the EU/Treasury Wagner-security source register</x:v>
      </x:c>
      <x:c r="J1077" s="397" t="str">
        <x:v>https://www.consilium.europa.eu/en/press/press-releases/2023/02/25/wagner-group-council-adds-11-individuals-and-7-entities-to-eu-sanctions-lists/</x:v>
      </x:c>
      <x:c r="K1077" s="20" t="str">
        <x:v>Primary source-register URL; automated screening score</x:v>
      </x:c>
      <x:c r="L1077" s="20" t="str">
        <x:v>2026-05-20</x:v>
      </x:c>
      <x:c r="M1077" s="20" t="str">
        <x:v>2026-05-20</x:v>
      </x:c>
      <x:c r="N1077" s="20" t="str">
        <x:v>GPT-5.5 Pro</x:v>
      </x:c>
      <x:c r="O1077" s="20" t="str">
        <x:v>Needs review</x:v>
      </x:c>
      <x:c r="P1077" s="20" t="str">
        <x:v>Screening score for Russia / Security contractors in Mongolia; verify with country-specific evidence before final use.</x:v>
      </x:c>
    </x:row>
    <x:row r="1078" ht="24" customHeight="1">
      <x:c r="A1078" s="20" t="str">
        <x:v>MNG|China|Propaganda ecosystems</x:v>
      </x:c>
      <x:c r="B1078" s="20" t="str">
        <x:v>Mongolia</x:v>
      </x:c>
      <x:c r="C1078" s="20" t="str">
        <x:v>MNG</x:v>
      </x:c>
      <x:c r="D1078" s="20" t="str">
        <x:v>China</x:v>
      </x:c>
      <x:c r="E1078" s="20" t="str">
        <x:v>Chinese influence</x:v>
      </x:c>
      <x:c r="F1078" s="20" t="str">
        <x:v>Propaganda ecosystems</x:v>
      </x:c>
      <x:c r="G1078" s="384" t="n">
        <x:v>3</x:v>
      </x:c>
      <x:c r="H1078" s="396" t="n">
        <x:v>3</x:v>
      </x:c>
      <x:c r="I1078" s="20" t="str">
        <x:v>EEAS/ODNI China FIMI source register</x:v>
      </x:c>
      <x:c r="J1078" s="397" t="str">
        <x:v>https://www.eeas.europa.eu/eeas/4th-eeas-annual-report-foreign-information-manipulation-and-interference-threats_en</x:v>
      </x:c>
      <x:c r="K1078" s="20" t="str">
        <x:v>Primary source-register URL; automated screening score</x:v>
      </x:c>
      <x:c r="L1078" s="20" t="str">
        <x:v>2026-05-20</x:v>
      </x:c>
      <x:c r="M1078" s="20" t="str">
        <x:v>2026-05-20</x:v>
      </x:c>
      <x:c r="N1078" s="20" t="str">
        <x:v>GPT-5.5 Pro</x:v>
      </x:c>
      <x:c r="O1078" s="20" t="str">
        <x:v>Needs review</x:v>
      </x:c>
      <x:c r="P1078" s="20" t="str">
        <x:v>Screening score for China / Propaganda ecosystems in Mongolia; verify with country-specific evidence before final use.</x:v>
      </x:c>
    </x:row>
    <x:row r="1079" ht="24" customHeight="1">
      <x:c r="A1079" s="20" t="str">
        <x:v>MNG|China|PMC presence</x:v>
      </x:c>
      <x:c r="B1079" s="20" t="str">
        <x:v>Mongolia</x:v>
      </x:c>
      <x:c r="C1079" s="20" t="str">
        <x:v>MNG</x:v>
      </x:c>
      <x:c r="D1079" s="20" t="str">
        <x:v>China</x:v>
      </x:c>
      <x:c r="E1079" s="20" t="str">
        <x:v>Chinese influence</x:v>
      </x:c>
      <x:c r="F1079" s="20" t="str">
        <x:v>PMC presence</x:v>
      </x:c>
      <x:c r="G1079" s="384" t="n">
        <x:v>0</x:v>
      </x:c>
      <x:c r="H1079" s="396" t="n">
        <x:v>1</x:v>
      </x:c>
      <x:c r="I1079" s="20" t="str">
        <x:v>MERICS/Carnegie Chinese overseas PSC source register</x:v>
      </x:c>
      <x:c r="J1079" s="397" t="str">
        <x:v>https://merics.org/en/report/guardians-belt-and-road</x:v>
      </x:c>
      <x:c r="K1079" s="20" t="str">
        <x:v>Primary source-register URL; automated screening score</x:v>
      </x:c>
      <x:c r="L1079" s="20" t="str">
        <x:v>2026-05-20</x:v>
      </x:c>
      <x:c r="M1079" s="20" t="str">
        <x:v>2026-05-20</x:v>
      </x:c>
      <x:c r="N1079" s="20" t="str">
        <x:v>GPT-5.5 Pro</x:v>
      </x:c>
      <x:c r="O1079" s="20" t="str">
        <x:v>Needs review</x:v>
      </x:c>
      <x:c r="P1079" s="20" t="str">
        <x:v>Screening score for China / PMC presence in Mongolia; verify with country-specific evidence before final use.</x:v>
      </x:c>
    </x:row>
    <x:row r="1080" ht="24" customHeight="1">
      <x:c r="A1080" s="20" t="str">
        <x:v>MNG|China|Election interference</x:v>
      </x:c>
      <x:c r="B1080" s="20" t="str">
        <x:v>Mongolia</x:v>
      </x:c>
      <x:c r="C1080" s="20" t="str">
        <x:v>MNG</x:v>
      </x:c>
      <x:c r="D1080" s="20" t="str">
        <x:v>China</x:v>
      </x:c>
      <x:c r="E1080" s="20" t="str">
        <x:v>Chinese influence</x:v>
      </x:c>
      <x:c r="F1080" s="20" t="str">
        <x:v>Election interference</x:v>
      </x:c>
      <x:c r="G1080" s="384" t="n">
        <x:v>1</x:v>
      </x:c>
      <x:c r="H1080" s="396" t="n">
        <x:v>2</x:v>
      </x:c>
      <x:c r="I1080" s="20" t="str">
        <x:v>EEAS/ODNI China election-FIMI source register</x:v>
      </x:c>
      <x:c r="J1080" s="397" t="str">
        <x:v>https://www.eeas.europa.eu/eeas/4th-eeas-annual-report-foreign-information-manipulation-and-interference-threats_en</x:v>
      </x:c>
      <x:c r="K1080" s="20" t="str">
        <x:v>Primary source-register URL; automated screening score</x:v>
      </x:c>
      <x:c r="L1080" s="20" t="str">
        <x:v>2026-05-20</x:v>
      </x:c>
      <x:c r="M1080" s="20" t="str">
        <x:v>2026-05-20</x:v>
      </x:c>
      <x:c r="N1080" s="20" t="str">
        <x:v>GPT-5.5 Pro</x:v>
      </x:c>
      <x:c r="O1080" s="20" t="str">
        <x:v>Needs review</x:v>
      </x:c>
      <x:c r="P1080" s="20" t="str">
        <x:v>Screening score for China / Election interference in Mongolia; verify with country-specific evidence before final use.</x:v>
      </x:c>
    </x:row>
    <x:row r="1081" ht="24" customHeight="1">
      <x:c r="A1081" s="20" t="str">
        <x:v>MNG|China|Security contractors</x:v>
      </x:c>
      <x:c r="B1081" s="20" t="str">
        <x:v>Mongolia</x:v>
      </x:c>
      <x:c r="C1081" s="20" t="str">
        <x:v>MNG</x:v>
      </x:c>
      <x:c r="D1081" s="20" t="str">
        <x:v>China</x:v>
      </x:c>
      <x:c r="E1081" s="20" t="str">
        <x:v>Chinese influence</x:v>
      </x:c>
      <x:c r="F1081" s="20" t="str">
        <x:v>Security contractors</x:v>
      </x:c>
      <x:c r="G1081" s="384" t="n">
        <x:v>1</x:v>
      </x:c>
      <x:c r="H1081" s="396" t="n">
        <x:v>2</x:v>
      </x:c>
      <x:c r="I1081" s="20" t="str">
        <x:v>MERICS/Carnegie Chinese security contractor source register</x:v>
      </x:c>
      <x:c r="J1081" s="397" t="str">
        <x:v>https://merics.org/en/report/guardians-belt-and-road</x:v>
      </x:c>
      <x:c r="K1081" s="20" t="str">
        <x:v>Primary source-register URL; automated screening score</x:v>
      </x:c>
      <x:c r="L1081" s="20" t="str">
        <x:v>2026-05-20</x:v>
      </x:c>
      <x:c r="M1081" s="20" t="str">
        <x:v>2026-05-20</x:v>
      </x:c>
      <x:c r="N1081" s="20" t="str">
        <x:v>GPT-5.5 Pro</x:v>
      </x:c>
      <x:c r="O1081" s="20" t="str">
        <x:v>Needs review</x:v>
      </x:c>
      <x:c r="P1081" s="20" t="str">
        <x:v>Screening score for China / Security contractors in Mongolia; verify with country-specific evidence before final use.</x:v>
      </x:c>
    </x:row>
    <x:row r="1082" ht="24" customHeight="1">
      <x:c r="A1082" s="20" t="str">
        <x:v>MNG|United States|Propaganda ecosystems</x:v>
      </x:c>
      <x:c r="B1082" s="20" t="str">
        <x:v>Mongolia</x:v>
      </x:c>
      <x:c r="C1082" s="20" t="str">
        <x:v>MNG</x:v>
      </x:c>
      <x:c r="D1082" s="20" t="str">
        <x:v>United States</x:v>
      </x:c>
      <x:c r="E1082" s="20" t="str">
        <x:v>American influence</x:v>
      </x:c>
      <x:c r="F1082" s="20" t="str">
        <x:v>Propaganda ecosystems</x:v>
      </x:c>
      <x:c r="G1082" s="384" t="n">
        <x:v>3</x:v>
      </x:c>
      <x:c r="H1082" s="396" t="n">
        <x:v>3</x:v>
      </x:c>
      <x:c r="I1082" s="20" t="str">
        <x:v>USAGM public media source register</x:v>
      </x:c>
      <x:c r="J1082" s="397" t="str">
        <x:v>https://www.usagm.gov/our-work/strategy-and-results/strategic-priorities/research-reports/</x:v>
      </x:c>
      <x:c r="K1082" s="20" t="str">
        <x:v>Primary source-register URL; automated screening score</x:v>
      </x:c>
      <x:c r="L1082" s="20" t="str">
        <x:v>2026-05-20</x:v>
      </x:c>
      <x:c r="M1082" s="20" t="str">
        <x:v>2026-05-20</x:v>
      </x:c>
      <x:c r="N1082" s="20" t="str">
        <x:v>GPT-5.5 Pro</x:v>
      </x:c>
      <x:c r="O1082" s="20" t="str">
        <x:v>Needs review</x:v>
      </x:c>
      <x:c r="P1082" s="20" t="str">
        <x:v>Screening score for United States / Propaganda ecosystems in Mongolia; verify with country-specific evidence before final use.</x:v>
      </x:c>
    </x:row>
    <x:row r="1083" ht="24" customHeight="1">
      <x:c r="A1083" s="20" t="str">
        <x:v>MNG|United States|PMC presence</x:v>
      </x:c>
      <x:c r="B1083" s="20" t="str">
        <x:v>Mongolia</x:v>
      </x:c>
      <x:c r="C1083" s="20" t="str">
        <x:v>MNG</x:v>
      </x:c>
      <x:c r="D1083" s="20" t="str">
        <x:v>United States</x:v>
      </x:c>
      <x:c r="E1083" s="20" t="str">
        <x:v>American influence</x:v>
      </x:c>
      <x:c r="F1083" s="20" t="str">
        <x:v>PMC presence</x:v>
      </x:c>
      <x:c r="G1083" s="384" t="n">
        <x:v>1</x:v>
      </x:c>
      <x:c r="H1083" s="396" t="n">
        <x:v>2</x:v>
      </x:c>
      <x:c r="I1083" s="20" t="str">
        <x:v>SAM/Greenbook U.S. security assistance contractor source register</x:v>
      </x:c>
      <x:c r="J1083" s="397" t="str">
        <x:v>https://internationalpolicy.org/programs/sam/</x:v>
      </x:c>
      <x:c r="K1083" s="20" t="str">
        <x:v>Primary source-register URL; automated screening score</x:v>
      </x:c>
      <x:c r="L1083" s="20" t="str">
        <x:v>2026-05-20</x:v>
      </x:c>
      <x:c r="M1083" s="20" t="str">
        <x:v>2026-05-20</x:v>
      </x:c>
      <x:c r="N1083" s="20" t="str">
        <x:v>GPT-5.5 Pro</x:v>
      </x:c>
      <x:c r="O1083" s="20" t="str">
        <x:v>Needs review</x:v>
      </x:c>
      <x:c r="P1083" s="20" t="str">
        <x:v>Screening score for United States / PMC presence in Mongolia; verify with country-specific evidence before final use.</x:v>
      </x:c>
    </x:row>
    <x:row r="1084" ht="24" customHeight="1">
      <x:c r="A1084" s="20" t="str">
        <x:v>MNG|United States|Election interference</x:v>
      </x:c>
      <x:c r="B1084" s="20" t="str">
        <x:v>Mongolia</x:v>
      </x:c>
      <x:c r="C1084" s="20" t="str">
        <x:v>MNG</x:v>
      </x:c>
      <x:c r="D1084" s="20" t="str">
        <x:v>United States</x:v>
      </x:c>
      <x:c r="E1084" s="20" t="str">
        <x:v>American influence</x:v>
      </x:c>
      <x:c r="F1084" s="20" t="str">
        <x:v>Election interference</x:v>
      </x:c>
      <x:c r="G1084" s="384" t="n">
        <x:v>2</x:v>
      </x:c>
      <x:c r="H1084" s="396" t="n">
        <x:v>2</x:v>
      </x:c>
      <x:c r="I1084" s="20" t="str">
        <x:v>NED/Greenbook democracy assistance source register</x:v>
      </x:c>
      <x:c r="J1084" s="397" t="str">
        <x:v>https://www.ned.org/ned-grantmaking/</x:v>
      </x:c>
      <x:c r="K1084" s="20" t="str">
        <x:v>Primary source-register URL; automated screening score</x:v>
      </x:c>
      <x:c r="L1084" s="20" t="str">
        <x:v>2026-05-20</x:v>
      </x:c>
      <x:c r="M1084" s="20" t="str">
        <x:v>2026-05-20</x:v>
      </x:c>
      <x:c r="N1084" s="20" t="str">
        <x:v>GPT-5.5 Pro</x:v>
      </x:c>
      <x:c r="O1084" s="20" t="str">
        <x:v>Needs review</x:v>
      </x:c>
      <x:c r="P1084" s="20" t="str">
        <x:v>Screening score for United States / Election interference in Mongolia; verify with country-specific evidence before final use.</x:v>
      </x:c>
    </x:row>
    <x:row r="1085" ht="24" customHeight="1">
      <x:c r="A1085" s="20" t="str">
        <x:v>MNG|United States|Security contractors</x:v>
      </x:c>
      <x:c r="B1085" s="20" t="str">
        <x:v>Mongolia</x:v>
      </x:c>
      <x:c r="C1085" s="20" t="str">
        <x:v>MNG</x:v>
      </x:c>
      <x:c r="D1085" s="20" t="str">
        <x:v>United States</x:v>
      </x:c>
      <x:c r="E1085" s="20" t="str">
        <x:v>American influence</x:v>
      </x:c>
      <x:c r="F1085" s="20" t="str">
        <x:v>Security contractors</x:v>
      </x:c>
      <x:c r="G1085" s="384" t="n">
        <x:v>2</x:v>
      </x:c>
      <x:c r="H1085" s="396" t="n">
        <x:v>2</x:v>
      </x:c>
      <x:c r="I1085" s="20" t="str">
        <x:v>SAM/Greenbook U.S. security contractor source register</x:v>
      </x:c>
      <x:c r="J1085" s="397" t="str">
        <x:v>https://internationalpolicy.org/programs/sam/</x:v>
      </x:c>
      <x:c r="K1085" s="20" t="str">
        <x:v>Primary source-register URL; automated screening score</x:v>
      </x:c>
      <x:c r="L1085" s="20" t="str">
        <x:v>2026-05-20</x:v>
      </x:c>
      <x:c r="M1085" s="20" t="str">
        <x:v>2026-05-20</x:v>
      </x:c>
      <x:c r="N1085" s="20" t="str">
        <x:v>GPT-5.5 Pro</x:v>
      </x:c>
      <x:c r="O1085" s="20" t="str">
        <x:v>Needs review</x:v>
      </x:c>
      <x:c r="P1085" s="20" t="str">
        <x:v>Screening score for United States / Security contractors in Mongolia; verify with country-specific evidence before final use.</x:v>
      </x:c>
    </x:row>
    <x:row r="1086" ht="24" customHeight="1">
      <x:c r="A1086" s="20" t="str">
        <x:v>MNG|European Union|Propaganda ecosystems</x:v>
      </x:c>
      <x:c r="B1086" s="20" t="str">
        <x:v>Mongolia</x:v>
      </x:c>
      <x:c r="C1086" s="20" t="str">
        <x:v>MNG</x:v>
      </x:c>
      <x:c r="D1086" s="20" t="str">
        <x:v>European Union</x:v>
      </x:c>
      <x:c r="E1086" s="20" t="str">
        <x:v>EU influence</x:v>
      </x:c>
      <x:c r="F1086" s="20" t="str">
        <x:v>Propaganda ecosystems</x:v>
      </x:c>
      <x:c r="G1086" s="384" t="n">
        <x:v>2</x:v>
      </x:c>
      <x:c r="H1086" s="396" t="n">
        <x:v>2</x:v>
      </x:c>
      <x:c r="I1086" s="20" t="str">
        <x:v>EEAS public diplomacy source register</x:v>
      </x:c>
      <x:c r="J1086" s="397" t="str">
        <x:v>https://www.eeas.europa.eu/eeas/public-diplomacy_en</x:v>
      </x:c>
      <x:c r="K1086" s="20" t="str">
        <x:v>Primary source-register URL; automated screening score</x:v>
      </x:c>
      <x:c r="L1086" s="20" t="str">
        <x:v>2026-05-20</x:v>
      </x:c>
      <x:c r="M1086" s="20" t="str">
        <x:v>2026-05-20</x:v>
      </x:c>
      <x:c r="N1086" s="20" t="str">
        <x:v>GPT-5.5 Pro</x:v>
      </x:c>
      <x:c r="O1086" s="20" t="str">
        <x:v>Needs review</x:v>
      </x:c>
      <x:c r="P1086" s="20" t="str">
        <x:v>Screening score for European Union / Propaganda ecosystems in Mongolia; verify with country-specific evidence before final use.</x:v>
      </x:c>
    </x:row>
    <x:row r="1087" ht="24" customHeight="1">
      <x:c r="A1087" s="20" t="str">
        <x:v>MNG|European Union|PMC presence</x:v>
      </x:c>
      <x:c r="B1087" s="20" t="str">
        <x:v>Mongolia</x:v>
      </x:c>
      <x:c r="C1087" s="20" t="str">
        <x:v>MNG</x:v>
      </x:c>
      <x:c r="D1087" s="20" t="str">
        <x:v>European Union</x:v>
      </x:c>
      <x:c r="E1087" s="20" t="str">
        <x:v>EU influence</x:v>
      </x:c>
      <x:c r="F1087" s="20" t="str">
        <x:v>PMC presence</x:v>
      </x:c>
      <x:c r="G1087" s="384" t="n">
        <x:v>0</x:v>
      </x:c>
      <x:c r="H1087" s="396" t="n">
        <x:v>1</x:v>
      </x:c>
      <x:c r="I1087" s="20" t="str">
        <x:v>EEAS CSDP missions source register</x:v>
      </x:c>
      <x:c r="J1087" s="397" t="str">
        <x:v>https://www.eeas.europa.eu/eeas/missions-and-operations_en</x:v>
      </x:c>
      <x:c r="K1087" s="20" t="str">
        <x:v>Primary source-register URL; automated screening score</x:v>
      </x:c>
      <x:c r="L1087" s="20" t="str">
        <x:v>2026-05-20</x:v>
      </x:c>
      <x:c r="M1087" s="20" t="str">
        <x:v>2026-05-20</x:v>
      </x:c>
      <x:c r="N1087" s="20" t="str">
        <x:v>GPT-5.5 Pro</x:v>
      </x:c>
      <x:c r="O1087" s="20" t="str">
        <x:v>Needs review</x:v>
      </x:c>
      <x:c r="P1087" s="20" t="str">
        <x:v>Screening score for European Union / PMC presence in Mongolia; verify with country-specific evidence before final use.</x:v>
      </x:c>
    </x:row>
    <x:row r="1088" ht="24" customHeight="1">
      <x:c r="A1088" s="20" t="str">
        <x:v>MNG|European Union|Election interference</x:v>
      </x:c>
      <x:c r="B1088" s="20" t="str">
        <x:v>Mongolia</x:v>
      </x:c>
      <x:c r="C1088" s="20" t="str">
        <x:v>MNG</x:v>
      </x:c>
      <x:c r="D1088" s="20" t="str">
        <x:v>European Union</x:v>
      </x:c>
      <x:c r="E1088" s="20" t="str">
        <x:v>EU influence</x:v>
      </x:c>
      <x:c r="F1088" s="20" t="str">
        <x:v>Election interference</x:v>
      </x:c>
      <x:c r="G1088" s="384" t="n">
        <x:v>1</x:v>
      </x:c>
      <x:c r="H1088" s="396" t="n">
        <x:v>2</x:v>
      </x:c>
      <x:c r="I1088" s="20" t="str">
        <x:v>EEAS EU election observation source register</x:v>
      </x:c>
      <x:c r="J1088" s="397" t="str">
        <x:v>https://www.eeas.europa.eu/eeas/eu-election-observation-missions-1_en?page_lang=en</x:v>
      </x:c>
      <x:c r="K1088" s="20" t="str">
        <x:v>Primary source-register URL; automated screening score</x:v>
      </x:c>
      <x:c r="L1088" s="20" t="str">
        <x:v>2026-05-20</x:v>
      </x:c>
      <x:c r="M1088" s="20" t="str">
        <x:v>2026-05-20</x:v>
      </x:c>
      <x:c r="N1088" s="20" t="str">
        <x:v>GPT-5.5 Pro</x:v>
      </x:c>
      <x:c r="O1088" s="20" t="str">
        <x:v>Needs review</x:v>
      </x:c>
      <x:c r="P1088" s="20" t="str">
        <x:v>Screening score for European Union / Election interference in Mongolia; verify with country-specific evidence before final use.</x:v>
      </x:c>
    </x:row>
    <x:row r="1089" ht="24" customHeight="1">
      <x:c r="A1089" s="20" t="str">
        <x:v>MNG|European Union|Security contractors</x:v>
      </x:c>
      <x:c r="B1089" s="20" t="str">
        <x:v>Mongolia</x:v>
      </x:c>
      <x:c r="C1089" s="20" t="str">
        <x:v>MNG</x:v>
      </x:c>
      <x:c r="D1089" s="20" t="str">
        <x:v>European Union</x:v>
      </x:c>
      <x:c r="E1089" s="20" t="str">
        <x:v>EU influence</x:v>
      </x:c>
      <x:c r="F1089" s="20" t="str">
        <x:v>Security contractors</x:v>
      </x:c>
      <x:c r="G1089" s="384" t="n">
        <x:v>2</x:v>
      </x:c>
      <x:c r="H1089" s="396" t="n">
        <x:v>2</x:v>
      </x:c>
      <x:c r="I1089" s="20" t="str">
        <x:v>EEAS CSDP / Global Gateway security source register</x:v>
      </x:c>
      <x:c r="J1089" s="397" t="str">
        <x:v>https://www.eeas.europa.eu/eeas/missions-and-operations_en</x:v>
      </x:c>
      <x:c r="K1089" s="20" t="str">
        <x:v>Primary source-register URL; automated screening score</x:v>
      </x:c>
      <x:c r="L1089" s="20" t="str">
        <x:v>2026-05-20</x:v>
      </x:c>
      <x:c r="M1089" s="20" t="str">
        <x:v>2026-05-20</x:v>
      </x:c>
      <x:c r="N1089" s="20" t="str">
        <x:v>GPT-5.5 Pro</x:v>
      </x:c>
      <x:c r="O1089" s="20" t="str">
        <x:v>Needs review</x:v>
      </x:c>
      <x:c r="P1089" s="20" t="str">
        <x:v>Screening score for European Union / Security contractors in Mongolia; verify with country-specific evidence before final use.</x:v>
      </x:c>
    </x:row>
    <x:row r="1090" ht="24" customHeight="1">
      <x:c r="A1090" s="20" t="str">
        <x:v>MAR|Russia|Propaganda ecosystems</x:v>
      </x:c>
      <x:c r="B1090" s="20" t="str">
        <x:v>Morocco</x:v>
      </x:c>
      <x:c r="C1090" s="20" t="str">
        <x:v>MAR</x:v>
      </x:c>
      <x:c r="D1090" s="20" t="str">
        <x:v>Russia</x:v>
      </x:c>
      <x:c r="E1090" s="20" t="str">
        <x:v>Russian influence</x:v>
      </x:c>
      <x:c r="F1090" s="20" t="str">
        <x:v>Propaganda ecosystems</x:v>
      </x:c>
      <x:c r="G1090" s="384" t="n">
        <x:v>5</x:v>
      </x:c>
      <x:c r="H1090" s="396" t="n">
        <x:v>3</x:v>
      </x:c>
      <x:c r="I1090" s="20" t="str">
        <x:v>EEAS/EUvsDisinfo FIMI source register</x:v>
      </x:c>
      <x:c r="J1090" s="397" t="str">
        <x:v>https://www.eeas.europa.eu/eeas/4th-eeas-annual-report-foreign-information-manipulation-and-interference-threats_en</x:v>
      </x:c>
      <x:c r="K1090" s="20" t="str">
        <x:v>Primary source-register URL; automated screening score</x:v>
      </x:c>
      <x:c r="L1090" s="20" t="str">
        <x:v>2026-05-20</x:v>
      </x:c>
      <x:c r="M1090" s="20" t="str">
        <x:v>2026-05-20</x:v>
      </x:c>
      <x:c r="N1090" s="20" t="str">
        <x:v>GPT-5.5 Pro</x:v>
      </x:c>
      <x:c r="O1090" s="20" t="str">
        <x:v>Needs review</x:v>
      </x:c>
      <x:c r="P1090" s="20" t="str">
        <x:v>Screening score for Russia / Propaganda ecosystems in Morocco; verify with country-specific evidence before final use.</x:v>
      </x:c>
    </x:row>
    <x:row r="1091" ht="24" customHeight="1">
      <x:c r="A1091" s="20" t="str">
        <x:v>MAR|Russia|PMC presence</x:v>
      </x:c>
      <x:c r="B1091" s="20" t="str">
        <x:v>Morocco</x:v>
      </x:c>
      <x:c r="C1091" s="20" t="str">
        <x:v>MAR</x:v>
      </x:c>
      <x:c r="D1091" s="20" t="str">
        <x:v>Russia</x:v>
      </x:c>
      <x:c r="E1091" s="20" t="str">
        <x:v>Russian influence</x:v>
      </x:c>
      <x:c r="F1091" s="20" t="str">
        <x:v>PMC presence</x:v>
      </x:c>
      <x:c r="G1091" s="384" t="n">
        <x:v>1</x:v>
      </x:c>
      <x:c r="H1091" s="396" t="n">
        <x:v>2</x:v>
      </x:c>
      <x:c r="I1091" s="20" t="str">
        <x:v>Treasury and Council of the EU Wagner/PMC source register</x:v>
      </x:c>
      <x:c r="J1091" s="397" t="str">
        <x:v>https://www.consilium.europa.eu/en/press/press-releases/2023/02/25/wagner-group-council-adds-11-individuals-and-7-entities-to-eu-sanctions-lists/</x:v>
      </x:c>
      <x:c r="K1091" s="20" t="str">
        <x:v>Primary source-register URL; automated screening score</x:v>
      </x:c>
      <x:c r="L1091" s="20" t="str">
        <x:v>2026-05-20</x:v>
      </x:c>
      <x:c r="M1091" s="20" t="str">
        <x:v>2026-05-20</x:v>
      </x:c>
      <x:c r="N1091" s="20" t="str">
        <x:v>GPT-5.5 Pro</x:v>
      </x:c>
      <x:c r="O1091" s="20" t="str">
        <x:v>Needs review</x:v>
      </x:c>
      <x:c r="P1091" s="20" t="str">
        <x:v>Screening score for Russia / PMC presence in Morocco; verify with country-specific evidence before final use.</x:v>
      </x:c>
    </x:row>
    <x:row r="1092" ht="24" customHeight="1">
      <x:c r="A1092" s="20" t="str">
        <x:v>MAR|Russia|Election interference</x:v>
      </x:c>
      <x:c r="B1092" s="20" t="str">
        <x:v>Morocco</x:v>
      </x:c>
      <x:c r="C1092" s="20" t="str">
        <x:v>MAR</x:v>
      </x:c>
      <x:c r="D1092" s="20" t="str">
        <x:v>Russia</x:v>
      </x:c>
      <x:c r="E1092" s="20" t="str">
        <x:v>Russian influence</x:v>
      </x:c>
      <x:c r="F1092" s="20" t="str">
        <x:v>Election interference</x:v>
      </x:c>
      <x:c r="G1092" s="384" t="n">
        <x:v>1</x:v>
      </x:c>
      <x:c r="H1092" s="396" t="n">
        <x:v>2</x:v>
      </x:c>
      <x:c r="I1092" s="20" t="str">
        <x:v>ODNI/EEAS election-FIMI source register</x:v>
      </x:c>
      <x:c r="J1092" s="397" t="str">
        <x:v>https://www.dni.gov/files/ODNI/documents/assessments/ATA-2026-Unclassified-Report.pdf</x:v>
      </x:c>
      <x:c r="K1092" s="20" t="str">
        <x:v>Primary source-register URL; automated screening score</x:v>
      </x:c>
      <x:c r="L1092" s="20" t="str">
        <x:v>2026-05-20</x:v>
      </x:c>
      <x:c r="M1092" s="20" t="str">
        <x:v>2026-05-20</x:v>
      </x:c>
      <x:c r="N1092" s="20" t="str">
        <x:v>GPT-5.5 Pro</x:v>
      </x:c>
      <x:c r="O1092" s="20" t="str">
        <x:v>Needs review</x:v>
      </x:c>
      <x:c r="P1092" s="20" t="str">
        <x:v>Screening score for Russia / Election interference in Morocco; verify with country-specific evidence before final use.</x:v>
      </x:c>
    </x:row>
    <x:row r="1093" ht="24" customHeight="1">
      <x:c r="A1093" s="20" t="str">
        <x:v>MAR|Russia|Security contractors</x:v>
      </x:c>
      <x:c r="B1093" s="20" t="str">
        <x:v>Morocco</x:v>
      </x:c>
      <x:c r="C1093" s="20" t="str">
        <x:v>MAR</x:v>
      </x:c>
      <x:c r="D1093" s="20" t="str">
        <x:v>Russia</x:v>
      </x:c>
      <x:c r="E1093" s="20" t="str">
        <x:v>Russian influence</x:v>
      </x:c>
      <x:c r="F1093" s="20" t="str">
        <x:v>Security contractors</x:v>
      </x:c>
      <x:c r="G1093" s="384" t="n">
        <x:v>1</x:v>
      </x:c>
      <x:c r="H1093" s="396" t="n">
        <x:v>2</x:v>
      </x:c>
      <x:c r="I1093" s="20" t="str">
        <x:v>Council of the EU/Treasury Wagner-security source register</x:v>
      </x:c>
      <x:c r="J1093" s="397" t="str">
        <x:v>https://www.consilium.europa.eu/en/press/press-releases/2023/02/25/wagner-group-council-adds-11-individuals-and-7-entities-to-eu-sanctions-lists/</x:v>
      </x:c>
      <x:c r="K1093" s="20" t="str">
        <x:v>Primary source-register URL; automated screening score</x:v>
      </x:c>
      <x:c r="L1093" s="20" t="str">
        <x:v>2026-05-20</x:v>
      </x:c>
      <x:c r="M1093" s="20" t="str">
        <x:v>2026-05-20</x:v>
      </x:c>
      <x:c r="N1093" s="20" t="str">
        <x:v>GPT-5.5 Pro</x:v>
      </x:c>
      <x:c r="O1093" s="20" t="str">
        <x:v>Needs review</x:v>
      </x:c>
      <x:c r="P1093" s="20" t="str">
        <x:v>Screening score for Russia / Security contractors in Morocco; verify with country-specific evidence before final use.</x:v>
      </x:c>
    </x:row>
    <x:row r="1094" ht="24" customHeight="1">
      <x:c r="A1094" s="20" t="str">
        <x:v>MAR|China|Propaganda ecosystems</x:v>
      </x:c>
      <x:c r="B1094" s="20" t="str">
        <x:v>Morocco</x:v>
      </x:c>
      <x:c r="C1094" s="20" t="str">
        <x:v>MAR</x:v>
      </x:c>
      <x:c r="D1094" s="20" t="str">
        <x:v>China</x:v>
      </x:c>
      <x:c r="E1094" s="20" t="str">
        <x:v>Chinese influence</x:v>
      </x:c>
      <x:c r="F1094" s="20" t="str">
        <x:v>Propaganda ecosystems</x:v>
      </x:c>
      <x:c r="G1094" s="384" t="n">
        <x:v>5</x:v>
      </x:c>
      <x:c r="H1094" s="396" t="n">
        <x:v>3</x:v>
      </x:c>
      <x:c r="I1094" s="20" t="str">
        <x:v>EEAS/ODNI China FIMI source register</x:v>
      </x:c>
      <x:c r="J1094" s="397" t="str">
        <x:v>https://www.eeas.europa.eu/eeas/4th-eeas-annual-report-foreign-information-manipulation-and-interference-threats_en</x:v>
      </x:c>
      <x:c r="K1094" s="20" t="str">
        <x:v>Primary source-register URL; automated screening score</x:v>
      </x:c>
      <x:c r="L1094" s="20" t="str">
        <x:v>2026-05-20</x:v>
      </x:c>
      <x:c r="M1094" s="20" t="str">
        <x:v>2026-05-20</x:v>
      </x:c>
      <x:c r="N1094" s="20" t="str">
        <x:v>GPT-5.5 Pro</x:v>
      </x:c>
      <x:c r="O1094" s="20" t="str">
        <x:v>Needs review</x:v>
      </x:c>
      <x:c r="P1094" s="20" t="str">
        <x:v>Screening score for China / Propaganda ecosystems in Morocco; verify with country-specific evidence before final use.</x:v>
      </x:c>
    </x:row>
    <x:row r="1095" ht="24" customHeight="1">
      <x:c r="A1095" s="20" t="str">
        <x:v>MAR|China|PMC presence</x:v>
      </x:c>
      <x:c r="B1095" s="20" t="str">
        <x:v>Morocco</x:v>
      </x:c>
      <x:c r="C1095" s="20" t="str">
        <x:v>MAR</x:v>
      </x:c>
      <x:c r="D1095" s="20" t="str">
        <x:v>China</x:v>
      </x:c>
      <x:c r="E1095" s="20" t="str">
        <x:v>Chinese influence</x:v>
      </x:c>
      <x:c r="F1095" s="20" t="str">
        <x:v>PMC presence</x:v>
      </x:c>
      <x:c r="G1095" s="384" t="n">
        <x:v>1</x:v>
      </x:c>
      <x:c r="H1095" s="396" t="n">
        <x:v>2</x:v>
      </x:c>
      <x:c r="I1095" s="20" t="str">
        <x:v>MERICS/Carnegie Chinese overseas PSC source register</x:v>
      </x:c>
      <x:c r="J1095" s="397" t="str">
        <x:v>https://merics.org/en/report/guardians-belt-and-road</x:v>
      </x:c>
      <x:c r="K1095" s="20" t="str">
        <x:v>Primary source-register URL; automated screening score</x:v>
      </x:c>
      <x:c r="L1095" s="20" t="str">
        <x:v>2026-05-20</x:v>
      </x:c>
      <x:c r="M1095" s="20" t="str">
        <x:v>2026-05-20</x:v>
      </x:c>
      <x:c r="N1095" s="20" t="str">
        <x:v>GPT-5.5 Pro</x:v>
      </x:c>
      <x:c r="O1095" s="20" t="str">
        <x:v>Needs review</x:v>
      </x:c>
      <x:c r="P1095" s="20" t="str">
        <x:v>Screening score for China / PMC presence in Morocco; verify with country-specific evidence before final use.</x:v>
      </x:c>
    </x:row>
    <x:row r="1096" ht="24" customHeight="1">
      <x:c r="A1096" s="20" t="str">
        <x:v>MAR|China|Election interference</x:v>
      </x:c>
      <x:c r="B1096" s="20" t="str">
        <x:v>Morocco</x:v>
      </x:c>
      <x:c r="C1096" s="20" t="str">
        <x:v>MAR</x:v>
      </x:c>
      <x:c r="D1096" s="20" t="str">
        <x:v>China</x:v>
      </x:c>
      <x:c r="E1096" s="20" t="str">
        <x:v>Chinese influence</x:v>
      </x:c>
      <x:c r="F1096" s="20" t="str">
        <x:v>Election interference</x:v>
      </x:c>
      <x:c r="G1096" s="384" t="n">
        <x:v>1</x:v>
      </x:c>
      <x:c r="H1096" s="396" t="n">
        <x:v>2</x:v>
      </x:c>
      <x:c r="I1096" s="20" t="str">
        <x:v>EEAS/ODNI China election-FIMI source register</x:v>
      </x:c>
      <x:c r="J1096" s="397" t="str">
        <x:v>https://www.eeas.europa.eu/eeas/4th-eeas-annual-report-foreign-information-manipulation-and-interference-threats_en</x:v>
      </x:c>
      <x:c r="K1096" s="20" t="str">
        <x:v>Primary source-register URL; automated screening score</x:v>
      </x:c>
      <x:c r="L1096" s="20" t="str">
        <x:v>2026-05-20</x:v>
      </x:c>
      <x:c r="M1096" s="20" t="str">
        <x:v>2026-05-20</x:v>
      </x:c>
      <x:c r="N1096" s="20" t="str">
        <x:v>GPT-5.5 Pro</x:v>
      </x:c>
      <x:c r="O1096" s="20" t="str">
        <x:v>Needs review</x:v>
      </x:c>
      <x:c r="P1096" s="20" t="str">
        <x:v>Screening score for China / Election interference in Morocco; verify with country-specific evidence before final use.</x:v>
      </x:c>
    </x:row>
    <x:row r="1097" ht="24" customHeight="1">
      <x:c r="A1097" s="20" t="str">
        <x:v>MAR|China|Security contractors</x:v>
      </x:c>
      <x:c r="B1097" s="20" t="str">
        <x:v>Morocco</x:v>
      </x:c>
      <x:c r="C1097" s="20" t="str">
        <x:v>MAR</x:v>
      </x:c>
      <x:c r="D1097" s="20" t="str">
        <x:v>China</x:v>
      </x:c>
      <x:c r="E1097" s="20" t="str">
        <x:v>Chinese influence</x:v>
      </x:c>
      <x:c r="F1097" s="20" t="str">
        <x:v>Security contractors</x:v>
      </x:c>
      <x:c r="G1097" s="384" t="n">
        <x:v>1</x:v>
      </x:c>
      <x:c r="H1097" s="396" t="n">
        <x:v>2</x:v>
      </x:c>
      <x:c r="I1097" s="20" t="str">
        <x:v>MERICS/Carnegie Chinese security contractor source register</x:v>
      </x:c>
      <x:c r="J1097" s="397" t="str">
        <x:v>https://merics.org/en/report/guardians-belt-and-road</x:v>
      </x:c>
      <x:c r="K1097" s="20" t="str">
        <x:v>Primary source-register URL; automated screening score</x:v>
      </x:c>
      <x:c r="L1097" s="20" t="str">
        <x:v>2026-05-20</x:v>
      </x:c>
      <x:c r="M1097" s="20" t="str">
        <x:v>2026-05-20</x:v>
      </x:c>
      <x:c r="N1097" s="20" t="str">
        <x:v>GPT-5.5 Pro</x:v>
      </x:c>
      <x:c r="O1097" s="20" t="str">
        <x:v>Needs review</x:v>
      </x:c>
      <x:c r="P1097" s="20" t="str">
        <x:v>Screening score for China / Security contractors in Morocco; verify with country-specific evidence before final use.</x:v>
      </x:c>
    </x:row>
    <x:row r="1098" ht="24" customHeight="1">
      <x:c r="A1098" s="20" t="str">
        <x:v>MAR|United States|Propaganda ecosystems</x:v>
      </x:c>
      <x:c r="B1098" s="20" t="str">
        <x:v>Morocco</x:v>
      </x:c>
      <x:c r="C1098" s="20" t="str">
        <x:v>MAR</x:v>
      </x:c>
      <x:c r="D1098" s="20" t="str">
        <x:v>United States</x:v>
      </x:c>
      <x:c r="E1098" s="20" t="str">
        <x:v>American influence</x:v>
      </x:c>
      <x:c r="F1098" s="20" t="str">
        <x:v>Propaganda ecosystems</x:v>
      </x:c>
      <x:c r="G1098" s="384" t="n">
        <x:v>4</x:v>
      </x:c>
      <x:c r="H1098" s="396" t="n">
        <x:v>3</x:v>
      </x:c>
      <x:c r="I1098" s="20" t="str">
        <x:v>USAGM public media source register</x:v>
      </x:c>
      <x:c r="J1098" s="397" t="str">
        <x:v>https://www.usagm.gov/our-work/strategy-and-results/strategic-priorities/research-reports/</x:v>
      </x:c>
      <x:c r="K1098" s="20" t="str">
        <x:v>Primary source-register URL; automated screening score</x:v>
      </x:c>
      <x:c r="L1098" s="20" t="str">
        <x:v>2026-05-20</x:v>
      </x:c>
      <x:c r="M1098" s="20" t="str">
        <x:v>2026-05-20</x:v>
      </x:c>
      <x:c r="N1098" s="20" t="str">
        <x:v>GPT-5.5 Pro</x:v>
      </x:c>
      <x:c r="O1098" s="20" t="str">
        <x:v>Needs review</x:v>
      </x:c>
      <x:c r="P1098" s="20" t="str">
        <x:v>Screening score for United States / Propaganda ecosystems in Morocco; verify with country-specific evidence before final use.</x:v>
      </x:c>
    </x:row>
    <x:row r="1099" ht="24" customHeight="1">
      <x:c r="A1099" s="20" t="str">
        <x:v>MAR|United States|PMC presence</x:v>
      </x:c>
      <x:c r="B1099" s="20" t="str">
        <x:v>Morocco</x:v>
      </x:c>
      <x:c r="C1099" s="20" t="str">
        <x:v>MAR</x:v>
      </x:c>
      <x:c r="D1099" s="20" t="str">
        <x:v>United States</x:v>
      </x:c>
      <x:c r="E1099" s="20" t="str">
        <x:v>American influence</x:v>
      </x:c>
      <x:c r="F1099" s="20" t="str">
        <x:v>PMC presence</x:v>
      </x:c>
      <x:c r="G1099" s="384" t="n">
        <x:v>2</x:v>
      </x:c>
      <x:c r="H1099" s="396" t="n">
        <x:v>2</x:v>
      </x:c>
      <x:c r="I1099" s="20" t="str">
        <x:v>SAM/Greenbook U.S. security assistance contractor source register</x:v>
      </x:c>
      <x:c r="J1099" s="397" t="str">
        <x:v>https://internationalpolicy.org/programs/sam/</x:v>
      </x:c>
      <x:c r="K1099" s="20" t="str">
        <x:v>Primary source-register URL; automated screening score</x:v>
      </x:c>
      <x:c r="L1099" s="20" t="str">
        <x:v>2026-05-20</x:v>
      </x:c>
      <x:c r="M1099" s="20" t="str">
        <x:v>2026-05-20</x:v>
      </x:c>
      <x:c r="N1099" s="20" t="str">
        <x:v>GPT-5.5 Pro</x:v>
      </x:c>
      <x:c r="O1099" s="20" t="str">
        <x:v>Needs review</x:v>
      </x:c>
      <x:c r="P1099" s="20" t="str">
        <x:v>Screening score for United States / PMC presence in Morocco; verify with country-specific evidence before final use.</x:v>
      </x:c>
    </x:row>
    <x:row r="1100" ht="24" customHeight="1">
      <x:c r="A1100" s="20" t="str">
        <x:v>MAR|United States|Election interference</x:v>
      </x:c>
      <x:c r="B1100" s="20" t="str">
        <x:v>Morocco</x:v>
      </x:c>
      <x:c r="C1100" s="20" t="str">
        <x:v>MAR</x:v>
      </x:c>
      <x:c r="D1100" s="20" t="str">
        <x:v>United States</x:v>
      </x:c>
      <x:c r="E1100" s="20" t="str">
        <x:v>American influence</x:v>
      </x:c>
      <x:c r="F1100" s="20" t="str">
        <x:v>Election interference</x:v>
      </x:c>
      <x:c r="G1100" s="384" t="n">
        <x:v>2</x:v>
      </x:c>
      <x:c r="H1100" s="396" t="n">
        <x:v>2</x:v>
      </x:c>
      <x:c r="I1100" s="20" t="str">
        <x:v>NED/Greenbook democracy assistance source register</x:v>
      </x:c>
      <x:c r="J1100" s="397" t="str">
        <x:v>https://www.ned.org/ned-grantmaking/</x:v>
      </x:c>
      <x:c r="K1100" s="20" t="str">
        <x:v>Primary source-register URL; automated screening score</x:v>
      </x:c>
      <x:c r="L1100" s="20" t="str">
        <x:v>2026-05-20</x:v>
      </x:c>
      <x:c r="M1100" s="20" t="str">
        <x:v>2026-05-20</x:v>
      </x:c>
      <x:c r="N1100" s="20" t="str">
        <x:v>GPT-5.5 Pro</x:v>
      </x:c>
      <x:c r="O1100" s="20" t="str">
        <x:v>Needs review</x:v>
      </x:c>
      <x:c r="P1100" s="20" t="str">
        <x:v>Screening score for United States / Election interference in Morocco; verify with country-specific evidence before final use.</x:v>
      </x:c>
    </x:row>
    <x:row r="1101" ht="24" customHeight="1">
      <x:c r="A1101" s="20" t="str">
        <x:v>MAR|United States|Security contractors</x:v>
      </x:c>
      <x:c r="B1101" s="20" t="str">
        <x:v>Morocco</x:v>
      </x:c>
      <x:c r="C1101" s="20" t="str">
        <x:v>MAR</x:v>
      </x:c>
      <x:c r="D1101" s="20" t="str">
        <x:v>United States</x:v>
      </x:c>
      <x:c r="E1101" s="20" t="str">
        <x:v>American influence</x:v>
      </x:c>
      <x:c r="F1101" s="20" t="str">
        <x:v>Security contractors</x:v>
      </x:c>
      <x:c r="G1101" s="384" t="n">
        <x:v>3</x:v>
      </x:c>
      <x:c r="H1101" s="396" t="n">
        <x:v>3</x:v>
      </x:c>
      <x:c r="I1101" s="20" t="str">
        <x:v>SAM/Greenbook U.S. security contractor source register</x:v>
      </x:c>
      <x:c r="J1101" s="397" t="str">
        <x:v>https://internationalpolicy.org/programs/sam/</x:v>
      </x:c>
      <x:c r="K1101" s="20" t="str">
        <x:v>Primary source-register URL; automated screening score</x:v>
      </x:c>
      <x:c r="L1101" s="20" t="str">
        <x:v>2026-05-20</x:v>
      </x:c>
      <x:c r="M1101" s="20" t="str">
        <x:v>2026-05-20</x:v>
      </x:c>
      <x:c r="N1101" s="20" t="str">
        <x:v>GPT-5.5 Pro</x:v>
      </x:c>
      <x:c r="O1101" s="20" t="str">
        <x:v>Needs review</x:v>
      </x:c>
      <x:c r="P1101" s="20" t="str">
        <x:v>Screening score for United States / Security contractors in Morocco; verify with country-specific evidence before final use.</x:v>
      </x:c>
    </x:row>
    <x:row r="1102" ht="24" customHeight="1">
      <x:c r="A1102" s="20" t="str">
        <x:v>MAR|European Union|Propaganda ecosystems</x:v>
      </x:c>
      <x:c r="B1102" s="20" t="str">
        <x:v>Morocco</x:v>
      </x:c>
      <x:c r="C1102" s="20" t="str">
        <x:v>MAR</x:v>
      </x:c>
      <x:c r="D1102" s="20" t="str">
        <x:v>European Union</x:v>
      </x:c>
      <x:c r="E1102" s="20" t="str">
        <x:v>EU influence</x:v>
      </x:c>
      <x:c r="F1102" s="20" t="str">
        <x:v>Propaganda ecosystems</x:v>
      </x:c>
      <x:c r="G1102" s="384" t="n">
        <x:v>3</x:v>
      </x:c>
      <x:c r="H1102" s="396" t="n">
        <x:v>3</x:v>
      </x:c>
      <x:c r="I1102" s="20" t="str">
        <x:v>EEAS public diplomacy source register</x:v>
      </x:c>
      <x:c r="J1102" s="397" t="str">
        <x:v>https://www.eeas.europa.eu/eeas/public-diplomacy_en</x:v>
      </x:c>
      <x:c r="K1102" s="20" t="str">
        <x:v>Primary source-register URL; automated screening score</x:v>
      </x:c>
      <x:c r="L1102" s="20" t="str">
        <x:v>2026-05-20</x:v>
      </x:c>
      <x:c r="M1102" s="20" t="str">
        <x:v>2026-05-20</x:v>
      </x:c>
      <x:c r="N1102" s="20" t="str">
        <x:v>GPT-5.5 Pro</x:v>
      </x:c>
      <x:c r="O1102" s="20" t="str">
        <x:v>Needs review</x:v>
      </x:c>
      <x:c r="P1102" s="20" t="str">
        <x:v>Screening score for European Union / Propaganda ecosystems in Morocco; verify with country-specific evidence before final use.</x:v>
      </x:c>
    </x:row>
    <x:row r="1103" ht="24" customHeight="1">
      <x:c r="A1103" s="20" t="str">
        <x:v>MAR|European Union|PMC presence</x:v>
      </x:c>
      <x:c r="B1103" s="20" t="str">
        <x:v>Morocco</x:v>
      </x:c>
      <x:c r="C1103" s="20" t="str">
        <x:v>MAR</x:v>
      </x:c>
      <x:c r="D1103" s="20" t="str">
        <x:v>European Union</x:v>
      </x:c>
      <x:c r="E1103" s="20" t="str">
        <x:v>EU influence</x:v>
      </x:c>
      <x:c r="F1103" s="20" t="str">
        <x:v>PMC presence</x:v>
      </x:c>
      <x:c r="G1103" s="384" t="n">
        <x:v>0</x:v>
      </x:c>
      <x:c r="H1103" s="396" t="n">
        <x:v>1</x:v>
      </x:c>
      <x:c r="I1103" s="20" t="str">
        <x:v>EEAS CSDP missions source register</x:v>
      </x:c>
      <x:c r="J1103" s="397" t="str">
        <x:v>https://www.eeas.europa.eu/eeas/missions-and-operations_en</x:v>
      </x:c>
      <x:c r="K1103" s="20" t="str">
        <x:v>Primary source-register URL; automated screening score</x:v>
      </x:c>
      <x:c r="L1103" s="20" t="str">
        <x:v>2026-05-20</x:v>
      </x:c>
      <x:c r="M1103" s="20" t="str">
        <x:v>2026-05-20</x:v>
      </x:c>
      <x:c r="N1103" s="20" t="str">
        <x:v>GPT-5.5 Pro</x:v>
      </x:c>
      <x:c r="O1103" s="20" t="str">
        <x:v>Needs review</x:v>
      </x:c>
      <x:c r="P1103" s="20" t="str">
        <x:v>Screening score for European Union / PMC presence in Morocco; verify with country-specific evidence before final use.</x:v>
      </x:c>
    </x:row>
    <x:row r="1104" ht="24" customHeight="1">
      <x:c r="A1104" s="20" t="str">
        <x:v>MAR|European Union|Election interference</x:v>
      </x:c>
      <x:c r="B1104" s="20" t="str">
        <x:v>Morocco</x:v>
      </x:c>
      <x:c r="C1104" s="20" t="str">
        <x:v>MAR</x:v>
      </x:c>
      <x:c r="D1104" s="20" t="str">
        <x:v>European Union</x:v>
      </x:c>
      <x:c r="E1104" s="20" t="str">
        <x:v>EU influence</x:v>
      </x:c>
      <x:c r="F1104" s="20" t="str">
        <x:v>Election interference</x:v>
      </x:c>
      <x:c r="G1104" s="384" t="n">
        <x:v>1</x:v>
      </x:c>
      <x:c r="H1104" s="396" t="n">
        <x:v>2</x:v>
      </x:c>
      <x:c r="I1104" s="20" t="str">
        <x:v>EEAS EU election observation source register</x:v>
      </x:c>
      <x:c r="J1104" s="397" t="str">
        <x:v>https://www.eeas.europa.eu/eeas/eu-election-observation-missions-1_en?page_lang=en</x:v>
      </x:c>
      <x:c r="K1104" s="20" t="str">
        <x:v>Primary source-register URL; automated screening score</x:v>
      </x:c>
      <x:c r="L1104" s="20" t="str">
        <x:v>2026-05-20</x:v>
      </x:c>
      <x:c r="M1104" s="20" t="str">
        <x:v>2026-05-20</x:v>
      </x:c>
      <x:c r="N1104" s="20" t="str">
        <x:v>GPT-5.5 Pro</x:v>
      </x:c>
      <x:c r="O1104" s="20" t="str">
        <x:v>Needs review</x:v>
      </x:c>
      <x:c r="P1104" s="20" t="str">
        <x:v>Screening score for European Union / Election interference in Morocco; verify with country-specific evidence before final use.</x:v>
      </x:c>
    </x:row>
    <x:row r="1105" ht="24" customHeight="1">
      <x:c r="A1105" s="20" t="str">
        <x:v>MAR|European Union|Security contractors</x:v>
      </x:c>
      <x:c r="B1105" s="20" t="str">
        <x:v>Morocco</x:v>
      </x:c>
      <x:c r="C1105" s="20" t="str">
        <x:v>MAR</x:v>
      </x:c>
      <x:c r="D1105" s="20" t="str">
        <x:v>European Union</x:v>
      </x:c>
      <x:c r="E1105" s="20" t="str">
        <x:v>EU influence</x:v>
      </x:c>
      <x:c r="F1105" s="20" t="str">
        <x:v>Security contractors</x:v>
      </x:c>
      <x:c r="G1105" s="384" t="n">
        <x:v>2</x:v>
      </x:c>
      <x:c r="H1105" s="396" t="n">
        <x:v>2</x:v>
      </x:c>
      <x:c r="I1105" s="20" t="str">
        <x:v>EEAS CSDP / Global Gateway security source register</x:v>
      </x:c>
      <x:c r="J1105" s="397" t="str">
        <x:v>https://www.eeas.europa.eu/eeas/missions-and-operations_en</x:v>
      </x:c>
      <x:c r="K1105" s="20" t="str">
        <x:v>Primary source-register URL; automated screening score</x:v>
      </x:c>
      <x:c r="L1105" s="20" t="str">
        <x:v>2026-05-20</x:v>
      </x:c>
      <x:c r="M1105" s="20" t="str">
        <x:v>2026-05-20</x:v>
      </x:c>
      <x:c r="N1105" s="20" t="str">
        <x:v>GPT-5.5 Pro</x:v>
      </x:c>
      <x:c r="O1105" s="20" t="str">
        <x:v>Needs review</x:v>
      </x:c>
      <x:c r="P1105" s="20" t="str">
        <x:v>Screening score for European Union / Security contractors in Morocco; verify with country-specific evidence before final use.</x:v>
      </x:c>
    </x:row>
    <x:row r="1106" ht="24" customHeight="1">
      <x:c r="A1106" s="20" t="str">
        <x:v>MOZ|Russia|Propaganda ecosystems</x:v>
      </x:c>
      <x:c r="B1106" s="20" t="str">
        <x:v>Mozambique</x:v>
      </x:c>
      <x:c r="C1106" s="20" t="str">
        <x:v>MOZ</x:v>
      </x:c>
      <x:c r="D1106" s="20" t="str">
        <x:v>Russia</x:v>
      </x:c>
      <x:c r="E1106" s="20" t="str">
        <x:v>Russian influence</x:v>
      </x:c>
      <x:c r="F1106" s="20" t="str">
        <x:v>Propaganda ecosystems</x:v>
      </x:c>
      <x:c r="G1106" s="384" t="n">
        <x:v>4</x:v>
      </x:c>
      <x:c r="H1106" s="396" t="n">
        <x:v>3</x:v>
      </x:c>
      <x:c r="I1106" s="20" t="str">
        <x:v>EEAS/EUvsDisinfo FIMI source register</x:v>
      </x:c>
      <x:c r="J1106" s="397" t="str">
        <x:v>https://www.eeas.europa.eu/eeas/4th-eeas-annual-report-foreign-information-manipulation-and-interference-threats_en</x:v>
      </x:c>
      <x:c r="K1106" s="20" t="str">
        <x:v>Primary source-register URL; automated screening score</x:v>
      </x:c>
      <x:c r="L1106" s="20" t="str">
        <x:v>2026-05-20</x:v>
      </x:c>
      <x:c r="M1106" s="20" t="str">
        <x:v>2026-05-20</x:v>
      </x:c>
      <x:c r="N1106" s="20" t="str">
        <x:v>GPT-5.5 Pro</x:v>
      </x:c>
      <x:c r="O1106" s="20" t="str">
        <x:v>Needs review</x:v>
      </x:c>
      <x:c r="P1106" s="20" t="str">
        <x:v>Screening score for Russia / Propaganda ecosystems in Mozambique; verify with country-specific evidence before final use.</x:v>
      </x:c>
    </x:row>
    <x:row r="1107" ht="24" customHeight="1">
      <x:c r="A1107" s="20" t="str">
        <x:v>MOZ|Russia|PMC presence</x:v>
      </x:c>
      <x:c r="B1107" s="20" t="str">
        <x:v>Mozambique</x:v>
      </x:c>
      <x:c r="C1107" s="20" t="str">
        <x:v>MOZ</x:v>
      </x:c>
      <x:c r="D1107" s="20" t="str">
        <x:v>Russia</x:v>
      </x:c>
      <x:c r="E1107" s="20" t="str">
        <x:v>Russian influence</x:v>
      </x:c>
      <x:c r="F1107" s="20" t="str">
        <x:v>PMC presence</x:v>
      </x:c>
      <x:c r="G1107" s="384" t="n">
        <x:v>5</x:v>
      </x:c>
      <x:c r="H1107" s="396" t="n">
        <x:v>3</x:v>
      </x:c>
      <x:c r="I1107" s="20" t="str">
        <x:v>Treasury and Council of the EU Wagner/PMC source register</x:v>
      </x:c>
      <x:c r="J1107" s="397" t="str">
        <x:v>https://www.consilium.europa.eu/en/press/press-releases/2023/02/25/wagner-group-council-adds-11-individuals-and-7-entities-to-eu-sanctions-lists/</x:v>
      </x:c>
      <x:c r="K1107" s="20" t="str">
        <x:v>Primary source-register URL; automated screening score</x:v>
      </x:c>
      <x:c r="L1107" s="20" t="str">
        <x:v>2026-05-20</x:v>
      </x:c>
      <x:c r="M1107" s="20" t="str">
        <x:v>2026-05-20</x:v>
      </x:c>
      <x:c r="N1107" s="20" t="str">
        <x:v>GPT-5.5 Pro</x:v>
      </x:c>
      <x:c r="O1107" s="20" t="str">
        <x:v>Needs review</x:v>
      </x:c>
      <x:c r="P1107" s="20" t="str">
        <x:v>Screening score for Russia / PMC presence in Mozambique; verify with country-specific evidence before final use.</x:v>
      </x:c>
    </x:row>
    <x:row r="1108" ht="24" customHeight="1">
      <x:c r="A1108" s="20" t="str">
        <x:v>MOZ|Russia|Election interference</x:v>
      </x:c>
      <x:c r="B1108" s="20" t="str">
        <x:v>Mozambique</x:v>
      </x:c>
      <x:c r="C1108" s="20" t="str">
        <x:v>MOZ</x:v>
      </x:c>
      <x:c r="D1108" s="20" t="str">
        <x:v>Russia</x:v>
      </x:c>
      <x:c r="E1108" s="20" t="str">
        <x:v>Russian influence</x:v>
      </x:c>
      <x:c r="F1108" s="20" t="str">
        <x:v>Election interference</x:v>
      </x:c>
      <x:c r="G1108" s="384" t="n">
        <x:v>1</x:v>
      </x:c>
      <x:c r="H1108" s="396" t="n">
        <x:v>2</x:v>
      </x:c>
      <x:c r="I1108" s="20" t="str">
        <x:v>ODNI/EEAS election-FIMI source register</x:v>
      </x:c>
      <x:c r="J1108" s="397" t="str">
        <x:v>https://www.dni.gov/files/ODNI/documents/assessments/ATA-2026-Unclassified-Report.pdf</x:v>
      </x:c>
      <x:c r="K1108" s="20" t="str">
        <x:v>Primary source-register URL; automated screening score</x:v>
      </x:c>
      <x:c r="L1108" s="20" t="str">
        <x:v>2026-05-20</x:v>
      </x:c>
      <x:c r="M1108" s="20" t="str">
        <x:v>2026-05-20</x:v>
      </x:c>
      <x:c r="N1108" s="20" t="str">
        <x:v>GPT-5.5 Pro</x:v>
      </x:c>
      <x:c r="O1108" s="20" t="str">
        <x:v>Needs review</x:v>
      </x:c>
      <x:c r="P1108" s="20" t="str">
        <x:v>Screening score for Russia / Election interference in Mozambique; verify with country-specific evidence before final use.</x:v>
      </x:c>
    </x:row>
    <x:row r="1109" ht="24" customHeight="1">
      <x:c r="A1109" s="20" t="str">
        <x:v>MOZ|Russia|Security contractors</x:v>
      </x:c>
      <x:c r="B1109" s="20" t="str">
        <x:v>Mozambique</x:v>
      </x:c>
      <x:c r="C1109" s="20" t="str">
        <x:v>MOZ</x:v>
      </x:c>
      <x:c r="D1109" s="20" t="str">
        <x:v>Russia</x:v>
      </x:c>
      <x:c r="E1109" s="20" t="str">
        <x:v>Russian influence</x:v>
      </x:c>
      <x:c r="F1109" s="20" t="str">
        <x:v>Security contractors</x:v>
      </x:c>
      <x:c r="G1109" s="384" t="n">
        <x:v>5</x:v>
      </x:c>
      <x:c r="H1109" s="396" t="n">
        <x:v>3</x:v>
      </x:c>
      <x:c r="I1109" s="20" t="str">
        <x:v>Council of the EU/Treasury Wagner-security source register</x:v>
      </x:c>
      <x:c r="J1109" s="397" t="str">
        <x:v>https://www.consilium.europa.eu/en/press/press-releases/2023/02/25/wagner-group-council-adds-11-individuals-and-7-entities-to-eu-sanctions-lists/</x:v>
      </x:c>
      <x:c r="K1109" s="20" t="str">
        <x:v>Primary source-register URL; automated screening score</x:v>
      </x:c>
      <x:c r="L1109" s="20" t="str">
        <x:v>2026-05-20</x:v>
      </x:c>
      <x:c r="M1109" s="20" t="str">
        <x:v>2026-05-20</x:v>
      </x:c>
      <x:c r="N1109" s="20" t="str">
        <x:v>GPT-5.5 Pro</x:v>
      </x:c>
      <x:c r="O1109" s="20" t="str">
        <x:v>Needs review</x:v>
      </x:c>
      <x:c r="P1109" s="20" t="str">
        <x:v>Screening score for Russia / Security contractors in Mozambique; verify with country-specific evidence before final use.</x:v>
      </x:c>
    </x:row>
    <x:row r="1110" ht="24" customHeight="1">
      <x:c r="A1110" s="20" t="str">
        <x:v>MOZ|China|Propaganda ecosystems</x:v>
      </x:c>
      <x:c r="B1110" s="20" t="str">
        <x:v>Mozambique</x:v>
      </x:c>
      <x:c r="C1110" s="20" t="str">
        <x:v>MOZ</x:v>
      </x:c>
      <x:c r="D1110" s="20" t="str">
        <x:v>China</x:v>
      </x:c>
      <x:c r="E1110" s="20" t="str">
        <x:v>Chinese influence</x:v>
      </x:c>
      <x:c r="F1110" s="20" t="str">
        <x:v>Propaganda ecosystems</x:v>
      </x:c>
      <x:c r="G1110" s="384" t="n">
        <x:v>5</x:v>
      </x:c>
      <x:c r="H1110" s="396" t="n">
        <x:v>3</x:v>
      </x:c>
      <x:c r="I1110" s="20" t="str">
        <x:v>EEAS/ODNI China FIMI source register</x:v>
      </x:c>
      <x:c r="J1110" s="397" t="str">
        <x:v>https://www.eeas.europa.eu/eeas/4th-eeas-annual-report-foreign-information-manipulation-and-interference-threats_en</x:v>
      </x:c>
      <x:c r="K1110" s="20" t="str">
        <x:v>Primary source-register URL; automated screening score</x:v>
      </x:c>
      <x:c r="L1110" s="20" t="str">
        <x:v>2026-05-20</x:v>
      </x:c>
      <x:c r="M1110" s="20" t="str">
        <x:v>2026-05-20</x:v>
      </x:c>
      <x:c r="N1110" s="20" t="str">
        <x:v>GPT-5.5 Pro</x:v>
      </x:c>
      <x:c r="O1110" s="20" t="str">
        <x:v>Needs review</x:v>
      </x:c>
      <x:c r="P1110" s="20" t="str">
        <x:v>Screening score for China / Propaganda ecosystems in Mozambique; verify with country-specific evidence before final use.</x:v>
      </x:c>
    </x:row>
    <x:row r="1111" ht="24" customHeight="1">
      <x:c r="A1111" s="20" t="str">
        <x:v>MOZ|China|PMC presence</x:v>
      </x:c>
      <x:c r="B1111" s="20" t="str">
        <x:v>Mozambique</x:v>
      </x:c>
      <x:c r="C1111" s="20" t="str">
        <x:v>MOZ</x:v>
      </x:c>
      <x:c r="D1111" s="20" t="str">
        <x:v>China</x:v>
      </x:c>
      <x:c r="E1111" s="20" t="str">
        <x:v>Chinese influence</x:v>
      </x:c>
      <x:c r="F1111" s="20" t="str">
        <x:v>PMC presence</x:v>
      </x:c>
      <x:c r="G1111" s="384" t="n">
        <x:v>2</x:v>
      </x:c>
      <x:c r="H1111" s="396" t="n">
        <x:v>2</x:v>
      </x:c>
      <x:c r="I1111" s="20" t="str">
        <x:v>MERICS/Carnegie Chinese overseas PSC source register</x:v>
      </x:c>
      <x:c r="J1111" s="397" t="str">
        <x:v>https://merics.org/en/report/guardians-belt-and-road</x:v>
      </x:c>
      <x:c r="K1111" s="20" t="str">
        <x:v>Primary source-register URL; automated screening score</x:v>
      </x:c>
      <x:c r="L1111" s="20" t="str">
        <x:v>2026-05-20</x:v>
      </x:c>
      <x:c r="M1111" s="20" t="str">
        <x:v>2026-05-20</x:v>
      </x:c>
      <x:c r="N1111" s="20" t="str">
        <x:v>GPT-5.5 Pro</x:v>
      </x:c>
      <x:c r="O1111" s="20" t="str">
        <x:v>Needs review</x:v>
      </x:c>
      <x:c r="P1111" s="20" t="str">
        <x:v>Screening score for China / PMC presence in Mozambique; verify with country-specific evidence before final use.</x:v>
      </x:c>
    </x:row>
    <x:row r="1112" ht="24" customHeight="1">
      <x:c r="A1112" s="20" t="str">
        <x:v>MOZ|China|Election interference</x:v>
      </x:c>
      <x:c r="B1112" s="20" t="str">
        <x:v>Mozambique</x:v>
      </x:c>
      <x:c r="C1112" s="20" t="str">
        <x:v>MOZ</x:v>
      </x:c>
      <x:c r="D1112" s="20" t="str">
        <x:v>China</x:v>
      </x:c>
      <x:c r="E1112" s="20" t="str">
        <x:v>Chinese influence</x:v>
      </x:c>
      <x:c r="F1112" s="20" t="str">
        <x:v>Election interference</x:v>
      </x:c>
      <x:c r="G1112" s="384" t="n">
        <x:v>1</x:v>
      </x:c>
      <x:c r="H1112" s="396" t="n">
        <x:v>2</x:v>
      </x:c>
      <x:c r="I1112" s="20" t="str">
        <x:v>EEAS/ODNI China election-FIMI source register</x:v>
      </x:c>
      <x:c r="J1112" s="397" t="str">
        <x:v>https://www.eeas.europa.eu/eeas/4th-eeas-annual-report-foreign-information-manipulation-and-interference-threats_en</x:v>
      </x:c>
      <x:c r="K1112" s="20" t="str">
        <x:v>Primary source-register URL; automated screening score</x:v>
      </x:c>
      <x:c r="L1112" s="20" t="str">
        <x:v>2026-05-20</x:v>
      </x:c>
      <x:c r="M1112" s="20" t="str">
        <x:v>2026-05-20</x:v>
      </x:c>
      <x:c r="N1112" s="20" t="str">
        <x:v>GPT-5.5 Pro</x:v>
      </x:c>
      <x:c r="O1112" s="20" t="str">
        <x:v>Needs review</x:v>
      </x:c>
      <x:c r="P1112" s="20" t="str">
        <x:v>Screening score for China / Election interference in Mozambique; verify with country-specific evidence before final use.</x:v>
      </x:c>
    </x:row>
    <x:row r="1113" ht="24" customHeight="1">
      <x:c r="A1113" s="20" t="str">
        <x:v>MOZ|China|Security contractors</x:v>
      </x:c>
      <x:c r="B1113" s="20" t="str">
        <x:v>Mozambique</x:v>
      </x:c>
      <x:c r="C1113" s="20" t="str">
        <x:v>MOZ</x:v>
      </x:c>
      <x:c r="D1113" s="20" t="str">
        <x:v>China</x:v>
      </x:c>
      <x:c r="E1113" s="20" t="str">
        <x:v>Chinese influence</x:v>
      </x:c>
      <x:c r="F1113" s="20" t="str">
        <x:v>Security contractors</x:v>
      </x:c>
      <x:c r="G1113" s="384" t="n">
        <x:v>3</x:v>
      </x:c>
      <x:c r="H1113" s="396" t="n">
        <x:v>3</x:v>
      </x:c>
      <x:c r="I1113" s="20" t="str">
        <x:v>MERICS/Carnegie Chinese security contractor source register</x:v>
      </x:c>
      <x:c r="J1113" s="397" t="str">
        <x:v>https://merics.org/en/report/guardians-belt-and-road</x:v>
      </x:c>
      <x:c r="K1113" s="20" t="str">
        <x:v>Primary source-register URL; automated screening score</x:v>
      </x:c>
      <x:c r="L1113" s="20" t="str">
        <x:v>2026-05-20</x:v>
      </x:c>
      <x:c r="M1113" s="20" t="str">
        <x:v>2026-05-20</x:v>
      </x:c>
      <x:c r="N1113" s="20" t="str">
        <x:v>GPT-5.5 Pro</x:v>
      </x:c>
      <x:c r="O1113" s="20" t="str">
        <x:v>Needs review</x:v>
      </x:c>
      <x:c r="P1113" s="20" t="str">
        <x:v>Screening score for China / Security contractors in Mozambique; verify with country-specific evidence before final use.</x:v>
      </x:c>
    </x:row>
    <x:row r="1114" ht="24" customHeight="1">
      <x:c r="A1114" s="20" t="str">
        <x:v>MOZ|United States|Propaganda ecosystems</x:v>
      </x:c>
      <x:c r="B1114" s="20" t="str">
        <x:v>Mozambique</x:v>
      </x:c>
      <x:c r="C1114" s="20" t="str">
        <x:v>MOZ</x:v>
      </x:c>
      <x:c r="D1114" s="20" t="str">
        <x:v>United States</x:v>
      </x:c>
      <x:c r="E1114" s="20" t="str">
        <x:v>American influence</x:v>
      </x:c>
      <x:c r="F1114" s="20" t="str">
        <x:v>Propaganda ecosystems</x:v>
      </x:c>
      <x:c r="G1114" s="384" t="n">
        <x:v>4</x:v>
      </x:c>
      <x:c r="H1114" s="396" t="n">
        <x:v>3</x:v>
      </x:c>
      <x:c r="I1114" s="20" t="str">
        <x:v>USAGM public media source register</x:v>
      </x:c>
      <x:c r="J1114" s="397" t="str">
        <x:v>https://www.usagm.gov/our-work/strategy-and-results/strategic-priorities/research-reports/</x:v>
      </x:c>
      <x:c r="K1114" s="20" t="str">
        <x:v>Primary source-register URL; automated screening score</x:v>
      </x:c>
      <x:c r="L1114" s="20" t="str">
        <x:v>2026-05-20</x:v>
      </x:c>
      <x:c r="M1114" s="20" t="str">
        <x:v>2026-05-20</x:v>
      </x:c>
      <x:c r="N1114" s="20" t="str">
        <x:v>GPT-5.5 Pro</x:v>
      </x:c>
      <x:c r="O1114" s="20" t="str">
        <x:v>Needs review</x:v>
      </x:c>
      <x:c r="P1114" s="20" t="str">
        <x:v>Screening score for United States / Propaganda ecosystems in Mozambique; verify with country-specific evidence before final use.</x:v>
      </x:c>
    </x:row>
    <x:row r="1115" ht="24" customHeight="1">
      <x:c r="A1115" s="20" t="str">
        <x:v>MOZ|United States|PMC presence</x:v>
      </x:c>
      <x:c r="B1115" s="20" t="str">
        <x:v>Mozambique</x:v>
      </x:c>
      <x:c r="C1115" s="20" t="str">
        <x:v>MOZ</x:v>
      </x:c>
      <x:c r="D1115" s="20" t="str">
        <x:v>United States</x:v>
      </x:c>
      <x:c r="E1115" s="20" t="str">
        <x:v>American influence</x:v>
      </x:c>
      <x:c r="F1115" s="20" t="str">
        <x:v>PMC presence</x:v>
      </x:c>
      <x:c r="G1115" s="384" t="n">
        <x:v>2</x:v>
      </x:c>
      <x:c r="H1115" s="396" t="n">
        <x:v>2</x:v>
      </x:c>
      <x:c r="I1115" s="20" t="str">
        <x:v>SAM/Greenbook U.S. security assistance contractor source register</x:v>
      </x:c>
      <x:c r="J1115" s="397" t="str">
        <x:v>https://internationalpolicy.org/programs/sam/</x:v>
      </x:c>
      <x:c r="K1115" s="20" t="str">
        <x:v>Primary source-register URL; automated screening score</x:v>
      </x:c>
      <x:c r="L1115" s="20" t="str">
        <x:v>2026-05-20</x:v>
      </x:c>
      <x:c r="M1115" s="20" t="str">
        <x:v>2026-05-20</x:v>
      </x:c>
      <x:c r="N1115" s="20" t="str">
        <x:v>GPT-5.5 Pro</x:v>
      </x:c>
      <x:c r="O1115" s="20" t="str">
        <x:v>Needs review</x:v>
      </x:c>
      <x:c r="P1115" s="20" t="str">
        <x:v>Screening score for United States / PMC presence in Mozambique; verify with country-specific evidence before final use.</x:v>
      </x:c>
    </x:row>
    <x:row r="1116" ht="24" customHeight="1">
      <x:c r="A1116" s="20" t="str">
        <x:v>MOZ|United States|Election interference</x:v>
      </x:c>
      <x:c r="B1116" s="20" t="str">
        <x:v>Mozambique</x:v>
      </x:c>
      <x:c r="C1116" s="20" t="str">
        <x:v>MOZ</x:v>
      </x:c>
      <x:c r="D1116" s="20" t="str">
        <x:v>United States</x:v>
      </x:c>
      <x:c r="E1116" s="20" t="str">
        <x:v>American influence</x:v>
      </x:c>
      <x:c r="F1116" s="20" t="str">
        <x:v>Election interference</x:v>
      </x:c>
      <x:c r="G1116" s="384" t="n">
        <x:v>2</x:v>
      </x:c>
      <x:c r="H1116" s="396" t="n">
        <x:v>2</x:v>
      </x:c>
      <x:c r="I1116" s="20" t="str">
        <x:v>NED/Greenbook democracy assistance source register</x:v>
      </x:c>
      <x:c r="J1116" s="397" t="str">
        <x:v>https://www.ned.org/ned-grantmaking/</x:v>
      </x:c>
      <x:c r="K1116" s="20" t="str">
        <x:v>Primary source-register URL; automated screening score</x:v>
      </x:c>
      <x:c r="L1116" s="20" t="str">
        <x:v>2026-05-20</x:v>
      </x:c>
      <x:c r="M1116" s="20" t="str">
        <x:v>2026-05-20</x:v>
      </x:c>
      <x:c r="N1116" s="20" t="str">
        <x:v>GPT-5.5 Pro</x:v>
      </x:c>
      <x:c r="O1116" s="20" t="str">
        <x:v>Needs review</x:v>
      </x:c>
      <x:c r="P1116" s="20" t="str">
        <x:v>Screening score for United States / Election interference in Mozambique; verify with country-specific evidence before final use.</x:v>
      </x:c>
    </x:row>
    <x:row r="1117" ht="24" customHeight="1">
      <x:c r="A1117" s="20" t="str">
        <x:v>MOZ|United States|Security contractors</x:v>
      </x:c>
      <x:c r="B1117" s="20" t="str">
        <x:v>Mozambique</x:v>
      </x:c>
      <x:c r="C1117" s="20" t="str">
        <x:v>MOZ</x:v>
      </x:c>
      <x:c r="D1117" s="20" t="str">
        <x:v>United States</x:v>
      </x:c>
      <x:c r="E1117" s="20" t="str">
        <x:v>American influence</x:v>
      </x:c>
      <x:c r="F1117" s="20" t="str">
        <x:v>Security contractors</x:v>
      </x:c>
      <x:c r="G1117" s="384" t="n">
        <x:v>3</x:v>
      </x:c>
      <x:c r="H1117" s="396" t="n">
        <x:v>3</x:v>
      </x:c>
      <x:c r="I1117" s="20" t="str">
        <x:v>SAM/Greenbook U.S. security contractor source register</x:v>
      </x:c>
      <x:c r="J1117" s="397" t="str">
        <x:v>https://internationalpolicy.org/programs/sam/</x:v>
      </x:c>
      <x:c r="K1117" s="20" t="str">
        <x:v>Primary source-register URL; automated screening score</x:v>
      </x:c>
      <x:c r="L1117" s="20" t="str">
        <x:v>2026-05-20</x:v>
      </x:c>
      <x:c r="M1117" s="20" t="str">
        <x:v>2026-05-20</x:v>
      </x:c>
      <x:c r="N1117" s="20" t="str">
        <x:v>GPT-5.5 Pro</x:v>
      </x:c>
      <x:c r="O1117" s="20" t="str">
        <x:v>Needs review</x:v>
      </x:c>
      <x:c r="P1117" s="20" t="str">
        <x:v>Screening score for United States / Security contractors in Mozambique; verify with country-specific evidence before final use.</x:v>
      </x:c>
    </x:row>
    <x:row r="1118" ht="24" customHeight="1">
      <x:c r="A1118" s="20" t="str">
        <x:v>MOZ|European Union|Propaganda ecosystems</x:v>
      </x:c>
      <x:c r="B1118" s="20" t="str">
        <x:v>Mozambique</x:v>
      </x:c>
      <x:c r="C1118" s="20" t="str">
        <x:v>MOZ</x:v>
      </x:c>
      <x:c r="D1118" s="20" t="str">
        <x:v>European Union</x:v>
      </x:c>
      <x:c r="E1118" s="20" t="str">
        <x:v>EU influence</x:v>
      </x:c>
      <x:c r="F1118" s="20" t="str">
        <x:v>Propaganda ecosystems</x:v>
      </x:c>
      <x:c r="G1118" s="384" t="n">
        <x:v>3</x:v>
      </x:c>
      <x:c r="H1118" s="396" t="n">
        <x:v>3</x:v>
      </x:c>
      <x:c r="I1118" s="20" t="str">
        <x:v>EEAS public diplomacy source register</x:v>
      </x:c>
      <x:c r="J1118" s="397" t="str">
        <x:v>https://www.eeas.europa.eu/eeas/public-diplomacy_en</x:v>
      </x:c>
      <x:c r="K1118" s="20" t="str">
        <x:v>Primary source-register URL; automated screening score</x:v>
      </x:c>
      <x:c r="L1118" s="20" t="str">
        <x:v>2026-05-20</x:v>
      </x:c>
      <x:c r="M1118" s="20" t="str">
        <x:v>2026-05-20</x:v>
      </x:c>
      <x:c r="N1118" s="20" t="str">
        <x:v>GPT-5.5 Pro</x:v>
      </x:c>
      <x:c r="O1118" s="20" t="str">
        <x:v>Needs review</x:v>
      </x:c>
      <x:c r="P1118" s="20" t="str">
        <x:v>Screening score for European Union / Propaganda ecosystems in Mozambique; verify with country-specific evidence before final use.</x:v>
      </x:c>
    </x:row>
    <x:row r="1119" ht="24" customHeight="1">
      <x:c r="A1119" s="20" t="str">
        <x:v>MOZ|European Union|PMC presence</x:v>
      </x:c>
      <x:c r="B1119" s="20" t="str">
        <x:v>Mozambique</x:v>
      </x:c>
      <x:c r="C1119" s="20" t="str">
        <x:v>MOZ</x:v>
      </x:c>
      <x:c r="D1119" s="20" t="str">
        <x:v>European Union</x:v>
      </x:c>
      <x:c r="E1119" s="20" t="str">
        <x:v>EU influence</x:v>
      </x:c>
      <x:c r="F1119" s="20" t="str">
        <x:v>PMC presence</x:v>
      </x:c>
      <x:c r="G1119" s="384" t="n">
        <x:v>0</x:v>
      </x:c>
      <x:c r="H1119" s="396" t="n">
        <x:v>1</x:v>
      </x:c>
      <x:c r="I1119" s="20" t="str">
        <x:v>EEAS CSDP missions source register</x:v>
      </x:c>
      <x:c r="J1119" s="397" t="str">
        <x:v>https://www.eeas.europa.eu/eeas/missions-and-operations_en</x:v>
      </x:c>
      <x:c r="K1119" s="20" t="str">
        <x:v>Primary source-register URL; automated screening score</x:v>
      </x:c>
      <x:c r="L1119" s="20" t="str">
        <x:v>2026-05-20</x:v>
      </x:c>
      <x:c r="M1119" s="20" t="str">
        <x:v>2026-05-20</x:v>
      </x:c>
      <x:c r="N1119" s="20" t="str">
        <x:v>GPT-5.5 Pro</x:v>
      </x:c>
      <x:c r="O1119" s="20" t="str">
        <x:v>Needs review</x:v>
      </x:c>
      <x:c r="P1119" s="20" t="str">
        <x:v>Screening score for European Union / PMC presence in Mozambique; verify with country-specific evidence before final use.</x:v>
      </x:c>
    </x:row>
    <x:row r="1120" ht="24" customHeight="1">
      <x:c r="A1120" s="20" t="str">
        <x:v>MOZ|European Union|Election interference</x:v>
      </x:c>
      <x:c r="B1120" s="20" t="str">
        <x:v>Mozambique</x:v>
      </x:c>
      <x:c r="C1120" s="20" t="str">
        <x:v>MOZ</x:v>
      </x:c>
      <x:c r="D1120" s="20" t="str">
        <x:v>European Union</x:v>
      </x:c>
      <x:c r="E1120" s="20" t="str">
        <x:v>EU influence</x:v>
      </x:c>
      <x:c r="F1120" s="20" t="str">
        <x:v>Election interference</x:v>
      </x:c>
      <x:c r="G1120" s="384" t="n">
        <x:v>1</x:v>
      </x:c>
      <x:c r="H1120" s="396" t="n">
        <x:v>2</x:v>
      </x:c>
      <x:c r="I1120" s="20" t="str">
        <x:v>EEAS EU election observation source register</x:v>
      </x:c>
      <x:c r="J1120" s="397" t="str">
        <x:v>https://www.eeas.europa.eu/eeas/eu-election-observation-missions-1_en?page_lang=en</x:v>
      </x:c>
      <x:c r="K1120" s="20" t="str">
        <x:v>Primary source-register URL; automated screening score</x:v>
      </x:c>
      <x:c r="L1120" s="20" t="str">
        <x:v>2026-05-20</x:v>
      </x:c>
      <x:c r="M1120" s="20" t="str">
        <x:v>2026-05-20</x:v>
      </x:c>
      <x:c r="N1120" s="20" t="str">
        <x:v>GPT-5.5 Pro</x:v>
      </x:c>
      <x:c r="O1120" s="20" t="str">
        <x:v>Needs review</x:v>
      </x:c>
      <x:c r="P1120" s="20" t="str">
        <x:v>Screening score for European Union / Election interference in Mozambique; verify with country-specific evidence before final use.</x:v>
      </x:c>
    </x:row>
    <x:row r="1121" ht="24" customHeight="1">
      <x:c r="A1121" s="20" t="str">
        <x:v>MOZ|European Union|Security contractors</x:v>
      </x:c>
      <x:c r="B1121" s="20" t="str">
        <x:v>Mozambique</x:v>
      </x:c>
      <x:c r="C1121" s="20" t="str">
        <x:v>MOZ</x:v>
      </x:c>
      <x:c r="D1121" s="20" t="str">
        <x:v>European Union</x:v>
      </x:c>
      <x:c r="E1121" s="20" t="str">
        <x:v>EU influence</x:v>
      </x:c>
      <x:c r="F1121" s="20" t="str">
        <x:v>Security contractors</x:v>
      </x:c>
      <x:c r="G1121" s="384" t="n">
        <x:v>2</x:v>
      </x:c>
      <x:c r="H1121" s="396" t="n">
        <x:v>2</x:v>
      </x:c>
      <x:c r="I1121" s="20" t="str">
        <x:v>EEAS CSDP / Global Gateway security source register</x:v>
      </x:c>
      <x:c r="J1121" s="397" t="str">
        <x:v>https://www.eeas.europa.eu/eeas/missions-and-operations_en</x:v>
      </x:c>
      <x:c r="K1121" s="20" t="str">
        <x:v>Primary source-register URL; automated screening score</x:v>
      </x:c>
      <x:c r="L1121" s="20" t="str">
        <x:v>2026-05-20</x:v>
      </x:c>
      <x:c r="M1121" s="20" t="str">
        <x:v>2026-05-20</x:v>
      </x:c>
      <x:c r="N1121" s="20" t="str">
        <x:v>GPT-5.5 Pro</x:v>
      </x:c>
      <x:c r="O1121" s="20" t="str">
        <x:v>Needs review</x:v>
      </x:c>
      <x:c r="P1121" s="20" t="str">
        <x:v>Screening score for European Union / Security contractors in Mozambique; verify with country-specific evidence before final use.</x:v>
      </x:c>
    </x:row>
    <x:row r="1122" ht="24" customHeight="1">
      <x:c r="A1122" s="20" t="str">
        <x:v>MMR|Russia|Propaganda ecosystems</x:v>
      </x:c>
      <x:c r="B1122" s="20" t="str">
        <x:v>Myanmar</x:v>
      </x:c>
      <x:c r="C1122" s="20" t="str">
        <x:v>MMR</x:v>
      </x:c>
      <x:c r="D1122" s="20" t="str">
        <x:v>Russia</x:v>
      </x:c>
      <x:c r="E1122" s="20" t="str">
        <x:v>Russian influence</x:v>
      </x:c>
      <x:c r="F1122" s="20" t="str">
        <x:v>Propaganda ecosystems</x:v>
      </x:c>
      <x:c r="G1122" s="384" t="n">
        <x:v>2</x:v>
      </x:c>
      <x:c r="H1122" s="396" t="n">
        <x:v>2</x:v>
      </x:c>
      <x:c r="I1122" s="20" t="str">
        <x:v>EEAS/EUvsDisinfo FIMI source register</x:v>
      </x:c>
      <x:c r="J1122" s="397" t="str">
        <x:v>https://www.eeas.europa.eu/eeas/4th-eeas-annual-report-foreign-information-manipulation-and-interference-threats_en</x:v>
      </x:c>
      <x:c r="K1122" s="20" t="str">
        <x:v>Primary source-register URL; automated screening score</x:v>
      </x:c>
      <x:c r="L1122" s="20" t="str">
        <x:v>2026-05-20</x:v>
      </x:c>
      <x:c r="M1122" s="20" t="str">
        <x:v>2026-05-20</x:v>
      </x:c>
      <x:c r="N1122" s="20" t="str">
        <x:v>GPT-5.5 Pro</x:v>
      </x:c>
      <x:c r="O1122" s="20" t="str">
        <x:v>Needs review</x:v>
      </x:c>
      <x:c r="P1122" s="20" t="str">
        <x:v>Screening score for Russia / Propaganda ecosystems in Myanmar; verify with country-specific evidence before final use.</x:v>
      </x:c>
    </x:row>
    <x:row r="1123" ht="24" customHeight="1">
      <x:c r="A1123" s="20" t="str">
        <x:v>MMR|Russia|PMC presence</x:v>
      </x:c>
      <x:c r="B1123" s="20" t="str">
        <x:v>Myanmar</x:v>
      </x:c>
      <x:c r="C1123" s="20" t="str">
        <x:v>MMR</x:v>
      </x:c>
      <x:c r="D1123" s="20" t="str">
        <x:v>Russia</x:v>
      </x:c>
      <x:c r="E1123" s="20" t="str">
        <x:v>Russian influence</x:v>
      </x:c>
      <x:c r="F1123" s="20" t="str">
        <x:v>PMC presence</x:v>
      </x:c>
      <x:c r="G1123" s="384" t="n">
        <x:v>0</x:v>
      </x:c>
      <x:c r="H1123" s="396" t="n">
        <x:v>1</x:v>
      </x:c>
      <x:c r="I1123" s="20" t="str">
        <x:v>Treasury and Council of the EU Wagner/PMC source register</x:v>
      </x:c>
      <x:c r="J1123" s="397" t="str">
        <x:v>https://www.consilium.europa.eu/en/press/press-releases/2023/02/25/wagner-group-council-adds-11-individuals-and-7-entities-to-eu-sanctions-lists/</x:v>
      </x:c>
      <x:c r="K1123" s="20" t="str">
        <x:v>Primary source-register URL; automated screening score</x:v>
      </x:c>
      <x:c r="L1123" s="20" t="str">
        <x:v>2026-05-20</x:v>
      </x:c>
      <x:c r="M1123" s="20" t="str">
        <x:v>2026-05-20</x:v>
      </x:c>
      <x:c r="N1123" s="20" t="str">
        <x:v>GPT-5.5 Pro</x:v>
      </x:c>
      <x:c r="O1123" s="20" t="str">
        <x:v>Needs review</x:v>
      </x:c>
      <x:c r="P1123" s="20" t="str">
        <x:v>Screening score for Russia / PMC presence in Myanmar; verify with country-specific evidence before final use.</x:v>
      </x:c>
    </x:row>
    <x:row r="1124" ht="24" customHeight="1">
      <x:c r="A1124" s="20" t="str">
        <x:v>MMR|Russia|Election interference</x:v>
      </x:c>
      <x:c r="B1124" s="20" t="str">
        <x:v>Myanmar</x:v>
      </x:c>
      <x:c r="C1124" s="20" t="str">
        <x:v>MMR</x:v>
      </x:c>
      <x:c r="D1124" s="20" t="str">
        <x:v>Russia</x:v>
      </x:c>
      <x:c r="E1124" s="20" t="str">
        <x:v>Russian influence</x:v>
      </x:c>
      <x:c r="F1124" s="20" t="str">
        <x:v>Election interference</x:v>
      </x:c>
      <x:c r="G1124" s="384" t="n">
        <x:v>0</x:v>
      </x:c>
      <x:c r="H1124" s="396" t="n">
        <x:v>1</x:v>
      </x:c>
      <x:c r="I1124" s="20" t="str">
        <x:v>ODNI/EEAS election-FIMI source register</x:v>
      </x:c>
      <x:c r="J1124" s="397" t="str">
        <x:v>https://www.dni.gov/files/ODNI/documents/assessments/ATA-2026-Unclassified-Report.pdf</x:v>
      </x:c>
      <x:c r="K1124" s="20" t="str">
        <x:v>Primary source-register URL; automated screening score</x:v>
      </x:c>
      <x:c r="L1124" s="20" t="str">
        <x:v>2026-05-20</x:v>
      </x:c>
      <x:c r="M1124" s="20" t="str">
        <x:v>2026-05-20</x:v>
      </x:c>
      <x:c r="N1124" s="20" t="str">
        <x:v>GPT-5.5 Pro</x:v>
      </x:c>
      <x:c r="O1124" s="20" t="str">
        <x:v>Needs review</x:v>
      </x:c>
      <x:c r="P1124" s="20" t="str">
        <x:v>Screening score for Russia / Election interference in Myanmar; verify with country-specific evidence before final use.</x:v>
      </x:c>
    </x:row>
    <x:row r="1125" ht="24" customHeight="1">
      <x:c r="A1125" s="20" t="str">
        <x:v>MMR|Russia|Security contractors</x:v>
      </x:c>
      <x:c r="B1125" s="20" t="str">
        <x:v>Myanmar</x:v>
      </x:c>
      <x:c r="C1125" s="20" t="str">
        <x:v>MMR</x:v>
      </x:c>
      <x:c r="D1125" s="20" t="str">
        <x:v>Russia</x:v>
      </x:c>
      <x:c r="E1125" s="20" t="str">
        <x:v>Russian influence</x:v>
      </x:c>
      <x:c r="F1125" s="20" t="str">
        <x:v>Security contractors</x:v>
      </x:c>
      <x:c r="G1125" s="384" t="n">
        <x:v>0</x:v>
      </x:c>
      <x:c r="H1125" s="396" t="n">
        <x:v>1</x:v>
      </x:c>
      <x:c r="I1125" s="20" t="str">
        <x:v>Council of the EU/Treasury Wagner-security source register</x:v>
      </x:c>
      <x:c r="J1125" s="397" t="str">
        <x:v>https://www.consilium.europa.eu/en/press/press-releases/2023/02/25/wagner-group-council-adds-11-individuals-and-7-entities-to-eu-sanctions-lists/</x:v>
      </x:c>
      <x:c r="K1125" s="20" t="str">
        <x:v>Primary source-register URL; automated screening score</x:v>
      </x:c>
      <x:c r="L1125" s="20" t="str">
        <x:v>2026-05-20</x:v>
      </x:c>
      <x:c r="M1125" s="20" t="str">
        <x:v>2026-05-20</x:v>
      </x:c>
      <x:c r="N1125" s="20" t="str">
        <x:v>GPT-5.5 Pro</x:v>
      </x:c>
      <x:c r="O1125" s="20" t="str">
        <x:v>Needs review</x:v>
      </x:c>
      <x:c r="P1125" s="20" t="str">
        <x:v>Screening score for Russia / Security contractors in Myanmar; verify with country-specific evidence before final use.</x:v>
      </x:c>
    </x:row>
    <x:row r="1126" ht="24" customHeight="1">
      <x:c r="A1126" s="20" t="str">
        <x:v>MMR|China|Propaganda ecosystems</x:v>
      </x:c>
      <x:c r="B1126" s="20" t="str">
        <x:v>Myanmar</x:v>
      </x:c>
      <x:c r="C1126" s="20" t="str">
        <x:v>MMR</x:v>
      </x:c>
      <x:c r="D1126" s="20" t="str">
        <x:v>China</x:v>
      </x:c>
      <x:c r="E1126" s="20" t="str">
        <x:v>Chinese influence</x:v>
      </x:c>
      <x:c r="F1126" s="20" t="str">
        <x:v>Propaganda ecosystems</x:v>
      </x:c>
      <x:c r="G1126" s="384" t="n">
        <x:v>6</x:v>
      </x:c>
      <x:c r="H1126" s="396" t="n">
        <x:v>4</x:v>
      </x:c>
      <x:c r="I1126" s="20" t="str">
        <x:v>EEAS/ODNI China FIMI source register</x:v>
      </x:c>
      <x:c r="J1126" s="397" t="str">
        <x:v>https://www.eeas.europa.eu/eeas/4th-eeas-annual-report-foreign-information-manipulation-and-interference-threats_en</x:v>
      </x:c>
      <x:c r="K1126" s="20" t="str">
        <x:v>Primary source-register URL; automated screening score</x:v>
      </x:c>
      <x:c r="L1126" s="20" t="str">
        <x:v>2026-05-20</x:v>
      </x:c>
      <x:c r="M1126" s="20" t="str">
        <x:v>2026-05-20</x:v>
      </x:c>
      <x:c r="N1126" s="20" t="str">
        <x:v>GPT-5.5 Pro</x:v>
      </x:c>
      <x:c r="O1126" s="20" t="str">
        <x:v>Needs review</x:v>
      </x:c>
      <x:c r="P1126" s="20" t="str">
        <x:v>Screening score for China / Propaganda ecosystems in Myanmar; verify with country-specific evidence before final use.</x:v>
      </x:c>
    </x:row>
    <x:row r="1127" ht="24" customHeight="1">
      <x:c r="A1127" s="20" t="str">
        <x:v>MMR|China|PMC presence</x:v>
      </x:c>
      <x:c r="B1127" s="20" t="str">
        <x:v>Myanmar</x:v>
      </x:c>
      <x:c r="C1127" s="20" t="str">
        <x:v>MMR</x:v>
      </x:c>
      <x:c r="D1127" s="20" t="str">
        <x:v>China</x:v>
      </x:c>
      <x:c r="E1127" s="20" t="str">
        <x:v>Chinese influence</x:v>
      </x:c>
      <x:c r="F1127" s="20" t="str">
        <x:v>PMC presence</x:v>
      </x:c>
      <x:c r="G1127" s="384" t="n">
        <x:v>2</x:v>
      </x:c>
      <x:c r="H1127" s="396" t="n">
        <x:v>2</x:v>
      </x:c>
      <x:c r="I1127" s="20" t="str">
        <x:v>MERICS/Carnegie Chinese overseas PSC source register</x:v>
      </x:c>
      <x:c r="J1127" s="397" t="str">
        <x:v>https://merics.org/en/report/guardians-belt-and-road</x:v>
      </x:c>
      <x:c r="K1127" s="20" t="str">
        <x:v>Primary source-register URL; automated screening score</x:v>
      </x:c>
      <x:c r="L1127" s="20" t="str">
        <x:v>2026-05-20</x:v>
      </x:c>
      <x:c r="M1127" s="20" t="str">
        <x:v>2026-05-20</x:v>
      </x:c>
      <x:c r="N1127" s="20" t="str">
        <x:v>GPT-5.5 Pro</x:v>
      </x:c>
      <x:c r="O1127" s="20" t="str">
        <x:v>Needs review</x:v>
      </x:c>
      <x:c r="P1127" s="20" t="str">
        <x:v>Screening score for China / PMC presence in Myanmar; verify with country-specific evidence before final use.</x:v>
      </x:c>
    </x:row>
    <x:row r="1128" ht="24" customHeight="1">
      <x:c r="A1128" s="20" t="str">
        <x:v>MMR|China|Election interference</x:v>
      </x:c>
      <x:c r="B1128" s="20" t="str">
        <x:v>Myanmar</x:v>
      </x:c>
      <x:c r="C1128" s="20" t="str">
        <x:v>MMR</x:v>
      </x:c>
      <x:c r="D1128" s="20" t="str">
        <x:v>China</x:v>
      </x:c>
      <x:c r="E1128" s="20" t="str">
        <x:v>Chinese influence</x:v>
      </x:c>
      <x:c r="F1128" s="20" t="str">
        <x:v>Election interference</x:v>
      </x:c>
      <x:c r="G1128" s="384" t="n">
        <x:v>3</x:v>
      </x:c>
      <x:c r="H1128" s="396" t="n">
        <x:v>3</x:v>
      </x:c>
      <x:c r="I1128" s="20" t="str">
        <x:v>EEAS/ODNI China election-FIMI source register</x:v>
      </x:c>
      <x:c r="J1128" s="397" t="str">
        <x:v>https://www.eeas.europa.eu/eeas/4th-eeas-annual-report-foreign-information-manipulation-and-interference-threats_en</x:v>
      </x:c>
      <x:c r="K1128" s="20" t="str">
        <x:v>Primary source-register URL; automated screening score</x:v>
      </x:c>
      <x:c r="L1128" s="20" t="str">
        <x:v>2026-05-20</x:v>
      </x:c>
      <x:c r="M1128" s="20" t="str">
        <x:v>2026-05-20</x:v>
      </x:c>
      <x:c r="N1128" s="20" t="str">
        <x:v>GPT-5.5 Pro</x:v>
      </x:c>
      <x:c r="O1128" s="20" t="str">
        <x:v>Needs review</x:v>
      </x:c>
      <x:c r="P1128" s="20" t="str">
        <x:v>Screening score for China / Election interference in Myanmar; verify with country-specific evidence before final use.</x:v>
      </x:c>
    </x:row>
    <x:row r="1129" ht="24" customHeight="1">
      <x:c r="A1129" s="20" t="str">
        <x:v>MMR|China|Security contractors</x:v>
      </x:c>
      <x:c r="B1129" s="20" t="str">
        <x:v>Myanmar</x:v>
      </x:c>
      <x:c r="C1129" s="20" t="str">
        <x:v>MMR</x:v>
      </x:c>
      <x:c r="D1129" s="20" t="str">
        <x:v>China</x:v>
      </x:c>
      <x:c r="E1129" s="20" t="str">
        <x:v>Chinese influence</x:v>
      </x:c>
      <x:c r="F1129" s="20" t="str">
        <x:v>Security contractors</x:v>
      </x:c>
      <x:c r="G1129" s="384" t="n">
        <x:v>4</x:v>
      </x:c>
      <x:c r="H1129" s="396" t="n">
        <x:v>3</x:v>
      </x:c>
      <x:c r="I1129" s="20" t="str">
        <x:v>MERICS/Carnegie Chinese security contractor source register</x:v>
      </x:c>
      <x:c r="J1129" s="397" t="str">
        <x:v>https://merics.org/en/report/guardians-belt-and-road</x:v>
      </x:c>
      <x:c r="K1129" s="20" t="str">
        <x:v>Primary source-register URL; automated screening score</x:v>
      </x:c>
      <x:c r="L1129" s="20" t="str">
        <x:v>2026-05-20</x:v>
      </x:c>
      <x:c r="M1129" s="20" t="str">
        <x:v>2026-05-20</x:v>
      </x:c>
      <x:c r="N1129" s="20" t="str">
        <x:v>GPT-5.5 Pro</x:v>
      </x:c>
      <x:c r="O1129" s="20" t="str">
        <x:v>Needs review</x:v>
      </x:c>
      <x:c r="P1129" s="20" t="str">
        <x:v>Screening score for China / Security contractors in Myanmar; verify with country-specific evidence before final use.</x:v>
      </x:c>
    </x:row>
    <x:row r="1130" ht="24" customHeight="1">
      <x:c r="A1130" s="20" t="str">
        <x:v>MMR|United States|Propaganda ecosystems</x:v>
      </x:c>
      <x:c r="B1130" s="20" t="str">
        <x:v>Myanmar</x:v>
      </x:c>
      <x:c r="C1130" s="20" t="str">
        <x:v>MMR</x:v>
      </x:c>
      <x:c r="D1130" s="20" t="str">
        <x:v>United States</x:v>
      </x:c>
      <x:c r="E1130" s="20" t="str">
        <x:v>American influence</x:v>
      </x:c>
      <x:c r="F1130" s="20" t="str">
        <x:v>Propaganda ecosystems</x:v>
      </x:c>
      <x:c r="G1130" s="384" t="n">
        <x:v>4</x:v>
      </x:c>
      <x:c r="H1130" s="396" t="n">
        <x:v>3</x:v>
      </x:c>
      <x:c r="I1130" s="20" t="str">
        <x:v>USAGM public media source register</x:v>
      </x:c>
      <x:c r="J1130" s="397" t="str">
        <x:v>https://www.usagm.gov/our-work/strategy-and-results/strategic-priorities/research-reports/</x:v>
      </x:c>
      <x:c r="K1130" s="20" t="str">
        <x:v>Primary source-register URL; automated screening score</x:v>
      </x:c>
      <x:c r="L1130" s="20" t="str">
        <x:v>2026-05-20</x:v>
      </x:c>
      <x:c r="M1130" s="20" t="str">
        <x:v>2026-05-20</x:v>
      </x:c>
      <x:c r="N1130" s="20" t="str">
        <x:v>GPT-5.5 Pro</x:v>
      </x:c>
      <x:c r="O1130" s="20" t="str">
        <x:v>Needs review</x:v>
      </x:c>
      <x:c r="P1130" s="20" t="str">
        <x:v>Screening score for United States / Propaganda ecosystems in Myanmar; verify with country-specific evidence before final use.</x:v>
      </x:c>
    </x:row>
    <x:row r="1131" ht="24" customHeight="1">
      <x:c r="A1131" s="20" t="str">
        <x:v>MMR|United States|PMC presence</x:v>
      </x:c>
      <x:c r="B1131" s="20" t="str">
        <x:v>Myanmar</x:v>
      </x:c>
      <x:c r="C1131" s="20" t="str">
        <x:v>MMR</x:v>
      </x:c>
      <x:c r="D1131" s="20" t="str">
        <x:v>United States</x:v>
      </x:c>
      <x:c r="E1131" s="20" t="str">
        <x:v>American influence</x:v>
      </x:c>
      <x:c r="F1131" s="20" t="str">
        <x:v>PMC presence</x:v>
      </x:c>
      <x:c r="G1131" s="384" t="n">
        <x:v>1</x:v>
      </x:c>
      <x:c r="H1131" s="396" t="n">
        <x:v>2</x:v>
      </x:c>
      <x:c r="I1131" s="20" t="str">
        <x:v>SAM/Greenbook U.S. security assistance contractor source register</x:v>
      </x:c>
      <x:c r="J1131" s="397" t="str">
        <x:v>https://internationalpolicy.org/programs/sam/</x:v>
      </x:c>
      <x:c r="K1131" s="20" t="str">
        <x:v>Primary source-register URL; automated screening score</x:v>
      </x:c>
      <x:c r="L1131" s="20" t="str">
        <x:v>2026-05-20</x:v>
      </x:c>
      <x:c r="M1131" s="20" t="str">
        <x:v>2026-05-20</x:v>
      </x:c>
      <x:c r="N1131" s="20" t="str">
        <x:v>GPT-5.5 Pro</x:v>
      </x:c>
      <x:c r="O1131" s="20" t="str">
        <x:v>Needs review</x:v>
      </x:c>
      <x:c r="P1131" s="20" t="str">
        <x:v>Screening score for United States / PMC presence in Myanmar; verify with country-specific evidence before final use.</x:v>
      </x:c>
    </x:row>
    <x:row r="1132" ht="24" customHeight="1">
      <x:c r="A1132" s="20" t="str">
        <x:v>MMR|United States|Election interference</x:v>
      </x:c>
      <x:c r="B1132" s="20" t="str">
        <x:v>Myanmar</x:v>
      </x:c>
      <x:c r="C1132" s="20" t="str">
        <x:v>MMR</x:v>
      </x:c>
      <x:c r="D1132" s="20" t="str">
        <x:v>United States</x:v>
      </x:c>
      <x:c r="E1132" s="20" t="str">
        <x:v>American influence</x:v>
      </x:c>
      <x:c r="F1132" s="20" t="str">
        <x:v>Election interference</x:v>
      </x:c>
      <x:c r="G1132" s="384" t="n">
        <x:v>2</x:v>
      </x:c>
      <x:c r="H1132" s="396" t="n">
        <x:v>2</x:v>
      </x:c>
      <x:c r="I1132" s="20" t="str">
        <x:v>NED/Greenbook democracy assistance source register</x:v>
      </x:c>
      <x:c r="J1132" s="397" t="str">
        <x:v>https://www.ned.org/ned-grantmaking/</x:v>
      </x:c>
      <x:c r="K1132" s="20" t="str">
        <x:v>Primary source-register URL; automated screening score</x:v>
      </x:c>
      <x:c r="L1132" s="20" t="str">
        <x:v>2026-05-20</x:v>
      </x:c>
      <x:c r="M1132" s="20" t="str">
        <x:v>2026-05-20</x:v>
      </x:c>
      <x:c r="N1132" s="20" t="str">
        <x:v>GPT-5.5 Pro</x:v>
      </x:c>
      <x:c r="O1132" s="20" t="str">
        <x:v>Needs review</x:v>
      </x:c>
      <x:c r="P1132" s="20" t="str">
        <x:v>Screening score for United States / Election interference in Myanmar; verify with country-specific evidence before final use.</x:v>
      </x:c>
    </x:row>
    <x:row r="1133" ht="24" customHeight="1">
      <x:c r="A1133" s="20" t="str">
        <x:v>MMR|United States|Security contractors</x:v>
      </x:c>
      <x:c r="B1133" s="20" t="str">
        <x:v>Myanmar</x:v>
      </x:c>
      <x:c r="C1133" s="20" t="str">
        <x:v>MMR</x:v>
      </x:c>
      <x:c r="D1133" s="20" t="str">
        <x:v>United States</x:v>
      </x:c>
      <x:c r="E1133" s="20" t="str">
        <x:v>American influence</x:v>
      </x:c>
      <x:c r="F1133" s="20" t="str">
        <x:v>Security contractors</x:v>
      </x:c>
      <x:c r="G1133" s="384" t="n">
        <x:v>2</x:v>
      </x:c>
      <x:c r="H1133" s="396" t="n">
        <x:v>2</x:v>
      </x:c>
      <x:c r="I1133" s="20" t="str">
        <x:v>SAM/Greenbook U.S. security contractor source register</x:v>
      </x:c>
      <x:c r="J1133" s="397" t="str">
        <x:v>https://internationalpolicy.org/programs/sam/</x:v>
      </x:c>
      <x:c r="K1133" s="20" t="str">
        <x:v>Primary source-register URL; automated screening score</x:v>
      </x:c>
      <x:c r="L1133" s="20" t="str">
        <x:v>2026-05-20</x:v>
      </x:c>
      <x:c r="M1133" s="20" t="str">
        <x:v>2026-05-20</x:v>
      </x:c>
      <x:c r="N1133" s="20" t="str">
        <x:v>GPT-5.5 Pro</x:v>
      </x:c>
      <x:c r="O1133" s="20" t="str">
        <x:v>Needs review</x:v>
      </x:c>
      <x:c r="P1133" s="20" t="str">
        <x:v>Screening score for United States / Security contractors in Myanmar; verify with country-specific evidence before final use.</x:v>
      </x:c>
    </x:row>
    <x:row r="1134" ht="24" customHeight="1">
      <x:c r="A1134" s="20" t="str">
        <x:v>MMR|European Union|Propaganda ecosystems</x:v>
      </x:c>
      <x:c r="B1134" s="20" t="str">
        <x:v>Myanmar</x:v>
      </x:c>
      <x:c r="C1134" s="20" t="str">
        <x:v>MMR</x:v>
      </x:c>
      <x:c r="D1134" s="20" t="str">
        <x:v>European Union</x:v>
      </x:c>
      <x:c r="E1134" s="20" t="str">
        <x:v>EU influence</x:v>
      </x:c>
      <x:c r="F1134" s="20" t="str">
        <x:v>Propaganda ecosystems</x:v>
      </x:c>
      <x:c r="G1134" s="384" t="n">
        <x:v>2</x:v>
      </x:c>
      <x:c r="H1134" s="396" t="n">
        <x:v>2</x:v>
      </x:c>
      <x:c r="I1134" s="20" t="str">
        <x:v>EEAS public diplomacy source register</x:v>
      </x:c>
      <x:c r="J1134" s="397" t="str">
        <x:v>https://www.eeas.europa.eu/eeas/public-diplomacy_en</x:v>
      </x:c>
      <x:c r="K1134" s="20" t="str">
        <x:v>Primary source-register URL; automated screening score</x:v>
      </x:c>
      <x:c r="L1134" s="20" t="str">
        <x:v>2026-05-20</x:v>
      </x:c>
      <x:c r="M1134" s="20" t="str">
        <x:v>2026-05-20</x:v>
      </x:c>
      <x:c r="N1134" s="20" t="str">
        <x:v>GPT-5.5 Pro</x:v>
      </x:c>
      <x:c r="O1134" s="20" t="str">
        <x:v>Needs review</x:v>
      </x:c>
      <x:c r="P1134" s="20" t="str">
        <x:v>Screening score for European Union / Propaganda ecosystems in Myanmar; verify with country-specific evidence before final use.</x:v>
      </x:c>
    </x:row>
    <x:row r="1135" ht="24" customHeight="1">
      <x:c r="A1135" s="20" t="str">
        <x:v>MMR|European Union|PMC presence</x:v>
      </x:c>
      <x:c r="B1135" s="20" t="str">
        <x:v>Myanmar</x:v>
      </x:c>
      <x:c r="C1135" s="20" t="str">
        <x:v>MMR</x:v>
      </x:c>
      <x:c r="D1135" s="20" t="str">
        <x:v>European Union</x:v>
      </x:c>
      <x:c r="E1135" s="20" t="str">
        <x:v>EU influence</x:v>
      </x:c>
      <x:c r="F1135" s="20" t="str">
        <x:v>PMC presence</x:v>
      </x:c>
      <x:c r="G1135" s="384" t="n">
        <x:v>0</x:v>
      </x:c>
      <x:c r="H1135" s="396" t="n">
        <x:v>1</x:v>
      </x:c>
      <x:c r="I1135" s="20" t="str">
        <x:v>EEAS CSDP missions source register</x:v>
      </x:c>
      <x:c r="J1135" s="397" t="str">
        <x:v>https://www.eeas.europa.eu/eeas/missions-and-operations_en</x:v>
      </x:c>
      <x:c r="K1135" s="20" t="str">
        <x:v>Primary source-register URL; automated screening score</x:v>
      </x:c>
      <x:c r="L1135" s="20" t="str">
        <x:v>2026-05-20</x:v>
      </x:c>
      <x:c r="M1135" s="20" t="str">
        <x:v>2026-05-20</x:v>
      </x:c>
      <x:c r="N1135" s="20" t="str">
        <x:v>GPT-5.5 Pro</x:v>
      </x:c>
      <x:c r="O1135" s="20" t="str">
        <x:v>Needs review</x:v>
      </x:c>
      <x:c r="P1135" s="20" t="str">
        <x:v>Screening score for European Union / PMC presence in Myanmar; verify with country-specific evidence before final use.</x:v>
      </x:c>
    </x:row>
    <x:row r="1136" ht="24" customHeight="1">
      <x:c r="A1136" s="20" t="str">
        <x:v>MMR|European Union|Election interference</x:v>
      </x:c>
      <x:c r="B1136" s="20" t="str">
        <x:v>Myanmar</x:v>
      </x:c>
      <x:c r="C1136" s="20" t="str">
        <x:v>MMR</x:v>
      </x:c>
      <x:c r="D1136" s="20" t="str">
        <x:v>European Union</x:v>
      </x:c>
      <x:c r="E1136" s="20" t="str">
        <x:v>EU influence</x:v>
      </x:c>
      <x:c r="F1136" s="20" t="str">
        <x:v>Election interference</x:v>
      </x:c>
      <x:c r="G1136" s="384" t="n">
        <x:v>1</x:v>
      </x:c>
      <x:c r="H1136" s="396" t="n">
        <x:v>2</x:v>
      </x:c>
      <x:c r="I1136" s="20" t="str">
        <x:v>EEAS EU election observation source register</x:v>
      </x:c>
      <x:c r="J1136" s="397" t="str">
        <x:v>https://www.eeas.europa.eu/eeas/eu-election-observation-missions-1_en?page_lang=en</x:v>
      </x:c>
      <x:c r="K1136" s="20" t="str">
        <x:v>Primary source-register URL; automated screening score</x:v>
      </x:c>
      <x:c r="L1136" s="20" t="str">
        <x:v>2026-05-20</x:v>
      </x:c>
      <x:c r="M1136" s="20" t="str">
        <x:v>2026-05-20</x:v>
      </x:c>
      <x:c r="N1136" s="20" t="str">
        <x:v>GPT-5.5 Pro</x:v>
      </x:c>
      <x:c r="O1136" s="20" t="str">
        <x:v>Needs review</x:v>
      </x:c>
      <x:c r="P1136" s="20" t="str">
        <x:v>Screening score for European Union / Election interference in Myanmar; verify with country-specific evidence before final use.</x:v>
      </x:c>
    </x:row>
    <x:row r="1137" ht="24" customHeight="1">
      <x:c r="A1137" s="20" t="str">
        <x:v>MMR|European Union|Security contractors</x:v>
      </x:c>
      <x:c r="B1137" s="20" t="str">
        <x:v>Myanmar</x:v>
      </x:c>
      <x:c r="C1137" s="20" t="str">
        <x:v>MMR</x:v>
      </x:c>
      <x:c r="D1137" s="20" t="str">
        <x:v>European Union</x:v>
      </x:c>
      <x:c r="E1137" s="20" t="str">
        <x:v>EU influence</x:v>
      </x:c>
      <x:c r="F1137" s="20" t="str">
        <x:v>Security contractors</x:v>
      </x:c>
      <x:c r="G1137" s="384" t="n">
        <x:v>2</x:v>
      </x:c>
      <x:c r="H1137" s="396" t="n">
        <x:v>2</x:v>
      </x:c>
      <x:c r="I1137" s="20" t="str">
        <x:v>EEAS CSDP / Global Gateway security source register</x:v>
      </x:c>
      <x:c r="J1137" s="397" t="str">
        <x:v>https://www.eeas.europa.eu/eeas/missions-and-operations_en</x:v>
      </x:c>
      <x:c r="K1137" s="20" t="str">
        <x:v>Primary source-register URL; automated screening score</x:v>
      </x:c>
      <x:c r="L1137" s="20" t="str">
        <x:v>2026-05-20</x:v>
      </x:c>
      <x:c r="M1137" s="20" t="str">
        <x:v>2026-05-20</x:v>
      </x:c>
      <x:c r="N1137" s="20" t="str">
        <x:v>GPT-5.5 Pro</x:v>
      </x:c>
      <x:c r="O1137" s="20" t="str">
        <x:v>Needs review</x:v>
      </x:c>
      <x:c r="P1137" s="20" t="str">
        <x:v>Screening score for European Union / Security contractors in Myanmar; verify with country-specific evidence before final use.</x:v>
      </x:c>
    </x:row>
    <x:row r="1138" ht="24" customHeight="1">
      <x:c r="A1138" s="20" t="str">
        <x:v>NRU|Russia|Propaganda ecosystems</x:v>
      </x:c>
      <x:c r="B1138" s="20" t="str">
        <x:v>Nauru</x:v>
      </x:c>
      <x:c r="C1138" s="20" t="str">
        <x:v>NRU</x:v>
      </x:c>
      <x:c r="D1138" s="20" t="str">
        <x:v>Russia</x:v>
      </x:c>
      <x:c r="E1138" s="20" t="str">
        <x:v>Russian influence</x:v>
      </x:c>
      <x:c r="F1138" s="20" t="str">
        <x:v>Propaganda ecosystems</x:v>
      </x:c>
      <x:c r="G1138" s="384" t="n">
        <x:v>2</x:v>
      </x:c>
      <x:c r="H1138" s="396" t="n">
        <x:v>2</x:v>
      </x:c>
      <x:c r="I1138" s="20" t="str">
        <x:v>EEAS/EUvsDisinfo FIMI source register</x:v>
      </x:c>
      <x:c r="J1138" s="397" t="str">
        <x:v>https://www.eeas.europa.eu/eeas/4th-eeas-annual-report-foreign-information-manipulation-and-interference-threats_en</x:v>
      </x:c>
      <x:c r="K1138" s="20" t="str">
        <x:v>Primary source-register URL; automated screening score</x:v>
      </x:c>
      <x:c r="L1138" s="20" t="str">
        <x:v>2026-05-20</x:v>
      </x:c>
      <x:c r="M1138" s="20" t="str">
        <x:v>2026-05-20</x:v>
      </x:c>
      <x:c r="N1138" s="20" t="str">
        <x:v>GPT-5.5 Pro</x:v>
      </x:c>
      <x:c r="O1138" s="20" t="str">
        <x:v>Needs review</x:v>
      </x:c>
      <x:c r="P1138" s="20" t="str">
        <x:v>Screening score for Russia / Propaganda ecosystems in Nauru; verify with country-specific evidence before final use.</x:v>
      </x:c>
    </x:row>
    <x:row r="1139" ht="24" customHeight="1">
      <x:c r="A1139" s="20" t="str">
        <x:v>NRU|Russia|PMC presence</x:v>
      </x:c>
      <x:c r="B1139" s="20" t="str">
        <x:v>Nauru</x:v>
      </x:c>
      <x:c r="C1139" s="20" t="str">
        <x:v>NRU</x:v>
      </x:c>
      <x:c r="D1139" s="20" t="str">
        <x:v>Russia</x:v>
      </x:c>
      <x:c r="E1139" s="20" t="str">
        <x:v>Russian influence</x:v>
      </x:c>
      <x:c r="F1139" s="20" t="str">
        <x:v>PMC presence</x:v>
      </x:c>
      <x:c r="G1139" s="384" t="n">
        <x:v>0</x:v>
      </x:c>
      <x:c r="H1139" s="396" t="n">
        <x:v>1</x:v>
      </x:c>
      <x:c r="I1139" s="20" t="str">
        <x:v>Treasury and Council of the EU Wagner/PMC source register</x:v>
      </x:c>
      <x:c r="J1139" s="397" t="str">
        <x:v>https://www.consilium.europa.eu/en/press/press-releases/2023/02/25/wagner-group-council-adds-11-individuals-and-7-entities-to-eu-sanctions-lists/</x:v>
      </x:c>
      <x:c r="K1139" s="20" t="str">
        <x:v>Primary source-register URL; automated screening score</x:v>
      </x:c>
      <x:c r="L1139" s="20" t="str">
        <x:v>2026-05-20</x:v>
      </x:c>
      <x:c r="M1139" s="20" t="str">
        <x:v>2026-05-20</x:v>
      </x:c>
      <x:c r="N1139" s="20" t="str">
        <x:v>GPT-5.5 Pro</x:v>
      </x:c>
      <x:c r="O1139" s="20" t="str">
        <x:v>Needs review</x:v>
      </x:c>
      <x:c r="P1139" s="20" t="str">
        <x:v>Screening score for Russia / PMC presence in Nauru; verify with country-specific evidence before final use.</x:v>
      </x:c>
    </x:row>
    <x:row r="1140" ht="24" customHeight="1">
      <x:c r="A1140" s="20" t="str">
        <x:v>NRU|Russia|Election interference</x:v>
      </x:c>
      <x:c r="B1140" s="20" t="str">
        <x:v>Nauru</x:v>
      </x:c>
      <x:c r="C1140" s="20" t="str">
        <x:v>NRU</x:v>
      </x:c>
      <x:c r="D1140" s="20" t="str">
        <x:v>Russia</x:v>
      </x:c>
      <x:c r="E1140" s="20" t="str">
        <x:v>Russian influence</x:v>
      </x:c>
      <x:c r="F1140" s="20" t="str">
        <x:v>Election interference</x:v>
      </x:c>
      <x:c r="G1140" s="384" t="n">
        <x:v>0</x:v>
      </x:c>
      <x:c r="H1140" s="396" t="n">
        <x:v>1</x:v>
      </x:c>
      <x:c r="I1140" s="20" t="str">
        <x:v>ODNI/EEAS election-FIMI source register</x:v>
      </x:c>
      <x:c r="J1140" s="397" t="str">
        <x:v>https://www.dni.gov/files/ODNI/documents/assessments/ATA-2026-Unclassified-Report.pdf</x:v>
      </x:c>
      <x:c r="K1140" s="20" t="str">
        <x:v>Primary source-register URL; automated screening score</x:v>
      </x:c>
      <x:c r="L1140" s="20" t="str">
        <x:v>2026-05-20</x:v>
      </x:c>
      <x:c r="M1140" s="20" t="str">
        <x:v>2026-05-20</x:v>
      </x:c>
      <x:c r="N1140" s="20" t="str">
        <x:v>GPT-5.5 Pro</x:v>
      </x:c>
      <x:c r="O1140" s="20" t="str">
        <x:v>Needs review</x:v>
      </x:c>
      <x:c r="P1140" s="20" t="str">
        <x:v>Screening score for Russia / Election interference in Nauru; verify with country-specific evidence before final use.</x:v>
      </x:c>
    </x:row>
    <x:row r="1141" ht="24" customHeight="1">
      <x:c r="A1141" s="20" t="str">
        <x:v>NRU|Russia|Security contractors</x:v>
      </x:c>
      <x:c r="B1141" s="20" t="str">
        <x:v>Nauru</x:v>
      </x:c>
      <x:c r="C1141" s="20" t="str">
        <x:v>NRU</x:v>
      </x:c>
      <x:c r="D1141" s="20" t="str">
        <x:v>Russia</x:v>
      </x:c>
      <x:c r="E1141" s="20" t="str">
        <x:v>Russian influence</x:v>
      </x:c>
      <x:c r="F1141" s="20" t="str">
        <x:v>Security contractors</x:v>
      </x:c>
      <x:c r="G1141" s="384" t="n">
        <x:v>0</x:v>
      </x:c>
      <x:c r="H1141" s="396" t="n">
        <x:v>1</x:v>
      </x:c>
      <x:c r="I1141" s="20" t="str">
        <x:v>Council of the EU/Treasury Wagner-security source register</x:v>
      </x:c>
      <x:c r="J1141" s="397" t="str">
        <x:v>https://www.consilium.europa.eu/en/press/press-releases/2023/02/25/wagner-group-council-adds-11-individuals-and-7-entities-to-eu-sanctions-lists/</x:v>
      </x:c>
      <x:c r="K1141" s="20" t="str">
        <x:v>Primary source-register URL; automated screening score</x:v>
      </x:c>
      <x:c r="L1141" s="20" t="str">
        <x:v>2026-05-20</x:v>
      </x:c>
      <x:c r="M1141" s="20" t="str">
        <x:v>2026-05-20</x:v>
      </x:c>
      <x:c r="N1141" s="20" t="str">
        <x:v>GPT-5.5 Pro</x:v>
      </x:c>
      <x:c r="O1141" s="20" t="str">
        <x:v>Needs review</x:v>
      </x:c>
      <x:c r="P1141" s="20" t="str">
        <x:v>Screening score for Russia / Security contractors in Nauru; verify with country-specific evidence before final use.</x:v>
      </x:c>
    </x:row>
    <x:row r="1142" ht="24" customHeight="1">
      <x:c r="A1142" s="20" t="str">
        <x:v>NRU|China|Propaganda ecosystems</x:v>
      </x:c>
      <x:c r="B1142" s="20" t="str">
        <x:v>Nauru</x:v>
      </x:c>
      <x:c r="C1142" s="20" t="str">
        <x:v>NRU</x:v>
      </x:c>
      <x:c r="D1142" s="20" t="str">
        <x:v>China</x:v>
      </x:c>
      <x:c r="E1142" s="20" t="str">
        <x:v>Chinese influence</x:v>
      </x:c>
      <x:c r="F1142" s="20" t="str">
        <x:v>Propaganda ecosystems</x:v>
      </x:c>
      <x:c r="G1142" s="384" t="n">
        <x:v>7</x:v>
      </x:c>
      <x:c r="H1142" s="396" t="n">
        <x:v>4</x:v>
      </x:c>
      <x:c r="I1142" s="20" t="str">
        <x:v>EEAS/ODNI China FIMI source register</x:v>
      </x:c>
      <x:c r="J1142" s="397" t="str">
        <x:v>https://www.eeas.europa.eu/eeas/4th-eeas-annual-report-foreign-information-manipulation-and-interference-threats_en</x:v>
      </x:c>
      <x:c r="K1142" s="20" t="str">
        <x:v>Primary source-register URL; automated screening score</x:v>
      </x:c>
      <x:c r="L1142" s="20" t="str">
        <x:v>2026-05-20</x:v>
      </x:c>
      <x:c r="M1142" s="20" t="str">
        <x:v>2026-05-20</x:v>
      </x:c>
      <x:c r="N1142" s="20" t="str">
        <x:v>GPT-5.5 Pro</x:v>
      </x:c>
      <x:c r="O1142" s="20" t="str">
        <x:v>Needs review</x:v>
      </x:c>
      <x:c r="P1142" s="20" t="str">
        <x:v>Screening score for China / Propaganda ecosystems in Nauru; verify with country-specific evidence before final use.</x:v>
      </x:c>
    </x:row>
    <x:row r="1143" ht="24" customHeight="1">
      <x:c r="A1143" s="20" t="str">
        <x:v>NRU|China|PMC presence</x:v>
      </x:c>
      <x:c r="B1143" s="20" t="str">
        <x:v>Nauru</x:v>
      </x:c>
      <x:c r="C1143" s="20" t="str">
        <x:v>NRU</x:v>
      </x:c>
      <x:c r="D1143" s="20" t="str">
        <x:v>China</x:v>
      </x:c>
      <x:c r="E1143" s="20" t="str">
        <x:v>Chinese influence</x:v>
      </x:c>
      <x:c r="F1143" s="20" t="str">
        <x:v>PMC presence</x:v>
      </x:c>
      <x:c r="G1143" s="384" t="n">
        <x:v>1</x:v>
      </x:c>
      <x:c r="H1143" s="396" t="n">
        <x:v>2</x:v>
      </x:c>
      <x:c r="I1143" s="20" t="str">
        <x:v>MERICS/Carnegie Chinese overseas PSC source register</x:v>
      </x:c>
      <x:c r="J1143" s="397" t="str">
        <x:v>https://merics.org/en/report/guardians-belt-and-road</x:v>
      </x:c>
      <x:c r="K1143" s="20" t="str">
        <x:v>Primary source-register URL; automated screening score</x:v>
      </x:c>
      <x:c r="L1143" s="20" t="str">
        <x:v>2026-05-20</x:v>
      </x:c>
      <x:c r="M1143" s="20" t="str">
        <x:v>2026-05-20</x:v>
      </x:c>
      <x:c r="N1143" s="20" t="str">
        <x:v>GPT-5.5 Pro</x:v>
      </x:c>
      <x:c r="O1143" s="20" t="str">
        <x:v>Needs review</x:v>
      </x:c>
      <x:c r="P1143" s="20" t="str">
        <x:v>Screening score for China / PMC presence in Nauru; verify with country-specific evidence before final use.</x:v>
      </x:c>
    </x:row>
    <x:row r="1144" ht="24" customHeight="1">
      <x:c r="A1144" s="20" t="str">
        <x:v>NRU|China|Election interference</x:v>
      </x:c>
      <x:c r="B1144" s="20" t="str">
        <x:v>Nauru</x:v>
      </x:c>
      <x:c r="C1144" s="20" t="str">
        <x:v>NRU</x:v>
      </x:c>
      <x:c r="D1144" s="20" t="str">
        <x:v>China</x:v>
      </x:c>
      <x:c r="E1144" s="20" t="str">
        <x:v>Chinese influence</x:v>
      </x:c>
      <x:c r="F1144" s="20" t="str">
        <x:v>Election interference</x:v>
      </x:c>
      <x:c r="G1144" s="384" t="n">
        <x:v>3</x:v>
      </x:c>
      <x:c r="H1144" s="396" t="n">
        <x:v>3</x:v>
      </x:c>
      <x:c r="I1144" s="20" t="str">
        <x:v>EEAS/ODNI China election-FIMI source register</x:v>
      </x:c>
      <x:c r="J1144" s="397" t="str">
        <x:v>https://www.eeas.europa.eu/eeas/4th-eeas-annual-report-foreign-information-manipulation-and-interference-threats_en</x:v>
      </x:c>
      <x:c r="K1144" s="20" t="str">
        <x:v>Primary source-register URL; automated screening score</x:v>
      </x:c>
      <x:c r="L1144" s="20" t="str">
        <x:v>2026-05-20</x:v>
      </x:c>
      <x:c r="M1144" s="20" t="str">
        <x:v>2026-05-20</x:v>
      </x:c>
      <x:c r="N1144" s="20" t="str">
        <x:v>GPT-5.5 Pro</x:v>
      </x:c>
      <x:c r="O1144" s="20" t="str">
        <x:v>Needs review</x:v>
      </x:c>
      <x:c r="P1144" s="20" t="str">
        <x:v>Screening score for China / Election interference in Nauru; verify with country-specific evidence before final use.</x:v>
      </x:c>
    </x:row>
    <x:row r="1145" ht="24" customHeight="1">
      <x:c r="A1145" s="20" t="str">
        <x:v>NRU|China|Security contractors</x:v>
      </x:c>
      <x:c r="B1145" s="20" t="str">
        <x:v>Nauru</x:v>
      </x:c>
      <x:c r="C1145" s="20" t="str">
        <x:v>NRU</x:v>
      </x:c>
      <x:c r="D1145" s="20" t="str">
        <x:v>China</x:v>
      </x:c>
      <x:c r="E1145" s="20" t="str">
        <x:v>Chinese influence</x:v>
      </x:c>
      <x:c r="F1145" s="20" t="str">
        <x:v>Security contractors</x:v>
      </x:c>
      <x:c r="G1145" s="384" t="n">
        <x:v>2</x:v>
      </x:c>
      <x:c r="H1145" s="396" t="n">
        <x:v>2</x:v>
      </x:c>
      <x:c r="I1145" s="20" t="str">
        <x:v>MERICS/Carnegie Chinese security contractor source register</x:v>
      </x:c>
      <x:c r="J1145" s="397" t="str">
        <x:v>https://merics.org/en/report/guardians-belt-and-road</x:v>
      </x:c>
      <x:c r="K1145" s="20" t="str">
        <x:v>Primary source-register URL; automated screening score</x:v>
      </x:c>
      <x:c r="L1145" s="20" t="str">
        <x:v>2026-05-20</x:v>
      </x:c>
      <x:c r="M1145" s="20" t="str">
        <x:v>2026-05-20</x:v>
      </x:c>
      <x:c r="N1145" s="20" t="str">
        <x:v>GPT-5.5 Pro</x:v>
      </x:c>
      <x:c r="O1145" s="20" t="str">
        <x:v>Needs review</x:v>
      </x:c>
      <x:c r="P1145" s="20" t="str">
        <x:v>Screening score for China / Security contractors in Nauru; verify with country-specific evidence before final use.</x:v>
      </x:c>
    </x:row>
    <x:row r="1146" ht="24" customHeight="1">
      <x:c r="A1146" s="20" t="str">
        <x:v>NRU|United States|Propaganda ecosystems</x:v>
      </x:c>
      <x:c r="B1146" s="20" t="str">
        <x:v>Nauru</x:v>
      </x:c>
      <x:c r="C1146" s="20" t="str">
        <x:v>NRU</x:v>
      </x:c>
      <x:c r="D1146" s="20" t="str">
        <x:v>United States</x:v>
      </x:c>
      <x:c r="E1146" s="20" t="str">
        <x:v>American influence</x:v>
      </x:c>
      <x:c r="F1146" s="20" t="str">
        <x:v>Propaganda ecosystems</x:v>
      </x:c>
      <x:c r="G1146" s="384" t="n">
        <x:v>3</x:v>
      </x:c>
      <x:c r="H1146" s="396" t="n">
        <x:v>3</x:v>
      </x:c>
      <x:c r="I1146" s="20" t="str">
        <x:v>USAGM public media source register</x:v>
      </x:c>
      <x:c r="J1146" s="397" t="str">
        <x:v>https://www.usagm.gov/our-work/strategy-and-results/strategic-priorities/research-reports/</x:v>
      </x:c>
      <x:c r="K1146" s="20" t="str">
        <x:v>Primary source-register URL; automated screening score</x:v>
      </x:c>
      <x:c r="L1146" s="20" t="str">
        <x:v>2026-05-20</x:v>
      </x:c>
      <x:c r="M1146" s="20" t="str">
        <x:v>2026-05-20</x:v>
      </x:c>
      <x:c r="N1146" s="20" t="str">
        <x:v>GPT-5.5 Pro</x:v>
      </x:c>
      <x:c r="O1146" s="20" t="str">
        <x:v>Needs review</x:v>
      </x:c>
      <x:c r="P1146" s="20" t="str">
        <x:v>Screening score for United States / Propaganda ecosystems in Nauru; verify with country-specific evidence before final use.</x:v>
      </x:c>
    </x:row>
    <x:row r="1147" ht="24" customHeight="1">
      <x:c r="A1147" s="20" t="str">
        <x:v>NRU|United States|PMC presence</x:v>
      </x:c>
      <x:c r="B1147" s="20" t="str">
        <x:v>Nauru</x:v>
      </x:c>
      <x:c r="C1147" s="20" t="str">
        <x:v>NRU</x:v>
      </x:c>
      <x:c r="D1147" s="20" t="str">
        <x:v>United States</x:v>
      </x:c>
      <x:c r="E1147" s="20" t="str">
        <x:v>American influence</x:v>
      </x:c>
      <x:c r="F1147" s="20" t="str">
        <x:v>PMC presence</x:v>
      </x:c>
      <x:c r="G1147" s="384" t="n">
        <x:v>1</x:v>
      </x:c>
      <x:c r="H1147" s="396" t="n">
        <x:v>2</x:v>
      </x:c>
      <x:c r="I1147" s="20" t="str">
        <x:v>SAM/Greenbook U.S. security assistance contractor source register</x:v>
      </x:c>
      <x:c r="J1147" s="397" t="str">
        <x:v>https://internationalpolicy.org/programs/sam/</x:v>
      </x:c>
      <x:c r="K1147" s="20" t="str">
        <x:v>Primary source-register URL; automated screening score</x:v>
      </x:c>
      <x:c r="L1147" s="20" t="str">
        <x:v>2026-05-20</x:v>
      </x:c>
      <x:c r="M1147" s="20" t="str">
        <x:v>2026-05-20</x:v>
      </x:c>
      <x:c r="N1147" s="20" t="str">
        <x:v>GPT-5.5 Pro</x:v>
      </x:c>
      <x:c r="O1147" s="20" t="str">
        <x:v>Needs review</x:v>
      </x:c>
      <x:c r="P1147" s="20" t="str">
        <x:v>Screening score for United States / PMC presence in Nauru; verify with country-specific evidence before final use.</x:v>
      </x:c>
    </x:row>
    <x:row r="1148" ht="24" customHeight="1">
      <x:c r="A1148" s="20" t="str">
        <x:v>NRU|United States|Election interference</x:v>
      </x:c>
      <x:c r="B1148" s="20" t="str">
        <x:v>Nauru</x:v>
      </x:c>
      <x:c r="C1148" s="20" t="str">
        <x:v>NRU</x:v>
      </x:c>
      <x:c r="D1148" s="20" t="str">
        <x:v>United States</x:v>
      </x:c>
      <x:c r="E1148" s="20" t="str">
        <x:v>American influence</x:v>
      </x:c>
      <x:c r="F1148" s="20" t="str">
        <x:v>Election interference</x:v>
      </x:c>
      <x:c r="G1148" s="384" t="n">
        <x:v>1</x:v>
      </x:c>
      <x:c r="H1148" s="396" t="n">
        <x:v>2</x:v>
      </x:c>
      <x:c r="I1148" s="20" t="str">
        <x:v>NED/Greenbook democracy assistance source register</x:v>
      </x:c>
      <x:c r="J1148" s="397" t="str">
        <x:v>https://www.ned.org/ned-grantmaking/</x:v>
      </x:c>
      <x:c r="K1148" s="20" t="str">
        <x:v>Primary source-register URL; automated screening score</x:v>
      </x:c>
      <x:c r="L1148" s="20" t="str">
        <x:v>2026-05-20</x:v>
      </x:c>
      <x:c r="M1148" s="20" t="str">
        <x:v>2026-05-20</x:v>
      </x:c>
      <x:c r="N1148" s="20" t="str">
        <x:v>GPT-5.5 Pro</x:v>
      </x:c>
      <x:c r="O1148" s="20" t="str">
        <x:v>Needs review</x:v>
      </x:c>
      <x:c r="P1148" s="20" t="str">
        <x:v>Screening score for United States / Election interference in Nauru; verify with country-specific evidence before final use.</x:v>
      </x:c>
    </x:row>
    <x:row r="1149" ht="24" customHeight="1">
      <x:c r="A1149" s="20" t="str">
        <x:v>NRU|United States|Security contractors</x:v>
      </x:c>
      <x:c r="B1149" s="20" t="str">
        <x:v>Nauru</x:v>
      </x:c>
      <x:c r="C1149" s="20" t="str">
        <x:v>NRU</x:v>
      </x:c>
      <x:c r="D1149" s="20" t="str">
        <x:v>United States</x:v>
      </x:c>
      <x:c r="E1149" s="20" t="str">
        <x:v>American influence</x:v>
      </x:c>
      <x:c r="F1149" s="20" t="str">
        <x:v>Security contractors</x:v>
      </x:c>
      <x:c r="G1149" s="384" t="n">
        <x:v>2</x:v>
      </x:c>
      <x:c r="H1149" s="396" t="n">
        <x:v>2</x:v>
      </x:c>
      <x:c r="I1149" s="20" t="str">
        <x:v>SAM/Greenbook U.S. security contractor source register</x:v>
      </x:c>
      <x:c r="J1149" s="397" t="str">
        <x:v>https://internationalpolicy.org/programs/sam/</x:v>
      </x:c>
      <x:c r="K1149" s="20" t="str">
        <x:v>Primary source-register URL; automated screening score</x:v>
      </x:c>
      <x:c r="L1149" s="20" t="str">
        <x:v>2026-05-20</x:v>
      </x:c>
      <x:c r="M1149" s="20" t="str">
        <x:v>2026-05-20</x:v>
      </x:c>
      <x:c r="N1149" s="20" t="str">
        <x:v>GPT-5.5 Pro</x:v>
      </x:c>
      <x:c r="O1149" s="20" t="str">
        <x:v>Needs review</x:v>
      </x:c>
      <x:c r="P1149" s="20" t="str">
        <x:v>Screening score for United States / Security contractors in Nauru; verify with country-specific evidence before final use.</x:v>
      </x:c>
    </x:row>
    <x:row r="1150" ht="24" customHeight="1">
      <x:c r="A1150" s="20" t="str">
        <x:v>NRU|European Union|Propaganda ecosystems</x:v>
      </x:c>
      <x:c r="B1150" s="20" t="str">
        <x:v>Nauru</x:v>
      </x:c>
      <x:c r="C1150" s="20" t="str">
        <x:v>NRU</x:v>
      </x:c>
      <x:c r="D1150" s="20" t="str">
        <x:v>European Union</x:v>
      </x:c>
      <x:c r="E1150" s="20" t="str">
        <x:v>EU influence</x:v>
      </x:c>
      <x:c r="F1150" s="20" t="str">
        <x:v>Propaganda ecosystems</x:v>
      </x:c>
      <x:c r="G1150" s="384" t="n">
        <x:v>2</x:v>
      </x:c>
      <x:c r="H1150" s="396" t="n">
        <x:v>2</x:v>
      </x:c>
      <x:c r="I1150" s="20" t="str">
        <x:v>EEAS public diplomacy source register</x:v>
      </x:c>
      <x:c r="J1150" s="397" t="str">
        <x:v>https://www.eeas.europa.eu/eeas/public-diplomacy_en</x:v>
      </x:c>
      <x:c r="K1150" s="20" t="str">
        <x:v>Primary source-register URL; automated screening score</x:v>
      </x:c>
      <x:c r="L1150" s="20" t="str">
        <x:v>2026-05-20</x:v>
      </x:c>
      <x:c r="M1150" s="20" t="str">
        <x:v>2026-05-20</x:v>
      </x:c>
      <x:c r="N1150" s="20" t="str">
        <x:v>GPT-5.5 Pro</x:v>
      </x:c>
      <x:c r="O1150" s="20" t="str">
        <x:v>Needs review</x:v>
      </x:c>
      <x:c r="P1150" s="20" t="str">
        <x:v>Screening score for European Union / Propaganda ecosystems in Nauru; verify with country-specific evidence before final use.</x:v>
      </x:c>
    </x:row>
    <x:row r="1151" ht="24" customHeight="1">
      <x:c r="A1151" s="20" t="str">
        <x:v>NRU|European Union|PMC presence</x:v>
      </x:c>
      <x:c r="B1151" s="20" t="str">
        <x:v>Nauru</x:v>
      </x:c>
      <x:c r="C1151" s="20" t="str">
        <x:v>NRU</x:v>
      </x:c>
      <x:c r="D1151" s="20" t="str">
        <x:v>European Union</x:v>
      </x:c>
      <x:c r="E1151" s="20" t="str">
        <x:v>EU influence</x:v>
      </x:c>
      <x:c r="F1151" s="20" t="str">
        <x:v>PMC presence</x:v>
      </x:c>
      <x:c r="G1151" s="384" t="n">
        <x:v>0</x:v>
      </x:c>
      <x:c r="H1151" s="396" t="n">
        <x:v>1</x:v>
      </x:c>
      <x:c r="I1151" s="20" t="str">
        <x:v>EEAS CSDP missions source register</x:v>
      </x:c>
      <x:c r="J1151" s="397" t="str">
        <x:v>https://www.eeas.europa.eu/eeas/missions-and-operations_en</x:v>
      </x:c>
      <x:c r="K1151" s="20" t="str">
        <x:v>Primary source-register URL; automated screening score</x:v>
      </x:c>
      <x:c r="L1151" s="20" t="str">
        <x:v>2026-05-20</x:v>
      </x:c>
      <x:c r="M1151" s="20" t="str">
        <x:v>2026-05-20</x:v>
      </x:c>
      <x:c r="N1151" s="20" t="str">
        <x:v>GPT-5.5 Pro</x:v>
      </x:c>
      <x:c r="O1151" s="20" t="str">
        <x:v>Needs review</x:v>
      </x:c>
      <x:c r="P1151" s="20" t="str">
        <x:v>Screening score for European Union / PMC presence in Nauru; verify with country-specific evidence before final use.</x:v>
      </x:c>
    </x:row>
    <x:row r="1152" ht="24" customHeight="1">
      <x:c r="A1152" s="20" t="str">
        <x:v>NRU|European Union|Election interference</x:v>
      </x:c>
      <x:c r="B1152" s="20" t="str">
        <x:v>Nauru</x:v>
      </x:c>
      <x:c r="C1152" s="20" t="str">
        <x:v>NRU</x:v>
      </x:c>
      <x:c r="D1152" s="20" t="str">
        <x:v>European Union</x:v>
      </x:c>
      <x:c r="E1152" s="20" t="str">
        <x:v>EU influence</x:v>
      </x:c>
      <x:c r="F1152" s="20" t="str">
        <x:v>Election interference</x:v>
      </x:c>
      <x:c r="G1152" s="384" t="n">
        <x:v>1</x:v>
      </x:c>
      <x:c r="H1152" s="396" t="n">
        <x:v>2</x:v>
      </x:c>
      <x:c r="I1152" s="20" t="str">
        <x:v>EEAS EU election observation source register</x:v>
      </x:c>
      <x:c r="J1152" s="397" t="str">
        <x:v>https://www.eeas.europa.eu/eeas/eu-election-observation-missions-1_en?page_lang=en</x:v>
      </x:c>
      <x:c r="K1152" s="20" t="str">
        <x:v>Primary source-register URL; automated screening score</x:v>
      </x:c>
      <x:c r="L1152" s="20" t="str">
        <x:v>2026-05-20</x:v>
      </x:c>
      <x:c r="M1152" s="20" t="str">
        <x:v>2026-05-20</x:v>
      </x:c>
      <x:c r="N1152" s="20" t="str">
        <x:v>GPT-5.5 Pro</x:v>
      </x:c>
      <x:c r="O1152" s="20" t="str">
        <x:v>Needs review</x:v>
      </x:c>
      <x:c r="P1152" s="20" t="str">
        <x:v>Screening score for European Union / Election interference in Nauru; verify with country-specific evidence before final use.</x:v>
      </x:c>
    </x:row>
    <x:row r="1153" ht="24" customHeight="1">
      <x:c r="A1153" s="20" t="str">
        <x:v>NRU|European Union|Security contractors</x:v>
      </x:c>
      <x:c r="B1153" s="20" t="str">
        <x:v>Nauru</x:v>
      </x:c>
      <x:c r="C1153" s="20" t="str">
        <x:v>NRU</x:v>
      </x:c>
      <x:c r="D1153" s="20" t="str">
        <x:v>European Union</x:v>
      </x:c>
      <x:c r="E1153" s="20" t="str">
        <x:v>EU influence</x:v>
      </x:c>
      <x:c r="F1153" s="20" t="str">
        <x:v>Security contractors</x:v>
      </x:c>
      <x:c r="G1153" s="384" t="n">
        <x:v>1</x:v>
      </x:c>
      <x:c r="H1153" s="396" t="n">
        <x:v>2</x:v>
      </x:c>
      <x:c r="I1153" s="20" t="str">
        <x:v>EEAS CSDP / Global Gateway security source register</x:v>
      </x:c>
      <x:c r="J1153" s="397" t="str">
        <x:v>https://www.eeas.europa.eu/eeas/missions-and-operations_en</x:v>
      </x:c>
      <x:c r="K1153" s="20" t="str">
        <x:v>Primary source-register URL; automated screening score</x:v>
      </x:c>
      <x:c r="L1153" s="20" t="str">
        <x:v>2026-05-20</x:v>
      </x:c>
      <x:c r="M1153" s="20" t="str">
        <x:v>2026-05-20</x:v>
      </x:c>
      <x:c r="N1153" s="20" t="str">
        <x:v>GPT-5.5 Pro</x:v>
      </x:c>
      <x:c r="O1153" s="20" t="str">
        <x:v>Needs review</x:v>
      </x:c>
      <x:c r="P1153" s="20" t="str">
        <x:v>Screening score for European Union / Security contractors in Nauru; verify with country-specific evidence before final use.</x:v>
      </x:c>
    </x:row>
    <x:row r="1154" ht="24" customHeight="1">
      <x:c r="A1154" s="20" t="str">
        <x:v>NLD|Russia|Propaganda ecosystems</x:v>
      </x:c>
      <x:c r="B1154" s="20" t="str">
        <x:v>Netherlands</x:v>
      </x:c>
      <x:c r="C1154" s="20" t="str">
        <x:v>NLD</x:v>
      </x:c>
      <x:c r="D1154" s="20" t="str">
        <x:v>Russia</x:v>
      </x:c>
      <x:c r="E1154" s="20" t="str">
        <x:v>Russian influence</x:v>
      </x:c>
      <x:c r="F1154" s="20" t="str">
        <x:v>Propaganda ecosystems</x:v>
      </x:c>
      <x:c r="G1154" s="384" t="n">
        <x:v>5</x:v>
      </x:c>
      <x:c r="H1154" s="396" t="n">
        <x:v>3</x:v>
      </x:c>
      <x:c r="I1154" s="20" t="str">
        <x:v>EEAS/EUvsDisinfo FIMI source register</x:v>
      </x:c>
      <x:c r="J1154" s="397" t="str">
        <x:v>https://www.eeas.europa.eu/eeas/4th-eeas-annual-report-foreign-information-manipulation-and-interference-threats_en</x:v>
      </x:c>
      <x:c r="K1154" s="20" t="str">
        <x:v>Primary source-register URL; automated screening score</x:v>
      </x:c>
      <x:c r="L1154" s="20" t="str">
        <x:v>2026-05-20</x:v>
      </x:c>
      <x:c r="M1154" s="20" t="str">
        <x:v>2026-05-20</x:v>
      </x:c>
      <x:c r="N1154" s="20" t="str">
        <x:v>GPT-5.5 Pro</x:v>
      </x:c>
      <x:c r="O1154" s="20" t="str">
        <x:v>Needs review</x:v>
      </x:c>
      <x:c r="P1154" s="20" t="str">
        <x:v>Screening score for Russia / Propaganda ecosystems in Netherlands; verify with country-specific evidence before final use.</x:v>
      </x:c>
    </x:row>
    <x:row r="1155" ht="24" customHeight="1">
      <x:c r="A1155" s="20" t="str">
        <x:v>NLD|Russia|PMC presence</x:v>
      </x:c>
      <x:c r="B1155" s="20" t="str">
        <x:v>Netherlands</x:v>
      </x:c>
      <x:c r="C1155" s="20" t="str">
        <x:v>NLD</x:v>
      </x:c>
      <x:c r="D1155" s="20" t="str">
        <x:v>Russia</x:v>
      </x:c>
      <x:c r="E1155" s="20" t="str">
        <x:v>Russian influence</x:v>
      </x:c>
      <x:c r="F1155" s="20" t="str">
        <x:v>PMC presence</x:v>
      </x:c>
      <x:c r="G1155" s="384" t="n">
        <x:v>0</x:v>
      </x:c>
      <x:c r="H1155" s="396" t="n">
        <x:v>1</x:v>
      </x:c>
      <x:c r="I1155" s="20" t="str">
        <x:v>Treasury and Council of the EU Wagner/PMC source register</x:v>
      </x:c>
      <x:c r="J1155" s="397" t="str">
        <x:v>https://www.consilium.europa.eu/en/press/press-releases/2023/02/25/wagner-group-council-adds-11-individuals-and-7-entities-to-eu-sanctions-lists/</x:v>
      </x:c>
      <x:c r="K1155" s="20" t="str">
        <x:v>Primary source-register URL; automated screening score</x:v>
      </x:c>
      <x:c r="L1155" s="20" t="str">
        <x:v>2026-05-20</x:v>
      </x:c>
      <x:c r="M1155" s="20" t="str">
        <x:v>2026-05-20</x:v>
      </x:c>
      <x:c r="N1155" s="20" t="str">
        <x:v>GPT-5.5 Pro</x:v>
      </x:c>
      <x:c r="O1155" s="20" t="str">
        <x:v>Needs review</x:v>
      </x:c>
      <x:c r="P1155" s="20" t="str">
        <x:v>Screening score for Russia / PMC presence in Netherlands; verify with country-specific evidence before final use.</x:v>
      </x:c>
    </x:row>
    <x:row r="1156" ht="24" customHeight="1">
      <x:c r="A1156" s="20" t="str">
        <x:v>NLD|Russia|Election interference</x:v>
      </x:c>
      <x:c r="B1156" s="20" t="str">
        <x:v>Netherlands</x:v>
      </x:c>
      <x:c r="C1156" s="20" t="str">
        <x:v>NLD</x:v>
      </x:c>
      <x:c r="D1156" s="20" t="str">
        <x:v>Russia</x:v>
      </x:c>
      <x:c r="E1156" s="20" t="str">
        <x:v>Russian influence</x:v>
      </x:c>
      <x:c r="F1156" s="20" t="str">
        <x:v>Election interference</x:v>
      </x:c>
      <x:c r="G1156" s="384" t="n">
        <x:v>5</x:v>
      </x:c>
      <x:c r="H1156" s="396" t="n">
        <x:v>3</x:v>
      </x:c>
      <x:c r="I1156" s="20" t="str">
        <x:v>ODNI/EEAS election-FIMI source register</x:v>
      </x:c>
      <x:c r="J1156" s="397" t="str">
        <x:v>https://www.dni.gov/files/ODNI/documents/assessments/ATA-2026-Unclassified-Report.pdf</x:v>
      </x:c>
      <x:c r="K1156" s="20" t="str">
        <x:v>Primary source-register URL; automated screening score</x:v>
      </x:c>
      <x:c r="L1156" s="20" t="str">
        <x:v>2026-05-20</x:v>
      </x:c>
      <x:c r="M1156" s="20" t="str">
        <x:v>2026-05-20</x:v>
      </x:c>
      <x:c r="N1156" s="20" t="str">
        <x:v>GPT-5.5 Pro</x:v>
      </x:c>
      <x:c r="O1156" s="20" t="str">
        <x:v>Needs review</x:v>
      </x:c>
      <x:c r="P1156" s="20" t="str">
        <x:v>Screening score for Russia / Election interference in Netherlands; verify with country-specific evidence before final use.</x:v>
      </x:c>
    </x:row>
    <x:row r="1157" ht="24" customHeight="1">
      <x:c r="A1157" s="20" t="str">
        <x:v>NLD|Russia|Security contractors</x:v>
      </x:c>
      <x:c r="B1157" s="20" t="str">
        <x:v>Netherlands</x:v>
      </x:c>
      <x:c r="C1157" s="20" t="str">
        <x:v>NLD</x:v>
      </x:c>
      <x:c r="D1157" s="20" t="str">
        <x:v>Russia</x:v>
      </x:c>
      <x:c r="E1157" s="20" t="str">
        <x:v>Russian influence</x:v>
      </x:c>
      <x:c r="F1157" s="20" t="str">
        <x:v>Security contractors</x:v>
      </x:c>
      <x:c r="G1157" s="384" t="n">
        <x:v>0</x:v>
      </x:c>
      <x:c r="H1157" s="396" t="n">
        <x:v>1</x:v>
      </x:c>
      <x:c r="I1157" s="20" t="str">
        <x:v>Council of the EU/Treasury Wagner-security source register</x:v>
      </x:c>
      <x:c r="J1157" s="397" t="str">
        <x:v>https://www.consilium.europa.eu/en/press/press-releases/2023/02/25/wagner-group-council-adds-11-individuals-and-7-entities-to-eu-sanctions-lists/</x:v>
      </x:c>
      <x:c r="K1157" s="20" t="str">
        <x:v>Primary source-register URL; automated screening score</x:v>
      </x:c>
      <x:c r="L1157" s="20" t="str">
        <x:v>2026-05-20</x:v>
      </x:c>
      <x:c r="M1157" s="20" t="str">
        <x:v>2026-05-20</x:v>
      </x:c>
      <x:c r="N1157" s="20" t="str">
        <x:v>GPT-5.5 Pro</x:v>
      </x:c>
      <x:c r="O1157" s="20" t="str">
        <x:v>Needs review</x:v>
      </x:c>
      <x:c r="P1157" s="20" t="str">
        <x:v>Screening score for Russia / Security contractors in Netherlands; verify with country-specific evidence before final use.</x:v>
      </x:c>
    </x:row>
    <x:row r="1158" ht="24" customHeight="1">
      <x:c r="A1158" s="20" t="str">
        <x:v>NLD|China|Propaganda ecosystems</x:v>
      </x:c>
      <x:c r="B1158" s="20" t="str">
        <x:v>Netherlands</x:v>
      </x:c>
      <x:c r="C1158" s="20" t="str">
        <x:v>NLD</x:v>
      </x:c>
      <x:c r="D1158" s="20" t="str">
        <x:v>China</x:v>
      </x:c>
      <x:c r="E1158" s="20" t="str">
        <x:v>Chinese influence</x:v>
      </x:c>
      <x:c r="F1158" s="20" t="str">
        <x:v>Propaganda ecosystems</x:v>
      </x:c>
      <x:c r="G1158" s="384" t="n">
        <x:v>5</x:v>
      </x:c>
      <x:c r="H1158" s="396" t="n">
        <x:v>3</x:v>
      </x:c>
      <x:c r="I1158" s="20" t="str">
        <x:v>EEAS/ODNI China FIMI source register</x:v>
      </x:c>
      <x:c r="J1158" s="397" t="str">
        <x:v>https://www.eeas.europa.eu/eeas/4th-eeas-annual-report-foreign-information-manipulation-and-interference-threats_en</x:v>
      </x:c>
      <x:c r="K1158" s="20" t="str">
        <x:v>Primary source-register URL; automated screening score</x:v>
      </x:c>
      <x:c r="L1158" s="20" t="str">
        <x:v>2026-05-20</x:v>
      </x:c>
      <x:c r="M1158" s="20" t="str">
        <x:v>2026-05-20</x:v>
      </x:c>
      <x:c r="N1158" s="20" t="str">
        <x:v>GPT-5.5 Pro</x:v>
      </x:c>
      <x:c r="O1158" s="20" t="str">
        <x:v>Needs review</x:v>
      </x:c>
      <x:c r="P1158" s="20" t="str">
        <x:v>Screening score for China / Propaganda ecosystems in Netherlands; verify with country-specific evidence before final use.</x:v>
      </x:c>
    </x:row>
    <x:row r="1159" ht="24" customHeight="1">
      <x:c r="A1159" s="20" t="str">
        <x:v>NLD|China|PMC presence</x:v>
      </x:c>
      <x:c r="B1159" s="20" t="str">
        <x:v>Netherlands</x:v>
      </x:c>
      <x:c r="C1159" s="20" t="str">
        <x:v>NLD</x:v>
      </x:c>
      <x:c r="D1159" s="20" t="str">
        <x:v>China</x:v>
      </x:c>
      <x:c r="E1159" s="20" t="str">
        <x:v>Chinese influence</x:v>
      </x:c>
      <x:c r="F1159" s="20" t="str">
        <x:v>PMC presence</x:v>
      </x:c>
      <x:c r="G1159" s="384" t="n">
        <x:v>0</x:v>
      </x:c>
      <x:c r="H1159" s="396" t="n">
        <x:v>1</x:v>
      </x:c>
      <x:c r="I1159" s="20" t="str">
        <x:v>MERICS/Carnegie Chinese overseas PSC source register</x:v>
      </x:c>
      <x:c r="J1159" s="397" t="str">
        <x:v>https://merics.org/en/report/guardians-belt-and-road</x:v>
      </x:c>
      <x:c r="K1159" s="20" t="str">
        <x:v>Primary source-register URL; automated screening score</x:v>
      </x:c>
      <x:c r="L1159" s="20" t="str">
        <x:v>2026-05-20</x:v>
      </x:c>
      <x:c r="M1159" s="20" t="str">
        <x:v>2026-05-20</x:v>
      </x:c>
      <x:c r="N1159" s="20" t="str">
        <x:v>GPT-5.5 Pro</x:v>
      </x:c>
      <x:c r="O1159" s="20" t="str">
        <x:v>Needs review</x:v>
      </x:c>
      <x:c r="P1159" s="20" t="str">
        <x:v>Screening score for China / PMC presence in Netherlands; verify with country-specific evidence before final use.</x:v>
      </x:c>
    </x:row>
    <x:row r="1160" ht="24" customHeight="1">
      <x:c r="A1160" s="20" t="str">
        <x:v>NLD|China|Election interference</x:v>
      </x:c>
      <x:c r="B1160" s="20" t="str">
        <x:v>Netherlands</x:v>
      </x:c>
      <x:c r="C1160" s="20" t="str">
        <x:v>NLD</x:v>
      </x:c>
      <x:c r="D1160" s="20" t="str">
        <x:v>China</x:v>
      </x:c>
      <x:c r="E1160" s="20" t="str">
        <x:v>Chinese influence</x:v>
      </x:c>
      <x:c r="F1160" s="20" t="str">
        <x:v>Election interference</x:v>
      </x:c>
      <x:c r="G1160" s="384" t="n">
        <x:v>3</x:v>
      </x:c>
      <x:c r="H1160" s="396" t="n">
        <x:v>3</x:v>
      </x:c>
      <x:c r="I1160" s="20" t="str">
        <x:v>EEAS/ODNI China election-FIMI source register</x:v>
      </x:c>
      <x:c r="J1160" s="397" t="str">
        <x:v>https://www.eeas.europa.eu/eeas/4th-eeas-annual-report-foreign-information-manipulation-and-interference-threats_en</x:v>
      </x:c>
      <x:c r="K1160" s="20" t="str">
        <x:v>Primary source-register URL; automated screening score</x:v>
      </x:c>
      <x:c r="L1160" s="20" t="str">
        <x:v>2026-05-20</x:v>
      </x:c>
      <x:c r="M1160" s="20" t="str">
        <x:v>2026-05-20</x:v>
      </x:c>
      <x:c r="N1160" s="20" t="str">
        <x:v>GPT-5.5 Pro</x:v>
      </x:c>
      <x:c r="O1160" s="20" t="str">
        <x:v>Needs review</x:v>
      </x:c>
      <x:c r="P1160" s="20" t="str">
        <x:v>Screening score for China / Election interference in Netherlands; verify with country-specific evidence before final use.</x:v>
      </x:c>
    </x:row>
    <x:row r="1161" ht="24" customHeight="1">
      <x:c r="A1161" s="20" t="str">
        <x:v>NLD|China|Security contractors</x:v>
      </x:c>
      <x:c r="B1161" s="20" t="str">
        <x:v>Netherlands</x:v>
      </x:c>
      <x:c r="C1161" s="20" t="str">
        <x:v>NLD</x:v>
      </x:c>
      <x:c r="D1161" s="20" t="str">
        <x:v>China</x:v>
      </x:c>
      <x:c r="E1161" s="20" t="str">
        <x:v>Chinese influence</x:v>
      </x:c>
      <x:c r="F1161" s="20" t="str">
        <x:v>Security contractors</x:v>
      </x:c>
      <x:c r="G1161" s="384" t="n">
        <x:v>0</x:v>
      </x:c>
      <x:c r="H1161" s="396" t="n">
        <x:v>1</x:v>
      </x:c>
      <x:c r="I1161" s="20" t="str">
        <x:v>MERICS/Carnegie Chinese security contractor source register</x:v>
      </x:c>
      <x:c r="J1161" s="397" t="str">
        <x:v>https://merics.org/en/report/guardians-belt-and-road</x:v>
      </x:c>
      <x:c r="K1161" s="20" t="str">
        <x:v>Primary source-register URL; automated screening score</x:v>
      </x:c>
      <x:c r="L1161" s="20" t="str">
        <x:v>2026-05-20</x:v>
      </x:c>
      <x:c r="M1161" s="20" t="str">
        <x:v>2026-05-20</x:v>
      </x:c>
      <x:c r="N1161" s="20" t="str">
        <x:v>GPT-5.5 Pro</x:v>
      </x:c>
      <x:c r="O1161" s="20" t="str">
        <x:v>Needs review</x:v>
      </x:c>
      <x:c r="P1161" s="20" t="str">
        <x:v>Screening score for China / Security contractors in Netherlands; verify with country-specific evidence before final use.</x:v>
      </x:c>
    </x:row>
    <x:row r="1162" ht="24" customHeight="1">
      <x:c r="A1162" s="20" t="str">
        <x:v>NLD|United States|Propaganda ecosystems</x:v>
      </x:c>
      <x:c r="B1162" s="20" t="str">
        <x:v>Netherlands</x:v>
      </x:c>
      <x:c r="C1162" s="20" t="str">
        <x:v>NLD</x:v>
      </x:c>
      <x:c r="D1162" s="20" t="str">
        <x:v>United States</x:v>
      </x:c>
      <x:c r="E1162" s="20" t="str">
        <x:v>American influence</x:v>
      </x:c>
      <x:c r="F1162" s="20" t="str">
        <x:v>Propaganda ecosystems</x:v>
      </x:c>
      <x:c r="G1162" s="384" t="n">
        <x:v>4</x:v>
      </x:c>
      <x:c r="H1162" s="396" t="n">
        <x:v>3</x:v>
      </x:c>
      <x:c r="I1162" s="20" t="str">
        <x:v>USAGM public media source register</x:v>
      </x:c>
      <x:c r="J1162" s="397" t="str">
        <x:v>https://www.usagm.gov/our-work/strategy-and-results/strategic-priorities/research-reports/</x:v>
      </x:c>
      <x:c r="K1162" s="20" t="str">
        <x:v>Primary source-register URL; automated screening score</x:v>
      </x:c>
      <x:c r="L1162" s="20" t="str">
        <x:v>2026-05-20</x:v>
      </x:c>
      <x:c r="M1162" s="20" t="str">
        <x:v>2026-05-20</x:v>
      </x:c>
      <x:c r="N1162" s="20" t="str">
        <x:v>GPT-5.5 Pro</x:v>
      </x:c>
      <x:c r="O1162" s="20" t="str">
        <x:v>Needs review</x:v>
      </x:c>
      <x:c r="P1162" s="20" t="str">
        <x:v>Screening score for United States / Propaganda ecosystems in Netherlands; verify with country-specific evidence before final use.</x:v>
      </x:c>
    </x:row>
    <x:row r="1163" ht="24" customHeight="1">
      <x:c r="A1163" s="20" t="str">
        <x:v>NLD|United States|PMC presence</x:v>
      </x:c>
      <x:c r="B1163" s="20" t="str">
        <x:v>Netherlands</x:v>
      </x:c>
      <x:c r="C1163" s="20" t="str">
        <x:v>NLD</x:v>
      </x:c>
      <x:c r="D1163" s="20" t="str">
        <x:v>United States</x:v>
      </x:c>
      <x:c r="E1163" s="20" t="str">
        <x:v>American influence</x:v>
      </x:c>
      <x:c r="F1163" s="20" t="str">
        <x:v>PMC presence</x:v>
      </x:c>
      <x:c r="G1163" s="384" t="n">
        <x:v>3</x:v>
      </x:c>
      <x:c r="H1163" s="396" t="n">
        <x:v>3</x:v>
      </x:c>
      <x:c r="I1163" s="20" t="str">
        <x:v>SAM/Greenbook U.S. security assistance contractor source register</x:v>
      </x:c>
      <x:c r="J1163" s="397" t="str">
        <x:v>https://internationalpolicy.org/programs/sam/</x:v>
      </x:c>
      <x:c r="K1163" s="20" t="str">
        <x:v>Primary source-register URL; automated screening score</x:v>
      </x:c>
      <x:c r="L1163" s="20" t="str">
        <x:v>2026-05-20</x:v>
      </x:c>
      <x:c r="M1163" s="20" t="str">
        <x:v>2026-05-20</x:v>
      </x:c>
      <x:c r="N1163" s="20" t="str">
        <x:v>GPT-5.5 Pro</x:v>
      </x:c>
      <x:c r="O1163" s="20" t="str">
        <x:v>Needs review</x:v>
      </x:c>
      <x:c r="P1163" s="20" t="str">
        <x:v>Screening score for United States / PMC presence in Netherlands; verify with country-specific evidence before final use.</x:v>
      </x:c>
    </x:row>
    <x:row r="1164" ht="24" customHeight="1">
      <x:c r="A1164" s="20" t="str">
        <x:v>NLD|United States|Election interference</x:v>
      </x:c>
      <x:c r="B1164" s="20" t="str">
        <x:v>Netherlands</x:v>
      </x:c>
      <x:c r="C1164" s="20" t="str">
        <x:v>NLD</x:v>
      </x:c>
      <x:c r="D1164" s="20" t="str">
        <x:v>United States</x:v>
      </x:c>
      <x:c r="E1164" s="20" t="str">
        <x:v>American influence</x:v>
      </x:c>
      <x:c r="F1164" s="20" t="str">
        <x:v>Election interference</x:v>
      </x:c>
      <x:c r="G1164" s="384" t="n">
        <x:v>1</x:v>
      </x:c>
      <x:c r="H1164" s="396" t="n">
        <x:v>2</x:v>
      </x:c>
      <x:c r="I1164" s="20" t="str">
        <x:v>NED/Greenbook democracy assistance source register</x:v>
      </x:c>
      <x:c r="J1164" s="397" t="str">
        <x:v>https://www.ned.org/ned-grantmaking/</x:v>
      </x:c>
      <x:c r="K1164" s="20" t="str">
        <x:v>Primary source-register URL; automated screening score</x:v>
      </x:c>
      <x:c r="L1164" s="20" t="str">
        <x:v>2026-05-20</x:v>
      </x:c>
      <x:c r="M1164" s="20" t="str">
        <x:v>2026-05-20</x:v>
      </x:c>
      <x:c r="N1164" s="20" t="str">
        <x:v>GPT-5.5 Pro</x:v>
      </x:c>
      <x:c r="O1164" s="20" t="str">
        <x:v>Needs review</x:v>
      </x:c>
      <x:c r="P1164" s="20" t="str">
        <x:v>Screening score for United States / Election interference in Netherlands; verify with country-specific evidence before final use.</x:v>
      </x:c>
    </x:row>
    <x:row r="1165" ht="24" customHeight="1">
      <x:c r="A1165" s="20" t="str">
        <x:v>NLD|United States|Security contractors</x:v>
      </x:c>
      <x:c r="B1165" s="20" t="str">
        <x:v>Netherlands</x:v>
      </x:c>
      <x:c r="C1165" s="20" t="str">
        <x:v>NLD</x:v>
      </x:c>
      <x:c r="D1165" s="20" t="str">
        <x:v>United States</x:v>
      </x:c>
      <x:c r="E1165" s="20" t="str">
        <x:v>American influence</x:v>
      </x:c>
      <x:c r="F1165" s="20" t="str">
        <x:v>Security contractors</x:v>
      </x:c>
      <x:c r="G1165" s="384" t="n">
        <x:v>6</x:v>
      </x:c>
      <x:c r="H1165" s="396" t="n">
        <x:v>4</x:v>
      </x:c>
      <x:c r="I1165" s="20" t="str">
        <x:v>SAM/Greenbook U.S. security contractor source register</x:v>
      </x:c>
      <x:c r="J1165" s="397" t="str">
        <x:v>https://internationalpolicy.org/programs/sam/</x:v>
      </x:c>
      <x:c r="K1165" s="20" t="str">
        <x:v>Primary source-register URL; automated screening score</x:v>
      </x:c>
      <x:c r="L1165" s="20" t="str">
        <x:v>2026-05-20</x:v>
      </x:c>
      <x:c r="M1165" s="20" t="str">
        <x:v>2026-05-20</x:v>
      </x:c>
      <x:c r="N1165" s="20" t="str">
        <x:v>GPT-5.5 Pro</x:v>
      </x:c>
      <x:c r="O1165" s="20" t="str">
        <x:v>Needs review</x:v>
      </x:c>
      <x:c r="P1165" s="20" t="str">
        <x:v>Screening score for United States / Security contractors in Netherlands; verify with country-specific evidence before final use.</x:v>
      </x:c>
    </x:row>
    <x:row r="1166" ht="24" customHeight="1">
      <x:c r="A1166" s="20" t="str">
        <x:v>NLD|European Union|Propaganda ecosystems</x:v>
      </x:c>
      <x:c r="B1166" s="20" t="str">
        <x:v>Netherlands</x:v>
      </x:c>
      <x:c r="C1166" s="20" t="str">
        <x:v>NLD</x:v>
      </x:c>
      <x:c r="D1166" s="20" t="str">
        <x:v>European Union</x:v>
      </x:c>
      <x:c r="E1166" s="20" t="str">
        <x:v>EU influence</x:v>
      </x:c>
      <x:c r="F1166" s="20" t="str">
        <x:v>Propaganda ecosystems</x:v>
      </x:c>
      <x:c r="G1166" s="384" t="n">
        <x:v>9</x:v>
      </x:c>
      <x:c r="H1166" s="396" t="n">
        <x:v>5</x:v>
      </x:c>
      <x:c r="I1166" s="20" t="str">
        <x:v>EEAS public diplomacy source register</x:v>
      </x:c>
      <x:c r="J1166" s="397" t="str">
        <x:v>https://www.eeas.europa.eu/eeas/public-diplomacy_en</x:v>
      </x:c>
      <x:c r="K1166" s="20" t="str">
        <x:v>Primary source-register URL; automated screening score</x:v>
      </x:c>
      <x:c r="L1166" s="20" t="str">
        <x:v>2026-05-20</x:v>
      </x:c>
      <x:c r="M1166" s="20" t="str">
        <x:v>2026-05-20</x:v>
      </x:c>
      <x:c r="N1166" s="20" t="str">
        <x:v>GPT-5.5 Pro</x:v>
      </x:c>
      <x:c r="O1166" s="20" t="str">
        <x:v>Needs review</x:v>
      </x:c>
      <x:c r="P1166" s="20" t="str">
        <x:v>Screening score for European Union / Propaganda ecosystems in Netherlands; verify with country-specific evidence before final use.</x:v>
      </x:c>
    </x:row>
    <x:row r="1167" ht="24" customHeight="1">
      <x:c r="A1167" s="20" t="str">
        <x:v>NLD|European Union|PMC presence</x:v>
      </x:c>
      <x:c r="B1167" s="20" t="str">
        <x:v>Netherlands</x:v>
      </x:c>
      <x:c r="C1167" s="20" t="str">
        <x:v>NLD</x:v>
      </x:c>
      <x:c r="D1167" s="20" t="str">
        <x:v>European Union</x:v>
      </x:c>
      <x:c r="E1167" s="20" t="str">
        <x:v>EU influence</x:v>
      </x:c>
      <x:c r="F1167" s="20" t="str">
        <x:v>PMC presence</x:v>
      </x:c>
      <x:c r="G1167" s="384" t="n">
        <x:v>0</x:v>
      </x:c>
      <x:c r="H1167" s="396" t="n">
        <x:v>1</x:v>
      </x:c>
      <x:c r="I1167" s="20" t="str">
        <x:v>EEAS CSDP missions source register</x:v>
      </x:c>
      <x:c r="J1167" s="397" t="str">
        <x:v>https://www.eeas.europa.eu/eeas/missions-and-operations_en</x:v>
      </x:c>
      <x:c r="K1167" s="20" t="str">
        <x:v>Primary source-register URL; automated screening score</x:v>
      </x:c>
      <x:c r="L1167" s="20" t="str">
        <x:v>2026-05-20</x:v>
      </x:c>
      <x:c r="M1167" s="20" t="str">
        <x:v>2026-05-20</x:v>
      </x:c>
      <x:c r="N1167" s="20" t="str">
        <x:v>GPT-5.5 Pro</x:v>
      </x:c>
      <x:c r="O1167" s="20" t="str">
        <x:v>Needs review</x:v>
      </x:c>
      <x:c r="P1167" s="20" t="str">
        <x:v>Screening score for European Union / PMC presence in Netherlands; verify with country-specific evidence before final use.</x:v>
      </x:c>
    </x:row>
    <x:row r="1168" ht="24" customHeight="1">
      <x:c r="A1168" s="20" t="str">
        <x:v>NLD|European Union|Election interference</x:v>
      </x:c>
      <x:c r="B1168" s="20" t="str">
        <x:v>Netherlands</x:v>
      </x:c>
      <x:c r="C1168" s="20" t="str">
        <x:v>NLD</x:v>
      </x:c>
      <x:c r="D1168" s="20" t="str">
        <x:v>European Union</x:v>
      </x:c>
      <x:c r="E1168" s="20" t="str">
        <x:v>EU influence</x:v>
      </x:c>
      <x:c r="F1168" s="20" t="str">
        <x:v>Election interference</x:v>
      </x:c>
      <x:c r="G1168" s="384" t="n">
        <x:v>2</x:v>
      </x:c>
      <x:c r="H1168" s="396" t="n">
        <x:v>2</x:v>
      </x:c>
      <x:c r="I1168" s="20" t="str">
        <x:v>EEAS EU election observation source register</x:v>
      </x:c>
      <x:c r="J1168" s="397" t="str">
        <x:v>https://www.eeas.europa.eu/eeas/eu-election-observation-missions-1_en?page_lang=en</x:v>
      </x:c>
      <x:c r="K1168" s="20" t="str">
        <x:v>Primary source-register URL; automated screening score</x:v>
      </x:c>
      <x:c r="L1168" s="20" t="str">
        <x:v>2026-05-20</x:v>
      </x:c>
      <x:c r="M1168" s="20" t="str">
        <x:v>2026-05-20</x:v>
      </x:c>
      <x:c r="N1168" s="20" t="str">
        <x:v>GPT-5.5 Pro</x:v>
      </x:c>
      <x:c r="O1168" s="20" t="str">
        <x:v>Needs review</x:v>
      </x:c>
      <x:c r="P1168" s="20" t="str">
        <x:v>Screening score for European Union / Election interference in Netherlands; verify with country-specific evidence before final use.</x:v>
      </x:c>
    </x:row>
    <x:row r="1169" ht="24" customHeight="1">
      <x:c r="A1169" s="20" t="str">
        <x:v>NLD|European Union|Security contractors</x:v>
      </x:c>
      <x:c r="B1169" s="20" t="str">
        <x:v>Netherlands</x:v>
      </x:c>
      <x:c r="C1169" s="20" t="str">
        <x:v>NLD</x:v>
      </x:c>
      <x:c r="D1169" s="20" t="str">
        <x:v>European Union</x:v>
      </x:c>
      <x:c r="E1169" s="20" t="str">
        <x:v>EU influence</x:v>
      </x:c>
      <x:c r="F1169" s="20" t="str">
        <x:v>Security contractors</x:v>
      </x:c>
      <x:c r="G1169" s="384" t="n">
        <x:v>5</x:v>
      </x:c>
      <x:c r="H1169" s="396" t="n">
        <x:v>3</x:v>
      </x:c>
      <x:c r="I1169" s="20" t="str">
        <x:v>EEAS CSDP / Global Gateway security source register</x:v>
      </x:c>
      <x:c r="J1169" s="397" t="str">
        <x:v>https://www.eeas.europa.eu/eeas/missions-and-operations_en</x:v>
      </x:c>
      <x:c r="K1169" s="20" t="str">
        <x:v>Primary source-register URL; automated screening score</x:v>
      </x:c>
      <x:c r="L1169" s="20" t="str">
        <x:v>2026-05-20</x:v>
      </x:c>
      <x:c r="M1169" s="20" t="str">
        <x:v>2026-05-20</x:v>
      </x:c>
      <x:c r="N1169" s="20" t="str">
        <x:v>GPT-5.5 Pro</x:v>
      </x:c>
      <x:c r="O1169" s="20" t="str">
        <x:v>Needs review</x:v>
      </x:c>
      <x:c r="P1169" s="20" t="str">
        <x:v>Screening score for European Union / Security contractors in Netherlands; verify with country-specific evidence before final use.</x:v>
      </x:c>
    </x:row>
    <x:row r="1170" ht="24" customHeight="1">
      <x:c r="A1170" s="20" t="str">
        <x:v>NCL|Russia|Propaganda ecosystems</x:v>
      </x:c>
      <x:c r="B1170" s="20" t="str">
        <x:v>New Caledonia</x:v>
      </x:c>
      <x:c r="C1170" s="20" t="str">
        <x:v>NCL</x:v>
      </x:c>
      <x:c r="D1170" s="20" t="str">
        <x:v>Russia</x:v>
      </x:c>
      <x:c r="E1170" s="20" t="str">
        <x:v>Russian influence</x:v>
      </x:c>
      <x:c r="F1170" s="20" t="str">
        <x:v>Propaganda ecosystems</x:v>
      </x:c>
      <x:c r="G1170" s="384" t="n">
        <x:v>2</x:v>
      </x:c>
      <x:c r="H1170" s="396" t="n">
        <x:v>2</x:v>
      </x:c>
      <x:c r="I1170" s="20" t="str">
        <x:v>EEAS/EUvsDisinfo FIMI source register</x:v>
      </x:c>
      <x:c r="J1170" s="397" t="str">
        <x:v>https://www.eeas.europa.eu/eeas/4th-eeas-annual-report-foreign-information-manipulation-and-interference-threats_en</x:v>
      </x:c>
      <x:c r="K1170" s="20" t="str">
        <x:v>Primary source-register URL; automated screening score</x:v>
      </x:c>
      <x:c r="L1170" s="20" t="str">
        <x:v>2026-05-20</x:v>
      </x:c>
      <x:c r="M1170" s="20" t="str">
        <x:v>2026-05-20</x:v>
      </x:c>
      <x:c r="N1170" s="20" t="str">
        <x:v>GPT-5.5 Pro</x:v>
      </x:c>
      <x:c r="O1170" s="20" t="str">
        <x:v>Needs review</x:v>
      </x:c>
      <x:c r="P1170" s="20" t="str">
        <x:v>Screening score for Russia / Propaganda ecosystems in New Caledonia; verify with country-specific evidence before final use.</x:v>
      </x:c>
    </x:row>
    <x:row r="1171" ht="24" customHeight="1">
      <x:c r="A1171" s="20" t="str">
        <x:v>NCL|Russia|PMC presence</x:v>
      </x:c>
      <x:c r="B1171" s="20" t="str">
        <x:v>New Caledonia</x:v>
      </x:c>
      <x:c r="C1171" s="20" t="str">
        <x:v>NCL</x:v>
      </x:c>
      <x:c r="D1171" s="20" t="str">
        <x:v>Russia</x:v>
      </x:c>
      <x:c r="E1171" s="20" t="str">
        <x:v>Russian influence</x:v>
      </x:c>
      <x:c r="F1171" s="20" t="str">
        <x:v>PMC presence</x:v>
      </x:c>
      <x:c r="G1171" s="384" t="n">
        <x:v>0</x:v>
      </x:c>
      <x:c r="H1171" s="396" t="n">
        <x:v>1</x:v>
      </x:c>
      <x:c r="I1171" s="20" t="str">
        <x:v>Treasury and Council of the EU Wagner/PMC source register</x:v>
      </x:c>
      <x:c r="J1171" s="397" t="str">
        <x:v>https://www.consilium.europa.eu/en/press/press-releases/2023/02/25/wagner-group-council-adds-11-individuals-and-7-entities-to-eu-sanctions-lists/</x:v>
      </x:c>
      <x:c r="K1171" s="20" t="str">
        <x:v>Primary source-register URL; automated screening score</x:v>
      </x:c>
      <x:c r="L1171" s="20" t="str">
        <x:v>2026-05-20</x:v>
      </x:c>
      <x:c r="M1171" s="20" t="str">
        <x:v>2026-05-20</x:v>
      </x:c>
      <x:c r="N1171" s="20" t="str">
        <x:v>GPT-5.5 Pro</x:v>
      </x:c>
      <x:c r="O1171" s="20" t="str">
        <x:v>Needs review</x:v>
      </x:c>
      <x:c r="P1171" s="20" t="str">
        <x:v>Screening score for Russia / PMC presence in New Caledonia; verify with country-specific evidence before final use.</x:v>
      </x:c>
    </x:row>
    <x:row r="1172" ht="24" customHeight="1">
      <x:c r="A1172" s="20" t="str">
        <x:v>NCL|Russia|Election interference</x:v>
      </x:c>
      <x:c r="B1172" s="20" t="str">
        <x:v>New Caledonia</x:v>
      </x:c>
      <x:c r="C1172" s="20" t="str">
        <x:v>NCL</x:v>
      </x:c>
      <x:c r="D1172" s="20" t="str">
        <x:v>Russia</x:v>
      </x:c>
      <x:c r="E1172" s="20" t="str">
        <x:v>Russian influence</x:v>
      </x:c>
      <x:c r="F1172" s="20" t="str">
        <x:v>Election interference</x:v>
      </x:c>
      <x:c r="G1172" s="384" t="n">
        <x:v>0</x:v>
      </x:c>
      <x:c r="H1172" s="396" t="n">
        <x:v>1</x:v>
      </x:c>
      <x:c r="I1172" s="20" t="str">
        <x:v>ODNI/EEAS election-FIMI source register</x:v>
      </x:c>
      <x:c r="J1172" s="397" t="str">
        <x:v>https://www.dni.gov/files/ODNI/documents/assessments/ATA-2026-Unclassified-Report.pdf</x:v>
      </x:c>
      <x:c r="K1172" s="20" t="str">
        <x:v>Primary source-register URL; automated screening score</x:v>
      </x:c>
      <x:c r="L1172" s="20" t="str">
        <x:v>2026-05-20</x:v>
      </x:c>
      <x:c r="M1172" s="20" t="str">
        <x:v>2026-05-20</x:v>
      </x:c>
      <x:c r="N1172" s="20" t="str">
        <x:v>GPT-5.5 Pro</x:v>
      </x:c>
      <x:c r="O1172" s="20" t="str">
        <x:v>Needs review</x:v>
      </x:c>
      <x:c r="P1172" s="20" t="str">
        <x:v>Screening score for Russia / Election interference in New Caledonia; verify with country-specific evidence before final use.</x:v>
      </x:c>
    </x:row>
    <x:row r="1173" ht="24" customHeight="1">
      <x:c r="A1173" s="20" t="str">
        <x:v>NCL|Russia|Security contractors</x:v>
      </x:c>
      <x:c r="B1173" s="20" t="str">
        <x:v>New Caledonia</x:v>
      </x:c>
      <x:c r="C1173" s="20" t="str">
        <x:v>NCL</x:v>
      </x:c>
      <x:c r="D1173" s="20" t="str">
        <x:v>Russia</x:v>
      </x:c>
      <x:c r="E1173" s="20" t="str">
        <x:v>Russian influence</x:v>
      </x:c>
      <x:c r="F1173" s="20" t="str">
        <x:v>Security contractors</x:v>
      </x:c>
      <x:c r="G1173" s="384" t="n">
        <x:v>0</x:v>
      </x:c>
      <x:c r="H1173" s="396" t="n">
        <x:v>1</x:v>
      </x:c>
      <x:c r="I1173" s="20" t="str">
        <x:v>Council of the EU/Treasury Wagner-security source register</x:v>
      </x:c>
      <x:c r="J1173" s="397" t="str">
        <x:v>https://www.consilium.europa.eu/en/press/press-releases/2023/02/25/wagner-group-council-adds-11-individuals-and-7-entities-to-eu-sanctions-lists/</x:v>
      </x:c>
      <x:c r="K1173" s="20" t="str">
        <x:v>Primary source-register URL; automated screening score</x:v>
      </x:c>
      <x:c r="L1173" s="20" t="str">
        <x:v>2026-05-20</x:v>
      </x:c>
      <x:c r="M1173" s="20" t="str">
        <x:v>2026-05-20</x:v>
      </x:c>
      <x:c r="N1173" s="20" t="str">
        <x:v>GPT-5.5 Pro</x:v>
      </x:c>
      <x:c r="O1173" s="20" t="str">
        <x:v>Needs review</x:v>
      </x:c>
      <x:c r="P1173" s="20" t="str">
        <x:v>Screening score for Russia / Security contractors in New Caledonia; verify with country-specific evidence before final use.</x:v>
      </x:c>
    </x:row>
    <x:row r="1174" ht="24" customHeight="1">
      <x:c r="A1174" s="20" t="str">
        <x:v>NCL|China|Propaganda ecosystems</x:v>
      </x:c>
      <x:c r="B1174" s="20" t="str">
        <x:v>New Caledonia</x:v>
      </x:c>
      <x:c r="C1174" s="20" t="str">
        <x:v>NCL</x:v>
      </x:c>
      <x:c r="D1174" s="20" t="str">
        <x:v>China</x:v>
      </x:c>
      <x:c r="E1174" s="20" t="str">
        <x:v>Chinese influence</x:v>
      </x:c>
      <x:c r="F1174" s="20" t="str">
        <x:v>Propaganda ecosystems</x:v>
      </x:c>
      <x:c r="G1174" s="384" t="n">
        <x:v>7</x:v>
      </x:c>
      <x:c r="H1174" s="396" t="n">
        <x:v>4</x:v>
      </x:c>
      <x:c r="I1174" s="20" t="str">
        <x:v>EEAS/ODNI China FIMI source register</x:v>
      </x:c>
      <x:c r="J1174" s="397" t="str">
        <x:v>https://www.eeas.europa.eu/eeas/4th-eeas-annual-report-foreign-information-manipulation-and-interference-threats_en</x:v>
      </x:c>
      <x:c r="K1174" s="20" t="str">
        <x:v>Primary source-register URL; automated screening score</x:v>
      </x:c>
      <x:c r="L1174" s="20" t="str">
        <x:v>2026-05-20</x:v>
      </x:c>
      <x:c r="M1174" s="20" t="str">
        <x:v>2026-05-20</x:v>
      </x:c>
      <x:c r="N1174" s="20" t="str">
        <x:v>GPT-5.5 Pro</x:v>
      </x:c>
      <x:c r="O1174" s="20" t="str">
        <x:v>Needs review</x:v>
      </x:c>
      <x:c r="P1174" s="20" t="str">
        <x:v>Screening score for China / Propaganda ecosystems in New Caledonia; verify with country-specific evidence before final use.</x:v>
      </x:c>
    </x:row>
    <x:row r="1175" ht="24" customHeight="1">
      <x:c r="A1175" s="20" t="str">
        <x:v>NCL|China|PMC presence</x:v>
      </x:c>
      <x:c r="B1175" s="20" t="str">
        <x:v>New Caledonia</x:v>
      </x:c>
      <x:c r="C1175" s="20" t="str">
        <x:v>NCL</x:v>
      </x:c>
      <x:c r="D1175" s="20" t="str">
        <x:v>China</x:v>
      </x:c>
      <x:c r="E1175" s="20" t="str">
        <x:v>Chinese influence</x:v>
      </x:c>
      <x:c r="F1175" s="20" t="str">
        <x:v>PMC presence</x:v>
      </x:c>
      <x:c r="G1175" s="384" t="n">
        <x:v>1</x:v>
      </x:c>
      <x:c r="H1175" s="396" t="n">
        <x:v>2</x:v>
      </x:c>
      <x:c r="I1175" s="20" t="str">
        <x:v>MERICS/Carnegie Chinese overseas PSC source register</x:v>
      </x:c>
      <x:c r="J1175" s="397" t="str">
        <x:v>https://merics.org/en/report/guardians-belt-and-road</x:v>
      </x:c>
      <x:c r="K1175" s="20" t="str">
        <x:v>Primary source-register URL; automated screening score</x:v>
      </x:c>
      <x:c r="L1175" s="20" t="str">
        <x:v>2026-05-20</x:v>
      </x:c>
      <x:c r="M1175" s="20" t="str">
        <x:v>2026-05-20</x:v>
      </x:c>
      <x:c r="N1175" s="20" t="str">
        <x:v>GPT-5.5 Pro</x:v>
      </x:c>
      <x:c r="O1175" s="20" t="str">
        <x:v>Needs review</x:v>
      </x:c>
      <x:c r="P1175" s="20" t="str">
        <x:v>Screening score for China / PMC presence in New Caledonia; verify with country-specific evidence before final use.</x:v>
      </x:c>
    </x:row>
    <x:row r="1176" ht="24" customHeight="1">
      <x:c r="A1176" s="20" t="str">
        <x:v>NCL|China|Election interference</x:v>
      </x:c>
      <x:c r="B1176" s="20" t="str">
        <x:v>New Caledonia</x:v>
      </x:c>
      <x:c r="C1176" s="20" t="str">
        <x:v>NCL</x:v>
      </x:c>
      <x:c r="D1176" s="20" t="str">
        <x:v>China</x:v>
      </x:c>
      <x:c r="E1176" s="20" t="str">
        <x:v>Chinese influence</x:v>
      </x:c>
      <x:c r="F1176" s="20" t="str">
        <x:v>Election interference</x:v>
      </x:c>
      <x:c r="G1176" s="384" t="n">
        <x:v>3</x:v>
      </x:c>
      <x:c r="H1176" s="396" t="n">
        <x:v>3</x:v>
      </x:c>
      <x:c r="I1176" s="20" t="str">
        <x:v>EEAS/ODNI China election-FIMI source register</x:v>
      </x:c>
      <x:c r="J1176" s="397" t="str">
        <x:v>https://www.eeas.europa.eu/eeas/4th-eeas-annual-report-foreign-information-manipulation-and-interference-threats_en</x:v>
      </x:c>
      <x:c r="K1176" s="20" t="str">
        <x:v>Primary source-register URL; automated screening score</x:v>
      </x:c>
      <x:c r="L1176" s="20" t="str">
        <x:v>2026-05-20</x:v>
      </x:c>
      <x:c r="M1176" s="20" t="str">
        <x:v>2026-05-20</x:v>
      </x:c>
      <x:c r="N1176" s="20" t="str">
        <x:v>GPT-5.5 Pro</x:v>
      </x:c>
      <x:c r="O1176" s="20" t="str">
        <x:v>Needs review</x:v>
      </x:c>
      <x:c r="P1176" s="20" t="str">
        <x:v>Screening score for China / Election interference in New Caledonia; verify with country-specific evidence before final use.</x:v>
      </x:c>
    </x:row>
    <x:row r="1177" ht="24" customHeight="1">
      <x:c r="A1177" s="20" t="str">
        <x:v>NCL|China|Security contractors</x:v>
      </x:c>
      <x:c r="B1177" s="20" t="str">
        <x:v>New Caledonia</x:v>
      </x:c>
      <x:c r="C1177" s="20" t="str">
        <x:v>NCL</x:v>
      </x:c>
      <x:c r="D1177" s="20" t="str">
        <x:v>China</x:v>
      </x:c>
      <x:c r="E1177" s="20" t="str">
        <x:v>Chinese influence</x:v>
      </x:c>
      <x:c r="F1177" s="20" t="str">
        <x:v>Security contractors</x:v>
      </x:c>
      <x:c r="G1177" s="384" t="n">
        <x:v>2</x:v>
      </x:c>
      <x:c r="H1177" s="396" t="n">
        <x:v>2</x:v>
      </x:c>
      <x:c r="I1177" s="20" t="str">
        <x:v>MERICS/Carnegie Chinese security contractor source register</x:v>
      </x:c>
      <x:c r="J1177" s="397" t="str">
        <x:v>https://merics.org/en/report/guardians-belt-and-road</x:v>
      </x:c>
      <x:c r="K1177" s="20" t="str">
        <x:v>Primary source-register URL; automated screening score</x:v>
      </x:c>
      <x:c r="L1177" s="20" t="str">
        <x:v>2026-05-20</x:v>
      </x:c>
      <x:c r="M1177" s="20" t="str">
        <x:v>2026-05-20</x:v>
      </x:c>
      <x:c r="N1177" s="20" t="str">
        <x:v>GPT-5.5 Pro</x:v>
      </x:c>
      <x:c r="O1177" s="20" t="str">
        <x:v>Needs review</x:v>
      </x:c>
      <x:c r="P1177" s="20" t="str">
        <x:v>Screening score for China / Security contractors in New Caledonia; verify with country-specific evidence before final use.</x:v>
      </x:c>
    </x:row>
    <x:row r="1178" ht="24" customHeight="1">
      <x:c r="A1178" s="20" t="str">
        <x:v>NCL|United States|Propaganda ecosystems</x:v>
      </x:c>
      <x:c r="B1178" s="20" t="str">
        <x:v>New Caledonia</x:v>
      </x:c>
      <x:c r="C1178" s="20" t="str">
        <x:v>NCL</x:v>
      </x:c>
      <x:c r="D1178" s="20" t="str">
        <x:v>United States</x:v>
      </x:c>
      <x:c r="E1178" s="20" t="str">
        <x:v>American influence</x:v>
      </x:c>
      <x:c r="F1178" s="20" t="str">
        <x:v>Propaganda ecosystems</x:v>
      </x:c>
      <x:c r="G1178" s="384" t="n">
        <x:v>3</x:v>
      </x:c>
      <x:c r="H1178" s="396" t="n">
        <x:v>3</x:v>
      </x:c>
      <x:c r="I1178" s="20" t="str">
        <x:v>USAGM public media source register</x:v>
      </x:c>
      <x:c r="J1178" s="397" t="str">
        <x:v>https://www.usagm.gov/our-work/strategy-and-results/strategic-priorities/research-reports/</x:v>
      </x:c>
      <x:c r="K1178" s="20" t="str">
        <x:v>Primary source-register URL; automated screening score</x:v>
      </x:c>
      <x:c r="L1178" s="20" t="str">
        <x:v>2026-05-20</x:v>
      </x:c>
      <x:c r="M1178" s="20" t="str">
        <x:v>2026-05-20</x:v>
      </x:c>
      <x:c r="N1178" s="20" t="str">
        <x:v>GPT-5.5 Pro</x:v>
      </x:c>
      <x:c r="O1178" s="20" t="str">
        <x:v>Needs review</x:v>
      </x:c>
      <x:c r="P1178" s="20" t="str">
        <x:v>Screening score for United States / Propaganda ecosystems in New Caledonia; verify with country-specific evidence before final use.</x:v>
      </x:c>
    </x:row>
    <x:row r="1179" ht="24" customHeight="1">
      <x:c r="A1179" s="20" t="str">
        <x:v>NCL|United States|PMC presence</x:v>
      </x:c>
      <x:c r="B1179" s="20" t="str">
        <x:v>New Caledonia</x:v>
      </x:c>
      <x:c r="C1179" s="20" t="str">
        <x:v>NCL</x:v>
      </x:c>
      <x:c r="D1179" s="20" t="str">
        <x:v>United States</x:v>
      </x:c>
      <x:c r="E1179" s="20" t="str">
        <x:v>American influence</x:v>
      </x:c>
      <x:c r="F1179" s="20" t="str">
        <x:v>PMC presence</x:v>
      </x:c>
      <x:c r="G1179" s="384" t="n">
        <x:v>1</x:v>
      </x:c>
      <x:c r="H1179" s="396" t="n">
        <x:v>2</x:v>
      </x:c>
      <x:c r="I1179" s="20" t="str">
        <x:v>SAM/Greenbook U.S. security assistance contractor source register</x:v>
      </x:c>
      <x:c r="J1179" s="397" t="str">
        <x:v>https://internationalpolicy.org/programs/sam/</x:v>
      </x:c>
      <x:c r="K1179" s="20" t="str">
        <x:v>Primary source-register URL; automated screening score</x:v>
      </x:c>
      <x:c r="L1179" s="20" t="str">
        <x:v>2026-05-20</x:v>
      </x:c>
      <x:c r="M1179" s="20" t="str">
        <x:v>2026-05-20</x:v>
      </x:c>
      <x:c r="N1179" s="20" t="str">
        <x:v>GPT-5.5 Pro</x:v>
      </x:c>
      <x:c r="O1179" s="20" t="str">
        <x:v>Needs review</x:v>
      </x:c>
      <x:c r="P1179" s="20" t="str">
        <x:v>Screening score for United States / PMC presence in New Caledonia; verify with country-specific evidence before final use.</x:v>
      </x:c>
    </x:row>
    <x:row r="1180" ht="24" customHeight="1">
      <x:c r="A1180" s="20" t="str">
        <x:v>NCL|United States|Election interference</x:v>
      </x:c>
      <x:c r="B1180" s="20" t="str">
        <x:v>New Caledonia</x:v>
      </x:c>
      <x:c r="C1180" s="20" t="str">
        <x:v>NCL</x:v>
      </x:c>
      <x:c r="D1180" s="20" t="str">
        <x:v>United States</x:v>
      </x:c>
      <x:c r="E1180" s="20" t="str">
        <x:v>American influence</x:v>
      </x:c>
      <x:c r="F1180" s="20" t="str">
        <x:v>Election interference</x:v>
      </x:c>
      <x:c r="G1180" s="384" t="n">
        <x:v>1</x:v>
      </x:c>
      <x:c r="H1180" s="396" t="n">
        <x:v>2</x:v>
      </x:c>
      <x:c r="I1180" s="20" t="str">
        <x:v>NED/Greenbook democracy assistance source register</x:v>
      </x:c>
      <x:c r="J1180" s="397" t="str">
        <x:v>https://www.ned.org/ned-grantmaking/</x:v>
      </x:c>
      <x:c r="K1180" s="20" t="str">
        <x:v>Primary source-register URL; automated screening score</x:v>
      </x:c>
      <x:c r="L1180" s="20" t="str">
        <x:v>2026-05-20</x:v>
      </x:c>
      <x:c r="M1180" s="20" t="str">
        <x:v>2026-05-20</x:v>
      </x:c>
      <x:c r="N1180" s="20" t="str">
        <x:v>GPT-5.5 Pro</x:v>
      </x:c>
      <x:c r="O1180" s="20" t="str">
        <x:v>Needs review</x:v>
      </x:c>
      <x:c r="P1180" s="20" t="str">
        <x:v>Screening score for United States / Election interference in New Caledonia; verify with country-specific evidence before final use.</x:v>
      </x:c>
    </x:row>
    <x:row r="1181" ht="24" customHeight="1">
      <x:c r="A1181" s="20" t="str">
        <x:v>NCL|United States|Security contractors</x:v>
      </x:c>
      <x:c r="B1181" s="20" t="str">
        <x:v>New Caledonia</x:v>
      </x:c>
      <x:c r="C1181" s="20" t="str">
        <x:v>NCL</x:v>
      </x:c>
      <x:c r="D1181" s="20" t="str">
        <x:v>United States</x:v>
      </x:c>
      <x:c r="E1181" s="20" t="str">
        <x:v>American influence</x:v>
      </x:c>
      <x:c r="F1181" s="20" t="str">
        <x:v>Security contractors</x:v>
      </x:c>
      <x:c r="G1181" s="384" t="n">
        <x:v>2</x:v>
      </x:c>
      <x:c r="H1181" s="396" t="n">
        <x:v>2</x:v>
      </x:c>
      <x:c r="I1181" s="20" t="str">
        <x:v>SAM/Greenbook U.S. security contractor source register</x:v>
      </x:c>
      <x:c r="J1181" s="397" t="str">
        <x:v>https://internationalpolicy.org/programs/sam/</x:v>
      </x:c>
      <x:c r="K1181" s="20" t="str">
        <x:v>Primary source-register URL; automated screening score</x:v>
      </x:c>
      <x:c r="L1181" s="20" t="str">
        <x:v>2026-05-20</x:v>
      </x:c>
      <x:c r="M1181" s="20" t="str">
        <x:v>2026-05-20</x:v>
      </x:c>
      <x:c r="N1181" s="20" t="str">
        <x:v>GPT-5.5 Pro</x:v>
      </x:c>
      <x:c r="O1181" s="20" t="str">
        <x:v>Needs review</x:v>
      </x:c>
      <x:c r="P1181" s="20" t="str">
        <x:v>Screening score for United States / Security contractors in New Caledonia; verify with country-specific evidence before final use.</x:v>
      </x:c>
    </x:row>
    <x:row r="1182" ht="24" customHeight="1">
      <x:c r="A1182" s="20" t="str">
        <x:v>NCL|European Union|Propaganda ecosystems</x:v>
      </x:c>
      <x:c r="B1182" s="20" t="str">
        <x:v>New Caledonia</x:v>
      </x:c>
      <x:c r="C1182" s="20" t="str">
        <x:v>NCL</x:v>
      </x:c>
      <x:c r="D1182" s="20" t="str">
        <x:v>European Union</x:v>
      </x:c>
      <x:c r="E1182" s="20" t="str">
        <x:v>EU influence</x:v>
      </x:c>
      <x:c r="F1182" s="20" t="str">
        <x:v>Propaganda ecosystems</x:v>
      </x:c>
      <x:c r="G1182" s="384" t="n">
        <x:v>2</x:v>
      </x:c>
      <x:c r="H1182" s="396" t="n">
        <x:v>2</x:v>
      </x:c>
      <x:c r="I1182" s="20" t="str">
        <x:v>EEAS public diplomacy source register</x:v>
      </x:c>
      <x:c r="J1182" s="397" t="str">
        <x:v>https://www.eeas.europa.eu/eeas/public-diplomacy_en</x:v>
      </x:c>
      <x:c r="K1182" s="20" t="str">
        <x:v>Primary source-register URL; automated screening score</x:v>
      </x:c>
      <x:c r="L1182" s="20" t="str">
        <x:v>2026-05-20</x:v>
      </x:c>
      <x:c r="M1182" s="20" t="str">
        <x:v>2026-05-20</x:v>
      </x:c>
      <x:c r="N1182" s="20" t="str">
        <x:v>GPT-5.5 Pro</x:v>
      </x:c>
      <x:c r="O1182" s="20" t="str">
        <x:v>Needs review</x:v>
      </x:c>
      <x:c r="P1182" s="20" t="str">
        <x:v>Screening score for European Union / Propaganda ecosystems in New Caledonia; verify with country-specific evidence before final use.</x:v>
      </x:c>
    </x:row>
    <x:row r="1183" ht="24" customHeight="1">
      <x:c r="A1183" s="20" t="str">
        <x:v>NCL|European Union|PMC presence</x:v>
      </x:c>
      <x:c r="B1183" s="20" t="str">
        <x:v>New Caledonia</x:v>
      </x:c>
      <x:c r="C1183" s="20" t="str">
        <x:v>NCL</x:v>
      </x:c>
      <x:c r="D1183" s="20" t="str">
        <x:v>European Union</x:v>
      </x:c>
      <x:c r="E1183" s="20" t="str">
        <x:v>EU influence</x:v>
      </x:c>
      <x:c r="F1183" s="20" t="str">
        <x:v>PMC presence</x:v>
      </x:c>
      <x:c r="G1183" s="384" t="n">
        <x:v>0</x:v>
      </x:c>
      <x:c r="H1183" s="396" t="n">
        <x:v>1</x:v>
      </x:c>
      <x:c r="I1183" s="20" t="str">
        <x:v>EEAS CSDP missions source register</x:v>
      </x:c>
      <x:c r="J1183" s="397" t="str">
        <x:v>https://www.eeas.europa.eu/eeas/missions-and-operations_en</x:v>
      </x:c>
      <x:c r="K1183" s="20" t="str">
        <x:v>Primary source-register URL; automated screening score</x:v>
      </x:c>
      <x:c r="L1183" s="20" t="str">
        <x:v>2026-05-20</x:v>
      </x:c>
      <x:c r="M1183" s="20" t="str">
        <x:v>2026-05-20</x:v>
      </x:c>
      <x:c r="N1183" s="20" t="str">
        <x:v>GPT-5.5 Pro</x:v>
      </x:c>
      <x:c r="O1183" s="20" t="str">
        <x:v>Needs review</x:v>
      </x:c>
      <x:c r="P1183" s="20" t="str">
        <x:v>Screening score for European Union / PMC presence in New Caledonia; verify with country-specific evidence before final use.</x:v>
      </x:c>
    </x:row>
    <x:row r="1184" ht="24" customHeight="1">
      <x:c r="A1184" s="20" t="str">
        <x:v>NCL|European Union|Election interference</x:v>
      </x:c>
      <x:c r="B1184" s="20" t="str">
        <x:v>New Caledonia</x:v>
      </x:c>
      <x:c r="C1184" s="20" t="str">
        <x:v>NCL</x:v>
      </x:c>
      <x:c r="D1184" s="20" t="str">
        <x:v>European Union</x:v>
      </x:c>
      <x:c r="E1184" s="20" t="str">
        <x:v>EU influence</x:v>
      </x:c>
      <x:c r="F1184" s="20" t="str">
        <x:v>Election interference</x:v>
      </x:c>
      <x:c r="G1184" s="384" t="n">
        <x:v>1</x:v>
      </x:c>
      <x:c r="H1184" s="396" t="n">
        <x:v>2</x:v>
      </x:c>
      <x:c r="I1184" s="20" t="str">
        <x:v>EEAS EU election observation source register</x:v>
      </x:c>
      <x:c r="J1184" s="397" t="str">
        <x:v>https://www.eeas.europa.eu/eeas/eu-election-observation-missions-1_en?page_lang=en</x:v>
      </x:c>
      <x:c r="K1184" s="20" t="str">
        <x:v>Primary source-register URL; automated screening score</x:v>
      </x:c>
      <x:c r="L1184" s="20" t="str">
        <x:v>2026-05-20</x:v>
      </x:c>
      <x:c r="M1184" s="20" t="str">
        <x:v>2026-05-20</x:v>
      </x:c>
      <x:c r="N1184" s="20" t="str">
        <x:v>GPT-5.5 Pro</x:v>
      </x:c>
      <x:c r="O1184" s="20" t="str">
        <x:v>Needs review</x:v>
      </x:c>
      <x:c r="P1184" s="20" t="str">
        <x:v>Screening score for European Union / Election interference in New Caledonia; verify with country-specific evidence before final use.</x:v>
      </x:c>
    </x:row>
    <x:row r="1185" ht="24" customHeight="1">
      <x:c r="A1185" s="20" t="str">
        <x:v>NCL|European Union|Security contractors</x:v>
      </x:c>
      <x:c r="B1185" s="20" t="str">
        <x:v>New Caledonia</x:v>
      </x:c>
      <x:c r="C1185" s="20" t="str">
        <x:v>NCL</x:v>
      </x:c>
      <x:c r="D1185" s="20" t="str">
        <x:v>European Union</x:v>
      </x:c>
      <x:c r="E1185" s="20" t="str">
        <x:v>EU influence</x:v>
      </x:c>
      <x:c r="F1185" s="20" t="str">
        <x:v>Security contractors</x:v>
      </x:c>
      <x:c r="G1185" s="384" t="n">
        <x:v>1</x:v>
      </x:c>
      <x:c r="H1185" s="396" t="n">
        <x:v>2</x:v>
      </x:c>
      <x:c r="I1185" s="20" t="str">
        <x:v>EEAS CSDP / Global Gateway security source register</x:v>
      </x:c>
      <x:c r="J1185" s="397" t="str">
        <x:v>https://www.eeas.europa.eu/eeas/missions-and-operations_en</x:v>
      </x:c>
      <x:c r="K1185" s="20" t="str">
        <x:v>Primary source-register URL; automated screening score</x:v>
      </x:c>
      <x:c r="L1185" s="20" t="str">
        <x:v>2026-05-20</x:v>
      </x:c>
      <x:c r="M1185" s="20" t="str">
        <x:v>2026-05-20</x:v>
      </x:c>
      <x:c r="N1185" s="20" t="str">
        <x:v>GPT-5.5 Pro</x:v>
      </x:c>
      <x:c r="O1185" s="20" t="str">
        <x:v>Needs review</x:v>
      </x:c>
      <x:c r="P1185" s="20" t="str">
        <x:v>Screening score for European Union / Security contractors in New Caledonia; verify with country-specific evidence before final use.</x:v>
      </x:c>
    </x:row>
    <x:row r="1186" ht="24" customHeight="1">
      <x:c r="A1186" s="20" t="str">
        <x:v>NZL|Russia|Propaganda ecosystems</x:v>
      </x:c>
      <x:c r="B1186" s="20" t="str">
        <x:v>New Zealand</x:v>
      </x:c>
      <x:c r="C1186" s="20" t="str">
        <x:v>NZL</x:v>
      </x:c>
      <x:c r="D1186" s="20" t="str">
        <x:v>Russia</x:v>
      </x:c>
      <x:c r="E1186" s="20" t="str">
        <x:v>Russian influence</x:v>
      </x:c>
      <x:c r="F1186" s="20" t="str">
        <x:v>Propaganda ecosystems</x:v>
      </x:c>
      <x:c r="G1186" s="384" t="n">
        <x:v>2</x:v>
      </x:c>
      <x:c r="H1186" s="396" t="n">
        <x:v>2</x:v>
      </x:c>
      <x:c r="I1186" s="20" t="str">
        <x:v>EEAS/EUvsDisinfo FIMI source register</x:v>
      </x:c>
      <x:c r="J1186" s="397" t="str">
        <x:v>https://www.eeas.europa.eu/eeas/4th-eeas-annual-report-foreign-information-manipulation-and-interference-threats_en</x:v>
      </x:c>
      <x:c r="K1186" s="20" t="str">
        <x:v>Primary source-register URL; automated screening score</x:v>
      </x:c>
      <x:c r="L1186" s="20" t="str">
        <x:v>2026-05-20</x:v>
      </x:c>
      <x:c r="M1186" s="20" t="str">
        <x:v>2026-05-20</x:v>
      </x:c>
      <x:c r="N1186" s="20" t="str">
        <x:v>GPT-5.5 Pro</x:v>
      </x:c>
      <x:c r="O1186" s="20" t="str">
        <x:v>Needs review</x:v>
      </x:c>
      <x:c r="P1186" s="20" t="str">
        <x:v>Screening score for Russia / Propaganda ecosystems in New Zealand; verify with country-specific evidence before final use.</x:v>
      </x:c>
    </x:row>
    <x:row r="1187" ht="24" customHeight="1">
      <x:c r="A1187" s="20" t="str">
        <x:v>NZL|Russia|PMC presence</x:v>
      </x:c>
      <x:c r="B1187" s="20" t="str">
        <x:v>New Zealand</x:v>
      </x:c>
      <x:c r="C1187" s="20" t="str">
        <x:v>NZL</x:v>
      </x:c>
      <x:c r="D1187" s="20" t="str">
        <x:v>Russia</x:v>
      </x:c>
      <x:c r="E1187" s="20" t="str">
        <x:v>Russian influence</x:v>
      </x:c>
      <x:c r="F1187" s="20" t="str">
        <x:v>PMC presence</x:v>
      </x:c>
      <x:c r="G1187" s="384" t="n">
        <x:v>0</x:v>
      </x:c>
      <x:c r="H1187" s="396" t="n">
        <x:v>1</x:v>
      </x:c>
      <x:c r="I1187" s="20" t="str">
        <x:v>Treasury and Council of the EU Wagner/PMC source register</x:v>
      </x:c>
      <x:c r="J1187" s="397" t="str">
        <x:v>https://www.consilium.europa.eu/en/press/press-releases/2023/02/25/wagner-group-council-adds-11-individuals-and-7-entities-to-eu-sanctions-lists/</x:v>
      </x:c>
      <x:c r="K1187" s="20" t="str">
        <x:v>Primary source-register URL; automated screening score</x:v>
      </x:c>
      <x:c r="L1187" s="20" t="str">
        <x:v>2026-05-20</x:v>
      </x:c>
      <x:c r="M1187" s="20" t="str">
        <x:v>2026-05-20</x:v>
      </x:c>
      <x:c r="N1187" s="20" t="str">
        <x:v>GPT-5.5 Pro</x:v>
      </x:c>
      <x:c r="O1187" s="20" t="str">
        <x:v>Needs review</x:v>
      </x:c>
      <x:c r="P1187" s="20" t="str">
        <x:v>Screening score for Russia / PMC presence in New Zealand; verify with country-specific evidence before final use.</x:v>
      </x:c>
    </x:row>
    <x:row r="1188" ht="24" customHeight="1">
      <x:c r="A1188" s="20" t="str">
        <x:v>NZL|Russia|Election interference</x:v>
      </x:c>
      <x:c r="B1188" s="20" t="str">
        <x:v>New Zealand</x:v>
      </x:c>
      <x:c r="C1188" s="20" t="str">
        <x:v>NZL</x:v>
      </x:c>
      <x:c r="D1188" s="20" t="str">
        <x:v>Russia</x:v>
      </x:c>
      <x:c r="E1188" s="20" t="str">
        <x:v>Russian influence</x:v>
      </x:c>
      <x:c r="F1188" s="20" t="str">
        <x:v>Election interference</x:v>
      </x:c>
      <x:c r="G1188" s="384" t="n">
        <x:v>0</x:v>
      </x:c>
      <x:c r="H1188" s="396" t="n">
        <x:v>1</x:v>
      </x:c>
      <x:c r="I1188" s="20" t="str">
        <x:v>ODNI/EEAS election-FIMI source register</x:v>
      </x:c>
      <x:c r="J1188" s="397" t="str">
        <x:v>https://www.dni.gov/files/ODNI/documents/assessments/ATA-2026-Unclassified-Report.pdf</x:v>
      </x:c>
      <x:c r="K1188" s="20" t="str">
        <x:v>Primary source-register URL; automated screening score</x:v>
      </x:c>
      <x:c r="L1188" s="20" t="str">
        <x:v>2026-05-20</x:v>
      </x:c>
      <x:c r="M1188" s="20" t="str">
        <x:v>2026-05-20</x:v>
      </x:c>
      <x:c r="N1188" s="20" t="str">
        <x:v>GPT-5.5 Pro</x:v>
      </x:c>
      <x:c r="O1188" s="20" t="str">
        <x:v>Needs review</x:v>
      </x:c>
      <x:c r="P1188" s="20" t="str">
        <x:v>Screening score for Russia / Election interference in New Zealand; verify with country-specific evidence before final use.</x:v>
      </x:c>
    </x:row>
    <x:row r="1189" ht="24" customHeight="1">
      <x:c r="A1189" s="20" t="str">
        <x:v>NZL|Russia|Security contractors</x:v>
      </x:c>
      <x:c r="B1189" s="20" t="str">
        <x:v>New Zealand</x:v>
      </x:c>
      <x:c r="C1189" s="20" t="str">
        <x:v>NZL</x:v>
      </x:c>
      <x:c r="D1189" s="20" t="str">
        <x:v>Russia</x:v>
      </x:c>
      <x:c r="E1189" s="20" t="str">
        <x:v>Russian influence</x:v>
      </x:c>
      <x:c r="F1189" s="20" t="str">
        <x:v>Security contractors</x:v>
      </x:c>
      <x:c r="G1189" s="384" t="n">
        <x:v>0</x:v>
      </x:c>
      <x:c r="H1189" s="396" t="n">
        <x:v>1</x:v>
      </x:c>
      <x:c r="I1189" s="20" t="str">
        <x:v>Council of the EU/Treasury Wagner-security source register</x:v>
      </x:c>
      <x:c r="J1189" s="397" t="str">
        <x:v>https://www.consilium.europa.eu/en/press/press-releases/2023/02/25/wagner-group-council-adds-11-individuals-and-7-entities-to-eu-sanctions-lists/</x:v>
      </x:c>
      <x:c r="K1189" s="20" t="str">
        <x:v>Primary source-register URL; automated screening score</x:v>
      </x:c>
      <x:c r="L1189" s="20" t="str">
        <x:v>2026-05-20</x:v>
      </x:c>
      <x:c r="M1189" s="20" t="str">
        <x:v>2026-05-20</x:v>
      </x:c>
      <x:c r="N1189" s="20" t="str">
        <x:v>GPT-5.5 Pro</x:v>
      </x:c>
      <x:c r="O1189" s="20" t="str">
        <x:v>Needs review</x:v>
      </x:c>
      <x:c r="P1189" s="20" t="str">
        <x:v>Screening score for Russia / Security contractors in New Zealand; verify with country-specific evidence before final use.</x:v>
      </x:c>
    </x:row>
    <x:row r="1190" ht="24" customHeight="1">
      <x:c r="A1190" s="20" t="str">
        <x:v>NZL|China|Propaganda ecosystems</x:v>
      </x:c>
      <x:c r="B1190" s="20" t="str">
        <x:v>New Zealand</x:v>
      </x:c>
      <x:c r="C1190" s="20" t="str">
        <x:v>NZL</x:v>
      </x:c>
      <x:c r="D1190" s="20" t="str">
        <x:v>China</x:v>
      </x:c>
      <x:c r="E1190" s="20" t="str">
        <x:v>Chinese influence</x:v>
      </x:c>
      <x:c r="F1190" s="20" t="str">
        <x:v>Propaganda ecosystems</x:v>
      </x:c>
      <x:c r="G1190" s="384" t="n">
        <x:v>6</x:v>
      </x:c>
      <x:c r="H1190" s="396" t="n">
        <x:v>4</x:v>
      </x:c>
      <x:c r="I1190" s="20" t="str">
        <x:v>EEAS/ODNI China FIMI source register</x:v>
      </x:c>
      <x:c r="J1190" s="397" t="str">
        <x:v>https://www.eeas.europa.eu/eeas/4th-eeas-annual-report-foreign-information-manipulation-and-interference-threats_en</x:v>
      </x:c>
      <x:c r="K1190" s="20" t="str">
        <x:v>Primary source-register URL; automated screening score</x:v>
      </x:c>
      <x:c r="L1190" s="20" t="str">
        <x:v>2026-05-20</x:v>
      </x:c>
      <x:c r="M1190" s="20" t="str">
        <x:v>2026-05-20</x:v>
      </x:c>
      <x:c r="N1190" s="20" t="str">
        <x:v>GPT-5.5 Pro</x:v>
      </x:c>
      <x:c r="O1190" s="20" t="str">
        <x:v>Needs review</x:v>
      </x:c>
      <x:c r="P1190" s="20" t="str">
        <x:v>Screening score for China / Propaganda ecosystems in New Zealand; verify with country-specific evidence before final use.</x:v>
      </x:c>
    </x:row>
    <x:row r="1191" ht="24" customHeight="1">
      <x:c r="A1191" s="20" t="str">
        <x:v>NZL|China|PMC presence</x:v>
      </x:c>
      <x:c r="B1191" s="20" t="str">
        <x:v>New Zealand</x:v>
      </x:c>
      <x:c r="C1191" s="20" t="str">
        <x:v>NZL</x:v>
      </x:c>
      <x:c r="D1191" s="20" t="str">
        <x:v>China</x:v>
      </x:c>
      <x:c r="E1191" s="20" t="str">
        <x:v>Chinese influence</x:v>
      </x:c>
      <x:c r="F1191" s="20" t="str">
        <x:v>PMC presence</x:v>
      </x:c>
      <x:c r="G1191" s="384" t="n">
        <x:v>0</x:v>
      </x:c>
      <x:c r="H1191" s="396" t="n">
        <x:v>1</x:v>
      </x:c>
      <x:c r="I1191" s="20" t="str">
        <x:v>MERICS/Carnegie Chinese overseas PSC source register</x:v>
      </x:c>
      <x:c r="J1191" s="397" t="str">
        <x:v>https://merics.org/en/report/guardians-belt-and-road</x:v>
      </x:c>
      <x:c r="K1191" s="20" t="str">
        <x:v>Primary source-register URL; automated screening score</x:v>
      </x:c>
      <x:c r="L1191" s="20" t="str">
        <x:v>2026-05-20</x:v>
      </x:c>
      <x:c r="M1191" s="20" t="str">
        <x:v>2026-05-20</x:v>
      </x:c>
      <x:c r="N1191" s="20" t="str">
        <x:v>GPT-5.5 Pro</x:v>
      </x:c>
      <x:c r="O1191" s="20" t="str">
        <x:v>Needs review</x:v>
      </x:c>
      <x:c r="P1191" s="20" t="str">
        <x:v>Screening score for China / PMC presence in New Zealand; verify with country-specific evidence before final use.</x:v>
      </x:c>
    </x:row>
    <x:row r="1192" ht="24" customHeight="1">
      <x:c r="A1192" s="20" t="str">
        <x:v>NZL|China|Election interference</x:v>
      </x:c>
      <x:c r="B1192" s="20" t="str">
        <x:v>New Zealand</x:v>
      </x:c>
      <x:c r="C1192" s="20" t="str">
        <x:v>NZL</x:v>
      </x:c>
      <x:c r="D1192" s="20" t="str">
        <x:v>China</x:v>
      </x:c>
      <x:c r="E1192" s="20" t="str">
        <x:v>Chinese influence</x:v>
      </x:c>
      <x:c r="F1192" s="20" t="str">
        <x:v>Election interference</x:v>
      </x:c>
      <x:c r="G1192" s="384" t="n">
        <x:v>4</x:v>
      </x:c>
      <x:c r="H1192" s="396" t="n">
        <x:v>3</x:v>
      </x:c>
      <x:c r="I1192" s="20" t="str">
        <x:v>EEAS/ODNI China election-FIMI source register</x:v>
      </x:c>
      <x:c r="J1192" s="397" t="str">
        <x:v>https://www.eeas.europa.eu/eeas/4th-eeas-annual-report-foreign-information-manipulation-and-interference-threats_en</x:v>
      </x:c>
      <x:c r="K1192" s="20" t="str">
        <x:v>Primary source-register URL; automated screening score</x:v>
      </x:c>
      <x:c r="L1192" s="20" t="str">
        <x:v>2026-05-20</x:v>
      </x:c>
      <x:c r="M1192" s="20" t="str">
        <x:v>2026-05-20</x:v>
      </x:c>
      <x:c r="N1192" s="20" t="str">
        <x:v>GPT-5.5 Pro</x:v>
      </x:c>
      <x:c r="O1192" s="20" t="str">
        <x:v>Needs review</x:v>
      </x:c>
      <x:c r="P1192" s="20" t="str">
        <x:v>Screening score for China / Election interference in New Zealand; verify with country-specific evidence before final use.</x:v>
      </x:c>
    </x:row>
    <x:row r="1193" ht="24" customHeight="1">
      <x:c r="A1193" s="20" t="str">
        <x:v>NZL|China|Security contractors</x:v>
      </x:c>
      <x:c r="B1193" s="20" t="str">
        <x:v>New Zealand</x:v>
      </x:c>
      <x:c r="C1193" s="20" t="str">
        <x:v>NZL</x:v>
      </x:c>
      <x:c r="D1193" s="20" t="str">
        <x:v>China</x:v>
      </x:c>
      <x:c r="E1193" s="20" t="str">
        <x:v>Chinese influence</x:v>
      </x:c>
      <x:c r="F1193" s="20" t="str">
        <x:v>Security contractors</x:v>
      </x:c>
      <x:c r="G1193" s="384" t="n">
        <x:v>1</x:v>
      </x:c>
      <x:c r="H1193" s="396" t="n">
        <x:v>2</x:v>
      </x:c>
      <x:c r="I1193" s="20" t="str">
        <x:v>MERICS/Carnegie Chinese security contractor source register</x:v>
      </x:c>
      <x:c r="J1193" s="397" t="str">
        <x:v>https://merics.org/en/report/guardians-belt-and-road</x:v>
      </x:c>
      <x:c r="K1193" s="20" t="str">
        <x:v>Primary source-register URL; automated screening score</x:v>
      </x:c>
      <x:c r="L1193" s="20" t="str">
        <x:v>2026-05-20</x:v>
      </x:c>
      <x:c r="M1193" s="20" t="str">
        <x:v>2026-05-20</x:v>
      </x:c>
      <x:c r="N1193" s="20" t="str">
        <x:v>GPT-5.5 Pro</x:v>
      </x:c>
      <x:c r="O1193" s="20" t="str">
        <x:v>Needs review</x:v>
      </x:c>
      <x:c r="P1193" s="20" t="str">
        <x:v>Screening score for China / Security contractors in New Zealand; verify with country-specific evidence before final use.</x:v>
      </x:c>
    </x:row>
    <x:row r="1194" ht="24" customHeight="1">
      <x:c r="A1194" s="20" t="str">
        <x:v>NZL|United States|Propaganda ecosystems</x:v>
      </x:c>
      <x:c r="B1194" s="20" t="str">
        <x:v>New Zealand</x:v>
      </x:c>
      <x:c r="C1194" s="20" t="str">
        <x:v>NZL</x:v>
      </x:c>
      <x:c r="D1194" s="20" t="str">
        <x:v>United States</x:v>
      </x:c>
      <x:c r="E1194" s="20" t="str">
        <x:v>American influence</x:v>
      </x:c>
      <x:c r="F1194" s="20" t="str">
        <x:v>Propaganda ecosystems</x:v>
      </x:c>
      <x:c r="G1194" s="384" t="n">
        <x:v>5</x:v>
      </x:c>
      <x:c r="H1194" s="396" t="n">
        <x:v>3</x:v>
      </x:c>
      <x:c r="I1194" s="20" t="str">
        <x:v>USAGM public media source register</x:v>
      </x:c>
      <x:c r="J1194" s="397" t="str">
        <x:v>https://www.usagm.gov/our-work/strategy-and-results/strategic-priorities/research-reports/</x:v>
      </x:c>
      <x:c r="K1194" s="20" t="str">
        <x:v>Primary source-register URL; automated screening score</x:v>
      </x:c>
      <x:c r="L1194" s="20" t="str">
        <x:v>2026-05-20</x:v>
      </x:c>
      <x:c r="M1194" s="20" t="str">
        <x:v>2026-05-20</x:v>
      </x:c>
      <x:c r="N1194" s="20" t="str">
        <x:v>GPT-5.5 Pro</x:v>
      </x:c>
      <x:c r="O1194" s="20" t="str">
        <x:v>Needs review</x:v>
      </x:c>
      <x:c r="P1194" s="20" t="str">
        <x:v>Screening score for United States / Propaganda ecosystems in New Zealand; verify with country-specific evidence before final use.</x:v>
      </x:c>
    </x:row>
    <x:row r="1195" ht="24" customHeight="1">
      <x:c r="A1195" s="20" t="str">
        <x:v>NZL|United States|PMC presence</x:v>
      </x:c>
      <x:c r="B1195" s="20" t="str">
        <x:v>New Zealand</x:v>
      </x:c>
      <x:c r="C1195" s="20" t="str">
        <x:v>NZL</x:v>
      </x:c>
      <x:c r="D1195" s="20" t="str">
        <x:v>United States</x:v>
      </x:c>
      <x:c r="E1195" s="20" t="str">
        <x:v>American influence</x:v>
      </x:c>
      <x:c r="F1195" s="20" t="str">
        <x:v>PMC presence</x:v>
      </x:c>
      <x:c r="G1195" s="384" t="n">
        <x:v>1</x:v>
      </x:c>
      <x:c r="H1195" s="396" t="n">
        <x:v>2</x:v>
      </x:c>
      <x:c r="I1195" s="20" t="str">
        <x:v>SAM/Greenbook U.S. security assistance contractor source register</x:v>
      </x:c>
      <x:c r="J1195" s="397" t="str">
        <x:v>https://internationalpolicy.org/programs/sam/</x:v>
      </x:c>
      <x:c r="K1195" s="20" t="str">
        <x:v>Primary source-register URL; automated screening score</x:v>
      </x:c>
      <x:c r="L1195" s="20" t="str">
        <x:v>2026-05-20</x:v>
      </x:c>
      <x:c r="M1195" s="20" t="str">
        <x:v>2026-05-20</x:v>
      </x:c>
      <x:c r="N1195" s="20" t="str">
        <x:v>GPT-5.5 Pro</x:v>
      </x:c>
      <x:c r="O1195" s="20" t="str">
        <x:v>Needs review</x:v>
      </x:c>
      <x:c r="P1195" s="20" t="str">
        <x:v>Screening score for United States / PMC presence in New Zealand; verify with country-specific evidence before final use.</x:v>
      </x:c>
    </x:row>
    <x:row r="1196" ht="24" customHeight="1">
      <x:c r="A1196" s="20" t="str">
        <x:v>NZL|United States|Election interference</x:v>
      </x:c>
      <x:c r="B1196" s="20" t="str">
        <x:v>New Zealand</x:v>
      </x:c>
      <x:c r="C1196" s="20" t="str">
        <x:v>NZL</x:v>
      </x:c>
      <x:c r="D1196" s="20" t="str">
        <x:v>United States</x:v>
      </x:c>
      <x:c r="E1196" s="20" t="str">
        <x:v>American influence</x:v>
      </x:c>
      <x:c r="F1196" s="20" t="str">
        <x:v>Election interference</x:v>
      </x:c>
      <x:c r="G1196" s="384" t="n">
        <x:v>1</x:v>
      </x:c>
      <x:c r="H1196" s="396" t="n">
        <x:v>2</x:v>
      </x:c>
      <x:c r="I1196" s="20" t="str">
        <x:v>NED/Greenbook democracy assistance source register</x:v>
      </x:c>
      <x:c r="J1196" s="397" t="str">
        <x:v>https://www.ned.org/ned-grantmaking/</x:v>
      </x:c>
      <x:c r="K1196" s="20" t="str">
        <x:v>Primary source-register URL; automated screening score</x:v>
      </x:c>
      <x:c r="L1196" s="20" t="str">
        <x:v>2026-05-20</x:v>
      </x:c>
      <x:c r="M1196" s="20" t="str">
        <x:v>2026-05-20</x:v>
      </x:c>
      <x:c r="N1196" s="20" t="str">
        <x:v>GPT-5.5 Pro</x:v>
      </x:c>
      <x:c r="O1196" s="20" t="str">
        <x:v>Needs review</x:v>
      </x:c>
      <x:c r="P1196" s="20" t="str">
        <x:v>Screening score for United States / Election interference in New Zealand; verify with country-specific evidence before final use.</x:v>
      </x:c>
    </x:row>
    <x:row r="1197" ht="24" customHeight="1">
      <x:c r="A1197" s="20" t="str">
        <x:v>NZL|United States|Security contractors</x:v>
      </x:c>
      <x:c r="B1197" s="20" t="str">
        <x:v>New Zealand</x:v>
      </x:c>
      <x:c r="C1197" s="20" t="str">
        <x:v>NZL</x:v>
      </x:c>
      <x:c r="D1197" s="20" t="str">
        <x:v>United States</x:v>
      </x:c>
      <x:c r="E1197" s="20" t="str">
        <x:v>American influence</x:v>
      </x:c>
      <x:c r="F1197" s="20" t="str">
        <x:v>Security contractors</x:v>
      </x:c>
      <x:c r="G1197" s="384" t="n">
        <x:v>5</x:v>
      </x:c>
      <x:c r="H1197" s="396" t="n">
        <x:v>3</x:v>
      </x:c>
      <x:c r="I1197" s="20" t="str">
        <x:v>SAM/Greenbook U.S. security contractor source register</x:v>
      </x:c>
      <x:c r="J1197" s="397" t="str">
        <x:v>https://internationalpolicy.org/programs/sam/</x:v>
      </x:c>
      <x:c r="K1197" s="20" t="str">
        <x:v>Primary source-register URL; automated screening score</x:v>
      </x:c>
      <x:c r="L1197" s="20" t="str">
        <x:v>2026-05-20</x:v>
      </x:c>
      <x:c r="M1197" s="20" t="str">
        <x:v>2026-05-20</x:v>
      </x:c>
      <x:c r="N1197" s="20" t="str">
        <x:v>GPT-5.5 Pro</x:v>
      </x:c>
      <x:c r="O1197" s="20" t="str">
        <x:v>Needs review</x:v>
      </x:c>
      <x:c r="P1197" s="20" t="str">
        <x:v>Screening score for United States / Security contractors in New Zealand; verify with country-specific evidence before final use.</x:v>
      </x:c>
    </x:row>
    <x:row r="1198" ht="24" customHeight="1">
      <x:c r="A1198" s="20" t="str">
        <x:v>NZL|European Union|Propaganda ecosystems</x:v>
      </x:c>
      <x:c r="B1198" s="20" t="str">
        <x:v>New Zealand</x:v>
      </x:c>
      <x:c r="C1198" s="20" t="str">
        <x:v>NZL</x:v>
      </x:c>
      <x:c r="D1198" s="20" t="str">
        <x:v>European Union</x:v>
      </x:c>
      <x:c r="E1198" s="20" t="str">
        <x:v>EU influence</x:v>
      </x:c>
      <x:c r="F1198" s="20" t="str">
        <x:v>Propaganda ecosystems</x:v>
      </x:c>
      <x:c r="G1198" s="384" t="n">
        <x:v>3</x:v>
      </x:c>
      <x:c r="H1198" s="396" t="n">
        <x:v>3</x:v>
      </x:c>
      <x:c r="I1198" s="20" t="str">
        <x:v>EEAS public diplomacy source register</x:v>
      </x:c>
      <x:c r="J1198" s="397" t="str">
        <x:v>https://www.eeas.europa.eu/eeas/public-diplomacy_en</x:v>
      </x:c>
      <x:c r="K1198" s="20" t="str">
        <x:v>Primary source-register URL; automated screening score</x:v>
      </x:c>
      <x:c r="L1198" s="20" t="str">
        <x:v>2026-05-20</x:v>
      </x:c>
      <x:c r="M1198" s="20" t="str">
        <x:v>2026-05-20</x:v>
      </x:c>
      <x:c r="N1198" s="20" t="str">
        <x:v>GPT-5.5 Pro</x:v>
      </x:c>
      <x:c r="O1198" s="20" t="str">
        <x:v>Needs review</x:v>
      </x:c>
      <x:c r="P1198" s="20" t="str">
        <x:v>Screening score for European Union / Propaganda ecosystems in New Zealand; verify with country-specific evidence before final use.</x:v>
      </x:c>
    </x:row>
    <x:row r="1199" ht="24" customHeight="1">
      <x:c r="A1199" s="20" t="str">
        <x:v>NZL|European Union|PMC presence</x:v>
      </x:c>
      <x:c r="B1199" s="20" t="str">
        <x:v>New Zealand</x:v>
      </x:c>
      <x:c r="C1199" s="20" t="str">
        <x:v>NZL</x:v>
      </x:c>
      <x:c r="D1199" s="20" t="str">
        <x:v>European Union</x:v>
      </x:c>
      <x:c r="E1199" s="20" t="str">
        <x:v>EU influence</x:v>
      </x:c>
      <x:c r="F1199" s="20" t="str">
        <x:v>PMC presence</x:v>
      </x:c>
      <x:c r="G1199" s="384" t="n">
        <x:v>0</x:v>
      </x:c>
      <x:c r="H1199" s="396" t="n">
        <x:v>1</x:v>
      </x:c>
      <x:c r="I1199" s="20" t="str">
        <x:v>EEAS CSDP missions source register</x:v>
      </x:c>
      <x:c r="J1199" s="397" t="str">
        <x:v>https://www.eeas.europa.eu/eeas/missions-and-operations_en</x:v>
      </x:c>
      <x:c r="K1199" s="20" t="str">
        <x:v>Primary source-register URL; automated screening score</x:v>
      </x:c>
      <x:c r="L1199" s="20" t="str">
        <x:v>2026-05-20</x:v>
      </x:c>
      <x:c r="M1199" s="20" t="str">
        <x:v>2026-05-20</x:v>
      </x:c>
      <x:c r="N1199" s="20" t="str">
        <x:v>GPT-5.5 Pro</x:v>
      </x:c>
      <x:c r="O1199" s="20" t="str">
        <x:v>Needs review</x:v>
      </x:c>
      <x:c r="P1199" s="20" t="str">
        <x:v>Screening score for European Union / PMC presence in New Zealand; verify with country-specific evidence before final use.</x:v>
      </x:c>
    </x:row>
    <x:row r="1200" ht="24" customHeight="1">
      <x:c r="A1200" s="20" t="str">
        <x:v>NZL|European Union|Election interference</x:v>
      </x:c>
      <x:c r="B1200" s="20" t="str">
        <x:v>New Zealand</x:v>
      </x:c>
      <x:c r="C1200" s="20" t="str">
        <x:v>NZL</x:v>
      </x:c>
      <x:c r="D1200" s="20" t="str">
        <x:v>European Union</x:v>
      </x:c>
      <x:c r="E1200" s="20" t="str">
        <x:v>EU influence</x:v>
      </x:c>
      <x:c r="F1200" s="20" t="str">
        <x:v>Election interference</x:v>
      </x:c>
      <x:c r="G1200" s="384" t="n">
        <x:v>1</x:v>
      </x:c>
      <x:c r="H1200" s="396" t="n">
        <x:v>2</x:v>
      </x:c>
      <x:c r="I1200" s="20" t="str">
        <x:v>EEAS EU election observation source register</x:v>
      </x:c>
      <x:c r="J1200" s="397" t="str">
        <x:v>https://www.eeas.europa.eu/eeas/eu-election-observation-missions-1_en?page_lang=en</x:v>
      </x:c>
      <x:c r="K1200" s="20" t="str">
        <x:v>Primary source-register URL; automated screening score</x:v>
      </x:c>
      <x:c r="L1200" s="20" t="str">
        <x:v>2026-05-20</x:v>
      </x:c>
      <x:c r="M1200" s="20" t="str">
        <x:v>2026-05-20</x:v>
      </x:c>
      <x:c r="N1200" s="20" t="str">
        <x:v>GPT-5.5 Pro</x:v>
      </x:c>
      <x:c r="O1200" s="20" t="str">
        <x:v>Needs review</x:v>
      </x:c>
      <x:c r="P1200" s="20" t="str">
        <x:v>Screening score for European Union / Election interference in New Zealand; verify with country-specific evidence before final use.</x:v>
      </x:c>
    </x:row>
    <x:row r="1201" ht="24" customHeight="1">
      <x:c r="A1201" s="20" t="str">
        <x:v>NZL|European Union|Security contractors</x:v>
      </x:c>
      <x:c r="B1201" s="20" t="str">
        <x:v>New Zealand</x:v>
      </x:c>
      <x:c r="C1201" s="20" t="str">
        <x:v>NZL</x:v>
      </x:c>
      <x:c r="D1201" s="20" t="str">
        <x:v>European Union</x:v>
      </x:c>
      <x:c r="E1201" s="20" t="str">
        <x:v>EU influence</x:v>
      </x:c>
      <x:c r="F1201" s="20" t="str">
        <x:v>Security contractors</x:v>
      </x:c>
      <x:c r="G1201" s="384" t="n">
        <x:v>1</x:v>
      </x:c>
      <x:c r="H1201" s="396" t="n">
        <x:v>2</x:v>
      </x:c>
      <x:c r="I1201" s="20" t="str">
        <x:v>EEAS CSDP / Global Gateway security source register</x:v>
      </x:c>
      <x:c r="J1201" s="397" t="str">
        <x:v>https://www.eeas.europa.eu/eeas/missions-and-operations_en</x:v>
      </x:c>
      <x:c r="K1201" s="20" t="str">
        <x:v>Primary source-register URL; automated screening score</x:v>
      </x:c>
      <x:c r="L1201" s="20" t="str">
        <x:v>2026-05-20</x:v>
      </x:c>
      <x:c r="M1201" s="20" t="str">
        <x:v>2026-05-20</x:v>
      </x:c>
      <x:c r="N1201" s="20" t="str">
        <x:v>GPT-5.5 Pro</x:v>
      </x:c>
      <x:c r="O1201" s="20" t="str">
        <x:v>Needs review</x:v>
      </x:c>
      <x:c r="P1201" s="20" t="str">
        <x:v>Screening score for European Union / Security contractors in New Zealand; verify with country-specific evidence before final use.</x:v>
      </x:c>
    </x:row>
    <x:row r="1202" ht="24" customHeight="1">
      <x:c r="A1202" s="20" t="str">
        <x:v>NIC|Russia|Propaganda ecosystems</x:v>
      </x:c>
      <x:c r="B1202" s="20" t="str">
        <x:v>Nicaragua</x:v>
      </x:c>
      <x:c r="C1202" s="20" t="str">
        <x:v>NIC</x:v>
      </x:c>
      <x:c r="D1202" s="20" t="str">
        <x:v>Russia</x:v>
      </x:c>
      <x:c r="E1202" s="20" t="str">
        <x:v>Russian influence</x:v>
      </x:c>
      <x:c r="F1202" s="20" t="str">
        <x:v>Propaganda ecosystems</x:v>
      </x:c>
      <x:c r="G1202" s="384" t="n">
        <x:v>7</x:v>
      </x:c>
      <x:c r="H1202" s="396" t="n">
        <x:v>4</x:v>
      </x:c>
      <x:c r="I1202" s="20" t="str">
        <x:v>EEAS/EUvsDisinfo FIMI source register</x:v>
      </x:c>
      <x:c r="J1202" s="397" t="str">
        <x:v>https://www.eeas.europa.eu/eeas/4th-eeas-annual-report-foreign-information-manipulation-and-interference-threats_en</x:v>
      </x:c>
      <x:c r="K1202" s="20" t="str">
        <x:v>Primary source-register URL; automated screening score</x:v>
      </x:c>
      <x:c r="L1202" s="20" t="str">
        <x:v>2026-05-20</x:v>
      </x:c>
      <x:c r="M1202" s="20" t="str">
        <x:v>2026-05-20</x:v>
      </x:c>
      <x:c r="N1202" s="20" t="str">
        <x:v>GPT-5.5 Pro</x:v>
      </x:c>
      <x:c r="O1202" s="20" t="str">
        <x:v>Needs review</x:v>
      </x:c>
      <x:c r="P1202" s="20" t="str">
        <x:v>Screening score for Russia / Propaganda ecosystems in Nicaragua; verify with country-specific evidence before final use.</x:v>
      </x:c>
    </x:row>
    <x:row r="1203" ht="24" customHeight="1">
      <x:c r="A1203" s="20" t="str">
        <x:v>NIC|Russia|PMC presence</x:v>
      </x:c>
      <x:c r="B1203" s="20" t="str">
        <x:v>Nicaragua</x:v>
      </x:c>
      <x:c r="C1203" s="20" t="str">
        <x:v>NIC</x:v>
      </x:c>
      <x:c r="D1203" s="20" t="str">
        <x:v>Russia</x:v>
      </x:c>
      <x:c r="E1203" s="20" t="str">
        <x:v>Russian influence</x:v>
      </x:c>
      <x:c r="F1203" s="20" t="str">
        <x:v>PMC presence</x:v>
      </x:c>
      <x:c r="G1203" s="384" t="n">
        <x:v>0</x:v>
      </x:c>
      <x:c r="H1203" s="396" t="n">
        <x:v>1</x:v>
      </x:c>
      <x:c r="I1203" s="20" t="str">
        <x:v>Treasury and Council of the EU Wagner/PMC source register</x:v>
      </x:c>
      <x:c r="J1203" s="397" t="str">
        <x:v>https://www.consilium.europa.eu/en/press/press-releases/2023/02/25/wagner-group-council-adds-11-individuals-and-7-entities-to-eu-sanctions-lists/</x:v>
      </x:c>
      <x:c r="K1203" s="20" t="str">
        <x:v>Primary source-register URL; automated screening score</x:v>
      </x:c>
      <x:c r="L1203" s="20" t="str">
        <x:v>2026-05-20</x:v>
      </x:c>
      <x:c r="M1203" s="20" t="str">
        <x:v>2026-05-20</x:v>
      </x:c>
      <x:c r="N1203" s="20" t="str">
        <x:v>GPT-5.5 Pro</x:v>
      </x:c>
      <x:c r="O1203" s="20" t="str">
        <x:v>Needs review</x:v>
      </x:c>
      <x:c r="P1203" s="20" t="str">
        <x:v>Screening score for Russia / PMC presence in Nicaragua; verify with country-specific evidence before final use.</x:v>
      </x:c>
    </x:row>
    <x:row r="1204" ht="24" customHeight="1">
      <x:c r="A1204" s="20" t="str">
        <x:v>NIC|Russia|Election interference</x:v>
      </x:c>
      <x:c r="B1204" s="20" t="str">
        <x:v>Nicaragua</x:v>
      </x:c>
      <x:c r="C1204" s="20" t="str">
        <x:v>NIC</x:v>
      </x:c>
      <x:c r="D1204" s="20" t="str">
        <x:v>Russia</x:v>
      </x:c>
      <x:c r="E1204" s="20" t="str">
        <x:v>Russian influence</x:v>
      </x:c>
      <x:c r="F1204" s="20" t="str">
        <x:v>Election interference</x:v>
      </x:c>
      <x:c r="G1204" s="384" t="n">
        <x:v>4</x:v>
      </x:c>
      <x:c r="H1204" s="396" t="n">
        <x:v>3</x:v>
      </x:c>
      <x:c r="I1204" s="20" t="str">
        <x:v>ODNI/EEAS election-FIMI source register</x:v>
      </x:c>
      <x:c r="J1204" s="397" t="str">
        <x:v>https://www.dni.gov/files/ODNI/documents/assessments/ATA-2026-Unclassified-Report.pdf</x:v>
      </x:c>
      <x:c r="K1204" s="20" t="str">
        <x:v>Primary source-register URL; automated screening score</x:v>
      </x:c>
      <x:c r="L1204" s="20" t="str">
        <x:v>2026-05-20</x:v>
      </x:c>
      <x:c r="M1204" s="20" t="str">
        <x:v>2026-05-20</x:v>
      </x:c>
      <x:c r="N1204" s="20" t="str">
        <x:v>GPT-5.5 Pro</x:v>
      </x:c>
      <x:c r="O1204" s="20" t="str">
        <x:v>Needs review</x:v>
      </x:c>
      <x:c r="P1204" s="20" t="str">
        <x:v>Screening score for Russia / Election interference in Nicaragua; verify with country-specific evidence before final use.</x:v>
      </x:c>
    </x:row>
    <x:row r="1205" ht="24" customHeight="1">
      <x:c r="A1205" s="20" t="str">
        <x:v>NIC|Russia|Security contractors</x:v>
      </x:c>
      <x:c r="B1205" s="20" t="str">
        <x:v>Nicaragua</x:v>
      </x:c>
      <x:c r="C1205" s="20" t="str">
        <x:v>NIC</x:v>
      </x:c>
      <x:c r="D1205" s="20" t="str">
        <x:v>Russia</x:v>
      </x:c>
      <x:c r="E1205" s="20" t="str">
        <x:v>Russian influence</x:v>
      </x:c>
      <x:c r="F1205" s="20" t="str">
        <x:v>Security contractors</x:v>
      </x:c>
      <x:c r="G1205" s="384" t="n">
        <x:v>0</x:v>
      </x:c>
      <x:c r="H1205" s="396" t="n">
        <x:v>1</x:v>
      </x:c>
      <x:c r="I1205" s="20" t="str">
        <x:v>Council of the EU/Treasury Wagner-security source register</x:v>
      </x:c>
      <x:c r="J1205" s="397" t="str">
        <x:v>https://www.consilium.europa.eu/en/press/press-releases/2023/02/25/wagner-group-council-adds-11-individuals-and-7-entities-to-eu-sanctions-lists/</x:v>
      </x:c>
      <x:c r="K1205" s="20" t="str">
        <x:v>Primary source-register URL; automated screening score</x:v>
      </x:c>
      <x:c r="L1205" s="20" t="str">
        <x:v>2026-05-20</x:v>
      </x:c>
      <x:c r="M1205" s="20" t="str">
        <x:v>2026-05-20</x:v>
      </x:c>
      <x:c r="N1205" s="20" t="str">
        <x:v>GPT-5.5 Pro</x:v>
      </x:c>
      <x:c r="O1205" s="20" t="str">
        <x:v>Needs review</x:v>
      </x:c>
      <x:c r="P1205" s="20" t="str">
        <x:v>Screening score for Russia / Security contractors in Nicaragua; verify with country-specific evidence before final use.</x:v>
      </x:c>
    </x:row>
    <x:row r="1206" ht="24" customHeight="1">
      <x:c r="A1206" s="20" t="str">
        <x:v>NIC|China|Propaganda ecosystems</x:v>
      </x:c>
      <x:c r="B1206" s="20" t="str">
        <x:v>Nicaragua</x:v>
      </x:c>
      <x:c r="C1206" s="20" t="str">
        <x:v>NIC</x:v>
      </x:c>
      <x:c r="D1206" s="20" t="str">
        <x:v>China</x:v>
      </x:c>
      <x:c r="E1206" s="20" t="str">
        <x:v>Chinese influence</x:v>
      </x:c>
      <x:c r="F1206" s="20" t="str">
        <x:v>Propaganda ecosystems</x:v>
      </x:c>
      <x:c r="G1206" s="384" t="n">
        <x:v>5</x:v>
      </x:c>
      <x:c r="H1206" s="396" t="n">
        <x:v>3</x:v>
      </x:c>
      <x:c r="I1206" s="20" t="str">
        <x:v>EEAS/ODNI China FIMI source register</x:v>
      </x:c>
      <x:c r="J1206" s="397" t="str">
        <x:v>https://www.eeas.europa.eu/eeas/4th-eeas-annual-report-foreign-information-manipulation-and-interference-threats_en</x:v>
      </x:c>
      <x:c r="K1206" s="20" t="str">
        <x:v>Primary source-register URL; automated screening score</x:v>
      </x:c>
      <x:c r="L1206" s="20" t="str">
        <x:v>2026-05-20</x:v>
      </x:c>
      <x:c r="M1206" s="20" t="str">
        <x:v>2026-05-20</x:v>
      </x:c>
      <x:c r="N1206" s="20" t="str">
        <x:v>GPT-5.5 Pro</x:v>
      </x:c>
      <x:c r="O1206" s="20" t="str">
        <x:v>Needs review</x:v>
      </x:c>
      <x:c r="P1206" s="20" t="str">
        <x:v>Screening score for China / Propaganda ecosystems in Nicaragua; verify with country-specific evidence before final use.</x:v>
      </x:c>
    </x:row>
    <x:row r="1207" ht="24" customHeight="1">
      <x:c r="A1207" s="20" t="str">
        <x:v>NIC|China|PMC presence</x:v>
      </x:c>
      <x:c r="B1207" s="20" t="str">
        <x:v>Nicaragua</x:v>
      </x:c>
      <x:c r="C1207" s="20" t="str">
        <x:v>NIC</x:v>
      </x:c>
      <x:c r="D1207" s="20" t="str">
        <x:v>China</x:v>
      </x:c>
      <x:c r="E1207" s="20" t="str">
        <x:v>Chinese influence</x:v>
      </x:c>
      <x:c r="F1207" s="20" t="str">
        <x:v>PMC presence</x:v>
      </x:c>
      <x:c r="G1207" s="384" t="n">
        <x:v>0</x:v>
      </x:c>
      <x:c r="H1207" s="396" t="n">
        <x:v>1</x:v>
      </x:c>
      <x:c r="I1207" s="20" t="str">
        <x:v>MERICS/Carnegie Chinese overseas PSC source register</x:v>
      </x:c>
      <x:c r="J1207" s="397" t="str">
        <x:v>https://merics.org/en/report/guardians-belt-and-road</x:v>
      </x:c>
      <x:c r="K1207" s="20" t="str">
        <x:v>Primary source-register URL; automated screening score</x:v>
      </x:c>
      <x:c r="L1207" s="20" t="str">
        <x:v>2026-05-20</x:v>
      </x:c>
      <x:c r="M1207" s="20" t="str">
        <x:v>2026-05-20</x:v>
      </x:c>
      <x:c r="N1207" s="20" t="str">
        <x:v>GPT-5.5 Pro</x:v>
      </x:c>
      <x:c r="O1207" s="20" t="str">
        <x:v>Needs review</x:v>
      </x:c>
      <x:c r="P1207" s="20" t="str">
        <x:v>Screening score for China / PMC presence in Nicaragua; verify with country-specific evidence before final use.</x:v>
      </x:c>
    </x:row>
    <x:row r="1208" ht="24" customHeight="1">
      <x:c r="A1208" s="20" t="str">
        <x:v>NIC|China|Election interference</x:v>
      </x:c>
      <x:c r="B1208" s="20" t="str">
        <x:v>Nicaragua</x:v>
      </x:c>
      <x:c r="C1208" s="20" t="str">
        <x:v>NIC</x:v>
      </x:c>
      <x:c r="D1208" s="20" t="str">
        <x:v>China</x:v>
      </x:c>
      <x:c r="E1208" s="20" t="str">
        <x:v>Chinese influence</x:v>
      </x:c>
      <x:c r="F1208" s="20" t="str">
        <x:v>Election interference</x:v>
      </x:c>
      <x:c r="G1208" s="384" t="n">
        <x:v>2</x:v>
      </x:c>
      <x:c r="H1208" s="396" t="n">
        <x:v>2</x:v>
      </x:c>
      <x:c r="I1208" s="20" t="str">
        <x:v>EEAS/ODNI China election-FIMI source register</x:v>
      </x:c>
      <x:c r="J1208" s="397" t="str">
        <x:v>https://www.eeas.europa.eu/eeas/4th-eeas-annual-report-foreign-information-manipulation-and-interference-threats_en</x:v>
      </x:c>
      <x:c r="K1208" s="20" t="str">
        <x:v>Primary source-register URL; automated screening score</x:v>
      </x:c>
      <x:c r="L1208" s="20" t="str">
        <x:v>2026-05-20</x:v>
      </x:c>
      <x:c r="M1208" s="20" t="str">
        <x:v>2026-05-20</x:v>
      </x:c>
      <x:c r="N1208" s="20" t="str">
        <x:v>GPT-5.5 Pro</x:v>
      </x:c>
      <x:c r="O1208" s="20" t="str">
        <x:v>Needs review</x:v>
      </x:c>
      <x:c r="P1208" s="20" t="str">
        <x:v>Screening score for China / Election interference in Nicaragua; verify with country-specific evidence before final use.</x:v>
      </x:c>
    </x:row>
    <x:row r="1209" ht="24" customHeight="1">
      <x:c r="A1209" s="20" t="str">
        <x:v>NIC|China|Security contractors</x:v>
      </x:c>
      <x:c r="B1209" s="20" t="str">
        <x:v>Nicaragua</x:v>
      </x:c>
      <x:c r="C1209" s="20" t="str">
        <x:v>NIC</x:v>
      </x:c>
      <x:c r="D1209" s="20" t="str">
        <x:v>China</x:v>
      </x:c>
      <x:c r="E1209" s="20" t="str">
        <x:v>Chinese influence</x:v>
      </x:c>
      <x:c r="F1209" s="20" t="str">
        <x:v>Security contractors</x:v>
      </x:c>
      <x:c r="G1209" s="384" t="n">
        <x:v>0</x:v>
      </x:c>
      <x:c r="H1209" s="396" t="n">
        <x:v>1</x:v>
      </x:c>
      <x:c r="I1209" s="20" t="str">
        <x:v>MERICS/Carnegie Chinese security contractor source register</x:v>
      </x:c>
      <x:c r="J1209" s="397" t="str">
        <x:v>https://merics.org/en/report/guardians-belt-and-road</x:v>
      </x:c>
      <x:c r="K1209" s="20" t="str">
        <x:v>Primary source-register URL; automated screening score</x:v>
      </x:c>
      <x:c r="L1209" s="20" t="str">
        <x:v>2026-05-20</x:v>
      </x:c>
      <x:c r="M1209" s="20" t="str">
        <x:v>2026-05-20</x:v>
      </x:c>
      <x:c r="N1209" s="20" t="str">
        <x:v>GPT-5.5 Pro</x:v>
      </x:c>
      <x:c r="O1209" s="20" t="str">
        <x:v>Needs review</x:v>
      </x:c>
      <x:c r="P1209" s="20" t="str">
        <x:v>Screening score for China / Security contractors in Nicaragua; verify with country-specific evidence before final use.</x:v>
      </x:c>
    </x:row>
    <x:row r="1210" ht="24" customHeight="1">
      <x:c r="A1210" s="20" t="str">
        <x:v>NIC|United States|Propaganda ecosystems</x:v>
      </x:c>
      <x:c r="B1210" s="20" t="str">
        <x:v>Nicaragua</x:v>
      </x:c>
      <x:c r="C1210" s="20" t="str">
        <x:v>NIC</x:v>
      </x:c>
      <x:c r="D1210" s="20" t="str">
        <x:v>United States</x:v>
      </x:c>
      <x:c r="E1210" s="20" t="str">
        <x:v>American influence</x:v>
      </x:c>
      <x:c r="F1210" s="20" t="str">
        <x:v>Propaganda ecosystems</x:v>
      </x:c>
      <x:c r="G1210" s="384" t="n">
        <x:v>6</x:v>
      </x:c>
      <x:c r="H1210" s="396" t="n">
        <x:v>4</x:v>
      </x:c>
      <x:c r="I1210" s="20" t="str">
        <x:v>USAGM public media source register</x:v>
      </x:c>
      <x:c r="J1210" s="397" t="str">
        <x:v>https://www.usagm.gov/our-work/strategy-and-results/strategic-priorities/research-reports/</x:v>
      </x:c>
      <x:c r="K1210" s="20" t="str">
        <x:v>Primary source-register URL; automated screening score</x:v>
      </x:c>
      <x:c r="L1210" s="20" t="str">
        <x:v>2026-05-20</x:v>
      </x:c>
      <x:c r="M1210" s="20" t="str">
        <x:v>2026-05-20</x:v>
      </x:c>
      <x:c r="N1210" s="20" t="str">
        <x:v>GPT-5.5 Pro</x:v>
      </x:c>
      <x:c r="O1210" s="20" t="str">
        <x:v>Needs review</x:v>
      </x:c>
      <x:c r="P1210" s="20" t="str">
        <x:v>Screening score for United States / Propaganda ecosystems in Nicaragua; verify with country-specific evidence before final use.</x:v>
      </x:c>
    </x:row>
    <x:row r="1211" ht="24" customHeight="1">
      <x:c r="A1211" s="20" t="str">
        <x:v>NIC|United States|PMC presence</x:v>
      </x:c>
      <x:c r="B1211" s="20" t="str">
        <x:v>Nicaragua</x:v>
      </x:c>
      <x:c r="C1211" s="20" t="str">
        <x:v>NIC</x:v>
      </x:c>
      <x:c r="D1211" s="20" t="str">
        <x:v>United States</x:v>
      </x:c>
      <x:c r="E1211" s="20" t="str">
        <x:v>American influence</x:v>
      </x:c>
      <x:c r="F1211" s="20" t="str">
        <x:v>PMC presence</x:v>
      </x:c>
      <x:c r="G1211" s="384" t="n">
        <x:v>2</x:v>
      </x:c>
      <x:c r="H1211" s="396" t="n">
        <x:v>2</x:v>
      </x:c>
      <x:c r="I1211" s="20" t="str">
        <x:v>SAM/Greenbook U.S. security assistance contractor source register</x:v>
      </x:c>
      <x:c r="J1211" s="397" t="str">
        <x:v>https://internationalpolicy.org/programs/sam/</x:v>
      </x:c>
      <x:c r="K1211" s="20" t="str">
        <x:v>Primary source-register URL; automated screening score</x:v>
      </x:c>
      <x:c r="L1211" s="20" t="str">
        <x:v>2026-05-20</x:v>
      </x:c>
      <x:c r="M1211" s="20" t="str">
        <x:v>2026-05-20</x:v>
      </x:c>
      <x:c r="N1211" s="20" t="str">
        <x:v>GPT-5.5 Pro</x:v>
      </x:c>
      <x:c r="O1211" s="20" t="str">
        <x:v>Needs review</x:v>
      </x:c>
      <x:c r="P1211" s="20" t="str">
        <x:v>Screening score for United States / PMC presence in Nicaragua; verify with country-specific evidence before final use.</x:v>
      </x:c>
    </x:row>
    <x:row r="1212" ht="24" customHeight="1">
      <x:c r="A1212" s="20" t="str">
        <x:v>NIC|United States|Election interference</x:v>
      </x:c>
      <x:c r="B1212" s="20" t="str">
        <x:v>Nicaragua</x:v>
      </x:c>
      <x:c r="C1212" s="20" t="str">
        <x:v>NIC</x:v>
      </x:c>
      <x:c r="D1212" s="20" t="str">
        <x:v>United States</x:v>
      </x:c>
      <x:c r="E1212" s="20" t="str">
        <x:v>American influence</x:v>
      </x:c>
      <x:c r="F1212" s="20" t="str">
        <x:v>Election interference</x:v>
      </x:c>
      <x:c r="G1212" s="384" t="n">
        <x:v>5</x:v>
      </x:c>
      <x:c r="H1212" s="396" t="n">
        <x:v>3</x:v>
      </x:c>
      <x:c r="I1212" s="20" t="str">
        <x:v>NED/Greenbook democracy assistance source register</x:v>
      </x:c>
      <x:c r="J1212" s="397" t="str">
        <x:v>https://www.ned.org/ned-grantmaking/</x:v>
      </x:c>
      <x:c r="K1212" s="20" t="str">
        <x:v>Primary source-register URL; automated screening score</x:v>
      </x:c>
      <x:c r="L1212" s="20" t="str">
        <x:v>2026-05-20</x:v>
      </x:c>
      <x:c r="M1212" s="20" t="str">
        <x:v>2026-05-20</x:v>
      </x:c>
      <x:c r="N1212" s="20" t="str">
        <x:v>GPT-5.5 Pro</x:v>
      </x:c>
      <x:c r="O1212" s="20" t="str">
        <x:v>Needs review</x:v>
      </x:c>
      <x:c r="P1212" s="20" t="str">
        <x:v>Screening score for United States / Election interference in Nicaragua; verify with country-specific evidence before final use.</x:v>
      </x:c>
    </x:row>
    <x:row r="1213" ht="24" customHeight="1">
      <x:c r="A1213" s="20" t="str">
        <x:v>NIC|United States|Security contractors</x:v>
      </x:c>
      <x:c r="B1213" s="20" t="str">
        <x:v>Nicaragua</x:v>
      </x:c>
      <x:c r="C1213" s="20" t="str">
        <x:v>NIC</x:v>
      </x:c>
      <x:c r="D1213" s="20" t="str">
        <x:v>United States</x:v>
      </x:c>
      <x:c r="E1213" s="20" t="str">
        <x:v>American influence</x:v>
      </x:c>
      <x:c r="F1213" s="20" t="str">
        <x:v>Security contractors</x:v>
      </x:c>
      <x:c r="G1213" s="384" t="n">
        <x:v>4</x:v>
      </x:c>
      <x:c r="H1213" s="396" t="n">
        <x:v>3</x:v>
      </x:c>
      <x:c r="I1213" s="20" t="str">
        <x:v>SAM/Greenbook U.S. security contractor source register</x:v>
      </x:c>
      <x:c r="J1213" s="397" t="str">
        <x:v>https://internationalpolicy.org/programs/sam/</x:v>
      </x:c>
      <x:c r="K1213" s="20" t="str">
        <x:v>Primary source-register URL; automated screening score</x:v>
      </x:c>
      <x:c r="L1213" s="20" t="str">
        <x:v>2026-05-20</x:v>
      </x:c>
      <x:c r="M1213" s="20" t="str">
        <x:v>2026-05-20</x:v>
      </x:c>
      <x:c r="N1213" s="20" t="str">
        <x:v>GPT-5.5 Pro</x:v>
      </x:c>
      <x:c r="O1213" s="20" t="str">
        <x:v>Needs review</x:v>
      </x:c>
      <x:c r="P1213" s="20" t="str">
        <x:v>Screening score for United States / Security contractors in Nicaragua; verify with country-specific evidence before final use.</x:v>
      </x:c>
    </x:row>
    <x:row r="1214" ht="24" customHeight="1">
      <x:c r="A1214" s="20" t="str">
        <x:v>NIC|European Union|Propaganda ecosystems</x:v>
      </x:c>
      <x:c r="B1214" s="20" t="str">
        <x:v>Nicaragua</x:v>
      </x:c>
      <x:c r="C1214" s="20" t="str">
        <x:v>NIC</x:v>
      </x:c>
      <x:c r="D1214" s="20" t="str">
        <x:v>European Union</x:v>
      </x:c>
      <x:c r="E1214" s="20" t="str">
        <x:v>EU influence</x:v>
      </x:c>
      <x:c r="F1214" s="20" t="str">
        <x:v>Propaganda ecosystems</x:v>
      </x:c>
      <x:c r="G1214" s="384" t="n">
        <x:v>3</x:v>
      </x:c>
      <x:c r="H1214" s="396" t="n">
        <x:v>3</x:v>
      </x:c>
      <x:c r="I1214" s="20" t="str">
        <x:v>EEAS public diplomacy source register</x:v>
      </x:c>
      <x:c r="J1214" s="397" t="str">
        <x:v>https://www.eeas.europa.eu/eeas/public-diplomacy_en</x:v>
      </x:c>
      <x:c r="K1214" s="20" t="str">
        <x:v>Primary source-register URL; automated screening score</x:v>
      </x:c>
      <x:c r="L1214" s="20" t="str">
        <x:v>2026-05-20</x:v>
      </x:c>
      <x:c r="M1214" s="20" t="str">
        <x:v>2026-05-20</x:v>
      </x:c>
      <x:c r="N1214" s="20" t="str">
        <x:v>GPT-5.5 Pro</x:v>
      </x:c>
      <x:c r="O1214" s="20" t="str">
        <x:v>Needs review</x:v>
      </x:c>
      <x:c r="P1214" s="20" t="str">
        <x:v>Screening score for European Union / Propaganda ecosystems in Nicaragua; verify with country-specific evidence before final use.</x:v>
      </x:c>
    </x:row>
    <x:row r="1215" ht="24" customHeight="1">
      <x:c r="A1215" s="20" t="str">
        <x:v>NIC|European Union|PMC presence</x:v>
      </x:c>
      <x:c r="B1215" s="20" t="str">
        <x:v>Nicaragua</x:v>
      </x:c>
      <x:c r="C1215" s="20" t="str">
        <x:v>NIC</x:v>
      </x:c>
      <x:c r="D1215" s="20" t="str">
        <x:v>European Union</x:v>
      </x:c>
      <x:c r="E1215" s="20" t="str">
        <x:v>EU influence</x:v>
      </x:c>
      <x:c r="F1215" s="20" t="str">
        <x:v>PMC presence</x:v>
      </x:c>
      <x:c r="G1215" s="384" t="n">
        <x:v>0</x:v>
      </x:c>
      <x:c r="H1215" s="396" t="n">
        <x:v>1</x:v>
      </x:c>
      <x:c r="I1215" s="20" t="str">
        <x:v>EEAS CSDP missions source register</x:v>
      </x:c>
      <x:c r="J1215" s="397" t="str">
        <x:v>https://www.eeas.europa.eu/eeas/missions-and-operations_en</x:v>
      </x:c>
      <x:c r="K1215" s="20" t="str">
        <x:v>Primary source-register URL; automated screening score</x:v>
      </x:c>
      <x:c r="L1215" s="20" t="str">
        <x:v>2026-05-20</x:v>
      </x:c>
      <x:c r="M1215" s="20" t="str">
        <x:v>2026-05-20</x:v>
      </x:c>
      <x:c r="N1215" s="20" t="str">
        <x:v>GPT-5.5 Pro</x:v>
      </x:c>
      <x:c r="O1215" s="20" t="str">
        <x:v>Needs review</x:v>
      </x:c>
      <x:c r="P1215" s="20" t="str">
        <x:v>Screening score for European Union / PMC presence in Nicaragua; verify with country-specific evidence before final use.</x:v>
      </x:c>
    </x:row>
    <x:row r="1216" ht="24" customHeight="1">
      <x:c r="A1216" s="20" t="str">
        <x:v>NIC|European Union|Election interference</x:v>
      </x:c>
      <x:c r="B1216" s="20" t="str">
        <x:v>Nicaragua</x:v>
      </x:c>
      <x:c r="C1216" s="20" t="str">
        <x:v>NIC</x:v>
      </x:c>
      <x:c r="D1216" s="20" t="str">
        <x:v>European Union</x:v>
      </x:c>
      <x:c r="E1216" s="20" t="str">
        <x:v>EU influence</x:v>
      </x:c>
      <x:c r="F1216" s="20" t="str">
        <x:v>Election interference</x:v>
      </x:c>
      <x:c r="G1216" s="384" t="n">
        <x:v>1</x:v>
      </x:c>
      <x:c r="H1216" s="396" t="n">
        <x:v>2</x:v>
      </x:c>
      <x:c r="I1216" s="20" t="str">
        <x:v>EEAS EU election observation source register</x:v>
      </x:c>
      <x:c r="J1216" s="397" t="str">
        <x:v>https://www.eeas.europa.eu/eeas/eu-election-observation-missions-1_en?page_lang=en</x:v>
      </x:c>
      <x:c r="K1216" s="20" t="str">
        <x:v>Primary source-register URL; automated screening score</x:v>
      </x:c>
      <x:c r="L1216" s="20" t="str">
        <x:v>2026-05-20</x:v>
      </x:c>
      <x:c r="M1216" s="20" t="str">
        <x:v>2026-05-20</x:v>
      </x:c>
      <x:c r="N1216" s="20" t="str">
        <x:v>GPT-5.5 Pro</x:v>
      </x:c>
      <x:c r="O1216" s="20" t="str">
        <x:v>Needs review</x:v>
      </x:c>
      <x:c r="P1216" s="20" t="str">
        <x:v>Screening score for European Union / Election interference in Nicaragua; verify with country-specific evidence before final use.</x:v>
      </x:c>
    </x:row>
    <x:row r="1217" ht="24" customHeight="1">
      <x:c r="A1217" s="20" t="str">
        <x:v>NIC|European Union|Security contractors</x:v>
      </x:c>
      <x:c r="B1217" s="20" t="str">
        <x:v>Nicaragua</x:v>
      </x:c>
      <x:c r="C1217" s="20" t="str">
        <x:v>NIC</x:v>
      </x:c>
      <x:c r="D1217" s="20" t="str">
        <x:v>European Union</x:v>
      </x:c>
      <x:c r="E1217" s="20" t="str">
        <x:v>EU influence</x:v>
      </x:c>
      <x:c r="F1217" s="20" t="str">
        <x:v>Security contractors</x:v>
      </x:c>
      <x:c r="G1217" s="384" t="n">
        <x:v>2</x:v>
      </x:c>
      <x:c r="H1217" s="396" t="n">
        <x:v>2</x:v>
      </x:c>
      <x:c r="I1217" s="20" t="str">
        <x:v>EEAS CSDP / Global Gateway security source register</x:v>
      </x:c>
      <x:c r="J1217" s="397" t="str">
        <x:v>https://www.eeas.europa.eu/eeas/missions-and-operations_en</x:v>
      </x:c>
      <x:c r="K1217" s="20" t="str">
        <x:v>Primary source-register URL; automated screening score</x:v>
      </x:c>
      <x:c r="L1217" s="20" t="str">
        <x:v>2026-05-20</x:v>
      </x:c>
      <x:c r="M1217" s="20" t="str">
        <x:v>2026-05-20</x:v>
      </x:c>
      <x:c r="N1217" s="20" t="str">
        <x:v>GPT-5.5 Pro</x:v>
      </x:c>
      <x:c r="O1217" s="20" t="str">
        <x:v>Needs review</x:v>
      </x:c>
      <x:c r="P1217" s="20" t="str">
        <x:v>Screening score for European Union / Security contractors in Nicaragua; verify with country-specific evidence before final use.</x:v>
      </x:c>
    </x:row>
    <x:row r="1218" ht="24" customHeight="1">
      <x:c r="A1218" s="20" t="str">
        <x:v>NER|Russia|Propaganda ecosystems</x:v>
      </x:c>
      <x:c r="B1218" s="20" t="str">
        <x:v>Niger</x:v>
      </x:c>
      <x:c r="C1218" s="20" t="str">
        <x:v>NER</x:v>
      </x:c>
      <x:c r="D1218" s="20" t="str">
        <x:v>Russia</x:v>
      </x:c>
      <x:c r="E1218" s="20" t="str">
        <x:v>Russian influence</x:v>
      </x:c>
      <x:c r="F1218" s="20" t="str">
        <x:v>Propaganda ecosystems</x:v>
      </x:c>
      <x:c r="G1218" s="384" t="n">
        <x:v>7</x:v>
      </x:c>
      <x:c r="H1218" s="396" t="n">
        <x:v>4</x:v>
      </x:c>
      <x:c r="I1218" s="20" t="str">
        <x:v>EEAS/EUvsDisinfo FIMI source register</x:v>
      </x:c>
      <x:c r="J1218" s="397" t="str">
        <x:v>https://www.eeas.europa.eu/eeas/4th-eeas-annual-report-foreign-information-manipulation-and-interference-threats_en</x:v>
      </x:c>
      <x:c r="K1218" s="20" t="str">
        <x:v>Primary source-register URL; automated screening score</x:v>
      </x:c>
      <x:c r="L1218" s="20" t="str">
        <x:v>2026-05-20</x:v>
      </x:c>
      <x:c r="M1218" s="20" t="str">
        <x:v>2026-05-20</x:v>
      </x:c>
      <x:c r="N1218" s="20" t="str">
        <x:v>GPT-5.5 Pro</x:v>
      </x:c>
      <x:c r="O1218" s="20" t="str">
        <x:v>Needs review</x:v>
      </x:c>
      <x:c r="P1218" s="20" t="str">
        <x:v>Screening score for Russia / Propaganda ecosystems in Niger; verify with country-specific evidence before final use.</x:v>
      </x:c>
    </x:row>
    <x:row r="1219" ht="24" customHeight="1">
      <x:c r="A1219" s="20" t="str">
        <x:v>NER|Russia|PMC presence</x:v>
      </x:c>
      <x:c r="B1219" s="20" t="str">
        <x:v>Niger</x:v>
      </x:c>
      <x:c r="C1219" s="20" t="str">
        <x:v>NER</x:v>
      </x:c>
      <x:c r="D1219" s="20" t="str">
        <x:v>Russia</x:v>
      </x:c>
      <x:c r="E1219" s="20" t="str">
        <x:v>Russian influence</x:v>
      </x:c>
      <x:c r="F1219" s="20" t="str">
        <x:v>PMC presence</x:v>
      </x:c>
      <x:c r="G1219" s="384" t="n">
        <x:v>6</x:v>
      </x:c>
      <x:c r="H1219" s="396" t="n">
        <x:v>4</x:v>
      </x:c>
      <x:c r="I1219" s="20" t="str">
        <x:v>Treasury and Council of the EU Wagner/PMC source register</x:v>
      </x:c>
      <x:c r="J1219" s="397" t="str">
        <x:v>https://www.consilium.europa.eu/en/press/press-releases/2023/02/25/wagner-group-council-adds-11-individuals-and-7-entities-to-eu-sanctions-lists/</x:v>
      </x:c>
      <x:c r="K1219" s="20" t="str">
        <x:v>Primary source-register URL; automated screening score</x:v>
      </x:c>
      <x:c r="L1219" s="20" t="str">
        <x:v>2026-05-20</x:v>
      </x:c>
      <x:c r="M1219" s="20" t="str">
        <x:v>2026-05-20</x:v>
      </x:c>
      <x:c r="N1219" s="20" t="str">
        <x:v>GPT-5.5 Pro</x:v>
      </x:c>
      <x:c r="O1219" s="20" t="str">
        <x:v>Needs review</x:v>
      </x:c>
      <x:c r="P1219" s="20" t="str">
        <x:v>Screening score for Russia / PMC presence in Niger; verify with country-specific evidence before final use.</x:v>
      </x:c>
    </x:row>
    <x:row r="1220" ht="24" customHeight="1">
      <x:c r="A1220" s="20" t="str">
        <x:v>NER|Russia|Election interference</x:v>
      </x:c>
      <x:c r="B1220" s="20" t="str">
        <x:v>Niger</x:v>
      </x:c>
      <x:c r="C1220" s="20" t="str">
        <x:v>NER</x:v>
      </x:c>
      <x:c r="D1220" s="20" t="str">
        <x:v>Russia</x:v>
      </x:c>
      <x:c r="E1220" s="20" t="str">
        <x:v>Russian influence</x:v>
      </x:c>
      <x:c r="F1220" s="20" t="str">
        <x:v>Election interference</x:v>
      </x:c>
      <x:c r="G1220" s="384" t="n">
        <x:v>3</x:v>
      </x:c>
      <x:c r="H1220" s="396" t="n">
        <x:v>3</x:v>
      </x:c>
      <x:c r="I1220" s="20" t="str">
        <x:v>ODNI/EEAS election-FIMI source register</x:v>
      </x:c>
      <x:c r="J1220" s="397" t="str">
        <x:v>https://www.dni.gov/files/ODNI/documents/assessments/ATA-2026-Unclassified-Report.pdf</x:v>
      </x:c>
      <x:c r="K1220" s="20" t="str">
        <x:v>Primary source-register URL; automated screening score</x:v>
      </x:c>
      <x:c r="L1220" s="20" t="str">
        <x:v>2026-05-20</x:v>
      </x:c>
      <x:c r="M1220" s="20" t="str">
        <x:v>2026-05-20</x:v>
      </x:c>
      <x:c r="N1220" s="20" t="str">
        <x:v>GPT-5.5 Pro</x:v>
      </x:c>
      <x:c r="O1220" s="20" t="str">
        <x:v>Needs review</x:v>
      </x:c>
      <x:c r="P1220" s="20" t="str">
        <x:v>Screening score for Russia / Election interference in Niger; verify with country-specific evidence before final use.</x:v>
      </x:c>
    </x:row>
    <x:row r="1221" ht="24" customHeight="1">
      <x:c r="A1221" s="20" t="str">
        <x:v>NER|Russia|Security contractors</x:v>
      </x:c>
      <x:c r="B1221" s="20" t="str">
        <x:v>Niger</x:v>
      </x:c>
      <x:c r="C1221" s="20" t="str">
        <x:v>NER</x:v>
      </x:c>
      <x:c r="D1221" s="20" t="str">
        <x:v>Russia</x:v>
      </x:c>
      <x:c r="E1221" s="20" t="str">
        <x:v>Russian influence</x:v>
      </x:c>
      <x:c r="F1221" s="20" t="str">
        <x:v>Security contractors</x:v>
      </x:c>
      <x:c r="G1221" s="384" t="n">
        <x:v>5</x:v>
      </x:c>
      <x:c r="H1221" s="396" t="n">
        <x:v>3</x:v>
      </x:c>
      <x:c r="I1221" s="20" t="str">
        <x:v>Council of the EU/Treasury Wagner-security source register</x:v>
      </x:c>
      <x:c r="J1221" s="397" t="str">
        <x:v>https://www.consilium.europa.eu/en/press/press-releases/2023/02/25/wagner-group-council-adds-11-individuals-and-7-entities-to-eu-sanctions-lists/</x:v>
      </x:c>
      <x:c r="K1221" s="20" t="str">
        <x:v>Primary source-register URL; automated screening score</x:v>
      </x:c>
      <x:c r="L1221" s="20" t="str">
        <x:v>2026-05-20</x:v>
      </x:c>
      <x:c r="M1221" s="20" t="str">
        <x:v>2026-05-20</x:v>
      </x:c>
      <x:c r="N1221" s="20" t="str">
        <x:v>GPT-5.5 Pro</x:v>
      </x:c>
      <x:c r="O1221" s="20" t="str">
        <x:v>Needs review</x:v>
      </x:c>
      <x:c r="P1221" s="20" t="str">
        <x:v>Screening score for Russia / Security contractors in Niger; verify with country-specific evidence before final use.</x:v>
      </x:c>
    </x:row>
    <x:row r="1222" ht="24" customHeight="1">
      <x:c r="A1222" s="20" t="str">
        <x:v>NER|China|Propaganda ecosystems</x:v>
      </x:c>
      <x:c r="B1222" s="20" t="str">
        <x:v>Niger</x:v>
      </x:c>
      <x:c r="C1222" s="20" t="str">
        <x:v>NER</x:v>
      </x:c>
      <x:c r="D1222" s="20" t="str">
        <x:v>China</x:v>
      </x:c>
      <x:c r="E1222" s="20" t="str">
        <x:v>Chinese influence</x:v>
      </x:c>
      <x:c r="F1222" s="20" t="str">
        <x:v>Propaganda ecosystems</x:v>
      </x:c>
      <x:c r="G1222" s="384" t="n">
        <x:v>5</x:v>
      </x:c>
      <x:c r="H1222" s="396" t="n">
        <x:v>3</x:v>
      </x:c>
      <x:c r="I1222" s="20" t="str">
        <x:v>EEAS/ODNI China FIMI source register</x:v>
      </x:c>
      <x:c r="J1222" s="397" t="str">
        <x:v>https://www.eeas.europa.eu/eeas/4th-eeas-annual-report-foreign-information-manipulation-and-interference-threats_en</x:v>
      </x:c>
      <x:c r="K1222" s="20" t="str">
        <x:v>Primary source-register URL; automated screening score</x:v>
      </x:c>
      <x:c r="L1222" s="20" t="str">
        <x:v>2026-05-20</x:v>
      </x:c>
      <x:c r="M1222" s="20" t="str">
        <x:v>2026-05-20</x:v>
      </x:c>
      <x:c r="N1222" s="20" t="str">
        <x:v>GPT-5.5 Pro</x:v>
      </x:c>
      <x:c r="O1222" s="20" t="str">
        <x:v>Needs review</x:v>
      </x:c>
      <x:c r="P1222" s="20" t="str">
        <x:v>Screening score for China / Propaganda ecosystems in Niger; verify with country-specific evidence before final use.</x:v>
      </x:c>
    </x:row>
    <x:row r="1223" ht="24" customHeight="1">
      <x:c r="A1223" s="20" t="str">
        <x:v>NER|China|PMC presence</x:v>
      </x:c>
      <x:c r="B1223" s="20" t="str">
        <x:v>Niger</x:v>
      </x:c>
      <x:c r="C1223" s="20" t="str">
        <x:v>NER</x:v>
      </x:c>
      <x:c r="D1223" s="20" t="str">
        <x:v>China</x:v>
      </x:c>
      <x:c r="E1223" s="20" t="str">
        <x:v>Chinese influence</x:v>
      </x:c>
      <x:c r="F1223" s="20" t="str">
        <x:v>PMC presence</x:v>
      </x:c>
      <x:c r="G1223" s="384" t="n">
        <x:v>1</x:v>
      </x:c>
      <x:c r="H1223" s="396" t="n">
        <x:v>2</x:v>
      </x:c>
      <x:c r="I1223" s="20" t="str">
        <x:v>MERICS/Carnegie Chinese overseas PSC source register</x:v>
      </x:c>
      <x:c r="J1223" s="397" t="str">
        <x:v>https://merics.org/en/report/guardians-belt-and-road</x:v>
      </x:c>
      <x:c r="K1223" s="20" t="str">
        <x:v>Primary source-register URL; automated screening score</x:v>
      </x:c>
      <x:c r="L1223" s="20" t="str">
        <x:v>2026-05-20</x:v>
      </x:c>
      <x:c r="M1223" s="20" t="str">
        <x:v>2026-05-20</x:v>
      </x:c>
      <x:c r="N1223" s="20" t="str">
        <x:v>GPT-5.5 Pro</x:v>
      </x:c>
      <x:c r="O1223" s="20" t="str">
        <x:v>Needs review</x:v>
      </x:c>
      <x:c r="P1223" s="20" t="str">
        <x:v>Screening score for China / PMC presence in Niger; verify with country-specific evidence before final use.</x:v>
      </x:c>
    </x:row>
    <x:row r="1224" ht="24" customHeight="1">
      <x:c r="A1224" s="20" t="str">
        <x:v>NER|China|Election interference</x:v>
      </x:c>
      <x:c r="B1224" s="20" t="str">
        <x:v>Niger</x:v>
      </x:c>
      <x:c r="C1224" s="20" t="str">
        <x:v>NER</x:v>
      </x:c>
      <x:c r="D1224" s="20" t="str">
        <x:v>China</x:v>
      </x:c>
      <x:c r="E1224" s="20" t="str">
        <x:v>Chinese influence</x:v>
      </x:c>
      <x:c r="F1224" s="20" t="str">
        <x:v>Election interference</x:v>
      </x:c>
      <x:c r="G1224" s="384" t="n">
        <x:v>1</x:v>
      </x:c>
      <x:c r="H1224" s="396" t="n">
        <x:v>2</x:v>
      </x:c>
      <x:c r="I1224" s="20" t="str">
        <x:v>EEAS/ODNI China election-FIMI source register</x:v>
      </x:c>
      <x:c r="J1224" s="397" t="str">
        <x:v>https://www.eeas.europa.eu/eeas/4th-eeas-annual-report-foreign-information-manipulation-and-interference-threats_en</x:v>
      </x:c>
      <x:c r="K1224" s="20" t="str">
        <x:v>Primary source-register URL; automated screening score</x:v>
      </x:c>
      <x:c r="L1224" s="20" t="str">
        <x:v>2026-05-20</x:v>
      </x:c>
      <x:c r="M1224" s="20" t="str">
        <x:v>2026-05-20</x:v>
      </x:c>
      <x:c r="N1224" s="20" t="str">
        <x:v>GPT-5.5 Pro</x:v>
      </x:c>
      <x:c r="O1224" s="20" t="str">
        <x:v>Needs review</x:v>
      </x:c>
      <x:c r="P1224" s="20" t="str">
        <x:v>Screening score for China / Election interference in Niger; verify with country-specific evidence before final use.</x:v>
      </x:c>
    </x:row>
    <x:row r="1225" ht="24" customHeight="1">
      <x:c r="A1225" s="20" t="str">
        <x:v>NER|China|Security contractors</x:v>
      </x:c>
      <x:c r="B1225" s="20" t="str">
        <x:v>Niger</x:v>
      </x:c>
      <x:c r="C1225" s="20" t="str">
        <x:v>NER</x:v>
      </x:c>
      <x:c r="D1225" s="20" t="str">
        <x:v>China</x:v>
      </x:c>
      <x:c r="E1225" s="20" t="str">
        <x:v>Chinese influence</x:v>
      </x:c>
      <x:c r="F1225" s="20" t="str">
        <x:v>Security contractors</x:v>
      </x:c>
      <x:c r="G1225" s="384" t="n">
        <x:v>1</x:v>
      </x:c>
      <x:c r="H1225" s="396" t="n">
        <x:v>2</x:v>
      </x:c>
      <x:c r="I1225" s="20" t="str">
        <x:v>MERICS/Carnegie Chinese security contractor source register</x:v>
      </x:c>
      <x:c r="J1225" s="397" t="str">
        <x:v>https://merics.org/en/report/guardians-belt-and-road</x:v>
      </x:c>
      <x:c r="K1225" s="20" t="str">
        <x:v>Primary source-register URL; automated screening score</x:v>
      </x:c>
      <x:c r="L1225" s="20" t="str">
        <x:v>2026-05-20</x:v>
      </x:c>
      <x:c r="M1225" s="20" t="str">
        <x:v>2026-05-20</x:v>
      </x:c>
      <x:c r="N1225" s="20" t="str">
        <x:v>GPT-5.5 Pro</x:v>
      </x:c>
      <x:c r="O1225" s="20" t="str">
        <x:v>Needs review</x:v>
      </x:c>
      <x:c r="P1225" s="20" t="str">
        <x:v>Screening score for China / Security contractors in Niger; verify with country-specific evidence before final use.</x:v>
      </x:c>
    </x:row>
    <x:row r="1226" ht="24" customHeight="1">
      <x:c r="A1226" s="20" t="str">
        <x:v>NER|United States|Propaganda ecosystems</x:v>
      </x:c>
      <x:c r="B1226" s="20" t="str">
        <x:v>Niger</x:v>
      </x:c>
      <x:c r="C1226" s="20" t="str">
        <x:v>NER</x:v>
      </x:c>
      <x:c r="D1226" s="20" t="str">
        <x:v>United States</x:v>
      </x:c>
      <x:c r="E1226" s="20" t="str">
        <x:v>American influence</x:v>
      </x:c>
      <x:c r="F1226" s="20" t="str">
        <x:v>Propaganda ecosystems</x:v>
      </x:c>
      <x:c r="G1226" s="384" t="n">
        <x:v>4</x:v>
      </x:c>
      <x:c r="H1226" s="396" t="n">
        <x:v>3</x:v>
      </x:c>
      <x:c r="I1226" s="20" t="str">
        <x:v>USAGM public media source register</x:v>
      </x:c>
      <x:c r="J1226" s="397" t="str">
        <x:v>https://www.usagm.gov/our-work/strategy-and-results/strategic-priorities/research-reports/</x:v>
      </x:c>
      <x:c r="K1226" s="20" t="str">
        <x:v>Primary source-register URL; automated screening score</x:v>
      </x:c>
      <x:c r="L1226" s="20" t="str">
        <x:v>2026-05-20</x:v>
      </x:c>
      <x:c r="M1226" s="20" t="str">
        <x:v>2026-05-20</x:v>
      </x:c>
      <x:c r="N1226" s="20" t="str">
        <x:v>GPT-5.5 Pro</x:v>
      </x:c>
      <x:c r="O1226" s="20" t="str">
        <x:v>Needs review</x:v>
      </x:c>
      <x:c r="P1226" s="20" t="str">
        <x:v>Screening score for United States / Propaganda ecosystems in Niger; verify with country-specific evidence before final use.</x:v>
      </x:c>
    </x:row>
    <x:row r="1227" ht="24" customHeight="1">
      <x:c r="A1227" s="20" t="str">
        <x:v>NER|United States|PMC presence</x:v>
      </x:c>
      <x:c r="B1227" s="20" t="str">
        <x:v>Niger</x:v>
      </x:c>
      <x:c r="C1227" s="20" t="str">
        <x:v>NER</x:v>
      </x:c>
      <x:c r="D1227" s="20" t="str">
        <x:v>United States</x:v>
      </x:c>
      <x:c r="E1227" s="20" t="str">
        <x:v>American influence</x:v>
      </x:c>
      <x:c r="F1227" s="20" t="str">
        <x:v>PMC presence</x:v>
      </x:c>
      <x:c r="G1227" s="384" t="n">
        <x:v>2</x:v>
      </x:c>
      <x:c r="H1227" s="396" t="n">
        <x:v>2</x:v>
      </x:c>
      <x:c r="I1227" s="20" t="str">
        <x:v>SAM/Greenbook U.S. security assistance contractor source register</x:v>
      </x:c>
      <x:c r="J1227" s="397" t="str">
        <x:v>https://internationalpolicy.org/programs/sam/</x:v>
      </x:c>
      <x:c r="K1227" s="20" t="str">
        <x:v>Primary source-register URL; automated screening score</x:v>
      </x:c>
      <x:c r="L1227" s="20" t="str">
        <x:v>2026-05-20</x:v>
      </x:c>
      <x:c r="M1227" s="20" t="str">
        <x:v>2026-05-20</x:v>
      </x:c>
      <x:c r="N1227" s="20" t="str">
        <x:v>GPT-5.5 Pro</x:v>
      </x:c>
      <x:c r="O1227" s="20" t="str">
        <x:v>Needs review</x:v>
      </x:c>
      <x:c r="P1227" s="20" t="str">
        <x:v>Screening score for United States / PMC presence in Niger; verify with country-specific evidence before final use.</x:v>
      </x:c>
    </x:row>
    <x:row r="1228" ht="24" customHeight="1">
      <x:c r="A1228" s="20" t="str">
        <x:v>NER|United States|Election interference</x:v>
      </x:c>
      <x:c r="B1228" s="20" t="str">
        <x:v>Niger</x:v>
      </x:c>
      <x:c r="C1228" s="20" t="str">
        <x:v>NER</x:v>
      </x:c>
      <x:c r="D1228" s="20" t="str">
        <x:v>United States</x:v>
      </x:c>
      <x:c r="E1228" s="20" t="str">
        <x:v>American influence</x:v>
      </x:c>
      <x:c r="F1228" s="20" t="str">
        <x:v>Election interference</x:v>
      </x:c>
      <x:c r="G1228" s="384" t="n">
        <x:v>2</x:v>
      </x:c>
      <x:c r="H1228" s="396" t="n">
        <x:v>2</x:v>
      </x:c>
      <x:c r="I1228" s="20" t="str">
        <x:v>NED/Greenbook democracy assistance source register</x:v>
      </x:c>
      <x:c r="J1228" s="397" t="str">
        <x:v>https://www.ned.org/ned-grantmaking/</x:v>
      </x:c>
      <x:c r="K1228" s="20" t="str">
        <x:v>Primary source-register URL; automated screening score</x:v>
      </x:c>
      <x:c r="L1228" s="20" t="str">
        <x:v>2026-05-20</x:v>
      </x:c>
      <x:c r="M1228" s="20" t="str">
        <x:v>2026-05-20</x:v>
      </x:c>
      <x:c r="N1228" s="20" t="str">
        <x:v>GPT-5.5 Pro</x:v>
      </x:c>
      <x:c r="O1228" s="20" t="str">
        <x:v>Needs review</x:v>
      </x:c>
      <x:c r="P1228" s="20" t="str">
        <x:v>Screening score for United States / Election interference in Niger; verify with country-specific evidence before final use.</x:v>
      </x:c>
    </x:row>
    <x:row r="1229" ht="24" customHeight="1">
      <x:c r="A1229" s="20" t="str">
        <x:v>NER|United States|Security contractors</x:v>
      </x:c>
      <x:c r="B1229" s="20" t="str">
        <x:v>Niger</x:v>
      </x:c>
      <x:c r="C1229" s="20" t="str">
        <x:v>NER</x:v>
      </x:c>
      <x:c r="D1229" s="20" t="str">
        <x:v>United States</x:v>
      </x:c>
      <x:c r="E1229" s="20" t="str">
        <x:v>American influence</x:v>
      </x:c>
      <x:c r="F1229" s="20" t="str">
        <x:v>Security contractors</x:v>
      </x:c>
      <x:c r="G1229" s="384" t="n">
        <x:v>3</x:v>
      </x:c>
      <x:c r="H1229" s="396" t="n">
        <x:v>3</x:v>
      </x:c>
      <x:c r="I1229" s="20" t="str">
        <x:v>SAM/Greenbook U.S. security contractor source register</x:v>
      </x:c>
      <x:c r="J1229" s="397" t="str">
        <x:v>https://internationalpolicy.org/programs/sam/</x:v>
      </x:c>
      <x:c r="K1229" s="20" t="str">
        <x:v>Primary source-register URL; automated screening score</x:v>
      </x:c>
      <x:c r="L1229" s="20" t="str">
        <x:v>2026-05-20</x:v>
      </x:c>
      <x:c r="M1229" s="20" t="str">
        <x:v>2026-05-20</x:v>
      </x:c>
      <x:c r="N1229" s="20" t="str">
        <x:v>GPT-5.5 Pro</x:v>
      </x:c>
      <x:c r="O1229" s="20" t="str">
        <x:v>Needs review</x:v>
      </x:c>
      <x:c r="P1229" s="20" t="str">
        <x:v>Screening score for United States / Security contractors in Niger; verify with country-specific evidence before final use.</x:v>
      </x:c>
    </x:row>
    <x:row r="1230" ht="24" customHeight="1">
      <x:c r="A1230" s="20" t="str">
        <x:v>NER|European Union|Propaganda ecosystems</x:v>
      </x:c>
      <x:c r="B1230" s="20" t="str">
        <x:v>Niger</x:v>
      </x:c>
      <x:c r="C1230" s="20" t="str">
        <x:v>NER</x:v>
      </x:c>
      <x:c r="D1230" s="20" t="str">
        <x:v>European Union</x:v>
      </x:c>
      <x:c r="E1230" s="20" t="str">
        <x:v>EU influence</x:v>
      </x:c>
      <x:c r="F1230" s="20" t="str">
        <x:v>Propaganda ecosystems</x:v>
      </x:c>
      <x:c r="G1230" s="384" t="n">
        <x:v>3</x:v>
      </x:c>
      <x:c r="H1230" s="396" t="n">
        <x:v>3</x:v>
      </x:c>
      <x:c r="I1230" s="20" t="str">
        <x:v>EEAS public diplomacy source register</x:v>
      </x:c>
      <x:c r="J1230" s="397" t="str">
        <x:v>https://www.eeas.europa.eu/eeas/public-diplomacy_en</x:v>
      </x:c>
      <x:c r="K1230" s="20" t="str">
        <x:v>Primary source-register URL; automated screening score</x:v>
      </x:c>
      <x:c r="L1230" s="20" t="str">
        <x:v>2026-05-20</x:v>
      </x:c>
      <x:c r="M1230" s="20" t="str">
        <x:v>2026-05-20</x:v>
      </x:c>
      <x:c r="N1230" s="20" t="str">
        <x:v>GPT-5.5 Pro</x:v>
      </x:c>
      <x:c r="O1230" s="20" t="str">
        <x:v>Needs review</x:v>
      </x:c>
      <x:c r="P1230" s="20" t="str">
        <x:v>Screening score for European Union / Propaganda ecosystems in Niger; verify with country-specific evidence before final use.</x:v>
      </x:c>
    </x:row>
    <x:row r="1231" ht="24" customHeight="1">
      <x:c r="A1231" s="20" t="str">
        <x:v>NER|European Union|PMC presence</x:v>
      </x:c>
      <x:c r="B1231" s="20" t="str">
        <x:v>Niger</x:v>
      </x:c>
      <x:c r="C1231" s="20" t="str">
        <x:v>NER</x:v>
      </x:c>
      <x:c r="D1231" s="20" t="str">
        <x:v>European Union</x:v>
      </x:c>
      <x:c r="E1231" s="20" t="str">
        <x:v>EU influence</x:v>
      </x:c>
      <x:c r="F1231" s="20" t="str">
        <x:v>PMC presence</x:v>
      </x:c>
      <x:c r="G1231" s="384" t="n">
        <x:v>1</x:v>
      </x:c>
      <x:c r="H1231" s="396" t="n">
        <x:v>2</x:v>
      </x:c>
      <x:c r="I1231" s="20" t="str">
        <x:v>EEAS CSDP missions source register</x:v>
      </x:c>
      <x:c r="J1231" s="397" t="str">
        <x:v>https://www.eeas.europa.eu/eeas/missions-and-operations_en</x:v>
      </x:c>
      <x:c r="K1231" s="20" t="str">
        <x:v>Primary source-register URL; automated screening score</x:v>
      </x:c>
      <x:c r="L1231" s="20" t="str">
        <x:v>2026-05-20</x:v>
      </x:c>
      <x:c r="M1231" s="20" t="str">
        <x:v>2026-05-20</x:v>
      </x:c>
      <x:c r="N1231" s="20" t="str">
        <x:v>GPT-5.5 Pro</x:v>
      </x:c>
      <x:c r="O1231" s="20" t="str">
        <x:v>Needs review</x:v>
      </x:c>
      <x:c r="P1231" s="20" t="str">
        <x:v>Screening score for European Union / PMC presence in Niger; verify with country-specific evidence before final use.</x:v>
      </x:c>
    </x:row>
    <x:row r="1232" ht="24" customHeight="1">
      <x:c r="A1232" s="20" t="str">
        <x:v>NER|European Union|Election interference</x:v>
      </x:c>
      <x:c r="B1232" s="20" t="str">
        <x:v>Niger</x:v>
      </x:c>
      <x:c r="C1232" s="20" t="str">
        <x:v>NER</x:v>
      </x:c>
      <x:c r="D1232" s="20" t="str">
        <x:v>European Union</x:v>
      </x:c>
      <x:c r="E1232" s="20" t="str">
        <x:v>EU influence</x:v>
      </x:c>
      <x:c r="F1232" s="20" t="str">
        <x:v>Election interference</x:v>
      </x:c>
      <x:c r="G1232" s="384" t="n">
        <x:v>1</x:v>
      </x:c>
      <x:c r="H1232" s="396" t="n">
        <x:v>2</x:v>
      </x:c>
      <x:c r="I1232" s="20" t="str">
        <x:v>EEAS EU election observation source register</x:v>
      </x:c>
      <x:c r="J1232" s="397" t="str">
        <x:v>https://www.eeas.europa.eu/eeas/eu-election-observation-missions-1_en?page_lang=en</x:v>
      </x:c>
      <x:c r="K1232" s="20" t="str">
        <x:v>Primary source-register URL; automated screening score</x:v>
      </x:c>
      <x:c r="L1232" s="20" t="str">
        <x:v>2026-05-20</x:v>
      </x:c>
      <x:c r="M1232" s="20" t="str">
        <x:v>2026-05-20</x:v>
      </x:c>
      <x:c r="N1232" s="20" t="str">
        <x:v>GPT-5.5 Pro</x:v>
      </x:c>
      <x:c r="O1232" s="20" t="str">
        <x:v>Needs review</x:v>
      </x:c>
      <x:c r="P1232" s="20" t="str">
        <x:v>Screening score for European Union / Election interference in Niger; verify with country-specific evidence before final use.</x:v>
      </x:c>
    </x:row>
    <x:row r="1233" ht="24" customHeight="1">
      <x:c r="A1233" s="20" t="str">
        <x:v>NER|European Union|Security contractors</x:v>
      </x:c>
      <x:c r="B1233" s="20" t="str">
        <x:v>Niger</x:v>
      </x:c>
      <x:c r="C1233" s="20" t="str">
        <x:v>NER</x:v>
      </x:c>
      <x:c r="D1233" s="20" t="str">
        <x:v>European Union</x:v>
      </x:c>
      <x:c r="E1233" s="20" t="str">
        <x:v>EU influence</x:v>
      </x:c>
      <x:c r="F1233" s="20" t="str">
        <x:v>Security contractors</x:v>
      </x:c>
      <x:c r="G1233" s="384" t="n">
        <x:v>3</x:v>
      </x:c>
      <x:c r="H1233" s="396" t="n">
        <x:v>3</x:v>
      </x:c>
      <x:c r="I1233" s="20" t="str">
        <x:v>EEAS CSDP / Global Gateway security source register</x:v>
      </x:c>
      <x:c r="J1233" s="397" t="str">
        <x:v>https://www.eeas.europa.eu/eeas/missions-and-operations_en</x:v>
      </x:c>
      <x:c r="K1233" s="20" t="str">
        <x:v>Primary source-register URL; automated screening score</x:v>
      </x:c>
      <x:c r="L1233" s="20" t="str">
        <x:v>2026-05-20</x:v>
      </x:c>
      <x:c r="M1233" s="20" t="str">
        <x:v>2026-05-20</x:v>
      </x:c>
      <x:c r="N1233" s="20" t="str">
        <x:v>GPT-5.5 Pro</x:v>
      </x:c>
      <x:c r="O1233" s="20" t="str">
        <x:v>Needs review</x:v>
      </x:c>
      <x:c r="P1233" s="20" t="str">
        <x:v>Screening score for European Union / Security contractors in Niger; verify with country-specific evidence before final use.</x:v>
      </x:c>
    </x:row>
    <x:row r="1234" ht="24" customHeight="1">
      <x:c r="A1234" s="20" t="str">
        <x:v>NGA|Russia|Propaganda ecosystems</x:v>
      </x:c>
      <x:c r="B1234" s="20" t="str">
        <x:v>Nigeria</x:v>
      </x:c>
      <x:c r="C1234" s="20" t="str">
        <x:v>NGA</x:v>
      </x:c>
      <x:c r="D1234" s="20" t="str">
        <x:v>Russia</x:v>
      </x:c>
      <x:c r="E1234" s="20" t="str">
        <x:v>Russian influence</x:v>
      </x:c>
      <x:c r="F1234" s="20" t="str">
        <x:v>Propaganda ecosystems</x:v>
      </x:c>
      <x:c r="G1234" s="384" t="n">
        <x:v>4</x:v>
      </x:c>
      <x:c r="H1234" s="396" t="n">
        <x:v>3</x:v>
      </x:c>
      <x:c r="I1234" s="20" t="str">
        <x:v>EEAS/EUvsDisinfo FIMI source register</x:v>
      </x:c>
      <x:c r="J1234" s="397" t="str">
        <x:v>https://www.eeas.europa.eu/eeas/4th-eeas-annual-report-foreign-information-manipulation-and-interference-threats_en</x:v>
      </x:c>
      <x:c r="K1234" s="20" t="str">
        <x:v>Primary source-register URL; automated screening score</x:v>
      </x:c>
      <x:c r="L1234" s="20" t="str">
        <x:v>2026-05-20</x:v>
      </x:c>
      <x:c r="M1234" s="20" t="str">
        <x:v>2026-05-20</x:v>
      </x:c>
      <x:c r="N1234" s="20" t="str">
        <x:v>GPT-5.5 Pro</x:v>
      </x:c>
      <x:c r="O1234" s="20" t="str">
        <x:v>Needs review</x:v>
      </x:c>
      <x:c r="P1234" s="20" t="str">
        <x:v>Screening score for Russia / Propaganda ecosystems in Nigeria; verify with country-specific evidence before final use.</x:v>
      </x:c>
    </x:row>
    <x:row r="1235" ht="24" customHeight="1">
      <x:c r="A1235" s="20" t="str">
        <x:v>NGA|Russia|PMC presence</x:v>
      </x:c>
      <x:c r="B1235" s="20" t="str">
        <x:v>Nigeria</x:v>
      </x:c>
      <x:c r="C1235" s="20" t="str">
        <x:v>NGA</x:v>
      </x:c>
      <x:c r="D1235" s="20" t="str">
        <x:v>Russia</x:v>
      </x:c>
      <x:c r="E1235" s="20" t="str">
        <x:v>Russian influence</x:v>
      </x:c>
      <x:c r="F1235" s="20" t="str">
        <x:v>PMC presence</x:v>
      </x:c>
      <x:c r="G1235" s="384" t="n">
        <x:v>1</x:v>
      </x:c>
      <x:c r="H1235" s="396" t="n">
        <x:v>2</x:v>
      </x:c>
      <x:c r="I1235" s="20" t="str">
        <x:v>Treasury and Council of the EU Wagner/PMC source register</x:v>
      </x:c>
      <x:c r="J1235" s="397" t="str">
        <x:v>https://www.consilium.europa.eu/en/press/press-releases/2023/02/25/wagner-group-council-adds-11-individuals-and-7-entities-to-eu-sanctions-lists/</x:v>
      </x:c>
      <x:c r="K1235" s="20" t="str">
        <x:v>Primary source-register URL; automated screening score</x:v>
      </x:c>
      <x:c r="L1235" s="20" t="str">
        <x:v>2026-05-20</x:v>
      </x:c>
      <x:c r="M1235" s="20" t="str">
        <x:v>2026-05-20</x:v>
      </x:c>
      <x:c r="N1235" s="20" t="str">
        <x:v>GPT-5.5 Pro</x:v>
      </x:c>
      <x:c r="O1235" s="20" t="str">
        <x:v>Needs review</x:v>
      </x:c>
      <x:c r="P1235" s="20" t="str">
        <x:v>Screening score for Russia / PMC presence in Nigeria; verify with country-specific evidence before final use.</x:v>
      </x:c>
    </x:row>
    <x:row r="1236" ht="24" customHeight="1">
      <x:c r="A1236" s="20" t="str">
        <x:v>NGA|Russia|Election interference</x:v>
      </x:c>
      <x:c r="B1236" s="20" t="str">
        <x:v>Nigeria</x:v>
      </x:c>
      <x:c r="C1236" s="20" t="str">
        <x:v>NGA</x:v>
      </x:c>
      <x:c r="D1236" s="20" t="str">
        <x:v>Russia</x:v>
      </x:c>
      <x:c r="E1236" s="20" t="str">
        <x:v>Russian influence</x:v>
      </x:c>
      <x:c r="F1236" s="20" t="str">
        <x:v>Election interference</x:v>
      </x:c>
      <x:c r="G1236" s="384" t="n">
        <x:v>1</x:v>
      </x:c>
      <x:c r="H1236" s="396" t="n">
        <x:v>2</x:v>
      </x:c>
      <x:c r="I1236" s="20" t="str">
        <x:v>ODNI/EEAS election-FIMI source register</x:v>
      </x:c>
      <x:c r="J1236" s="397" t="str">
        <x:v>https://www.dni.gov/files/ODNI/documents/assessments/ATA-2026-Unclassified-Report.pdf</x:v>
      </x:c>
      <x:c r="K1236" s="20" t="str">
        <x:v>Primary source-register URL; automated screening score</x:v>
      </x:c>
      <x:c r="L1236" s="20" t="str">
        <x:v>2026-05-20</x:v>
      </x:c>
      <x:c r="M1236" s="20" t="str">
        <x:v>2026-05-20</x:v>
      </x:c>
      <x:c r="N1236" s="20" t="str">
        <x:v>GPT-5.5 Pro</x:v>
      </x:c>
      <x:c r="O1236" s="20" t="str">
        <x:v>Needs review</x:v>
      </x:c>
      <x:c r="P1236" s="20" t="str">
        <x:v>Screening score for Russia / Election interference in Nigeria; verify with country-specific evidence before final use.</x:v>
      </x:c>
    </x:row>
    <x:row r="1237" ht="24" customHeight="1">
      <x:c r="A1237" s="20" t="str">
        <x:v>NGA|Russia|Security contractors</x:v>
      </x:c>
      <x:c r="B1237" s="20" t="str">
        <x:v>Nigeria</x:v>
      </x:c>
      <x:c r="C1237" s="20" t="str">
        <x:v>NGA</x:v>
      </x:c>
      <x:c r="D1237" s="20" t="str">
        <x:v>Russia</x:v>
      </x:c>
      <x:c r="E1237" s="20" t="str">
        <x:v>Russian influence</x:v>
      </x:c>
      <x:c r="F1237" s="20" t="str">
        <x:v>Security contractors</x:v>
      </x:c>
      <x:c r="G1237" s="384" t="n">
        <x:v>1</x:v>
      </x:c>
      <x:c r="H1237" s="396" t="n">
        <x:v>2</x:v>
      </x:c>
      <x:c r="I1237" s="20" t="str">
        <x:v>Council of the EU/Treasury Wagner-security source register</x:v>
      </x:c>
      <x:c r="J1237" s="397" t="str">
        <x:v>https://www.consilium.europa.eu/en/press/press-releases/2023/02/25/wagner-group-council-adds-11-individuals-and-7-entities-to-eu-sanctions-lists/</x:v>
      </x:c>
      <x:c r="K1237" s="20" t="str">
        <x:v>Primary source-register URL; automated screening score</x:v>
      </x:c>
      <x:c r="L1237" s="20" t="str">
        <x:v>2026-05-20</x:v>
      </x:c>
      <x:c r="M1237" s="20" t="str">
        <x:v>2026-05-20</x:v>
      </x:c>
      <x:c r="N1237" s="20" t="str">
        <x:v>GPT-5.5 Pro</x:v>
      </x:c>
      <x:c r="O1237" s="20" t="str">
        <x:v>Needs review</x:v>
      </x:c>
      <x:c r="P1237" s="20" t="str">
        <x:v>Screening score for Russia / Security contractors in Nigeria; verify with country-specific evidence before final use.</x:v>
      </x:c>
    </x:row>
    <x:row r="1238" ht="24" customHeight="1">
      <x:c r="A1238" s="20" t="str">
        <x:v>NGA|China|Propaganda ecosystems</x:v>
      </x:c>
      <x:c r="B1238" s="20" t="str">
        <x:v>Nigeria</x:v>
      </x:c>
      <x:c r="C1238" s="20" t="str">
        <x:v>NGA</x:v>
      </x:c>
      <x:c r="D1238" s="20" t="str">
        <x:v>China</x:v>
      </x:c>
      <x:c r="E1238" s="20" t="str">
        <x:v>Chinese influence</x:v>
      </x:c>
      <x:c r="F1238" s="20" t="str">
        <x:v>Propaganda ecosystems</x:v>
      </x:c>
      <x:c r="G1238" s="384" t="n">
        <x:v>5</x:v>
      </x:c>
      <x:c r="H1238" s="396" t="n">
        <x:v>3</x:v>
      </x:c>
      <x:c r="I1238" s="20" t="str">
        <x:v>EEAS/ODNI China FIMI source register</x:v>
      </x:c>
      <x:c r="J1238" s="397" t="str">
        <x:v>https://www.eeas.europa.eu/eeas/4th-eeas-annual-report-foreign-information-manipulation-and-interference-threats_en</x:v>
      </x:c>
      <x:c r="K1238" s="20" t="str">
        <x:v>Primary source-register URL; automated screening score</x:v>
      </x:c>
      <x:c r="L1238" s="20" t="str">
        <x:v>2026-05-20</x:v>
      </x:c>
      <x:c r="M1238" s="20" t="str">
        <x:v>2026-05-20</x:v>
      </x:c>
      <x:c r="N1238" s="20" t="str">
        <x:v>GPT-5.5 Pro</x:v>
      </x:c>
      <x:c r="O1238" s="20" t="str">
        <x:v>Needs review</x:v>
      </x:c>
      <x:c r="P1238" s="20" t="str">
        <x:v>Screening score for China / Propaganda ecosystems in Nigeria; verify with country-specific evidence before final use.</x:v>
      </x:c>
    </x:row>
    <x:row r="1239" ht="24" customHeight="1">
      <x:c r="A1239" s="20" t="str">
        <x:v>NGA|China|PMC presence</x:v>
      </x:c>
      <x:c r="B1239" s="20" t="str">
        <x:v>Nigeria</x:v>
      </x:c>
      <x:c r="C1239" s="20" t="str">
        <x:v>NGA</x:v>
      </x:c>
      <x:c r="D1239" s="20" t="str">
        <x:v>China</x:v>
      </x:c>
      <x:c r="E1239" s="20" t="str">
        <x:v>Chinese influence</x:v>
      </x:c>
      <x:c r="F1239" s="20" t="str">
        <x:v>PMC presence</x:v>
      </x:c>
      <x:c r="G1239" s="384" t="n">
        <x:v>2</x:v>
      </x:c>
      <x:c r="H1239" s="396" t="n">
        <x:v>2</x:v>
      </x:c>
      <x:c r="I1239" s="20" t="str">
        <x:v>MERICS/Carnegie Chinese overseas PSC source register</x:v>
      </x:c>
      <x:c r="J1239" s="397" t="str">
        <x:v>https://merics.org/en/report/guardians-belt-and-road</x:v>
      </x:c>
      <x:c r="K1239" s="20" t="str">
        <x:v>Primary source-register URL; automated screening score</x:v>
      </x:c>
      <x:c r="L1239" s="20" t="str">
        <x:v>2026-05-20</x:v>
      </x:c>
      <x:c r="M1239" s="20" t="str">
        <x:v>2026-05-20</x:v>
      </x:c>
      <x:c r="N1239" s="20" t="str">
        <x:v>GPT-5.5 Pro</x:v>
      </x:c>
      <x:c r="O1239" s="20" t="str">
        <x:v>Needs review</x:v>
      </x:c>
      <x:c r="P1239" s="20" t="str">
        <x:v>Screening score for China / PMC presence in Nigeria; verify with country-specific evidence before final use.</x:v>
      </x:c>
    </x:row>
    <x:row r="1240" ht="24" customHeight="1">
      <x:c r="A1240" s="20" t="str">
        <x:v>NGA|China|Election interference</x:v>
      </x:c>
      <x:c r="B1240" s="20" t="str">
        <x:v>Nigeria</x:v>
      </x:c>
      <x:c r="C1240" s="20" t="str">
        <x:v>NGA</x:v>
      </x:c>
      <x:c r="D1240" s="20" t="str">
        <x:v>China</x:v>
      </x:c>
      <x:c r="E1240" s="20" t="str">
        <x:v>Chinese influence</x:v>
      </x:c>
      <x:c r="F1240" s="20" t="str">
        <x:v>Election interference</x:v>
      </x:c>
      <x:c r="G1240" s="384" t="n">
        <x:v>1</x:v>
      </x:c>
      <x:c r="H1240" s="396" t="n">
        <x:v>2</x:v>
      </x:c>
      <x:c r="I1240" s="20" t="str">
        <x:v>EEAS/ODNI China election-FIMI source register</x:v>
      </x:c>
      <x:c r="J1240" s="397" t="str">
        <x:v>https://www.eeas.europa.eu/eeas/4th-eeas-annual-report-foreign-information-manipulation-and-interference-threats_en</x:v>
      </x:c>
      <x:c r="K1240" s="20" t="str">
        <x:v>Primary source-register URL; automated screening score</x:v>
      </x:c>
      <x:c r="L1240" s="20" t="str">
        <x:v>2026-05-20</x:v>
      </x:c>
      <x:c r="M1240" s="20" t="str">
        <x:v>2026-05-20</x:v>
      </x:c>
      <x:c r="N1240" s="20" t="str">
        <x:v>GPT-5.5 Pro</x:v>
      </x:c>
      <x:c r="O1240" s="20" t="str">
        <x:v>Needs review</x:v>
      </x:c>
      <x:c r="P1240" s="20" t="str">
        <x:v>Screening score for China / Election interference in Nigeria; verify with country-specific evidence before final use.</x:v>
      </x:c>
    </x:row>
    <x:row r="1241" ht="24" customHeight="1">
      <x:c r="A1241" s="20" t="str">
        <x:v>NGA|China|Security contractors</x:v>
      </x:c>
      <x:c r="B1241" s="20" t="str">
        <x:v>Nigeria</x:v>
      </x:c>
      <x:c r="C1241" s="20" t="str">
        <x:v>NGA</x:v>
      </x:c>
      <x:c r="D1241" s="20" t="str">
        <x:v>China</x:v>
      </x:c>
      <x:c r="E1241" s="20" t="str">
        <x:v>Chinese influence</x:v>
      </x:c>
      <x:c r="F1241" s="20" t="str">
        <x:v>Security contractors</x:v>
      </x:c>
      <x:c r="G1241" s="384" t="n">
        <x:v>3</x:v>
      </x:c>
      <x:c r="H1241" s="396" t="n">
        <x:v>3</x:v>
      </x:c>
      <x:c r="I1241" s="20" t="str">
        <x:v>MERICS/Carnegie Chinese security contractor source register</x:v>
      </x:c>
      <x:c r="J1241" s="397" t="str">
        <x:v>https://merics.org/en/report/guardians-belt-and-road</x:v>
      </x:c>
      <x:c r="K1241" s="20" t="str">
        <x:v>Primary source-register URL; automated screening score</x:v>
      </x:c>
      <x:c r="L1241" s="20" t="str">
        <x:v>2026-05-20</x:v>
      </x:c>
      <x:c r="M1241" s="20" t="str">
        <x:v>2026-05-20</x:v>
      </x:c>
      <x:c r="N1241" s="20" t="str">
        <x:v>GPT-5.5 Pro</x:v>
      </x:c>
      <x:c r="O1241" s="20" t="str">
        <x:v>Needs review</x:v>
      </x:c>
      <x:c r="P1241" s="20" t="str">
        <x:v>Screening score for China / Security contractors in Nigeria; verify with country-specific evidence before final use.</x:v>
      </x:c>
    </x:row>
    <x:row r="1242" ht="24" customHeight="1">
      <x:c r="A1242" s="20" t="str">
        <x:v>NGA|United States|Propaganda ecosystems</x:v>
      </x:c>
      <x:c r="B1242" s="20" t="str">
        <x:v>Nigeria</x:v>
      </x:c>
      <x:c r="C1242" s="20" t="str">
        <x:v>NGA</x:v>
      </x:c>
      <x:c r="D1242" s="20" t="str">
        <x:v>United States</x:v>
      </x:c>
      <x:c r="E1242" s="20" t="str">
        <x:v>American influence</x:v>
      </x:c>
      <x:c r="F1242" s="20" t="str">
        <x:v>Propaganda ecosystems</x:v>
      </x:c>
      <x:c r="G1242" s="384" t="n">
        <x:v>4</x:v>
      </x:c>
      <x:c r="H1242" s="396" t="n">
        <x:v>3</x:v>
      </x:c>
      <x:c r="I1242" s="20" t="str">
        <x:v>USAGM public media source register</x:v>
      </x:c>
      <x:c r="J1242" s="397" t="str">
        <x:v>https://www.usagm.gov/our-work/strategy-and-results/strategic-priorities/research-reports/</x:v>
      </x:c>
      <x:c r="K1242" s="20" t="str">
        <x:v>Primary source-register URL; automated screening score</x:v>
      </x:c>
      <x:c r="L1242" s="20" t="str">
        <x:v>2026-05-20</x:v>
      </x:c>
      <x:c r="M1242" s="20" t="str">
        <x:v>2026-05-20</x:v>
      </x:c>
      <x:c r="N1242" s="20" t="str">
        <x:v>GPT-5.5 Pro</x:v>
      </x:c>
      <x:c r="O1242" s="20" t="str">
        <x:v>Needs review</x:v>
      </x:c>
      <x:c r="P1242" s="20" t="str">
        <x:v>Screening score for United States / Propaganda ecosystems in Nigeria; verify with country-specific evidence before final use.</x:v>
      </x:c>
    </x:row>
    <x:row r="1243" ht="24" customHeight="1">
      <x:c r="A1243" s="20" t="str">
        <x:v>NGA|United States|PMC presence</x:v>
      </x:c>
      <x:c r="B1243" s="20" t="str">
        <x:v>Nigeria</x:v>
      </x:c>
      <x:c r="C1243" s="20" t="str">
        <x:v>NGA</x:v>
      </x:c>
      <x:c r="D1243" s="20" t="str">
        <x:v>United States</x:v>
      </x:c>
      <x:c r="E1243" s="20" t="str">
        <x:v>American influence</x:v>
      </x:c>
      <x:c r="F1243" s="20" t="str">
        <x:v>PMC presence</x:v>
      </x:c>
      <x:c r="G1243" s="384" t="n">
        <x:v>2</x:v>
      </x:c>
      <x:c r="H1243" s="396" t="n">
        <x:v>2</x:v>
      </x:c>
      <x:c r="I1243" s="20" t="str">
        <x:v>SAM/Greenbook U.S. security assistance contractor source register</x:v>
      </x:c>
      <x:c r="J1243" s="397" t="str">
        <x:v>https://internationalpolicy.org/programs/sam/</x:v>
      </x:c>
      <x:c r="K1243" s="20" t="str">
        <x:v>Primary source-register URL; automated screening score</x:v>
      </x:c>
      <x:c r="L1243" s="20" t="str">
        <x:v>2026-05-20</x:v>
      </x:c>
      <x:c r="M1243" s="20" t="str">
        <x:v>2026-05-20</x:v>
      </x:c>
      <x:c r="N1243" s="20" t="str">
        <x:v>GPT-5.5 Pro</x:v>
      </x:c>
      <x:c r="O1243" s="20" t="str">
        <x:v>Needs review</x:v>
      </x:c>
      <x:c r="P1243" s="20" t="str">
        <x:v>Screening score for United States / PMC presence in Nigeria; verify with country-specific evidence before final use.</x:v>
      </x:c>
    </x:row>
    <x:row r="1244" ht="24" customHeight="1">
      <x:c r="A1244" s="20" t="str">
        <x:v>NGA|United States|Election interference</x:v>
      </x:c>
      <x:c r="B1244" s="20" t="str">
        <x:v>Nigeria</x:v>
      </x:c>
      <x:c r="C1244" s="20" t="str">
        <x:v>NGA</x:v>
      </x:c>
      <x:c r="D1244" s="20" t="str">
        <x:v>United States</x:v>
      </x:c>
      <x:c r="E1244" s="20" t="str">
        <x:v>American influence</x:v>
      </x:c>
      <x:c r="F1244" s="20" t="str">
        <x:v>Election interference</x:v>
      </x:c>
      <x:c r="G1244" s="384" t="n">
        <x:v>2</x:v>
      </x:c>
      <x:c r="H1244" s="396" t="n">
        <x:v>2</x:v>
      </x:c>
      <x:c r="I1244" s="20" t="str">
        <x:v>NED/Greenbook democracy assistance source register</x:v>
      </x:c>
      <x:c r="J1244" s="397" t="str">
        <x:v>https://www.ned.org/ned-grantmaking/</x:v>
      </x:c>
      <x:c r="K1244" s="20" t="str">
        <x:v>Primary source-register URL; automated screening score</x:v>
      </x:c>
      <x:c r="L1244" s="20" t="str">
        <x:v>2026-05-20</x:v>
      </x:c>
      <x:c r="M1244" s="20" t="str">
        <x:v>2026-05-20</x:v>
      </x:c>
      <x:c r="N1244" s="20" t="str">
        <x:v>GPT-5.5 Pro</x:v>
      </x:c>
      <x:c r="O1244" s="20" t="str">
        <x:v>Needs review</x:v>
      </x:c>
      <x:c r="P1244" s="20" t="str">
        <x:v>Screening score for United States / Election interference in Nigeria; verify with country-specific evidence before final use.</x:v>
      </x:c>
    </x:row>
    <x:row r="1245" ht="24" customHeight="1">
      <x:c r="A1245" s="20" t="str">
        <x:v>NGA|United States|Security contractors</x:v>
      </x:c>
      <x:c r="B1245" s="20" t="str">
        <x:v>Nigeria</x:v>
      </x:c>
      <x:c r="C1245" s="20" t="str">
        <x:v>NGA</x:v>
      </x:c>
      <x:c r="D1245" s="20" t="str">
        <x:v>United States</x:v>
      </x:c>
      <x:c r="E1245" s="20" t="str">
        <x:v>American influence</x:v>
      </x:c>
      <x:c r="F1245" s="20" t="str">
        <x:v>Security contractors</x:v>
      </x:c>
      <x:c r="G1245" s="384" t="n">
        <x:v>3</x:v>
      </x:c>
      <x:c r="H1245" s="396" t="n">
        <x:v>3</x:v>
      </x:c>
      <x:c r="I1245" s="20" t="str">
        <x:v>SAM/Greenbook U.S. security contractor source register</x:v>
      </x:c>
      <x:c r="J1245" s="397" t="str">
        <x:v>https://internationalpolicy.org/programs/sam/</x:v>
      </x:c>
      <x:c r="K1245" s="20" t="str">
        <x:v>Primary source-register URL; automated screening score</x:v>
      </x:c>
      <x:c r="L1245" s="20" t="str">
        <x:v>2026-05-20</x:v>
      </x:c>
      <x:c r="M1245" s="20" t="str">
        <x:v>2026-05-20</x:v>
      </x:c>
      <x:c r="N1245" s="20" t="str">
        <x:v>GPT-5.5 Pro</x:v>
      </x:c>
      <x:c r="O1245" s="20" t="str">
        <x:v>Needs review</x:v>
      </x:c>
      <x:c r="P1245" s="20" t="str">
        <x:v>Screening score for United States / Security contractors in Nigeria; verify with country-specific evidence before final use.</x:v>
      </x:c>
    </x:row>
    <x:row r="1246" ht="24" customHeight="1">
      <x:c r="A1246" s="20" t="str">
        <x:v>NGA|European Union|Propaganda ecosystems</x:v>
      </x:c>
      <x:c r="B1246" s="20" t="str">
        <x:v>Nigeria</x:v>
      </x:c>
      <x:c r="C1246" s="20" t="str">
        <x:v>NGA</x:v>
      </x:c>
      <x:c r="D1246" s="20" t="str">
        <x:v>European Union</x:v>
      </x:c>
      <x:c r="E1246" s="20" t="str">
        <x:v>EU influence</x:v>
      </x:c>
      <x:c r="F1246" s="20" t="str">
        <x:v>Propaganda ecosystems</x:v>
      </x:c>
      <x:c r="G1246" s="384" t="n">
        <x:v>3</x:v>
      </x:c>
      <x:c r="H1246" s="396" t="n">
        <x:v>3</x:v>
      </x:c>
      <x:c r="I1246" s="20" t="str">
        <x:v>EEAS public diplomacy source register</x:v>
      </x:c>
      <x:c r="J1246" s="397" t="str">
        <x:v>https://www.eeas.europa.eu/eeas/public-diplomacy_en</x:v>
      </x:c>
      <x:c r="K1246" s="20" t="str">
        <x:v>Primary source-register URL; automated screening score</x:v>
      </x:c>
      <x:c r="L1246" s="20" t="str">
        <x:v>2026-05-20</x:v>
      </x:c>
      <x:c r="M1246" s="20" t="str">
        <x:v>2026-05-20</x:v>
      </x:c>
      <x:c r="N1246" s="20" t="str">
        <x:v>GPT-5.5 Pro</x:v>
      </x:c>
      <x:c r="O1246" s="20" t="str">
        <x:v>Needs review</x:v>
      </x:c>
      <x:c r="P1246" s="20" t="str">
        <x:v>Screening score for European Union / Propaganda ecosystems in Nigeria; verify with country-specific evidence before final use.</x:v>
      </x:c>
    </x:row>
    <x:row r="1247" ht="24" customHeight="1">
      <x:c r="A1247" s="20" t="str">
        <x:v>NGA|European Union|PMC presence</x:v>
      </x:c>
      <x:c r="B1247" s="20" t="str">
        <x:v>Nigeria</x:v>
      </x:c>
      <x:c r="C1247" s="20" t="str">
        <x:v>NGA</x:v>
      </x:c>
      <x:c r="D1247" s="20" t="str">
        <x:v>European Union</x:v>
      </x:c>
      <x:c r="E1247" s="20" t="str">
        <x:v>EU influence</x:v>
      </x:c>
      <x:c r="F1247" s="20" t="str">
        <x:v>PMC presence</x:v>
      </x:c>
      <x:c r="G1247" s="384" t="n">
        <x:v>0</x:v>
      </x:c>
      <x:c r="H1247" s="396" t="n">
        <x:v>1</x:v>
      </x:c>
      <x:c r="I1247" s="20" t="str">
        <x:v>EEAS CSDP missions source register</x:v>
      </x:c>
      <x:c r="J1247" s="397" t="str">
        <x:v>https://www.eeas.europa.eu/eeas/missions-and-operations_en</x:v>
      </x:c>
      <x:c r="K1247" s="20" t="str">
        <x:v>Primary source-register URL; automated screening score</x:v>
      </x:c>
      <x:c r="L1247" s="20" t="str">
        <x:v>2026-05-20</x:v>
      </x:c>
      <x:c r="M1247" s="20" t="str">
        <x:v>2026-05-20</x:v>
      </x:c>
      <x:c r="N1247" s="20" t="str">
        <x:v>GPT-5.5 Pro</x:v>
      </x:c>
      <x:c r="O1247" s="20" t="str">
        <x:v>Needs review</x:v>
      </x:c>
      <x:c r="P1247" s="20" t="str">
        <x:v>Screening score for European Union / PMC presence in Nigeria; verify with country-specific evidence before final use.</x:v>
      </x:c>
    </x:row>
    <x:row r="1248" ht="24" customHeight="1">
      <x:c r="A1248" s="20" t="str">
        <x:v>NGA|European Union|Election interference</x:v>
      </x:c>
      <x:c r="B1248" s="20" t="str">
        <x:v>Nigeria</x:v>
      </x:c>
      <x:c r="C1248" s="20" t="str">
        <x:v>NGA</x:v>
      </x:c>
      <x:c r="D1248" s="20" t="str">
        <x:v>European Union</x:v>
      </x:c>
      <x:c r="E1248" s="20" t="str">
        <x:v>EU influence</x:v>
      </x:c>
      <x:c r="F1248" s="20" t="str">
        <x:v>Election interference</x:v>
      </x:c>
      <x:c r="G1248" s="384" t="n">
        <x:v>2</x:v>
      </x:c>
      <x:c r="H1248" s="396" t="n">
        <x:v>2</x:v>
      </x:c>
      <x:c r="I1248" s="20" t="str">
        <x:v>EEAS EU election observation source register</x:v>
      </x:c>
      <x:c r="J1248" s="397" t="str">
        <x:v>https://www.eeas.europa.eu/eeas/eu-election-observation-missions-1_en?page_lang=en</x:v>
      </x:c>
      <x:c r="K1248" s="20" t="str">
        <x:v>Primary source-register URL; automated screening score</x:v>
      </x:c>
      <x:c r="L1248" s="20" t="str">
        <x:v>2026-05-20</x:v>
      </x:c>
      <x:c r="M1248" s="20" t="str">
        <x:v>2026-05-20</x:v>
      </x:c>
      <x:c r="N1248" s="20" t="str">
        <x:v>GPT-5.5 Pro</x:v>
      </x:c>
      <x:c r="O1248" s="20" t="str">
        <x:v>Needs review</x:v>
      </x:c>
      <x:c r="P1248" s="20" t="str">
        <x:v>Screening score for European Union / Election interference in Nigeria; verify with country-specific evidence before final use.</x:v>
      </x:c>
    </x:row>
    <x:row r="1249" ht="24" customHeight="1">
      <x:c r="A1249" s="20" t="str">
        <x:v>NGA|European Union|Security contractors</x:v>
      </x:c>
      <x:c r="B1249" s="20" t="str">
        <x:v>Nigeria</x:v>
      </x:c>
      <x:c r="C1249" s="20" t="str">
        <x:v>NGA</x:v>
      </x:c>
      <x:c r="D1249" s="20" t="str">
        <x:v>European Union</x:v>
      </x:c>
      <x:c r="E1249" s="20" t="str">
        <x:v>EU influence</x:v>
      </x:c>
      <x:c r="F1249" s="20" t="str">
        <x:v>Security contractors</x:v>
      </x:c>
      <x:c r="G1249" s="384" t="n">
        <x:v>2</x:v>
      </x:c>
      <x:c r="H1249" s="396" t="n">
        <x:v>2</x:v>
      </x:c>
      <x:c r="I1249" s="20" t="str">
        <x:v>EEAS CSDP / Global Gateway security source register</x:v>
      </x:c>
      <x:c r="J1249" s="397" t="str">
        <x:v>https://www.eeas.europa.eu/eeas/missions-and-operations_en</x:v>
      </x:c>
      <x:c r="K1249" s="20" t="str">
        <x:v>Primary source-register URL; automated screening score</x:v>
      </x:c>
      <x:c r="L1249" s="20" t="str">
        <x:v>2026-05-20</x:v>
      </x:c>
      <x:c r="M1249" s="20" t="str">
        <x:v>2026-05-20</x:v>
      </x:c>
      <x:c r="N1249" s="20" t="str">
        <x:v>GPT-5.5 Pro</x:v>
      </x:c>
      <x:c r="O1249" s="20" t="str">
        <x:v>Needs review</x:v>
      </x:c>
      <x:c r="P1249" s="20" t="str">
        <x:v>Screening score for European Union / Security contractors in Nigeria; verify with country-specific evidence before final use.</x:v>
      </x:c>
    </x:row>
    <x:row r="1250" ht="24" customHeight="1">
      <x:c r="A1250" s="20" t="str">
        <x:v>PRK|Russia|Propaganda ecosystems</x:v>
      </x:c>
      <x:c r="B1250" s="20" t="str">
        <x:v>North Korea</x:v>
      </x:c>
      <x:c r="C1250" s="20" t="str">
        <x:v>PRK</x:v>
      </x:c>
      <x:c r="D1250" s="20" t="str">
        <x:v>Russia</x:v>
      </x:c>
      <x:c r="E1250" s="20" t="str">
        <x:v>Russian influence</x:v>
      </x:c>
      <x:c r="F1250" s="20" t="str">
        <x:v>Propaganda ecosystems</x:v>
      </x:c>
      <x:c r="G1250" s="384" t="n">
        <x:v>7</x:v>
      </x:c>
      <x:c r="H1250" s="396" t="n">
        <x:v>4</x:v>
      </x:c>
      <x:c r="I1250" s="20" t="str">
        <x:v>EEAS/EUvsDisinfo FIMI source register</x:v>
      </x:c>
      <x:c r="J1250" s="397" t="str">
        <x:v>https://www.eeas.europa.eu/eeas/4th-eeas-annual-report-foreign-information-manipulation-and-interference-threats_en</x:v>
      </x:c>
      <x:c r="K1250" s="20" t="str">
        <x:v>Primary source-register URL; automated screening score</x:v>
      </x:c>
      <x:c r="L1250" s="20" t="str">
        <x:v>2026-05-20</x:v>
      </x:c>
      <x:c r="M1250" s="20" t="str">
        <x:v>2026-05-20</x:v>
      </x:c>
      <x:c r="N1250" s="20" t="str">
        <x:v>GPT-5.5 Pro</x:v>
      </x:c>
      <x:c r="O1250" s="20" t="str">
        <x:v>Needs review</x:v>
      </x:c>
      <x:c r="P1250" s="20" t="str">
        <x:v>Screening score for Russia / Propaganda ecosystems in North Korea; verify with country-specific evidence before final use.</x:v>
      </x:c>
    </x:row>
    <x:row r="1251" ht="24" customHeight="1">
      <x:c r="A1251" s="20" t="str">
        <x:v>PRK|Russia|PMC presence</x:v>
      </x:c>
      <x:c r="B1251" s="20" t="str">
        <x:v>North Korea</x:v>
      </x:c>
      <x:c r="C1251" s="20" t="str">
        <x:v>PRK</x:v>
      </x:c>
      <x:c r="D1251" s="20" t="str">
        <x:v>Russia</x:v>
      </x:c>
      <x:c r="E1251" s="20" t="str">
        <x:v>Russian influence</x:v>
      </x:c>
      <x:c r="F1251" s="20" t="str">
        <x:v>PMC presence</x:v>
      </x:c>
      <x:c r="G1251" s="384" t="n">
        <x:v>0</x:v>
      </x:c>
      <x:c r="H1251" s="396" t="n">
        <x:v>1</x:v>
      </x:c>
      <x:c r="I1251" s="20" t="str">
        <x:v>Treasury and Council of the EU Wagner/PMC source register</x:v>
      </x:c>
      <x:c r="J1251" s="397" t="str">
        <x:v>https://www.consilium.europa.eu/en/press/press-releases/2023/02/25/wagner-group-council-adds-11-individuals-and-7-entities-to-eu-sanctions-lists/</x:v>
      </x:c>
      <x:c r="K1251" s="20" t="str">
        <x:v>Primary source-register URL; automated screening score</x:v>
      </x:c>
      <x:c r="L1251" s="20" t="str">
        <x:v>2026-05-20</x:v>
      </x:c>
      <x:c r="M1251" s="20" t="str">
        <x:v>2026-05-20</x:v>
      </x:c>
      <x:c r="N1251" s="20" t="str">
        <x:v>GPT-5.5 Pro</x:v>
      </x:c>
      <x:c r="O1251" s="20" t="str">
        <x:v>Needs review</x:v>
      </x:c>
      <x:c r="P1251" s="20" t="str">
        <x:v>Screening score for Russia / PMC presence in North Korea; verify with country-specific evidence before final use.</x:v>
      </x:c>
    </x:row>
    <x:row r="1252" ht="24" customHeight="1">
      <x:c r="A1252" s="20" t="str">
        <x:v>PRK|Russia|Election interference</x:v>
      </x:c>
      <x:c r="B1252" s="20" t="str">
        <x:v>North Korea</x:v>
      </x:c>
      <x:c r="C1252" s="20" t="str">
        <x:v>PRK</x:v>
      </x:c>
      <x:c r="D1252" s="20" t="str">
        <x:v>Russia</x:v>
      </x:c>
      <x:c r="E1252" s="20" t="str">
        <x:v>Russian influence</x:v>
      </x:c>
      <x:c r="F1252" s="20" t="str">
        <x:v>Election interference</x:v>
      </x:c>
      <x:c r="G1252" s="384" t="n">
        <x:v>3</x:v>
      </x:c>
      <x:c r="H1252" s="396" t="n">
        <x:v>3</x:v>
      </x:c>
      <x:c r="I1252" s="20" t="str">
        <x:v>ODNI/EEAS election-FIMI source register</x:v>
      </x:c>
      <x:c r="J1252" s="397" t="str">
        <x:v>https://www.dni.gov/files/ODNI/documents/assessments/ATA-2026-Unclassified-Report.pdf</x:v>
      </x:c>
      <x:c r="K1252" s="20" t="str">
        <x:v>Primary source-register URL; automated screening score</x:v>
      </x:c>
      <x:c r="L1252" s="20" t="str">
        <x:v>2026-05-20</x:v>
      </x:c>
      <x:c r="M1252" s="20" t="str">
        <x:v>2026-05-20</x:v>
      </x:c>
      <x:c r="N1252" s="20" t="str">
        <x:v>GPT-5.5 Pro</x:v>
      </x:c>
      <x:c r="O1252" s="20" t="str">
        <x:v>Needs review</x:v>
      </x:c>
      <x:c r="P1252" s="20" t="str">
        <x:v>Screening score for Russia / Election interference in North Korea; verify with country-specific evidence before final use.</x:v>
      </x:c>
    </x:row>
    <x:row r="1253" ht="24" customHeight="1">
      <x:c r="A1253" s="20" t="str">
        <x:v>PRK|Russia|Security contractors</x:v>
      </x:c>
      <x:c r="B1253" s="20" t="str">
        <x:v>North Korea</x:v>
      </x:c>
      <x:c r="C1253" s="20" t="str">
        <x:v>PRK</x:v>
      </x:c>
      <x:c r="D1253" s="20" t="str">
        <x:v>Russia</x:v>
      </x:c>
      <x:c r="E1253" s="20" t="str">
        <x:v>Russian influence</x:v>
      </x:c>
      <x:c r="F1253" s="20" t="str">
        <x:v>Security contractors</x:v>
      </x:c>
      <x:c r="G1253" s="384" t="n">
        <x:v>0</x:v>
      </x:c>
      <x:c r="H1253" s="396" t="n">
        <x:v>1</x:v>
      </x:c>
      <x:c r="I1253" s="20" t="str">
        <x:v>Council of the EU/Treasury Wagner-security source register</x:v>
      </x:c>
      <x:c r="J1253" s="397" t="str">
        <x:v>https://www.consilium.europa.eu/en/press/press-releases/2023/02/25/wagner-group-council-adds-11-individuals-and-7-entities-to-eu-sanctions-lists/</x:v>
      </x:c>
      <x:c r="K1253" s="20" t="str">
        <x:v>Primary source-register URL; automated screening score</x:v>
      </x:c>
      <x:c r="L1253" s="20" t="str">
        <x:v>2026-05-20</x:v>
      </x:c>
      <x:c r="M1253" s="20" t="str">
        <x:v>2026-05-20</x:v>
      </x:c>
      <x:c r="N1253" s="20" t="str">
        <x:v>GPT-5.5 Pro</x:v>
      </x:c>
      <x:c r="O1253" s="20" t="str">
        <x:v>Needs review</x:v>
      </x:c>
      <x:c r="P1253" s="20" t="str">
        <x:v>Screening score for Russia / Security contractors in North Korea; verify with country-specific evidence before final use.</x:v>
      </x:c>
    </x:row>
    <x:row r="1254" ht="24" customHeight="1">
      <x:c r="A1254" s="20" t="str">
        <x:v>PRK|China|Propaganda ecosystems</x:v>
      </x:c>
      <x:c r="B1254" s="20" t="str">
        <x:v>North Korea</x:v>
      </x:c>
      <x:c r="C1254" s="20" t="str">
        <x:v>PRK</x:v>
      </x:c>
      <x:c r="D1254" s="20" t="str">
        <x:v>China</x:v>
      </x:c>
      <x:c r="E1254" s="20" t="str">
        <x:v>Chinese influence</x:v>
      </x:c>
      <x:c r="F1254" s="20" t="str">
        <x:v>Propaganda ecosystems</x:v>
      </x:c>
      <x:c r="G1254" s="384" t="n">
        <x:v>4</x:v>
      </x:c>
      <x:c r="H1254" s="396" t="n">
        <x:v>3</x:v>
      </x:c>
      <x:c r="I1254" s="20" t="str">
        <x:v>EEAS/ODNI China FIMI source register</x:v>
      </x:c>
      <x:c r="J1254" s="397" t="str">
        <x:v>https://www.eeas.europa.eu/eeas/4th-eeas-annual-report-foreign-information-manipulation-and-interference-threats_en</x:v>
      </x:c>
      <x:c r="K1254" s="20" t="str">
        <x:v>Primary source-register URL; automated screening score</x:v>
      </x:c>
      <x:c r="L1254" s="20" t="str">
        <x:v>2026-05-20</x:v>
      </x:c>
      <x:c r="M1254" s="20" t="str">
        <x:v>2026-05-20</x:v>
      </x:c>
      <x:c r="N1254" s="20" t="str">
        <x:v>GPT-5.5 Pro</x:v>
      </x:c>
      <x:c r="O1254" s="20" t="str">
        <x:v>Needs review</x:v>
      </x:c>
      <x:c r="P1254" s="20" t="str">
        <x:v>Screening score for China / Propaganda ecosystems in North Korea; verify with country-specific evidence before final use.</x:v>
      </x:c>
    </x:row>
    <x:row r="1255" ht="24" customHeight="1">
      <x:c r="A1255" s="20" t="str">
        <x:v>PRK|China|PMC presence</x:v>
      </x:c>
      <x:c r="B1255" s="20" t="str">
        <x:v>North Korea</x:v>
      </x:c>
      <x:c r="C1255" s="20" t="str">
        <x:v>PRK</x:v>
      </x:c>
      <x:c r="D1255" s="20" t="str">
        <x:v>China</x:v>
      </x:c>
      <x:c r="E1255" s="20" t="str">
        <x:v>Chinese influence</x:v>
      </x:c>
      <x:c r="F1255" s="20" t="str">
        <x:v>PMC presence</x:v>
      </x:c>
      <x:c r="G1255" s="384" t="n">
        <x:v>0</x:v>
      </x:c>
      <x:c r="H1255" s="396" t="n">
        <x:v>1</x:v>
      </x:c>
      <x:c r="I1255" s="20" t="str">
        <x:v>MERICS/Carnegie Chinese overseas PSC source register</x:v>
      </x:c>
      <x:c r="J1255" s="397" t="str">
        <x:v>https://merics.org/en/report/guardians-belt-and-road</x:v>
      </x:c>
      <x:c r="K1255" s="20" t="str">
        <x:v>Primary source-register URL; automated screening score</x:v>
      </x:c>
      <x:c r="L1255" s="20" t="str">
        <x:v>2026-05-20</x:v>
      </x:c>
      <x:c r="M1255" s="20" t="str">
        <x:v>2026-05-20</x:v>
      </x:c>
      <x:c r="N1255" s="20" t="str">
        <x:v>GPT-5.5 Pro</x:v>
      </x:c>
      <x:c r="O1255" s="20" t="str">
        <x:v>Needs review</x:v>
      </x:c>
      <x:c r="P1255" s="20" t="str">
        <x:v>Screening score for China / PMC presence in North Korea; verify with country-specific evidence before final use.</x:v>
      </x:c>
    </x:row>
    <x:row r="1256" ht="24" customHeight="1">
      <x:c r="A1256" s="20" t="str">
        <x:v>PRK|China|Election interference</x:v>
      </x:c>
      <x:c r="B1256" s="20" t="str">
        <x:v>North Korea</x:v>
      </x:c>
      <x:c r="C1256" s="20" t="str">
        <x:v>PRK</x:v>
      </x:c>
      <x:c r="D1256" s="20" t="str">
        <x:v>China</x:v>
      </x:c>
      <x:c r="E1256" s="20" t="str">
        <x:v>Chinese influence</x:v>
      </x:c>
      <x:c r="F1256" s="20" t="str">
        <x:v>Election interference</x:v>
      </x:c>
      <x:c r="G1256" s="384" t="n">
        <x:v>1</x:v>
      </x:c>
      <x:c r="H1256" s="396" t="n">
        <x:v>2</x:v>
      </x:c>
      <x:c r="I1256" s="20" t="str">
        <x:v>EEAS/ODNI China election-FIMI source register</x:v>
      </x:c>
      <x:c r="J1256" s="397" t="str">
        <x:v>https://www.eeas.europa.eu/eeas/4th-eeas-annual-report-foreign-information-manipulation-and-interference-threats_en</x:v>
      </x:c>
      <x:c r="K1256" s="20" t="str">
        <x:v>Primary source-register URL; automated screening score</x:v>
      </x:c>
      <x:c r="L1256" s="20" t="str">
        <x:v>2026-05-20</x:v>
      </x:c>
      <x:c r="M1256" s="20" t="str">
        <x:v>2026-05-20</x:v>
      </x:c>
      <x:c r="N1256" s="20" t="str">
        <x:v>GPT-5.5 Pro</x:v>
      </x:c>
      <x:c r="O1256" s="20" t="str">
        <x:v>Needs review</x:v>
      </x:c>
      <x:c r="P1256" s="20" t="str">
        <x:v>Screening score for China / Election interference in North Korea; verify with country-specific evidence before final use.</x:v>
      </x:c>
    </x:row>
    <x:row r="1257" ht="24" customHeight="1">
      <x:c r="A1257" s="20" t="str">
        <x:v>PRK|China|Security contractors</x:v>
      </x:c>
      <x:c r="B1257" s="20" t="str">
        <x:v>North Korea</x:v>
      </x:c>
      <x:c r="C1257" s="20" t="str">
        <x:v>PRK</x:v>
      </x:c>
      <x:c r="D1257" s="20" t="str">
        <x:v>China</x:v>
      </x:c>
      <x:c r="E1257" s="20" t="str">
        <x:v>Chinese influence</x:v>
      </x:c>
      <x:c r="F1257" s="20" t="str">
        <x:v>Security contractors</x:v>
      </x:c>
      <x:c r="G1257" s="384" t="n">
        <x:v>1</x:v>
      </x:c>
      <x:c r="H1257" s="396" t="n">
        <x:v>2</x:v>
      </x:c>
      <x:c r="I1257" s="20" t="str">
        <x:v>MERICS/Carnegie Chinese security contractor source register</x:v>
      </x:c>
      <x:c r="J1257" s="397" t="str">
        <x:v>https://merics.org/en/report/guardians-belt-and-road</x:v>
      </x:c>
      <x:c r="K1257" s="20" t="str">
        <x:v>Primary source-register URL; automated screening score</x:v>
      </x:c>
      <x:c r="L1257" s="20" t="str">
        <x:v>2026-05-20</x:v>
      </x:c>
      <x:c r="M1257" s="20" t="str">
        <x:v>2026-05-20</x:v>
      </x:c>
      <x:c r="N1257" s="20" t="str">
        <x:v>GPT-5.5 Pro</x:v>
      </x:c>
      <x:c r="O1257" s="20" t="str">
        <x:v>Needs review</x:v>
      </x:c>
      <x:c r="P1257" s="20" t="str">
        <x:v>Screening score for China / Security contractors in North Korea; verify with country-specific evidence before final use.</x:v>
      </x:c>
    </x:row>
    <x:row r="1258" ht="24" customHeight="1">
      <x:c r="A1258" s="20" t="str">
        <x:v>PRK|United States|Propaganda ecosystems</x:v>
      </x:c>
      <x:c r="B1258" s="20" t="str">
        <x:v>North Korea</x:v>
      </x:c>
      <x:c r="C1258" s="20" t="str">
        <x:v>PRK</x:v>
      </x:c>
      <x:c r="D1258" s="20" t="str">
        <x:v>United States</x:v>
      </x:c>
      <x:c r="E1258" s="20" t="str">
        <x:v>American influence</x:v>
      </x:c>
      <x:c r="F1258" s="20" t="str">
        <x:v>Propaganda ecosystems</x:v>
      </x:c>
      <x:c r="G1258" s="384" t="n">
        <x:v>8</x:v>
      </x:c>
      <x:c r="H1258" s="396" t="n">
        <x:v>4</x:v>
      </x:c>
      <x:c r="I1258" s="20" t="str">
        <x:v>USAGM public media source register</x:v>
      </x:c>
      <x:c r="J1258" s="397" t="str">
        <x:v>https://www.usagm.gov/our-work/strategy-and-results/strategic-priorities/research-reports/</x:v>
      </x:c>
      <x:c r="K1258" s="20" t="str">
        <x:v>Primary source-register URL; automated screening score</x:v>
      </x:c>
      <x:c r="L1258" s="20" t="str">
        <x:v>2026-05-20</x:v>
      </x:c>
      <x:c r="M1258" s="20" t="str">
        <x:v>2026-05-20</x:v>
      </x:c>
      <x:c r="N1258" s="20" t="str">
        <x:v>GPT-5.5 Pro</x:v>
      </x:c>
      <x:c r="O1258" s="20" t="str">
        <x:v>Needs review</x:v>
      </x:c>
      <x:c r="P1258" s="20" t="str">
        <x:v>Screening score for United States / Propaganda ecosystems in North Korea; verify with country-specific evidence before final use.</x:v>
      </x:c>
    </x:row>
    <x:row r="1259" ht="24" customHeight="1">
      <x:c r="A1259" s="20" t="str">
        <x:v>PRK|United States|PMC presence</x:v>
      </x:c>
      <x:c r="B1259" s="20" t="str">
        <x:v>North Korea</x:v>
      </x:c>
      <x:c r="C1259" s="20" t="str">
        <x:v>PRK</x:v>
      </x:c>
      <x:c r="D1259" s="20" t="str">
        <x:v>United States</x:v>
      </x:c>
      <x:c r="E1259" s="20" t="str">
        <x:v>American influence</x:v>
      </x:c>
      <x:c r="F1259" s="20" t="str">
        <x:v>PMC presence</x:v>
      </x:c>
      <x:c r="G1259" s="384" t="n">
        <x:v>0</x:v>
      </x:c>
      <x:c r="H1259" s="396" t="n">
        <x:v>1</x:v>
      </x:c>
      <x:c r="I1259" s="20" t="str">
        <x:v>SAM/Greenbook U.S. security assistance contractor source register</x:v>
      </x:c>
      <x:c r="J1259" s="397" t="str">
        <x:v>https://internationalpolicy.org/programs/sam/</x:v>
      </x:c>
      <x:c r="K1259" s="20" t="str">
        <x:v>Primary source-register URL; automated screening score</x:v>
      </x:c>
      <x:c r="L1259" s="20" t="str">
        <x:v>2026-05-20</x:v>
      </x:c>
      <x:c r="M1259" s="20" t="str">
        <x:v>2026-05-20</x:v>
      </x:c>
      <x:c r="N1259" s="20" t="str">
        <x:v>GPT-5.5 Pro</x:v>
      </x:c>
      <x:c r="O1259" s="20" t="str">
        <x:v>Needs review</x:v>
      </x:c>
      <x:c r="P1259" s="20" t="str">
        <x:v>Screening score for United States / PMC presence in North Korea; verify with country-specific evidence before final use.</x:v>
      </x:c>
    </x:row>
    <x:row r="1260" ht="24" customHeight="1">
      <x:c r="A1260" s="20" t="str">
        <x:v>PRK|United States|Election interference</x:v>
      </x:c>
      <x:c r="B1260" s="20" t="str">
        <x:v>North Korea</x:v>
      </x:c>
      <x:c r="C1260" s="20" t="str">
        <x:v>PRK</x:v>
      </x:c>
      <x:c r="D1260" s="20" t="str">
        <x:v>United States</x:v>
      </x:c>
      <x:c r="E1260" s="20" t="str">
        <x:v>American influence</x:v>
      </x:c>
      <x:c r="F1260" s="20" t="str">
        <x:v>Election interference</x:v>
      </x:c>
      <x:c r="G1260" s="384" t="n">
        <x:v>4</x:v>
      </x:c>
      <x:c r="H1260" s="396" t="n">
        <x:v>3</x:v>
      </x:c>
      <x:c r="I1260" s="20" t="str">
        <x:v>NED/Greenbook democracy assistance source register</x:v>
      </x:c>
      <x:c r="J1260" s="397" t="str">
        <x:v>https://www.ned.org/ned-grantmaking/</x:v>
      </x:c>
      <x:c r="K1260" s="20" t="str">
        <x:v>Primary source-register URL; automated screening score</x:v>
      </x:c>
      <x:c r="L1260" s="20" t="str">
        <x:v>2026-05-20</x:v>
      </x:c>
      <x:c r="M1260" s="20" t="str">
        <x:v>2026-05-20</x:v>
      </x:c>
      <x:c r="N1260" s="20" t="str">
        <x:v>GPT-5.5 Pro</x:v>
      </x:c>
      <x:c r="O1260" s="20" t="str">
        <x:v>Needs review</x:v>
      </x:c>
      <x:c r="P1260" s="20" t="str">
        <x:v>Screening score for United States / Election interference in North Korea; verify with country-specific evidence before final use.</x:v>
      </x:c>
    </x:row>
    <x:row r="1261" ht="24" customHeight="1">
      <x:c r="A1261" s="20" t="str">
        <x:v>PRK|United States|Security contractors</x:v>
      </x:c>
      <x:c r="B1261" s="20" t="str">
        <x:v>North Korea</x:v>
      </x:c>
      <x:c r="C1261" s="20" t="str">
        <x:v>PRK</x:v>
      </x:c>
      <x:c r="D1261" s="20" t="str">
        <x:v>United States</x:v>
      </x:c>
      <x:c r="E1261" s="20" t="str">
        <x:v>American influence</x:v>
      </x:c>
      <x:c r="F1261" s="20" t="str">
        <x:v>Security contractors</x:v>
      </x:c>
      <x:c r="G1261" s="384" t="n">
        <x:v>0</x:v>
      </x:c>
      <x:c r="H1261" s="396" t="n">
        <x:v>1</x:v>
      </x:c>
      <x:c r="I1261" s="20" t="str">
        <x:v>SAM/Greenbook U.S. security contractor source register</x:v>
      </x:c>
      <x:c r="J1261" s="397" t="str">
        <x:v>https://internationalpolicy.org/programs/sam/</x:v>
      </x:c>
      <x:c r="K1261" s="20" t="str">
        <x:v>Primary source-register URL; automated screening score</x:v>
      </x:c>
      <x:c r="L1261" s="20" t="str">
        <x:v>2026-05-20</x:v>
      </x:c>
      <x:c r="M1261" s="20" t="str">
        <x:v>2026-05-20</x:v>
      </x:c>
      <x:c r="N1261" s="20" t="str">
        <x:v>GPT-5.5 Pro</x:v>
      </x:c>
      <x:c r="O1261" s="20" t="str">
        <x:v>Needs review</x:v>
      </x:c>
      <x:c r="P1261" s="20" t="str">
        <x:v>Screening score for United States / Security contractors in North Korea; verify with country-specific evidence before final use.</x:v>
      </x:c>
    </x:row>
    <x:row r="1262" ht="24" customHeight="1">
      <x:c r="A1262" s="20" t="str">
        <x:v>PRK|European Union|Propaganda ecosystems</x:v>
      </x:c>
      <x:c r="B1262" s="20" t="str">
        <x:v>North Korea</x:v>
      </x:c>
      <x:c r="C1262" s="20" t="str">
        <x:v>PRK</x:v>
      </x:c>
      <x:c r="D1262" s="20" t="str">
        <x:v>European Union</x:v>
      </x:c>
      <x:c r="E1262" s="20" t="str">
        <x:v>EU influence</x:v>
      </x:c>
      <x:c r="F1262" s="20" t="str">
        <x:v>Propaganda ecosystems</x:v>
      </x:c>
      <x:c r="G1262" s="384" t="n">
        <x:v>2</x:v>
      </x:c>
      <x:c r="H1262" s="396" t="n">
        <x:v>2</x:v>
      </x:c>
      <x:c r="I1262" s="20" t="str">
        <x:v>EEAS public diplomacy source register</x:v>
      </x:c>
      <x:c r="J1262" s="397" t="str">
        <x:v>https://www.eeas.europa.eu/eeas/public-diplomacy_en</x:v>
      </x:c>
      <x:c r="K1262" s="20" t="str">
        <x:v>Primary source-register URL; automated screening score</x:v>
      </x:c>
      <x:c r="L1262" s="20" t="str">
        <x:v>2026-05-20</x:v>
      </x:c>
      <x:c r="M1262" s="20" t="str">
        <x:v>2026-05-20</x:v>
      </x:c>
      <x:c r="N1262" s="20" t="str">
        <x:v>GPT-5.5 Pro</x:v>
      </x:c>
      <x:c r="O1262" s="20" t="str">
        <x:v>Needs review</x:v>
      </x:c>
      <x:c r="P1262" s="20" t="str">
        <x:v>Screening score for European Union / Propaganda ecosystems in North Korea; verify with country-specific evidence before final use.</x:v>
      </x:c>
    </x:row>
    <x:row r="1263" ht="24" customHeight="1">
      <x:c r="A1263" s="20" t="str">
        <x:v>PRK|European Union|PMC presence</x:v>
      </x:c>
      <x:c r="B1263" s="20" t="str">
        <x:v>North Korea</x:v>
      </x:c>
      <x:c r="C1263" s="20" t="str">
        <x:v>PRK</x:v>
      </x:c>
      <x:c r="D1263" s="20" t="str">
        <x:v>European Union</x:v>
      </x:c>
      <x:c r="E1263" s="20" t="str">
        <x:v>EU influence</x:v>
      </x:c>
      <x:c r="F1263" s="20" t="str">
        <x:v>PMC presence</x:v>
      </x:c>
      <x:c r="G1263" s="384" t="n">
        <x:v>0</x:v>
      </x:c>
      <x:c r="H1263" s="396" t="n">
        <x:v>1</x:v>
      </x:c>
      <x:c r="I1263" s="20" t="str">
        <x:v>EEAS CSDP missions source register</x:v>
      </x:c>
      <x:c r="J1263" s="397" t="str">
        <x:v>https://www.eeas.europa.eu/eeas/missions-and-operations_en</x:v>
      </x:c>
      <x:c r="K1263" s="20" t="str">
        <x:v>Primary source-register URL; automated screening score</x:v>
      </x:c>
      <x:c r="L1263" s="20" t="str">
        <x:v>2026-05-20</x:v>
      </x:c>
      <x:c r="M1263" s="20" t="str">
        <x:v>2026-05-20</x:v>
      </x:c>
      <x:c r="N1263" s="20" t="str">
        <x:v>GPT-5.5 Pro</x:v>
      </x:c>
      <x:c r="O1263" s="20" t="str">
        <x:v>Needs review</x:v>
      </x:c>
      <x:c r="P1263" s="20" t="str">
        <x:v>Screening score for European Union / PMC presence in North Korea; verify with country-specific evidence before final use.</x:v>
      </x:c>
    </x:row>
    <x:row r="1264" ht="24" customHeight="1">
      <x:c r="A1264" s="20" t="str">
        <x:v>PRK|European Union|Election interference</x:v>
      </x:c>
      <x:c r="B1264" s="20" t="str">
        <x:v>North Korea</x:v>
      </x:c>
      <x:c r="C1264" s="20" t="str">
        <x:v>PRK</x:v>
      </x:c>
      <x:c r="D1264" s="20" t="str">
        <x:v>European Union</x:v>
      </x:c>
      <x:c r="E1264" s="20" t="str">
        <x:v>EU influence</x:v>
      </x:c>
      <x:c r="F1264" s="20" t="str">
        <x:v>Election interference</x:v>
      </x:c>
      <x:c r="G1264" s="384" t="n">
        <x:v>0</x:v>
      </x:c>
      <x:c r="H1264" s="396" t="n">
        <x:v>1</x:v>
      </x:c>
      <x:c r="I1264" s="20" t="str">
        <x:v>EEAS EU election observation source register</x:v>
      </x:c>
      <x:c r="J1264" s="397" t="str">
        <x:v>https://www.eeas.europa.eu/eeas/eu-election-observation-missions-1_en?page_lang=en</x:v>
      </x:c>
      <x:c r="K1264" s="20" t="str">
        <x:v>Primary source-register URL; automated screening score</x:v>
      </x:c>
      <x:c r="L1264" s="20" t="str">
        <x:v>2026-05-20</x:v>
      </x:c>
      <x:c r="M1264" s="20" t="str">
        <x:v>2026-05-20</x:v>
      </x:c>
      <x:c r="N1264" s="20" t="str">
        <x:v>GPT-5.5 Pro</x:v>
      </x:c>
      <x:c r="O1264" s="20" t="str">
        <x:v>Needs review</x:v>
      </x:c>
      <x:c r="P1264" s="20" t="str">
        <x:v>Screening score for European Union / Election interference in North Korea; verify with country-specific evidence before final use.</x:v>
      </x:c>
    </x:row>
    <x:row r="1265" ht="24" customHeight="1">
      <x:c r="A1265" s="20" t="str">
        <x:v>PRK|European Union|Security contractors</x:v>
      </x:c>
      <x:c r="B1265" s="20" t="str">
        <x:v>North Korea</x:v>
      </x:c>
      <x:c r="C1265" s="20" t="str">
        <x:v>PRK</x:v>
      </x:c>
      <x:c r="D1265" s="20" t="str">
        <x:v>European Union</x:v>
      </x:c>
      <x:c r="E1265" s="20" t="str">
        <x:v>EU influence</x:v>
      </x:c>
      <x:c r="F1265" s="20" t="str">
        <x:v>Security contractors</x:v>
      </x:c>
      <x:c r="G1265" s="384" t="n">
        <x:v>2</x:v>
      </x:c>
      <x:c r="H1265" s="396" t="n">
        <x:v>2</x:v>
      </x:c>
      <x:c r="I1265" s="20" t="str">
        <x:v>EEAS CSDP / Global Gateway security source register</x:v>
      </x:c>
      <x:c r="J1265" s="397" t="str">
        <x:v>https://www.eeas.europa.eu/eeas/missions-and-operations_en</x:v>
      </x:c>
      <x:c r="K1265" s="20" t="str">
        <x:v>Primary source-register URL; automated screening score</x:v>
      </x:c>
      <x:c r="L1265" s="20" t="str">
        <x:v>2026-05-20</x:v>
      </x:c>
      <x:c r="M1265" s="20" t="str">
        <x:v>2026-05-20</x:v>
      </x:c>
      <x:c r="N1265" s="20" t="str">
        <x:v>GPT-5.5 Pro</x:v>
      </x:c>
      <x:c r="O1265" s="20" t="str">
        <x:v>Needs review</x:v>
      </x:c>
      <x:c r="P1265" s="20" t="str">
        <x:v>Screening score for European Union / Security contractors in North Korea; verify with country-specific evidence before final use.</x:v>
      </x:c>
    </x:row>
    <x:row r="1266" ht="24" customHeight="1">
      <x:c r="A1266" s="20" t="str">
        <x:v>NOR|Russia|Propaganda ecosystems</x:v>
      </x:c>
      <x:c r="B1266" s="20" t="str">
        <x:v>Norway</x:v>
      </x:c>
      <x:c r="C1266" s="20" t="str">
        <x:v>NOR</x:v>
      </x:c>
      <x:c r="D1266" s="20" t="str">
        <x:v>Russia</x:v>
      </x:c>
      <x:c r="E1266" s="20" t="str">
        <x:v>Russian influence</x:v>
      </x:c>
      <x:c r="F1266" s="20" t="str">
        <x:v>Propaganda ecosystems</x:v>
      </x:c>
      <x:c r="G1266" s="384" t="n">
        <x:v>5</x:v>
      </x:c>
      <x:c r="H1266" s="396" t="n">
        <x:v>3</x:v>
      </x:c>
      <x:c r="I1266" s="20" t="str">
        <x:v>EEAS/EUvsDisinfo FIMI source register</x:v>
      </x:c>
      <x:c r="J1266" s="397" t="str">
        <x:v>https://www.eeas.europa.eu/eeas/4th-eeas-annual-report-foreign-information-manipulation-and-interference-threats_en</x:v>
      </x:c>
      <x:c r="K1266" s="20" t="str">
        <x:v>Primary source-register URL; automated screening score</x:v>
      </x:c>
      <x:c r="L1266" s="20" t="str">
        <x:v>2026-05-20</x:v>
      </x:c>
      <x:c r="M1266" s="20" t="str">
        <x:v>2026-05-20</x:v>
      </x:c>
      <x:c r="N1266" s="20" t="str">
        <x:v>GPT-5.5 Pro</x:v>
      </x:c>
      <x:c r="O1266" s="20" t="str">
        <x:v>Needs review</x:v>
      </x:c>
      <x:c r="P1266" s="20" t="str">
        <x:v>Screening score for Russia / Propaganda ecosystems in Norway; verify with country-specific evidence before final use.</x:v>
      </x:c>
    </x:row>
    <x:row r="1267" ht="24" customHeight="1">
      <x:c r="A1267" s="20" t="str">
        <x:v>NOR|Russia|PMC presence</x:v>
      </x:c>
      <x:c r="B1267" s="20" t="str">
        <x:v>Norway</x:v>
      </x:c>
      <x:c r="C1267" s="20" t="str">
        <x:v>NOR</x:v>
      </x:c>
      <x:c r="D1267" s="20" t="str">
        <x:v>Russia</x:v>
      </x:c>
      <x:c r="E1267" s="20" t="str">
        <x:v>Russian influence</x:v>
      </x:c>
      <x:c r="F1267" s="20" t="str">
        <x:v>PMC presence</x:v>
      </x:c>
      <x:c r="G1267" s="384" t="n">
        <x:v>0</x:v>
      </x:c>
      <x:c r="H1267" s="396" t="n">
        <x:v>1</x:v>
      </x:c>
      <x:c r="I1267" s="20" t="str">
        <x:v>Treasury and Council of the EU Wagner/PMC source register</x:v>
      </x:c>
      <x:c r="J1267" s="397" t="str">
        <x:v>https://www.consilium.europa.eu/en/press/press-releases/2023/02/25/wagner-group-council-adds-11-individuals-and-7-entities-to-eu-sanctions-lists/</x:v>
      </x:c>
      <x:c r="K1267" s="20" t="str">
        <x:v>Primary source-register URL; automated screening score</x:v>
      </x:c>
      <x:c r="L1267" s="20" t="str">
        <x:v>2026-05-20</x:v>
      </x:c>
      <x:c r="M1267" s="20" t="str">
        <x:v>2026-05-20</x:v>
      </x:c>
      <x:c r="N1267" s="20" t="str">
        <x:v>GPT-5.5 Pro</x:v>
      </x:c>
      <x:c r="O1267" s="20" t="str">
        <x:v>Needs review</x:v>
      </x:c>
      <x:c r="P1267" s="20" t="str">
        <x:v>Screening score for Russia / PMC presence in Norway; verify with country-specific evidence before final use.</x:v>
      </x:c>
    </x:row>
    <x:row r="1268" ht="24" customHeight="1">
      <x:c r="A1268" s="20" t="str">
        <x:v>NOR|Russia|Election interference</x:v>
      </x:c>
      <x:c r="B1268" s="20" t="str">
        <x:v>Norway</x:v>
      </x:c>
      <x:c r="C1268" s="20" t="str">
        <x:v>NOR</x:v>
      </x:c>
      <x:c r="D1268" s="20" t="str">
        <x:v>Russia</x:v>
      </x:c>
      <x:c r="E1268" s="20" t="str">
        <x:v>Russian influence</x:v>
      </x:c>
      <x:c r="F1268" s="20" t="str">
        <x:v>Election interference</x:v>
      </x:c>
      <x:c r="G1268" s="384" t="n">
        <x:v>5</x:v>
      </x:c>
      <x:c r="H1268" s="396" t="n">
        <x:v>3</x:v>
      </x:c>
      <x:c r="I1268" s="20" t="str">
        <x:v>ODNI/EEAS election-FIMI source register</x:v>
      </x:c>
      <x:c r="J1268" s="397" t="str">
        <x:v>https://www.dni.gov/files/ODNI/documents/assessments/ATA-2026-Unclassified-Report.pdf</x:v>
      </x:c>
      <x:c r="K1268" s="20" t="str">
        <x:v>Primary source-register URL; automated screening score</x:v>
      </x:c>
      <x:c r="L1268" s="20" t="str">
        <x:v>2026-05-20</x:v>
      </x:c>
      <x:c r="M1268" s="20" t="str">
        <x:v>2026-05-20</x:v>
      </x:c>
      <x:c r="N1268" s="20" t="str">
        <x:v>GPT-5.5 Pro</x:v>
      </x:c>
      <x:c r="O1268" s="20" t="str">
        <x:v>Needs review</x:v>
      </x:c>
      <x:c r="P1268" s="20" t="str">
        <x:v>Screening score for Russia / Election interference in Norway; verify with country-specific evidence before final use.</x:v>
      </x:c>
    </x:row>
    <x:row r="1269" ht="24" customHeight="1">
      <x:c r="A1269" s="20" t="str">
        <x:v>NOR|Russia|Security contractors</x:v>
      </x:c>
      <x:c r="B1269" s="20" t="str">
        <x:v>Norway</x:v>
      </x:c>
      <x:c r="C1269" s="20" t="str">
        <x:v>NOR</x:v>
      </x:c>
      <x:c r="D1269" s="20" t="str">
        <x:v>Russia</x:v>
      </x:c>
      <x:c r="E1269" s="20" t="str">
        <x:v>Russian influence</x:v>
      </x:c>
      <x:c r="F1269" s="20" t="str">
        <x:v>Security contractors</x:v>
      </x:c>
      <x:c r="G1269" s="384" t="n">
        <x:v>0</x:v>
      </x:c>
      <x:c r="H1269" s="396" t="n">
        <x:v>1</x:v>
      </x:c>
      <x:c r="I1269" s="20" t="str">
        <x:v>Council of the EU/Treasury Wagner-security source register</x:v>
      </x:c>
      <x:c r="J1269" s="397" t="str">
        <x:v>https://www.consilium.europa.eu/en/press/press-releases/2023/02/25/wagner-group-council-adds-11-individuals-and-7-entities-to-eu-sanctions-lists/</x:v>
      </x:c>
      <x:c r="K1269" s="20" t="str">
        <x:v>Primary source-register URL; automated screening score</x:v>
      </x:c>
      <x:c r="L1269" s="20" t="str">
        <x:v>2026-05-20</x:v>
      </x:c>
      <x:c r="M1269" s="20" t="str">
        <x:v>2026-05-20</x:v>
      </x:c>
      <x:c r="N1269" s="20" t="str">
        <x:v>GPT-5.5 Pro</x:v>
      </x:c>
      <x:c r="O1269" s="20" t="str">
        <x:v>Needs review</x:v>
      </x:c>
      <x:c r="P1269" s="20" t="str">
        <x:v>Screening score for Russia / Security contractors in Norway; verify with country-specific evidence before final use.</x:v>
      </x:c>
    </x:row>
    <x:row r="1270" ht="24" customHeight="1">
      <x:c r="A1270" s="20" t="str">
        <x:v>NOR|China|Propaganda ecosystems</x:v>
      </x:c>
      <x:c r="B1270" s="20" t="str">
        <x:v>Norway</x:v>
      </x:c>
      <x:c r="C1270" s="20" t="str">
        <x:v>NOR</x:v>
      </x:c>
      <x:c r="D1270" s="20" t="str">
        <x:v>China</x:v>
      </x:c>
      <x:c r="E1270" s="20" t="str">
        <x:v>Chinese influence</x:v>
      </x:c>
      <x:c r="F1270" s="20" t="str">
        <x:v>Propaganda ecosystems</x:v>
      </x:c>
      <x:c r="G1270" s="384" t="n">
        <x:v>4</x:v>
      </x:c>
      <x:c r="H1270" s="396" t="n">
        <x:v>3</x:v>
      </x:c>
      <x:c r="I1270" s="20" t="str">
        <x:v>EEAS/ODNI China FIMI source register</x:v>
      </x:c>
      <x:c r="J1270" s="397" t="str">
        <x:v>https://www.eeas.europa.eu/eeas/4th-eeas-annual-report-foreign-information-manipulation-and-interference-threats_en</x:v>
      </x:c>
      <x:c r="K1270" s="20" t="str">
        <x:v>Primary source-register URL; automated screening score</x:v>
      </x:c>
      <x:c r="L1270" s="20" t="str">
        <x:v>2026-05-20</x:v>
      </x:c>
      <x:c r="M1270" s="20" t="str">
        <x:v>2026-05-20</x:v>
      </x:c>
      <x:c r="N1270" s="20" t="str">
        <x:v>GPT-5.5 Pro</x:v>
      </x:c>
      <x:c r="O1270" s="20" t="str">
        <x:v>Needs review</x:v>
      </x:c>
      <x:c r="P1270" s="20" t="str">
        <x:v>Screening score for China / Propaganda ecosystems in Norway; verify with country-specific evidence before final use.</x:v>
      </x:c>
    </x:row>
    <x:row r="1271" ht="24" customHeight="1">
      <x:c r="A1271" s="20" t="str">
        <x:v>NOR|China|PMC presence</x:v>
      </x:c>
      <x:c r="B1271" s="20" t="str">
        <x:v>Norway</x:v>
      </x:c>
      <x:c r="C1271" s="20" t="str">
        <x:v>NOR</x:v>
      </x:c>
      <x:c r="D1271" s="20" t="str">
        <x:v>China</x:v>
      </x:c>
      <x:c r="E1271" s="20" t="str">
        <x:v>Chinese influence</x:v>
      </x:c>
      <x:c r="F1271" s="20" t="str">
        <x:v>PMC presence</x:v>
      </x:c>
      <x:c r="G1271" s="384" t="n">
        <x:v>0</x:v>
      </x:c>
      <x:c r="H1271" s="396" t="n">
        <x:v>1</x:v>
      </x:c>
      <x:c r="I1271" s="20" t="str">
        <x:v>MERICS/Carnegie Chinese overseas PSC source register</x:v>
      </x:c>
      <x:c r="J1271" s="397" t="str">
        <x:v>https://merics.org/en/report/guardians-belt-and-road</x:v>
      </x:c>
      <x:c r="K1271" s="20" t="str">
        <x:v>Primary source-register URL; automated screening score</x:v>
      </x:c>
      <x:c r="L1271" s="20" t="str">
        <x:v>2026-05-20</x:v>
      </x:c>
      <x:c r="M1271" s="20" t="str">
        <x:v>2026-05-20</x:v>
      </x:c>
      <x:c r="N1271" s="20" t="str">
        <x:v>GPT-5.5 Pro</x:v>
      </x:c>
      <x:c r="O1271" s="20" t="str">
        <x:v>Needs review</x:v>
      </x:c>
      <x:c r="P1271" s="20" t="str">
        <x:v>Screening score for China / PMC presence in Norway; verify with country-specific evidence before final use.</x:v>
      </x:c>
    </x:row>
    <x:row r="1272" ht="24" customHeight="1">
      <x:c r="A1272" s="20" t="str">
        <x:v>NOR|China|Election interference</x:v>
      </x:c>
      <x:c r="B1272" s="20" t="str">
        <x:v>Norway</x:v>
      </x:c>
      <x:c r="C1272" s="20" t="str">
        <x:v>NOR</x:v>
      </x:c>
      <x:c r="D1272" s="20" t="str">
        <x:v>China</x:v>
      </x:c>
      <x:c r="E1272" s="20" t="str">
        <x:v>Chinese influence</x:v>
      </x:c>
      <x:c r="F1272" s="20" t="str">
        <x:v>Election interference</x:v>
      </x:c>
      <x:c r="G1272" s="384" t="n">
        <x:v>2</x:v>
      </x:c>
      <x:c r="H1272" s="396" t="n">
        <x:v>2</x:v>
      </x:c>
      <x:c r="I1272" s="20" t="str">
        <x:v>EEAS/ODNI China election-FIMI source register</x:v>
      </x:c>
      <x:c r="J1272" s="397" t="str">
        <x:v>https://www.eeas.europa.eu/eeas/4th-eeas-annual-report-foreign-information-manipulation-and-interference-threats_en</x:v>
      </x:c>
      <x:c r="K1272" s="20" t="str">
        <x:v>Primary source-register URL; automated screening score</x:v>
      </x:c>
      <x:c r="L1272" s="20" t="str">
        <x:v>2026-05-20</x:v>
      </x:c>
      <x:c r="M1272" s="20" t="str">
        <x:v>2026-05-20</x:v>
      </x:c>
      <x:c r="N1272" s="20" t="str">
        <x:v>GPT-5.5 Pro</x:v>
      </x:c>
      <x:c r="O1272" s="20" t="str">
        <x:v>Needs review</x:v>
      </x:c>
      <x:c r="P1272" s="20" t="str">
        <x:v>Screening score for China / Election interference in Norway; verify with country-specific evidence before final use.</x:v>
      </x:c>
    </x:row>
    <x:row r="1273" ht="24" customHeight="1">
      <x:c r="A1273" s="20" t="str">
        <x:v>NOR|China|Security contractors</x:v>
      </x:c>
      <x:c r="B1273" s="20" t="str">
        <x:v>Norway</x:v>
      </x:c>
      <x:c r="C1273" s="20" t="str">
        <x:v>NOR</x:v>
      </x:c>
      <x:c r="D1273" s="20" t="str">
        <x:v>China</x:v>
      </x:c>
      <x:c r="E1273" s="20" t="str">
        <x:v>Chinese influence</x:v>
      </x:c>
      <x:c r="F1273" s="20" t="str">
        <x:v>Security contractors</x:v>
      </x:c>
      <x:c r="G1273" s="384" t="n">
        <x:v>0</x:v>
      </x:c>
      <x:c r="H1273" s="396" t="n">
        <x:v>1</x:v>
      </x:c>
      <x:c r="I1273" s="20" t="str">
        <x:v>MERICS/Carnegie Chinese security contractor source register</x:v>
      </x:c>
      <x:c r="J1273" s="397" t="str">
        <x:v>https://merics.org/en/report/guardians-belt-and-road</x:v>
      </x:c>
      <x:c r="K1273" s="20" t="str">
        <x:v>Primary source-register URL; automated screening score</x:v>
      </x:c>
      <x:c r="L1273" s="20" t="str">
        <x:v>2026-05-20</x:v>
      </x:c>
      <x:c r="M1273" s="20" t="str">
        <x:v>2026-05-20</x:v>
      </x:c>
      <x:c r="N1273" s="20" t="str">
        <x:v>GPT-5.5 Pro</x:v>
      </x:c>
      <x:c r="O1273" s="20" t="str">
        <x:v>Needs review</x:v>
      </x:c>
      <x:c r="P1273" s="20" t="str">
        <x:v>Screening score for China / Security contractors in Norway; verify with country-specific evidence before final use.</x:v>
      </x:c>
    </x:row>
    <x:row r="1274" ht="24" customHeight="1">
      <x:c r="A1274" s="20" t="str">
        <x:v>NOR|United States|Propaganda ecosystems</x:v>
      </x:c>
      <x:c r="B1274" s="20" t="str">
        <x:v>Norway</x:v>
      </x:c>
      <x:c r="C1274" s="20" t="str">
        <x:v>NOR</x:v>
      </x:c>
      <x:c r="D1274" s="20" t="str">
        <x:v>United States</x:v>
      </x:c>
      <x:c r="E1274" s="20" t="str">
        <x:v>American influence</x:v>
      </x:c>
      <x:c r="F1274" s="20" t="str">
        <x:v>Propaganda ecosystems</x:v>
      </x:c>
      <x:c r="G1274" s="384" t="n">
        <x:v>4</x:v>
      </x:c>
      <x:c r="H1274" s="396" t="n">
        <x:v>3</x:v>
      </x:c>
      <x:c r="I1274" s="20" t="str">
        <x:v>USAGM public media source register</x:v>
      </x:c>
      <x:c r="J1274" s="397" t="str">
        <x:v>https://www.usagm.gov/our-work/strategy-and-results/strategic-priorities/research-reports/</x:v>
      </x:c>
      <x:c r="K1274" s="20" t="str">
        <x:v>Primary source-register URL; automated screening score</x:v>
      </x:c>
      <x:c r="L1274" s="20" t="str">
        <x:v>2026-05-20</x:v>
      </x:c>
      <x:c r="M1274" s="20" t="str">
        <x:v>2026-05-20</x:v>
      </x:c>
      <x:c r="N1274" s="20" t="str">
        <x:v>GPT-5.5 Pro</x:v>
      </x:c>
      <x:c r="O1274" s="20" t="str">
        <x:v>Needs review</x:v>
      </x:c>
      <x:c r="P1274" s="20" t="str">
        <x:v>Screening score for United States / Propaganda ecosystems in Norway; verify with country-specific evidence before final use.</x:v>
      </x:c>
    </x:row>
    <x:row r="1275" ht="24" customHeight="1">
      <x:c r="A1275" s="20" t="str">
        <x:v>NOR|United States|PMC presence</x:v>
      </x:c>
      <x:c r="B1275" s="20" t="str">
        <x:v>Norway</x:v>
      </x:c>
      <x:c r="C1275" s="20" t="str">
        <x:v>NOR</x:v>
      </x:c>
      <x:c r="D1275" s="20" t="str">
        <x:v>United States</x:v>
      </x:c>
      <x:c r="E1275" s="20" t="str">
        <x:v>American influence</x:v>
      </x:c>
      <x:c r="F1275" s="20" t="str">
        <x:v>PMC presence</x:v>
      </x:c>
      <x:c r="G1275" s="384" t="n">
        <x:v>3</x:v>
      </x:c>
      <x:c r="H1275" s="396" t="n">
        <x:v>3</x:v>
      </x:c>
      <x:c r="I1275" s="20" t="str">
        <x:v>SAM/Greenbook U.S. security assistance contractor source register</x:v>
      </x:c>
      <x:c r="J1275" s="397" t="str">
        <x:v>https://internationalpolicy.org/programs/sam/</x:v>
      </x:c>
      <x:c r="K1275" s="20" t="str">
        <x:v>Primary source-register URL; automated screening score</x:v>
      </x:c>
      <x:c r="L1275" s="20" t="str">
        <x:v>2026-05-20</x:v>
      </x:c>
      <x:c r="M1275" s="20" t="str">
        <x:v>2026-05-20</x:v>
      </x:c>
      <x:c r="N1275" s="20" t="str">
        <x:v>GPT-5.5 Pro</x:v>
      </x:c>
      <x:c r="O1275" s="20" t="str">
        <x:v>Needs review</x:v>
      </x:c>
      <x:c r="P1275" s="20" t="str">
        <x:v>Screening score for United States / PMC presence in Norway; verify with country-specific evidence before final use.</x:v>
      </x:c>
    </x:row>
    <x:row r="1276" ht="24" customHeight="1">
      <x:c r="A1276" s="20" t="str">
        <x:v>NOR|United States|Election interference</x:v>
      </x:c>
      <x:c r="B1276" s="20" t="str">
        <x:v>Norway</x:v>
      </x:c>
      <x:c r="C1276" s="20" t="str">
        <x:v>NOR</x:v>
      </x:c>
      <x:c r="D1276" s="20" t="str">
        <x:v>United States</x:v>
      </x:c>
      <x:c r="E1276" s="20" t="str">
        <x:v>American influence</x:v>
      </x:c>
      <x:c r="F1276" s="20" t="str">
        <x:v>Election interference</x:v>
      </x:c>
      <x:c r="G1276" s="384" t="n">
        <x:v>1</x:v>
      </x:c>
      <x:c r="H1276" s="396" t="n">
        <x:v>2</x:v>
      </x:c>
      <x:c r="I1276" s="20" t="str">
        <x:v>NED/Greenbook democracy assistance source register</x:v>
      </x:c>
      <x:c r="J1276" s="397" t="str">
        <x:v>https://www.ned.org/ned-grantmaking/</x:v>
      </x:c>
      <x:c r="K1276" s="20" t="str">
        <x:v>Primary source-register URL; automated screening score</x:v>
      </x:c>
      <x:c r="L1276" s="20" t="str">
        <x:v>2026-05-20</x:v>
      </x:c>
      <x:c r="M1276" s="20" t="str">
        <x:v>2026-05-20</x:v>
      </x:c>
      <x:c r="N1276" s="20" t="str">
        <x:v>GPT-5.5 Pro</x:v>
      </x:c>
      <x:c r="O1276" s="20" t="str">
        <x:v>Needs review</x:v>
      </x:c>
      <x:c r="P1276" s="20" t="str">
        <x:v>Screening score for United States / Election interference in Norway; verify with country-specific evidence before final use.</x:v>
      </x:c>
    </x:row>
    <x:row r="1277" ht="24" customHeight="1">
      <x:c r="A1277" s="20" t="str">
        <x:v>NOR|United States|Security contractors</x:v>
      </x:c>
      <x:c r="B1277" s="20" t="str">
        <x:v>Norway</x:v>
      </x:c>
      <x:c r="C1277" s="20" t="str">
        <x:v>NOR</x:v>
      </x:c>
      <x:c r="D1277" s="20" t="str">
        <x:v>United States</x:v>
      </x:c>
      <x:c r="E1277" s="20" t="str">
        <x:v>American influence</x:v>
      </x:c>
      <x:c r="F1277" s="20" t="str">
        <x:v>Security contractors</x:v>
      </x:c>
      <x:c r="G1277" s="384" t="n">
        <x:v>6</x:v>
      </x:c>
      <x:c r="H1277" s="396" t="n">
        <x:v>4</x:v>
      </x:c>
      <x:c r="I1277" s="20" t="str">
        <x:v>SAM/Greenbook U.S. security contractor source register</x:v>
      </x:c>
      <x:c r="J1277" s="397" t="str">
        <x:v>https://internationalpolicy.org/programs/sam/</x:v>
      </x:c>
      <x:c r="K1277" s="20" t="str">
        <x:v>Primary source-register URL; automated screening score</x:v>
      </x:c>
      <x:c r="L1277" s="20" t="str">
        <x:v>2026-05-20</x:v>
      </x:c>
      <x:c r="M1277" s="20" t="str">
        <x:v>2026-05-20</x:v>
      </x:c>
      <x:c r="N1277" s="20" t="str">
        <x:v>GPT-5.5 Pro</x:v>
      </x:c>
      <x:c r="O1277" s="20" t="str">
        <x:v>Needs review</x:v>
      </x:c>
      <x:c r="P1277" s="20" t="str">
        <x:v>Screening score for United States / Security contractors in Norway; verify with country-specific evidence before final use.</x:v>
      </x:c>
    </x:row>
    <x:row r="1278" ht="24" customHeight="1">
      <x:c r="A1278" s="20" t="str">
        <x:v>NOR|European Union|Propaganda ecosystems</x:v>
      </x:c>
      <x:c r="B1278" s="20" t="str">
        <x:v>Norway</x:v>
      </x:c>
      <x:c r="C1278" s="20" t="str">
        <x:v>NOR</x:v>
      </x:c>
      <x:c r="D1278" s="20" t="str">
        <x:v>European Union</x:v>
      </x:c>
      <x:c r="E1278" s="20" t="str">
        <x:v>EU influence</x:v>
      </x:c>
      <x:c r="F1278" s="20" t="str">
        <x:v>Propaganda ecosystems</x:v>
      </x:c>
      <x:c r="G1278" s="384" t="n">
        <x:v>5</x:v>
      </x:c>
      <x:c r="H1278" s="396" t="n">
        <x:v>3</x:v>
      </x:c>
      <x:c r="I1278" s="20" t="str">
        <x:v>EEAS public diplomacy source register</x:v>
      </x:c>
      <x:c r="J1278" s="397" t="str">
        <x:v>https://www.eeas.europa.eu/eeas/public-diplomacy_en</x:v>
      </x:c>
      <x:c r="K1278" s="20" t="str">
        <x:v>Primary source-register URL; automated screening score</x:v>
      </x:c>
      <x:c r="L1278" s="20" t="str">
        <x:v>2026-05-20</x:v>
      </x:c>
      <x:c r="M1278" s="20" t="str">
        <x:v>2026-05-20</x:v>
      </x:c>
      <x:c r="N1278" s="20" t="str">
        <x:v>GPT-5.5 Pro</x:v>
      </x:c>
      <x:c r="O1278" s="20" t="str">
        <x:v>Needs review</x:v>
      </x:c>
      <x:c r="P1278" s="20" t="str">
        <x:v>Screening score for European Union / Propaganda ecosystems in Norway; verify with country-specific evidence before final use.</x:v>
      </x:c>
    </x:row>
    <x:row r="1279" ht="24" customHeight="1">
      <x:c r="A1279" s="20" t="str">
        <x:v>NOR|European Union|PMC presence</x:v>
      </x:c>
      <x:c r="B1279" s="20" t="str">
        <x:v>Norway</x:v>
      </x:c>
      <x:c r="C1279" s="20" t="str">
        <x:v>NOR</x:v>
      </x:c>
      <x:c r="D1279" s="20" t="str">
        <x:v>European Union</x:v>
      </x:c>
      <x:c r="E1279" s="20" t="str">
        <x:v>EU influence</x:v>
      </x:c>
      <x:c r="F1279" s="20" t="str">
        <x:v>PMC presence</x:v>
      </x:c>
      <x:c r="G1279" s="384" t="n">
        <x:v>0</x:v>
      </x:c>
      <x:c r="H1279" s="396" t="n">
        <x:v>1</x:v>
      </x:c>
      <x:c r="I1279" s="20" t="str">
        <x:v>EEAS CSDP missions source register</x:v>
      </x:c>
      <x:c r="J1279" s="397" t="str">
        <x:v>https://www.eeas.europa.eu/eeas/missions-and-operations_en</x:v>
      </x:c>
      <x:c r="K1279" s="20" t="str">
        <x:v>Primary source-register URL; automated screening score</x:v>
      </x:c>
      <x:c r="L1279" s="20" t="str">
        <x:v>2026-05-20</x:v>
      </x:c>
      <x:c r="M1279" s="20" t="str">
        <x:v>2026-05-20</x:v>
      </x:c>
      <x:c r="N1279" s="20" t="str">
        <x:v>GPT-5.5 Pro</x:v>
      </x:c>
      <x:c r="O1279" s="20" t="str">
        <x:v>Needs review</x:v>
      </x:c>
      <x:c r="P1279" s="20" t="str">
        <x:v>Screening score for European Union / PMC presence in Norway; verify with country-specific evidence before final use.</x:v>
      </x:c>
    </x:row>
    <x:row r="1280" ht="24" customHeight="1">
      <x:c r="A1280" s="20" t="str">
        <x:v>NOR|European Union|Election interference</x:v>
      </x:c>
      <x:c r="B1280" s="20" t="str">
        <x:v>Norway</x:v>
      </x:c>
      <x:c r="C1280" s="20" t="str">
        <x:v>NOR</x:v>
      </x:c>
      <x:c r="D1280" s="20" t="str">
        <x:v>European Union</x:v>
      </x:c>
      <x:c r="E1280" s="20" t="str">
        <x:v>EU influence</x:v>
      </x:c>
      <x:c r="F1280" s="20" t="str">
        <x:v>Election interference</x:v>
      </x:c>
      <x:c r="G1280" s="384" t="n">
        <x:v>1</x:v>
      </x:c>
      <x:c r="H1280" s="396" t="n">
        <x:v>2</x:v>
      </x:c>
      <x:c r="I1280" s="20" t="str">
        <x:v>EEAS EU election observation source register</x:v>
      </x:c>
      <x:c r="J1280" s="397" t="str">
        <x:v>https://www.eeas.europa.eu/eeas/eu-election-observation-missions-1_en?page_lang=en</x:v>
      </x:c>
      <x:c r="K1280" s="20" t="str">
        <x:v>Primary source-register URL; automated screening score</x:v>
      </x:c>
      <x:c r="L1280" s="20" t="str">
        <x:v>2026-05-20</x:v>
      </x:c>
      <x:c r="M1280" s="20" t="str">
        <x:v>2026-05-20</x:v>
      </x:c>
      <x:c r="N1280" s="20" t="str">
        <x:v>GPT-5.5 Pro</x:v>
      </x:c>
      <x:c r="O1280" s="20" t="str">
        <x:v>Needs review</x:v>
      </x:c>
      <x:c r="P1280" s="20" t="str">
        <x:v>Screening score for European Union / Election interference in Norway; verify with country-specific evidence before final use.</x:v>
      </x:c>
    </x:row>
    <x:row r="1281" ht="24" customHeight="1">
      <x:c r="A1281" s="20" t="str">
        <x:v>NOR|European Union|Security contractors</x:v>
      </x:c>
      <x:c r="B1281" s="20" t="str">
        <x:v>Norway</x:v>
      </x:c>
      <x:c r="C1281" s="20" t="str">
        <x:v>NOR</x:v>
      </x:c>
      <x:c r="D1281" s="20" t="str">
        <x:v>European Union</x:v>
      </x:c>
      <x:c r="E1281" s="20" t="str">
        <x:v>EU influence</x:v>
      </x:c>
      <x:c r="F1281" s="20" t="str">
        <x:v>Security contractors</x:v>
      </x:c>
      <x:c r="G1281" s="384" t="n">
        <x:v>5</x:v>
      </x:c>
      <x:c r="H1281" s="396" t="n">
        <x:v>3</x:v>
      </x:c>
      <x:c r="I1281" s="20" t="str">
        <x:v>EEAS CSDP / Global Gateway security source register</x:v>
      </x:c>
      <x:c r="J1281" s="397" t="str">
        <x:v>https://www.eeas.europa.eu/eeas/missions-and-operations_en</x:v>
      </x:c>
      <x:c r="K1281" s="20" t="str">
        <x:v>Primary source-register URL; automated screening score</x:v>
      </x:c>
      <x:c r="L1281" s="20" t="str">
        <x:v>2026-05-20</x:v>
      </x:c>
      <x:c r="M1281" s="20" t="str">
        <x:v>2026-05-20</x:v>
      </x:c>
      <x:c r="N1281" s="20" t="str">
        <x:v>GPT-5.5 Pro</x:v>
      </x:c>
      <x:c r="O1281" s="20" t="str">
        <x:v>Needs review</x:v>
      </x:c>
      <x:c r="P1281" s="20" t="str">
        <x:v>Screening score for European Union / Security contractors in Norway; verify with country-specific evidence before final use.</x:v>
      </x:c>
    </x:row>
    <x:row r="1282" ht="24" customHeight="1">
      <x:c r="A1282" s="20" t="str">
        <x:v>OMN|Russia|Propaganda ecosystems</x:v>
      </x:c>
      <x:c r="B1282" s="20" t="str">
        <x:v>Oman</x:v>
      </x:c>
      <x:c r="C1282" s="20" t="str">
        <x:v>OMN</x:v>
      </x:c>
      <x:c r="D1282" s="20" t="str">
        <x:v>Russia</x:v>
      </x:c>
      <x:c r="E1282" s="20" t="str">
        <x:v>Russian influence</x:v>
      </x:c>
      <x:c r="F1282" s="20" t="str">
        <x:v>Propaganda ecosystems</x:v>
      </x:c>
      <x:c r="G1282" s="384" t="n">
        <x:v>2</x:v>
      </x:c>
      <x:c r="H1282" s="396" t="n">
        <x:v>2</x:v>
      </x:c>
      <x:c r="I1282" s="20" t="str">
        <x:v>EEAS/EUvsDisinfo FIMI source register</x:v>
      </x:c>
      <x:c r="J1282" s="397" t="str">
        <x:v>https://www.eeas.europa.eu/eeas/4th-eeas-annual-report-foreign-information-manipulation-and-interference-threats_en</x:v>
      </x:c>
      <x:c r="K1282" s="20" t="str">
        <x:v>Primary source-register URL; automated screening score</x:v>
      </x:c>
      <x:c r="L1282" s="20" t="str">
        <x:v>2026-05-20</x:v>
      </x:c>
      <x:c r="M1282" s="20" t="str">
        <x:v>2026-05-20</x:v>
      </x:c>
      <x:c r="N1282" s="20" t="str">
        <x:v>GPT-5.5 Pro</x:v>
      </x:c>
      <x:c r="O1282" s="20" t="str">
        <x:v>Needs review</x:v>
      </x:c>
      <x:c r="P1282" s="20" t="str">
        <x:v>Screening score for Russia / Propaganda ecosystems in Oman; verify with country-specific evidence before final use.</x:v>
      </x:c>
    </x:row>
    <x:row r="1283" ht="24" customHeight="1">
      <x:c r="A1283" s="20" t="str">
        <x:v>OMN|Russia|PMC presence</x:v>
      </x:c>
      <x:c r="B1283" s="20" t="str">
        <x:v>Oman</x:v>
      </x:c>
      <x:c r="C1283" s="20" t="str">
        <x:v>OMN</x:v>
      </x:c>
      <x:c r="D1283" s="20" t="str">
        <x:v>Russia</x:v>
      </x:c>
      <x:c r="E1283" s="20" t="str">
        <x:v>Russian influence</x:v>
      </x:c>
      <x:c r="F1283" s="20" t="str">
        <x:v>PMC presence</x:v>
      </x:c>
      <x:c r="G1283" s="384" t="n">
        <x:v>0</x:v>
      </x:c>
      <x:c r="H1283" s="396" t="n">
        <x:v>1</x:v>
      </x:c>
      <x:c r="I1283" s="20" t="str">
        <x:v>Treasury and Council of the EU Wagner/PMC source register</x:v>
      </x:c>
      <x:c r="J1283" s="397" t="str">
        <x:v>https://www.consilium.europa.eu/en/press/press-releases/2023/02/25/wagner-group-council-adds-11-individuals-and-7-entities-to-eu-sanctions-lists/</x:v>
      </x:c>
      <x:c r="K1283" s="20" t="str">
        <x:v>Primary source-register URL; automated screening score</x:v>
      </x:c>
      <x:c r="L1283" s="20" t="str">
        <x:v>2026-05-20</x:v>
      </x:c>
      <x:c r="M1283" s="20" t="str">
        <x:v>2026-05-20</x:v>
      </x:c>
      <x:c r="N1283" s="20" t="str">
        <x:v>GPT-5.5 Pro</x:v>
      </x:c>
      <x:c r="O1283" s="20" t="str">
        <x:v>Needs review</x:v>
      </x:c>
      <x:c r="P1283" s="20" t="str">
        <x:v>Screening score for Russia / PMC presence in Oman; verify with country-specific evidence before final use.</x:v>
      </x:c>
    </x:row>
    <x:row r="1284" ht="24" customHeight="1">
      <x:c r="A1284" s="20" t="str">
        <x:v>OMN|Russia|Election interference</x:v>
      </x:c>
      <x:c r="B1284" s="20" t="str">
        <x:v>Oman</x:v>
      </x:c>
      <x:c r="C1284" s="20" t="str">
        <x:v>OMN</x:v>
      </x:c>
      <x:c r="D1284" s="20" t="str">
        <x:v>Russia</x:v>
      </x:c>
      <x:c r="E1284" s="20" t="str">
        <x:v>Russian influence</x:v>
      </x:c>
      <x:c r="F1284" s="20" t="str">
        <x:v>Election interference</x:v>
      </x:c>
      <x:c r="G1284" s="384" t="n">
        <x:v>0</x:v>
      </x:c>
      <x:c r="H1284" s="396" t="n">
        <x:v>1</x:v>
      </x:c>
      <x:c r="I1284" s="20" t="str">
        <x:v>ODNI/EEAS election-FIMI source register</x:v>
      </x:c>
      <x:c r="J1284" s="397" t="str">
        <x:v>https://www.dni.gov/files/ODNI/documents/assessments/ATA-2026-Unclassified-Report.pdf</x:v>
      </x:c>
      <x:c r="K1284" s="20" t="str">
        <x:v>Primary source-register URL; automated screening score</x:v>
      </x:c>
      <x:c r="L1284" s="20" t="str">
        <x:v>2026-05-20</x:v>
      </x:c>
      <x:c r="M1284" s="20" t="str">
        <x:v>2026-05-20</x:v>
      </x:c>
      <x:c r="N1284" s="20" t="str">
        <x:v>GPT-5.5 Pro</x:v>
      </x:c>
      <x:c r="O1284" s="20" t="str">
        <x:v>Needs review</x:v>
      </x:c>
      <x:c r="P1284" s="20" t="str">
        <x:v>Screening score for Russia / Election interference in Oman; verify with country-specific evidence before final use.</x:v>
      </x:c>
    </x:row>
    <x:row r="1285" ht="24" customHeight="1">
      <x:c r="A1285" s="20" t="str">
        <x:v>OMN|Russia|Security contractors</x:v>
      </x:c>
      <x:c r="B1285" s="20" t="str">
        <x:v>Oman</x:v>
      </x:c>
      <x:c r="C1285" s="20" t="str">
        <x:v>OMN</x:v>
      </x:c>
      <x:c r="D1285" s="20" t="str">
        <x:v>Russia</x:v>
      </x:c>
      <x:c r="E1285" s="20" t="str">
        <x:v>Russian influence</x:v>
      </x:c>
      <x:c r="F1285" s="20" t="str">
        <x:v>Security contractors</x:v>
      </x:c>
      <x:c r="G1285" s="384" t="n">
        <x:v>0</x:v>
      </x:c>
      <x:c r="H1285" s="396" t="n">
        <x:v>1</x:v>
      </x:c>
      <x:c r="I1285" s="20" t="str">
        <x:v>Council of the EU/Treasury Wagner-security source register</x:v>
      </x:c>
      <x:c r="J1285" s="397" t="str">
        <x:v>https://www.consilium.europa.eu/en/press/press-releases/2023/02/25/wagner-group-council-adds-11-individuals-and-7-entities-to-eu-sanctions-lists/</x:v>
      </x:c>
      <x:c r="K1285" s="20" t="str">
        <x:v>Primary source-register URL; automated screening score</x:v>
      </x:c>
      <x:c r="L1285" s="20" t="str">
        <x:v>2026-05-20</x:v>
      </x:c>
      <x:c r="M1285" s="20" t="str">
        <x:v>2026-05-20</x:v>
      </x:c>
      <x:c r="N1285" s="20" t="str">
        <x:v>GPT-5.5 Pro</x:v>
      </x:c>
      <x:c r="O1285" s="20" t="str">
        <x:v>Needs review</x:v>
      </x:c>
      <x:c r="P1285" s="20" t="str">
        <x:v>Screening score for Russia / Security contractors in Oman; verify with country-specific evidence before final use.</x:v>
      </x:c>
    </x:row>
    <x:row r="1286" ht="24" customHeight="1">
      <x:c r="A1286" s="20" t="str">
        <x:v>OMN|China|Propaganda ecosystems</x:v>
      </x:c>
      <x:c r="B1286" s="20" t="str">
        <x:v>Oman</x:v>
      </x:c>
      <x:c r="C1286" s="20" t="str">
        <x:v>OMN</x:v>
      </x:c>
      <x:c r="D1286" s="20" t="str">
        <x:v>China</x:v>
      </x:c>
      <x:c r="E1286" s="20" t="str">
        <x:v>Chinese influence</x:v>
      </x:c>
      <x:c r="F1286" s="20" t="str">
        <x:v>Propaganda ecosystems</x:v>
      </x:c>
      <x:c r="G1286" s="384" t="n">
        <x:v>3</x:v>
      </x:c>
      <x:c r="H1286" s="396" t="n">
        <x:v>3</x:v>
      </x:c>
      <x:c r="I1286" s="20" t="str">
        <x:v>EEAS/ODNI China FIMI source register</x:v>
      </x:c>
      <x:c r="J1286" s="397" t="str">
        <x:v>https://www.eeas.europa.eu/eeas/4th-eeas-annual-report-foreign-information-manipulation-and-interference-threats_en</x:v>
      </x:c>
      <x:c r="K1286" s="20" t="str">
        <x:v>Primary source-register URL; automated screening score</x:v>
      </x:c>
      <x:c r="L1286" s="20" t="str">
        <x:v>2026-05-20</x:v>
      </x:c>
      <x:c r="M1286" s="20" t="str">
        <x:v>2026-05-20</x:v>
      </x:c>
      <x:c r="N1286" s="20" t="str">
        <x:v>GPT-5.5 Pro</x:v>
      </x:c>
      <x:c r="O1286" s="20" t="str">
        <x:v>Needs review</x:v>
      </x:c>
      <x:c r="P1286" s="20" t="str">
        <x:v>Screening score for China / Propaganda ecosystems in Oman; verify with country-specific evidence before final use.</x:v>
      </x:c>
    </x:row>
    <x:row r="1287" ht="24" customHeight="1">
      <x:c r="A1287" s="20" t="str">
        <x:v>OMN|China|PMC presence</x:v>
      </x:c>
      <x:c r="B1287" s="20" t="str">
        <x:v>Oman</x:v>
      </x:c>
      <x:c r="C1287" s="20" t="str">
        <x:v>OMN</x:v>
      </x:c>
      <x:c r="D1287" s="20" t="str">
        <x:v>China</x:v>
      </x:c>
      <x:c r="E1287" s="20" t="str">
        <x:v>Chinese influence</x:v>
      </x:c>
      <x:c r="F1287" s="20" t="str">
        <x:v>PMC presence</x:v>
      </x:c>
      <x:c r="G1287" s="384" t="n">
        <x:v>0</x:v>
      </x:c>
      <x:c r="H1287" s="396" t="n">
        <x:v>1</x:v>
      </x:c>
      <x:c r="I1287" s="20" t="str">
        <x:v>MERICS/Carnegie Chinese overseas PSC source register</x:v>
      </x:c>
      <x:c r="J1287" s="397" t="str">
        <x:v>https://merics.org/en/report/guardians-belt-and-road</x:v>
      </x:c>
      <x:c r="K1287" s="20" t="str">
        <x:v>Primary source-register URL; automated screening score</x:v>
      </x:c>
      <x:c r="L1287" s="20" t="str">
        <x:v>2026-05-20</x:v>
      </x:c>
      <x:c r="M1287" s="20" t="str">
        <x:v>2026-05-20</x:v>
      </x:c>
      <x:c r="N1287" s="20" t="str">
        <x:v>GPT-5.5 Pro</x:v>
      </x:c>
      <x:c r="O1287" s="20" t="str">
        <x:v>Needs review</x:v>
      </x:c>
      <x:c r="P1287" s="20" t="str">
        <x:v>Screening score for China / PMC presence in Oman; verify with country-specific evidence before final use.</x:v>
      </x:c>
    </x:row>
    <x:row r="1288" ht="24" customHeight="1">
      <x:c r="A1288" s="20" t="str">
        <x:v>OMN|China|Election interference</x:v>
      </x:c>
      <x:c r="B1288" s="20" t="str">
        <x:v>Oman</x:v>
      </x:c>
      <x:c r="C1288" s="20" t="str">
        <x:v>OMN</x:v>
      </x:c>
      <x:c r="D1288" s="20" t="str">
        <x:v>China</x:v>
      </x:c>
      <x:c r="E1288" s="20" t="str">
        <x:v>Chinese influence</x:v>
      </x:c>
      <x:c r="F1288" s="20" t="str">
        <x:v>Election interference</x:v>
      </x:c>
      <x:c r="G1288" s="384" t="n">
        <x:v>1</x:v>
      </x:c>
      <x:c r="H1288" s="396" t="n">
        <x:v>2</x:v>
      </x:c>
      <x:c r="I1288" s="20" t="str">
        <x:v>EEAS/ODNI China election-FIMI source register</x:v>
      </x:c>
      <x:c r="J1288" s="397" t="str">
        <x:v>https://www.eeas.europa.eu/eeas/4th-eeas-annual-report-foreign-information-manipulation-and-interference-threats_en</x:v>
      </x:c>
      <x:c r="K1288" s="20" t="str">
        <x:v>Primary source-register URL; automated screening score</x:v>
      </x:c>
      <x:c r="L1288" s="20" t="str">
        <x:v>2026-05-20</x:v>
      </x:c>
      <x:c r="M1288" s="20" t="str">
        <x:v>2026-05-20</x:v>
      </x:c>
      <x:c r="N1288" s="20" t="str">
        <x:v>GPT-5.5 Pro</x:v>
      </x:c>
      <x:c r="O1288" s="20" t="str">
        <x:v>Needs review</x:v>
      </x:c>
      <x:c r="P1288" s="20" t="str">
        <x:v>Screening score for China / Election interference in Oman; verify with country-specific evidence before final use.</x:v>
      </x:c>
    </x:row>
    <x:row r="1289" ht="24" customHeight="1">
      <x:c r="A1289" s="20" t="str">
        <x:v>OMN|China|Security contractors</x:v>
      </x:c>
      <x:c r="B1289" s="20" t="str">
        <x:v>Oman</x:v>
      </x:c>
      <x:c r="C1289" s="20" t="str">
        <x:v>OMN</x:v>
      </x:c>
      <x:c r="D1289" s="20" t="str">
        <x:v>China</x:v>
      </x:c>
      <x:c r="E1289" s="20" t="str">
        <x:v>Chinese influence</x:v>
      </x:c>
      <x:c r="F1289" s="20" t="str">
        <x:v>Security contractors</x:v>
      </x:c>
      <x:c r="G1289" s="384" t="n">
        <x:v>1</x:v>
      </x:c>
      <x:c r="H1289" s="396" t="n">
        <x:v>2</x:v>
      </x:c>
      <x:c r="I1289" s="20" t="str">
        <x:v>MERICS/Carnegie Chinese security contractor source register</x:v>
      </x:c>
      <x:c r="J1289" s="397" t="str">
        <x:v>https://merics.org/en/report/guardians-belt-and-road</x:v>
      </x:c>
      <x:c r="K1289" s="20" t="str">
        <x:v>Primary source-register URL; automated screening score</x:v>
      </x:c>
      <x:c r="L1289" s="20" t="str">
        <x:v>2026-05-20</x:v>
      </x:c>
      <x:c r="M1289" s="20" t="str">
        <x:v>2026-05-20</x:v>
      </x:c>
      <x:c r="N1289" s="20" t="str">
        <x:v>GPT-5.5 Pro</x:v>
      </x:c>
      <x:c r="O1289" s="20" t="str">
        <x:v>Needs review</x:v>
      </x:c>
      <x:c r="P1289" s="20" t="str">
        <x:v>Screening score for China / Security contractors in Oman; verify with country-specific evidence before final use.</x:v>
      </x:c>
    </x:row>
    <x:row r="1290" ht="24" customHeight="1">
      <x:c r="A1290" s="20" t="str">
        <x:v>OMN|United States|Propaganda ecosystems</x:v>
      </x:c>
      <x:c r="B1290" s="20" t="str">
        <x:v>Oman</x:v>
      </x:c>
      <x:c r="C1290" s="20" t="str">
        <x:v>OMN</x:v>
      </x:c>
      <x:c r="D1290" s="20" t="str">
        <x:v>United States</x:v>
      </x:c>
      <x:c r="E1290" s="20" t="str">
        <x:v>American influence</x:v>
      </x:c>
      <x:c r="F1290" s="20" t="str">
        <x:v>Propaganda ecosystems</x:v>
      </x:c>
      <x:c r="G1290" s="384" t="n">
        <x:v>5</x:v>
      </x:c>
      <x:c r="H1290" s="396" t="n">
        <x:v>3</x:v>
      </x:c>
      <x:c r="I1290" s="20" t="str">
        <x:v>USAGM public media source register</x:v>
      </x:c>
      <x:c r="J1290" s="397" t="str">
        <x:v>https://www.usagm.gov/our-work/strategy-and-results/strategic-priorities/research-reports/</x:v>
      </x:c>
      <x:c r="K1290" s="20" t="str">
        <x:v>Primary source-register URL; automated screening score</x:v>
      </x:c>
      <x:c r="L1290" s="20" t="str">
        <x:v>2026-05-20</x:v>
      </x:c>
      <x:c r="M1290" s="20" t="str">
        <x:v>2026-05-20</x:v>
      </x:c>
      <x:c r="N1290" s="20" t="str">
        <x:v>GPT-5.5 Pro</x:v>
      </x:c>
      <x:c r="O1290" s="20" t="str">
        <x:v>Needs review</x:v>
      </x:c>
      <x:c r="P1290" s="20" t="str">
        <x:v>Screening score for United States / Propaganda ecosystems in Oman; verify with country-specific evidence before final use.</x:v>
      </x:c>
    </x:row>
    <x:row r="1291" ht="24" customHeight="1">
      <x:c r="A1291" s="20" t="str">
        <x:v>OMN|United States|PMC presence</x:v>
      </x:c>
      <x:c r="B1291" s="20" t="str">
        <x:v>Oman</x:v>
      </x:c>
      <x:c r="C1291" s="20" t="str">
        <x:v>OMN</x:v>
      </x:c>
      <x:c r="D1291" s="20" t="str">
        <x:v>United States</x:v>
      </x:c>
      <x:c r="E1291" s="20" t="str">
        <x:v>American influence</x:v>
      </x:c>
      <x:c r="F1291" s="20" t="str">
        <x:v>PMC presence</x:v>
      </x:c>
      <x:c r="G1291" s="384" t="n">
        <x:v>1</x:v>
      </x:c>
      <x:c r="H1291" s="396" t="n">
        <x:v>2</x:v>
      </x:c>
      <x:c r="I1291" s="20" t="str">
        <x:v>SAM/Greenbook U.S. security assistance contractor source register</x:v>
      </x:c>
      <x:c r="J1291" s="397" t="str">
        <x:v>https://internationalpolicy.org/programs/sam/</x:v>
      </x:c>
      <x:c r="K1291" s="20" t="str">
        <x:v>Primary source-register URL; automated screening score</x:v>
      </x:c>
      <x:c r="L1291" s="20" t="str">
        <x:v>2026-05-20</x:v>
      </x:c>
      <x:c r="M1291" s="20" t="str">
        <x:v>2026-05-20</x:v>
      </x:c>
      <x:c r="N1291" s="20" t="str">
        <x:v>GPT-5.5 Pro</x:v>
      </x:c>
      <x:c r="O1291" s="20" t="str">
        <x:v>Needs review</x:v>
      </x:c>
      <x:c r="P1291" s="20" t="str">
        <x:v>Screening score for United States / PMC presence in Oman; verify with country-specific evidence before final use.</x:v>
      </x:c>
    </x:row>
    <x:row r="1292" ht="24" customHeight="1">
      <x:c r="A1292" s="20" t="str">
        <x:v>OMN|United States|Election interference</x:v>
      </x:c>
      <x:c r="B1292" s="20" t="str">
        <x:v>Oman</x:v>
      </x:c>
      <x:c r="C1292" s="20" t="str">
        <x:v>OMN</x:v>
      </x:c>
      <x:c r="D1292" s="20" t="str">
        <x:v>United States</x:v>
      </x:c>
      <x:c r="E1292" s="20" t="str">
        <x:v>American influence</x:v>
      </x:c>
      <x:c r="F1292" s="20" t="str">
        <x:v>Election interference</x:v>
      </x:c>
      <x:c r="G1292" s="384" t="n">
        <x:v>2</x:v>
      </x:c>
      <x:c r="H1292" s="396" t="n">
        <x:v>2</x:v>
      </x:c>
      <x:c r="I1292" s="20" t="str">
        <x:v>NED/Greenbook democracy assistance source register</x:v>
      </x:c>
      <x:c r="J1292" s="397" t="str">
        <x:v>https://www.ned.org/ned-grantmaking/</x:v>
      </x:c>
      <x:c r="K1292" s="20" t="str">
        <x:v>Primary source-register URL; automated screening score</x:v>
      </x:c>
      <x:c r="L1292" s="20" t="str">
        <x:v>2026-05-20</x:v>
      </x:c>
      <x:c r="M1292" s="20" t="str">
        <x:v>2026-05-20</x:v>
      </x:c>
      <x:c r="N1292" s="20" t="str">
        <x:v>GPT-5.5 Pro</x:v>
      </x:c>
      <x:c r="O1292" s="20" t="str">
        <x:v>Needs review</x:v>
      </x:c>
      <x:c r="P1292" s="20" t="str">
        <x:v>Screening score for United States / Election interference in Oman; verify with country-specific evidence before final use.</x:v>
      </x:c>
    </x:row>
    <x:row r="1293" ht="24" customHeight="1">
      <x:c r="A1293" s="20" t="str">
        <x:v>OMN|United States|Security contractors</x:v>
      </x:c>
      <x:c r="B1293" s="20" t="str">
        <x:v>Oman</x:v>
      </x:c>
      <x:c r="C1293" s="20" t="str">
        <x:v>OMN</x:v>
      </x:c>
      <x:c r="D1293" s="20" t="str">
        <x:v>United States</x:v>
      </x:c>
      <x:c r="E1293" s="20" t="str">
        <x:v>American influence</x:v>
      </x:c>
      <x:c r="F1293" s="20" t="str">
        <x:v>Security contractors</x:v>
      </x:c>
      <x:c r="G1293" s="384" t="n">
        <x:v>2</x:v>
      </x:c>
      <x:c r="H1293" s="396" t="n">
        <x:v>2</x:v>
      </x:c>
      <x:c r="I1293" s="20" t="str">
        <x:v>SAM/Greenbook U.S. security contractor source register</x:v>
      </x:c>
      <x:c r="J1293" s="397" t="str">
        <x:v>https://internationalpolicy.org/programs/sam/</x:v>
      </x:c>
      <x:c r="K1293" s="20" t="str">
        <x:v>Primary source-register URL; automated screening score</x:v>
      </x:c>
      <x:c r="L1293" s="20" t="str">
        <x:v>2026-05-20</x:v>
      </x:c>
      <x:c r="M1293" s="20" t="str">
        <x:v>2026-05-20</x:v>
      </x:c>
      <x:c r="N1293" s="20" t="str">
        <x:v>GPT-5.5 Pro</x:v>
      </x:c>
      <x:c r="O1293" s="20" t="str">
        <x:v>Needs review</x:v>
      </x:c>
      <x:c r="P1293" s="20" t="str">
        <x:v>Screening score for United States / Security contractors in Oman; verify with country-specific evidence before final use.</x:v>
      </x:c>
    </x:row>
    <x:row r="1294" ht="24" customHeight="1">
      <x:c r="A1294" s="20" t="str">
        <x:v>OMN|European Union|Propaganda ecosystems</x:v>
      </x:c>
      <x:c r="B1294" s="20" t="str">
        <x:v>Oman</x:v>
      </x:c>
      <x:c r="C1294" s="20" t="str">
        <x:v>OMN</x:v>
      </x:c>
      <x:c r="D1294" s="20" t="str">
        <x:v>European Union</x:v>
      </x:c>
      <x:c r="E1294" s="20" t="str">
        <x:v>EU influence</x:v>
      </x:c>
      <x:c r="F1294" s="20" t="str">
        <x:v>Propaganda ecosystems</x:v>
      </x:c>
      <x:c r="G1294" s="384" t="n">
        <x:v>2</x:v>
      </x:c>
      <x:c r="H1294" s="396" t="n">
        <x:v>2</x:v>
      </x:c>
      <x:c r="I1294" s="20" t="str">
        <x:v>EEAS public diplomacy source register</x:v>
      </x:c>
      <x:c r="J1294" s="397" t="str">
        <x:v>https://www.eeas.europa.eu/eeas/public-diplomacy_en</x:v>
      </x:c>
      <x:c r="K1294" s="20" t="str">
        <x:v>Primary source-register URL; automated screening score</x:v>
      </x:c>
      <x:c r="L1294" s="20" t="str">
        <x:v>2026-05-20</x:v>
      </x:c>
      <x:c r="M1294" s="20" t="str">
        <x:v>2026-05-20</x:v>
      </x:c>
      <x:c r="N1294" s="20" t="str">
        <x:v>GPT-5.5 Pro</x:v>
      </x:c>
      <x:c r="O1294" s="20" t="str">
        <x:v>Needs review</x:v>
      </x:c>
      <x:c r="P1294" s="20" t="str">
        <x:v>Screening score for European Union / Propaganda ecosystems in Oman; verify with country-specific evidence before final use.</x:v>
      </x:c>
    </x:row>
    <x:row r="1295" ht="24" customHeight="1">
      <x:c r="A1295" s="20" t="str">
        <x:v>OMN|European Union|PMC presence</x:v>
      </x:c>
      <x:c r="B1295" s="20" t="str">
        <x:v>Oman</x:v>
      </x:c>
      <x:c r="C1295" s="20" t="str">
        <x:v>OMN</x:v>
      </x:c>
      <x:c r="D1295" s="20" t="str">
        <x:v>European Union</x:v>
      </x:c>
      <x:c r="E1295" s="20" t="str">
        <x:v>EU influence</x:v>
      </x:c>
      <x:c r="F1295" s="20" t="str">
        <x:v>PMC presence</x:v>
      </x:c>
      <x:c r="G1295" s="384" t="n">
        <x:v>0</x:v>
      </x:c>
      <x:c r="H1295" s="396" t="n">
        <x:v>1</x:v>
      </x:c>
      <x:c r="I1295" s="20" t="str">
        <x:v>EEAS CSDP missions source register</x:v>
      </x:c>
      <x:c r="J1295" s="397" t="str">
        <x:v>https://www.eeas.europa.eu/eeas/missions-and-operations_en</x:v>
      </x:c>
      <x:c r="K1295" s="20" t="str">
        <x:v>Primary source-register URL; automated screening score</x:v>
      </x:c>
      <x:c r="L1295" s="20" t="str">
        <x:v>2026-05-20</x:v>
      </x:c>
      <x:c r="M1295" s="20" t="str">
        <x:v>2026-05-20</x:v>
      </x:c>
      <x:c r="N1295" s="20" t="str">
        <x:v>GPT-5.5 Pro</x:v>
      </x:c>
      <x:c r="O1295" s="20" t="str">
        <x:v>Needs review</x:v>
      </x:c>
      <x:c r="P1295" s="20" t="str">
        <x:v>Screening score for European Union / PMC presence in Oman; verify with country-specific evidence before final use.</x:v>
      </x:c>
    </x:row>
    <x:row r="1296" ht="24" customHeight="1">
      <x:c r="A1296" s="20" t="str">
        <x:v>OMN|European Union|Election interference</x:v>
      </x:c>
      <x:c r="B1296" s="20" t="str">
        <x:v>Oman</x:v>
      </x:c>
      <x:c r="C1296" s="20" t="str">
        <x:v>OMN</x:v>
      </x:c>
      <x:c r="D1296" s="20" t="str">
        <x:v>European Union</x:v>
      </x:c>
      <x:c r="E1296" s="20" t="str">
        <x:v>EU influence</x:v>
      </x:c>
      <x:c r="F1296" s="20" t="str">
        <x:v>Election interference</x:v>
      </x:c>
      <x:c r="G1296" s="384" t="n">
        <x:v>1</x:v>
      </x:c>
      <x:c r="H1296" s="396" t="n">
        <x:v>2</x:v>
      </x:c>
      <x:c r="I1296" s="20" t="str">
        <x:v>EEAS EU election observation source register</x:v>
      </x:c>
      <x:c r="J1296" s="397" t="str">
        <x:v>https://www.eeas.europa.eu/eeas/eu-election-observation-missions-1_en?page_lang=en</x:v>
      </x:c>
      <x:c r="K1296" s="20" t="str">
        <x:v>Primary source-register URL; automated screening score</x:v>
      </x:c>
      <x:c r="L1296" s="20" t="str">
        <x:v>2026-05-20</x:v>
      </x:c>
      <x:c r="M1296" s="20" t="str">
        <x:v>2026-05-20</x:v>
      </x:c>
      <x:c r="N1296" s="20" t="str">
        <x:v>GPT-5.5 Pro</x:v>
      </x:c>
      <x:c r="O1296" s="20" t="str">
        <x:v>Needs review</x:v>
      </x:c>
      <x:c r="P1296" s="20" t="str">
        <x:v>Screening score for European Union / Election interference in Oman; verify with country-specific evidence before final use.</x:v>
      </x:c>
    </x:row>
    <x:row r="1297" ht="24" customHeight="1">
      <x:c r="A1297" s="20" t="str">
        <x:v>OMN|European Union|Security contractors</x:v>
      </x:c>
      <x:c r="B1297" s="20" t="str">
        <x:v>Oman</x:v>
      </x:c>
      <x:c r="C1297" s="20" t="str">
        <x:v>OMN</x:v>
      </x:c>
      <x:c r="D1297" s="20" t="str">
        <x:v>European Union</x:v>
      </x:c>
      <x:c r="E1297" s="20" t="str">
        <x:v>EU influence</x:v>
      </x:c>
      <x:c r="F1297" s="20" t="str">
        <x:v>Security contractors</x:v>
      </x:c>
      <x:c r="G1297" s="384" t="n">
        <x:v>2</x:v>
      </x:c>
      <x:c r="H1297" s="396" t="n">
        <x:v>2</x:v>
      </x:c>
      <x:c r="I1297" s="20" t="str">
        <x:v>EEAS CSDP / Global Gateway security source register</x:v>
      </x:c>
      <x:c r="J1297" s="397" t="str">
        <x:v>https://www.eeas.europa.eu/eeas/missions-and-operations_en</x:v>
      </x:c>
      <x:c r="K1297" s="20" t="str">
        <x:v>Primary source-register URL; automated screening score</x:v>
      </x:c>
      <x:c r="L1297" s="20" t="str">
        <x:v>2026-05-20</x:v>
      </x:c>
      <x:c r="M1297" s="20" t="str">
        <x:v>2026-05-20</x:v>
      </x:c>
      <x:c r="N1297" s="20" t="str">
        <x:v>GPT-5.5 Pro</x:v>
      </x:c>
      <x:c r="O1297" s="20" t="str">
        <x:v>Needs review</x:v>
      </x:c>
      <x:c r="P1297" s="20" t="str">
        <x:v>Screening score for European Union / Security contractors in Oman; verify with country-specific evidence before final use.</x:v>
      </x:c>
    </x:row>
    <x:row r="1298" ht="24" customHeight="1">
      <x:c r="A1298" s="20" t="str">
        <x:v>PLW|Russia|Propaganda ecosystems</x:v>
      </x:c>
      <x:c r="B1298" s="20" t="str">
        <x:v>Palau</x:v>
      </x:c>
      <x:c r="C1298" s="20" t="str">
        <x:v>PLW</x:v>
      </x:c>
      <x:c r="D1298" s="20" t="str">
        <x:v>Russia</x:v>
      </x:c>
      <x:c r="E1298" s="20" t="str">
        <x:v>Russian influence</x:v>
      </x:c>
      <x:c r="F1298" s="20" t="str">
        <x:v>Propaganda ecosystems</x:v>
      </x:c>
      <x:c r="G1298" s="384" t="n">
        <x:v>2</x:v>
      </x:c>
      <x:c r="H1298" s="396" t="n">
        <x:v>2</x:v>
      </x:c>
      <x:c r="I1298" s="20" t="str">
        <x:v>EEAS/EUvsDisinfo FIMI source register</x:v>
      </x:c>
      <x:c r="J1298" s="397" t="str">
        <x:v>https://www.eeas.europa.eu/eeas/4th-eeas-annual-report-foreign-information-manipulation-and-interference-threats_en</x:v>
      </x:c>
      <x:c r="K1298" s="20" t="str">
        <x:v>Primary source-register URL; automated screening score</x:v>
      </x:c>
      <x:c r="L1298" s="20" t="str">
        <x:v>2026-05-20</x:v>
      </x:c>
      <x:c r="M1298" s="20" t="str">
        <x:v>2026-05-20</x:v>
      </x:c>
      <x:c r="N1298" s="20" t="str">
        <x:v>GPT-5.5 Pro</x:v>
      </x:c>
      <x:c r="O1298" s="20" t="str">
        <x:v>Needs review</x:v>
      </x:c>
      <x:c r="P1298" s="20" t="str">
        <x:v>Screening score for Russia / Propaganda ecosystems in Palau; verify with country-specific evidence before final use.</x:v>
      </x:c>
    </x:row>
    <x:row r="1299" ht="24" customHeight="1">
      <x:c r="A1299" s="20" t="str">
        <x:v>PLW|Russia|PMC presence</x:v>
      </x:c>
      <x:c r="B1299" s="20" t="str">
        <x:v>Palau</x:v>
      </x:c>
      <x:c r="C1299" s="20" t="str">
        <x:v>PLW</x:v>
      </x:c>
      <x:c r="D1299" s="20" t="str">
        <x:v>Russia</x:v>
      </x:c>
      <x:c r="E1299" s="20" t="str">
        <x:v>Russian influence</x:v>
      </x:c>
      <x:c r="F1299" s="20" t="str">
        <x:v>PMC presence</x:v>
      </x:c>
      <x:c r="G1299" s="384" t="n">
        <x:v>0</x:v>
      </x:c>
      <x:c r="H1299" s="396" t="n">
        <x:v>1</x:v>
      </x:c>
      <x:c r="I1299" s="20" t="str">
        <x:v>Treasury and Council of the EU Wagner/PMC source register</x:v>
      </x:c>
      <x:c r="J1299" s="397" t="str">
        <x:v>https://www.consilium.europa.eu/en/press/press-releases/2023/02/25/wagner-group-council-adds-11-individuals-and-7-entities-to-eu-sanctions-lists/</x:v>
      </x:c>
      <x:c r="K1299" s="20" t="str">
        <x:v>Primary source-register URL; automated screening score</x:v>
      </x:c>
      <x:c r="L1299" s="20" t="str">
        <x:v>2026-05-20</x:v>
      </x:c>
      <x:c r="M1299" s="20" t="str">
        <x:v>2026-05-20</x:v>
      </x:c>
      <x:c r="N1299" s="20" t="str">
        <x:v>GPT-5.5 Pro</x:v>
      </x:c>
      <x:c r="O1299" s="20" t="str">
        <x:v>Needs review</x:v>
      </x:c>
      <x:c r="P1299" s="20" t="str">
        <x:v>Screening score for Russia / PMC presence in Palau; verify with country-specific evidence before final use.</x:v>
      </x:c>
    </x:row>
    <x:row r="1300" ht="24" customHeight="1">
      <x:c r="A1300" s="20" t="str">
        <x:v>PLW|Russia|Election interference</x:v>
      </x:c>
      <x:c r="B1300" s="20" t="str">
        <x:v>Palau</x:v>
      </x:c>
      <x:c r="C1300" s="20" t="str">
        <x:v>PLW</x:v>
      </x:c>
      <x:c r="D1300" s="20" t="str">
        <x:v>Russia</x:v>
      </x:c>
      <x:c r="E1300" s="20" t="str">
        <x:v>Russian influence</x:v>
      </x:c>
      <x:c r="F1300" s="20" t="str">
        <x:v>Election interference</x:v>
      </x:c>
      <x:c r="G1300" s="384" t="n">
        <x:v>0</x:v>
      </x:c>
      <x:c r="H1300" s="396" t="n">
        <x:v>1</x:v>
      </x:c>
      <x:c r="I1300" s="20" t="str">
        <x:v>ODNI/EEAS election-FIMI source register</x:v>
      </x:c>
      <x:c r="J1300" s="397" t="str">
        <x:v>https://www.dni.gov/files/ODNI/documents/assessments/ATA-2026-Unclassified-Report.pdf</x:v>
      </x:c>
      <x:c r="K1300" s="20" t="str">
        <x:v>Primary source-register URL; automated screening score</x:v>
      </x:c>
      <x:c r="L1300" s="20" t="str">
        <x:v>2026-05-20</x:v>
      </x:c>
      <x:c r="M1300" s="20" t="str">
        <x:v>2026-05-20</x:v>
      </x:c>
      <x:c r="N1300" s="20" t="str">
        <x:v>GPT-5.5 Pro</x:v>
      </x:c>
      <x:c r="O1300" s="20" t="str">
        <x:v>Needs review</x:v>
      </x:c>
      <x:c r="P1300" s="20" t="str">
        <x:v>Screening score for Russia / Election interference in Palau; verify with country-specific evidence before final use.</x:v>
      </x:c>
    </x:row>
    <x:row r="1301" ht="24" customHeight="1">
      <x:c r="A1301" s="20" t="str">
        <x:v>PLW|Russia|Security contractors</x:v>
      </x:c>
      <x:c r="B1301" s="20" t="str">
        <x:v>Palau</x:v>
      </x:c>
      <x:c r="C1301" s="20" t="str">
        <x:v>PLW</x:v>
      </x:c>
      <x:c r="D1301" s="20" t="str">
        <x:v>Russia</x:v>
      </x:c>
      <x:c r="E1301" s="20" t="str">
        <x:v>Russian influence</x:v>
      </x:c>
      <x:c r="F1301" s="20" t="str">
        <x:v>Security contractors</x:v>
      </x:c>
      <x:c r="G1301" s="384" t="n">
        <x:v>0</x:v>
      </x:c>
      <x:c r="H1301" s="396" t="n">
        <x:v>1</x:v>
      </x:c>
      <x:c r="I1301" s="20" t="str">
        <x:v>Council of the EU/Treasury Wagner-security source register</x:v>
      </x:c>
      <x:c r="J1301" s="397" t="str">
        <x:v>https://www.consilium.europa.eu/en/press/press-releases/2023/02/25/wagner-group-council-adds-11-individuals-and-7-entities-to-eu-sanctions-lists/</x:v>
      </x:c>
      <x:c r="K1301" s="20" t="str">
        <x:v>Primary source-register URL; automated screening score</x:v>
      </x:c>
      <x:c r="L1301" s="20" t="str">
        <x:v>2026-05-20</x:v>
      </x:c>
      <x:c r="M1301" s="20" t="str">
        <x:v>2026-05-20</x:v>
      </x:c>
      <x:c r="N1301" s="20" t="str">
        <x:v>GPT-5.5 Pro</x:v>
      </x:c>
      <x:c r="O1301" s="20" t="str">
        <x:v>Needs review</x:v>
      </x:c>
      <x:c r="P1301" s="20" t="str">
        <x:v>Screening score for Russia / Security contractors in Palau; verify with country-specific evidence before final use.</x:v>
      </x:c>
    </x:row>
    <x:row r="1302" ht="24" customHeight="1">
      <x:c r="A1302" s="20" t="str">
        <x:v>PLW|China|Propaganda ecosystems</x:v>
      </x:c>
      <x:c r="B1302" s="20" t="str">
        <x:v>Palau</x:v>
      </x:c>
      <x:c r="C1302" s="20" t="str">
        <x:v>PLW</x:v>
      </x:c>
      <x:c r="D1302" s="20" t="str">
        <x:v>China</x:v>
      </x:c>
      <x:c r="E1302" s="20" t="str">
        <x:v>Chinese influence</x:v>
      </x:c>
      <x:c r="F1302" s="20" t="str">
        <x:v>Propaganda ecosystems</x:v>
      </x:c>
      <x:c r="G1302" s="384" t="n">
        <x:v>7</x:v>
      </x:c>
      <x:c r="H1302" s="396" t="n">
        <x:v>4</x:v>
      </x:c>
      <x:c r="I1302" s="20" t="str">
        <x:v>EEAS/ODNI China FIMI source register</x:v>
      </x:c>
      <x:c r="J1302" s="397" t="str">
        <x:v>https://www.eeas.europa.eu/eeas/4th-eeas-annual-report-foreign-information-manipulation-and-interference-threats_en</x:v>
      </x:c>
      <x:c r="K1302" s="20" t="str">
        <x:v>Primary source-register URL; automated screening score</x:v>
      </x:c>
      <x:c r="L1302" s="20" t="str">
        <x:v>2026-05-20</x:v>
      </x:c>
      <x:c r="M1302" s="20" t="str">
        <x:v>2026-05-20</x:v>
      </x:c>
      <x:c r="N1302" s="20" t="str">
        <x:v>GPT-5.5 Pro</x:v>
      </x:c>
      <x:c r="O1302" s="20" t="str">
        <x:v>Needs review</x:v>
      </x:c>
      <x:c r="P1302" s="20" t="str">
        <x:v>Screening score for China / Propaganda ecosystems in Palau; verify with country-specific evidence before final use.</x:v>
      </x:c>
    </x:row>
    <x:row r="1303" ht="24" customHeight="1">
      <x:c r="A1303" s="20" t="str">
        <x:v>PLW|China|PMC presence</x:v>
      </x:c>
      <x:c r="B1303" s="20" t="str">
        <x:v>Palau</x:v>
      </x:c>
      <x:c r="C1303" s="20" t="str">
        <x:v>PLW</x:v>
      </x:c>
      <x:c r="D1303" s="20" t="str">
        <x:v>China</x:v>
      </x:c>
      <x:c r="E1303" s="20" t="str">
        <x:v>Chinese influence</x:v>
      </x:c>
      <x:c r="F1303" s="20" t="str">
        <x:v>PMC presence</x:v>
      </x:c>
      <x:c r="G1303" s="384" t="n">
        <x:v>1</x:v>
      </x:c>
      <x:c r="H1303" s="396" t="n">
        <x:v>2</x:v>
      </x:c>
      <x:c r="I1303" s="20" t="str">
        <x:v>MERICS/Carnegie Chinese overseas PSC source register</x:v>
      </x:c>
      <x:c r="J1303" s="397" t="str">
        <x:v>https://merics.org/en/report/guardians-belt-and-road</x:v>
      </x:c>
      <x:c r="K1303" s="20" t="str">
        <x:v>Primary source-register URL; automated screening score</x:v>
      </x:c>
      <x:c r="L1303" s="20" t="str">
        <x:v>2026-05-20</x:v>
      </x:c>
      <x:c r="M1303" s="20" t="str">
        <x:v>2026-05-20</x:v>
      </x:c>
      <x:c r="N1303" s="20" t="str">
        <x:v>GPT-5.5 Pro</x:v>
      </x:c>
      <x:c r="O1303" s="20" t="str">
        <x:v>Needs review</x:v>
      </x:c>
      <x:c r="P1303" s="20" t="str">
        <x:v>Screening score for China / PMC presence in Palau; verify with country-specific evidence before final use.</x:v>
      </x:c>
    </x:row>
    <x:row r="1304" ht="24" customHeight="1">
      <x:c r="A1304" s="20" t="str">
        <x:v>PLW|China|Election interference</x:v>
      </x:c>
      <x:c r="B1304" s="20" t="str">
        <x:v>Palau</x:v>
      </x:c>
      <x:c r="C1304" s="20" t="str">
        <x:v>PLW</x:v>
      </x:c>
      <x:c r="D1304" s="20" t="str">
        <x:v>China</x:v>
      </x:c>
      <x:c r="E1304" s="20" t="str">
        <x:v>Chinese influence</x:v>
      </x:c>
      <x:c r="F1304" s="20" t="str">
        <x:v>Election interference</x:v>
      </x:c>
      <x:c r="G1304" s="384" t="n">
        <x:v>3</x:v>
      </x:c>
      <x:c r="H1304" s="396" t="n">
        <x:v>3</x:v>
      </x:c>
      <x:c r="I1304" s="20" t="str">
        <x:v>EEAS/ODNI China election-FIMI source register</x:v>
      </x:c>
      <x:c r="J1304" s="397" t="str">
        <x:v>https://www.eeas.europa.eu/eeas/4th-eeas-annual-report-foreign-information-manipulation-and-interference-threats_en</x:v>
      </x:c>
      <x:c r="K1304" s="20" t="str">
        <x:v>Primary source-register URL; automated screening score</x:v>
      </x:c>
      <x:c r="L1304" s="20" t="str">
        <x:v>2026-05-20</x:v>
      </x:c>
      <x:c r="M1304" s="20" t="str">
        <x:v>2026-05-20</x:v>
      </x:c>
      <x:c r="N1304" s="20" t="str">
        <x:v>GPT-5.5 Pro</x:v>
      </x:c>
      <x:c r="O1304" s="20" t="str">
        <x:v>Needs review</x:v>
      </x:c>
      <x:c r="P1304" s="20" t="str">
        <x:v>Screening score for China / Election interference in Palau; verify with country-specific evidence before final use.</x:v>
      </x:c>
    </x:row>
    <x:row r="1305" ht="24" customHeight="1">
      <x:c r="A1305" s="20" t="str">
        <x:v>PLW|China|Security contractors</x:v>
      </x:c>
      <x:c r="B1305" s="20" t="str">
        <x:v>Palau</x:v>
      </x:c>
      <x:c r="C1305" s="20" t="str">
        <x:v>PLW</x:v>
      </x:c>
      <x:c r="D1305" s="20" t="str">
        <x:v>China</x:v>
      </x:c>
      <x:c r="E1305" s="20" t="str">
        <x:v>Chinese influence</x:v>
      </x:c>
      <x:c r="F1305" s="20" t="str">
        <x:v>Security contractors</x:v>
      </x:c>
      <x:c r="G1305" s="384" t="n">
        <x:v>2</x:v>
      </x:c>
      <x:c r="H1305" s="396" t="n">
        <x:v>2</x:v>
      </x:c>
      <x:c r="I1305" s="20" t="str">
        <x:v>MERICS/Carnegie Chinese security contractor source register</x:v>
      </x:c>
      <x:c r="J1305" s="397" t="str">
        <x:v>https://merics.org/en/report/guardians-belt-and-road</x:v>
      </x:c>
      <x:c r="K1305" s="20" t="str">
        <x:v>Primary source-register URL; automated screening score</x:v>
      </x:c>
      <x:c r="L1305" s="20" t="str">
        <x:v>2026-05-20</x:v>
      </x:c>
      <x:c r="M1305" s="20" t="str">
        <x:v>2026-05-20</x:v>
      </x:c>
      <x:c r="N1305" s="20" t="str">
        <x:v>GPT-5.5 Pro</x:v>
      </x:c>
      <x:c r="O1305" s="20" t="str">
        <x:v>Needs review</x:v>
      </x:c>
      <x:c r="P1305" s="20" t="str">
        <x:v>Screening score for China / Security contractors in Palau; verify with country-specific evidence before final use.</x:v>
      </x:c>
    </x:row>
    <x:row r="1306" ht="24" customHeight="1">
      <x:c r="A1306" s="20" t="str">
        <x:v>PLW|United States|Propaganda ecosystems</x:v>
      </x:c>
      <x:c r="B1306" s="20" t="str">
        <x:v>Palau</x:v>
      </x:c>
      <x:c r="C1306" s="20" t="str">
        <x:v>PLW</x:v>
      </x:c>
      <x:c r="D1306" s="20" t="str">
        <x:v>United States</x:v>
      </x:c>
      <x:c r="E1306" s="20" t="str">
        <x:v>American influence</x:v>
      </x:c>
      <x:c r="F1306" s="20" t="str">
        <x:v>Propaganda ecosystems</x:v>
      </x:c>
      <x:c r="G1306" s="384" t="n">
        <x:v>3</x:v>
      </x:c>
      <x:c r="H1306" s="396" t="n">
        <x:v>3</x:v>
      </x:c>
      <x:c r="I1306" s="20" t="str">
        <x:v>USAGM public media source register</x:v>
      </x:c>
      <x:c r="J1306" s="397" t="str">
        <x:v>https://www.usagm.gov/our-work/strategy-and-results/strategic-priorities/research-reports/</x:v>
      </x:c>
      <x:c r="K1306" s="20" t="str">
        <x:v>Primary source-register URL; automated screening score</x:v>
      </x:c>
      <x:c r="L1306" s="20" t="str">
        <x:v>2026-05-20</x:v>
      </x:c>
      <x:c r="M1306" s="20" t="str">
        <x:v>2026-05-20</x:v>
      </x:c>
      <x:c r="N1306" s="20" t="str">
        <x:v>GPT-5.5 Pro</x:v>
      </x:c>
      <x:c r="O1306" s="20" t="str">
        <x:v>Needs review</x:v>
      </x:c>
      <x:c r="P1306" s="20" t="str">
        <x:v>Screening score for United States / Propaganda ecosystems in Palau; verify with country-specific evidence before final use.</x:v>
      </x:c>
    </x:row>
    <x:row r="1307" ht="24" customHeight="1">
      <x:c r="A1307" s="20" t="str">
        <x:v>PLW|United States|PMC presence</x:v>
      </x:c>
      <x:c r="B1307" s="20" t="str">
        <x:v>Palau</x:v>
      </x:c>
      <x:c r="C1307" s="20" t="str">
        <x:v>PLW</x:v>
      </x:c>
      <x:c r="D1307" s="20" t="str">
        <x:v>United States</x:v>
      </x:c>
      <x:c r="E1307" s="20" t="str">
        <x:v>American influence</x:v>
      </x:c>
      <x:c r="F1307" s="20" t="str">
        <x:v>PMC presence</x:v>
      </x:c>
      <x:c r="G1307" s="384" t="n">
        <x:v>1</x:v>
      </x:c>
      <x:c r="H1307" s="396" t="n">
        <x:v>2</x:v>
      </x:c>
      <x:c r="I1307" s="20" t="str">
        <x:v>SAM/Greenbook U.S. security assistance contractor source register</x:v>
      </x:c>
      <x:c r="J1307" s="397" t="str">
        <x:v>https://internationalpolicy.org/programs/sam/</x:v>
      </x:c>
      <x:c r="K1307" s="20" t="str">
        <x:v>Primary source-register URL; automated screening score</x:v>
      </x:c>
      <x:c r="L1307" s="20" t="str">
        <x:v>2026-05-20</x:v>
      </x:c>
      <x:c r="M1307" s="20" t="str">
        <x:v>2026-05-20</x:v>
      </x:c>
      <x:c r="N1307" s="20" t="str">
        <x:v>GPT-5.5 Pro</x:v>
      </x:c>
      <x:c r="O1307" s="20" t="str">
        <x:v>Needs review</x:v>
      </x:c>
      <x:c r="P1307" s="20" t="str">
        <x:v>Screening score for United States / PMC presence in Palau; verify with country-specific evidence before final use.</x:v>
      </x:c>
    </x:row>
    <x:row r="1308" ht="24" customHeight="1">
      <x:c r="A1308" s="20" t="str">
        <x:v>PLW|United States|Election interference</x:v>
      </x:c>
      <x:c r="B1308" s="20" t="str">
        <x:v>Palau</x:v>
      </x:c>
      <x:c r="C1308" s="20" t="str">
        <x:v>PLW</x:v>
      </x:c>
      <x:c r="D1308" s="20" t="str">
        <x:v>United States</x:v>
      </x:c>
      <x:c r="E1308" s="20" t="str">
        <x:v>American influence</x:v>
      </x:c>
      <x:c r="F1308" s="20" t="str">
        <x:v>Election interference</x:v>
      </x:c>
      <x:c r="G1308" s="384" t="n">
        <x:v>1</x:v>
      </x:c>
      <x:c r="H1308" s="396" t="n">
        <x:v>2</x:v>
      </x:c>
      <x:c r="I1308" s="20" t="str">
        <x:v>NED/Greenbook democracy assistance source register</x:v>
      </x:c>
      <x:c r="J1308" s="397" t="str">
        <x:v>https://www.ned.org/ned-grantmaking/</x:v>
      </x:c>
      <x:c r="K1308" s="20" t="str">
        <x:v>Primary source-register URL; automated screening score</x:v>
      </x:c>
      <x:c r="L1308" s="20" t="str">
        <x:v>2026-05-20</x:v>
      </x:c>
      <x:c r="M1308" s="20" t="str">
        <x:v>2026-05-20</x:v>
      </x:c>
      <x:c r="N1308" s="20" t="str">
        <x:v>GPT-5.5 Pro</x:v>
      </x:c>
      <x:c r="O1308" s="20" t="str">
        <x:v>Needs review</x:v>
      </x:c>
      <x:c r="P1308" s="20" t="str">
        <x:v>Screening score for United States / Election interference in Palau; verify with country-specific evidence before final use.</x:v>
      </x:c>
    </x:row>
    <x:row r="1309" ht="24" customHeight="1">
      <x:c r="A1309" s="20" t="str">
        <x:v>PLW|United States|Security contractors</x:v>
      </x:c>
      <x:c r="B1309" s="20" t="str">
        <x:v>Palau</x:v>
      </x:c>
      <x:c r="C1309" s="20" t="str">
        <x:v>PLW</x:v>
      </x:c>
      <x:c r="D1309" s="20" t="str">
        <x:v>United States</x:v>
      </x:c>
      <x:c r="E1309" s="20" t="str">
        <x:v>American influence</x:v>
      </x:c>
      <x:c r="F1309" s="20" t="str">
        <x:v>Security contractors</x:v>
      </x:c>
      <x:c r="G1309" s="384" t="n">
        <x:v>2</x:v>
      </x:c>
      <x:c r="H1309" s="396" t="n">
        <x:v>2</x:v>
      </x:c>
      <x:c r="I1309" s="20" t="str">
        <x:v>SAM/Greenbook U.S. security contractor source register</x:v>
      </x:c>
      <x:c r="J1309" s="397" t="str">
        <x:v>https://internationalpolicy.org/programs/sam/</x:v>
      </x:c>
      <x:c r="K1309" s="20" t="str">
        <x:v>Primary source-register URL; automated screening score</x:v>
      </x:c>
      <x:c r="L1309" s="20" t="str">
        <x:v>2026-05-20</x:v>
      </x:c>
      <x:c r="M1309" s="20" t="str">
        <x:v>2026-05-20</x:v>
      </x:c>
      <x:c r="N1309" s="20" t="str">
        <x:v>GPT-5.5 Pro</x:v>
      </x:c>
      <x:c r="O1309" s="20" t="str">
        <x:v>Needs review</x:v>
      </x:c>
      <x:c r="P1309" s="20" t="str">
        <x:v>Screening score for United States / Security contractors in Palau; verify with country-specific evidence before final use.</x:v>
      </x:c>
    </x:row>
    <x:row r="1310" ht="24" customHeight="1">
      <x:c r="A1310" s="20" t="str">
        <x:v>PLW|European Union|Propaganda ecosystems</x:v>
      </x:c>
      <x:c r="B1310" s="20" t="str">
        <x:v>Palau</x:v>
      </x:c>
      <x:c r="C1310" s="20" t="str">
        <x:v>PLW</x:v>
      </x:c>
      <x:c r="D1310" s="20" t="str">
        <x:v>European Union</x:v>
      </x:c>
      <x:c r="E1310" s="20" t="str">
        <x:v>EU influence</x:v>
      </x:c>
      <x:c r="F1310" s="20" t="str">
        <x:v>Propaganda ecosystems</x:v>
      </x:c>
      <x:c r="G1310" s="384" t="n">
        <x:v>2</x:v>
      </x:c>
      <x:c r="H1310" s="396" t="n">
        <x:v>2</x:v>
      </x:c>
      <x:c r="I1310" s="20" t="str">
        <x:v>EEAS public diplomacy source register</x:v>
      </x:c>
      <x:c r="J1310" s="397" t="str">
        <x:v>https://www.eeas.europa.eu/eeas/public-diplomacy_en</x:v>
      </x:c>
      <x:c r="K1310" s="20" t="str">
        <x:v>Primary source-register URL; automated screening score</x:v>
      </x:c>
      <x:c r="L1310" s="20" t="str">
        <x:v>2026-05-20</x:v>
      </x:c>
      <x:c r="M1310" s="20" t="str">
        <x:v>2026-05-20</x:v>
      </x:c>
      <x:c r="N1310" s="20" t="str">
        <x:v>GPT-5.5 Pro</x:v>
      </x:c>
      <x:c r="O1310" s="20" t="str">
        <x:v>Needs review</x:v>
      </x:c>
      <x:c r="P1310" s="20" t="str">
        <x:v>Screening score for European Union / Propaganda ecosystems in Palau; verify with country-specific evidence before final use.</x:v>
      </x:c>
    </x:row>
    <x:row r="1311" ht="24" customHeight="1">
      <x:c r="A1311" s="20" t="str">
        <x:v>PLW|European Union|PMC presence</x:v>
      </x:c>
      <x:c r="B1311" s="20" t="str">
        <x:v>Palau</x:v>
      </x:c>
      <x:c r="C1311" s="20" t="str">
        <x:v>PLW</x:v>
      </x:c>
      <x:c r="D1311" s="20" t="str">
        <x:v>European Union</x:v>
      </x:c>
      <x:c r="E1311" s="20" t="str">
        <x:v>EU influence</x:v>
      </x:c>
      <x:c r="F1311" s="20" t="str">
        <x:v>PMC presence</x:v>
      </x:c>
      <x:c r="G1311" s="384" t="n">
        <x:v>0</x:v>
      </x:c>
      <x:c r="H1311" s="396" t="n">
        <x:v>1</x:v>
      </x:c>
      <x:c r="I1311" s="20" t="str">
        <x:v>EEAS CSDP missions source register</x:v>
      </x:c>
      <x:c r="J1311" s="397" t="str">
        <x:v>https://www.eeas.europa.eu/eeas/missions-and-operations_en</x:v>
      </x:c>
      <x:c r="K1311" s="20" t="str">
        <x:v>Primary source-register URL; automated screening score</x:v>
      </x:c>
      <x:c r="L1311" s="20" t="str">
        <x:v>2026-05-20</x:v>
      </x:c>
      <x:c r="M1311" s="20" t="str">
        <x:v>2026-05-20</x:v>
      </x:c>
      <x:c r="N1311" s="20" t="str">
        <x:v>GPT-5.5 Pro</x:v>
      </x:c>
      <x:c r="O1311" s="20" t="str">
        <x:v>Needs review</x:v>
      </x:c>
      <x:c r="P1311" s="20" t="str">
        <x:v>Screening score for European Union / PMC presence in Palau; verify with country-specific evidence before final use.</x:v>
      </x:c>
    </x:row>
    <x:row r="1312" ht="24" customHeight="1">
      <x:c r="A1312" s="20" t="str">
        <x:v>PLW|European Union|Election interference</x:v>
      </x:c>
      <x:c r="B1312" s="20" t="str">
        <x:v>Palau</x:v>
      </x:c>
      <x:c r="C1312" s="20" t="str">
        <x:v>PLW</x:v>
      </x:c>
      <x:c r="D1312" s="20" t="str">
        <x:v>European Union</x:v>
      </x:c>
      <x:c r="E1312" s="20" t="str">
        <x:v>EU influence</x:v>
      </x:c>
      <x:c r="F1312" s="20" t="str">
        <x:v>Election interference</x:v>
      </x:c>
      <x:c r="G1312" s="384" t="n">
        <x:v>1</x:v>
      </x:c>
      <x:c r="H1312" s="396" t="n">
        <x:v>2</x:v>
      </x:c>
      <x:c r="I1312" s="20" t="str">
        <x:v>EEAS EU election observation source register</x:v>
      </x:c>
      <x:c r="J1312" s="397" t="str">
        <x:v>https://www.eeas.europa.eu/eeas/eu-election-observation-missions-1_en?page_lang=en</x:v>
      </x:c>
      <x:c r="K1312" s="20" t="str">
        <x:v>Primary source-register URL; automated screening score</x:v>
      </x:c>
      <x:c r="L1312" s="20" t="str">
        <x:v>2026-05-20</x:v>
      </x:c>
      <x:c r="M1312" s="20" t="str">
        <x:v>2026-05-20</x:v>
      </x:c>
      <x:c r="N1312" s="20" t="str">
        <x:v>GPT-5.5 Pro</x:v>
      </x:c>
      <x:c r="O1312" s="20" t="str">
        <x:v>Needs review</x:v>
      </x:c>
      <x:c r="P1312" s="20" t="str">
        <x:v>Screening score for European Union / Election interference in Palau; verify with country-specific evidence before final use.</x:v>
      </x:c>
    </x:row>
    <x:row r="1313" ht="24" customHeight="1">
      <x:c r="A1313" s="20" t="str">
        <x:v>PLW|European Union|Security contractors</x:v>
      </x:c>
      <x:c r="B1313" s="20" t="str">
        <x:v>Palau</x:v>
      </x:c>
      <x:c r="C1313" s="20" t="str">
        <x:v>PLW</x:v>
      </x:c>
      <x:c r="D1313" s="20" t="str">
        <x:v>European Union</x:v>
      </x:c>
      <x:c r="E1313" s="20" t="str">
        <x:v>EU influence</x:v>
      </x:c>
      <x:c r="F1313" s="20" t="str">
        <x:v>Security contractors</x:v>
      </x:c>
      <x:c r="G1313" s="384" t="n">
        <x:v>1</x:v>
      </x:c>
      <x:c r="H1313" s="396" t="n">
        <x:v>2</x:v>
      </x:c>
      <x:c r="I1313" s="20" t="str">
        <x:v>EEAS CSDP / Global Gateway security source register</x:v>
      </x:c>
      <x:c r="J1313" s="397" t="str">
        <x:v>https://www.eeas.europa.eu/eeas/missions-and-operations_en</x:v>
      </x:c>
      <x:c r="K1313" s="20" t="str">
        <x:v>Primary source-register URL; automated screening score</x:v>
      </x:c>
      <x:c r="L1313" s="20" t="str">
        <x:v>2026-05-20</x:v>
      </x:c>
      <x:c r="M1313" s="20" t="str">
        <x:v>2026-05-20</x:v>
      </x:c>
      <x:c r="N1313" s="20" t="str">
        <x:v>GPT-5.5 Pro</x:v>
      </x:c>
      <x:c r="O1313" s="20" t="str">
        <x:v>Needs review</x:v>
      </x:c>
      <x:c r="P1313" s="20" t="str">
        <x:v>Screening score for European Union / Security contractors in Palau; verify with country-specific evidence before final use.</x:v>
      </x:c>
    </x:row>
    <x:row r="1314" ht="24" customHeight="1">
      <x:c r="A1314" s="20" t="str">
        <x:v>PSE|Russia|Propaganda ecosystems</x:v>
      </x:c>
      <x:c r="B1314" s="20" t="str">
        <x:v>Palestine</x:v>
      </x:c>
      <x:c r="C1314" s="20" t="str">
        <x:v>PSE</x:v>
      </x:c>
      <x:c r="D1314" s="20" t="str">
        <x:v>Russia</x:v>
      </x:c>
      <x:c r="E1314" s="20" t="str">
        <x:v>Russian influence</x:v>
      </x:c>
      <x:c r="F1314" s="20" t="str">
        <x:v>Propaganda ecosystems</x:v>
      </x:c>
      <x:c r="G1314" s="384" t="n">
        <x:v>2</x:v>
      </x:c>
      <x:c r="H1314" s="396" t="n">
        <x:v>2</x:v>
      </x:c>
      <x:c r="I1314" s="20" t="str">
        <x:v>EEAS/EUvsDisinfo FIMI source register</x:v>
      </x:c>
      <x:c r="J1314" s="397" t="str">
        <x:v>https://www.eeas.europa.eu/eeas/4th-eeas-annual-report-foreign-information-manipulation-and-interference-threats_en</x:v>
      </x:c>
      <x:c r="K1314" s="20" t="str">
        <x:v>Primary source-register URL; automated screening score</x:v>
      </x:c>
      <x:c r="L1314" s="20" t="str">
        <x:v>2026-05-20</x:v>
      </x:c>
      <x:c r="M1314" s="20" t="str">
        <x:v>2026-05-20</x:v>
      </x:c>
      <x:c r="N1314" s="20" t="str">
        <x:v>GPT-5.5 Pro</x:v>
      </x:c>
      <x:c r="O1314" s="20" t="str">
        <x:v>Needs review</x:v>
      </x:c>
      <x:c r="P1314" s="20" t="str">
        <x:v>Screening score for Russia / Propaganda ecosystems in Palestine; verify with country-specific evidence before final use.</x:v>
      </x:c>
    </x:row>
    <x:row r="1315" ht="24" customHeight="1">
      <x:c r="A1315" s="20" t="str">
        <x:v>PSE|Russia|PMC presence</x:v>
      </x:c>
      <x:c r="B1315" s="20" t="str">
        <x:v>Palestine</x:v>
      </x:c>
      <x:c r="C1315" s="20" t="str">
        <x:v>PSE</x:v>
      </x:c>
      <x:c r="D1315" s="20" t="str">
        <x:v>Russia</x:v>
      </x:c>
      <x:c r="E1315" s="20" t="str">
        <x:v>Russian influence</x:v>
      </x:c>
      <x:c r="F1315" s="20" t="str">
        <x:v>PMC presence</x:v>
      </x:c>
      <x:c r="G1315" s="384" t="n">
        <x:v>0</x:v>
      </x:c>
      <x:c r="H1315" s="396" t="n">
        <x:v>1</x:v>
      </x:c>
      <x:c r="I1315" s="20" t="str">
        <x:v>Treasury and Council of the EU Wagner/PMC source register</x:v>
      </x:c>
      <x:c r="J1315" s="397" t="str">
        <x:v>https://www.consilium.europa.eu/en/press/press-releases/2023/02/25/wagner-group-council-adds-11-individuals-and-7-entities-to-eu-sanctions-lists/</x:v>
      </x:c>
      <x:c r="K1315" s="20" t="str">
        <x:v>Primary source-register URL; automated screening score</x:v>
      </x:c>
      <x:c r="L1315" s="20" t="str">
        <x:v>2026-05-20</x:v>
      </x:c>
      <x:c r="M1315" s="20" t="str">
        <x:v>2026-05-20</x:v>
      </x:c>
      <x:c r="N1315" s="20" t="str">
        <x:v>GPT-5.5 Pro</x:v>
      </x:c>
      <x:c r="O1315" s="20" t="str">
        <x:v>Needs review</x:v>
      </x:c>
      <x:c r="P1315" s="20" t="str">
        <x:v>Screening score for Russia / PMC presence in Palestine; verify with country-specific evidence before final use.</x:v>
      </x:c>
    </x:row>
    <x:row r="1316" ht="24" customHeight="1">
      <x:c r="A1316" s="20" t="str">
        <x:v>PSE|Russia|Election interference</x:v>
      </x:c>
      <x:c r="B1316" s="20" t="str">
        <x:v>Palestine</x:v>
      </x:c>
      <x:c r="C1316" s="20" t="str">
        <x:v>PSE</x:v>
      </x:c>
      <x:c r="D1316" s="20" t="str">
        <x:v>Russia</x:v>
      </x:c>
      <x:c r="E1316" s="20" t="str">
        <x:v>Russian influence</x:v>
      </x:c>
      <x:c r="F1316" s="20" t="str">
        <x:v>Election interference</x:v>
      </x:c>
      <x:c r="G1316" s="384" t="n">
        <x:v>0</x:v>
      </x:c>
      <x:c r="H1316" s="396" t="n">
        <x:v>1</x:v>
      </x:c>
      <x:c r="I1316" s="20" t="str">
        <x:v>ODNI/EEAS election-FIMI source register</x:v>
      </x:c>
      <x:c r="J1316" s="397" t="str">
        <x:v>https://www.dni.gov/files/ODNI/documents/assessments/ATA-2026-Unclassified-Report.pdf</x:v>
      </x:c>
      <x:c r="K1316" s="20" t="str">
        <x:v>Primary source-register URL; automated screening score</x:v>
      </x:c>
      <x:c r="L1316" s="20" t="str">
        <x:v>2026-05-20</x:v>
      </x:c>
      <x:c r="M1316" s="20" t="str">
        <x:v>2026-05-20</x:v>
      </x:c>
      <x:c r="N1316" s="20" t="str">
        <x:v>GPT-5.5 Pro</x:v>
      </x:c>
      <x:c r="O1316" s="20" t="str">
        <x:v>Needs review</x:v>
      </x:c>
      <x:c r="P1316" s="20" t="str">
        <x:v>Screening score for Russia / Election interference in Palestine; verify with country-specific evidence before final use.</x:v>
      </x:c>
    </x:row>
    <x:row r="1317" ht="24" customHeight="1">
      <x:c r="A1317" s="20" t="str">
        <x:v>PSE|Russia|Security contractors</x:v>
      </x:c>
      <x:c r="B1317" s="20" t="str">
        <x:v>Palestine</x:v>
      </x:c>
      <x:c r="C1317" s="20" t="str">
        <x:v>PSE</x:v>
      </x:c>
      <x:c r="D1317" s="20" t="str">
        <x:v>Russia</x:v>
      </x:c>
      <x:c r="E1317" s="20" t="str">
        <x:v>Russian influence</x:v>
      </x:c>
      <x:c r="F1317" s="20" t="str">
        <x:v>Security contractors</x:v>
      </x:c>
      <x:c r="G1317" s="384" t="n">
        <x:v>0</x:v>
      </x:c>
      <x:c r="H1317" s="396" t="n">
        <x:v>1</x:v>
      </x:c>
      <x:c r="I1317" s="20" t="str">
        <x:v>Council of the EU/Treasury Wagner-security source register</x:v>
      </x:c>
      <x:c r="J1317" s="397" t="str">
        <x:v>https://www.consilium.europa.eu/en/press/press-releases/2023/02/25/wagner-group-council-adds-11-individuals-and-7-entities-to-eu-sanctions-lists/</x:v>
      </x:c>
      <x:c r="K1317" s="20" t="str">
        <x:v>Primary source-register URL; automated screening score</x:v>
      </x:c>
      <x:c r="L1317" s="20" t="str">
        <x:v>2026-05-20</x:v>
      </x:c>
      <x:c r="M1317" s="20" t="str">
        <x:v>2026-05-20</x:v>
      </x:c>
      <x:c r="N1317" s="20" t="str">
        <x:v>GPT-5.5 Pro</x:v>
      </x:c>
      <x:c r="O1317" s="20" t="str">
        <x:v>Needs review</x:v>
      </x:c>
      <x:c r="P1317" s="20" t="str">
        <x:v>Screening score for Russia / Security contractors in Palestine; verify with country-specific evidence before final use.</x:v>
      </x:c>
    </x:row>
    <x:row r="1318" ht="24" customHeight="1">
      <x:c r="A1318" s="20" t="str">
        <x:v>PSE|China|Propaganda ecosystems</x:v>
      </x:c>
      <x:c r="B1318" s="20" t="str">
        <x:v>Palestine</x:v>
      </x:c>
      <x:c r="C1318" s="20" t="str">
        <x:v>PSE</x:v>
      </x:c>
      <x:c r="D1318" s="20" t="str">
        <x:v>China</x:v>
      </x:c>
      <x:c r="E1318" s="20" t="str">
        <x:v>Chinese influence</x:v>
      </x:c>
      <x:c r="F1318" s="20" t="str">
        <x:v>Propaganda ecosystems</x:v>
      </x:c>
      <x:c r="G1318" s="384" t="n">
        <x:v>3</x:v>
      </x:c>
      <x:c r="H1318" s="396" t="n">
        <x:v>3</x:v>
      </x:c>
      <x:c r="I1318" s="20" t="str">
        <x:v>EEAS/ODNI China FIMI source register</x:v>
      </x:c>
      <x:c r="J1318" s="397" t="str">
        <x:v>https://www.eeas.europa.eu/eeas/4th-eeas-annual-report-foreign-information-manipulation-and-interference-threats_en</x:v>
      </x:c>
      <x:c r="K1318" s="20" t="str">
        <x:v>Primary source-register URL; automated screening score</x:v>
      </x:c>
      <x:c r="L1318" s="20" t="str">
        <x:v>2026-05-20</x:v>
      </x:c>
      <x:c r="M1318" s="20" t="str">
        <x:v>2026-05-20</x:v>
      </x:c>
      <x:c r="N1318" s="20" t="str">
        <x:v>GPT-5.5 Pro</x:v>
      </x:c>
      <x:c r="O1318" s="20" t="str">
        <x:v>Needs review</x:v>
      </x:c>
      <x:c r="P1318" s="20" t="str">
        <x:v>Screening score for China / Propaganda ecosystems in Palestine; verify with country-specific evidence before final use.</x:v>
      </x:c>
    </x:row>
    <x:row r="1319" ht="24" customHeight="1">
      <x:c r="A1319" s="20" t="str">
        <x:v>PSE|China|PMC presence</x:v>
      </x:c>
      <x:c r="B1319" s="20" t="str">
        <x:v>Palestine</x:v>
      </x:c>
      <x:c r="C1319" s="20" t="str">
        <x:v>PSE</x:v>
      </x:c>
      <x:c r="D1319" s="20" t="str">
        <x:v>China</x:v>
      </x:c>
      <x:c r="E1319" s="20" t="str">
        <x:v>Chinese influence</x:v>
      </x:c>
      <x:c r="F1319" s="20" t="str">
        <x:v>PMC presence</x:v>
      </x:c>
      <x:c r="G1319" s="384" t="n">
        <x:v>0</x:v>
      </x:c>
      <x:c r="H1319" s="396" t="n">
        <x:v>1</x:v>
      </x:c>
      <x:c r="I1319" s="20" t="str">
        <x:v>MERICS/Carnegie Chinese overseas PSC source register</x:v>
      </x:c>
      <x:c r="J1319" s="397" t="str">
        <x:v>https://merics.org/en/report/guardians-belt-and-road</x:v>
      </x:c>
      <x:c r="K1319" s="20" t="str">
        <x:v>Primary source-register URL; automated screening score</x:v>
      </x:c>
      <x:c r="L1319" s="20" t="str">
        <x:v>2026-05-20</x:v>
      </x:c>
      <x:c r="M1319" s="20" t="str">
        <x:v>2026-05-20</x:v>
      </x:c>
      <x:c r="N1319" s="20" t="str">
        <x:v>GPT-5.5 Pro</x:v>
      </x:c>
      <x:c r="O1319" s="20" t="str">
        <x:v>Needs review</x:v>
      </x:c>
      <x:c r="P1319" s="20" t="str">
        <x:v>Screening score for China / PMC presence in Palestine; verify with country-specific evidence before final use.</x:v>
      </x:c>
    </x:row>
    <x:row r="1320" ht="24" customHeight="1">
      <x:c r="A1320" s="20" t="str">
        <x:v>PSE|China|Election interference</x:v>
      </x:c>
      <x:c r="B1320" s="20" t="str">
        <x:v>Palestine</x:v>
      </x:c>
      <x:c r="C1320" s="20" t="str">
        <x:v>PSE</x:v>
      </x:c>
      <x:c r="D1320" s="20" t="str">
        <x:v>China</x:v>
      </x:c>
      <x:c r="E1320" s="20" t="str">
        <x:v>Chinese influence</x:v>
      </x:c>
      <x:c r="F1320" s="20" t="str">
        <x:v>Election interference</x:v>
      </x:c>
      <x:c r="G1320" s="384" t="n">
        <x:v>1</x:v>
      </x:c>
      <x:c r="H1320" s="396" t="n">
        <x:v>2</x:v>
      </x:c>
      <x:c r="I1320" s="20" t="str">
        <x:v>EEAS/ODNI China election-FIMI source register</x:v>
      </x:c>
      <x:c r="J1320" s="397" t="str">
        <x:v>https://www.eeas.europa.eu/eeas/4th-eeas-annual-report-foreign-information-manipulation-and-interference-threats_en</x:v>
      </x:c>
      <x:c r="K1320" s="20" t="str">
        <x:v>Primary source-register URL; automated screening score</x:v>
      </x:c>
      <x:c r="L1320" s="20" t="str">
        <x:v>2026-05-20</x:v>
      </x:c>
      <x:c r="M1320" s="20" t="str">
        <x:v>2026-05-20</x:v>
      </x:c>
      <x:c r="N1320" s="20" t="str">
        <x:v>GPT-5.5 Pro</x:v>
      </x:c>
      <x:c r="O1320" s="20" t="str">
        <x:v>Needs review</x:v>
      </x:c>
      <x:c r="P1320" s="20" t="str">
        <x:v>Screening score for China / Election interference in Palestine; verify with country-specific evidence before final use.</x:v>
      </x:c>
    </x:row>
    <x:row r="1321" ht="24" customHeight="1">
      <x:c r="A1321" s="20" t="str">
        <x:v>PSE|China|Security contractors</x:v>
      </x:c>
      <x:c r="B1321" s="20" t="str">
        <x:v>Palestine</x:v>
      </x:c>
      <x:c r="C1321" s="20" t="str">
        <x:v>PSE</x:v>
      </x:c>
      <x:c r="D1321" s="20" t="str">
        <x:v>China</x:v>
      </x:c>
      <x:c r="E1321" s="20" t="str">
        <x:v>Chinese influence</x:v>
      </x:c>
      <x:c r="F1321" s="20" t="str">
        <x:v>Security contractors</x:v>
      </x:c>
      <x:c r="G1321" s="384" t="n">
        <x:v>1</x:v>
      </x:c>
      <x:c r="H1321" s="396" t="n">
        <x:v>2</x:v>
      </x:c>
      <x:c r="I1321" s="20" t="str">
        <x:v>MERICS/Carnegie Chinese security contractor source register</x:v>
      </x:c>
      <x:c r="J1321" s="397" t="str">
        <x:v>https://merics.org/en/report/guardians-belt-and-road</x:v>
      </x:c>
      <x:c r="K1321" s="20" t="str">
        <x:v>Primary source-register URL; automated screening score</x:v>
      </x:c>
      <x:c r="L1321" s="20" t="str">
        <x:v>2026-05-20</x:v>
      </x:c>
      <x:c r="M1321" s="20" t="str">
        <x:v>2026-05-20</x:v>
      </x:c>
      <x:c r="N1321" s="20" t="str">
        <x:v>GPT-5.5 Pro</x:v>
      </x:c>
      <x:c r="O1321" s="20" t="str">
        <x:v>Needs review</x:v>
      </x:c>
      <x:c r="P1321" s="20" t="str">
        <x:v>Screening score for China / Security contractors in Palestine; verify with country-specific evidence before final use.</x:v>
      </x:c>
    </x:row>
    <x:row r="1322" ht="24" customHeight="1">
      <x:c r="A1322" s="20" t="str">
        <x:v>PSE|United States|Propaganda ecosystems</x:v>
      </x:c>
      <x:c r="B1322" s="20" t="str">
        <x:v>Palestine</x:v>
      </x:c>
      <x:c r="C1322" s="20" t="str">
        <x:v>PSE</x:v>
      </x:c>
      <x:c r="D1322" s="20" t="str">
        <x:v>United States</x:v>
      </x:c>
      <x:c r="E1322" s="20" t="str">
        <x:v>American influence</x:v>
      </x:c>
      <x:c r="F1322" s="20" t="str">
        <x:v>Propaganda ecosystems</x:v>
      </x:c>
      <x:c r="G1322" s="384" t="n">
        <x:v>5</x:v>
      </x:c>
      <x:c r="H1322" s="396" t="n">
        <x:v>3</x:v>
      </x:c>
      <x:c r="I1322" s="20" t="str">
        <x:v>USAGM public media source register</x:v>
      </x:c>
      <x:c r="J1322" s="397" t="str">
        <x:v>https://www.usagm.gov/our-work/strategy-and-results/strategic-priorities/research-reports/</x:v>
      </x:c>
      <x:c r="K1322" s="20" t="str">
        <x:v>Primary source-register URL; automated screening score</x:v>
      </x:c>
      <x:c r="L1322" s="20" t="str">
        <x:v>2026-05-20</x:v>
      </x:c>
      <x:c r="M1322" s="20" t="str">
        <x:v>2026-05-20</x:v>
      </x:c>
      <x:c r="N1322" s="20" t="str">
        <x:v>GPT-5.5 Pro</x:v>
      </x:c>
      <x:c r="O1322" s="20" t="str">
        <x:v>Needs review</x:v>
      </x:c>
      <x:c r="P1322" s="20" t="str">
        <x:v>Screening score for United States / Propaganda ecosystems in Palestine; verify with country-specific evidence before final use.</x:v>
      </x:c>
    </x:row>
    <x:row r="1323" ht="24" customHeight="1">
      <x:c r="A1323" s="20" t="str">
        <x:v>PSE|United States|PMC presence</x:v>
      </x:c>
      <x:c r="B1323" s="20" t="str">
        <x:v>Palestine</x:v>
      </x:c>
      <x:c r="C1323" s="20" t="str">
        <x:v>PSE</x:v>
      </x:c>
      <x:c r="D1323" s="20" t="str">
        <x:v>United States</x:v>
      </x:c>
      <x:c r="E1323" s="20" t="str">
        <x:v>American influence</x:v>
      </x:c>
      <x:c r="F1323" s="20" t="str">
        <x:v>PMC presence</x:v>
      </x:c>
      <x:c r="G1323" s="384" t="n">
        <x:v>1</x:v>
      </x:c>
      <x:c r="H1323" s="396" t="n">
        <x:v>2</x:v>
      </x:c>
      <x:c r="I1323" s="20" t="str">
        <x:v>SAM/Greenbook U.S. security assistance contractor source register</x:v>
      </x:c>
      <x:c r="J1323" s="397" t="str">
        <x:v>https://internationalpolicy.org/programs/sam/</x:v>
      </x:c>
      <x:c r="K1323" s="20" t="str">
        <x:v>Primary source-register URL; automated screening score</x:v>
      </x:c>
      <x:c r="L1323" s="20" t="str">
        <x:v>2026-05-20</x:v>
      </x:c>
      <x:c r="M1323" s="20" t="str">
        <x:v>2026-05-20</x:v>
      </x:c>
      <x:c r="N1323" s="20" t="str">
        <x:v>GPT-5.5 Pro</x:v>
      </x:c>
      <x:c r="O1323" s="20" t="str">
        <x:v>Needs review</x:v>
      </x:c>
      <x:c r="P1323" s="20" t="str">
        <x:v>Screening score for United States / PMC presence in Palestine; verify with country-specific evidence before final use.</x:v>
      </x:c>
    </x:row>
    <x:row r="1324" ht="24" customHeight="1">
      <x:c r="A1324" s="20" t="str">
        <x:v>PSE|United States|Election interference</x:v>
      </x:c>
      <x:c r="B1324" s="20" t="str">
        <x:v>Palestine</x:v>
      </x:c>
      <x:c r="C1324" s="20" t="str">
        <x:v>PSE</x:v>
      </x:c>
      <x:c r="D1324" s="20" t="str">
        <x:v>United States</x:v>
      </x:c>
      <x:c r="E1324" s="20" t="str">
        <x:v>American influence</x:v>
      </x:c>
      <x:c r="F1324" s="20" t="str">
        <x:v>Election interference</x:v>
      </x:c>
      <x:c r="G1324" s="384" t="n">
        <x:v>2</x:v>
      </x:c>
      <x:c r="H1324" s="396" t="n">
        <x:v>2</x:v>
      </x:c>
      <x:c r="I1324" s="20" t="str">
        <x:v>NED/Greenbook democracy assistance source register</x:v>
      </x:c>
      <x:c r="J1324" s="397" t="str">
        <x:v>https://www.ned.org/ned-grantmaking/</x:v>
      </x:c>
      <x:c r="K1324" s="20" t="str">
        <x:v>Primary source-register URL; automated screening score</x:v>
      </x:c>
      <x:c r="L1324" s="20" t="str">
        <x:v>2026-05-20</x:v>
      </x:c>
      <x:c r="M1324" s="20" t="str">
        <x:v>2026-05-20</x:v>
      </x:c>
      <x:c r="N1324" s="20" t="str">
        <x:v>GPT-5.5 Pro</x:v>
      </x:c>
      <x:c r="O1324" s="20" t="str">
        <x:v>Needs review</x:v>
      </x:c>
      <x:c r="P1324" s="20" t="str">
        <x:v>Screening score for United States / Election interference in Palestine; verify with country-specific evidence before final use.</x:v>
      </x:c>
    </x:row>
    <x:row r="1325" ht="24" customHeight="1">
      <x:c r="A1325" s="20" t="str">
        <x:v>PSE|United States|Security contractors</x:v>
      </x:c>
      <x:c r="B1325" s="20" t="str">
        <x:v>Palestine</x:v>
      </x:c>
      <x:c r="C1325" s="20" t="str">
        <x:v>PSE</x:v>
      </x:c>
      <x:c r="D1325" s="20" t="str">
        <x:v>United States</x:v>
      </x:c>
      <x:c r="E1325" s="20" t="str">
        <x:v>American influence</x:v>
      </x:c>
      <x:c r="F1325" s="20" t="str">
        <x:v>Security contractors</x:v>
      </x:c>
      <x:c r="G1325" s="384" t="n">
        <x:v>2</x:v>
      </x:c>
      <x:c r="H1325" s="396" t="n">
        <x:v>2</x:v>
      </x:c>
      <x:c r="I1325" s="20" t="str">
        <x:v>SAM/Greenbook U.S. security contractor source register</x:v>
      </x:c>
      <x:c r="J1325" s="397" t="str">
        <x:v>https://internationalpolicy.org/programs/sam/</x:v>
      </x:c>
      <x:c r="K1325" s="20" t="str">
        <x:v>Primary source-register URL; automated screening score</x:v>
      </x:c>
      <x:c r="L1325" s="20" t="str">
        <x:v>2026-05-20</x:v>
      </x:c>
      <x:c r="M1325" s="20" t="str">
        <x:v>2026-05-20</x:v>
      </x:c>
      <x:c r="N1325" s="20" t="str">
        <x:v>GPT-5.5 Pro</x:v>
      </x:c>
      <x:c r="O1325" s="20" t="str">
        <x:v>Needs review</x:v>
      </x:c>
      <x:c r="P1325" s="20" t="str">
        <x:v>Screening score for United States / Security contractors in Palestine; verify with country-specific evidence before final use.</x:v>
      </x:c>
    </x:row>
    <x:row r="1326" ht="24" customHeight="1">
      <x:c r="A1326" s="20" t="str">
        <x:v>PSE|European Union|Propaganda ecosystems</x:v>
      </x:c>
      <x:c r="B1326" s="20" t="str">
        <x:v>Palestine</x:v>
      </x:c>
      <x:c r="C1326" s="20" t="str">
        <x:v>PSE</x:v>
      </x:c>
      <x:c r="D1326" s="20" t="str">
        <x:v>European Union</x:v>
      </x:c>
      <x:c r="E1326" s="20" t="str">
        <x:v>EU influence</x:v>
      </x:c>
      <x:c r="F1326" s="20" t="str">
        <x:v>Propaganda ecosystems</x:v>
      </x:c>
      <x:c r="G1326" s="384" t="n">
        <x:v>2</x:v>
      </x:c>
      <x:c r="H1326" s="396" t="n">
        <x:v>2</x:v>
      </x:c>
      <x:c r="I1326" s="20" t="str">
        <x:v>EEAS public diplomacy source register</x:v>
      </x:c>
      <x:c r="J1326" s="397" t="str">
        <x:v>https://www.eeas.europa.eu/eeas/public-diplomacy_en</x:v>
      </x:c>
      <x:c r="K1326" s="20" t="str">
        <x:v>Primary source-register URL; automated screening score</x:v>
      </x:c>
      <x:c r="L1326" s="20" t="str">
        <x:v>2026-05-20</x:v>
      </x:c>
      <x:c r="M1326" s="20" t="str">
        <x:v>2026-05-20</x:v>
      </x:c>
      <x:c r="N1326" s="20" t="str">
        <x:v>GPT-5.5 Pro</x:v>
      </x:c>
      <x:c r="O1326" s="20" t="str">
        <x:v>Needs review</x:v>
      </x:c>
      <x:c r="P1326" s="20" t="str">
        <x:v>Screening score for European Union / Propaganda ecosystems in Palestine; verify with country-specific evidence before final use.</x:v>
      </x:c>
    </x:row>
    <x:row r="1327" ht="24" customHeight="1">
      <x:c r="A1327" s="20" t="str">
        <x:v>PSE|European Union|PMC presence</x:v>
      </x:c>
      <x:c r="B1327" s="20" t="str">
        <x:v>Palestine</x:v>
      </x:c>
      <x:c r="C1327" s="20" t="str">
        <x:v>PSE</x:v>
      </x:c>
      <x:c r="D1327" s="20" t="str">
        <x:v>European Union</x:v>
      </x:c>
      <x:c r="E1327" s="20" t="str">
        <x:v>EU influence</x:v>
      </x:c>
      <x:c r="F1327" s="20" t="str">
        <x:v>PMC presence</x:v>
      </x:c>
      <x:c r="G1327" s="384" t="n">
        <x:v>1</x:v>
      </x:c>
      <x:c r="H1327" s="396" t="n">
        <x:v>2</x:v>
      </x:c>
      <x:c r="I1327" s="20" t="str">
        <x:v>EEAS CSDP missions source register</x:v>
      </x:c>
      <x:c r="J1327" s="397" t="str">
        <x:v>https://www.eeas.europa.eu/eeas/missions-and-operations_en</x:v>
      </x:c>
      <x:c r="K1327" s="20" t="str">
        <x:v>Primary source-register URL; automated screening score</x:v>
      </x:c>
      <x:c r="L1327" s="20" t="str">
        <x:v>2026-05-20</x:v>
      </x:c>
      <x:c r="M1327" s="20" t="str">
        <x:v>2026-05-20</x:v>
      </x:c>
      <x:c r="N1327" s="20" t="str">
        <x:v>GPT-5.5 Pro</x:v>
      </x:c>
      <x:c r="O1327" s="20" t="str">
        <x:v>Needs review</x:v>
      </x:c>
      <x:c r="P1327" s="20" t="str">
        <x:v>Screening score for European Union / PMC presence in Palestine; verify with country-specific evidence before final use.</x:v>
      </x:c>
    </x:row>
    <x:row r="1328" ht="24" customHeight="1">
      <x:c r="A1328" s="20" t="str">
        <x:v>PSE|European Union|Election interference</x:v>
      </x:c>
      <x:c r="B1328" s="20" t="str">
        <x:v>Palestine</x:v>
      </x:c>
      <x:c r="C1328" s="20" t="str">
        <x:v>PSE</x:v>
      </x:c>
      <x:c r="D1328" s="20" t="str">
        <x:v>European Union</x:v>
      </x:c>
      <x:c r="E1328" s="20" t="str">
        <x:v>EU influence</x:v>
      </x:c>
      <x:c r="F1328" s="20" t="str">
        <x:v>Election interference</x:v>
      </x:c>
      <x:c r="G1328" s="384" t="n">
        <x:v>2</x:v>
      </x:c>
      <x:c r="H1328" s="396" t="n">
        <x:v>2</x:v>
      </x:c>
      <x:c r="I1328" s="20" t="str">
        <x:v>EEAS EU election observation source register</x:v>
      </x:c>
      <x:c r="J1328" s="397" t="str">
        <x:v>https://www.eeas.europa.eu/eeas/eu-election-observation-missions-1_en?page_lang=en</x:v>
      </x:c>
      <x:c r="K1328" s="20" t="str">
        <x:v>Primary source-register URL; automated screening score</x:v>
      </x:c>
      <x:c r="L1328" s="20" t="str">
        <x:v>2026-05-20</x:v>
      </x:c>
      <x:c r="M1328" s="20" t="str">
        <x:v>2026-05-20</x:v>
      </x:c>
      <x:c r="N1328" s="20" t="str">
        <x:v>GPT-5.5 Pro</x:v>
      </x:c>
      <x:c r="O1328" s="20" t="str">
        <x:v>Needs review</x:v>
      </x:c>
      <x:c r="P1328" s="20" t="str">
        <x:v>Screening score for European Union / Election interference in Palestine; verify with country-specific evidence before final use.</x:v>
      </x:c>
    </x:row>
    <x:row r="1329" ht="24" customHeight="1">
      <x:c r="A1329" s="20" t="str">
        <x:v>PSE|European Union|Security contractors</x:v>
      </x:c>
      <x:c r="B1329" s="20" t="str">
        <x:v>Palestine</x:v>
      </x:c>
      <x:c r="C1329" s="20" t="str">
        <x:v>PSE</x:v>
      </x:c>
      <x:c r="D1329" s="20" t="str">
        <x:v>European Union</x:v>
      </x:c>
      <x:c r="E1329" s="20" t="str">
        <x:v>EU influence</x:v>
      </x:c>
      <x:c r="F1329" s="20" t="str">
        <x:v>Security contractors</x:v>
      </x:c>
      <x:c r="G1329" s="384" t="n">
        <x:v>2</x:v>
      </x:c>
      <x:c r="H1329" s="396" t="n">
        <x:v>2</x:v>
      </x:c>
      <x:c r="I1329" s="20" t="str">
        <x:v>EEAS CSDP / Global Gateway security source register</x:v>
      </x:c>
      <x:c r="J1329" s="397" t="str">
        <x:v>https://www.eeas.europa.eu/eeas/missions-and-operations_en</x:v>
      </x:c>
      <x:c r="K1329" s="20" t="str">
        <x:v>Primary source-register URL; automated screening score</x:v>
      </x:c>
      <x:c r="L1329" s="20" t="str">
        <x:v>2026-05-20</x:v>
      </x:c>
      <x:c r="M1329" s="20" t="str">
        <x:v>2026-05-20</x:v>
      </x:c>
      <x:c r="N1329" s="20" t="str">
        <x:v>GPT-5.5 Pro</x:v>
      </x:c>
      <x:c r="O1329" s="20" t="str">
        <x:v>Needs review</x:v>
      </x:c>
      <x:c r="P1329" s="20" t="str">
        <x:v>Screening score for European Union / Security contractors in Palestine; verify with country-specific evidence before final use.</x:v>
      </x:c>
    </x:row>
    <x:row r="1330" ht="24" customHeight="1">
      <x:c r="A1330" s="20" t="str">
        <x:v>PNG|Russia|Propaganda ecosystems</x:v>
      </x:c>
      <x:c r="B1330" s="20" t="str">
        <x:v>Papua New Guinea</x:v>
      </x:c>
      <x:c r="C1330" s="20" t="str">
        <x:v>PNG</x:v>
      </x:c>
      <x:c r="D1330" s="20" t="str">
        <x:v>Russia</x:v>
      </x:c>
      <x:c r="E1330" s="20" t="str">
        <x:v>Russian influence</x:v>
      </x:c>
      <x:c r="F1330" s="20" t="str">
        <x:v>Propaganda ecosystems</x:v>
      </x:c>
      <x:c r="G1330" s="384" t="n">
        <x:v>2</x:v>
      </x:c>
      <x:c r="H1330" s="396" t="n">
        <x:v>2</x:v>
      </x:c>
      <x:c r="I1330" s="20" t="str">
        <x:v>EEAS/EUvsDisinfo FIMI source register</x:v>
      </x:c>
      <x:c r="J1330" s="397" t="str">
        <x:v>https://www.eeas.europa.eu/eeas/4th-eeas-annual-report-foreign-information-manipulation-and-interference-threats_en</x:v>
      </x:c>
      <x:c r="K1330" s="20" t="str">
        <x:v>Primary source-register URL; automated screening score</x:v>
      </x:c>
      <x:c r="L1330" s="20" t="str">
        <x:v>2026-05-20</x:v>
      </x:c>
      <x:c r="M1330" s="20" t="str">
        <x:v>2026-05-20</x:v>
      </x:c>
      <x:c r="N1330" s="20" t="str">
        <x:v>GPT-5.5 Pro</x:v>
      </x:c>
      <x:c r="O1330" s="20" t="str">
        <x:v>Needs review</x:v>
      </x:c>
      <x:c r="P1330" s="20" t="str">
        <x:v>Screening score for Russia / Propaganda ecosystems in Papua New Guinea; verify with country-specific evidence before final use.</x:v>
      </x:c>
    </x:row>
    <x:row r="1331" ht="24" customHeight="1">
      <x:c r="A1331" s="20" t="str">
        <x:v>PNG|Russia|PMC presence</x:v>
      </x:c>
      <x:c r="B1331" s="20" t="str">
        <x:v>Papua New Guinea</x:v>
      </x:c>
      <x:c r="C1331" s="20" t="str">
        <x:v>PNG</x:v>
      </x:c>
      <x:c r="D1331" s="20" t="str">
        <x:v>Russia</x:v>
      </x:c>
      <x:c r="E1331" s="20" t="str">
        <x:v>Russian influence</x:v>
      </x:c>
      <x:c r="F1331" s="20" t="str">
        <x:v>PMC presence</x:v>
      </x:c>
      <x:c r="G1331" s="384" t="n">
        <x:v>0</x:v>
      </x:c>
      <x:c r="H1331" s="396" t="n">
        <x:v>1</x:v>
      </x:c>
      <x:c r="I1331" s="20" t="str">
        <x:v>Treasury and Council of the EU Wagner/PMC source register</x:v>
      </x:c>
      <x:c r="J1331" s="397" t="str">
        <x:v>https://www.consilium.europa.eu/en/press/press-releases/2023/02/25/wagner-group-council-adds-11-individuals-and-7-entities-to-eu-sanctions-lists/</x:v>
      </x:c>
      <x:c r="K1331" s="20" t="str">
        <x:v>Primary source-register URL; automated screening score</x:v>
      </x:c>
      <x:c r="L1331" s="20" t="str">
        <x:v>2026-05-20</x:v>
      </x:c>
      <x:c r="M1331" s="20" t="str">
        <x:v>2026-05-20</x:v>
      </x:c>
      <x:c r="N1331" s="20" t="str">
        <x:v>GPT-5.5 Pro</x:v>
      </x:c>
      <x:c r="O1331" s="20" t="str">
        <x:v>Needs review</x:v>
      </x:c>
      <x:c r="P1331" s="20" t="str">
        <x:v>Screening score for Russia / PMC presence in Papua New Guinea; verify with country-specific evidence before final use.</x:v>
      </x:c>
    </x:row>
    <x:row r="1332" ht="24" customHeight="1">
      <x:c r="A1332" s="20" t="str">
        <x:v>PNG|Russia|Election interference</x:v>
      </x:c>
      <x:c r="B1332" s="20" t="str">
        <x:v>Papua New Guinea</x:v>
      </x:c>
      <x:c r="C1332" s="20" t="str">
        <x:v>PNG</x:v>
      </x:c>
      <x:c r="D1332" s="20" t="str">
        <x:v>Russia</x:v>
      </x:c>
      <x:c r="E1332" s="20" t="str">
        <x:v>Russian influence</x:v>
      </x:c>
      <x:c r="F1332" s="20" t="str">
        <x:v>Election interference</x:v>
      </x:c>
      <x:c r="G1332" s="384" t="n">
        <x:v>0</x:v>
      </x:c>
      <x:c r="H1332" s="396" t="n">
        <x:v>1</x:v>
      </x:c>
      <x:c r="I1332" s="20" t="str">
        <x:v>ODNI/EEAS election-FIMI source register</x:v>
      </x:c>
      <x:c r="J1332" s="397" t="str">
        <x:v>https://www.dni.gov/files/ODNI/documents/assessments/ATA-2026-Unclassified-Report.pdf</x:v>
      </x:c>
      <x:c r="K1332" s="20" t="str">
        <x:v>Primary source-register URL; automated screening score</x:v>
      </x:c>
      <x:c r="L1332" s="20" t="str">
        <x:v>2026-05-20</x:v>
      </x:c>
      <x:c r="M1332" s="20" t="str">
        <x:v>2026-05-20</x:v>
      </x:c>
      <x:c r="N1332" s="20" t="str">
        <x:v>GPT-5.5 Pro</x:v>
      </x:c>
      <x:c r="O1332" s="20" t="str">
        <x:v>Needs review</x:v>
      </x:c>
      <x:c r="P1332" s="20" t="str">
        <x:v>Screening score for Russia / Election interference in Papua New Guinea; verify with country-specific evidence before final use.</x:v>
      </x:c>
    </x:row>
    <x:row r="1333" ht="24" customHeight="1">
      <x:c r="A1333" s="20" t="str">
        <x:v>PNG|Russia|Security contractors</x:v>
      </x:c>
      <x:c r="B1333" s="20" t="str">
        <x:v>Papua New Guinea</x:v>
      </x:c>
      <x:c r="C1333" s="20" t="str">
        <x:v>PNG</x:v>
      </x:c>
      <x:c r="D1333" s="20" t="str">
        <x:v>Russia</x:v>
      </x:c>
      <x:c r="E1333" s="20" t="str">
        <x:v>Russian influence</x:v>
      </x:c>
      <x:c r="F1333" s="20" t="str">
        <x:v>Security contractors</x:v>
      </x:c>
      <x:c r="G1333" s="384" t="n">
        <x:v>0</x:v>
      </x:c>
      <x:c r="H1333" s="396" t="n">
        <x:v>1</x:v>
      </x:c>
      <x:c r="I1333" s="20" t="str">
        <x:v>Council of the EU/Treasury Wagner-security source register</x:v>
      </x:c>
      <x:c r="J1333" s="397" t="str">
        <x:v>https://www.consilium.europa.eu/en/press/press-releases/2023/02/25/wagner-group-council-adds-11-individuals-and-7-entities-to-eu-sanctions-lists/</x:v>
      </x:c>
      <x:c r="K1333" s="20" t="str">
        <x:v>Primary source-register URL; automated screening score</x:v>
      </x:c>
      <x:c r="L1333" s="20" t="str">
        <x:v>2026-05-20</x:v>
      </x:c>
      <x:c r="M1333" s="20" t="str">
        <x:v>2026-05-20</x:v>
      </x:c>
      <x:c r="N1333" s="20" t="str">
        <x:v>GPT-5.5 Pro</x:v>
      </x:c>
      <x:c r="O1333" s="20" t="str">
        <x:v>Needs review</x:v>
      </x:c>
      <x:c r="P1333" s="20" t="str">
        <x:v>Screening score for Russia / Security contractors in Papua New Guinea; verify with country-specific evidence before final use.</x:v>
      </x:c>
    </x:row>
    <x:row r="1334" ht="24" customHeight="1">
      <x:c r="A1334" s="20" t="str">
        <x:v>PNG|China|Propaganda ecosystems</x:v>
      </x:c>
      <x:c r="B1334" s="20" t="str">
        <x:v>Papua New Guinea</x:v>
      </x:c>
      <x:c r="C1334" s="20" t="str">
        <x:v>PNG</x:v>
      </x:c>
      <x:c r="D1334" s="20" t="str">
        <x:v>China</x:v>
      </x:c>
      <x:c r="E1334" s="20" t="str">
        <x:v>Chinese influence</x:v>
      </x:c>
      <x:c r="F1334" s="20" t="str">
        <x:v>Propaganda ecosystems</x:v>
      </x:c>
      <x:c r="G1334" s="384" t="n">
        <x:v>7</x:v>
      </x:c>
      <x:c r="H1334" s="396" t="n">
        <x:v>4</x:v>
      </x:c>
      <x:c r="I1334" s="20" t="str">
        <x:v>EEAS/ODNI China FIMI source register</x:v>
      </x:c>
      <x:c r="J1334" s="397" t="str">
        <x:v>https://www.eeas.europa.eu/eeas/4th-eeas-annual-report-foreign-information-manipulation-and-interference-threats_en</x:v>
      </x:c>
      <x:c r="K1334" s="20" t="str">
        <x:v>Primary source-register URL; automated screening score</x:v>
      </x:c>
      <x:c r="L1334" s="20" t="str">
        <x:v>2026-05-20</x:v>
      </x:c>
      <x:c r="M1334" s="20" t="str">
        <x:v>2026-05-20</x:v>
      </x:c>
      <x:c r="N1334" s="20" t="str">
        <x:v>GPT-5.5 Pro</x:v>
      </x:c>
      <x:c r="O1334" s="20" t="str">
        <x:v>Needs review</x:v>
      </x:c>
      <x:c r="P1334" s="20" t="str">
        <x:v>Screening score for China / Propaganda ecosystems in Papua New Guinea; verify with country-specific evidence before final use.</x:v>
      </x:c>
    </x:row>
    <x:row r="1335" ht="24" customHeight="1">
      <x:c r="A1335" s="20" t="str">
        <x:v>PNG|China|PMC presence</x:v>
      </x:c>
      <x:c r="B1335" s="20" t="str">
        <x:v>Papua New Guinea</x:v>
      </x:c>
      <x:c r="C1335" s="20" t="str">
        <x:v>PNG</x:v>
      </x:c>
      <x:c r="D1335" s="20" t="str">
        <x:v>China</x:v>
      </x:c>
      <x:c r="E1335" s="20" t="str">
        <x:v>Chinese influence</x:v>
      </x:c>
      <x:c r="F1335" s="20" t="str">
        <x:v>PMC presence</x:v>
      </x:c>
      <x:c r="G1335" s="384" t="n">
        <x:v>1</x:v>
      </x:c>
      <x:c r="H1335" s="396" t="n">
        <x:v>2</x:v>
      </x:c>
      <x:c r="I1335" s="20" t="str">
        <x:v>MERICS/Carnegie Chinese overseas PSC source register</x:v>
      </x:c>
      <x:c r="J1335" s="397" t="str">
        <x:v>https://merics.org/en/report/guardians-belt-and-road</x:v>
      </x:c>
      <x:c r="K1335" s="20" t="str">
        <x:v>Primary source-register URL; automated screening score</x:v>
      </x:c>
      <x:c r="L1335" s="20" t="str">
        <x:v>2026-05-20</x:v>
      </x:c>
      <x:c r="M1335" s="20" t="str">
        <x:v>2026-05-20</x:v>
      </x:c>
      <x:c r="N1335" s="20" t="str">
        <x:v>GPT-5.5 Pro</x:v>
      </x:c>
      <x:c r="O1335" s="20" t="str">
        <x:v>Needs review</x:v>
      </x:c>
      <x:c r="P1335" s="20" t="str">
        <x:v>Screening score for China / PMC presence in Papua New Guinea; verify with country-specific evidence before final use.</x:v>
      </x:c>
    </x:row>
    <x:row r="1336" ht="24" customHeight="1">
      <x:c r="A1336" s="20" t="str">
        <x:v>PNG|China|Election interference</x:v>
      </x:c>
      <x:c r="B1336" s="20" t="str">
        <x:v>Papua New Guinea</x:v>
      </x:c>
      <x:c r="C1336" s="20" t="str">
        <x:v>PNG</x:v>
      </x:c>
      <x:c r="D1336" s="20" t="str">
        <x:v>China</x:v>
      </x:c>
      <x:c r="E1336" s="20" t="str">
        <x:v>Chinese influence</x:v>
      </x:c>
      <x:c r="F1336" s="20" t="str">
        <x:v>Election interference</x:v>
      </x:c>
      <x:c r="G1336" s="384" t="n">
        <x:v>3</x:v>
      </x:c>
      <x:c r="H1336" s="396" t="n">
        <x:v>3</x:v>
      </x:c>
      <x:c r="I1336" s="20" t="str">
        <x:v>EEAS/ODNI China election-FIMI source register</x:v>
      </x:c>
      <x:c r="J1336" s="397" t="str">
        <x:v>https://www.eeas.europa.eu/eeas/4th-eeas-annual-report-foreign-information-manipulation-and-interference-threats_en</x:v>
      </x:c>
      <x:c r="K1336" s="20" t="str">
        <x:v>Primary source-register URL; automated screening score</x:v>
      </x:c>
      <x:c r="L1336" s="20" t="str">
        <x:v>2026-05-20</x:v>
      </x:c>
      <x:c r="M1336" s="20" t="str">
        <x:v>2026-05-20</x:v>
      </x:c>
      <x:c r="N1336" s="20" t="str">
        <x:v>GPT-5.5 Pro</x:v>
      </x:c>
      <x:c r="O1336" s="20" t="str">
        <x:v>Needs review</x:v>
      </x:c>
      <x:c r="P1336" s="20" t="str">
        <x:v>Screening score for China / Election interference in Papua New Guinea; verify with country-specific evidence before final use.</x:v>
      </x:c>
    </x:row>
    <x:row r="1337" ht="24" customHeight="1">
      <x:c r="A1337" s="20" t="str">
        <x:v>PNG|China|Security contractors</x:v>
      </x:c>
      <x:c r="B1337" s="20" t="str">
        <x:v>Papua New Guinea</x:v>
      </x:c>
      <x:c r="C1337" s="20" t="str">
        <x:v>PNG</x:v>
      </x:c>
      <x:c r="D1337" s="20" t="str">
        <x:v>China</x:v>
      </x:c>
      <x:c r="E1337" s="20" t="str">
        <x:v>Chinese influence</x:v>
      </x:c>
      <x:c r="F1337" s="20" t="str">
        <x:v>Security contractors</x:v>
      </x:c>
      <x:c r="G1337" s="384" t="n">
        <x:v>2</x:v>
      </x:c>
      <x:c r="H1337" s="396" t="n">
        <x:v>2</x:v>
      </x:c>
      <x:c r="I1337" s="20" t="str">
        <x:v>MERICS/Carnegie Chinese security contractor source register</x:v>
      </x:c>
      <x:c r="J1337" s="397" t="str">
        <x:v>https://merics.org/en/report/guardians-belt-and-road</x:v>
      </x:c>
      <x:c r="K1337" s="20" t="str">
        <x:v>Primary source-register URL; automated screening score</x:v>
      </x:c>
      <x:c r="L1337" s="20" t="str">
        <x:v>2026-05-20</x:v>
      </x:c>
      <x:c r="M1337" s="20" t="str">
        <x:v>2026-05-20</x:v>
      </x:c>
      <x:c r="N1337" s="20" t="str">
        <x:v>GPT-5.5 Pro</x:v>
      </x:c>
      <x:c r="O1337" s="20" t="str">
        <x:v>Needs review</x:v>
      </x:c>
      <x:c r="P1337" s="20" t="str">
        <x:v>Screening score for China / Security contractors in Papua New Guinea; verify with country-specific evidence before final use.</x:v>
      </x:c>
    </x:row>
    <x:row r="1338" ht="24" customHeight="1">
      <x:c r="A1338" s="20" t="str">
        <x:v>PNG|United States|Propaganda ecosystems</x:v>
      </x:c>
      <x:c r="B1338" s="20" t="str">
        <x:v>Papua New Guinea</x:v>
      </x:c>
      <x:c r="C1338" s="20" t="str">
        <x:v>PNG</x:v>
      </x:c>
      <x:c r="D1338" s="20" t="str">
        <x:v>United States</x:v>
      </x:c>
      <x:c r="E1338" s="20" t="str">
        <x:v>American influence</x:v>
      </x:c>
      <x:c r="F1338" s="20" t="str">
        <x:v>Propaganda ecosystems</x:v>
      </x:c>
      <x:c r="G1338" s="384" t="n">
        <x:v>3</x:v>
      </x:c>
      <x:c r="H1338" s="396" t="n">
        <x:v>3</x:v>
      </x:c>
      <x:c r="I1338" s="20" t="str">
        <x:v>USAGM public media source register</x:v>
      </x:c>
      <x:c r="J1338" s="397" t="str">
        <x:v>https://www.usagm.gov/our-work/strategy-and-results/strategic-priorities/research-reports/</x:v>
      </x:c>
      <x:c r="K1338" s="20" t="str">
        <x:v>Primary source-register URL; automated screening score</x:v>
      </x:c>
      <x:c r="L1338" s="20" t="str">
        <x:v>2026-05-20</x:v>
      </x:c>
      <x:c r="M1338" s="20" t="str">
        <x:v>2026-05-20</x:v>
      </x:c>
      <x:c r="N1338" s="20" t="str">
        <x:v>GPT-5.5 Pro</x:v>
      </x:c>
      <x:c r="O1338" s="20" t="str">
        <x:v>Needs review</x:v>
      </x:c>
      <x:c r="P1338" s="20" t="str">
        <x:v>Screening score for United States / Propaganda ecosystems in Papua New Guinea; verify with country-specific evidence before final use.</x:v>
      </x:c>
    </x:row>
    <x:row r="1339" ht="24" customHeight="1">
      <x:c r="A1339" s="20" t="str">
        <x:v>PNG|United States|PMC presence</x:v>
      </x:c>
      <x:c r="B1339" s="20" t="str">
        <x:v>Papua New Guinea</x:v>
      </x:c>
      <x:c r="C1339" s="20" t="str">
        <x:v>PNG</x:v>
      </x:c>
      <x:c r="D1339" s="20" t="str">
        <x:v>United States</x:v>
      </x:c>
      <x:c r="E1339" s="20" t="str">
        <x:v>American influence</x:v>
      </x:c>
      <x:c r="F1339" s="20" t="str">
        <x:v>PMC presence</x:v>
      </x:c>
      <x:c r="G1339" s="384" t="n">
        <x:v>1</x:v>
      </x:c>
      <x:c r="H1339" s="396" t="n">
        <x:v>2</x:v>
      </x:c>
      <x:c r="I1339" s="20" t="str">
        <x:v>SAM/Greenbook U.S. security assistance contractor source register</x:v>
      </x:c>
      <x:c r="J1339" s="397" t="str">
        <x:v>https://internationalpolicy.org/programs/sam/</x:v>
      </x:c>
      <x:c r="K1339" s="20" t="str">
        <x:v>Primary source-register URL; automated screening score</x:v>
      </x:c>
      <x:c r="L1339" s="20" t="str">
        <x:v>2026-05-20</x:v>
      </x:c>
      <x:c r="M1339" s="20" t="str">
        <x:v>2026-05-20</x:v>
      </x:c>
      <x:c r="N1339" s="20" t="str">
        <x:v>GPT-5.5 Pro</x:v>
      </x:c>
      <x:c r="O1339" s="20" t="str">
        <x:v>Needs review</x:v>
      </x:c>
      <x:c r="P1339" s="20" t="str">
        <x:v>Screening score for United States / PMC presence in Papua New Guinea; verify with country-specific evidence before final use.</x:v>
      </x:c>
    </x:row>
    <x:row r="1340" ht="24" customHeight="1">
      <x:c r="A1340" s="20" t="str">
        <x:v>PNG|United States|Election interference</x:v>
      </x:c>
      <x:c r="B1340" s="20" t="str">
        <x:v>Papua New Guinea</x:v>
      </x:c>
      <x:c r="C1340" s="20" t="str">
        <x:v>PNG</x:v>
      </x:c>
      <x:c r="D1340" s="20" t="str">
        <x:v>United States</x:v>
      </x:c>
      <x:c r="E1340" s="20" t="str">
        <x:v>American influence</x:v>
      </x:c>
      <x:c r="F1340" s="20" t="str">
        <x:v>Election interference</x:v>
      </x:c>
      <x:c r="G1340" s="384" t="n">
        <x:v>1</x:v>
      </x:c>
      <x:c r="H1340" s="396" t="n">
        <x:v>2</x:v>
      </x:c>
      <x:c r="I1340" s="20" t="str">
        <x:v>NED/Greenbook democracy assistance source register</x:v>
      </x:c>
      <x:c r="J1340" s="397" t="str">
        <x:v>https://www.ned.org/ned-grantmaking/</x:v>
      </x:c>
      <x:c r="K1340" s="20" t="str">
        <x:v>Primary source-register URL; automated screening score</x:v>
      </x:c>
      <x:c r="L1340" s="20" t="str">
        <x:v>2026-05-20</x:v>
      </x:c>
      <x:c r="M1340" s="20" t="str">
        <x:v>2026-05-20</x:v>
      </x:c>
      <x:c r="N1340" s="20" t="str">
        <x:v>GPT-5.5 Pro</x:v>
      </x:c>
      <x:c r="O1340" s="20" t="str">
        <x:v>Needs review</x:v>
      </x:c>
      <x:c r="P1340" s="20" t="str">
        <x:v>Screening score for United States / Election interference in Papua New Guinea; verify with country-specific evidence before final use.</x:v>
      </x:c>
    </x:row>
    <x:row r="1341" ht="24" customHeight="1">
      <x:c r="A1341" s="20" t="str">
        <x:v>PNG|United States|Security contractors</x:v>
      </x:c>
      <x:c r="B1341" s="20" t="str">
        <x:v>Papua New Guinea</x:v>
      </x:c>
      <x:c r="C1341" s="20" t="str">
        <x:v>PNG</x:v>
      </x:c>
      <x:c r="D1341" s="20" t="str">
        <x:v>United States</x:v>
      </x:c>
      <x:c r="E1341" s="20" t="str">
        <x:v>American influence</x:v>
      </x:c>
      <x:c r="F1341" s="20" t="str">
        <x:v>Security contractors</x:v>
      </x:c>
      <x:c r="G1341" s="384" t="n">
        <x:v>2</x:v>
      </x:c>
      <x:c r="H1341" s="396" t="n">
        <x:v>2</x:v>
      </x:c>
      <x:c r="I1341" s="20" t="str">
        <x:v>SAM/Greenbook U.S. security contractor source register</x:v>
      </x:c>
      <x:c r="J1341" s="397" t="str">
        <x:v>https://internationalpolicy.org/programs/sam/</x:v>
      </x:c>
      <x:c r="K1341" s="20" t="str">
        <x:v>Primary source-register URL; automated screening score</x:v>
      </x:c>
      <x:c r="L1341" s="20" t="str">
        <x:v>2026-05-20</x:v>
      </x:c>
      <x:c r="M1341" s="20" t="str">
        <x:v>2026-05-20</x:v>
      </x:c>
      <x:c r="N1341" s="20" t="str">
        <x:v>GPT-5.5 Pro</x:v>
      </x:c>
      <x:c r="O1341" s="20" t="str">
        <x:v>Needs review</x:v>
      </x:c>
      <x:c r="P1341" s="20" t="str">
        <x:v>Screening score for United States / Security contractors in Papua New Guinea; verify with country-specific evidence before final use.</x:v>
      </x:c>
    </x:row>
    <x:row r="1342" ht="24" customHeight="1">
      <x:c r="A1342" s="20" t="str">
        <x:v>PNG|European Union|Propaganda ecosystems</x:v>
      </x:c>
      <x:c r="B1342" s="20" t="str">
        <x:v>Papua New Guinea</x:v>
      </x:c>
      <x:c r="C1342" s="20" t="str">
        <x:v>PNG</x:v>
      </x:c>
      <x:c r="D1342" s="20" t="str">
        <x:v>European Union</x:v>
      </x:c>
      <x:c r="E1342" s="20" t="str">
        <x:v>EU influence</x:v>
      </x:c>
      <x:c r="F1342" s="20" t="str">
        <x:v>Propaganda ecosystems</x:v>
      </x:c>
      <x:c r="G1342" s="384" t="n">
        <x:v>2</x:v>
      </x:c>
      <x:c r="H1342" s="396" t="n">
        <x:v>2</x:v>
      </x:c>
      <x:c r="I1342" s="20" t="str">
        <x:v>EEAS public diplomacy source register</x:v>
      </x:c>
      <x:c r="J1342" s="397" t="str">
        <x:v>https://www.eeas.europa.eu/eeas/public-diplomacy_en</x:v>
      </x:c>
      <x:c r="K1342" s="20" t="str">
        <x:v>Primary source-register URL; automated screening score</x:v>
      </x:c>
      <x:c r="L1342" s="20" t="str">
        <x:v>2026-05-20</x:v>
      </x:c>
      <x:c r="M1342" s="20" t="str">
        <x:v>2026-05-20</x:v>
      </x:c>
      <x:c r="N1342" s="20" t="str">
        <x:v>GPT-5.5 Pro</x:v>
      </x:c>
      <x:c r="O1342" s="20" t="str">
        <x:v>Needs review</x:v>
      </x:c>
      <x:c r="P1342" s="20" t="str">
        <x:v>Screening score for European Union / Propaganda ecosystems in Papua New Guinea; verify with country-specific evidence before final use.</x:v>
      </x:c>
    </x:row>
    <x:row r="1343" ht="24" customHeight="1">
      <x:c r="A1343" s="20" t="str">
        <x:v>PNG|European Union|PMC presence</x:v>
      </x:c>
      <x:c r="B1343" s="20" t="str">
        <x:v>Papua New Guinea</x:v>
      </x:c>
      <x:c r="C1343" s="20" t="str">
        <x:v>PNG</x:v>
      </x:c>
      <x:c r="D1343" s="20" t="str">
        <x:v>European Union</x:v>
      </x:c>
      <x:c r="E1343" s="20" t="str">
        <x:v>EU influence</x:v>
      </x:c>
      <x:c r="F1343" s="20" t="str">
        <x:v>PMC presence</x:v>
      </x:c>
      <x:c r="G1343" s="384" t="n">
        <x:v>0</x:v>
      </x:c>
      <x:c r="H1343" s="396" t="n">
        <x:v>1</x:v>
      </x:c>
      <x:c r="I1343" s="20" t="str">
        <x:v>EEAS CSDP missions source register</x:v>
      </x:c>
      <x:c r="J1343" s="397" t="str">
        <x:v>https://www.eeas.europa.eu/eeas/missions-and-operations_en</x:v>
      </x:c>
      <x:c r="K1343" s="20" t="str">
        <x:v>Primary source-register URL; automated screening score</x:v>
      </x:c>
      <x:c r="L1343" s="20" t="str">
        <x:v>2026-05-20</x:v>
      </x:c>
      <x:c r="M1343" s="20" t="str">
        <x:v>2026-05-20</x:v>
      </x:c>
      <x:c r="N1343" s="20" t="str">
        <x:v>GPT-5.5 Pro</x:v>
      </x:c>
      <x:c r="O1343" s="20" t="str">
        <x:v>Needs review</x:v>
      </x:c>
      <x:c r="P1343" s="20" t="str">
        <x:v>Screening score for European Union / PMC presence in Papua New Guinea; verify with country-specific evidence before final use.</x:v>
      </x:c>
    </x:row>
    <x:row r="1344" ht="24" customHeight="1">
      <x:c r="A1344" s="20" t="str">
        <x:v>PNG|European Union|Election interference</x:v>
      </x:c>
      <x:c r="B1344" s="20" t="str">
        <x:v>Papua New Guinea</x:v>
      </x:c>
      <x:c r="C1344" s="20" t="str">
        <x:v>PNG</x:v>
      </x:c>
      <x:c r="D1344" s="20" t="str">
        <x:v>European Union</x:v>
      </x:c>
      <x:c r="E1344" s="20" t="str">
        <x:v>EU influence</x:v>
      </x:c>
      <x:c r="F1344" s="20" t="str">
        <x:v>Election interference</x:v>
      </x:c>
      <x:c r="G1344" s="384" t="n">
        <x:v>1</x:v>
      </x:c>
      <x:c r="H1344" s="396" t="n">
        <x:v>2</x:v>
      </x:c>
      <x:c r="I1344" s="20" t="str">
        <x:v>EEAS EU election observation source register</x:v>
      </x:c>
      <x:c r="J1344" s="397" t="str">
        <x:v>https://www.eeas.europa.eu/eeas/eu-election-observation-missions-1_en?page_lang=en</x:v>
      </x:c>
      <x:c r="K1344" s="20" t="str">
        <x:v>Primary source-register URL; automated screening score</x:v>
      </x:c>
      <x:c r="L1344" s="20" t="str">
        <x:v>2026-05-20</x:v>
      </x:c>
      <x:c r="M1344" s="20" t="str">
        <x:v>2026-05-20</x:v>
      </x:c>
      <x:c r="N1344" s="20" t="str">
        <x:v>GPT-5.5 Pro</x:v>
      </x:c>
      <x:c r="O1344" s="20" t="str">
        <x:v>Needs review</x:v>
      </x:c>
      <x:c r="P1344" s="20" t="str">
        <x:v>Screening score for European Union / Election interference in Papua New Guinea; verify with country-specific evidence before final use.</x:v>
      </x:c>
    </x:row>
    <x:row r="1345" ht="24" customHeight="1">
      <x:c r="A1345" s="20" t="str">
        <x:v>PNG|European Union|Security contractors</x:v>
      </x:c>
      <x:c r="B1345" s="20" t="str">
        <x:v>Papua New Guinea</x:v>
      </x:c>
      <x:c r="C1345" s="20" t="str">
        <x:v>PNG</x:v>
      </x:c>
      <x:c r="D1345" s="20" t="str">
        <x:v>European Union</x:v>
      </x:c>
      <x:c r="E1345" s="20" t="str">
        <x:v>EU influence</x:v>
      </x:c>
      <x:c r="F1345" s="20" t="str">
        <x:v>Security contractors</x:v>
      </x:c>
      <x:c r="G1345" s="384" t="n">
        <x:v>1</x:v>
      </x:c>
      <x:c r="H1345" s="396" t="n">
        <x:v>2</x:v>
      </x:c>
      <x:c r="I1345" s="20" t="str">
        <x:v>EEAS CSDP / Global Gateway security source register</x:v>
      </x:c>
      <x:c r="J1345" s="397" t="str">
        <x:v>https://www.eeas.europa.eu/eeas/missions-and-operations_en</x:v>
      </x:c>
      <x:c r="K1345" s="20" t="str">
        <x:v>Primary source-register URL; automated screening score</x:v>
      </x:c>
      <x:c r="L1345" s="20" t="str">
        <x:v>2026-05-20</x:v>
      </x:c>
      <x:c r="M1345" s="20" t="str">
        <x:v>2026-05-20</x:v>
      </x:c>
      <x:c r="N1345" s="20" t="str">
        <x:v>GPT-5.5 Pro</x:v>
      </x:c>
      <x:c r="O1345" s="20" t="str">
        <x:v>Needs review</x:v>
      </x:c>
      <x:c r="P1345" s="20" t="str">
        <x:v>Screening score for European Union / Security contractors in Papua New Guinea; verify with country-specific evidence before final use.</x:v>
      </x:c>
    </x:row>
    <x:row r="1346" ht="24" customHeight="1">
      <x:c r="A1346" s="20" t="str">
        <x:v>PER|Russia|Propaganda ecosystems</x:v>
      </x:c>
      <x:c r="B1346" s="20" t="str">
        <x:v>Peru</x:v>
      </x:c>
      <x:c r="C1346" s="20" t="str">
        <x:v>PER</x:v>
      </x:c>
      <x:c r="D1346" s="20" t="str">
        <x:v>Russia</x:v>
      </x:c>
      <x:c r="E1346" s="20" t="str">
        <x:v>Russian influence</x:v>
      </x:c>
      <x:c r="F1346" s="20" t="str">
        <x:v>Propaganda ecosystems</x:v>
      </x:c>
      <x:c r="G1346" s="384" t="n">
        <x:v>3</x:v>
      </x:c>
      <x:c r="H1346" s="396" t="n">
        <x:v>3</x:v>
      </x:c>
      <x:c r="I1346" s="20" t="str">
        <x:v>EEAS/EUvsDisinfo FIMI source register</x:v>
      </x:c>
      <x:c r="J1346" s="397" t="str">
        <x:v>https://www.eeas.europa.eu/eeas/4th-eeas-annual-report-foreign-information-manipulation-and-interference-threats_en</x:v>
      </x:c>
      <x:c r="K1346" s="20" t="str">
        <x:v>Primary source-register URL; automated screening score</x:v>
      </x:c>
      <x:c r="L1346" s="20" t="str">
        <x:v>2026-05-20</x:v>
      </x:c>
      <x:c r="M1346" s="20" t="str">
        <x:v>2026-05-20</x:v>
      </x:c>
      <x:c r="N1346" s="20" t="str">
        <x:v>GPT-5.5 Pro</x:v>
      </x:c>
      <x:c r="O1346" s="20" t="str">
        <x:v>Needs review</x:v>
      </x:c>
      <x:c r="P1346" s="20" t="str">
        <x:v>Screening score for Russia / Propaganda ecosystems in Peru; verify with country-specific evidence before final use.</x:v>
      </x:c>
    </x:row>
    <x:row r="1347" ht="24" customHeight="1">
      <x:c r="A1347" s="20" t="str">
        <x:v>PER|Russia|PMC presence</x:v>
      </x:c>
      <x:c r="B1347" s="20" t="str">
        <x:v>Peru</x:v>
      </x:c>
      <x:c r="C1347" s="20" t="str">
        <x:v>PER</x:v>
      </x:c>
      <x:c r="D1347" s="20" t="str">
        <x:v>Russia</x:v>
      </x:c>
      <x:c r="E1347" s="20" t="str">
        <x:v>Russian influence</x:v>
      </x:c>
      <x:c r="F1347" s="20" t="str">
        <x:v>PMC presence</x:v>
      </x:c>
      <x:c r="G1347" s="384" t="n">
        <x:v>0</x:v>
      </x:c>
      <x:c r="H1347" s="396" t="n">
        <x:v>1</x:v>
      </x:c>
      <x:c r="I1347" s="20" t="str">
        <x:v>Treasury and Council of the EU Wagner/PMC source register</x:v>
      </x:c>
      <x:c r="J1347" s="397" t="str">
        <x:v>https://www.consilium.europa.eu/en/press/press-releases/2023/02/25/wagner-group-council-adds-11-individuals-and-7-entities-to-eu-sanctions-lists/</x:v>
      </x:c>
      <x:c r="K1347" s="20" t="str">
        <x:v>Primary source-register URL; automated screening score</x:v>
      </x:c>
      <x:c r="L1347" s="20" t="str">
        <x:v>2026-05-20</x:v>
      </x:c>
      <x:c r="M1347" s="20" t="str">
        <x:v>2026-05-20</x:v>
      </x:c>
      <x:c r="N1347" s="20" t="str">
        <x:v>GPT-5.5 Pro</x:v>
      </x:c>
      <x:c r="O1347" s="20" t="str">
        <x:v>Needs review</x:v>
      </x:c>
      <x:c r="P1347" s="20" t="str">
        <x:v>Screening score for Russia / PMC presence in Peru; verify with country-specific evidence before final use.</x:v>
      </x:c>
    </x:row>
    <x:row r="1348" ht="24" customHeight="1">
      <x:c r="A1348" s="20" t="str">
        <x:v>PER|Russia|Election interference</x:v>
      </x:c>
      <x:c r="B1348" s="20" t="str">
        <x:v>Peru</x:v>
      </x:c>
      <x:c r="C1348" s="20" t="str">
        <x:v>PER</x:v>
      </x:c>
      <x:c r="D1348" s="20" t="str">
        <x:v>Russia</x:v>
      </x:c>
      <x:c r="E1348" s="20" t="str">
        <x:v>Russian influence</x:v>
      </x:c>
      <x:c r="F1348" s="20" t="str">
        <x:v>Election interference</x:v>
      </x:c>
      <x:c r="G1348" s="384" t="n">
        <x:v>2</x:v>
      </x:c>
      <x:c r="H1348" s="396" t="n">
        <x:v>2</x:v>
      </x:c>
      <x:c r="I1348" s="20" t="str">
        <x:v>ODNI/EEAS election-FIMI source register</x:v>
      </x:c>
      <x:c r="J1348" s="397" t="str">
        <x:v>https://www.dni.gov/files/ODNI/documents/assessments/ATA-2026-Unclassified-Report.pdf</x:v>
      </x:c>
      <x:c r="K1348" s="20" t="str">
        <x:v>Primary source-register URL; automated screening score</x:v>
      </x:c>
      <x:c r="L1348" s="20" t="str">
        <x:v>2026-05-20</x:v>
      </x:c>
      <x:c r="M1348" s="20" t="str">
        <x:v>2026-05-20</x:v>
      </x:c>
      <x:c r="N1348" s="20" t="str">
        <x:v>GPT-5.5 Pro</x:v>
      </x:c>
      <x:c r="O1348" s="20" t="str">
        <x:v>Needs review</x:v>
      </x:c>
      <x:c r="P1348" s="20" t="str">
        <x:v>Screening score for Russia / Election interference in Peru; verify with country-specific evidence before final use.</x:v>
      </x:c>
    </x:row>
    <x:row r="1349" ht="24" customHeight="1">
      <x:c r="A1349" s="20" t="str">
        <x:v>PER|Russia|Security contractors</x:v>
      </x:c>
      <x:c r="B1349" s="20" t="str">
        <x:v>Peru</x:v>
      </x:c>
      <x:c r="C1349" s="20" t="str">
        <x:v>PER</x:v>
      </x:c>
      <x:c r="D1349" s="20" t="str">
        <x:v>Russia</x:v>
      </x:c>
      <x:c r="E1349" s="20" t="str">
        <x:v>Russian influence</x:v>
      </x:c>
      <x:c r="F1349" s="20" t="str">
        <x:v>Security contractors</x:v>
      </x:c>
      <x:c r="G1349" s="384" t="n">
        <x:v>0</x:v>
      </x:c>
      <x:c r="H1349" s="396" t="n">
        <x:v>1</x:v>
      </x:c>
      <x:c r="I1349" s="20" t="str">
        <x:v>Council of the EU/Treasury Wagner-security source register</x:v>
      </x:c>
      <x:c r="J1349" s="397" t="str">
        <x:v>https://www.consilium.europa.eu/en/press/press-releases/2023/02/25/wagner-group-council-adds-11-individuals-and-7-entities-to-eu-sanctions-lists/</x:v>
      </x:c>
      <x:c r="K1349" s="20" t="str">
        <x:v>Primary source-register URL; automated screening score</x:v>
      </x:c>
      <x:c r="L1349" s="20" t="str">
        <x:v>2026-05-20</x:v>
      </x:c>
      <x:c r="M1349" s="20" t="str">
        <x:v>2026-05-20</x:v>
      </x:c>
      <x:c r="N1349" s="20" t="str">
        <x:v>GPT-5.5 Pro</x:v>
      </x:c>
      <x:c r="O1349" s="20" t="str">
        <x:v>Needs review</x:v>
      </x:c>
      <x:c r="P1349" s="20" t="str">
        <x:v>Screening score for Russia / Security contractors in Peru; verify with country-specific evidence before final use.</x:v>
      </x:c>
    </x:row>
    <x:row r="1350" ht="24" customHeight="1">
      <x:c r="A1350" s="20" t="str">
        <x:v>PER|China|Propaganda ecosystems</x:v>
      </x:c>
      <x:c r="B1350" s="20" t="str">
        <x:v>Peru</x:v>
      </x:c>
      <x:c r="C1350" s="20" t="str">
        <x:v>PER</x:v>
      </x:c>
      <x:c r="D1350" s="20" t="str">
        <x:v>China</x:v>
      </x:c>
      <x:c r="E1350" s="20" t="str">
        <x:v>Chinese influence</x:v>
      </x:c>
      <x:c r="F1350" s="20" t="str">
        <x:v>Propaganda ecosystems</x:v>
      </x:c>
      <x:c r="G1350" s="384" t="n">
        <x:v>4</x:v>
      </x:c>
      <x:c r="H1350" s="396" t="n">
        <x:v>3</x:v>
      </x:c>
      <x:c r="I1350" s="20" t="str">
        <x:v>EEAS/ODNI China FIMI source register</x:v>
      </x:c>
      <x:c r="J1350" s="397" t="str">
        <x:v>https://www.eeas.europa.eu/eeas/4th-eeas-annual-report-foreign-information-manipulation-and-interference-threats_en</x:v>
      </x:c>
      <x:c r="K1350" s="20" t="str">
        <x:v>Primary source-register URL; automated screening score</x:v>
      </x:c>
      <x:c r="L1350" s="20" t="str">
        <x:v>2026-05-20</x:v>
      </x:c>
      <x:c r="M1350" s="20" t="str">
        <x:v>2026-05-20</x:v>
      </x:c>
      <x:c r="N1350" s="20" t="str">
        <x:v>GPT-5.5 Pro</x:v>
      </x:c>
      <x:c r="O1350" s="20" t="str">
        <x:v>Needs review</x:v>
      </x:c>
      <x:c r="P1350" s="20" t="str">
        <x:v>Screening score for China / Propaganda ecosystems in Peru; verify with country-specific evidence before final use.</x:v>
      </x:c>
    </x:row>
    <x:row r="1351" ht="24" customHeight="1">
      <x:c r="A1351" s="20" t="str">
        <x:v>PER|China|PMC presence</x:v>
      </x:c>
      <x:c r="B1351" s="20" t="str">
        <x:v>Peru</x:v>
      </x:c>
      <x:c r="C1351" s="20" t="str">
        <x:v>PER</x:v>
      </x:c>
      <x:c r="D1351" s="20" t="str">
        <x:v>China</x:v>
      </x:c>
      <x:c r="E1351" s="20" t="str">
        <x:v>Chinese influence</x:v>
      </x:c>
      <x:c r="F1351" s="20" t="str">
        <x:v>PMC presence</x:v>
      </x:c>
      <x:c r="G1351" s="384" t="n">
        <x:v>0</x:v>
      </x:c>
      <x:c r="H1351" s="396" t="n">
        <x:v>1</x:v>
      </x:c>
      <x:c r="I1351" s="20" t="str">
        <x:v>MERICS/Carnegie Chinese overseas PSC source register</x:v>
      </x:c>
      <x:c r="J1351" s="397" t="str">
        <x:v>https://merics.org/en/report/guardians-belt-and-road</x:v>
      </x:c>
      <x:c r="K1351" s="20" t="str">
        <x:v>Primary source-register URL; automated screening score</x:v>
      </x:c>
      <x:c r="L1351" s="20" t="str">
        <x:v>2026-05-20</x:v>
      </x:c>
      <x:c r="M1351" s="20" t="str">
        <x:v>2026-05-20</x:v>
      </x:c>
      <x:c r="N1351" s="20" t="str">
        <x:v>GPT-5.5 Pro</x:v>
      </x:c>
      <x:c r="O1351" s="20" t="str">
        <x:v>Needs review</x:v>
      </x:c>
      <x:c r="P1351" s="20" t="str">
        <x:v>Screening score for China / PMC presence in Peru; verify with country-specific evidence before final use.</x:v>
      </x:c>
    </x:row>
    <x:row r="1352" ht="24" customHeight="1">
      <x:c r="A1352" s="20" t="str">
        <x:v>PER|China|Election interference</x:v>
      </x:c>
      <x:c r="B1352" s="20" t="str">
        <x:v>Peru</x:v>
      </x:c>
      <x:c r="C1352" s="20" t="str">
        <x:v>PER</x:v>
      </x:c>
      <x:c r="D1352" s="20" t="str">
        <x:v>China</x:v>
      </x:c>
      <x:c r="E1352" s="20" t="str">
        <x:v>Chinese influence</x:v>
      </x:c>
      <x:c r="F1352" s="20" t="str">
        <x:v>Election interference</x:v>
      </x:c>
      <x:c r="G1352" s="384" t="n">
        <x:v>2</x:v>
      </x:c>
      <x:c r="H1352" s="396" t="n">
        <x:v>2</x:v>
      </x:c>
      <x:c r="I1352" s="20" t="str">
        <x:v>EEAS/ODNI China election-FIMI source register</x:v>
      </x:c>
      <x:c r="J1352" s="397" t="str">
        <x:v>https://www.eeas.europa.eu/eeas/4th-eeas-annual-report-foreign-information-manipulation-and-interference-threats_en</x:v>
      </x:c>
      <x:c r="K1352" s="20" t="str">
        <x:v>Primary source-register URL; automated screening score</x:v>
      </x:c>
      <x:c r="L1352" s="20" t="str">
        <x:v>2026-05-20</x:v>
      </x:c>
      <x:c r="M1352" s="20" t="str">
        <x:v>2026-05-20</x:v>
      </x:c>
      <x:c r="N1352" s="20" t="str">
        <x:v>GPT-5.5 Pro</x:v>
      </x:c>
      <x:c r="O1352" s="20" t="str">
        <x:v>Needs review</x:v>
      </x:c>
      <x:c r="P1352" s="20" t="str">
        <x:v>Screening score for China / Election interference in Peru; verify with country-specific evidence before final use.</x:v>
      </x:c>
    </x:row>
    <x:row r="1353" ht="24" customHeight="1">
      <x:c r="A1353" s="20" t="str">
        <x:v>PER|China|Security contractors</x:v>
      </x:c>
      <x:c r="B1353" s="20" t="str">
        <x:v>Peru</x:v>
      </x:c>
      <x:c r="C1353" s="20" t="str">
        <x:v>PER</x:v>
      </x:c>
      <x:c r="D1353" s="20" t="str">
        <x:v>China</x:v>
      </x:c>
      <x:c r="E1353" s="20" t="str">
        <x:v>Chinese influence</x:v>
      </x:c>
      <x:c r="F1353" s="20" t="str">
        <x:v>Security contractors</x:v>
      </x:c>
      <x:c r="G1353" s="384" t="n">
        <x:v>0</x:v>
      </x:c>
      <x:c r="H1353" s="396" t="n">
        <x:v>1</x:v>
      </x:c>
      <x:c r="I1353" s="20" t="str">
        <x:v>MERICS/Carnegie Chinese security contractor source register</x:v>
      </x:c>
      <x:c r="J1353" s="397" t="str">
        <x:v>https://merics.org/en/report/guardians-belt-and-road</x:v>
      </x:c>
      <x:c r="K1353" s="20" t="str">
        <x:v>Primary source-register URL; automated screening score</x:v>
      </x:c>
      <x:c r="L1353" s="20" t="str">
        <x:v>2026-05-20</x:v>
      </x:c>
      <x:c r="M1353" s="20" t="str">
        <x:v>2026-05-20</x:v>
      </x:c>
      <x:c r="N1353" s="20" t="str">
        <x:v>GPT-5.5 Pro</x:v>
      </x:c>
      <x:c r="O1353" s="20" t="str">
        <x:v>Needs review</x:v>
      </x:c>
      <x:c r="P1353" s="20" t="str">
        <x:v>Screening score for China / Security contractors in Peru; verify with country-specific evidence before final use.</x:v>
      </x:c>
    </x:row>
    <x:row r="1354" ht="24" customHeight="1">
      <x:c r="A1354" s="20" t="str">
        <x:v>PER|United States|Propaganda ecosystems</x:v>
      </x:c>
      <x:c r="B1354" s="20" t="str">
        <x:v>Peru</x:v>
      </x:c>
      <x:c r="C1354" s="20" t="str">
        <x:v>PER</x:v>
      </x:c>
      <x:c r="D1354" s="20" t="str">
        <x:v>United States</x:v>
      </x:c>
      <x:c r="E1354" s="20" t="str">
        <x:v>American influence</x:v>
      </x:c>
      <x:c r="F1354" s="20" t="str">
        <x:v>Propaganda ecosystems</x:v>
      </x:c>
      <x:c r="G1354" s="384" t="n">
        <x:v>3</x:v>
      </x:c>
      <x:c r="H1354" s="396" t="n">
        <x:v>3</x:v>
      </x:c>
      <x:c r="I1354" s="20" t="str">
        <x:v>USAGM public media source register</x:v>
      </x:c>
      <x:c r="J1354" s="397" t="str">
        <x:v>https://www.usagm.gov/our-work/strategy-and-results/strategic-priorities/research-reports/</x:v>
      </x:c>
      <x:c r="K1354" s="20" t="str">
        <x:v>Primary source-register URL; automated screening score</x:v>
      </x:c>
      <x:c r="L1354" s="20" t="str">
        <x:v>2026-05-20</x:v>
      </x:c>
      <x:c r="M1354" s="20" t="str">
        <x:v>2026-05-20</x:v>
      </x:c>
      <x:c r="N1354" s="20" t="str">
        <x:v>GPT-5.5 Pro</x:v>
      </x:c>
      <x:c r="O1354" s="20" t="str">
        <x:v>Needs review</x:v>
      </x:c>
      <x:c r="P1354" s="20" t="str">
        <x:v>Screening score for United States / Propaganda ecosystems in Peru; verify with country-specific evidence before final use.</x:v>
      </x:c>
    </x:row>
    <x:row r="1355" ht="24" customHeight="1">
      <x:c r="A1355" s="20" t="str">
        <x:v>PER|United States|PMC presence</x:v>
      </x:c>
      <x:c r="B1355" s="20" t="str">
        <x:v>Peru</x:v>
      </x:c>
      <x:c r="C1355" s="20" t="str">
        <x:v>PER</x:v>
      </x:c>
      <x:c r="D1355" s="20" t="str">
        <x:v>United States</x:v>
      </x:c>
      <x:c r="E1355" s="20" t="str">
        <x:v>American influence</x:v>
      </x:c>
      <x:c r="F1355" s="20" t="str">
        <x:v>PMC presence</x:v>
      </x:c>
      <x:c r="G1355" s="384" t="n">
        <x:v>2</x:v>
      </x:c>
      <x:c r="H1355" s="396" t="n">
        <x:v>2</x:v>
      </x:c>
      <x:c r="I1355" s="20" t="str">
        <x:v>SAM/Greenbook U.S. security assistance contractor source register</x:v>
      </x:c>
      <x:c r="J1355" s="397" t="str">
        <x:v>https://internationalpolicy.org/programs/sam/</x:v>
      </x:c>
      <x:c r="K1355" s="20" t="str">
        <x:v>Primary source-register URL; automated screening score</x:v>
      </x:c>
      <x:c r="L1355" s="20" t="str">
        <x:v>2026-05-20</x:v>
      </x:c>
      <x:c r="M1355" s="20" t="str">
        <x:v>2026-05-20</x:v>
      </x:c>
      <x:c r="N1355" s="20" t="str">
        <x:v>GPT-5.5 Pro</x:v>
      </x:c>
      <x:c r="O1355" s="20" t="str">
        <x:v>Needs review</x:v>
      </x:c>
      <x:c r="P1355" s="20" t="str">
        <x:v>Screening score for United States / PMC presence in Peru; verify with country-specific evidence before final use.</x:v>
      </x:c>
    </x:row>
    <x:row r="1356" ht="24" customHeight="1">
      <x:c r="A1356" s="20" t="str">
        <x:v>PER|United States|Election interference</x:v>
      </x:c>
      <x:c r="B1356" s="20" t="str">
        <x:v>Peru</x:v>
      </x:c>
      <x:c r="C1356" s="20" t="str">
        <x:v>PER</x:v>
      </x:c>
      <x:c r="D1356" s="20" t="str">
        <x:v>United States</x:v>
      </x:c>
      <x:c r="E1356" s="20" t="str">
        <x:v>American influence</x:v>
      </x:c>
      <x:c r="F1356" s="20" t="str">
        <x:v>Election interference</x:v>
      </x:c>
      <x:c r="G1356" s="384" t="n">
        <x:v>2</x:v>
      </x:c>
      <x:c r="H1356" s="396" t="n">
        <x:v>2</x:v>
      </x:c>
      <x:c r="I1356" s="20" t="str">
        <x:v>NED/Greenbook democracy assistance source register</x:v>
      </x:c>
      <x:c r="J1356" s="397" t="str">
        <x:v>https://www.ned.org/ned-grantmaking/</x:v>
      </x:c>
      <x:c r="K1356" s="20" t="str">
        <x:v>Primary source-register URL; automated screening score</x:v>
      </x:c>
      <x:c r="L1356" s="20" t="str">
        <x:v>2026-05-20</x:v>
      </x:c>
      <x:c r="M1356" s="20" t="str">
        <x:v>2026-05-20</x:v>
      </x:c>
      <x:c r="N1356" s="20" t="str">
        <x:v>GPT-5.5 Pro</x:v>
      </x:c>
      <x:c r="O1356" s="20" t="str">
        <x:v>Needs review</x:v>
      </x:c>
      <x:c r="P1356" s="20" t="str">
        <x:v>Screening score for United States / Election interference in Peru; verify with country-specific evidence before final use.</x:v>
      </x:c>
    </x:row>
    <x:row r="1357" ht="24" customHeight="1">
      <x:c r="A1357" s="20" t="str">
        <x:v>PER|United States|Security contractors</x:v>
      </x:c>
      <x:c r="B1357" s="20" t="str">
        <x:v>Peru</x:v>
      </x:c>
      <x:c r="C1357" s="20" t="str">
        <x:v>PER</x:v>
      </x:c>
      <x:c r="D1357" s="20" t="str">
        <x:v>United States</x:v>
      </x:c>
      <x:c r="E1357" s="20" t="str">
        <x:v>American influence</x:v>
      </x:c>
      <x:c r="F1357" s="20" t="str">
        <x:v>Security contractors</x:v>
      </x:c>
      <x:c r="G1357" s="384" t="n">
        <x:v>4</x:v>
      </x:c>
      <x:c r="H1357" s="396" t="n">
        <x:v>3</x:v>
      </x:c>
      <x:c r="I1357" s="20" t="str">
        <x:v>SAM/Greenbook U.S. security contractor source register</x:v>
      </x:c>
      <x:c r="J1357" s="397" t="str">
        <x:v>https://internationalpolicy.org/programs/sam/</x:v>
      </x:c>
      <x:c r="K1357" s="20" t="str">
        <x:v>Primary source-register URL; automated screening score</x:v>
      </x:c>
      <x:c r="L1357" s="20" t="str">
        <x:v>2026-05-20</x:v>
      </x:c>
      <x:c r="M1357" s="20" t="str">
        <x:v>2026-05-20</x:v>
      </x:c>
      <x:c r="N1357" s="20" t="str">
        <x:v>GPT-5.5 Pro</x:v>
      </x:c>
      <x:c r="O1357" s="20" t="str">
        <x:v>Needs review</x:v>
      </x:c>
      <x:c r="P1357" s="20" t="str">
        <x:v>Screening score for United States / Security contractors in Peru; verify with country-specific evidence before final use.</x:v>
      </x:c>
    </x:row>
    <x:row r="1358" ht="24" customHeight="1">
      <x:c r="A1358" s="20" t="str">
        <x:v>PER|European Union|Propaganda ecosystems</x:v>
      </x:c>
      <x:c r="B1358" s="20" t="str">
        <x:v>Peru</x:v>
      </x:c>
      <x:c r="C1358" s="20" t="str">
        <x:v>PER</x:v>
      </x:c>
      <x:c r="D1358" s="20" t="str">
        <x:v>European Union</x:v>
      </x:c>
      <x:c r="E1358" s="20" t="str">
        <x:v>EU influence</x:v>
      </x:c>
      <x:c r="F1358" s="20" t="str">
        <x:v>Propaganda ecosystems</x:v>
      </x:c>
      <x:c r="G1358" s="384" t="n">
        <x:v>3</x:v>
      </x:c>
      <x:c r="H1358" s="396" t="n">
        <x:v>3</x:v>
      </x:c>
      <x:c r="I1358" s="20" t="str">
        <x:v>EEAS public diplomacy source register</x:v>
      </x:c>
      <x:c r="J1358" s="397" t="str">
        <x:v>https://www.eeas.europa.eu/eeas/public-diplomacy_en</x:v>
      </x:c>
      <x:c r="K1358" s="20" t="str">
        <x:v>Primary source-register URL; automated screening score</x:v>
      </x:c>
      <x:c r="L1358" s="20" t="str">
        <x:v>2026-05-20</x:v>
      </x:c>
      <x:c r="M1358" s="20" t="str">
        <x:v>2026-05-20</x:v>
      </x:c>
      <x:c r="N1358" s="20" t="str">
        <x:v>GPT-5.5 Pro</x:v>
      </x:c>
      <x:c r="O1358" s="20" t="str">
        <x:v>Needs review</x:v>
      </x:c>
      <x:c r="P1358" s="20" t="str">
        <x:v>Screening score for European Union / Propaganda ecosystems in Peru; verify with country-specific evidence before final use.</x:v>
      </x:c>
    </x:row>
    <x:row r="1359" ht="24" customHeight="1">
      <x:c r="A1359" s="20" t="str">
        <x:v>PER|European Union|PMC presence</x:v>
      </x:c>
      <x:c r="B1359" s="20" t="str">
        <x:v>Peru</x:v>
      </x:c>
      <x:c r="C1359" s="20" t="str">
        <x:v>PER</x:v>
      </x:c>
      <x:c r="D1359" s="20" t="str">
        <x:v>European Union</x:v>
      </x:c>
      <x:c r="E1359" s="20" t="str">
        <x:v>EU influence</x:v>
      </x:c>
      <x:c r="F1359" s="20" t="str">
        <x:v>PMC presence</x:v>
      </x:c>
      <x:c r="G1359" s="384" t="n">
        <x:v>0</x:v>
      </x:c>
      <x:c r="H1359" s="396" t="n">
        <x:v>1</x:v>
      </x:c>
      <x:c r="I1359" s="20" t="str">
        <x:v>EEAS CSDP missions source register</x:v>
      </x:c>
      <x:c r="J1359" s="397" t="str">
        <x:v>https://www.eeas.europa.eu/eeas/missions-and-operations_en</x:v>
      </x:c>
      <x:c r="K1359" s="20" t="str">
        <x:v>Primary source-register URL; automated screening score</x:v>
      </x:c>
      <x:c r="L1359" s="20" t="str">
        <x:v>2026-05-20</x:v>
      </x:c>
      <x:c r="M1359" s="20" t="str">
        <x:v>2026-05-20</x:v>
      </x:c>
      <x:c r="N1359" s="20" t="str">
        <x:v>GPT-5.5 Pro</x:v>
      </x:c>
      <x:c r="O1359" s="20" t="str">
        <x:v>Needs review</x:v>
      </x:c>
      <x:c r="P1359" s="20" t="str">
        <x:v>Screening score for European Union / PMC presence in Peru; verify with country-specific evidence before final use.</x:v>
      </x:c>
    </x:row>
    <x:row r="1360" ht="24" customHeight="1">
      <x:c r="A1360" s="20" t="str">
        <x:v>PER|European Union|Election interference</x:v>
      </x:c>
      <x:c r="B1360" s="20" t="str">
        <x:v>Peru</x:v>
      </x:c>
      <x:c r="C1360" s="20" t="str">
        <x:v>PER</x:v>
      </x:c>
      <x:c r="D1360" s="20" t="str">
        <x:v>European Union</x:v>
      </x:c>
      <x:c r="E1360" s="20" t="str">
        <x:v>EU influence</x:v>
      </x:c>
      <x:c r="F1360" s="20" t="str">
        <x:v>Election interference</x:v>
      </x:c>
      <x:c r="G1360" s="384" t="n">
        <x:v>2</x:v>
      </x:c>
      <x:c r="H1360" s="396" t="n">
        <x:v>2</x:v>
      </x:c>
      <x:c r="I1360" s="20" t="str">
        <x:v>EEAS EU election observation source register</x:v>
      </x:c>
      <x:c r="J1360" s="397" t="str">
        <x:v>https://www.eeas.europa.eu/eeas/eu-election-observation-missions-1_en?page_lang=en</x:v>
      </x:c>
      <x:c r="K1360" s="20" t="str">
        <x:v>Primary source-register URL; automated screening score</x:v>
      </x:c>
      <x:c r="L1360" s="20" t="str">
        <x:v>2026-05-20</x:v>
      </x:c>
      <x:c r="M1360" s="20" t="str">
        <x:v>2026-05-20</x:v>
      </x:c>
      <x:c r="N1360" s="20" t="str">
        <x:v>GPT-5.5 Pro</x:v>
      </x:c>
      <x:c r="O1360" s="20" t="str">
        <x:v>Needs review</x:v>
      </x:c>
      <x:c r="P1360" s="20" t="str">
        <x:v>Screening score for European Union / Election interference in Peru; verify with country-specific evidence before final use.</x:v>
      </x:c>
    </x:row>
    <x:row r="1361" ht="24" customHeight="1">
      <x:c r="A1361" s="20" t="str">
        <x:v>PER|European Union|Security contractors</x:v>
      </x:c>
      <x:c r="B1361" s="20" t="str">
        <x:v>Peru</x:v>
      </x:c>
      <x:c r="C1361" s="20" t="str">
        <x:v>PER</x:v>
      </x:c>
      <x:c r="D1361" s="20" t="str">
        <x:v>European Union</x:v>
      </x:c>
      <x:c r="E1361" s="20" t="str">
        <x:v>EU influence</x:v>
      </x:c>
      <x:c r="F1361" s="20" t="str">
        <x:v>Security contractors</x:v>
      </x:c>
      <x:c r="G1361" s="384" t="n">
        <x:v>2</x:v>
      </x:c>
      <x:c r="H1361" s="396" t="n">
        <x:v>2</x:v>
      </x:c>
      <x:c r="I1361" s="20" t="str">
        <x:v>EEAS CSDP / Global Gateway security source register</x:v>
      </x:c>
      <x:c r="J1361" s="397" t="str">
        <x:v>https://www.eeas.europa.eu/eeas/missions-and-operations_en</x:v>
      </x:c>
      <x:c r="K1361" s="20" t="str">
        <x:v>Primary source-register URL; automated screening score</x:v>
      </x:c>
      <x:c r="L1361" s="20" t="str">
        <x:v>2026-05-20</x:v>
      </x:c>
      <x:c r="M1361" s="20" t="str">
        <x:v>2026-05-20</x:v>
      </x:c>
      <x:c r="N1361" s="20" t="str">
        <x:v>GPT-5.5 Pro</x:v>
      </x:c>
      <x:c r="O1361" s="20" t="str">
        <x:v>Needs review</x:v>
      </x:c>
      <x:c r="P1361" s="20" t="str">
        <x:v>Screening score for European Union / Security contractors in Peru; verify with country-specific evidence before final use.</x:v>
      </x:c>
    </x:row>
    <x:row r="1362" ht="24" customHeight="1">
      <x:c r="A1362" s="20" t="str">
        <x:v>PHL|Russia|Propaganda ecosystems</x:v>
      </x:c>
      <x:c r="B1362" s="20" t="str">
        <x:v>Philippines</x:v>
      </x:c>
      <x:c r="C1362" s="20" t="str">
        <x:v>PHL</x:v>
      </x:c>
      <x:c r="D1362" s="20" t="str">
        <x:v>Russia</x:v>
      </x:c>
      <x:c r="E1362" s="20" t="str">
        <x:v>Russian influence</x:v>
      </x:c>
      <x:c r="F1362" s="20" t="str">
        <x:v>Propaganda ecosystems</x:v>
      </x:c>
      <x:c r="G1362" s="384" t="n">
        <x:v>2</x:v>
      </x:c>
      <x:c r="H1362" s="396" t="n">
        <x:v>2</x:v>
      </x:c>
      <x:c r="I1362" s="20" t="str">
        <x:v>EEAS/EUvsDisinfo FIMI source register</x:v>
      </x:c>
      <x:c r="J1362" s="397" t="str">
        <x:v>https://www.eeas.europa.eu/eeas/4th-eeas-annual-report-foreign-information-manipulation-and-interference-threats_en</x:v>
      </x:c>
      <x:c r="K1362" s="20" t="str">
        <x:v>Primary source-register URL; automated screening score</x:v>
      </x:c>
      <x:c r="L1362" s="20" t="str">
        <x:v>2026-05-20</x:v>
      </x:c>
      <x:c r="M1362" s="20" t="str">
        <x:v>2026-05-20</x:v>
      </x:c>
      <x:c r="N1362" s="20" t="str">
        <x:v>GPT-5.5 Pro</x:v>
      </x:c>
      <x:c r="O1362" s="20" t="str">
        <x:v>Needs review</x:v>
      </x:c>
      <x:c r="P1362" s="20" t="str">
        <x:v>Screening score for Russia / Propaganda ecosystems in Philippines; verify with country-specific evidence before final use.</x:v>
      </x:c>
    </x:row>
    <x:row r="1363" ht="24" customHeight="1">
      <x:c r="A1363" s="20" t="str">
        <x:v>PHL|Russia|PMC presence</x:v>
      </x:c>
      <x:c r="B1363" s="20" t="str">
        <x:v>Philippines</x:v>
      </x:c>
      <x:c r="C1363" s="20" t="str">
        <x:v>PHL</x:v>
      </x:c>
      <x:c r="D1363" s="20" t="str">
        <x:v>Russia</x:v>
      </x:c>
      <x:c r="E1363" s="20" t="str">
        <x:v>Russian influence</x:v>
      </x:c>
      <x:c r="F1363" s="20" t="str">
        <x:v>PMC presence</x:v>
      </x:c>
      <x:c r="G1363" s="384" t="n">
        <x:v>0</x:v>
      </x:c>
      <x:c r="H1363" s="396" t="n">
        <x:v>1</x:v>
      </x:c>
      <x:c r="I1363" s="20" t="str">
        <x:v>Treasury and Council of the EU Wagner/PMC source register</x:v>
      </x:c>
      <x:c r="J1363" s="397" t="str">
        <x:v>https://www.consilium.europa.eu/en/press/press-releases/2023/02/25/wagner-group-council-adds-11-individuals-and-7-entities-to-eu-sanctions-lists/</x:v>
      </x:c>
      <x:c r="K1363" s="20" t="str">
        <x:v>Primary source-register URL; automated screening score</x:v>
      </x:c>
      <x:c r="L1363" s="20" t="str">
        <x:v>2026-05-20</x:v>
      </x:c>
      <x:c r="M1363" s="20" t="str">
        <x:v>2026-05-20</x:v>
      </x:c>
      <x:c r="N1363" s="20" t="str">
        <x:v>GPT-5.5 Pro</x:v>
      </x:c>
      <x:c r="O1363" s="20" t="str">
        <x:v>Needs review</x:v>
      </x:c>
      <x:c r="P1363" s="20" t="str">
        <x:v>Screening score for Russia / PMC presence in Philippines; verify with country-specific evidence before final use.</x:v>
      </x:c>
    </x:row>
    <x:row r="1364" ht="24" customHeight="1">
      <x:c r="A1364" s="20" t="str">
        <x:v>PHL|Russia|Election interference</x:v>
      </x:c>
      <x:c r="B1364" s="20" t="str">
        <x:v>Philippines</x:v>
      </x:c>
      <x:c r="C1364" s="20" t="str">
        <x:v>PHL</x:v>
      </x:c>
      <x:c r="D1364" s="20" t="str">
        <x:v>Russia</x:v>
      </x:c>
      <x:c r="E1364" s="20" t="str">
        <x:v>Russian influence</x:v>
      </x:c>
      <x:c r="F1364" s="20" t="str">
        <x:v>Election interference</x:v>
      </x:c>
      <x:c r="G1364" s="384" t="n">
        <x:v>0</x:v>
      </x:c>
      <x:c r="H1364" s="396" t="n">
        <x:v>1</x:v>
      </x:c>
      <x:c r="I1364" s="20" t="str">
        <x:v>ODNI/EEAS election-FIMI source register</x:v>
      </x:c>
      <x:c r="J1364" s="397" t="str">
        <x:v>https://www.dni.gov/files/ODNI/documents/assessments/ATA-2026-Unclassified-Report.pdf</x:v>
      </x:c>
      <x:c r="K1364" s="20" t="str">
        <x:v>Primary source-register URL; automated screening score</x:v>
      </x:c>
      <x:c r="L1364" s="20" t="str">
        <x:v>2026-05-20</x:v>
      </x:c>
      <x:c r="M1364" s="20" t="str">
        <x:v>2026-05-20</x:v>
      </x:c>
      <x:c r="N1364" s="20" t="str">
        <x:v>GPT-5.5 Pro</x:v>
      </x:c>
      <x:c r="O1364" s="20" t="str">
        <x:v>Needs review</x:v>
      </x:c>
      <x:c r="P1364" s="20" t="str">
        <x:v>Screening score for Russia / Election interference in Philippines; verify with country-specific evidence before final use.</x:v>
      </x:c>
    </x:row>
    <x:row r="1365" ht="24" customHeight="1">
      <x:c r="A1365" s="20" t="str">
        <x:v>PHL|Russia|Security contractors</x:v>
      </x:c>
      <x:c r="B1365" s="20" t="str">
        <x:v>Philippines</x:v>
      </x:c>
      <x:c r="C1365" s="20" t="str">
        <x:v>PHL</x:v>
      </x:c>
      <x:c r="D1365" s="20" t="str">
        <x:v>Russia</x:v>
      </x:c>
      <x:c r="E1365" s="20" t="str">
        <x:v>Russian influence</x:v>
      </x:c>
      <x:c r="F1365" s="20" t="str">
        <x:v>Security contractors</x:v>
      </x:c>
      <x:c r="G1365" s="384" t="n">
        <x:v>0</x:v>
      </x:c>
      <x:c r="H1365" s="396" t="n">
        <x:v>1</x:v>
      </x:c>
      <x:c r="I1365" s="20" t="str">
        <x:v>Council of the EU/Treasury Wagner-security source register</x:v>
      </x:c>
      <x:c r="J1365" s="397" t="str">
        <x:v>https://www.consilium.europa.eu/en/press/press-releases/2023/02/25/wagner-group-council-adds-11-individuals-and-7-entities-to-eu-sanctions-lists/</x:v>
      </x:c>
      <x:c r="K1365" s="20" t="str">
        <x:v>Primary source-register URL; automated screening score</x:v>
      </x:c>
      <x:c r="L1365" s="20" t="str">
        <x:v>2026-05-20</x:v>
      </x:c>
      <x:c r="M1365" s="20" t="str">
        <x:v>2026-05-20</x:v>
      </x:c>
      <x:c r="N1365" s="20" t="str">
        <x:v>GPT-5.5 Pro</x:v>
      </x:c>
      <x:c r="O1365" s="20" t="str">
        <x:v>Needs review</x:v>
      </x:c>
      <x:c r="P1365" s="20" t="str">
        <x:v>Screening score for Russia / Security contractors in Philippines; verify with country-specific evidence before final use.</x:v>
      </x:c>
    </x:row>
    <x:row r="1366" ht="24" customHeight="1">
      <x:c r="A1366" s="20" t="str">
        <x:v>PHL|China|Propaganda ecosystems</x:v>
      </x:c>
      <x:c r="B1366" s="20" t="str">
        <x:v>Philippines</x:v>
      </x:c>
      <x:c r="C1366" s="20" t="str">
        <x:v>PHL</x:v>
      </x:c>
      <x:c r="D1366" s="20" t="str">
        <x:v>China</x:v>
      </x:c>
      <x:c r="E1366" s="20" t="str">
        <x:v>Chinese influence</x:v>
      </x:c>
      <x:c r="F1366" s="20" t="str">
        <x:v>Propaganda ecosystems</x:v>
      </x:c>
      <x:c r="G1366" s="384" t="n">
        <x:v>7</x:v>
      </x:c>
      <x:c r="H1366" s="396" t="n">
        <x:v>4</x:v>
      </x:c>
      <x:c r="I1366" s="20" t="str">
        <x:v>EEAS/ODNI China FIMI source register</x:v>
      </x:c>
      <x:c r="J1366" s="397" t="str">
        <x:v>https://www.eeas.europa.eu/eeas/4th-eeas-annual-report-foreign-information-manipulation-and-interference-threats_en</x:v>
      </x:c>
      <x:c r="K1366" s="20" t="str">
        <x:v>Primary source-register URL; automated screening score</x:v>
      </x:c>
      <x:c r="L1366" s="20" t="str">
        <x:v>2026-05-20</x:v>
      </x:c>
      <x:c r="M1366" s="20" t="str">
        <x:v>2026-05-20</x:v>
      </x:c>
      <x:c r="N1366" s="20" t="str">
        <x:v>GPT-5.5 Pro</x:v>
      </x:c>
      <x:c r="O1366" s="20" t="str">
        <x:v>Needs review</x:v>
      </x:c>
      <x:c r="P1366" s="20" t="str">
        <x:v>Screening score for China / Propaganda ecosystems in Philippines; verify with country-specific evidence before final use.</x:v>
      </x:c>
    </x:row>
    <x:row r="1367" ht="24" customHeight="1">
      <x:c r="A1367" s="20" t="str">
        <x:v>PHL|China|PMC presence</x:v>
      </x:c>
      <x:c r="B1367" s="20" t="str">
        <x:v>Philippines</x:v>
      </x:c>
      <x:c r="C1367" s="20" t="str">
        <x:v>PHL</x:v>
      </x:c>
      <x:c r="D1367" s="20" t="str">
        <x:v>China</x:v>
      </x:c>
      <x:c r="E1367" s="20" t="str">
        <x:v>Chinese influence</x:v>
      </x:c>
      <x:c r="F1367" s="20" t="str">
        <x:v>PMC presence</x:v>
      </x:c>
      <x:c r="G1367" s="384" t="n">
        <x:v>1</x:v>
      </x:c>
      <x:c r="H1367" s="396" t="n">
        <x:v>2</x:v>
      </x:c>
      <x:c r="I1367" s="20" t="str">
        <x:v>MERICS/Carnegie Chinese overseas PSC source register</x:v>
      </x:c>
      <x:c r="J1367" s="397" t="str">
        <x:v>https://merics.org/en/report/guardians-belt-and-road</x:v>
      </x:c>
      <x:c r="K1367" s="20" t="str">
        <x:v>Primary source-register URL; automated screening score</x:v>
      </x:c>
      <x:c r="L1367" s="20" t="str">
        <x:v>2026-05-20</x:v>
      </x:c>
      <x:c r="M1367" s="20" t="str">
        <x:v>2026-05-20</x:v>
      </x:c>
      <x:c r="N1367" s="20" t="str">
        <x:v>GPT-5.5 Pro</x:v>
      </x:c>
      <x:c r="O1367" s="20" t="str">
        <x:v>Needs review</x:v>
      </x:c>
      <x:c r="P1367" s="20" t="str">
        <x:v>Screening score for China / PMC presence in Philippines; verify with country-specific evidence before final use.</x:v>
      </x:c>
    </x:row>
    <x:row r="1368" ht="24" customHeight="1">
      <x:c r="A1368" s="20" t="str">
        <x:v>PHL|China|Election interference</x:v>
      </x:c>
      <x:c r="B1368" s="20" t="str">
        <x:v>Philippines</x:v>
      </x:c>
      <x:c r="C1368" s="20" t="str">
        <x:v>PHL</x:v>
      </x:c>
      <x:c r="D1368" s="20" t="str">
        <x:v>China</x:v>
      </x:c>
      <x:c r="E1368" s="20" t="str">
        <x:v>Chinese influence</x:v>
      </x:c>
      <x:c r="F1368" s="20" t="str">
        <x:v>Election interference</x:v>
      </x:c>
      <x:c r="G1368" s="384" t="n">
        <x:v>5</x:v>
      </x:c>
      <x:c r="H1368" s="396" t="n">
        <x:v>3</x:v>
      </x:c>
      <x:c r="I1368" s="20" t="str">
        <x:v>EEAS/ODNI China election-FIMI source register</x:v>
      </x:c>
      <x:c r="J1368" s="397" t="str">
        <x:v>https://www.eeas.europa.eu/eeas/4th-eeas-annual-report-foreign-information-manipulation-and-interference-threats_en</x:v>
      </x:c>
      <x:c r="K1368" s="20" t="str">
        <x:v>Primary source-register URL; automated screening score</x:v>
      </x:c>
      <x:c r="L1368" s="20" t="str">
        <x:v>2026-05-20</x:v>
      </x:c>
      <x:c r="M1368" s="20" t="str">
        <x:v>2026-05-20</x:v>
      </x:c>
      <x:c r="N1368" s="20" t="str">
        <x:v>GPT-5.5 Pro</x:v>
      </x:c>
      <x:c r="O1368" s="20" t="str">
        <x:v>Needs review</x:v>
      </x:c>
      <x:c r="P1368" s="20" t="str">
        <x:v>Screening score for China / Election interference in Philippines; verify with country-specific evidence before final use.</x:v>
      </x:c>
    </x:row>
    <x:row r="1369" ht="24" customHeight="1">
      <x:c r="A1369" s="20" t="str">
        <x:v>PHL|China|Security contractors</x:v>
      </x:c>
      <x:c r="B1369" s="20" t="str">
        <x:v>Philippines</x:v>
      </x:c>
      <x:c r="C1369" s="20" t="str">
        <x:v>PHL</x:v>
      </x:c>
      <x:c r="D1369" s="20" t="str">
        <x:v>China</x:v>
      </x:c>
      <x:c r="E1369" s="20" t="str">
        <x:v>Chinese influence</x:v>
      </x:c>
      <x:c r="F1369" s="20" t="str">
        <x:v>Security contractors</x:v>
      </x:c>
      <x:c r="G1369" s="384" t="n">
        <x:v>2</x:v>
      </x:c>
      <x:c r="H1369" s="396" t="n">
        <x:v>2</x:v>
      </x:c>
      <x:c r="I1369" s="20" t="str">
        <x:v>MERICS/Carnegie Chinese security contractor source register</x:v>
      </x:c>
      <x:c r="J1369" s="397" t="str">
        <x:v>https://merics.org/en/report/guardians-belt-and-road</x:v>
      </x:c>
      <x:c r="K1369" s="20" t="str">
        <x:v>Primary source-register URL; automated screening score</x:v>
      </x:c>
      <x:c r="L1369" s="20" t="str">
        <x:v>2026-05-20</x:v>
      </x:c>
      <x:c r="M1369" s="20" t="str">
        <x:v>2026-05-20</x:v>
      </x:c>
      <x:c r="N1369" s="20" t="str">
        <x:v>GPT-5.5 Pro</x:v>
      </x:c>
      <x:c r="O1369" s="20" t="str">
        <x:v>Needs review</x:v>
      </x:c>
      <x:c r="P1369" s="20" t="str">
        <x:v>Screening score for China / Security contractors in Philippines; verify with country-specific evidence before final use.</x:v>
      </x:c>
    </x:row>
    <x:row r="1370" ht="24" customHeight="1">
      <x:c r="A1370" s="20" t="str">
        <x:v>PHL|United States|Propaganda ecosystems</x:v>
      </x:c>
      <x:c r="B1370" s="20" t="str">
        <x:v>Philippines</x:v>
      </x:c>
      <x:c r="C1370" s="20" t="str">
        <x:v>PHL</x:v>
      </x:c>
      <x:c r="D1370" s="20" t="str">
        <x:v>United States</x:v>
      </x:c>
      <x:c r="E1370" s="20" t="str">
        <x:v>American influence</x:v>
      </x:c>
      <x:c r="F1370" s="20" t="str">
        <x:v>Propaganda ecosystems</x:v>
      </x:c>
      <x:c r="G1370" s="384" t="n">
        <x:v>5</x:v>
      </x:c>
      <x:c r="H1370" s="396" t="n">
        <x:v>3</x:v>
      </x:c>
      <x:c r="I1370" s="20" t="str">
        <x:v>USAGM public media source register</x:v>
      </x:c>
      <x:c r="J1370" s="397" t="str">
        <x:v>https://www.usagm.gov/our-work/strategy-and-results/strategic-priorities/research-reports/</x:v>
      </x:c>
      <x:c r="K1370" s="20" t="str">
        <x:v>Primary source-register URL; automated screening score</x:v>
      </x:c>
      <x:c r="L1370" s="20" t="str">
        <x:v>2026-05-20</x:v>
      </x:c>
      <x:c r="M1370" s="20" t="str">
        <x:v>2026-05-20</x:v>
      </x:c>
      <x:c r="N1370" s="20" t="str">
        <x:v>GPT-5.5 Pro</x:v>
      </x:c>
      <x:c r="O1370" s="20" t="str">
        <x:v>Needs review</x:v>
      </x:c>
      <x:c r="P1370" s="20" t="str">
        <x:v>Screening score for United States / Propaganda ecosystems in Philippines; verify with country-specific evidence before final use.</x:v>
      </x:c>
    </x:row>
    <x:row r="1371" ht="24" customHeight="1">
      <x:c r="A1371" s="20" t="str">
        <x:v>PHL|United States|PMC presence</x:v>
      </x:c>
      <x:c r="B1371" s="20" t="str">
        <x:v>Philippines</x:v>
      </x:c>
      <x:c r="C1371" s="20" t="str">
        <x:v>PHL</x:v>
      </x:c>
      <x:c r="D1371" s="20" t="str">
        <x:v>United States</x:v>
      </x:c>
      <x:c r="E1371" s="20" t="str">
        <x:v>American influence</x:v>
      </x:c>
      <x:c r="F1371" s="20" t="str">
        <x:v>PMC presence</x:v>
      </x:c>
      <x:c r="G1371" s="384" t="n">
        <x:v>4</x:v>
      </x:c>
      <x:c r="H1371" s="396" t="n">
        <x:v>3</x:v>
      </x:c>
      <x:c r="I1371" s="20" t="str">
        <x:v>SAM/Greenbook U.S. security assistance contractor source register</x:v>
      </x:c>
      <x:c r="J1371" s="397" t="str">
        <x:v>https://internationalpolicy.org/programs/sam/</x:v>
      </x:c>
      <x:c r="K1371" s="20" t="str">
        <x:v>Primary source-register URL; automated screening score</x:v>
      </x:c>
      <x:c r="L1371" s="20" t="str">
        <x:v>2026-05-20</x:v>
      </x:c>
      <x:c r="M1371" s="20" t="str">
        <x:v>2026-05-20</x:v>
      </x:c>
      <x:c r="N1371" s="20" t="str">
        <x:v>GPT-5.5 Pro</x:v>
      </x:c>
      <x:c r="O1371" s="20" t="str">
        <x:v>Needs review</x:v>
      </x:c>
      <x:c r="P1371" s="20" t="str">
        <x:v>Screening score for United States / PMC presence in Philippines; verify with country-specific evidence before final use.</x:v>
      </x:c>
    </x:row>
    <x:row r="1372" ht="24" customHeight="1">
      <x:c r="A1372" s="20" t="str">
        <x:v>PHL|United States|Election interference</x:v>
      </x:c>
      <x:c r="B1372" s="20" t="str">
        <x:v>Philippines</x:v>
      </x:c>
      <x:c r="C1372" s="20" t="str">
        <x:v>PHL</x:v>
      </x:c>
      <x:c r="D1372" s="20" t="str">
        <x:v>United States</x:v>
      </x:c>
      <x:c r="E1372" s="20" t="str">
        <x:v>American influence</x:v>
      </x:c>
      <x:c r="F1372" s="20" t="str">
        <x:v>Election interference</x:v>
      </x:c>
      <x:c r="G1372" s="384" t="n">
        <x:v>2</x:v>
      </x:c>
      <x:c r="H1372" s="396" t="n">
        <x:v>2</x:v>
      </x:c>
      <x:c r="I1372" s="20" t="str">
        <x:v>NED/Greenbook democracy assistance source register</x:v>
      </x:c>
      <x:c r="J1372" s="397" t="str">
        <x:v>https://www.ned.org/ned-grantmaking/</x:v>
      </x:c>
      <x:c r="K1372" s="20" t="str">
        <x:v>Primary source-register URL; automated screening score</x:v>
      </x:c>
      <x:c r="L1372" s="20" t="str">
        <x:v>2026-05-20</x:v>
      </x:c>
      <x:c r="M1372" s="20" t="str">
        <x:v>2026-05-20</x:v>
      </x:c>
      <x:c r="N1372" s="20" t="str">
        <x:v>GPT-5.5 Pro</x:v>
      </x:c>
      <x:c r="O1372" s="20" t="str">
        <x:v>Needs review</x:v>
      </x:c>
      <x:c r="P1372" s="20" t="str">
        <x:v>Screening score for United States / Election interference in Philippines; verify with country-specific evidence before final use.</x:v>
      </x:c>
    </x:row>
    <x:row r="1373" ht="24" customHeight="1">
      <x:c r="A1373" s="20" t="str">
        <x:v>PHL|United States|Security contractors</x:v>
      </x:c>
      <x:c r="B1373" s="20" t="str">
        <x:v>Philippines</x:v>
      </x:c>
      <x:c r="C1373" s="20" t="str">
        <x:v>PHL</x:v>
      </x:c>
      <x:c r="D1373" s="20" t="str">
        <x:v>United States</x:v>
      </x:c>
      <x:c r="E1373" s="20" t="str">
        <x:v>American influence</x:v>
      </x:c>
      <x:c r="F1373" s="20" t="str">
        <x:v>Security contractors</x:v>
      </x:c>
      <x:c r="G1373" s="384" t="n">
        <x:v>7</x:v>
      </x:c>
      <x:c r="H1373" s="396" t="n">
        <x:v>4</x:v>
      </x:c>
      <x:c r="I1373" s="20" t="str">
        <x:v>SAM/Greenbook U.S. security contractor source register</x:v>
      </x:c>
      <x:c r="J1373" s="397" t="str">
        <x:v>https://internationalpolicy.org/programs/sam/</x:v>
      </x:c>
      <x:c r="K1373" s="20" t="str">
        <x:v>Primary source-register URL; automated screening score</x:v>
      </x:c>
      <x:c r="L1373" s="20" t="str">
        <x:v>2026-05-20</x:v>
      </x:c>
      <x:c r="M1373" s="20" t="str">
        <x:v>2026-05-20</x:v>
      </x:c>
      <x:c r="N1373" s="20" t="str">
        <x:v>GPT-5.5 Pro</x:v>
      </x:c>
      <x:c r="O1373" s="20" t="str">
        <x:v>Needs review</x:v>
      </x:c>
      <x:c r="P1373" s="20" t="str">
        <x:v>Screening score for United States / Security contractors in Philippines; verify with country-specific evidence before final use.</x:v>
      </x:c>
    </x:row>
    <x:row r="1374" ht="24" customHeight="1">
      <x:c r="A1374" s="20" t="str">
        <x:v>PHL|European Union|Propaganda ecosystems</x:v>
      </x:c>
      <x:c r="B1374" s="20" t="str">
        <x:v>Philippines</x:v>
      </x:c>
      <x:c r="C1374" s="20" t="str">
        <x:v>PHL</x:v>
      </x:c>
      <x:c r="D1374" s="20" t="str">
        <x:v>European Union</x:v>
      </x:c>
      <x:c r="E1374" s="20" t="str">
        <x:v>EU influence</x:v>
      </x:c>
      <x:c r="F1374" s="20" t="str">
        <x:v>Propaganda ecosystems</x:v>
      </x:c>
      <x:c r="G1374" s="384" t="n">
        <x:v>2</x:v>
      </x:c>
      <x:c r="H1374" s="396" t="n">
        <x:v>2</x:v>
      </x:c>
      <x:c r="I1374" s="20" t="str">
        <x:v>EEAS public diplomacy source register</x:v>
      </x:c>
      <x:c r="J1374" s="397" t="str">
        <x:v>https://www.eeas.europa.eu/eeas/public-diplomacy_en</x:v>
      </x:c>
      <x:c r="K1374" s="20" t="str">
        <x:v>Primary source-register URL; automated screening score</x:v>
      </x:c>
      <x:c r="L1374" s="20" t="str">
        <x:v>2026-05-20</x:v>
      </x:c>
      <x:c r="M1374" s="20" t="str">
        <x:v>2026-05-20</x:v>
      </x:c>
      <x:c r="N1374" s="20" t="str">
        <x:v>GPT-5.5 Pro</x:v>
      </x:c>
      <x:c r="O1374" s="20" t="str">
        <x:v>Needs review</x:v>
      </x:c>
      <x:c r="P1374" s="20" t="str">
        <x:v>Screening score for European Union / Propaganda ecosystems in Philippines; verify with country-specific evidence before final use.</x:v>
      </x:c>
    </x:row>
    <x:row r="1375" ht="24" customHeight="1">
      <x:c r="A1375" s="20" t="str">
        <x:v>PHL|European Union|PMC presence</x:v>
      </x:c>
      <x:c r="B1375" s="20" t="str">
        <x:v>Philippines</x:v>
      </x:c>
      <x:c r="C1375" s="20" t="str">
        <x:v>PHL</x:v>
      </x:c>
      <x:c r="D1375" s="20" t="str">
        <x:v>European Union</x:v>
      </x:c>
      <x:c r="E1375" s="20" t="str">
        <x:v>EU influence</x:v>
      </x:c>
      <x:c r="F1375" s="20" t="str">
        <x:v>PMC presence</x:v>
      </x:c>
      <x:c r="G1375" s="384" t="n">
        <x:v>0</x:v>
      </x:c>
      <x:c r="H1375" s="396" t="n">
        <x:v>1</x:v>
      </x:c>
      <x:c r="I1375" s="20" t="str">
        <x:v>EEAS CSDP missions source register</x:v>
      </x:c>
      <x:c r="J1375" s="397" t="str">
        <x:v>https://www.eeas.europa.eu/eeas/missions-and-operations_en</x:v>
      </x:c>
      <x:c r="K1375" s="20" t="str">
        <x:v>Primary source-register URL; automated screening score</x:v>
      </x:c>
      <x:c r="L1375" s="20" t="str">
        <x:v>2026-05-20</x:v>
      </x:c>
      <x:c r="M1375" s="20" t="str">
        <x:v>2026-05-20</x:v>
      </x:c>
      <x:c r="N1375" s="20" t="str">
        <x:v>GPT-5.5 Pro</x:v>
      </x:c>
      <x:c r="O1375" s="20" t="str">
        <x:v>Needs review</x:v>
      </x:c>
      <x:c r="P1375" s="20" t="str">
        <x:v>Screening score for European Union / PMC presence in Philippines; verify with country-specific evidence before final use.</x:v>
      </x:c>
    </x:row>
    <x:row r="1376" ht="24" customHeight="1">
      <x:c r="A1376" s="20" t="str">
        <x:v>PHL|European Union|Election interference</x:v>
      </x:c>
      <x:c r="B1376" s="20" t="str">
        <x:v>Philippines</x:v>
      </x:c>
      <x:c r="C1376" s="20" t="str">
        <x:v>PHL</x:v>
      </x:c>
      <x:c r="D1376" s="20" t="str">
        <x:v>European Union</x:v>
      </x:c>
      <x:c r="E1376" s="20" t="str">
        <x:v>EU influence</x:v>
      </x:c>
      <x:c r="F1376" s="20" t="str">
        <x:v>Election interference</x:v>
      </x:c>
      <x:c r="G1376" s="384" t="n">
        <x:v>2</x:v>
      </x:c>
      <x:c r="H1376" s="396" t="n">
        <x:v>2</x:v>
      </x:c>
      <x:c r="I1376" s="20" t="str">
        <x:v>EEAS EU election observation source register</x:v>
      </x:c>
      <x:c r="J1376" s="397" t="str">
        <x:v>https://www.eeas.europa.eu/eeas/eu-election-observation-missions-1_en?page_lang=en</x:v>
      </x:c>
      <x:c r="K1376" s="20" t="str">
        <x:v>Primary source-register URL; automated screening score</x:v>
      </x:c>
      <x:c r="L1376" s="20" t="str">
        <x:v>2026-05-20</x:v>
      </x:c>
      <x:c r="M1376" s="20" t="str">
        <x:v>2026-05-20</x:v>
      </x:c>
      <x:c r="N1376" s="20" t="str">
        <x:v>GPT-5.5 Pro</x:v>
      </x:c>
      <x:c r="O1376" s="20" t="str">
        <x:v>Needs review</x:v>
      </x:c>
      <x:c r="P1376" s="20" t="str">
        <x:v>Screening score for European Union / Election interference in Philippines; verify with country-specific evidence before final use.</x:v>
      </x:c>
    </x:row>
    <x:row r="1377" ht="24" customHeight="1">
      <x:c r="A1377" s="20" t="str">
        <x:v>PHL|European Union|Security contractors</x:v>
      </x:c>
      <x:c r="B1377" s="20" t="str">
        <x:v>Philippines</x:v>
      </x:c>
      <x:c r="C1377" s="20" t="str">
        <x:v>PHL</x:v>
      </x:c>
      <x:c r="D1377" s="20" t="str">
        <x:v>European Union</x:v>
      </x:c>
      <x:c r="E1377" s="20" t="str">
        <x:v>EU influence</x:v>
      </x:c>
      <x:c r="F1377" s="20" t="str">
        <x:v>Security contractors</x:v>
      </x:c>
      <x:c r="G1377" s="384" t="n">
        <x:v>2</x:v>
      </x:c>
      <x:c r="H1377" s="396" t="n">
        <x:v>2</x:v>
      </x:c>
      <x:c r="I1377" s="20" t="str">
        <x:v>EEAS CSDP / Global Gateway security source register</x:v>
      </x:c>
      <x:c r="J1377" s="397" t="str">
        <x:v>https://www.eeas.europa.eu/eeas/missions-and-operations_en</x:v>
      </x:c>
      <x:c r="K1377" s="20" t="str">
        <x:v>Primary source-register URL; automated screening score</x:v>
      </x:c>
      <x:c r="L1377" s="20" t="str">
        <x:v>2026-05-20</x:v>
      </x:c>
      <x:c r="M1377" s="20" t="str">
        <x:v>2026-05-20</x:v>
      </x:c>
      <x:c r="N1377" s="20" t="str">
        <x:v>GPT-5.5 Pro</x:v>
      </x:c>
      <x:c r="O1377" s="20" t="str">
        <x:v>Needs review</x:v>
      </x:c>
      <x:c r="P1377" s="20" t="str">
        <x:v>Screening score for European Union / Security contractors in Philippines; verify with country-specific evidence before final use.</x:v>
      </x:c>
    </x:row>
    <x:row r="1378" ht="24" customHeight="1">
      <x:c r="A1378" s="20" t="str">
        <x:v>POL|Russia|Propaganda ecosystems</x:v>
      </x:c>
      <x:c r="B1378" s="20" t="str">
        <x:v>Poland</x:v>
      </x:c>
      <x:c r="C1378" s="20" t="str">
        <x:v>POL</x:v>
      </x:c>
      <x:c r="D1378" s="20" t="str">
        <x:v>Russia</x:v>
      </x:c>
      <x:c r="E1378" s="20" t="str">
        <x:v>Russian influence</x:v>
      </x:c>
      <x:c r="F1378" s="20" t="str">
        <x:v>Propaganda ecosystems</x:v>
      </x:c>
      <x:c r="G1378" s="384" t="n">
        <x:v>6</x:v>
      </x:c>
      <x:c r="H1378" s="396" t="n">
        <x:v>4</x:v>
      </x:c>
      <x:c r="I1378" s="20" t="str">
        <x:v>EEAS/EUvsDisinfo FIMI source register</x:v>
      </x:c>
      <x:c r="J1378" s="397" t="str">
        <x:v>https://www.eeas.europa.eu/eeas/4th-eeas-annual-report-foreign-information-manipulation-and-interference-threats_en</x:v>
      </x:c>
      <x:c r="K1378" s="20" t="str">
        <x:v>Primary source-register URL; automated screening score</x:v>
      </x:c>
      <x:c r="L1378" s="20" t="str">
        <x:v>2026-05-20</x:v>
      </x:c>
      <x:c r="M1378" s="20" t="str">
        <x:v>2026-05-20</x:v>
      </x:c>
      <x:c r="N1378" s="20" t="str">
        <x:v>GPT-5.5 Pro</x:v>
      </x:c>
      <x:c r="O1378" s="20" t="str">
        <x:v>Needs review</x:v>
      </x:c>
      <x:c r="P1378" s="20" t="str">
        <x:v>Screening score for Russia / Propaganda ecosystems in Poland; verify with country-specific evidence before final use.</x:v>
      </x:c>
    </x:row>
    <x:row r="1379" ht="24" customHeight="1">
      <x:c r="A1379" s="20" t="str">
        <x:v>POL|Russia|PMC presence</x:v>
      </x:c>
      <x:c r="B1379" s="20" t="str">
        <x:v>Poland</x:v>
      </x:c>
      <x:c r="C1379" s="20" t="str">
        <x:v>POL</x:v>
      </x:c>
      <x:c r="D1379" s="20" t="str">
        <x:v>Russia</x:v>
      </x:c>
      <x:c r="E1379" s="20" t="str">
        <x:v>Russian influence</x:v>
      </x:c>
      <x:c r="F1379" s="20" t="str">
        <x:v>PMC presence</x:v>
      </x:c>
      <x:c r="G1379" s="384" t="n">
        <x:v>0</x:v>
      </x:c>
      <x:c r="H1379" s="396" t="n">
        <x:v>1</x:v>
      </x:c>
      <x:c r="I1379" s="20" t="str">
        <x:v>Treasury and Council of the EU Wagner/PMC source register</x:v>
      </x:c>
      <x:c r="J1379" s="397" t="str">
        <x:v>https://www.consilium.europa.eu/en/press/press-releases/2023/02/25/wagner-group-council-adds-11-individuals-and-7-entities-to-eu-sanctions-lists/</x:v>
      </x:c>
      <x:c r="K1379" s="20" t="str">
        <x:v>Primary source-register URL; automated screening score</x:v>
      </x:c>
      <x:c r="L1379" s="20" t="str">
        <x:v>2026-05-20</x:v>
      </x:c>
      <x:c r="M1379" s="20" t="str">
        <x:v>2026-05-20</x:v>
      </x:c>
      <x:c r="N1379" s="20" t="str">
        <x:v>GPT-5.5 Pro</x:v>
      </x:c>
      <x:c r="O1379" s="20" t="str">
        <x:v>Needs review</x:v>
      </x:c>
      <x:c r="P1379" s="20" t="str">
        <x:v>Screening score for Russia / PMC presence in Poland; verify with country-specific evidence before final use.</x:v>
      </x:c>
    </x:row>
    <x:row r="1380" ht="24" customHeight="1">
      <x:c r="A1380" s="20" t="str">
        <x:v>POL|Russia|Election interference</x:v>
      </x:c>
      <x:c r="B1380" s="20" t="str">
        <x:v>Poland</x:v>
      </x:c>
      <x:c r="C1380" s="20" t="str">
        <x:v>POL</x:v>
      </x:c>
      <x:c r="D1380" s="20" t="str">
        <x:v>Russia</x:v>
      </x:c>
      <x:c r="E1380" s="20" t="str">
        <x:v>Russian influence</x:v>
      </x:c>
      <x:c r="F1380" s="20" t="str">
        <x:v>Election interference</x:v>
      </x:c>
      <x:c r="G1380" s="384" t="n">
        <x:v>6</x:v>
      </x:c>
      <x:c r="H1380" s="396" t="n">
        <x:v>4</x:v>
      </x:c>
      <x:c r="I1380" s="20" t="str">
        <x:v>ODNI/EEAS election-FIMI source register</x:v>
      </x:c>
      <x:c r="J1380" s="397" t="str">
        <x:v>https://www.dni.gov/files/ODNI/documents/assessments/ATA-2026-Unclassified-Report.pdf</x:v>
      </x:c>
      <x:c r="K1380" s="20" t="str">
        <x:v>Primary source-register URL; automated screening score</x:v>
      </x:c>
      <x:c r="L1380" s="20" t="str">
        <x:v>2026-05-20</x:v>
      </x:c>
      <x:c r="M1380" s="20" t="str">
        <x:v>2026-05-20</x:v>
      </x:c>
      <x:c r="N1380" s="20" t="str">
        <x:v>GPT-5.5 Pro</x:v>
      </x:c>
      <x:c r="O1380" s="20" t="str">
        <x:v>Needs review</x:v>
      </x:c>
      <x:c r="P1380" s="20" t="str">
        <x:v>Screening score for Russia / Election interference in Poland; verify with country-specific evidence before final use.</x:v>
      </x:c>
    </x:row>
    <x:row r="1381" ht="24" customHeight="1">
      <x:c r="A1381" s="20" t="str">
        <x:v>POL|Russia|Security contractors</x:v>
      </x:c>
      <x:c r="B1381" s="20" t="str">
        <x:v>Poland</x:v>
      </x:c>
      <x:c r="C1381" s="20" t="str">
        <x:v>POL</x:v>
      </x:c>
      <x:c r="D1381" s="20" t="str">
        <x:v>Russia</x:v>
      </x:c>
      <x:c r="E1381" s="20" t="str">
        <x:v>Russian influence</x:v>
      </x:c>
      <x:c r="F1381" s="20" t="str">
        <x:v>Security contractors</x:v>
      </x:c>
      <x:c r="G1381" s="384" t="n">
        <x:v>0</x:v>
      </x:c>
      <x:c r="H1381" s="396" t="n">
        <x:v>1</x:v>
      </x:c>
      <x:c r="I1381" s="20" t="str">
        <x:v>Council of the EU/Treasury Wagner-security source register</x:v>
      </x:c>
      <x:c r="J1381" s="397" t="str">
        <x:v>https://www.consilium.europa.eu/en/press/press-releases/2023/02/25/wagner-group-council-adds-11-individuals-and-7-entities-to-eu-sanctions-lists/</x:v>
      </x:c>
      <x:c r="K1381" s="20" t="str">
        <x:v>Primary source-register URL; automated screening score</x:v>
      </x:c>
      <x:c r="L1381" s="20" t="str">
        <x:v>2026-05-20</x:v>
      </x:c>
      <x:c r="M1381" s="20" t="str">
        <x:v>2026-05-20</x:v>
      </x:c>
      <x:c r="N1381" s="20" t="str">
        <x:v>GPT-5.5 Pro</x:v>
      </x:c>
      <x:c r="O1381" s="20" t="str">
        <x:v>Needs review</x:v>
      </x:c>
      <x:c r="P1381" s="20" t="str">
        <x:v>Screening score for Russia / Security contractors in Poland; verify with country-specific evidence before final use.</x:v>
      </x:c>
    </x:row>
    <x:row r="1382" ht="24" customHeight="1">
      <x:c r="A1382" s="20" t="str">
        <x:v>POL|China|Propaganda ecosystems</x:v>
      </x:c>
      <x:c r="B1382" s="20" t="str">
        <x:v>Poland</x:v>
      </x:c>
      <x:c r="C1382" s="20" t="str">
        <x:v>POL</x:v>
      </x:c>
      <x:c r="D1382" s="20" t="str">
        <x:v>China</x:v>
      </x:c>
      <x:c r="E1382" s="20" t="str">
        <x:v>Chinese influence</x:v>
      </x:c>
      <x:c r="F1382" s="20" t="str">
        <x:v>Propaganda ecosystems</x:v>
      </x:c>
      <x:c r="G1382" s="384" t="n">
        <x:v>4</x:v>
      </x:c>
      <x:c r="H1382" s="396" t="n">
        <x:v>3</x:v>
      </x:c>
      <x:c r="I1382" s="20" t="str">
        <x:v>EEAS/ODNI China FIMI source register</x:v>
      </x:c>
      <x:c r="J1382" s="397" t="str">
        <x:v>https://www.eeas.europa.eu/eeas/4th-eeas-annual-report-foreign-information-manipulation-and-interference-threats_en</x:v>
      </x:c>
      <x:c r="K1382" s="20" t="str">
        <x:v>Primary source-register URL; automated screening score</x:v>
      </x:c>
      <x:c r="L1382" s="20" t="str">
        <x:v>2026-05-20</x:v>
      </x:c>
      <x:c r="M1382" s="20" t="str">
        <x:v>2026-05-20</x:v>
      </x:c>
      <x:c r="N1382" s="20" t="str">
        <x:v>GPT-5.5 Pro</x:v>
      </x:c>
      <x:c r="O1382" s="20" t="str">
        <x:v>Needs review</x:v>
      </x:c>
      <x:c r="P1382" s="20" t="str">
        <x:v>Screening score for China / Propaganda ecosystems in Poland; verify with country-specific evidence before final use.</x:v>
      </x:c>
    </x:row>
    <x:row r="1383" ht="24" customHeight="1">
      <x:c r="A1383" s="20" t="str">
        <x:v>POL|China|PMC presence</x:v>
      </x:c>
      <x:c r="B1383" s="20" t="str">
        <x:v>Poland</x:v>
      </x:c>
      <x:c r="C1383" s="20" t="str">
        <x:v>POL</x:v>
      </x:c>
      <x:c r="D1383" s="20" t="str">
        <x:v>China</x:v>
      </x:c>
      <x:c r="E1383" s="20" t="str">
        <x:v>Chinese influence</x:v>
      </x:c>
      <x:c r="F1383" s="20" t="str">
        <x:v>PMC presence</x:v>
      </x:c>
      <x:c r="G1383" s="384" t="n">
        <x:v>0</x:v>
      </x:c>
      <x:c r="H1383" s="396" t="n">
        <x:v>1</x:v>
      </x:c>
      <x:c r="I1383" s="20" t="str">
        <x:v>MERICS/Carnegie Chinese overseas PSC source register</x:v>
      </x:c>
      <x:c r="J1383" s="397" t="str">
        <x:v>https://merics.org/en/report/guardians-belt-and-road</x:v>
      </x:c>
      <x:c r="K1383" s="20" t="str">
        <x:v>Primary source-register URL; automated screening score</x:v>
      </x:c>
      <x:c r="L1383" s="20" t="str">
        <x:v>2026-05-20</x:v>
      </x:c>
      <x:c r="M1383" s="20" t="str">
        <x:v>2026-05-20</x:v>
      </x:c>
      <x:c r="N1383" s="20" t="str">
        <x:v>GPT-5.5 Pro</x:v>
      </x:c>
      <x:c r="O1383" s="20" t="str">
        <x:v>Needs review</x:v>
      </x:c>
      <x:c r="P1383" s="20" t="str">
        <x:v>Screening score for China / PMC presence in Poland; verify with country-specific evidence before final use.</x:v>
      </x:c>
    </x:row>
    <x:row r="1384" ht="24" customHeight="1">
      <x:c r="A1384" s="20" t="str">
        <x:v>POL|China|Election interference</x:v>
      </x:c>
      <x:c r="B1384" s="20" t="str">
        <x:v>Poland</x:v>
      </x:c>
      <x:c r="C1384" s="20" t="str">
        <x:v>POL</x:v>
      </x:c>
      <x:c r="D1384" s="20" t="str">
        <x:v>China</x:v>
      </x:c>
      <x:c r="E1384" s="20" t="str">
        <x:v>Chinese influence</x:v>
      </x:c>
      <x:c r="F1384" s="20" t="str">
        <x:v>Election interference</x:v>
      </x:c>
      <x:c r="G1384" s="384" t="n">
        <x:v>2</x:v>
      </x:c>
      <x:c r="H1384" s="396" t="n">
        <x:v>2</x:v>
      </x:c>
      <x:c r="I1384" s="20" t="str">
        <x:v>EEAS/ODNI China election-FIMI source register</x:v>
      </x:c>
      <x:c r="J1384" s="397" t="str">
        <x:v>https://www.eeas.europa.eu/eeas/4th-eeas-annual-report-foreign-information-manipulation-and-interference-threats_en</x:v>
      </x:c>
      <x:c r="K1384" s="20" t="str">
        <x:v>Primary source-register URL; automated screening score</x:v>
      </x:c>
      <x:c r="L1384" s="20" t="str">
        <x:v>2026-05-20</x:v>
      </x:c>
      <x:c r="M1384" s="20" t="str">
        <x:v>2026-05-20</x:v>
      </x:c>
      <x:c r="N1384" s="20" t="str">
        <x:v>GPT-5.5 Pro</x:v>
      </x:c>
      <x:c r="O1384" s="20" t="str">
        <x:v>Needs review</x:v>
      </x:c>
      <x:c r="P1384" s="20" t="str">
        <x:v>Screening score for China / Election interference in Poland; verify with country-specific evidence before final use.</x:v>
      </x:c>
    </x:row>
    <x:row r="1385" ht="24" customHeight="1">
      <x:c r="A1385" s="20" t="str">
        <x:v>POL|China|Security contractors</x:v>
      </x:c>
      <x:c r="B1385" s="20" t="str">
        <x:v>Poland</x:v>
      </x:c>
      <x:c r="C1385" s="20" t="str">
        <x:v>POL</x:v>
      </x:c>
      <x:c r="D1385" s="20" t="str">
        <x:v>China</x:v>
      </x:c>
      <x:c r="E1385" s="20" t="str">
        <x:v>Chinese influence</x:v>
      </x:c>
      <x:c r="F1385" s="20" t="str">
        <x:v>Security contractors</x:v>
      </x:c>
      <x:c r="G1385" s="384" t="n">
        <x:v>0</x:v>
      </x:c>
      <x:c r="H1385" s="396" t="n">
        <x:v>1</x:v>
      </x:c>
      <x:c r="I1385" s="20" t="str">
        <x:v>MERICS/Carnegie Chinese security contractor source register</x:v>
      </x:c>
      <x:c r="J1385" s="397" t="str">
        <x:v>https://merics.org/en/report/guardians-belt-and-road</x:v>
      </x:c>
      <x:c r="K1385" s="20" t="str">
        <x:v>Primary source-register URL; automated screening score</x:v>
      </x:c>
      <x:c r="L1385" s="20" t="str">
        <x:v>2026-05-20</x:v>
      </x:c>
      <x:c r="M1385" s="20" t="str">
        <x:v>2026-05-20</x:v>
      </x:c>
      <x:c r="N1385" s="20" t="str">
        <x:v>GPT-5.5 Pro</x:v>
      </x:c>
      <x:c r="O1385" s="20" t="str">
        <x:v>Needs review</x:v>
      </x:c>
      <x:c r="P1385" s="20" t="str">
        <x:v>Screening score for China / Security contractors in Poland; verify with country-specific evidence before final use.</x:v>
      </x:c>
    </x:row>
    <x:row r="1386" ht="24" customHeight="1">
      <x:c r="A1386" s="20" t="str">
        <x:v>POL|United States|Propaganda ecosystems</x:v>
      </x:c>
      <x:c r="B1386" s="20" t="str">
        <x:v>Poland</x:v>
      </x:c>
      <x:c r="C1386" s="20" t="str">
        <x:v>POL</x:v>
      </x:c>
      <x:c r="D1386" s="20" t="str">
        <x:v>United States</x:v>
      </x:c>
      <x:c r="E1386" s="20" t="str">
        <x:v>American influence</x:v>
      </x:c>
      <x:c r="F1386" s="20" t="str">
        <x:v>Propaganda ecosystems</x:v>
      </x:c>
      <x:c r="G1386" s="384" t="n">
        <x:v>4</x:v>
      </x:c>
      <x:c r="H1386" s="396" t="n">
        <x:v>3</x:v>
      </x:c>
      <x:c r="I1386" s="20" t="str">
        <x:v>USAGM public media source register</x:v>
      </x:c>
      <x:c r="J1386" s="397" t="str">
        <x:v>https://www.usagm.gov/our-work/strategy-and-results/strategic-priorities/research-reports/</x:v>
      </x:c>
      <x:c r="K1386" s="20" t="str">
        <x:v>Primary source-register URL; automated screening score</x:v>
      </x:c>
      <x:c r="L1386" s="20" t="str">
        <x:v>2026-05-20</x:v>
      </x:c>
      <x:c r="M1386" s="20" t="str">
        <x:v>2026-05-20</x:v>
      </x:c>
      <x:c r="N1386" s="20" t="str">
        <x:v>GPT-5.5 Pro</x:v>
      </x:c>
      <x:c r="O1386" s="20" t="str">
        <x:v>Needs review</x:v>
      </x:c>
      <x:c r="P1386" s="20" t="str">
        <x:v>Screening score for United States / Propaganda ecosystems in Poland; verify with country-specific evidence before final use.</x:v>
      </x:c>
    </x:row>
    <x:row r="1387" ht="24" customHeight="1">
      <x:c r="A1387" s="20" t="str">
        <x:v>POL|United States|PMC presence</x:v>
      </x:c>
      <x:c r="B1387" s="20" t="str">
        <x:v>Poland</x:v>
      </x:c>
      <x:c r="C1387" s="20" t="str">
        <x:v>POL</x:v>
      </x:c>
      <x:c r="D1387" s="20" t="str">
        <x:v>United States</x:v>
      </x:c>
      <x:c r="E1387" s="20" t="str">
        <x:v>American influence</x:v>
      </x:c>
      <x:c r="F1387" s="20" t="str">
        <x:v>PMC presence</x:v>
      </x:c>
      <x:c r="G1387" s="384" t="n">
        <x:v>3</x:v>
      </x:c>
      <x:c r="H1387" s="396" t="n">
        <x:v>3</x:v>
      </x:c>
      <x:c r="I1387" s="20" t="str">
        <x:v>SAM/Greenbook U.S. security assistance contractor source register</x:v>
      </x:c>
      <x:c r="J1387" s="397" t="str">
        <x:v>https://internationalpolicy.org/programs/sam/</x:v>
      </x:c>
      <x:c r="K1387" s="20" t="str">
        <x:v>Primary source-register URL; automated screening score</x:v>
      </x:c>
      <x:c r="L1387" s="20" t="str">
        <x:v>2026-05-20</x:v>
      </x:c>
      <x:c r="M1387" s="20" t="str">
        <x:v>2026-05-20</x:v>
      </x:c>
      <x:c r="N1387" s="20" t="str">
        <x:v>GPT-5.5 Pro</x:v>
      </x:c>
      <x:c r="O1387" s="20" t="str">
        <x:v>Needs review</x:v>
      </x:c>
      <x:c r="P1387" s="20" t="str">
        <x:v>Screening score for United States / PMC presence in Poland; verify with country-specific evidence before final use.</x:v>
      </x:c>
    </x:row>
    <x:row r="1388" ht="24" customHeight="1">
      <x:c r="A1388" s="20" t="str">
        <x:v>POL|United States|Election interference</x:v>
      </x:c>
      <x:c r="B1388" s="20" t="str">
        <x:v>Poland</x:v>
      </x:c>
      <x:c r="C1388" s="20" t="str">
        <x:v>POL</x:v>
      </x:c>
      <x:c r="D1388" s="20" t="str">
        <x:v>United States</x:v>
      </x:c>
      <x:c r="E1388" s="20" t="str">
        <x:v>American influence</x:v>
      </x:c>
      <x:c r="F1388" s="20" t="str">
        <x:v>Election interference</x:v>
      </x:c>
      <x:c r="G1388" s="384" t="n">
        <x:v>1</x:v>
      </x:c>
      <x:c r="H1388" s="396" t="n">
        <x:v>2</x:v>
      </x:c>
      <x:c r="I1388" s="20" t="str">
        <x:v>NED/Greenbook democracy assistance source register</x:v>
      </x:c>
      <x:c r="J1388" s="397" t="str">
        <x:v>https://www.ned.org/ned-grantmaking/</x:v>
      </x:c>
      <x:c r="K1388" s="20" t="str">
        <x:v>Primary source-register URL; automated screening score</x:v>
      </x:c>
      <x:c r="L1388" s="20" t="str">
        <x:v>2026-05-20</x:v>
      </x:c>
      <x:c r="M1388" s="20" t="str">
        <x:v>2026-05-20</x:v>
      </x:c>
      <x:c r="N1388" s="20" t="str">
        <x:v>GPT-5.5 Pro</x:v>
      </x:c>
      <x:c r="O1388" s="20" t="str">
        <x:v>Needs review</x:v>
      </x:c>
      <x:c r="P1388" s="20" t="str">
        <x:v>Screening score for United States / Election interference in Poland; verify with country-specific evidence before final use.</x:v>
      </x:c>
    </x:row>
    <x:row r="1389" ht="24" customHeight="1">
      <x:c r="A1389" s="20" t="str">
        <x:v>POL|United States|Security contractors</x:v>
      </x:c>
      <x:c r="B1389" s="20" t="str">
        <x:v>Poland</x:v>
      </x:c>
      <x:c r="C1389" s="20" t="str">
        <x:v>POL</x:v>
      </x:c>
      <x:c r="D1389" s="20" t="str">
        <x:v>United States</x:v>
      </x:c>
      <x:c r="E1389" s="20" t="str">
        <x:v>American influence</x:v>
      </x:c>
      <x:c r="F1389" s="20" t="str">
        <x:v>Security contractors</x:v>
      </x:c>
      <x:c r="G1389" s="384" t="n">
        <x:v>6</x:v>
      </x:c>
      <x:c r="H1389" s="396" t="n">
        <x:v>4</x:v>
      </x:c>
      <x:c r="I1389" s="20" t="str">
        <x:v>SAM/Greenbook U.S. security contractor source register</x:v>
      </x:c>
      <x:c r="J1389" s="397" t="str">
        <x:v>https://internationalpolicy.org/programs/sam/</x:v>
      </x:c>
      <x:c r="K1389" s="20" t="str">
        <x:v>Primary source-register URL; automated screening score</x:v>
      </x:c>
      <x:c r="L1389" s="20" t="str">
        <x:v>2026-05-20</x:v>
      </x:c>
      <x:c r="M1389" s="20" t="str">
        <x:v>2026-05-20</x:v>
      </x:c>
      <x:c r="N1389" s="20" t="str">
        <x:v>GPT-5.5 Pro</x:v>
      </x:c>
      <x:c r="O1389" s="20" t="str">
        <x:v>Needs review</x:v>
      </x:c>
      <x:c r="P1389" s="20" t="str">
        <x:v>Screening score for United States / Security contractors in Poland; verify with country-specific evidence before final use.</x:v>
      </x:c>
    </x:row>
    <x:row r="1390" ht="24" customHeight="1">
      <x:c r="A1390" s="20" t="str">
        <x:v>POL|European Union|Propaganda ecosystems</x:v>
      </x:c>
      <x:c r="B1390" s="20" t="str">
        <x:v>Poland</x:v>
      </x:c>
      <x:c r="C1390" s="20" t="str">
        <x:v>POL</x:v>
      </x:c>
      <x:c r="D1390" s="20" t="str">
        <x:v>European Union</x:v>
      </x:c>
      <x:c r="E1390" s="20" t="str">
        <x:v>EU influence</x:v>
      </x:c>
      <x:c r="F1390" s="20" t="str">
        <x:v>Propaganda ecosystems</x:v>
      </x:c>
      <x:c r="G1390" s="384" t="n">
        <x:v>9</x:v>
      </x:c>
      <x:c r="H1390" s="396" t="n">
        <x:v>5</x:v>
      </x:c>
      <x:c r="I1390" s="20" t="str">
        <x:v>EEAS public diplomacy source register</x:v>
      </x:c>
      <x:c r="J1390" s="397" t="str">
        <x:v>https://www.eeas.europa.eu/eeas/public-diplomacy_en</x:v>
      </x:c>
      <x:c r="K1390" s="20" t="str">
        <x:v>Primary source-register URL; automated screening score</x:v>
      </x:c>
      <x:c r="L1390" s="20" t="str">
        <x:v>2026-05-20</x:v>
      </x:c>
      <x:c r="M1390" s="20" t="str">
        <x:v>2026-05-20</x:v>
      </x:c>
      <x:c r="N1390" s="20" t="str">
        <x:v>GPT-5.5 Pro</x:v>
      </x:c>
      <x:c r="O1390" s="20" t="str">
        <x:v>Needs review</x:v>
      </x:c>
      <x:c r="P1390" s="20" t="str">
        <x:v>Screening score for European Union / Propaganda ecosystems in Poland; verify with country-specific evidence before final use.</x:v>
      </x:c>
    </x:row>
    <x:row r="1391" ht="24" customHeight="1">
      <x:c r="A1391" s="20" t="str">
        <x:v>POL|European Union|PMC presence</x:v>
      </x:c>
      <x:c r="B1391" s="20" t="str">
        <x:v>Poland</x:v>
      </x:c>
      <x:c r="C1391" s="20" t="str">
        <x:v>POL</x:v>
      </x:c>
      <x:c r="D1391" s="20" t="str">
        <x:v>European Union</x:v>
      </x:c>
      <x:c r="E1391" s="20" t="str">
        <x:v>EU influence</x:v>
      </x:c>
      <x:c r="F1391" s="20" t="str">
        <x:v>PMC presence</x:v>
      </x:c>
      <x:c r="G1391" s="384" t="n">
        <x:v>0</x:v>
      </x:c>
      <x:c r="H1391" s="396" t="n">
        <x:v>1</x:v>
      </x:c>
      <x:c r="I1391" s="20" t="str">
        <x:v>EEAS CSDP missions source register</x:v>
      </x:c>
      <x:c r="J1391" s="397" t="str">
        <x:v>https://www.eeas.europa.eu/eeas/missions-and-operations_en</x:v>
      </x:c>
      <x:c r="K1391" s="20" t="str">
        <x:v>Primary source-register URL; automated screening score</x:v>
      </x:c>
      <x:c r="L1391" s="20" t="str">
        <x:v>2026-05-20</x:v>
      </x:c>
      <x:c r="M1391" s="20" t="str">
        <x:v>2026-05-20</x:v>
      </x:c>
      <x:c r="N1391" s="20" t="str">
        <x:v>GPT-5.5 Pro</x:v>
      </x:c>
      <x:c r="O1391" s="20" t="str">
        <x:v>Needs review</x:v>
      </x:c>
      <x:c r="P1391" s="20" t="str">
        <x:v>Screening score for European Union / PMC presence in Poland; verify with country-specific evidence before final use.</x:v>
      </x:c>
    </x:row>
    <x:row r="1392" ht="24" customHeight="1">
      <x:c r="A1392" s="20" t="str">
        <x:v>POL|European Union|Election interference</x:v>
      </x:c>
      <x:c r="B1392" s="20" t="str">
        <x:v>Poland</x:v>
      </x:c>
      <x:c r="C1392" s="20" t="str">
        <x:v>POL</x:v>
      </x:c>
      <x:c r="D1392" s="20" t="str">
        <x:v>European Union</x:v>
      </x:c>
      <x:c r="E1392" s="20" t="str">
        <x:v>EU influence</x:v>
      </x:c>
      <x:c r="F1392" s="20" t="str">
        <x:v>Election interference</x:v>
      </x:c>
      <x:c r="G1392" s="384" t="n">
        <x:v>2</x:v>
      </x:c>
      <x:c r="H1392" s="396" t="n">
        <x:v>2</x:v>
      </x:c>
      <x:c r="I1392" s="20" t="str">
        <x:v>EEAS EU election observation source register</x:v>
      </x:c>
      <x:c r="J1392" s="397" t="str">
        <x:v>https://www.eeas.europa.eu/eeas/eu-election-observation-missions-1_en?page_lang=en</x:v>
      </x:c>
      <x:c r="K1392" s="20" t="str">
        <x:v>Primary source-register URL; automated screening score</x:v>
      </x:c>
      <x:c r="L1392" s="20" t="str">
        <x:v>2026-05-20</x:v>
      </x:c>
      <x:c r="M1392" s="20" t="str">
        <x:v>2026-05-20</x:v>
      </x:c>
      <x:c r="N1392" s="20" t="str">
        <x:v>GPT-5.5 Pro</x:v>
      </x:c>
      <x:c r="O1392" s="20" t="str">
        <x:v>Needs review</x:v>
      </x:c>
      <x:c r="P1392" s="20" t="str">
        <x:v>Screening score for European Union / Election interference in Poland; verify with country-specific evidence before final use.</x:v>
      </x:c>
    </x:row>
    <x:row r="1393" ht="24" customHeight="1">
      <x:c r="A1393" s="20" t="str">
        <x:v>POL|European Union|Security contractors</x:v>
      </x:c>
      <x:c r="B1393" s="20" t="str">
        <x:v>Poland</x:v>
      </x:c>
      <x:c r="C1393" s="20" t="str">
        <x:v>POL</x:v>
      </x:c>
      <x:c r="D1393" s="20" t="str">
        <x:v>European Union</x:v>
      </x:c>
      <x:c r="E1393" s="20" t="str">
        <x:v>EU influence</x:v>
      </x:c>
      <x:c r="F1393" s="20" t="str">
        <x:v>Security contractors</x:v>
      </x:c>
      <x:c r="G1393" s="384" t="n">
        <x:v>5</x:v>
      </x:c>
      <x:c r="H1393" s="396" t="n">
        <x:v>3</x:v>
      </x:c>
      <x:c r="I1393" s="20" t="str">
        <x:v>EEAS CSDP / Global Gateway security source register</x:v>
      </x:c>
      <x:c r="J1393" s="397" t="str">
        <x:v>https://www.eeas.europa.eu/eeas/missions-and-operations_en</x:v>
      </x:c>
      <x:c r="K1393" s="20" t="str">
        <x:v>Primary source-register URL; automated screening score</x:v>
      </x:c>
      <x:c r="L1393" s="20" t="str">
        <x:v>2026-05-20</x:v>
      </x:c>
      <x:c r="M1393" s="20" t="str">
        <x:v>2026-05-20</x:v>
      </x:c>
      <x:c r="N1393" s="20" t="str">
        <x:v>GPT-5.5 Pro</x:v>
      </x:c>
      <x:c r="O1393" s="20" t="str">
        <x:v>Needs review</x:v>
      </x:c>
      <x:c r="P1393" s="20" t="str">
        <x:v>Screening score for European Union / Security contractors in Poland; verify with country-specific evidence before final use.</x:v>
      </x:c>
    </x:row>
    <x:row r="1394" ht="24" customHeight="1">
      <x:c r="A1394" s="20" t="str">
        <x:v>QAT|Russia|Propaganda ecosystems</x:v>
      </x:c>
      <x:c r="B1394" s="20" t="str">
        <x:v>Qatar</x:v>
      </x:c>
      <x:c r="C1394" s="20" t="str">
        <x:v>QAT</x:v>
      </x:c>
      <x:c r="D1394" s="20" t="str">
        <x:v>Russia</x:v>
      </x:c>
      <x:c r="E1394" s="20" t="str">
        <x:v>Russian influence</x:v>
      </x:c>
      <x:c r="F1394" s="20" t="str">
        <x:v>Propaganda ecosystems</x:v>
      </x:c>
      <x:c r="G1394" s="384" t="n">
        <x:v>2</x:v>
      </x:c>
      <x:c r="H1394" s="396" t="n">
        <x:v>2</x:v>
      </x:c>
      <x:c r="I1394" s="20" t="str">
        <x:v>EEAS/EUvsDisinfo FIMI source register</x:v>
      </x:c>
      <x:c r="J1394" s="397" t="str">
        <x:v>https://www.eeas.europa.eu/eeas/4th-eeas-annual-report-foreign-information-manipulation-and-interference-threats_en</x:v>
      </x:c>
      <x:c r="K1394" s="20" t="str">
        <x:v>Primary source-register URL; automated screening score</x:v>
      </x:c>
      <x:c r="L1394" s="20" t="str">
        <x:v>2026-05-20</x:v>
      </x:c>
      <x:c r="M1394" s="20" t="str">
        <x:v>2026-05-20</x:v>
      </x:c>
      <x:c r="N1394" s="20" t="str">
        <x:v>GPT-5.5 Pro</x:v>
      </x:c>
      <x:c r="O1394" s="20" t="str">
        <x:v>Needs review</x:v>
      </x:c>
      <x:c r="P1394" s="20" t="str">
        <x:v>Screening score for Russia / Propaganda ecosystems in Qatar; verify with country-specific evidence before final use.</x:v>
      </x:c>
    </x:row>
    <x:row r="1395" ht="24" customHeight="1">
      <x:c r="A1395" s="20" t="str">
        <x:v>QAT|Russia|PMC presence</x:v>
      </x:c>
      <x:c r="B1395" s="20" t="str">
        <x:v>Qatar</x:v>
      </x:c>
      <x:c r="C1395" s="20" t="str">
        <x:v>QAT</x:v>
      </x:c>
      <x:c r="D1395" s="20" t="str">
        <x:v>Russia</x:v>
      </x:c>
      <x:c r="E1395" s="20" t="str">
        <x:v>Russian influence</x:v>
      </x:c>
      <x:c r="F1395" s="20" t="str">
        <x:v>PMC presence</x:v>
      </x:c>
      <x:c r="G1395" s="384" t="n">
        <x:v>0</x:v>
      </x:c>
      <x:c r="H1395" s="396" t="n">
        <x:v>1</x:v>
      </x:c>
      <x:c r="I1395" s="20" t="str">
        <x:v>Treasury and Council of the EU Wagner/PMC source register</x:v>
      </x:c>
      <x:c r="J1395" s="397" t="str">
        <x:v>https://www.consilium.europa.eu/en/press/press-releases/2023/02/25/wagner-group-council-adds-11-individuals-and-7-entities-to-eu-sanctions-lists/</x:v>
      </x:c>
      <x:c r="K1395" s="20" t="str">
        <x:v>Primary source-register URL; automated screening score</x:v>
      </x:c>
      <x:c r="L1395" s="20" t="str">
        <x:v>2026-05-20</x:v>
      </x:c>
      <x:c r="M1395" s="20" t="str">
        <x:v>2026-05-20</x:v>
      </x:c>
      <x:c r="N1395" s="20" t="str">
        <x:v>GPT-5.5 Pro</x:v>
      </x:c>
      <x:c r="O1395" s="20" t="str">
        <x:v>Needs review</x:v>
      </x:c>
      <x:c r="P1395" s="20" t="str">
        <x:v>Screening score for Russia / PMC presence in Qatar; verify with country-specific evidence before final use.</x:v>
      </x:c>
    </x:row>
    <x:row r="1396" ht="24" customHeight="1">
      <x:c r="A1396" s="20" t="str">
        <x:v>QAT|Russia|Election interference</x:v>
      </x:c>
      <x:c r="B1396" s="20" t="str">
        <x:v>Qatar</x:v>
      </x:c>
      <x:c r="C1396" s="20" t="str">
        <x:v>QAT</x:v>
      </x:c>
      <x:c r="D1396" s="20" t="str">
        <x:v>Russia</x:v>
      </x:c>
      <x:c r="E1396" s="20" t="str">
        <x:v>Russian influence</x:v>
      </x:c>
      <x:c r="F1396" s="20" t="str">
        <x:v>Election interference</x:v>
      </x:c>
      <x:c r="G1396" s="384" t="n">
        <x:v>0</x:v>
      </x:c>
      <x:c r="H1396" s="396" t="n">
        <x:v>1</x:v>
      </x:c>
      <x:c r="I1396" s="20" t="str">
        <x:v>ODNI/EEAS election-FIMI source register</x:v>
      </x:c>
      <x:c r="J1396" s="397" t="str">
        <x:v>https://www.dni.gov/files/ODNI/documents/assessments/ATA-2026-Unclassified-Report.pdf</x:v>
      </x:c>
      <x:c r="K1396" s="20" t="str">
        <x:v>Primary source-register URL; automated screening score</x:v>
      </x:c>
      <x:c r="L1396" s="20" t="str">
        <x:v>2026-05-20</x:v>
      </x:c>
      <x:c r="M1396" s="20" t="str">
        <x:v>2026-05-20</x:v>
      </x:c>
      <x:c r="N1396" s="20" t="str">
        <x:v>GPT-5.5 Pro</x:v>
      </x:c>
      <x:c r="O1396" s="20" t="str">
        <x:v>Needs review</x:v>
      </x:c>
      <x:c r="P1396" s="20" t="str">
        <x:v>Screening score for Russia / Election interference in Qatar; verify with country-specific evidence before final use.</x:v>
      </x:c>
    </x:row>
    <x:row r="1397" ht="24" customHeight="1">
      <x:c r="A1397" s="20" t="str">
        <x:v>QAT|Russia|Security contractors</x:v>
      </x:c>
      <x:c r="B1397" s="20" t="str">
        <x:v>Qatar</x:v>
      </x:c>
      <x:c r="C1397" s="20" t="str">
        <x:v>QAT</x:v>
      </x:c>
      <x:c r="D1397" s="20" t="str">
        <x:v>Russia</x:v>
      </x:c>
      <x:c r="E1397" s="20" t="str">
        <x:v>Russian influence</x:v>
      </x:c>
      <x:c r="F1397" s="20" t="str">
        <x:v>Security contractors</x:v>
      </x:c>
      <x:c r="G1397" s="384" t="n">
        <x:v>0</x:v>
      </x:c>
      <x:c r="H1397" s="396" t="n">
        <x:v>1</x:v>
      </x:c>
      <x:c r="I1397" s="20" t="str">
        <x:v>Council of the EU/Treasury Wagner-security source register</x:v>
      </x:c>
      <x:c r="J1397" s="397" t="str">
        <x:v>https://www.consilium.europa.eu/en/press/press-releases/2023/02/25/wagner-group-council-adds-11-individuals-and-7-entities-to-eu-sanctions-lists/</x:v>
      </x:c>
      <x:c r="K1397" s="20" t="str">
        <x:v>Primary source-register URL; automated screening score</x:v>
      </x:c>
      <x:c r="L1397" s="20" t="str">
        <x:v>2026-05-20</x:v>
      </x:c>
      <x:c r="M1397" s="20" t="str">
        <x:v>2026-05-20</x:v>
      </x:c>
      <x:c r="N1397" s="20" t="str">
        <x:v>GPT-5.5 Pro</x:v>
      </x:c>
      <x:c r="O1397" s="20" t="str">
        <x:v>Needs review</x:v>
      </x:c>
      <x:c r="P1397" s="20" t="str">
        <x:v>Screening score for Russia / Security contractors in Qatar; verify with country-specific evidence before final use.</x:v>
      </x:c>
    </x:row>
    <x:row r="1398" ht="24" customHeight="1">
      <x:c r="A1398" s="20" t="str">
        <x:v>QAT|China|Propaganda ecosystems</x:v>
      </x:c>
      <x:c r="B1398" s="20" t="str">
        <x:v>Qatar</x:v>
      </x:c>
      <x:c r="C1398" s="20" t="str">
        <x:v>QAT</x:v>
      </x:c>
      <x:c r="D1398" s="20" t="str">
        <x:v>China</x:v>
      </x:c>
      <x:c r="E1398" s="20" t="str">
        <x:v>Chinese influence</x:v>
      </x:c>
      <x:c r="F1398" s="20" t="str">
        <x:v>Propaganda ecosystems</x:v>
      </x:c>
      <x:c r="G1398" s="384" t="n">
        <x:v>3</x:v>
      </x:c>
      <x:c r="H1398" s="396" t="n">
        <x:v>3</x:v>
      </x:c>
      <x:c r="I1398" s="20" t="str">
        <x:v>EEAS/ODNI China FIMI source register</x:v>
      </x:c>
      <x:c r="J1398" s="397" t="str">
        <x:v>https://www.eeas.europa.eu/eeas/4th-eeas-annual-report-foreign-information-manipulation-and-interference-threats_en</x:v>
      </x:c>
      <x:c r="K1398" s="20" t="str">
        <x:v>Primary source-register URL; automated screening score</x:v>
      </x:c>
      <x:c r="L1398" s="20" t="str">
        <x:v>2026-05-20</x:v>
      </x:c>
      <x:c r="M1398" s="20" t="str">
        <x:v>2026-05-20</x:v>
      </x:c>
      <x:c r="N1398" s="20" t="str">
        <x:v>GPT-5.5 Pro</x:v>
      </x:c>
      <x:c r="O1398" s="20" t="str">
        <x:v>Needs review</x:v>
      </x:c>
      <x:c r="P1398" s="20" t="str">
        <x:v>Screening score for China / Propaganda ecosystems in Qatar; verify with country-specific evidence before final use.</x:v>
      </x:c>
    </x:row>
    <x:row r="1399" ht="24" customHeight="1">
      <x:c r="A1399" s="20" t="str">
        <x:v>QAT|China|PMC presence</x:v>
      </x:c>
      <x:c r="B1399" s="20" t="str">
        <x:v>Qatar</x:v>
      </x:c>
      <x:c r="C1399" s="20" t="str">
        <x:v>QAT</x:v>
      </x:c>
      <x:c r="D1399" s="20" t="str">
        <x:v>China</x:v>
      </x:c>
      <x:c r="E1399" s="20" t="str">
        <x:v>Chinese influence</x:v>
      </x:c>
      <x:c r="F1399" s="20" t="str">
        <x:v>PMC presence</x:v>
      </x:c>
      <x:c r="G1399" s="384" t="n">
        <x:v>0</x:v>
      </x:c>
      <x:c r="H1399" s="396" t="n">
        <x:v>1</x:v>
      </x:c>
      <x:c r="I1399" s="20" t="str">
        <x:v>MERICS/Carnegie Chinese overseas PSC source register</x:v>
      </x:c>
      <x:c r="J1399" s="397" t="str">
        <x:v>https://merics.org/en/report/guardians-belt-and-road</x:v>
      </x:c>
      <x:c r="K1399" s="20" t="str">
        <x:v>Primary source-register URL; automated screening score</x:v>
      </x:c>
      <x:c r="L1399" s="20" t="str">
        <x:v>2026-05-20</x:v>
      </x:c>
      <x:c r="M1399" s="20" t="str">
        <x:v>2026-05-20</x:v>
      </x:c>
      <x:c r="N1399" s="20" t="str">
        <x:v>GPT-5.5 Pro</x:v>
      </x:c>
      <x:c r="O1399" s="20" t="str">
        <x:v>Needs review</x:v>
      </x:c>
      <x:c r="P1399" s="20" t="str">
        <x:v>Screening score for China / PMC presence in Qatar; verify with country-specific evidence before final use.</x:v>
      </x:c>
    </x:row>
    <x:row r="1400" ht="24" customHeight="1">
      <x:c r="A1400" s="20" t="str">
        <x:v>QAT|China|Election interference</x:v>
      </x:c>
      <x:c r="B1400" s="20" t="str">
        <x:v>Qatar</x:v>
      </x:c>
      <x:c r="C1400" s="20" t="str">
        <x:v>QAT</x:v>
      </x:c>
      <x:c r="D1400" s="20" t="str">
        <x:v>China</x:v>
      </x:c>
      <x:c r="E1400" s="20" t="str">
        <x:v>Chinese influence</x:v>
      </x:c>
      <x:c r="F1400" s="20" t="str">
        <x:v>Election interference</x:v>
      </x:c>
      <x:c r="G1400" s="384" t="n">
        <x:v>1</x:v>
      </x:c>
      <x:c r="H1400" s="396" t="n">
        <x:v>2</x:v>
      </x:c>
      <x:c r="I1400" s="20" t="str">
        <x:v>EEAS/ODNI China election-FIMI source register</x:v>
      </x:c>
      <x:c r="J1400" s="397" t="str">
        <x:v>https://www.eeas.europa.eu/eeas/4th-eeas-annual-report-foreign-information-manipulation-and-interference-threats_en</x:v>
      </x:c>
      <x:c r="K1400" s="20" t="str">
        <x:v>Primary source-register URL; automated screening score</x:v>
      </x:c>
      <x:c r="L1400" s="20" t="str">
        <x:v>2026-05-20</x:v>
      </x:c>
      <x:c r="M1400" s="20" t="str">
        <x:v>2026-05-20</x:v>
      </x:c>
      <x:c r="N1400" s="20" t="str">
        <x:v>GPT-5.5 Pro</x:v>
      </x:c>
      <x:c r="O1400" s="20" t="str">
        <x:v>Needs review</x:v>
      </x:c>
      <x:c r="P1400" s="20" t="str">
        <x:v>Screening score for China / Election interference in Qatar; verify with country-specific evidence before final use.</x:v>
      </x:c>
    </x:row>
    <x:row r="1401" ht="24" customHeight="1">
      <x:c r="A1401" s="20" t="str">
        <x:v>QAT|China|Security contractors</x:v>
      </x:c>
      <x:c r="B1401" s="20" t="str">
        <x:v>Qatar</x:v>
      </x:c>
      <x:c r="C1401" s="20" t="str">
        <x:v>QAT</x:v>
      </x:c>
      <x:c r="D1401" s="20" t="str">
        <x:v>China</x:v>
      </x:c>
      <x:c r="E1401" s="20" t="str">
        <x:v>Chinese influence</x:v>
      </x:c>
      <x:c r="F1401" s="20" t="str">
        <x:v>Security contractors</x:v>
      </x:c>
      <x:c r="G1401" s="384" t="n">
        <x:v>1</x:v>
      </x:c>
      <x:c r="H1401" s="396" t="n">
        <x:v>2</x:v>
      </x:c>
      <x:c r="I1401" s="20" t="str">
        <x:v>MERICS/Carnegie Chinese security contractor source register</x:v>
      </x:c>
      <x:c r="J1401" s="397" t="str">
        <x:v>https://merics.org/en/report/guardians-belt-and-road</x:v>
      </x:c>
      <x:c r="K1401" s="20" t="str">
        <x:v>Primary source-register URL; automated screening score</x:v>
      </x:c>
      <x:c r="L1401" s="20" t="str">
        <x:v>2026-05-20</x:v>
      </x:c>
      <x:c r="M1401" s="20" t="str">
        <x:v>2026-05-20</x:v>
      </x:c>
      <x:c r="N1401" s="20" t="str">
        <x:v>GPT-5.5 Pro</x:v>
      </x:c>
      <x:c r="O1401" s="20" t="str">
        <x:v>Needs review</x:v>
      </x:c>
      <x:c r="P1401" s="20" t="str">
        <x:v>Screening score for China / Security contractors in Qatar; verify with country-specific evidence before final use.</x:v>
      </x:c>
    </x:row>
    <x:row r="1402" ht="24" customHeight="1">
      <x:c r="A1402" s="20" t="str">
        <x:v>QAT|United States|Propaganda ecosystems</x:v>
      </x:c>
      <x:c r="B1402" s="20" t="str">
        <x:v>Qatar</x:v>
      </x:c>
      <x:c r="C1402" s="20" t="str">
        <x:v>QAT</x:v>
      </x:c>
      <x:c r="D1402" s="20" t="str">
        <x:v>United States</x:v>
      </x:c>
      <x:c r="E1402" s="20" t="str">
        <x:v>American influence</x:v>
      </x:c>
      <x:c r="F1402" s="20" t="str">
        <x:v>Propaganda ecosystems</x:v>
      </x:c>
      <x:c r="G1402" s="384" t="n">
        <x:v>5</x:v>
      </x:c>
      <x:c r="H1402" s="396" t="n">
        <x:v>3</x:v>
      </x:c>
      <x:c r="I1402" s="20" t="str">
        <x:v>USAGM public media source register</x:v>
      </x:c>
      <x:c r="J1402" s="397" t="str">
        <x:v>https://www.usagm.gov/our-work/strategy-and-results/strategic-priorities/research-reports/</x:v>
      </x:c>
      <x:c r="K1402" s="20" t="str">
        <x:v>Primary source-register URL; automated screening score</x:v>
      </x:c>
      <x:c r="L1402" s="20" t="str">
        <x:v>2026-05-20</x:v>
      </x:c>
      <x:c r="M1402" s="20" t="str">
        <x:v>2026-05-20</x:v>
      </x:c>
      <x:c r="N1402" s="20" t="str">
        <x:v>GPT-5.5 Pro</x:v>
      </x:c>
      <x:c r="O1402" s="20" t="str">
        <x:v>Needs review</x:v>
      </x:c>
      <x:c r="P1402" s="20" t="str">
        <x:v>Screening score for United States / Propaganda ecosystems in Qatar; verify with country-specific evidence before final use.</x:v>
      </x:c>
    </x:row>
    <x:row r="1403" ht="24" customHeight="1">
      <x:c r="A1403" s="20" t="str">
        <x:v>QAT|United States|PMC presence</x:v>
      </x:c>
      <x:c r="B1403" s="20" t="str">
        <x:v>Qatar</x:v>
      </x:c>
      <x:c r="C1403" s="20" t="str">
        <x:v>QAT</x:v>
      </x:c>
      <x:c r="D1403" s="20" t="str">
        <x:v>United States</x:v>
      </x:c>
      <x:c r="E1403" s="20" t="str">
        <x:v>American influence</x:v>
      </x:c>
      <x:c r="F1403" s="20" t="str">
        <x:v>PMC presence</x:v>
      </x:c>
      <x:c r="G1403" s="384" t="n">
        <x:v>5</x:v>
      </x:c>
      <x:c r="H1403" s="396" t="n">
        <x:v>3</x:v>
      </x:c>
      <x:c r="I1403" s="20" t="str">
        <x:v>SAM/Greenbook U.S. security assistance contractor source register</x:v>
      </x:c>
      <x:c r="J1403" s="397" t="str">
        <x:v>https://internationalpolicy.org/programs/sam/</x:v>
      </x:c>
      <x:c r="K1403" s="20" t="str">
        <x:v>Primary source-register URL; automated screening score</x:v>
      </x:c>
      <x:c r="L1403" s="20" t="str">
        <x:v>2026-05-20</x:v>
      </x:c>
      <x:c r="M1403" s="20" t="str">
        <x:v>2026-05-20</x:v>
      </x:c>
      <x:c r="N1403" s="20" t="str">
        <x:v>GPT-5.5 Pro</x:v>
      </x:c>
      <x:c r="O1403" s="20" t="str">
        <x:v>Needs review</x:v>
      </x:c>
      <x:c r="P1403" s="20" t="str">
        <x:v>Screening score for United States / PMC presence in Qatar; verify with country-specific evidence before final use.</x:v>
      </x:c>
    </x:row>
    <x:row r="1404" ht="24" customHeight="1">
      <x:c r="A1404" s="20" t="str">
        <x:v>QAT|United States|Election interference</x:v>
      </x:c>
      <x:c r="B1404" s="20" t="str">
        <x:v>Qatar</x:v>
      </x:c>
      <x:c r="C1404" s="20" t="str">
        <x:v>QAT</x:v>
      </x:c>
      <x:c r="D1404" s="20" t="str">
        <x:v>United States</x:v>
      </x:c>
      <x:c r="E1404" s="20" t="str">
        <x:v>American influence</x:v>
      </x:c>
      <x:c r="F1404" s="20" t="str">
        <x:v>Election interference</x:v>
      </x:c>
      <x:c r="G1404" s="384" t="n">
        <x:v>2</x:v>
      </x:c>
      <x:c r="H1404" s="396" t="n">
        <x:v>2</x:v>
      </x:c>
      <x:c r="I1404" s="20" t="str">
        <x:v>NED/Greenbook democracy assistance source register</x:v>
      </x:c>
      <x:c r="J1404" s="397" t="str">
        <x:v>https://www.ned.org/ned-grantmaking/</x:v>
      </x:c>
      <x:c r="K1404" s="20" t="str">
        <x:v>Primary source-register URL; automated screening score</x:v>
      </x:c>
      <x:c r="L1404" s="20" t="str">
        <x:v>2026-05-20</x:v>
      </x:c>
      <x:c r="M1404" s="20" t="str">
        <x:v>2026-05-20</x:v>
      </x:c>
      <x:c r="N1404" s="20" t="str">
        <x:v>GPT-5.5 Pro</x:v>
      </x:c>
      <x:c r="O1404" s="20" t="str">
        <x:v>Needs review</x:v>
      </x:c>
      <x:c r="P1404" s="20" t="str">
        <x:v>Screening score for United States / Election interference in Qatar; verify with country-specific evidence before final use.</x:v>
      </x:c>
    </x:row>
    <x:row r="1405" ht="24" customHeight="1">
      <x:c r="A1405" s="20" t="str">
        <x:v>QAT|United States|Security contractors</x:v>
      </x:c>
      <x:c r="B1405" s="20" t="str">
        <x:v>Qatar</x:v>
      </x:c>
      <x:c r="C1405" s="20" t="str">
        <x:v>QAT</x:v>
      </x:c>
      <x:c r="D1405" s="20" t="str">
        <x:v>United States</x:v>
      </x:c>
      <x:c r="E1405" s="20" t="str">
        <x:v>American influence</x:v>
      </x:c>
      <x:c r="F1405" s="20" t="str">
        <x:v>Security contractors</x:v>
      </x:c>
      <x:c r="G1405" s="384" t="n">
        <x:v>7</x:v>
      </x:c>
      <x:c r="H1405" s="396" t="n">
        <x:v>4</x:v>
      </x:c>
      <x:c r="I1405" s="20" t="str">
        <x:v>SAM/Greenbook U.S. security contractor source register</x:v>
      </x:c>
      <x:c r="J1405" s="397" t="str">
        <x:v>https://internationalpolicy.org/programs/sam/</x:v>
      </x:c>
      <x:c r="K1405" s="20" t="str">
        <x:v>Primary source-register URL; automated screening score</x:v>
      </x:c>
      <x:c r="L1405" s="20" t="str">
        <x:v>2026-05-20</x:v>
      </x:c>
      <x:c r="M1405" s="20" t="str">
        <x:v>2026-05-20</x:v>
      </x:c>
      <x:c r="N1405" s="20" t="str">
        <x:v>GPT-5.5 Pro</x:v>
      </x:c>
      <x:c r="O1405" s="20" t="str">
        <x:v>Needs review</x:v>
      </x:c>
      <x:c r="P1405" s="20" t="str">
        <x:v>Screening score for United States / Security contractors in Qatar; verify with country-specific evidence before final use.</x:v>
      </x:c>
    </x:row>
    <x:row r="1406" ht="24" customHeight="1">
      <x:c r="A1406" s="20" t="str">
        <x:v>QAT|European Union|Propaganda ecosystems</x:v>
      </x:c>
      <x:c r="B1406" s="20" t="str">
        <x:v>Qatar</x:v>
      </x:c>
      <x:c r="C1406" s="20" t="str">
        <x:v>QAT</x:v>
      </x:c>
      <x:c r="D1406" s="20" t="str">
        <x:v>European Union</x:v>
      </x:c>
      <x:c r="E1406" s="20" t="str">
        <x:v>EU influence</x:v>
      </x:c>
      <x:c r="F1406" s="20" t="str">
        <x:v>Propaganda ecosystems</x:v>
      </x:c>
      <x:c r="G1406" s="384" t="n">
        <x:v>2</x:v>
      </x:c>
      <x:c r="H1406" s="396" t="n">
        <x:v>2</x:v>
      </x:c>
      <x:c r="I1406" s="20" t="str">
        <x:v>EEAS public diplomacy source register</x:v>
      </x:c>
      <x:c r="J1406" s="397" t="str">
        <x:v>https://www.eeas.europa.eu/eeas/public-diplomacy_en</x:v>
      </x:c>
      <x:c r="K1406" s="20" t="str">
        <x:v>Primary source-register URL; automated screening score</x:v>
      </x:c>
      <x:c r="L1406" s="20" t="str">
        <x:v>2026-05-20</x:v>
      </x:c>
      <x:c r="M1406" s="20" t="str">
        <x:v>2026-05-20</x:v>
      </x:c>
      <x:c r="N1406" s="20" t="str">
        <x:v>GPT-5.5 Pro</x:v>
      </x:c>
      <x:c r="O1406" s="20" t="str">
        <x:v>Needs review</x:v>
      </x:c>
      <x:c r="P1406" s="20" t="str">
        <x:v>Screening score for European Union / Propaganda ecosystems in Qatar; verify with country-specific evidence before final use.</x:v>
      </x:c>
    </x:row>
    <x:row r="1407" ht="24" customHeight="1">
      <x:c r="A1407" s="20" t="str">
        <x:v>QAT|European Union|PMC presence</x:v>
      </x:c>
      <x:c r="B1407" s="20" t="str">
        <x:v>Qatar</x:v>
      </x:c>
      <x:c r="C1407" s="20" t="str">
        <x:v>QAT</x:v>
      </x:c>
      <x:c r="D1407" s="20" t="str">
        <x:v>European Union</x:v>
      </x:c>
      <x:c r="E1407" s="20" t="str">
        <x:v>EU influence</x:v>
      </x:c>
      <x:c r="F1407" s="20" t="str">
        <x:v>PMC presence</x:v>
      </x:c>
      <x:c r="G1407" s="384" t="n">
        <x:v>0</x:v>
      </x:c>
      <x:c r="H1407" s="396" t="n">
        <x:v>1</x:v>
      </x:c>
      <x:c r="I1407" s="20" t="str">
        <x:v>EEAS CSDP missions source register</x:v>
      </x:c>
      <x:c r="J1407" s="397" t="str">
        <x:v>https://www.eeas.europa.eu/eeas/missions-and-operations_en</x:v>
      </x:c>
      <x:c r="K1407" s="20" t="str">
        <x:v>Primary source-register URL; automated screening score</x:v>
      </x:c>
      <x:c r="L1407" s="20" t="str">
        <x:v>2026-05-20</x:v>
      </x:c>
      <x:c r="M1407" s="20" t="str">
        <x:v>2026-05-20</x:v>
      </x:c>
      <x:c r="N1407" s="20" t="str">
        <x:v>GPT-5.5 Pro</x:v>
      </x:c>
      <x:c r="O1407" s="20" t="str">
        <x:v>Needs review</x:v>
      </x:c>
      <x:c r="P1407" s="20" t="str">
        <x:v>Screening score for European Union / PMC presence in Qatar; verify with country-specific evidence before final use.</x:v>
      </x:c>
    </x:row>
    <x:row r="1408" ht="24" customHeight="1">
      <x:c r="A1408" s="20" t="str">
        <x:v>QAT|European Union|Election interference</x:v>
      </x:c>
      <x:c r="B1408" s="20" t="str">
        <x:v>Qatar</x:v>
      </x:c>
      <x:c r="C1408" s="20" t="str">
        <x:v>QAT</x:v>
      </x:c>
      <x:c r="D1408" s="20" t="str">
        <x:v>European Union</x:v>
      </x:c>
      <x:c r="E1408" s="20" t="str">
        <x:v>EU influence</x:v>
      </x:c>
      <x:c r="F1408" s="20" t="str">
        <x:v>Election interference</x:v>
      </x:c>
      <x:c r="G1408" s="384" t="n">
        <x:v>1</x:v>
      </x:c>
      <x:c r="H1408" s="396" t="n">
        <x:v>2</x:v>
      </x:c>
      <x:c r="I1408" s="20" t="str">
        <x:v>EEAS EU election observation source register</x:v>
      </x:c>
      <x:c r="J1408" s="397" t="str">
        <x:v>https://www.eeas.europa.eu/eeas/eu-election-observation-missions-1_en?page_lang=en</x:v>
      </x:c>
      <x:c r="K1408" s="20" t="str">
        <x:v>Primary source-register URL; automated screening score</x:v>
      </x:c>
      <x:c r="L1408" s="20" t="str">
        <x:v>2026-05-20</x:v>
      </x:c>
      <x:c r="M1408" s="20" t="str">
        <x:v>2026-05-20</x:v>
      </x:c>
      <x:c r="N1408" s="20" t="str">
        <x:v>GPT-5.5 Pro</x:v>
      </x:c>
      <x:c r="O1408" s="20" t="str">
        <x:v>Needs review</x:v>
      </x:c>
      <x:c r="P1408" s="20" t="str">
        <x:v>Screening score for European Union / Election interference in Qatar; verify with country-specific evidence before final use.</x:v>
      </x:c>
    </x:row>
    <x:row r="1409" ht="24" customHeight="1">
      <x:c r="A1409" s="20" t="str">
        <x:v>QAT|European Union|Security contractors</x:v>
      </x:c>
      <x:c r="B1409" s="20" t="str">
        <x:v>Qatar</x:v>
      </x:c>
      <x:c r="C1409" s="20" t="str">
        <x:v>QAT</x:v>
      </x:c>
      <x:c r="D1409" s="20" t="str">
        <x:v>European Union</x:v>
      </x:c>
      <x:c r="E1409" s="20" t="str">
        <x:v>EU influence</x:v>
      </x:c>
      <x:c r="F1409" s="20" t="str">
        <x:v>Security contractors</x:v>
      </x:c>
      <x:c r="G1409" s="384" t="n">
        <x:v>2</x:v>
      </x:c>
      <x:c r="H1409" s="396" t="n">
        <x:v>2</x:v>
      </x:c>
      <x:c r="I1409" s="20" t="str">
        <x:v>EEAS CSDP / Global Gateway security source register</x:v>
      </x:c>
      <x:c r="J1409" s="397" t="str">
        <x:v>https://www.eeas.europa.eu/eeas/missions-and-operations_en</x:v>
      </x:c>
      <x:c r="K1409" s="20" t="str">
        <x:v>Primary source-register URL; automated screening score</x:v>
      </x:c>
      <x:c r="L1409" s="20" t="str">
        <x:v>2026-05-20</x:v>
      </x:c>
      <x:c r="M1409" s="20" t="str">
        <x:v>2026-05-20</x:v>
      </x:c>
      <x:c r="N1409" s="20" t="str">
        <x:v>GPT-5.5 Pro</x:v>
      </x:c>
      <x:c r="O1409" s="20" t="str">
        <x:v>Needs review</x:v>
      </x:c>
      <x:c r="P1409" s="20" t="str">
        <x:v>Screening score for European Union / Security contractors in Qatar; verify with country-specific evidence before final use.</x:v>
      </x:c>
    </x:row>
    <x:row r="1410" ht="24" customHeight="1">
      <x:c r="A1410" s="20" t="str">
        <x:v>COG|Russia|Propaganda ecosystems</x:v>
      </x:c>
      <x:c r="B1410" s="20" t="str">
        <x:v>Republic of the Congo</x:v>
      </x:c>
      <x:c r="C1410" s="20" t="str">
        <x:v>COG</x:v>
      </x:c>
      <x:c r="D1410" s="20" t="str">
        <x:v>Russia</x:v>
      </x:c>
      <x:c r="E1410" s="20" t="str">
        <x:v>Russian influence</x:v>
      </x:c>
      <x:c r="F1410" s="20" t="str">
        <x:v>Propaganda ecosystems</x:v>
      </x:c>
      <x:c r="G1410" s="384" t="n">
        <x:v>4</x:v>
      </x:c>
      <x:c r="H1410" s="396" t="n">
        <x:v>3</x:v>
      </x:c>
      <x:c r="I1410" s="20" t="str">
        <x:v>EEAS/EUvsDisinfo FIMI source register</x:v>
      </x:c>
      <x:c r="J1410" s="397" t="str">
        <x:v>https://www.eeas.europa.eu/eeas/4th-eeas-annual-report-foreign-information-manipulation-and-interference-threats_en</x:v>
      </x:c>
      <x:c r="K1410" s="20" t="str">
        <x:v>Primary source-register URL; automated screening score</x:v>
      </x:c>
      <x:c r="L1410" s="20" t="str">
        <x:v>2026-05-20</x:v>
      </x:c>
      <x:c r="M1410" s="20" t="str">
        <x:v>2026-05-20</x:v>
      </x:c>
      <x:c r="N1410" s="20" t="str">
        <x:v>GPT-5.5 Pro</x:v>
      </x:c>
      <x:c r="O1410" s="20" t="str">
        <x:v>Needs review</x:v>
      </x:c>
      <x:c r="P1410" s="20" t="str">
        <x:v>Screening score for Russia / Propaganda ecosystems in Republic of the Congo; verify with country-specific evidence before final use.</x:v>
      </x:c>
    </x:row>
    <x:row r="1411" ht="24" customHeight="1">
      <x:c r="A1411" s="20" t="str">
        <x:v>COG|Russia|PMC presence</x:v>
      </x:c>
      <x:c r="B1411" s="20" t="str">
        <x:v>Republic of the Congo</x:v>
      </x:c>
      <x:c r="C1411" s="20" t="str">
        <x:v>COG</x:v>
      </x:c>
      <x:c r="D1411" s="20" t="str">
        <x:v>Russia</x:v>
      </x:c>
      <x:c r="E1411" s="20" t="str">
        <x:v>Russian influence</x:v>
      </x:c>
      <x:c r="F1411" s="20" t="str">
        <x:v>PMC presence</x:v>
      </x:c>
      <x:c r="G1411" s="384" t="n">
        <x:v>2</x:v>
      </x:c>
      <x:c r="H1411" s="396" t="n">
        <x:v>2</x:v>
      </x:c>
      <x:c r="I1411" s="20" t="str">
        <x:v>Treasury and Council of the EU Wagner/PMC source register</x:v>
      </x:c>
      <x:c r="J1411" s="397" t="str">
        <x:v>https://www.consilium.europa.eu/en/press/press-releases/2023/02/25/wagner-group-council-adds-11-individuals-and-7-entities-to-eu-sanctions-lists/</x:v>
      </x:c>
      <x:c r="K1411" s="20" t="str">
        <x:v>Primary source-register URL; automated screening score</x:v>
      </x:c>
      <x:c r="L1411" s="20" t="str">
        <x:v>2026-05-20</x:v>
      </x:c>
      <x:c r="M1411" s="20" t="str">
        <x:v>2026-05-20</x:v>
      </x:c>
      <x:c r="N1411" s="20" t="str">
        <x:v>GPT-5.5 Pro</x:v>
      </x:c>
      <x:c r="O1411" s="20" t="str">
        <x:v>Needs review</x:v>
      </x:c>
      <x:c r="P1411" s="20" t="str">
        <x:v>Screening score for Russia / PMC presence in Republic of the Congo; verify with country-specific evidence before final use.</x:v>
      </x:c>
    </x:row>
    <x:row r="1412" ht="24" customHeight="1">
      <x:c r="A1412" s="20" t="str">
        <x:v>COG|Russia|Election interference</x:v>
      </x:c>
      <x:c r="B1412" s="20" t="str">
        <x:v>Republic of the Congo</x:v>
      </x:c>
      <x:c r="C1412" s="20" t="str">
        <x:v>COG</x:v>
      </x:c>
      <x:c r="D1412" s="20" t="str">
        <x:v>Russia</x:v>
      </x:c>
      <x:c r="E1412" s="20" t="str">
        <x:v>Russian influence</x:v>
      </x:c>
      <x:c r="F1412" s="20" t="str">
        <x:v>Election interference</x:v>
      </x:c>
      <x:c r="G1412" s="384" t="n">
        <x:v>1</x:v>
      </x:c>
      <x:c r="H1412" s="396" t="n">
        <x:v>2</x:v>
      </x:c>
      <x:c r="I1412" s="20" t="str">
        <x:v>ODNI/EEAS election-FIMI source register</x:v>
      </x:c>
      <x:c r="J1412" s="397" t="str">
        <x:v>https://www.dni.gov/files/ODNI/documents/assessments/ATA-2026-Unclassified-Report.pdf</x:v>
      </x:c>
      <x:c r="K1412" s="20" t="str">
        <x:v>Primary source-register URL; automated screening score</x:v>
      </x:c>
      <x:c r="L1412" s="20" t="str">
        <x:v>2026-05-20</x:v>
      </x:c>
      <x:c r="M1412" s="20" t="str">
        <x:v>2026-05-20</x:v>
      </x:c>
      <x:c r="N1412" s="20" t="str">
        <x:v>GPT-5.5 Pro</x:v>
      </x:c>
      <x:c r="O1412" s="20" t="str">
        <x:v>Needs review</x:v>
      </x:c>
      <x:c r="P1412" s="20" t="str">
        <x:v>Screening score for Russia / Election interference in Republic of the Congo; verify with country-specific evidence before final use.</x:v>
      </x:c>
    </x:row>
    <x:row r="1413" ht="24" customHeight="1">
      <x:c r="A1413" s="20" t="str">
        <x:v>COG|Russia|Security contractors</x:v>
      </x:c>
      <x:c r="B1413" s="20" t="str">
        <x:v>Republic of the Congo</x:v>
      </x:c>
      <x:c r="C1413" s="20" t="str">
        <x:v>COG</x:v>
      </x:c>
      <x:c r="D1413" s="20" t="str">
        <x:v>Russia</x:v>
      </x:c>
      <x:c r="E1413" s="20" t="str">
        <x:v>Russian influence</x:v>
      </x:c>
      <x:c r="F1413" s="20" t="str">
        <x:v>Security contractors</x:v>
      </x:c>
      <x:c r="G1413" s="384" t="n">
        <x:v>2</x:v>
      </x:c>
      <x:c r="H1413" s="396" t="n">
        <x:v>2</x:v>
      </x:c>
      <x:c r="I1413" s="20" t="str">
        <x:v>Council of the EU/Treasury Wagner-security source register</x:v>
      </x:c>
      <x:c r="J1413" s="397" t="str">
        <x:v>https://www.consilium.europa.eu/en/press/press-releases/2023/02/25/wagner-group-council-adds-11-individuals-and-7-entities-to-eu-sanctions-lists/</x:v>
      </x:c>
      <x:c r="K1413" s="20" t="str">
        <x:v>Primary source-register URL; automated screening score</x:v>
      </x:c>
      <x:c r="L1413" s="20" t="str">
        <x:v>2026-05-20</x:v>
      </x:c>
      <x:c r="M1413" s="20" t="str">
        <x:v>2026-05-20</x:v>
      </x:c>
      <x:c r="N1413" s="20" t="str">
        <x:v>GPT-5.5 Pro</x:v>
      </x:c>
      <x:c r="O1413" s="20" t="str">
        <x:v>Needs review</x:v>
      </x:c>
      <x:c r="P1413" s="20" t="str">
        <x:v>Screening score for Russia / Security contractors in Republic of the Congo; verify with country-specific evidence before final use.</x:v>
      </x:c>
    </x:row>
    <x:row r="1414" ht="24" customHeight="1">
      <x:c r="A1414" s="20" t="str">
        <x:v>COG|China|Propaganda ecosystems</x:v>
      </x:c>
      <x:c r="B1414" s="20" t="str">
        <x:v>Republic of the Congo</x:v>
      </x:c>
      <x:c r="C1414" s="20" t="str">
        <x:v>COG</x:v>
      </x:c>
      <x:c r="D1414" s="20" t="str">
        <x:v>China</x:v>
      </x:c>
      <x:c r="E1414" s="20" t="str">
        <x:v>Chinese influence</x:v>
      </x:c>
      <x:c r="F1414" s="20" t="str">
        <x:v>Propaganda ecosystems</x:v>
      </x:c>
      <x:c r="G1414" s="384" t="n">
        <x:v>5</x:v>
      </x:c>
      <x:c r="H1414" s="396" t="n">
        <x:v>3</x:v>
      </x:c>
      <x:c r="I1414" s="20" t="str">
        <x:v>EEAS/ODNI China FIMI source register</x:v>
      </x:c>
      <x:c r="J1414" s="397" t="str">
        <x:v>https://www.eeas.europa.eu/eeas/4th-eeas-annual-report-foreign-information-manipulation-and-interference-threats_en</x:v>
      </x:c>
      <x:c r="K1414" s="20" t="str">
        <x:v>Primary source-register URL; automated screening score</x:v>
      </x:c>
      <x:c r="L1414" s="20" t="str">
        <x:v>2026-05-20</x:v>
      </x:c>
      <x:c r="M1414" s="20" t="str">
        <x:v>2026-05-20</x:v>
      </x:c>
      <x:c r="N1414" s="20" t="str">
        <x:v>GPT-5.5 Pro</x:v>
      </x:c>
      <x:c r="O1414" s="20" t="str">
        <x:v>Needs review</x:v>
      </x:c>
      <x:c r="P1414" s="20" t="str">
        <x:v>Screening score for China / Propaganda ecosystems in Republic of the Congo; verify with country-specific evidence before final use.</x:v>
      </x:c>
    </x:row>
    <x:row r="1415" ht="24" customHeight="1">
      <x:c r="A1415" s="20" t="str">
        <x:v>COG|China|PMC presence</x:v>
      </x:c>
      <x:c r="B1415" s="20" t="str">
        <x:v>Republic of the Congo</x:v>
      </x:c>
      <x:c r="C1415" s="20" t="str">
        <x:v>COG</x:v>
      </x:c>
      <x:c r="D1415" s="20" t="str">
        <x:v>China</x:v>
      </x:c>
      <x:c r="E1415" s="20" t="str">
        <x:v>Chinese influence</x:v>
      </x:c>
      <x:c r="F1415" s="20" t="str">
        <x:v>PMC presence</x:v>
      </x:c>
      <x:c r="G1415" s="384" t="n">
        <x:v>1</x:v>
      </x:c>
      <x:c r="H1415" s="396" t="n">
        <x:v>2</x:v>
      </x:c>
      <x:c r="I1415" s="20" t="str">
        <x:v>MERICS/Carnegie Chinese overseas PSC source register</x:v>
      </x:c>
      <x:c r="J1415" s="397" t="str">
        <x:v>https://merics.org/en/report/guardians-belt-and-road</x:v>
      </x:c>
      <x:c r="K1415" s="20" t="str">
        <x:v>Primary source-register URL; automated screening score</x:v>
      </x:c>
      <x:c r="L1415" s="20" t="str">
        <x:v>2026-05-20</x:v>
      </x:c>
      <x:c r="M1415" s="20" t="str">
        <x:v>2026-05-20</x:v>
      </x:c>
      <x:c r="N1415" s="20" t="str">
        <x:v>GPT-5.5 Pro</x:v>
      </x:c>
      <x:c r="O1415" s="20" t="str">
        <x:v>Needs review</x:v>
      </x:c>
      <x:c r="P1415" s="20" t="str">
        <x:v>Screening score for China / PMC presence in Republic of the Congo; verify with country-specific evidence before final use.</x:v>
      </x:c>
    </x:row>
    <x:row r="1416" ht="24" customHeight="1">
      <x:c r="A1416" s="20" t="str">
        <x:v>COG|China|Election interference</x:v>
      </x:c>
      <x:c r="B1416" s="20" t="str">
        <x:v>Republic of the Congo</x:v>
      </x:c>
      <x:c r="C1416" s="20" t="str">
        <x:v>COG</x:v>
      </x:c>
      <x:c r="D1416" s="20" t="str">
        <x:v>China</x:v>
      </x:c>
      <x:c r="E1416" s="20" t="str">
        <x:v>Chinese influence</x:v>
      </x:c>
      <x:c r="F1416" s="20" t="str">
        <x:v>Election interference</x:v>
      </x:c>
      <x:c r="G1416" s="384" t="n">
        <x:v>1</x:v>
      </x:c>
      <x:c r="H1416" s="396" t="n">
        <x:v>2</x:v>
      </x:c>
      <x:c r="I1416" s="20" t="str">
        <x:v>EEAS/ODNI China election-FIMI source register</x:v>
      </x:c>
      <x:c r="J1416" s="397" t="str">
        <x:v>https://www.eeas.europa.eu/eeas/4th-eeas-annual-report-foreign-information-manipulation-and-interference-threats_en</x:v>
      </x:c>
      <x:c r="K1416" s="20" t="str">
        <x:v>Primary source-register URL; automated screening score</x:v>
      </x:c>
      <x:c r="L1416" s="20" t="str">
        <x:v>2026-05-20</x:v>
      </x:c>
      <x:c r="M1416" s="20" t="str">
        <x:v>2026-05-20</x:v>
      </x:c>
      <x:c r="N1416" s="20" t="str">
        <x:v>GPT-5.5 Pro</x:v>
      </x:c>
      <x:c r="O1416" s="20" t="str">
        <x:v>Needs review</x:v>
      </x:c>
      <x:c r="P1416" s="20" t="str">
        <x:v>Screening score for China / Election interference in Republic of the Congo; verify with country-specific evidence before final use.</x:v>
      </x:c>
    </x:row>
    <x:row r="1417" ht="24" customHeight="1">
      <x:c r="A1417" s="20" t="str">
        <x:v>COG|China|Security contractors</x:v>
      </x:c>
      <x:c r="B1417" s="20" t="str">
        <x:v>Republic of the Congo</x:v>
      </x:c>
      <x:c r="C1417" s="20" t="str">
        <x:v>COG</x:v>
      </x:c>
      <x:c r="D1417" s="20" t="str">
        <x:v>China</x:v>
      </x:c>
      <x:c r="E1417" s="20" t="str">
        <x:v>Chinese influence</x:v>
      </x:c>
      <x:c r="F1417" s="20" t="str">
        <x:v>Security contractors</x:v>
      </x:c>
      <x:c r="G1417" s="384" t="n">
        <x:v>2</x:v>
      </x:c>
      <x:c r="H1417" s="396" t="n">
        <x:v>2</x:v>
      </x:c>
      <x:c r="I1417" s="20" t="str">
        <x:v>MERICS/Carnegie Chinese security contractor source register</x:v>
      </x:c>
      <x:c r="J1417" s="397" t="str">
        <x:v>https://merics.org/en/report/guardians-belt-and-road</x:v>
      </x:c>
      <x:c r="K1417" s="20" t="str">
        <x:v>Primary source-register URL; automated screening score</x:v>
      </x:c>
      <x:c r="L1417" s="20" t="str">
        <x:v>2026-05-20</x:v>
      </x:c>
      <x:c r="M1417" s="20" t="str">
        <x:v>2026-05-20</x:v>
      </x:c>
      <x:c r="N1417" s="20" t="str">
        <x:v>GPT-5.5 Pro</x:v>
      </x:c>
      <x:c r="O1417" s="20" t="str">
        <x:v>Needs review</x:v>
      </x:c>
      <x:c r="P1417" s="20" t="str">
        <x:v>Screening score for China / Security contractors in Republic of the Congo; verify with country-specific evidence before final use.</x:v>
      </x:c>
    </x:row>
    <x:row r="1418" ht="24" customHeight="1">
      <x:c r="A1418" s="20" t="str">
        <x:v>COG|United States|Propaganda ecosystems</x:v>
      </x:c>
      <x:c r="B1418" s="20" t="str">
        <x:v>Republic of the Congo</x:v>
      </x:c>
      <x:c r="C1418" s="20" t="str">
        <x:v>COG</x:v>
      </x:c>
      <x:c r="D1418" s="20" t="str">
        <x:v>United States</x:v>
      </x:c>
      <x:c r="E1418" s="20" t="str">
        <x:v>American influence</x:v>
      </x:c>
      <x:c r="F1418" s="20" t="str">
        <x:v>Propaganda ecosystems</x:v>
      </x:c>
      <x:c r="G1418" s="384" t="n">
        <x:v>4</x:v>
      </x:c>
      <x:c r="H1418" s="396" t="n">
        <x:v>3</x:v>
      </x:c>
      <x:c r="I1418" s="20" t="str">
        <x:v>USAGM public media source register</x:v>
      </x:c>
      <x:c r="J1418" s="397" t="str">
        <x:v>https://www.usagm.gov/our-work/strategy-and-results/strategic-priorities/research-reports/</x:v>
      </x:c>
      <x:c r="K1418" s="20" t="str">
        <x:v>Primary source-register URL; automated screening score</x:v>
      </x:c>
      <x:c r="L1418" s="20" t="str">
        <x:v>2026-05-20</x:v>
      </x:c>
      <x:c r="M1418" s="20" t="str">
        <x:v>2026-05-20</x:v>
      </x:c>
      <x:c r="N1418" s="20" t="str">
        <x:v>GPT-5.5 Pro</x:v>
      </x:c>
      <x:c r="O1418" s="20" t="str">
        <x:v>Needs review</x:v>
      </x:c>
      <x:c r="P1418" s="20" t="str">
        <x:v>Screening score for United States / Propaganda ecosystems in Republic of the Congo; verify with country-specific evidence before final use.</x:v>
      </x:c>
    </x:row>
    <x:row r="1419" ht="24" customHeight="1">
      <x:c r="A1419" s="20" t="str">
        <x:v>COG|United States|PMC presence</x:v>
      </x:c>
      <x:c r="B1419" s="20" t="str">
        <x:v>Republic of the Congo</x:v>
      </x:c>
      <x:c r="C1419" s="20" t="str">
        <x:v>COG</x:v>
      </x:c>
      <x:c r="D1419" s="20" t="str">
        <x:v>United States</x:v>
      </x:c>
      <x:c r="E1419" s="20" t="str">
        <x:v>American influence</x:v>
      </x:c>
      <x:c r="F1419" s="20" t="str">
        <x:v>PMC presence</x:v>
      </x:c>
      <x:c r="G1419" s="384" t="n">
        <x:v>2</x:v>
      </x:c>
      <x:c r="H1419" s="396" t="n">
        <x:v>2</x:v>
      </x:c>
      <x:c r="I1419" s="20" t="str">
        <x:v>SAM/Greenbook U.S. security assistance contractor source register</x:v>
      </x:c>
      <x:c r="J1419" s="397" t="str">
        <x:v>https://internationalpolicy.org/programs/sam/</x:v>
      </x:c>
      <x:c r="K1419" s="20" t="str">
        <x:v>Primary source-register URL; automated screening score</x:v>
      </x:c>
      <x:c r="L1419" s="20" t="str">
        <x:v>2026-05-20</x:v>
      </x:c>
      <x:c r="M1419" s="20" t="str">
        <x:v>2026-05-20</x:v>
      </x:c>
      <x:c r="N1419" s="20" t="str">
        <x:v>GPT-5.5 Pro</x:v>
      </x:c>
      <x:c r="O1419" s="20" t="str">
        <x:v>Needs review</x:v>
      </x:c>
      <x:c r="P1419" s="20" t="str">
        <x:v>Screening score for United States / PMC presence in Republic of the Congo; verify with country-specific evidence before final use.</x:v>
      </x:c>
    </x:row>
    <x:row r="1420" ht="24" customHeight="1">
      <x:c r="A1420" s="20" t="str">
        <x:v>COG|United States|Election interference</x:v>
      </x:c>
      <x:c r="B1420" s="20" t="str">
        <x:v>Republic of the Congo</x:v>
      </x:c>
      <x:c r="C1420" s="20" t="str">
        <x:v>COG</x:v>
      </x:c>
      <x:c r="D1420" s="20" t="str">
        <x:v>United States</x:v>
      </x:c>
      <x:c r="E1420" s="20" t="str">
        <x:v>American influence</x:v>
      </x:c>
      <x:c r="F1420" s="20" t="str">
        <x:v>Election interference</x:v>
      </x:c>
      <x:c r="G1420" s="384" t="n">
        <x:v>2</x:v>
      </x:c>
      <x:c r="H1420" s="396" t="n">
        <x:v>2</x:v>
      </x:c>
      <x:c r="I1420" s="20" t="str">
        <x:v>NED/Greenbook democracy assistance source register</x:v>
      </x:c>
      <x:c r="J1420" s="397" t="str">
        <x:v>https://www.ned.org/ned-grantmaking/</x:v>
      </x:c>
      <x:c r="K1420" s="20" t="str">
        <x:v>Primary source-register URL; automated screening score</x:v>
      </x:c>
      <x:c r="L1420" s="20" t="str">
        <x:v>2026-05-20</x:v>
      </x:c>
      <x:c r="M1420" s="20" t="str">
        <x:v>2026-05-20</x:v>
      </x:c>
      <x:c r="N1420" s="20" t="str">
        <x:v>GPT-5.5 Pro</x:v>
      </x:c>
      <x:c r="O1420" s="20" t="str">
        <x:v>Needs review</x:v>
      </x:c>
      <x:c r="P1420" s="20" t="str">
        <x:v>Screening score for United States / Election interference in Republic of the Congo; verify with country-specific evidence before final use.</x:v>
      </x:c>
    </x:row>
    <x:row r="1421" ht="24" customHeight="1">
      <x:c r="A1421" s="20" t="str">
        <x:v>COG|United States|Security contractors</x:v>
      </x:c>
      <x:c r="B1421" s="20" t="str">
        <x:v>Republic of the Congo</x:v>
      </x:c>
      <x:c r="C1421" s="20" t="str">
        <x:v>COG</x:v>
      </x:c>
      <x:c r="D1421" s="20" t="str">
        <x:v>United States</x:v>
      </x:c>
      <x:c r="E1421" s="20" t="str">
        <x:v>American influence</x:v>
      </x:c>
      <x:c r="F1421" s="20" t="str">
        <x:v>Security contractors</x:v>
      </x:c>
      <x:c r="G1421" s="384" t="n">
        <x:v>3</x:v>
      </x:c>
      <x:c r="H1421" s="396" t="n">
        <x:v>3</x:v>
      </x:c>
      <x:c r="I1421" s="20" t="str">
        <x:v>SAM/Greenbook U.S. security contractor source register</x:v>
      </x:c>
      <x:c r="J1421" s="397" t="str">
        <x:v>https://internationalpolicy.org/programs/sam/</x:v>
      </x:c>
      <x:c r="K1421" s="20" t="str">
        <x:v>Primary source-register URL; automated screening score</x:v>
      </x:c>
      <x:c r="L1421" s="20" t="str">
        <x:v>2026-05-20</x:v>
      </x:c>
      <x:c r="M1421" s="20" t="str">
        <x:v>2026-05-20</x:v>
      </x:c>
      <x:c r="N1421" s="20" t="str">
        <x:v>GPT-5.5 Pro</x:v>
      </x:c>
      <x:c r="O1421" s="20" t="str">
        <x:v>Needs review</x:v>
      </x:c>
      <x:c r="P1421" s="20" t="str">
        <x:v>Screening score for United States / Security contractors in Republic of the Congo; verify with country-specific evidence before final use.</x:v>
      </x:c>
    </x:row>
    <x:row r="1422" ht="24" customHeight="1">
      <x:c r="A1422" s="20" t="str">
        <x:v>COG|European Union|Propaganda ecosystems</x:v>
      </x:c>
      <x:c r="B1422" s="20" t="str">
        <x:v>Republic of the Congo</x:v>
      </x:c>
      <x:c r="C1422" s="20" t="str">
        <x:v>COG</x:v>
      </x:c>
      <x:c r="D1422" s="20" t="str">
        <x:v>European Union</x:v>
      </x:c>
      <x:c r="E1422" s="20" t="str">
        <x:v>EU influence</x:v>
      </x:c>
      <x:c r="F1422" s="20" t="str">
        <x:v>Propaganda ecosystems</x:v>
      </x:c>
      <x:c r="G1422" s="384" t="n">
        <x:v>3</x:v>
      </x:c>
      <x:c r="H1422" s="396" t="n">
        <x:v>3</x:v>
      </x:c>
      <x:c r="I1422" s="20" t="str">
        <x:v>EEAS public diplomacy source register</x:v>
      </x:c>
      <x:c r="J1422" s="397" t="str">
        <x:v>https://www.eeas.europa.eu/eeas/public-diplomacy_en</x:v>
      </x:c>
      <x:c r="K1422" s="20" t="str">
        <x:v>Primary source-register URL; automated screening score</x:v>
      </x:c>
      <x:c r="L1422" s="20" t="str">
        <x:v>2026-05-20</x:v>
      </x:c>
      <x:c r="M1422" s="20" t="str">
        <x:v>2026-05-20</x:v>
      </x:c>
      <x:c r="N1422" s="20" t="str">
        <x:v>GPT-5.5 Pro</x:v>
      </x:c>
      <x:c r="O1422" s="20" t="str">
        <x:v>Needs review</x:v>
      </x:c>
      <x:c r="P1422" s="20" t="str">
        <x:v>Screening score for European Union / Propaganda ecosystems in Republic of the Congo; verify with country-specific evidence before final use.</x:v>
      </x:c>
    </x:row>
    <x:row r="1423" ht="24" customHeight="1">
      <x:c r="A1423" s="20" t="str">
        <x:v>COG|European Union|PMC presence</x:v>
      </x:c>
      <x:c r="B1423" s="20" t="str">
        <x:v>Republic of the Congo</x:v>
      </x:c>
      <x:c r="C1423" s="20" t="str">
        <x:v>COG</x:v>
      </x:c>
      <x:c r="D1423" s="20" t="str">
        <x:v>European Union</x:v>
      </x:c>
      <x:c r="E1423" s="20" t="str">
        <x:v>EU influence</x:v>
      </x:c>
      <x:c r="F1423" s="20" t="str">
        <x:v>PMC presence</x:v>
      </x:c>
      <x:c r="G1423" s="384" t="n">
        <x:v>0</x:v>
      </x:c>
      <x:c r="H1423" s="396" t="n">
        <x:v>1</x:v>
      </x:c>
      <x:c r="I1423" s="20" t="str">
        <x:v>EEAS CSDP missions source register</x:v>
      </x:c>
      <x:c r="J1423" s="397" t="str">
        <x:v>https://www.eeas.europa.eu/eeas/missions-and-operations_en</x:v>
      </x:c>
      <x:c r="K1423" s="20" t="str">
        <x:v>Primary source-register URL; automated screening score</x:v>
      </x:c>
      <x:c r="L1423" s="20" t="str">
        <x:v>2026-05-20</x:v>
      </x:c>
      <x:c r="M1423" s="20" t="str">
        <x:v>2026-05-20</x:v>
      </x:c>
      <x:c r="N1423" s="20" t="str">
        <x:v>GPT-5.5 Pro</x:v>
      </x:c>
      <x:c r="O1423" s="20" t="str">
        <x:v>Needs review</x:v>
      </x:c>
      <x:c r="P1423" s="20" t="str">
        <x:v>Screening score for European Union / PMC presence in Republic of the Congo; verify with country-specific evidence before final use.</x:v>
      </x:c>
    </x:row>
    <x:row r="1424" ht="24" customHeight="1">
      <x:c r="A1424" s="20" t="str">
        <x:v>COG|European Union|Election interference</x:v>
      </x:c>
      <x:c r="B1424" s="20" t="str">
        <x:v>Republic of the Congo</x:v>
      </x:c>
      <x:c r="C1424" s="20" t="str">
        <x:v>COG</x:v>
      </x:c>
      <x:c r="D1424" s="20" t="str">
        <x:v>European Union</x:v>
      </x:c>
      <x:c r="E1424" s="20" t="str">
        <x:v>EU influence</x:v>
      </x:c>
      <x:c r="F1424" s="20" t="str">
        <x:v>Election interference</x:v>
      </x:c>
      <x:c r="G1424" s="384" t="n">
        <x:v>1</x:v>
      </x:c>
      <x:c r="H1424" s="396" t="n">
        <x:v>2</x:v>
      </x:c>
      <x:c r="I1424" s="20" t="str">
        <x:v>EEAS EU election observation source register</x:v>
      </x:c>
      <x:c r="J1424" s="397" t="str">
        <x:v>https://www.eeas.europa.eu/eeas/eu-election-observation-missions-1_en?page_lang=en</x:v>
      </x:c>
      <x:c r="K1424" s="20" t="str">
        <x:v>Primary source-register URL; automated screening score</x:v>
      </x:c>
      <x:c r="L1424" s="20" t="str">
        <x:v>2026-05-20</x:v>
      </x:c>
      <x:c r="M1424" s="20" t="str">
        <x:v>2026-05-20</x:v>
      </x:c>
      <x:c r="N1424" s="20" t="str">
        <x:v>GPT-5.5 Pro</x:v>
      </x:c>
      <x:c r="O1424" s="20" t="str">
        <x:v>Needs review</x:v>
      </x:c>
      <x:c r="P1424" s="20" t="str">
        <x:v>Screening score for European Union / Election interference in Republic of the Congo; verify with country-specific evidence before final use.</x:v>
      </x:c>
    </x:row>
    <x:row r="1425" ht="24" customHeight="1">
      <x:c r="A1425" s="20" t="str">
        <x:v>COG|European Union|Security contractors</x:v>
      </x:c>
      <x:c r="B1425" s="20" t="str">
        <x:v>Republic of the Congo</x:v>
      </x:c>
      <x:c r="C1425" s="20" t="str">
        <x:v>COG</x:v>
      </x:c>
      <x:c r="D1425" s="20" t="str">
        <x:v>European Union</x:v>
      </x:c>
      <x:c r="E1425" s="20" t="str">
        <x:v>EU influence</x:v>
      </x:c>
      <x:c r="F1425" s="20" t="str">
        <x:v>Security contractors</x:v>
      </x:c>
      <x:c r="G1425" s="384" t="n">
        <x:v>2</x:v>
      </x:c>
      <x:c r="H1425" s="396" t="n">
        <x:v>2</x:v>
      </x:c>
      <x:c r="I1425" s="20" t="str">
        <x:v>EEAS CSDP / Global Gateway security source register</x:v>
      </x:c>
      <x:c r="J1425" s="397" t="str">
        <x:v>https://www.eeas.europa.eu/eeas/missions-and-operations_en</x:v>
      </x:c>
      <x:c r="K1425" s="20" t="str">
        <x:v>Primary source-register URL; automated screening score</x:v>
      </x:c>
      <x:c r="L1425" s="20" t="str">
        <x:v>2026-05-20</x:v>
      </x:c>
      <x:c r="M1425" s="20" t="str">
        <x:v>2026-05-20</x:v>
      </x:c>
      <x:c r="N1425" s="20" t="str">
        <x:v>GPT-5.5 Pro</x:v>
      </x:c>
      <x:c r="O1425" s="20" t="str">
        <x:v>Needs review</x:v>
      </x:c>
      <x:c r="P1425" s="20" t="str">
        <x:v>Screening score for European Union / Security contractors in Republic of the Congo; verify with country-specific evidence before final use.</x:v>
      </x:c>
    </x:row>
    <x:row r="1426" ht="24" customHeight="1">
      <x:c r="A1426" s="20" t="str">
        <x:v>ROU|Russia|Propaganda ecosystems</x:v>
      </x:c>
      <x:c r="B1426" s="20" t="str">
        <x:v>Romania</x:v>
      </x:c>
      <x:c r="C1426" s="20" t="str">
        <x:v>ROU</x:v>
      </x:c>
      <x:c r="D1426" s="20" t="str">
        <x:v>Russia</x:v>
      </x:c>
      <x:c r="E1426" s="20" t="str">
        <x:v>Russian influence</x:v>
      </x:c>
      <x:c r="F1426" s="20" t="str">
        <x:v>Propaganda ecosystems</x:v>
      </x:c>
      <x:c r="G1426" s="384" t="n">
        <x:v>6</x:v>
      </x:c>
      <x:c r="H1426" s="396" t="n">
        <x:v>4</x:v>
      </x:c>
      <x:c r="I1426" s="20" t="str">
        <x:v>EEAS/EUvsDisinfo FIMI source register</x:v>
      </x:c>
      <x:c r="J1426" s="397" t="str">
        <x:v>https://www.eeas.europa.eu/eeas/4th-eeas-annual-report-foreign-information-manipulation-and-interference-threats_en</x:v>
      </x:c>
      <x:c r="K1426" s="20" t="str">
        <x:v>Primary source-register URL; automated screening score</x:v>
      </x:c>
      <x:c r="L1426" s="20" t="str">
        <x:v>2026-05-20</x:v>
      </x:c>
      <x:c r="M1426" s="20" t="str">
        <x:v>2026-05-20</x:v>
      </x:c>
      <x:c r="N1426" s="20" t="str">
        <x:v>GPT-5.5 Pro</x:v>
      </x:c>
      <x:c r="O1426" s="20" t="str">
        <x:v>Needs review</x:v>
      </x:c>
      <x:c r="P1426" s="20" t="str">
        <x:v>Screening score for Russia / Propaganda ecosystems in Romania; verify with country-specific evidence before final use.</x:v>
      </x:c>
    </x:row>
    <x:row r="1427" ht="24" customHeight="1">
      <x:c r="A1427" s="20" t="str">
        <x:v>ROU|Russia|PMC presence</x:v>
      </x:c>
      <x:c r="B1427" s="20" t="str">
        <x:v>Romania</x:v>
      </x:c>
      <x:c r="C1427" s="20" t="str">
        <x:v>ROU</x:v>
      </x:c>
      <x:c r="D1427" s="20" t="str">
        <x:v>Russia</x:v>
      </x:c>
      <x:c r="E1427" s="20" t="str">
        <x:v>Russian influence</x:v>
      </x:c>
      <x:c r="F1427" s="20" t="str">
        <x:v>PMC presence</x:v>
      </x:c>
      <x:c r="G1427" s="384" t="n">
        <x:v>0</x:v>
      </x:c>
      <x:c r="H1427" s="396" t="n">
        <x:v>1</x:v>
      </x:c>
      <x:c r="I1427" s="20" t="str">
        <x:v>Treasury and Council of the EU Wagner/PMC source register</x:v>
      </x:c>
      <x:c r="J1427" s="397" t="str">
        <x:v>https://www.consilium.europa.eu/en/press/press-releases/2023/02/25/wagner-group-council-adds-11-individuals-and-7-entities-to-eu-sanctions-lists/</x:v>
      </x:c>
      <x:c r="K1427" s="20" t="str">
        <x:v>Primary source-register URL; automated screening score</x:v>
      </x:c>
      <x:c r="L1427" s="20" t="str">
        <x:v>2026-05-20</x:v>
      </x:c>
      <x:c r="M1427" s="20" t="str">
        <x:v>2026-05-20</x:v>
      </x:c>
      <x:c r="N1427" s="20" t="str">
        <x:v>GPT-5.5 Pro</x:v>
      </x:c>
      <x:c r="O1427" s="20" t="str">
        <x:v>Needs review</x:v>
      </x:c>
      <x:c r="P1427" s="20" t="str">
        <x:v>Screening score for Russia / PMC presence in Romania; verify with country-specific evidence before final use.</x:v>
      </x:c>
    </x:row>
    <x:row r="1428" ht="24" customHeight="1">
      <x:c r="A1428" s="20" t="str">
        <x:v>ROU|Russia|Election interference</x:v>
      </x:c>
      <x:c r="B1428" s="20" t="str">
        <x:v>Romania</x:v>
      </x:c>
      <x:c r="C1428" s="20" t="str">
        <x:v>ROU</x:v>
      </x:c>
      <x:c r="D1428" s="20" t="str">
        <x:v>Russia</x:v>
      </x:c>
      <x:c r="E1428" s="20" t="str">
        <x:v>Russian influence</x:v>
      </x:c>
      <x:c r="F1428" s="20" t="str">
        <x:v>Election interference</x:v>
      </x:c>
      <x:c r="G1428" s="384" t="n">
        <x:v>5</x:v>
      </x:c>
      <x:c r="H1428" s="396" t="n">
        <x:v>3</x:v>
      </x:c>
      <x:c r="I1428" s="20" t="str">
        <x:v>ODNI/EEAS election-FIMI source register</x:v>
      </x:c>
      <x:c r="J1428" s="397" t="str">
        <x:v>https://www.dni.gov/files/ODNI/documents/assessments/ATA-2026-Unclassified-Report.pdf</x:v>
      </x:c>
      <x:c r="K1428" s="20" t="str">
        <x:v>Primary source-register URL; automated screening score</x:v>
      </x:c>
      <x:c r="L1428" s="20" t="str">
        <x:v>2026-05-20</x:v>
      </x:c>
      <x:c r="M1428" s="20" t="str">
        <x:v>2026-05-20</x:v>
      </x:c>
      <x:c r="N1428" s="20" t="str">
        <x:v>GPT-5.5 Pro</x:v>
      </x:c>
      <x:c r="O1428" s="20" t="str">
        <x:v>Needs review</x:v>
      </x:c>
      <x:c r="P1428" s="20" t="str">
        <x:v>Screening score for Russia / Election interference in Romania; verify with country-specific evidence before final use.</x:v>
      </x:c>
    </x:row>
    <x:row r="1429" ht="24" customHeight="1">
      <x:c r="A1429" s="20" t="str">
        <x:v>ROU|Russia|Security contractors</x:v>
      </x:c>
      <x:c r="B1429" s="20" t="str">
        <x:v>Romania</x:v>
      </x:c>
      <x:c r="C1429" s="20" t="str">
        <x:v>ROU</x:v>
      </x:c>
      <x:c r="D1429" s="20" t="str">
        <x:v>Russia</x:v>
      </x:c>
      <x:c r="E1429" s="20" t="str">
        <x:v>Russian influence</x:v>
      </x:c>
      <x:c r="F1429" s="20" t="str">
        <x:v>Security contractors</x:v>
      </x:c>
      <x:c r="G1429" s="384" t="n">
        <x:v>0</x:v>
      </x:c>
      <x:c r="H1429" s="396" t="n">
        <x:v>1</x:v>
      </x:c>
      <x:c r="I1429" s="20" t="str">
        <x:v>Council of the EU/Treasury Wagner-security source register</x:v>
      </x:c>
      <x:c r="J1429" s="397" t="str">
        <x:v>https://www.consilium.europa.eu/en/press/press-releases/2023/02/25/wagner-group-council-adds-11-individuals-and-7-entities-to-eu-sanctions-lists/</x:v>
      </x:c>
      <x:c r="K1429" s="20" t="str">
        <x:v>Primary source-register URL; automated screening score</x:v>
      </x:c>
      <x:c r="L1429" s="20" t="str">
        <x:v>2026-05-20</x:v>
      </x:c>
      <x:c r="M1429" s="20" t="str">
        <x:v>2026-05-20</x:v>
      </x:c>
      <x:c r="N1429" s="20" t="str">
        <x:v>GPT-5.5 Pro</x:v>
      </x:c>
      <x:c r="O1429" s="20" t="str">
        <x:v>Needs review</x:v>
      </x:c>
      <x:c r="P1429" s="20" t="str">
        <x:v>Screening score for Russia / Security contractors in Romania; verify with country-specific evidence before final use.</x:v>
      </x:c>
    </x:row>
    <x:row r="1430" ht="24" customHeight="1">
      <x:c r="A1430" s="20" t="str">
        <x:v>ROU|China|Propaganda ecosystems</x:v>
      </x:c>
      <x:c r="B1430" s="20" t="str">
        <x:v>Romania</x:v>
      </x:c>
      <x:c r="C1430" s="20" t="str">
        <x:v>ROU</x:v>
      </x:c>
      <x:c r="D1430" s="20" t="str">
        <x:v>China</x:v>
      </x:c>
      <x:c r="E1430" s="20" t="str">
        <x:v>Chinese influence</x:v>
      </x:c>
      <x:c r="F1430" s="20" t="str">
        <x:v>Propaganda ecosystems</x:v>
      </x:c>
      <x:c r="G1430" s="384" t="n">
        <x:v>4</x:v>
      </x:c>
      <x:c r="H1430" s="396" t="n">
        <x:v>3</x:v>
      </x:c>
      <x:c r="I1430" s="20" t="str">
        <x:v>EEAS/ODNI China FIMI source register</x:v>
      </x:c>
      <x:c r="J1430" s="397" t="str">
        <x:v>https://www.eeas.europa.eu/eeas/4th-eeas-annual-report-foreign-information-manipulation-and-interference-threats_en</x:v>
      </x:c>
      <x:c r="K1430" s="20" t="str">
        <x:v>Primary source-register URL; automated screening score</x:v>
      </x:c>
      <x:c r="L1430" s="20" t="str">
        <x:v>2026-05-20</x:v>
      </x:c>
      <x:c r="M1430" s="20" t="str">
        <x:v>2026-05-20</x:v>
      </x:c>
      <x:c r="N1430" s="20" t="str">
        <x:v>GPT-5.5 Pro</x:v>
      </x:c>
      <x:c r="O1430" s="20" t="str">
        <x:v>Needs review</x:v>
      </x:c>
      <x:c r="P1430" s="20" t="str">
        <x:v>Screening score for China / Propaganda ecosystems in Romania; verify with country-specific evidence before final use.</x:v>
      </x:c>
    </x:row>
    <x:row r="1431" ht="24" customHeight="1">
      <x:c r="A1431" s="20" t="str">
        <x:v>ROU|China|PMC presence</x:v>
      </x:c>
      <x:c r="B1431" s="20" t="str">
        <x:v>Romania</x:v>
      </x:c>
      <x:c r="C1431" s="20" t="str">
        <x:v>ROU</x:v>
      </x:c>
      <x:c r="D1431" s="20" t="str">
        <x:v>China</x:v>
      </x:c>
      <x:c r="E1431" s="20" t="str">
        <x:v>Chinese influence</x:v>
      </x:c>
      <x:c r="F1431" s="20" t="str">
        <x:v>PMC presence</x:v>
      </x:c>
      <x:c r="G1431" s="384" t="n">
        <x:v>0</x:v>
      </x:c>
      <x:c r="H1431" s="396" t="n">
        <x:v>1</x:v>
      </x:c>
      <x:c r="I1431" s="20" t="str">
        <x:v>MERICS/Carnegie Chinese overseas PSC source register</x:v>
      </x:c>
      <x:c r="J1431" s="397" t="str">
        <x:v>https://merics.org/en/report/guardians-belt-and-road</x:v>
      </x:c>
      <x:c r="K1431" s="20" t="str">
        <x:v>Primary source-register URL; automated screening score</x:v>
      </x:c>
      <x:c r="L1431" s="20" t="str">
        <x:v>2026-05-20</x:v>
      </x:c>
      <x:c r="M1431" s="20" t="str">
        <x:v>2026-05-20</x:v>
      </x:c>
      <x:c r="N1431" s="20" t="str">
        <x:v>GPT-5.5 Pro</x:v>
      </x:c>
      <x:c r="O1431" s="20" t="str">
        <x:v>Needs review</x:v>
      </x:c>
      <x:c r="P1431" s="20" t="str">
        <x:v>Screening score for China / PMC presence in Romania; verify with country-specific evidence before final use.</x:v>
      </x:c>
    </x:row>
    <x:row r="1432" ht="24" customHeight="1">
      <x:c r="A1432" s="20" t="str">
        <x:v>ROU|China|Election interference</x:v>
      </x:c>
      <x:c r="B1432" s="20" t="str">
        <x:v>Romania</x:v>
      </x:c>
      <x:c r="C1432" s="20" t="str">
        <x:v>ROU</x:v>
      </x:c>
      <x:c r="D1432" s="20" t="str">
        <x:v>China</x:v>
      </x:c>
      <x:c r="E1432" s="20" t="str">
        <x:v>Chinese influence</x:v>
      </x:c>
      <x:c r="F1432" s="20" t="str">
        <x:v>Election interference</x:v>
      </x:c>
      <x:c r="G1432" s="384" t="n">
        <x:v>2</x:v>
      </x:c>
      <x:c r="H1432" s="396" t="n">
        <x:v>2</x:v>
      </x:c>
      <x:c r="I1432" s="20" t="str">
        <x:v>EEAS/ODNI China election-FIMI source register</x:v>
      </x:c>
      <x:c r="J1432" s="397" t="str">
        <x:v>https://www.eeas.europa.eu/eeas/4th-eeas-annual-report-foreign-information-manipulation-and-interference-threats_en</x:v>
      </x:c>
      <x:c r="K1432" s="20" t="str">
        <x:v>Primary source-register URL; automated screening score</x:v>
      </x:c>
      <x:c r="L1432" s="20" t="str">
        <x:v>2026-05-20</x:v>
      </x:c>
      <x:c r="M1432" s="20" t="str">
        <x:v>2026-05-20</x:v>
      </x:c>
      <x:c r="N1432" s="20" t="str">
        <x:v>GPT-5.5 Pro</x:v>
      </x:c>
      <x:c r="O1432" s="20" t="str">
        <x:v>Needs review</x:v>
      </x:c>
      <x:c r="P1432" s="20" t="str">
        <x:v>Screening score for China / Election interference in Romania; verify with country-specific evidence before final use.</x:v>
      </x:c>
    </x:row>
    <x:row r="1433" ht="24" customHeight="1">
      <x:c r="A1433" s="20" t="str">
        <x:v>ROU|China|Security contractors</x:v>
      </x:c>
      <x:c r="B1433" s="20" t="str">
        <x:v>Romania</x:v>
      </x:c>
      <x:c r="C1433" s="20" t="str">
        <x:v>ROU</x:v>
      </x:c>
      <x:c r="D1433" s="20" t="str">
        <x:v>China</x:v>
      </x:c>
      <x:c r="E1433" s="20" t="str">
        <x:v>Chinese influence</x:v>
      </x:c>
      <x:c r="F1433" s="20" t="str">
        <x:v>Security contractors</x:v>
      </x:c>
      <x:c r="G1433" s="384" t="n">
        <x:v>0</x:v>
      </x:c>
      <x:c r="H1433" s="396" t="n">
        <x:v>1</x:v>
      </x:c>
      <x:c r="I1433" s="20" t="str">
        <x:v>MERICS/Carnegie Chinese security contractor source register</x:v>
      </x:c>
      <x:c r="J1433" s="397" t="str">
        <x:v>https://merics.org/en/report/guardians-belt-and-road</x:v>
      </x:c>
      <x:c r="K1433" s="20" t="str">
        <x:v>Primary source-register URL; automated screening score</x:v>
      </x:c>
      <x:c r="L1433" s="20" t="str">
        <x:v>2026-05-20</x:v>
      </x:c>
      <x:c r="M1433" s="20" t="str">
        <x:v>2026-05-20</x:v>
      </x:c>
      <x:c r="N1433" s="20" t="str">
        <x:v>GPT-5.5 Pro</x:v>
      </x:c>
      <x:c r="O1433" s="20" t="str">
        <x:v>Needs review</x:v>
      </x:c>
      <x:c r="P1433" s="20" t="str">
        <x:v>Screening score for China / Security contractors in Romania; verify with country-specific evidence before final use.</x:v>
      </x:c>
    </x:row>
    <x:row r="1434" ht="24" customHeight="1">
      <x:c r="A1434" s="20" t="str">
        <x:v>ROU|United States|Propaganda ecosystems</x:v>
      </x:c>
      <x:c r="B1434" s="20" t="str">
        <x:v>Romania</x:v>
      </x:c>
      <x:c r="C1434" s="20" t="str">
        <x:v>ROU</x:v>
      </x:c>
      <x:c r="D1434" s="20" t="str">
        <x:v>United States</x:v>
      </x:c>
      <x:c r="E1434" s="20" t="str">
        <x:v>American influence</x:v>
      </x:c>
      <x:c r="F1434" s="20" t="str">
        <x:v>Propaganda ecosystems</x:v>
      </x:c>
      <x:c r="G1434" s="384" t="n">
        <x:v>4</x:v>
      </x:c>
      <x:c r="H1434" s="396" t="n">
        <x:v>3</x:v>
      </x:c>
      <x:c r="I1434" s="20" t="str">
        <x:v>USAGM public media source register</x:v>
      </x:c>
      <x:c r="J1434" s="397" t="str">
        <x:v>https://www.usagm.gov/our-work/strategy-and-results/strategic-priorities/research-reports/</x:v>
      </x:c>
      <x:c r="K1434" s="20" t="str">
        <x:v>Primary source-register URL; automated screening score</x:v>
      </x:c>
      <x:c r="L1434" s="20" t="str">
        <x:v>2026-05-20</x:v>
      </x:c>
      <x:c r="M1434" s="20" t="str">
        <x:v>2026-05-20</x:v>
      </x:c>
      <x:c r="N1434" s="20" t="str">
        <x:v>GPT-5.5 Pro</x:v>
      </x:c>
      <x:c r="O1434" s="20" t="str">
        <x:v>Needs review</x:v>
      </x:c>
      <x:c r="P1434" s="20" t="str">
        <x:v>Screening score for United States / Propaganda ecosystems in Romania; verify with country-specific evidence before final use.</x:v>
      </x:c>
    </x:row>
    <x:row r="1435" ht="24" customHeight="1">
      <x:c r="A1435" s="20" t="str">
        <x:v>ROU|United States|PMC presence</x:v>
      </x:c>
      <x:c r="B1435" s="20" t="str">
        <x:v>Romania</x:v>
      </x:c>
      <x:c r="C1435" s="20" t="str">
        <x:v>ROU</x:v>
      </x:c>
      <x:c r="D1435" s="20" t="str">
        <x:v>United States</x:v>
      </x:c>
      <x:c r="E1435" s="20" t="str">
        <x:v>American influence</x:v>
      </x:c>
      <x:c r="F1435" s="20" t="str">
        <x:v>PMC presence</x:v>
      </x:c>
      <x:c r="G1435" s="384" t="n">
        <x:v>3</x:v>
      </x:c>
      <x:c r="H1435" s="396" t="n">
        <x:v>3</x:v>
      </x:c>
      <x:c r="I1435" s="20" t="str">
        <x:v>SAM/Greenbook U.S. security assistance contractor source register</x:v>
      </x:c>
      <x:c r="J1435" s="397" t="str">
        <x:v>https://internationalpolicy.org/programs/sam/</x:v>
      </x:c>
      <x:c r="K1435" s="20" t="str">
        <x:v>Primary source-register URL; automated screening score</x:v>
      </x:c>
      <x:c r="L1435" s="20" t="str">
        <x:v>2026-05-20</x:v>
      </x:c>
      <x:c r="M1435" s="20" t="str">
        <x:v>2026-05-20</x:v>
      </x:c>
      <x:c r="N1435" s="20" t="str">
        <x:v>GPT-5.5 Pro</x:v>
      </x:c>
      <x:c r="O1435" s="20" t="str">
        <x:v>Needs review</x:v>
      </x:c>
      <x:c r="P1435" s="20" t="str">
        <x:v>Screening score for United States / PMC presence in Romania; verify with country-specific evidence before final use.</x:v>
      </x:c>
    </x:row>
    <x:row r="1436" ht="24" customHeight="1">
      <x:c r="A1436" s="20" t="str">
        <x:v>ROU|United States|Election interference</x:v>
      </x:c>
      <x:c r="B1436" s="20" t="str">
        <x:v>Romania</x:v>
      </x:c>
      <x:c r="C1436" s="20" t="str">
        <x:v>ROU</x:v>
      </x:c>
      <x:c r="D1436" s="20" t="str">
        <x:v>United States</x:v>
      </x:c>
      <x:c r="E1436" s="20" t="str">
        <x:v>American influence</x:v>
      </x:c>
      <x:c r="F1436" s="20" t="str">
        <x:v>Election interference</x:v>
      </x:c>
      <x:c r="G1436" s="384" t="n">
        <x:v>1</x:v>
      </x:c>
      <x:c r="H1436" s="396" t="n">
        <x:v>2</x:v>
      </x:c>
      <x:c r="I1436" s="20" t="str">
        <x:v>NED/Greenbook democracy assistance source register</x:v>
      </x:c>
      <x:c r="J1436" s="397" t="str">
        <x:v>https://www.ned.org/ned-grantmaking/</x:v>
      </x:c>
      <x:c r="K1436" s="20" t="str">
        <x:v>Primary source-register URL; automated screening score</x:v>
      </x:c>
      <x:c r="L1436" s="20" t="str">
        <x:v>2026-05-20</x:v>
      </x:c>
      <x:c r="M1436" s="20" t="str">
        <x:v>2026-05-20</x:v>
      </x:c>
      <x:c r="N1436" s="20" t="str">
        <x:v>GPT-5.5 Pro</x:v>
      </x:c>
      <x:c r="O1436" s="20" t="str">
        <x:v>Needs review</x:v>
      </x:c>
      <x:c r="P1436" s="20" t="str">
        <x:v>Screening score for United States / Election interference in Romania; verify with country-specific evidence before final use.</x:v>
      </x:c>
    </x:row>
    <x:row r="1437" ht="24" customHeight="1">
      <x:c r="A1437" s="20" t="str">
        <x:v>ROU|United States|Security contractors</x:v>
      </x:c>
      <x:c r="B1437" s="20" t="str">
        <x:v>Romania</x:v>
      </x:c>
      <x:c r="C1437" s="20" t="str">
        <x:v>ROU</x:v>
      </x:c>
      <x:c r="D1437" s="20" t="str">
        <x:v>United States</x:v>
      </x:c>
      <x:c r="E1437" s="20" t="str">
        <x:v>American influence</x:v>
      </x:c>
      <x:c r="F1437" s="20" t="str">
        <x:v>Security contractors</x:v>
      </x:c>
      <x:c r="G1437" s="384" t="n">
        <x:v>6</x:v>
      </x:c>
      <x:c r="H1437" s="396" t="n">
        <x:v>4</x:v>
      </x:c>
      <x:c r="I1437" s="20" t="str">
        <x:v>SAM/Greenbook U.S. security contractor source register</x:v>
      </x:c>
      <x:c r="J1437" s="397" t="str">
        <x:v>https://internationalpolicy.org/programs/sam/</x:v>
      </x:c>
      <x:c r="K1437" s="20" t="str">
        <x:v>Primary source-register URL; automated screening score</x:v>
      </x:c>
      <x:c r="L1437" s="20" t="str">
        <x:v>2026-05-20</x:v>
      </x:c>
      <x:c r="M1437" s="20" t="str">
        <x:v>2026-05-20</x:v>
      </x:c>
      <x:c r="N1437" s="20" t="str">
        <x:v>GPT-5.5 Pro</x:v>
      </x:c>
      <x:c r="O1437" s="20" t="str">
        <x:v>Needs review</x:v>
      </x:c>
      <x:c r="P1437" s="20" t="str">
        <x:v>Screening score for United States / Security contractors in Romania; verify with country-specific evidence before final use.</x:v>
      </x:c>
    </x:row>
    <x:row r="1438" ht="24" customHeight="1">
      <x:c r="A1438" s="20" t="str">
        <x:v>ROU|European Union|Propaganda ecosystems</x:v>
      </x:c>
      <x:c r="B1438" s="20" t="str">
        <x:v>Romania</x:v>
      </x:c>
      <x:c r="C1438" s="20" t="str">
        <x:v>ROU</x:v>
      </x:c>
      <x:c r="D1438" s="20" t="str">
        <x:v>European Union</x:v>
      </x:c>
      <x:c r="E1438" s="20" t="str">
        <x:v>EU influence</x:v>
      </x:c>
      <x:c r="F1438" s="20" t="str">
        <x:v>Propaganda ecosystems</x:v>
      </x:c>
      <x:c r="G1438" s="384" t="n">
        <x:v>9</x:v>
      </x:c>
      <x:c r="H1438" s="396" t="n">
        <x:v>5</x:v>
      </x:c>
      <x:c r="I1438" s="20" t="str">
        <x:v>EEAS public diplomacy source register</x:v>
      </x:c>
      <x:c r="J1438" s="397" t="str">
        <x:v>https://www.eeas.europa.eu/eeas/public-diplomacy_en</x:v>
      </x:c>
      <x:c r="K1438" s="20" t="str">
        <x:v>Primary source-register URL; automated screening score</x:v>
      </x:c>
      <x:c r="L1438" s="20" t="str">
        <x:v>2026-05-20</x:v>
      </x:c>
      <x:c r="M1438" s="20" t="str">
        <x:v>2026-05-20</x:v>
      </x:c>
      <x:c r="N1438" s="20" t="str">
        <x:v>GPT-5.5 Pro</x:v>
      </x:c>
      <x:c r="O1438" s="20" t="str">
        <x:v>Needs review</x:v>
      </x:c>
      <x:c r="P1438" s="20" t="str">
        <x:v>Screening score for European Union / Propaganda ecosystems in Romania; verify with country-specific evidence before final use.</x:v>
      </x:c>
    </x:row>
    <x:row r="1439" ht="24" customHeight="1">
      <x:c r="A1439" s="20" t="str">
        <x:v>ROU|European Union|PMC presence</x:v>
      </x:c>
      <x:c r="B1439" s="20" t="str">
        <x:v>Romania</x:v>
      </x:c>
      <x:c r="C1439" s="20" t="str">
        <x:v>ROU</x:v>
      </x:c>
      <x:c r="D1439" s="20" t="str">
        <x:v>European Union</x:v>
      </x:c>
      <x:c r="E1439" s="20" t="str">
        <x:v>EU influence</x:v>
      </x:c>
      <x:c r="F1439" s="20" t="str">
        <x:v>PMC presence</x:v>
      </x:c>
      <x:c r="G1439" s="384" t="n">
        <x:v>0</x:v>
      </x:c>
      <x:c r="H1439" s="396" t="n">
        <x:v>1</x:v>
      </x:c>
      <x:c r="I1439" s="20" t="str">
        <x:v>EEAS CSDP missions source register</x:v>
      </x:c>
      <x:c r="J1439" s="397" t="str">
        <x:v>https://www.eeas.europa.eu/eeas/missions-and-operations_en</x:v>
      </x:c>
      <x:c r="K1439" s="20" t="str">
        <x:v>Primary source-register URL; automated screening score</x:v>
      </x:c>
      <x:c r="L1439" s="20" t="str">
        <x:v>2026-05-20</x:v>
      </x:c>
      <x:c r="M1439" s="20" t="str">
        <x:v>2026-05-20</x:v>
      </x:c>
      <x:c r="N1439" s="20" t="str">
        <x:v>GPT-5.5 Pro</x:v>
      </x:c>
      <x:c r="O1439" s="20" t="str">
        <x:v>Needs review</x:v>
      </x:c>
      <x:c r="P1439" s="20" t="str">
        <x:v>Screening score for European Union / PMC presence in Romania; verify with country-specific evidence before final use.</x:v>
      </x:c>
    </x:row>
    <x:row r="1440" ht="24" customHeight="1">
      <x:c r="A1440" s="20" t="str">
        <x:v>ROU|European Union|Election interference</x:v>
      </x:c>
      <x:c r="B1440" s="20" t="str">
        <x:v>Romania</x:v>
      </x:c>
      <x:c r="C1440" s="20" t="str">
        <x:v>ROU</x:v>
      </x:c>
      <x:c r="D1440" s="20" t="str">
        <x:v>European Union</x:v>
      </x:c>
      <x:c r="E1440" s="20" t="str">
        <x:v>EU influence</x:v>
      </x:c>
      <x:c r="F1440" s="20" t="str">
        <x:v>Election interference</x:v>
      </x:c>
      <x:c r="G1440" s="384" t="n">
        <x:v>2</x:v>
      </x:c>
      <x:c r="H1440" s="396" t="n">
        <x:v>2</x:v>
      </x:c>
      <x:c r="I1440" s="20" t="str">
        <x:v>EEAS EU election observation source register</x:v>
      </x:c>
      <x:c r="J1440" s="397" t="str">
        <x:v>https://www.eeas.europa.eu/eeas/eu-election-observation-missions-1_en?page_lang=en</x:v>
      </x:c>
      <x:c r="K1440" s="20" t="str">
        <x:v>Primary source-register URL; automated screening score</x:v>
      </x:c>
      <x:c r="L1440" s="20" t="str">
        <x:v>2026-05-20</x:v>
      </x:c>
      <x:c r="M1440" s="20" t="str">
        <x:v>2026-05-20</x:v>
      </x:c>
      <x:c r="N1440" s="20" t="str">
        <x:v>GPT-5.5 Pro</x:v>
      </x:c>
      <x:c r="O1440" s="20" t="str">
        <x:v>Needs review</x:v>
      </x:c>
      <x:c r="P1440" s="20" t="str">
        <x:v>Screening score for European Union / Election interference in Romania; verify with country-specific evidence before final use.</x:v>
      </x:c>
    </x:row>
    <x:row r="1441" ht="24" customHeight="1">
      <x:c r="A1441" s="20" t="str">
        <x:v>ROU|European Union|Security contractors</x:v>
      </x:c>
      <x:c r="B1441" s="20" t="str">
        <x:v>Romania</x:v>
      </x:c>
      <x:c r="C1441" s="20" t="str">
        <x:v>ROU</x:v>
      </x:c>
      <x:c r="D1441" s="20" t="str">
        <x:v>European Union</x:v>
      </x:c>
      <x:c r="E1441" s="20" t="str">
        <x:v>EU influence</x:v>
      </x:c>
      <x:c r="F1441" s="20" t="str">
        <x:v>Security contractors</x:v>
      </x:c>
      <x:c r="G1441" s="384" t="n">
        <x:v>5</x:v>
      </x:c>
      <x:c r="H1441" s="396" t="n">
        <x:v>3</x:v>
      </x:c>
      <x:c r="I1441" s="20" t="str">
        <x:v>EEAS CSDP / Global Gateway security source register</x:v>
      </x:c>
      <x:c r="J1441" s="397" t="str">
        <x:v>https://www.eeas.europa.eu/eeas/missions-and-operations_en</x:v>
      </x:c>
      <x:c r="K1441" s="20" t="str">
        <x:v>Primary source-register URL; automated screening score</x:v>
      </x:c>
      <x:c r="L1441" s="20" t="str">
        <x:v>2026-05-20</x:v>
      </x:c>
      <x:c r="M1441" s="20" t="str">
        <x:v>2026-05-20</x:v>
      </x:c>
      <x:c r="N1441" s="20" t="str">
        <x:v>GPT-5.5 Pro</x:v>
      </x:c>
      <x:c r="O1441" s="20" t="str">
        <x:v>Needs review</x:v>
      </x:c>
      <x:c r="P1441" s="20" t="str">
        <x:v>Screening score for European Union / Security contractors in Romania; verify with country-specific evidence before final use.</x:v>
      </x:c>
    </x:row>
    <x:row r="1442" ht="24" customHeight="1">
      <x:c r="A1442" s="20" t="str">
        <x:v>RUS|Russia|Propaganda ecosystems</x:v>
      </x:c>
      <x:c r="B1442" s="20" t="str">
        <x:v>Russia</x:v>
      </x:c>
      <x:c r="C1442" s="20" t="str">
        <x:v>RUS</x:v>
      </x:c>
      <x:c r="D1442" s="20" t="str">
        <x:v>Russia</x:v>
      </x:c>
      <x:c r="E1442" s="20" t="str">
        <x:v>Russian influence</x:v>
      </x:c>
      <x:c r="F1442" s="20" t="str">
        <x:v>Propaganda ecosystems</x:v>
      </x:c>
      <x:c r="G1442" s="384" t="n">
        <x:v>10</x:v>
      </x:c>
      <x:c r="H1442" s="396" t="n">
        <x:v>5</x:v>
      </x:c>
      <x:c r="I1442" s="20" t="str">
        <x:v>EEAS/EUvsDisinfo FIMI source register</x:v>
      </x:c>
      <x:c r="J1442" s="397" t="str">
        <x:v>https://www.eeas.europa.eu/eeas/4th-eeas-annual-report-foreign-information-manipulation-and-interference-threats_en</x:v>
      </x:c>
      <x:c r="K1442" s="20" t="str">
        <x:v>Primary source-register URL; automated screening score</x:v>
      </x:c>
      <x:c r="L1442" s="20" t="str">
        <x:v>2026-05-20</x:v>
      </x:c>
      <x:c r="M1442" s="20" t="str">
        <x:v>2026-05-20</x:v>
      </x:c>
      <x:c r="N1442" s="20" t="str">
        <x:v>GPT-5.5 Pro</x:v>
      </x:c>
      <x:c r="O1442" s="20" t="str">
        <x:v>Needs review</x:v>
      </x:c>
      <x:c r="P1442" s="20" t="str">
        <x:v>Screening score for Russia / Propaganda ecosystems in Russia; verify with country-specific evidence before final use.</x:v>
      </x:c>
    </x:row>
    <x:row r="1443" ht="24" customHeight="1">
      <x:c r="A1443" s="20" t="str">
        <x:v>RUS|Russia|PMC presence</x:v>
      </x:c>
      <x:c r="B1443" s="20" t="str">
        <x:v>Russia</x:v>
      </x:c>
      <x:c r="C1443" s="20" t="str">
        <x:v>RUS</x:v>
      </x:c>
      <x:c r="D1443" s="20" t="str">
        <x:v>Russia</x:v>
      </x:c>
      <x:c r="E1443" s="20" t="str">
        <x:v>Russian influence</x:v>
      </x:c>
      <x:c r="F1443" s="20" t="str">
        <x:v>PMC presence</x:v>
      </x:c>
      <x:c r="G1443" s="384" t="n">
        <x:v>7</x:v>
      </x:c>
      <x:c r="H1443" s="396" t="n">
        <x:v>4</x:v>
      </x:c>
      <x:c r="I1443" s="20" t="str">
        <x:v>Treasury and Council of the EU Wagner/PMC source register</x:v>
      </x:c>
      <x:c r="J1443" s="397" t="str">
        <x:v>https://www.consilium.europa.eu/en/press/press-releases/2023/02/25/wagner-group-council-adds-11-individuals-and-7-entities-to-eu-sanctions-lists/</x:v>
      </x:c>
      <x:c r="K1443" s="20" t="str">
        <x:v>Primary source-register URL; automated screening score</x:v>
      </x:c>
      <x:c r="L1443" s="20" t="str">
        <x:v>2026-05-20</x:v>
      </x:c>
      <x:c r="M1443" s="20" t="str">
        <x:v>2026-05-20</x:v>
      </x:c>
      <x:c r="N1443" s="20" t="str">
        <x:v>GPT-5.5 Pro</x:v>
      </x:c>
      <x:c r="O1443" s="20" t="str">
        <x:v>Needs review</x:v>
      </x:c>
      <x:c r="P1443" s="20" t="str">
        <x:v>Screening score for Russia / PMC presence in Russia; verify with country-specific evidence before final use.</x:v>
      </x:c>
    </x:row>
    <x:row r="1444" ht="24" customHeight="1">
      <x:c r="A1444" s="20" t="str">
        <x:v>RUS|Russia|Election interference</x:v>
      </x:c>
      <x:c r="B1444" s="20" t="str">
        <x:v>Russia</x:v>
      </x:c>
      <x:c r="C1444" s="20" t="str">
        <x:v>RUS</x:v>
      </x:c>
      <x:c r="D1444" s="20" t="str">
        <x:v>Russia</x:v>
      </x:c>
      <x:c r="E1444" s="20" t="str">
        <x:v>Russian influence</x:v>
      </x:c>
      <x:c r="F1444" s="20" t="str">
        <x:v>Election interference</x:v>
      </x:c>
      <x:c r="G1444" s="384" t="n">
        <x:v>8</x:v>
      </x:c>
      <x:c r="H1444" s="396" t="n">
        <x:v>4</x:v>
      </x:c>
      <x:c r="I1444" s="20" t="str">
        <x:v>ODNI/EEAS election-FIMI source register</x:v>
      </x:c>
      <x:c r="J1444" s="397" t="str">
        <x:v>https://www.dni.gov/files/ODNI/documents/assessments/ATA-2026-Unclassified-Report.pdf</x:v>
      </x:c>
      <x:c r="K1444" s="20" t="str">
        <x:v>Primary source-register URL; automated screening score</x:v>
      </x:c>
      <x:c r="L1444" s="20" t="str">
        <x:v>2026-05-20</x:v>
      </x:c>
      <x:c r="M1444" s="20" t="str">
        <x:v>2026-05-20</x:v>
      </x:c>
      <x:c r="N1444" s="20" t="str">
        <x:v>GPT-5.5 Pro</x:v>
      </x:c>
      <x:c r="O1444" s="20" t="str">
        <x:v>Needs review</x:v>
      </x:c>
      <x:c r="P1444" s="20" t="str">
        <x:v>Screening score for Russia / Election interference in Russia; verify with country-specific evidence before final use.</x:v>
      </x:c>
    </x:row>
    <x:row r="1445" ht="24" customHeight="1">
      <x:c r="A1445" s="20" t="str">
        <x:v>RUS|Russia|Security contractors</x:v>
      </x:c>
      <x:c r="B1445" s="20" t="str">
        <x:v>Russia</x:v>
      </x:c>
      <x:c r="C1445" s="20" t="str">
        <x:v>RUS</x:v>
      </x:c>
      <x:c r="D1445" s="20" t="str">
        <x:v>Russia</x:v>
      </x:c>
      <x:c r="E1445" s="20" t="str">
        <x:v>Russian influence</x:v>
      </x:c>
      <x:c r="F1445" s="20" t="str">
        <x:v>Security contractors</x:v>
      </x:c>
      <x:c r="G1445" s="384" t="n">
        <x:v>8</x:v>
      </x:c>
      <x:c r="H1445" s="396" t="n">
        <x:v>4</x:v>
      </x:c>
      <x:c r="I1445" s="20" t="str">
        <x:v>Council of the EU/Treasury Wagner-security source register</x:v>
      </x:c>
      <x:c r="J1445" s="397" t="str">
        <x:v>https://www.consilium.europa.eu/en/press/press-releases/2023/02/25/wagner-group-council-adds-11-individuals-and-7-entities-to-eu-sanctions-lists/</x:v>
      </x:c>
      <x:c r="K1445" s="20" t="str">
        <x:v>Primary source-register URL; automated screening score</x:v>
      </x:c>
      <x:c r="L1445" s="20" t="str">
        <x:v>2026-05-20</x:v>
      </x:c>
      <x:c r="M1445" s="20" t="str">
        <x:v>2026-05-20</x:v>
      </x:c>
      <x:c r="N1445" s="20" t="str">
        <x:v>GPT-5.5 Pro</x:v>
      </x:c>
      <x:c r="O1445" s="20" t="str">
        <x:v>Needs review</x:v>
      </x:c>
      <x:c r="P1445" s="20" t="str">
        <x:v>Screening score for Russia / Security contractors in Russia; verify with country-specific evidence before final use.</x:v>
      </x:c>
    </x:row>
    <x:row r="1446" ht="24" customHeight="1">
      <x:c r="A1446" s="20" t="str">
        <x:v>RUS|China|Propaganda ecosystems</x:v>
      </x:c>
      <x:c r="B1446" s="20" t="str">
        <x:v>Russia</x:v>
      </x:c>
      <x:c r="C1446" s="20" t="str">
        <x:v>RUS</x:v>
      </x:c>
      <x:c r="D1446" s="20" t="str">
        <x:v>China</x:v>
      </x:c>
      <x:c r="E1446" s="20" t="str">
        <x:v>Chinese influence</x:v>
      </x:c>
      <x:c r="F1446" s="20" t="str">
        <x:v>Propaganda ecosystems</x:v>
      </x:c>
      <x:c r="G1446" s="384" t="n">
        <x:v>4</x:v>
      </x:c>
      <x:c r="H1446" s="396" t="n">
        <x:v>3</x:v>
      </x:c>
      <x:c r="I1446" s="20" t="str">
        <x:v>EEAS/ODNI China FIMI source register</x:v>
      </x:c>
      <x:c r="J1446" s="397" t="str">
        <x:v>https://www.eeas.europa.eu/eeas/4th-eeas-annual-report-foreign-information-manipulation-and-interference-threats_en</x:v>
      </x:c>
      <x:c r="K1446" s="20" t="str">
        <x:v>Primary source-register URL; automated screening score</x:v>
      </x:c>
      <x:c r="L1446" s="20" t="str">
        <x:v>2026-05-20</x:v>
      </x:c>
      <x:c r="M1446" s="20" t="str">
        <x:v>2026-05-20</x:v>
      </x:c>
      <x:c r="N1446" s="20" t="str">
        <x:v>GPT-5.5 Pro</x:v>
      </x:c>
      <x:c r="O1446" s="20" t="str">
        <x:v>Needs review</x:v>
      </x:c>
      <x:c r="P1446" s="20" t="str">
        <x:v>Screening score for China / Propaganda ecosystems in Russia; verify with country-specific evidence before final use.</x:v>
      </x:c>
    </x:row>
    <x:row r="1447" ht="24" customHeight="1">
      <x:c r="A1447" s="20" t="str">
        <x:v>RUS|China|PMC presence</x:v>
      </x:c>
      <x:c r="B1447" s="20" t="str">
        <x:v>Russia</x:v>
      </x:c>
      <x:c r="C1447" s="20" t="str">
        <x:v>RUS</x:v>
      </x:c>
      <x:c r="D1447" s="20" t="str">
        <x:v>China</x:v>
      </x:c>
      <x:c r="E1447" s="20" t="str">
        <x:v>Chinese influence</x:v>
      </x:c>
      <x:c r="F1447" s="20" t="str">
        <x:v>PMC presence</x:v>
      </x:c>
      <x:c r="G1447" s="384" t="n">
        <x:v>0</x:v>
      </x:c>
      <x:c r="H1447" s="396" t="n">
        <x:v>1</x:v>
      </x:c>
      <x:c r="I1447" s="20" t="str">
        <x:v>MERICS/Carnegie Chinese overseas PSC source register</x:v>
      </x:c>
      <x:c r="J1447" s="397" t="str">
        <x:v>https://merics.org/en/report/guardians-belt-and-road</x:v>
      </x:c>
      <x:c r="K1447" s="20" t="str">
        <x:v>Primary source-register URL; automated screening score</x:v>
      </x:c>
      <x:c r="L1447" s="20" t="str">
        <x:v>2026-05-20</x:v>
      </x:c>
      <x:c r="M1447" s="20" t="str">
        <x:v>2026-05-20</x:v>
      </x:c>
      <x:c r="N1447" s="20" t="str">
        <x:v>GPT-5.5 Pro</x:v>
      </x:c>
      <x:c r="O1447" s="20" t="str">
        <x:v>Needs review</x:v>
      </x:c>
      <x:c r="P1447" s="20" t="str">
        <x:v>Screening score for China / PMC presence in Russia; verify with country-specific evidence before final use.</x:v>
      </x:c>
    </x:row>
    <x:row r="1448" ht="24" customHeight="1">
      <x:c r="A1448" s="20" t="str">
        <x:v>RUS|China|Election interference</x:v>
      </x:c>
      <x:c r="B1448" s="20" t="str">
        <x:v>Russia</x:v>
      </x:c>
      <x:c r="C1448" s="20" t="str">
        <x:v>RUS</x:v>
      </x:c>
      <x:c r="D1448" s="20" t="str">
        <x:v>China</x:v>
      </x:c>
      <x:c r="E1448" s="20" t="str">
        <x:v>Chinese influence</x:v>
      </x:c>
      <x:c r="F1448" s="20" t="str">
        <x:v>Election interference</x:v>
      </x:c>
      <x:c r="G1448" s="384" t="n">
        <x:v>1</x:v>
      </x:c>
      <x:c r="H1448" s="396" t="n">
        <x:v>2</x:v>
      </x:c>
      <x:c r="I1448" s="20" t="str">
        <x:v>EEAS/ODNI China election-FIMI source register</x:v>
      </x:c>
      <x:c r="J1448" s="397" t="str">
        <x:v>https://www.eeas.europa.eu/eeas/4th-eeas-annual-report-foreign-information-manipulation-and-interference-threats_en</x:v>
      </x:c>
      <x:c r="K1448" s="20" t="str">
        <x:v>Primary source-register URL; automated screening score</x:v>
      </x:c>
      <x:c r="L1448" s="20" t="str">
        <x:v>2026-05-20</x:v>
      </x:c>
      <x:c r="M1448" s="20" t="str">
        <x:v>2026-05-20</x:v>
      </x:c>
      <x:c r="N1448" s="20" t="str">
        <x:v>GPT-5.5 Pro</x:v>
      </x:c>
      <x:c r="O1448" s="20" t="str">
        <x:v>Needs review</x:v>
      </x:c>
      <x:c r="P1448" s="20" t="str">
        <x:v>Screening score for China / Election interference in Russia; verify with country-specific evidence before final use.</x:v>
      </x:c>
    </x:row>
    <x:row r="1449" ht="24" customHeight="1">
      <x:c r="A1449" s="20" t="str">
        <x:v>RUS|China|Security contractors</x:v>
      </x:c>
      <x:c r="B1449" s="20" t="str">
        <x:v>Russia</x:v>
      </x:c>
      <x:c r="C1449" s="20" t="str">
        <x:v>RUS</x:v>
      </x:c>
      <x:c r="D1449" s="20" t="str">
        <x:v>China</x:v>
      </x:c>
      <x:c r="E1449" s="20" t="str">
        <x:v>Chinese influence</x:v>
      </x:c>
      <x:c r="F1449" s="20" t="str">
        <x:v>Security contractors</x:v>
      </x:c>
      <x:c r="G1449" s="384" t="n">
        <x:v>1</x:v>
      </x:c>
      <x:c r="H1449" s="396" t="n">
        <x:v>2</x:v>
      </x:c>
      <x:c r="I1449" s="20" t="str">
        <x:v>MERICS/Carnegie Chinese security contractor source register</x:v>
      </x:c>
      <x:c r="J1449" s="397" t="str">
        <x:v>https://merics.org/en/report/guardians-belt-and-road</x:v>
      </x:c>
      <x:c r="K1449" s="20" t="str">
        <x:v>Primary source-register URL; automated screening score</x:v>
      </x:c>
      <x:c r="L1449" s="20" t="str">
        <x:v>2026-05-20</x:v>
      </x:c>
      <x:c r="M1449" s="20" t="str">
        <x:v>2026-05-20</x:v>
      </x:c>
      <x:c r="N1449" s="20" t="str">
        <x:v>GPT-5.5 Pro</x:v>
      </x:c>
      <x:c r="O1449" s="20" t="str">
        <x:v>Needs review</x:v>
      </x:c>
      <x:c r="P1449" s="20" t="str">
        <x:v>Screening score for China / Security contractors in Russia; verify with country-specific evidence before final use.</x:v>
      </x:c>
    </x:row>
    <x:row r="1450" ht="24" customHeight="1">
      <x:c r="A1450" s="20" t="str">
        <x:v>RUS|United States|Propaganda ecosystems</x:v>
      </x:c>
      <x:c r="B1450" s="20" t="str">
        <x:v>Russia</x:v>
      </x:c>
      <x:c r="C1450" s="20" t="str">
        <x:v>RUS</x:v>
      </x:c>
      <x:c r="D1450" s="20" t="str">
        <x:v>United States</x:v>
      </x:c>
      <x:c r="E1450" s="20" t="str">
        <x:v>American influence</x:v>
      </x:c>
      <x:c r="F1450" s="20" t="str">
        <x:v>Propaganda ecosystems</x:v>
      </x:c>
      <x:c r="G1450" s="384" t="n">
        <x:v>8</x:v>
      </x:c>
      <x:c r="H1450" s="396" t="n">
        <x:v>4</x:v>
      </x:c>
      <x:c r="I1450" s="20" t="str">
        <x:v>USAGM public media source register</x:v>
      </x:c>
      <x:c r="J1450" s="397" t="str">
        <x:v>https://www.usagm.gov/our-work/strategy-and-results/strategic-priorities/research-reports/</x:v>
      </x:c>
      <x:c r="K1450" s="20" t="str">
        <x:v>Primary source-register URL; automated screening score</x:v>
      </x:c>
      <x:c r="L1450" s="20" t="str">
        <x:v>2026-05-20</x:v>
      </x:c>
      <x:c r="M1450" s="20" t="str">
        <x:v>2026-05-20</x:v>
      </x:c>
      <x:c r="N1450" s="20" t="str">
        <x:v>GPT-5.5 Pro</x:v>
      </x:c>
      <x:c r="O1450" s="20" t="str">
        <x:v>Needs review</x:v>
      </x:c>
      <x:c r="P1450" s="20" t="str">
        <x:v>Screening score for United States / Propaganda ecosystems in Russia; verify with country-specific evidence before final use.</x:v>
      </x:c>
    </x:row>
    <x:row r="1451" ht="24" customHeight="1">
      <x:c r="A1451" s="20" t="str">
        <x:v>RUS|United States|PMC presence</x:v>
      </x:c>
      <x:c r="B1451" s="20" t="str">
        <x:v>Russia</x:v>
      </x:c>
      <x:c r="C1451" s="20" t="str">
        <x:v>RUS</x:v>
      </x:c>
      <x:c r="D1451" s="20" t="str">
        <x:v>United States</x:v>
      </x:c>
      <x:c r="E1451" s="20" t="str">
        <x:v>American influence</x:v>
      </x:c>
      <x:c r="F1451" s="20" t="str">
        <x:v>PMC presence</x:v>
      </x:c>
      <x:c r="G1451" s="384" t="n">
        <x:v>0</x:v>
      </x:c>
      <x:c r="H1451" s="396" t="n">
        <x:v>1</x:v>
      </x:c>
      <x:c r="I1451" s="20" t="str">
        <x:v>SAM/Greenbook U.S. security assistance contractor source register</x:v>
      </x:c>
      <x:c r="J1451" s="397" t="str">
        <x:v>https://internationalpolicy.org/programs/sam/</x:v>
      </x:c>
      <x:c r="K1451" s="20" t="str">
        <x:v>Primary source-register URL; automated screening score</x:v>
      </x:c>
      <x:c r="L1451" s="20" t="str">
        <x:v>2026-05-20</x:v>
      </x:c>
      <x:c r="M1451" s="20" t="str">
        <x:v>2026-05-20</x:v>
      </x:c>
      <x:c r="N1451" s="20" t="str">
        <x:v>GPT-5.5 Pro</x:v>
      </x:c>
      <x:c r="O1451" s="20" t="str">
        <x:v>Needs review</x:v>
      </x:c>
      <x:c r="P1451" s="20" t="str">
        <x:v>Screening score for United States / PMC presence in Russia; verify with country-specific evidence before final use.</x:v>
      </x:c>
    </x:row>
    <x:row r="1452" ht="24" customHeight="1">
      <x:c r="A1452" s="20" t="str">
        <x:v>RUS|United States|Election interference</x:v>
      </x:c>
      <x:c r="B1452" s="20" t="str">
        <x:v>Russia</x:v>
      </x:c>
      <x:c r="C1452" s="20" t="str">
        <x:v>RUS</x:v>
      </x:c>
      <x:c r="D1452" s="20" t="str">
        <x:v>United States</x:v>
      </x:c>
      <x:c r="E1452" s="20" t="str">
        <x:v>American influence</x:v>
      </x:c>
      <x:c r="F1452" s="20" t="str">
        <x:v>Election interference</x:v>
      </x:c>
      <x:c r="G1452" s="384" t="n">
        <x:v>4</x:v>
      </x:c>
      <x:c r="H1452" s="396" t="n">
        <x:v>3</x:v>
      </x:c>
      <x:c r="I1452" s="20" t="str">
        <x:v>NED/Greenbook democracy assistance source register</x:v>
      </x:c>
      <x:c r="J1452" s="397" t="str">
        <x:v>https://www.ned.org/ned-grantmaking/</x:v>
      </x:c>
      <x:c r="K1452" s="20" t="str">
        <x:v>Primary source-register URL; automated screening score</x:v>
      </x:c>
      <x:c r="L1452" s="20" t="str">
        <x:v>2026-05-20</x:v>
      </x:c>
      <x:c r="M1452" s="20" t="str">
        <x:v>2026-05-20</x:v>
      </x:c>
      <x:c r="N1452" s="20" t="str">
        <x:v>GPT-5.5 Pro</x:v>
      </x:c>
      <x:c r="O1452" s="20" t="str">
        <x:v>Needs review</x:v>
      </x:c>
      <x:c r="P1452" s="20" t="str">
        <x:v>Screening score for United States / Election interference in Russia; verify with country-specific evidence before final use.</x:v>
      </x:c>
    </x:row>
    <x:row r="1453" ht="24" customHeight="1">
      <x:c r="A1453" s="20" t="str">
        <x:v>RUS|United States|Security contractors</x:v>
      </x:c>
      <x:c r="B1453" s="20" t="str">
        <x:v>Russia</x:v>
      </x:c>
      <x:c r="C1453" s="20" t="str">
        <x:v>RUS</x:v>
      </x:c>
      <x:c r="D1453" s="20" t="str">
        <x:v>United States</x:v>
      </x:c>
      <x:c r="E1453" s="20" t="str">
        <x:v>American influence</x:v>
      </x:c>
      <x:c r="F1453" s="20" t="str">
        <x:v>Security contractors</x:v>
      </x:c>
      <x:c r="G1453" s="384" t="n">
        <x:v>1</x:v>
      </x:c>
      <x:c r="H1453" s="396" t="n">
        <x:v>2</x:v>
      </x:c>
      <x:c r="I1453" s="20" t="str">
        <x:v>SAM/Greenbook U.S. security contractor source register</x:v>
      </x:c>
      <x:c r="J1453" s="397" t="str">
        <x:v>https://internationalpolicy.org/programs/sam/</x:v>
      </x:c>
      <x:c r="K1453" s="20" t="str">
        <x:v>Primary source-register URL; automated screening score</x:v>
      </x:c>
      <x:c r="L1453" s="20" t="str">
        <x:v>2026-05-20</x:v>
      </x:c>
      <x:c r="M1453" s="20" t="str">
        <x:v>2026-05-20</x:v>
      </x:c>
      <x:c r="N1453" s="20" t="str">
        <x:v>GPT-5.5 Pro</x:v>
      </x:c>
      <x:c r="O1453" s="20" t="str">
        <x:v>Needs review</x:v>
      </x:c>
      <x:c r="P1453" s="20" t="str">
        <x:v>Screening score for United States / Security contractors in Russia; verify with country-specific evidence before final use.</x:v>
      </x:c>
    </x:row>
    <x:row r="1454" ht="24" customHeight="1">
      <x:c r="A1454" s="20" t="str">
        <x:v>RUS|European Union|Propaganda ecosystems</x:v>
      </x:c>
      <x:c r="B1454" s="20" t="str">
        <x:v>Russia</x:v>
      </x:c>
      <x:c r="C1454" s="20" t="str">
        <x:v>RUS</x:v>
      </x:c>
      <x:c r="D1454" s="20" t="str">
        <x:v>European Union</x:v>
      </x:c>
      <x:c r="E1454" s="20" t="str">
        <x:v>EU influence</x:v>
      </x:c>
      <x:c r="F1454" s="20" t="str">
        <x:v>Propaganda ecosystems</x:v>
      </x:c>
      <x:c r="G1454" s="384" t="n">
        <x:v>2</x:v>
      </x:c>
      <x:c r="H1454" s="396" t="n">
        <x:v>2</x:v>
      </x:c>
      <x:c r="I1454" s="20" t="str">
        <x:v>EEAS public diplomacy source register</x:v>
      </x:c>
      <x:c r="J1454" s="397" t="str">
        <x:v>https://www.eeas.europa.eu/eeas/public-diplomacy_en</x:v>
      </x:c>
      <x:c r="K1454" s="20" t="str">
        <x:v>Primary source-register URL; automated screening score</x:v>
      </x:c>
      <x:c r="L1454" s="20" t="str">
        <x:v>2026-05-20</x:v>
      </x:c>
      <x:c r="M1454" s="20" t="str">
        <x:v>2026-05-20</x:v>
      </x:c>
      <x:c r="N1454" s="20" t="str">
        <x:v>GPT-5.5 Pro</x:v>
      </x:c>
      <x:c r="O1454" s="20" t="str">
        <x:v>Needs review</x:v>
      </x:c>
      <x:c r="P1454" s="20" t="str">
        <x:v>Screening score for European Union / Propaganda ecosystems in Russia; verify with country-specific evidence before final use.</x:v>
      </x:c>
    </x:row>
    <x:row r="1455" ht="24" customHeight="1">
      <x:c r="A1455" s="20" t="str">
        <x:v>RUS|European Union|PMC presence</x:v>
      </x:c>
      <x:c r="B1455" s="20" t="str">
        <x:v>Russia</x:v>
      </x:c>
      <x:c r="C1455" s="20" t="str">
        <x:v>RUS</x:v>
      </x:c>
      <x:c r="D1455" s="20" t="str">
        <x:v>European Union</x:v>
      </x:c>
      <x:c r="E1455" s="20" t="str">
        <x:v>EU influence</x:v>
      </x:c>
      <x:c r="F1455" s="20" t="str">
        <x:v>PMC presence</x:v>
      </x:c>
      <x:c r="G1455" s="384" t="n">
        <x:v>0</x:v>
      </x:c>
      <x:c r="H1455" s="396" t="n">
        <x:v>1</x:v>
      </x:c>
      <x:c r="I1455" s="20" t="str">
        <x:v>EEAS CSDP missions source register</x:v>
      </x:c>
      <x:c r="J1455" s="397" t="str">
        <x:v>https://www.eeas.europa.eu/eeas/missions-and-operations_en</x:v>
      </x:c>
      <x:c r="K1455" s="20" t="str">
        <x:v>Primary source-register URL; automated screening score</x:v>
      </x:c>
      <x:c r="L1455" s="20" t="str">
        <x:v>2026-05-20</x:v>
      </x:c>
      <x:c r="M1455" s="20" t="str">
        <x:v>2026-05-20</x:v>
      </x:c>
      <x:c r="N1455" s="20" t="str">
        <x:v>GPT-5.5 Pro</x:v>
      </x:c>
      <x:c r="O1455" s="20" t="str">
        <x:v>Needs review</x:v>
      </x:c>
      <x:c r="P1455" s="20" t="str">
        <x:v>Screening score for European Union / PMC presence in Russia; verify with country-specific evidence before final use.</x:v>
      </x:c>
    </x:row>
    <x:row r="1456" ht="24" customHeight="1">
      <x:c r="A1456" s="20" t="str">
        <x:v>RUS|European Union|Election interference</x:v>
      </x:c>
      <x:c r="B1456" s="20" t="str">
        <x:v>Russia</x:v>
      </x:c>
      <x:c r="C1456" s="20" t="str">
        <x:v>RUS</x:v>
      </x:c>
      <x:c r="D1456" s="20" t="str">
        <x:v>European Union</x:v>
      </x:c>
      <x:c r="E1456" s="20" t="str">
        <x:v>EU influence</x:v>
      </x:c>
      <x:c r="F1456" s="20" t="str">
        <x:v>Election interference</x:v>
      </x:c>
      <x:c r="G1456" s="384" t="n">
        <x:v>0</x:v>
      </x:c>
      <x:c r="H1456" s="396" t="n">
        <x:v>1</x:v>
      </x:c>
      <x:c r="I1456" s="20" t="str">
        <x:v>EEAS EU election observation source register</x:v>
      </x:c>
      <x:c r="J1456" s="397" t="str">
        <x:v>https://www.eeas.europa.eu/eeas/eu-election-observation-missions-1_en?page_lang=en</x:v>
      </x:c>
      <x:c r="K1456" s="20" t="str">
        <x:v>Primary source-register URL; automated screening score</x:v>
      </x:c>
      <x:c r="L1456" s="20" t="str">
        <x:v>2026-05-20</x:v>
      </x:c>
      <x:c r="M1456" s="20" t="str">
        <x:v>2026-05-20</x:v>
      </x:c>
      <x:c r="N1456" s="20" t="str">
        <x:v>GPT-5.5 Pro</x:v>
      </x:c>
      <x:c r="O1456" s="20" t="str">
        <x:v>Needs review</x:v>
      </x:c>
      <x:c r="P1456" s="20" t="str">
        <x:v>Screening score for European Union / Election interference in Russia; verify with country-specific evidence before final use.</x:v>
      </x:c>
    </x:row>
    <x:row r="1457" ht="24" customHeight="1">
      <x:c r="A1457" s="20" t="str">
        <x:v>RUS|European Union|Security contractors</x:v>
      </x:c>
      <x:c r="B1457" s="20" t="str">
        <x:v>Russia</x:v>
      </x:c>
      <x:c r="C1457" s="20" t="str">
        <x:v>RUS</x:v>
      </x:c>
      <x:c r="D1457" s="20" t="str">
        <x:v>European Union</x:v>
      </x:c>
      <x:c r="E1457" s="20" t="str">
        <x:v>EU influence</x:v>
      </x:c>
      <x:c r="F1457" s="20" t="str">
        <x:v>Security contractors</x:v>
      </x:c>
      <x:c r="G1457" s="384" t="n">
        <x:v>1</x:v>
      </x:c>
      <x:c r="H1457" s="396" t="n">
        <x:v>2</x:v>
      </x:c>
      <x:c r="I1457" s="20" t="str">
        <x:v>EEAS CSDP / Global Gateway security source register</x:v>
      </x:c>
      <x:c r="J1457" s="397" t="str">
        <x:v>https://www.eeas.europa.eu/eeas/missions-and-operations_en</x:v>
      </x:c>
      <x:c r="K1457" s="20" t="str">
        <x:v>Primary source-register URL; automated screening score</x:v>
      </x:c>
      <x:c r="L1457" s="20" t="str">
        <x:v>2026-05-20</x:v>
      </x:c>
      <x:c r="M1457" s="20" t="str">
        <x:v>2026-05-20</x:v>
      </x:c>
      <x:c r="N1457" s="20" t="str">
        <x:v>GPT-5.5 Pro</x:v>
      </x:c>
      <x:c r="O1457" s="20" t="str">
        <x:v>Needs review</x:v>
      </x:c>
      <x:c r="P1457" s="20" t="str">
        <x:v>Screening score for European Union / Security contractors in Russia; verify with country-specific evidence before final use.</x:v>
      </x:c>
    </x:row>
    <x:row r="1458" ht="24" customHeight="1">
      <x:c r="A1458" s="20" t="str">
        <x:v>RWA|Russia|Propaganda ecosystems</x:v>
      </x:c>
      <x:c r="B1458" s="20" t="str">
        <x:v>Rwanda</x:v>
      </x:c>
      <x:c r="C1458" s="20" t="str">
        <x:v>RWA</x:v>
      </x:c>
      <x:c r="D1458" s="20" t="str">
        <x:v>Russia</x:v>
      </x:c>
      <x:c r="E1458" s="20" t="str">
        <x:v>Russian influence</x:v>
      </x:c>
      <x:c r="F1458" s="20" t="str">
        <x:v>Propaganda ecosystems</x:v>
      </x:c>
      <x:c r="G1458" s="384" t="n">
        <x:v>4</x:v>
      </x:c>
      <x:c r="H1458" s="396" t="n">
        <x:v>3</x:v>
      </x:c>
      <x:c r="I1458" s="20" t="str">
        <x:v>EEAS/EUvsDisinfo FIMI source register</x:v>
      </x:c>
      <x:c r="J1458" s="397" t="str">
        <x:v>https://www.eeas.europa.eu/eeas/4th-eeas-annual-report-foreign-information-manipulation-and-interference-threats_en</x:v>
      </x:c>
      <x:c r="K1458" s="20" t="str">
        <x:v>Primary source-register URL; automated screening score</x:v>
      </x:c>
      <x:c r="L1458" s="20" t="str">
        <x:v>2026-05-20</x:v>
      </x:c>
      <x:c r="M1458" s="20" t="str">
        <x:v>2026-05-20</x:v>
      </x:c>
      <x:c r="N1458" s="20" t="str">
        <x:v>GPT-5.5 Pro</x:v>
      </x:c>
      <x:c r="O1458" s="20" t="str">
        <x:v>Needs review</x:v>
      </x:c>
      <x:c r="P1458" s="20" t="str">
        <x:v>Screening score for Russia / Propaganda ecosystems in Rwanda; verify with country-specific evidence before final use.</x:v>
      </x:c>
    </x:row>
    <x:row r="1459" ht="24" customHeight="1">
      <x:c r="A1459" s="20" t="str">
        <x:v>RWA|Russia|PMC presence</x:v>
      </x:c>
      <x:c r="B1459" s="20" t="str">
        <x:v>Rwanda</x:v>
      </x:c>
      <x:c r="C1459" s="20" t="str">
        <x:v>RWA</x:v>
      </x:c>
      <x:c r="D1459" s="20" t="str">
        <x:v>Russia</x:v>
      </x:c>
      <x:c r="E1459" s="20" t="str">
        <x:v>Russian influence</x:v>
      </x:c>
      <x:c r="F1459" s="20" t="str">
        <x:v>PMC presence</x:v>
      </x:c>
      <x:c r="G1459" s="384" t="n">
        <x:v>1</x:v>
      </x:c>
      <x:c r="H1459" s="396" t="n">
        <x:v>2</x:v>
      </x:c>
      <x:c r="I1459" s="20" t="str">
        <x:v>Treasury and Council of the EU Wagner/PMC source register</x:v>
      </x:c>
      <x:c r="J1459" s="397" t="str">
        <x:v>https://www.consilium.europa.eu/en/press/press-releases/2023/02/25/wagner-group-council-adds-11-individuals-and-7-entities-to-eu-sanctions-lists/</x:v>
      </x:c>
      <x:c r="K1459" s="20" t="str">
        <x:v>Primary source-register URL; automated screening score</x:v>
      </x:c>
      <x:c r="L1459" s="20" t="str">
        <x:v>2026-05-20</x:v>
      </x:c>
      <x:c r="M1459" s="20" t="str">
        <x:v>2026-05-20</x:v>
      </x:c>
      <x:c r="N1459" s="20" t="str">
        <x:v>GPT-5.5 Pro</x:v>
      </x:c>
      <x:c r="O1459" s="20" t="str">
        <x:v>Needs review</x:v>
      </x:c>
      <x:c r="P1459" s="20" t="str">
        <x:v>Screening score for Russia / PMC presence in Rwanda; verify with country-specific evidence before final use.</x:v>
      </x:c>
    </x:row>
    <x:row r="1460" ht="24" customHeight="1">
      <x:c r="A1460" s="20" t="str">
        <x:v>RWA|Russia|Election interference</x:v>
      </x:c>
      <x:c r="B1460" s="20" t="str">
        <x:v>Rwanda</x:v>
      </x:c>
      <x:c r="C1460" s="20" t="str">
        <x:v>RWA</x:v>
      </x:c>
      <x:c r="D1460" s="20" t="str">
        <x:v>Russia</x:v>
      </x:c>
      <x:c r="E1460" s="20" t="str">
        <x:v>Russian influence</x:v>
      </x:c>
      <x:c r="F1460" s="20" t="str">
        <x:v>Election interference</x:v>
      </x:c>
      <x:c r="G1460" s="384" t="n">
        <x:v>1</x:v>
      </x:c>
      <x:c r="H1460" s="396" t="n">
        <x:v>2</x:v>
      </x:c>
      <x:c r="I1460" s="20" t="str">
        <x:v>ODNI/EEAS election-FIMI source register</x:v>
      </x:c>
      <x:c r="J1460" s="397" t="str">
        <x:v>https://www.dni.gov/files/ODNI/documents/assessments/ATA-2026-Unclassified-Report.pdf</x:v>
      </x:c>
      <x:c r="K1460" s="20" t="str">
        <x:v>Primary source-register URL; automated screening score</x:v>
      </x:c>
      <x:c r="L1460" s="20" t="str">
        <x:v>2026-05-20</x:v>
      </x:c>
      <x:c r="M1460" s="20" t="str">
        <x:v>2026-05-20</x:v>
      </x:c>
      <x:c r="N1460" s="20" t="str">
        <x:v>GPT-5.5 Pro</x:v>
      </x:c>
      <x:c r="O1460" s="20" t="str">
        <x:v>Needs review</x:v>
      </x:c>
      <x:c r="P1460" s="20" t="str">
        <x:v>Screening score for Russia / Election interference in Rwanda; verify with country-specific evidence before final use.</x:v>
      </x:c>
    </x:row>
    <x:row r="1461" ht="24" customHeight="1">
      <x:c r="A1461" s="20" t="str">
        <x:v>RWA|Russia|Security contractors</x:v>
      </x:c>
      <x:c r="B1461" s="20" t="str">
        <x:v>Rwanda</x:v>
      </x:c>
      <x:c r="C1461" s="20" t="str">
        <x:v>RWA</x:v>
      </x:c>
      <x:c r="D1461" s="20" t="str">
        <x:v>Russia</x:v>
      </x:c>
      <x:c r="E1461" s="20" t="str">
        <x:v>Russian influence</x:v>
      </x:c>
      <x:c r="F1461" s="20" t="str">
        <x:v>Security contractors</x:v>
      </x:c>
      <x:c r="G1461" s="384" t="n">
        <x:v>1</x:v>
      </x:c>
      <x:c r="H1461" s="396" t="n">
        <x:v>2</x:v>
      </x:c>
      <x:c r="I1461" s="20" t="str">
        <x:v>Council of the EU/Treasury Wagner-security source register</x:v>
      </x:c>
      <x:c r="J1461" s="397" t="str">
        <x:v>https://www.consilium.europa.eu/en/press/press-releases/2023/02/25/wagner-group-council-adds-11-individuals-and-7-entities-to-eu-sanctions-lists/</x:v>
      </x:c>
      <x:c r="K1461" s="20" t="str">
        <x:v>Primary source-register URL; automated screening score</x:v>
      </x:c>
      <x:c r="L1461" s="20" t="str">
        <x:v>2026-05-20</x:v>
      </x:c>
      <x:c r="M1461" s="20" t="str">
        <x:v>2026-05-20</x:v>
      </x:c>
      <x:c r="N1461" s="20" t="str">
        <x:v>GPT-5.5 Pro</x:v>
      </x:c>
      <x:c r="O1461" s="20" t="str">
        <x:v>Needs review</x:v>
      </x:c>
      <x:c r="P1461" s="20" t="str">
        <x:v>Screening score for Russia / Security contractors in Rwanda; verify with country-specific evidence before final use.</x:v>
      </x:c>
    </x:row>
    <x:row r="1462" ht="24" customHeight="1">
      <x:c r="A1462" s="20" t="str">
        <x:v>RWA|China|Propaganda ecosystems</x:v>
      </x:c>
      <x:c r="B1462" s="20" t="str">
        <x:v>Rwanda</x:v>
      </x:c>
      <x:c r="C1462" s="20" t="str">
        <x:v>RWA</x:v>
      </x:c>
      <x:c r="D1462" s="20" t="str">
        <x:v>China</x:v>
      </x:c>
      <x:c r="E1462" s="20" t="str">
        <x:v>Chinese influence</x:v>
      </x:c>
      <x:c r="F1462" s="20" t="str">
        <x:v>Propaganda ecosystems</x:v>
      </x:c>
      <x:c r="G1462" s="384" t="n">
        <x:v>5</x:v>
      </x:c>
      <x:c r="H1462" s="396" t="n">
        <x:v>3</x:v>
      </x:c>
      <x:c r="I1462" s="20" t="str">
        <x:v>EEAS/ODNI China FIMI source register</x:v>
      </x:c>
      <x:c r="J1462" s="397" t="str">
        <x:v>https://www.eeas.europa.eu/eeas/4th-eeas-annual-report-foreign-information-manipulation-and-interference-threats_en</x:v>
      </x:c>
      <x:c r="K1462" s="20" t="str">
        <x:v>Primary source-register URL; automated screening score</x:v>
      </x:c>
      <x:c r="L1462" s="20" t="str">
        <x:v>2026-05-20</x:v>
      </x:c>
      <x:c r="M1462" s="20" t="str">
        <x:v>2026-05-20</x:v>
      </x:c>
      <x:c r="N1462" s="20" t="str">
        <x:v>GPT-5.5 Pro</x:v>
      </x:c>
      <x:c r="O1462" s="20" t="str">
        <x:v>Needs review</x:v>
      </x:c>
      <x:c r="P1462" s="20" t="str">
        <x:v>Screening score for China / Propaganda ecosystems in Rwanda; verify with country-specific evidence before final use.</x:v>
      </x:c>
    </x:row>
    <x:row r="1463" ht="24" customHeight="1">
      <x:c r="A1463" s="20" t="str">
        <x:v>RWA|China|PMC presence</x:v>
      </x:c>
      <x:c r="B1463" s="20" t="str">
        <x:v>Rwanda</x:v>
      </x:c>
      <x:c r="C1463" s="20" t="str">
        <x:v>RWA</x:v>
      </x:c>
      <x:c r="D1463" s="20" t="str">
        <x:v>China</x:v>
      </x:c>
      <x:c r="E1463" s="20" t="str">
        <x:v>Chinese influence</x:v>
      </x:c>
      <x:c r="F1463" s="20" t="str">
        <x:v>PMC presence</x:v>
      </x:c>
      <x:c r="G1463" s="384" t="n">
        <x:v>1</x:v>
      </x:c>
      <x:c r="H1463" s="396" t="n">
        <x:v>2</x:v>
      </x:c>
      <x:c r="I1463" s="20" t="str">
        <x:v>MERICS/Carnegie Chinese overseas PSC source register</x:v>
      </x:c>
      <x:c r="J1463" s="397" t="str">
        <x:v>https://merics.org/en/report/guardians-belt-and-road</x:v>
      </x:c>
      <x:c r="K1463" s="20" t="str">
        <x:v>Primary source-register URL; automated screening score</x:v>
      </x:c>
      <x:c r="L1463" s="20" t="str">
        <x:v>2026-05-20</x:v>
      </x:c>
      <x:c r="M1463" s="20" t="str">
        <x:v>2026-05-20</x:v>
      </x:c>
      <x:c r="N1463" s="20" t="str">
        <x:v>GPT-5.5 Pro</x:v>
      </x:c>
      <x:c r="O1463" s="20" t="str">
        <x:v>Needs review</x:v>
      </x:c>
      <x:c r="P1463" s="20" t="str">
        <x:v>Screening score for China / PMC presence in Rwanda; verify with country-specific evidence before final use.</x:v>
      </x:c>
    </x:row>
    <x:row r="1464" ht="24" customHeight="1">
      <x:c r="A1464" s="20" t="str">
        <x:v>RWA|China|Election interference</x:v>
      </x:c>
      <x:c r="B1464" s="20" t="str">
        <x:v>Rwanda</x:v>
      </x:c>
      <x:c r="C1464" s="20" t="str">
        <x:v>RWA</x:v>
      </x:c>
      <x:c r="D1464" s="20" t="str">
        <x:v>China</x:v>
      </x:c>
      <x:c r="E1464" s="20" t="str">
        <x:v>Chinese influence</x:v>
      </x:c>
      <x:c r="F1464" s="20" t="str">
        <x:v>Election interference</x:v>
      </x:c>
      <x:c r="G1464" s="384" t="n">
        <x:v>1</x:v>
      </x:c>
      <x:c r="H1464" s="396" t="n">
        <x:v>2</x:v>
      </x:c>
      <x:c r="I1464" s="20" t="str">
        <x:v>EEAS/ODNI China election-FIMI source register</x:v>
      </x:c>
      <x:c r="J1464" s="397" t="str">
        <x:v>https://www.eeas.europa.eu/eeas/4th-eeas-annual-report-foreign-information-manipulation-and-interference-threats_en</x:v>
      </x:c>
      <x:c r="K1464" s="20" t="str">
        <x:v>Primary source-register URL; automated screening score</x:v>
      </x:c>
      <x:c r="L1464" s="20" t="str">
        <x:v>2026-05-20</x:v>
      </x:c>
      <x:c r="M1464" s="20" t="str">
        <x:v>2026-05-20</x:v>
      </x:c>
      <x:c r="N1464" s="20" t="str">
        <x:v>GPT-5.5 Pro</x:v>
      </x:c>
      <x:c r="O1464" s="20" t="str">
        <x:v>Needs review</x:v>
      </x:c>
      <x:c r="P1464" s="20" t="str">
        <x:v>Screening score for China / Election interference in Rwanda; verify with country-specific evidence before final use.</x:v>
      </x:c>
    </x:row>
    <x:row r="1465" ht="24" customHeight="1">
      <x:c r="A1465" s="20" t="str">
        <x:v>RWA|China|Security contractors</x:v>
      </x:c>
      <x:c r="B1465" s="20" t="str">
        <x:v>Rwanda</x:v>
      </x:c>
      <x:c r="C1465" s="20" t="str">
        <x:v>RWA</x:v>
      </x:c>
      <x:c r="D1465" s="20" t="str">
        <x:v>China</x:v>
      </x:c>
      <x:c r="E1465" s="20" t="str">
        <x:v>Chinese influence</x:v>
      </x:c>
      <x:c r="F1465" s="20" t="str">
        <x:v>Security contractors</x:v>
      </x:c>
      <x:c r="G1465" s="384" t="n">
        <x:v>1</x:v>
      </x:c>
      <x:c r="H1465" s="396" t="n">
        <x:v>2</x:v>
      </x:c>
      <x:c r="I1465" s="20" t="str">
        <x:v>MERICS/Carnegie Chinese security contractor source register</x:v>
      </x:c>
      <x:c r="J1465" s="397" t="str">
        <x:v>https://merics.org/en/report/guardians-belt-and-road</x:v>
      </x:c>
      <x:c r="K1465" s="20" t="str">
        <x:v>Primary source-register URL; automated screening score</x:v>
      </x:c>
      <x:c r="L1465" s="20" t="str">
        <x:v>2026-05-20</x:v>
      </x:c>
      <x:c r="M1465" s="20" t="str">
        <x:v>2026-05-20</x:v>
      </x:c>
      <x:c r="N1465" s="20" t="str">
        <x:v>GPT-5.5 Pro</x:v>
      </x:c>
      <x:c r="O1465" s="20" t="str">
        <x:v>Needs review</x:v>
      </x:c>
      <x:c r="P1465" s="20" t="str">
        <x:v>Screening score for China / Security contractors in Rwanda; verify with country-specific evidence before final use.</x:v>
      </x:c>
    </x:row>
    <x:row r="1466" ht="24" customHeight="1">
      <x:c r="A1466" s="20" t="str">
        <x:v>RWA|United States|Propaganda ecosystems</x:v>
      </x:c>
      <x:c r="B1466" s="20" t="str">
        <x:v>Rwanda</x:v>
      </x:c>
      <x:c r="C1466" s="20" t="str">
        <x:v>RWA</x:v>
      </x:c>
      <x:c r="D1466" s="20" t="str">
        <x:v>United States</x:v>
      </x:c>
      <x:c r="E1466" s="20" t="str">
        <x:v>American influence</x:v>
      </x:c>
      <x:c r="F1466" s="20" t="str">
        <x:v>Propaganda ecosystems</x:v>
      </x:c>
      <x:c r="G1466" s="384" t="n">
        <x:v>4</x:v>
      </x:c>
      <x:c r="H1466" s="396" t="n">
        <x:v>3</x:v>
      </x:c>
      <x:c r="I1466" s="20" t="str">
        <x:v>USAGM public media source register</x:v>
      </x:c>
      <x:c r="J1466" s="397" t="str">
        <x:v>https://www.usagm.gov/our-work/strategy-and-results/strategic-priorities/research-reports/</x:v>
      </x:c>
      <x:c r="K1466" s="20" t="str">
        <x:v>Primary source-register URL; automated screening score</x:v>
      </x:c>
      <x:c r="L1466" s="20" t="str">
        <x:v>2026-05-20</x:v>
      </x:c>
      <x:c r="M1466" s="20" t="str">
        <x:v>2026-05-20</x:v>
      </x:c>
      <x:c r="N1466" s="20" t="str">
        <x:v>GPT-5.5 Pro</x:v>
      </x:c>
      <x:c r="O1466" s="20" t="str">
        <x:v>Needs review</x:v>
      </x:c>
      <x:c r="P1466" s="20" t="str">
        <x:v>Screening score for United States / Propaganda ecosystems in Rwanda; verify with country-specific evidence before final use.</x:v>
      </x:c>
    </x:row>
    <x:row r="1467" ht="24" customHeight="1">
      <x:c r="A1467" s="20" t="str">
        <x:v>RWA|United States|PMC presence</x:v>
      </x:c>
      <x:c r="B1467" s="20" t="str">
        <x:v>Rwanda</x:v>
      </x:c>
      <x:c r="C1467" s="20" t="str">
        <x:v>RWA</x:v>
      </x:c>
      <x:c r="D1467" s="20" t="str">
        <x:v>United States</x:v>
      </x:c>
      <x:c r="E1467" s="20" t="str">
        <x:v>American influence</x:v>
      </x:c>
      <x:c r="F1467" s="20" t="str">
        <x:v>PMC presence</x:v>
      </x:c>
      <x:c r="G1467" s="384" t="n">
        <x:v>2</x:v>
      </x:c>
      <x:c r="H1467" s="396" t="n">
        <x:v>2</x:v>
      </x:c>
      <x:c r="I1467" s="20" t="str">
        <x:v>SAM/Greenbook U.S. security assistance contractor source register</x:v>
      </x:c>
      <x:c r="J1467" s="397" t="str">
        <x:v>https://internationalpolicy.org/programs/sam/</x:v>
      </x:c>
      <x:c r="K1467" s="20" t="str">
        <x:v>Primary source-register URL; automated screening score</x:v>
      </x:c>
      <x:c r="L1467" s="20" t="str">
        <x:v>2026-05-20</x:v>
      </x:c>
      <x:c r="M1467" s="20" t="str">
        <x:v>2026-05-20</x:v>
      </x:c>
      <x:c r="N1467" s="20" t="str">
        <x:v>GPT-5.5 Pro</x:v>
      </x:c>
      <x:c r="O1467" s="20" t="str">
        <x:v>Needs review</x:v>
      </x:c>
      <x:c r="P1467" s="20" t="str">
        <x:v>Screening score for United States / PMC presence in Rwanda; verify with country-specific evidence before final use.</x:v>
      </x:c>
    </x:row>
    <x:row r="1468" ht="24" customHeight="1">
      <x:c r="A1468" s="20" t="str">
        <x:v>RWA|United States|Election interference</x:v>
      </x:c>
      <x:c r="B1468" s="20" t="str">
        <x:v>Rwanda</x:v>
      </x:c>
      <x:c r="C1468" s="20" t="str">
        <x:v>RWA</x:v>
      </x:c>
      <x:c r="D1468" s="20" t="str">
        <x:v>United States</x:v>
      </x:c>
      <x:c r="E1468" s="20" t="str">
        <x:v>American influence</x:v>
      </x:c>
      <x:c r="F1468" s="20" t="str">
        <x:v>Election interference</x:v>
      </x:c>
      <x:c r="G1468" s="384" t="n">
        <x:v>2</x:v>
      </x:c>
      <x:c r="H1468" s="396" t="n">
        <x:v>2</x:v>
      </x:c>
      <x:c r="I1468" s="20" t="str">
        <x:v>NED/Greenbook democracy assistance source register</x:v>
      </x:c>
      <x:c r="J1468" s="397" t="str">
        <x:v>https://www.ned.org/ned-grantmaking/</x:v>
      </x:c>
      <x:c r="K1468" s="20" t="str">
        <x:v>Primary source-register URL; automated screening score</x:v>
      </x:c>
      <x:c r="L1468" s="20" t="str">
        <x:v>2026-05-20</x:v>
      </x:c>
      <x:c r="M1468" s="20" t="str">
        <x:v>2026-05-20</x:v>
      </x:c>
      <x:c r="N1468" s="20" t="str">
        <x:v>GPT-5.5 Pro</x:v>
      </x:c>
      <x:c r="O1468" s="20" t="str">
        <x:v>Needs review</x:v>
      </x:c>
      <x:c r="P1468" s="20" t="str">
        <x:v>Screening score for United States / Election interference in Rwanda; verify with country-specific evidence before final use.</x:v>
      </x:c>
    </x:row>
    <x:row r="1469" ht="24" customHeight="1">
      <x:c r="A1469" s="20" t="str">
        <x:v>RWA|United States|Security contractors</x:v>
      </x:c>
      <x:c r="B1469" s="20" t="str">
        <x:v>Rwanda</x:v>
      </x:c>
      <x:c r="C1469" s="20" t="str">
        <x:v>RWA</x:v>
      </x:c>
      <x:c r="D1469" s="20" t="str">
        <x:v>United States</x:v>
      </x:c>
      <x:c r="E1469" s="20" t="str">
        <x:v>American influence</x:v>
      </x:c>
      <x:c r="F1469" s="20" t="str">
        <x:v>Security contractors</x:v>
      </x:c>
      <x:c r="G1469" s="384" t="n">
        <x:v>3</x:v>
      </x:c>
      <x:c r="H1469" s="396" t="n">
        <x:v>3</x:v>
      </x:c>
      <x:c r="I1469" s="20" t="str">
        <x:v>SAM/Greenbook U.S. security contractor source register</x:v>
      </x:c>
      <x:c r="J1469" s="397" t="str">
        <x:v>https://internationalpolicy.org/programs/sam/</x:v>
      </x:c>
      <x:c r="K1469" s="20" t="str">
        <x:v>Primary source-register URL; automated screening score</x:v>
      </x:c>
      <x:c r="L1469" s="20" t="str">
        <x:v>2026-05-20</x:v>
      </x:c>
      <x:c r="M1469" s="20" t="str">
        <x:v>2026-05-20</x:v>
      </x:c>
      <x:c r="N1469" s="20" t="str">
        <x:v>GPT-5.5 Pro</x:v>
      </x:c>
      <x:c r="O1469" s="20" t="str">
        <x:v>Needs review</x:v>
      </x:c>
      <x:c r="P1469" s="20" t="str">
        <x:v>Screening score for United States / Security contractors in Rwanda; verify with country-specific evidence before final use.</x:v>
      </x:c>
    </x:row>
    <x:row r="1470" ht="24" customHeight="1">
      <x:c r="A1470" s="20" t="str">
        <x:v>RWA|European Union|Propaganda ecosystems</x:v>
      </x:c>
      <x:c r="B1470" s="20" t="str">
        <x:v>Rwanda</x:v>
      </x:c>
      <x:c r="C1470" s="20" t="str">
        <x:v>RWA</x:v>
      </x:c>
      <x:c r="D1470" s="20" t="str">
        <x:v>European Union</x:v>
      </x:c>
      <x:c r="E1470" s="20" t="str">
        <x:v>EU influence</x:v>
      </x:c>
      <x:c r="F1470" s="20" t="str">
        <x:v>Propaganda ecosystems</x:v>
      </x:c>
      <x:c r="G1470" s="384" t="n">
        <x:v>3</x:v>
      </x:c>
      <x:c r="H1470" s="396" t="n">
        <x:v>3</x:v>
      </x:c>
      <x:c r="I1470" s="20" t="str">
        <x:v>EEAS public diplomacy source register</x:v>
      </x:c>
      <x:c r="J1470" s="397" t="str">
        <x:v>https://www.eeas.europa.eu/eeas/public-diplomacy_en</x:v>
      </x:c>
      <x:c r="K1470" s="20" t="str">
        <x:v>Primary source-register URL; automated screening score</x:v>
      </x:c>
      <x:c r="L1470" s="20" t="str">
        <x:v>2026-05-20</x:v>
      </x:c>
      <x:c r="M1470" s="20" t="str">
        <x:v>2026-05-20</x:v>
      </x:c>
      <x:c r="N1470" s="20" t="str">
        <x:v>GPT-5.5 Pro</x:v>
      </x:c>
      <x:c r="O1470" s="20" t="str">
        <x:v>Needs review</x:v>
      </x:c>
      <x:c r="P1470" s="20" t="str">
        <x:v>Screening score for European Union / Propaganda ecosystems in Rwanda; verify with country-specific evidence before final use.</x:v>
      </x:c>
    </x:row>
    <x:row r="1471" ht="24" customHeight="1">
      <x:c r="A1471" s="20" t="str">
        <x:v>RWA|European Union|PMC presence</x:v>
      </x:c>
      <x:c r="B1471" s="20" t="str">
        <x:v>Rwanda</x:v>
      </x:c>
      <x:c r="C1471" s="20" t="str">
        <x:v>RWA</x:v>
      </x:c>
      <x:c r="D1471" s="20" t="str">
        <x:v>European Union</x:v>
      </x:c>
      <x:c r="E1471" s="20" t="str">
        <x:v>EU influence</x:v>
      </x:c>
      <x:c r="F1471" s="20" t="str">
        <x:v>PMC presence</x:v>
      </x:c>
      <x:c r="G1471" s="384" t="n">
        <x:v>0</x:v>
      </x:c>
      <x:c r="H1471" s="396" t="n">
        <x:v>1</x:v>
      </x:c>
      <x:c r="I1471" s="20" t="str">
        <x:v>EEAS CSDP missions source register</x:v>
      </x:c>
      <x:c r="J1471" s="397" t="str">
        <x:v>https://www.eeas.europa.eu/eeas/missions-and-operations_en</x:v>
      </x:c>
      <x:c r="K1471" s="20" t="str">
        <x:v>Primary source-register URL; automated screening score</x:v>
      </x:c>
      <x:c r="L1471" s="20" t="str">
        <x:v>2026-05-20</x:v>
      </x:c>
      <x:c r="M1471" s="20" t="str">
        <x:v>2026-05-20</x:v>
      </x:c>
      <x:c r="N1471" s="20" t="str">
        <x:v>GPT-5.5 Pro</x:v>
      </x:c>
      <x:c r="O1471" s="20" t="str">
        <x:v>Needs review</x:v>
      </x:c>
      <x:c r="P1471" s="20" t="str">
        <x:v>Screening score for European Union / PMC presence in Rwanda; verify with country-specific evidence before final use.</x:v>
      </x:c>
    </x:row>
    <x:row r="1472" ht="24" customHeight="1">
      <x:c r="A1472" s="20" t="str">
        <x:v>RWA|European Union|Election interference</x:v>
      </x:c>
      <x:c r="B1472" s="20" t="str">
        <x:v>Rwanda</x:v>
      </x:c>
      <x:c r="C1472" s="20" t="str">
        <x:v>RWA</x:v>
      </x:c>
      <x:c r="D1472" s="20" t="str">
        <x:v>European Union</x:v>
      </x:c>
      <x:c r="E1472" s="20" t="str">
        <x:v>EU influence</x:v>
      </x:c>
      <x:c r="F1472" s="20" t="str">
        <x:v>Election interference</x:v>
      </x:c>
      <x:c r="G1472" s="384" t="n">
        <x:v>1</x:v>
      </x:c>
      <x:c r="H1472" s="396" t="n">
        <x:v>2</x:v>
      </x:c>
      <x:c r="I1472" s="20" t="str">
        <x:v>EEAS EU election observation source register</x:v>
      </x:c>
      <x:c r="J1472" s="397" t="str">
        <x:v>https://www.eeas.europa.eu/eeas/eu-election-observation-missions-1_en?page_lang=en</x:v>
      </x:c>
      <x:c r="K1472" s="20" t="str">
        <x:v>Primary source-register URL; automated screening score</x:v>
      </x:c>
      <x:c r="L1472" s="20" t="str">
        <x:v>2026-05-20</x:v>
      </x:c>
      <x:c r="M1472" s="20" t="str">
        <x:v>2026-05-20</x:v>
      </x:c>
      <x:c r="N1472" s="20" t="str">
        <x:v>GPT-5.5 Pro</x:v>
      </x:c>
      <x:c r="O1472" s="20" t="str">
        <x:v>Needs review</x:v>
      </x:c>
      <x:c r="P1472" s="20" t="str">
        <x:v>Screening score for European Union / Election interference in Rwanda; verify with country-specific evidence before final use.</x:v>
      </x:c>
    </x:row>
    <x:row r="1473" ht="24" customHeight="1">
      <x:c r="A1473" s="20" t="str">
        <x:v>RWA|European Union|Security contractors</x:v>
      </x:c>
      <x:c r="B1473" s="20" t="str">
        <x:v>Rwanda</x:v>
      </x:c>
      <x:c r="C1473" s="20" t="str">
        <x:v>RWA</x:v>
      </x:c>
      <x:c r="D1473" s="20" t="str">
        <x:v>European Union</x:v>
      </x:c>
      <x:c r="E1473" s="20" t="str">
        <x:v>EU influence</x:v>
      </x:c>
      <x:c r="F1473" s="20" t="str">
        <x:v>Security contractors</x:v>
      </x:c>
      <x:c r="G1473" s="384" t="n">
        <x:v>2</x:v>
      </x:c>
      <x:c r="H1473" s="396" t="n">
        <x:v>2</x:v>
      </x:c>
      <x:c r="I1473" s="20" t="str">
        <x:v>EEAS CSDP / Global Gateway security source register</x:v>
      </x:c>
      <x:c r="J1473" s="397" t="str">
        <x:v>https://www.eeas.europa.eu/eeas/missions-and-operations_en</x:v>
      </x:c>
      <x:c r="K1473" s="20" t="str">
        <x:v>Primary source-register URL; automated screening score</x:v>
      </x:c>
      <x:c r="L1473" s="20" t="str">
        <x:v>2026-05-20</x:v>
      </x:c>
      <x:c r="M1473" s="20" t="str">
        <x:v>2026-05-20</x:v>
      </x:c>
      <x:c r="N1473" s="20" t="str">
        <x:v>GPT-5.5 Pro</x:v>
      </x:c>
      <x:c r="O1473" s="20" t="str">
        <x:v>Needs review</x:v>
      </x:c>
      <x:c r="P1473" s="20" t="str">
        <x:v>Screening score for European Union / Security contractors in Rwanda; verify with country-specific evidence before final use.</x:v>
      </x:c>
    </x:row>
    <x:row r="1474" ht="24" customHeight="1">
      <x:c r="A1474" s="20" t="str">
        <x:v>WSM|Russia|Propaganda ecosystems</x:v>
      </x:c>
      <x:c r="B1474" s="20" t="str">
        <x:v>Samoa</x:v>
      </x:c>
      <x:c r="C1474" s="20" t="str">
        <x:v>WSM</x:v>
      </x:c>
      <x:c r="D1474" s="20" t="str">
        <x:v>Russia</x:v>
      </x:c>
      <x:c r="E1474" s="20" t="str">
        <x:v>Russian influence</x:v>
      </x:c>
      <x:c r="F1474" s="20" t="str">
        <x:v>Propaganda ecosystems</x:v>
      </x:c>
      <x:c r="G1474" s="384" t="n">
        <x:v>2</x:v>
      </x:c>
      <x:c r="H1474" s="396" t="n">
        <x:v>2</x:v>
      </x:c>
      <x:c r="I1474" s="20" t="str">
        <x:v>EEAS/EUvsDisinfo FIMI source register</x:v>
      </x:c>
      <x:c r="J1474" s="397" t="str">
        <x:v>https://www.eeas.europa.eu/eeas/4th-eeas-annual-report-foreign-information-manipulation-and-interference-threats_en</x:v>
      </x:c>
      <x:c r="K1474" s="20" t="str">
        <x:v>Primary source-register URL; automated screening score</x:v>
      </x:c>
      <x:c r="L1474" s="20" t="str">
        <x:v>2026-05-20</x:v>
      </x:c>
      <x:c r="M1474" s="20" t="str">
        <x:v>2026-05-20</x:v>
      </x:c>
      <x:c r="N1474" s="20" t="str">
        <x:v>GPT-5.5 Pro</x:v>
      </x:c>
      <x:c r="O1474" s="20" t="str">
        <x:v>Needs review</x:v>
      </x:c>
      <x:c r="P1474" s="20" t="str">
        <x:v>Screening score for Russia / Propaganda ecosystems in Samoa; verify with country-specific evidence before final use.</x:v>
      </x:c>
    </x:row>
    <x:row r="1475" ht="24" customHeight="1">
      <x:c r="A1475" s="20" t="str">
        <x:v>WSM|Russia|PMC presence</x:v>
      </x:c>
      <x:c r="B1475" s="20" t="str">
        <x:v>Samoa</x:v>
      </x:c>
      <x:c r="C1475" s="20" t="str">
        <x:v>WSM</x:v>
      </x:c>
      <x:c r="D1475" s="20" t="str">
        <x:v>Russia</x:v>
      </x:c>
      <x:c r="E1475" s="20" t="str">
        <x:v>Russian influence</x:v>
      </x:c>
      <x:c r="F1475" s="20" t="str">
        <x:v>PMC presence</x:v>
      </x:c>
      <x:c r="G1475" s="384" t="n">
        <x:v>0</x:v>
      </x:c>
      <x:c r="H1475" s="396" t="n">
        <x:v>1</x:v>
      </x:c>
      <x:c r="I1475" s="20" t="str">
        <x:v>Treasury and Council of the EU Wagner/PMC source register</x:v>
      </x:c>
      <x:c r="J1475" s="397" t="str">
        <x:v>https://www.consilium.europa.eu/en/press/press-releases/2023/02/25/wagner-group-council-adds-11-individuals-and-7-entities-to-eu-sanctions-lists/</x:v>
      </x:c>
      <x:c r="K1475" s="20" t="str">
        <x:v>Primary source-register URL; automated screening score</x:v>
      </x:c>
      <x:c r="L1475" s="20" t="str">
        <x:v>2026-05-20</x:v>
      </x:c>
      <x:c r="M1475" s="20" t="str">
        <x:v>2026-05-20</x:v>
      </x:c>
      <x:c r="N1475" s="20" t="str">
        <x:v>GPT-5.5 Pro</x:v>
      </x:c>
      <x:c r="O1475" s="20" t="str">
        <x:v>Needs review</x:v>
      </x:c>
      <x:c r="P1475" s="20" t="str">
        <x:v>Screening score for Russia / PMC presence in Samoa; verify with country-specific evidence before final use.</x:v>
      </x:c>
    </x:row>
    <x:row r="1476" ht="24" customHeight="1">
      <x:c r="A1476" s="20" t="str">
        <x:v>WSM|Russia|Election interference</x:v>
      </x:c>
      <x:c r="B1476" s="20" t="str">
        <x:v>Samoa</x:v>
      </x:c>
      <x:c r="C1476" s="20" t="str">
        <x:v>WSM</x:v>
      </x:c>
      <x:c r="D1476" s="20" t="str">
        <x:v>Russia</x:v>
      </x:c>
      <x:c r="E1476" s="20" t="str">
        <x:v>Russian influence</x:v>
      </x:c>
      <x:c r="F1476" s="20" t="str">
        <x:v>Election interference</x:v>
      </x:c>
      <x:c r="G1476" s="384" t="n">
        <x:v>0</x:v>
      </x:c>
      <x:c r="H1476" s="396" t="n">
        <x:v>1</x:v>
      </x:c>
      <x:c r="I1476" s="20" t="str">
        <x:v>ODNI/EEAS election-FIMI source register</x:v>
      </x:c>
      <x:c r="J1476" s="397" t="str">
        <x:v>https://www.dni.gov/files/ODNI/documents/assessments/ATA-2026-Unclassified-Report.pdf</x:v>
      </x:c>
      <x:c r="K1476" s="20" t="str">
        <x:v>Primary source-register URL; automated screening score</x:v>
      </x:c>
      <x:c r="L1476" s="20" t="str">
        <x:v>2026-05-20</x:v>
      </x:c>
      <x:c r="M1476" s="20" t="str">
        <x:v>2026-05-20</x:v>
      </x:c>
      <x:c r="N1476" s="20" t="str">
        <x:v>GPT-5.5 Pro</x:v>
      </x:c>
      <x:c r="O1476" s="20" t="str">
        <x:v>Needs review</x:v>
      </x:c>
      <x:c r="P1476" s="20" t="str">
        <x:v>Screening score for Russia / Election interference in Samoa; verify with country-specific evidence before final use.</x:v>
      </x:c>
    </x:row>
    <x:row r="1477" ht="24" customHeight="1">
      <x:c r="A1477" s="20" t="str">
        <x:v>WSM|Russia|Security contractors</x:v>
      </x:c>
      <x:c r="B1477" s="20" t="str">
        <x:v>Samoa</x:v>
      </x:c>
      <x:c r="C1477" s="20" t="str">
        <x:v>WSM</x:v>
      </x:c>
      <x:c r="D1477" s="20" t="str">
        <x:v>Russia</x:v>
      </x:c>
      <x:c r="E1477" s="20" t="str">
        <x:v>Russian influence</x:v>
      </x:c>
      <x:c r="F1477" s="20" t="str">
        <x:v>Security contractors</x:v>
      </x:c>
      <x:c r="G1477" s="384" t="n">
        <x:v>0</x:v>
      </x:c>
      <x:c r="H1477" s="396" t="n">
        <x:v>1</x:v>
      </x:c>
      <x:c r="I1477" s="20" t="str">
        <x:v>Council of the EU/Treasury Wagner-security source register</x:v>
      </x:c>
      <x:c r="J1477" s="397" t="str">
        <x:v>https://www.consilium.europa.eu/en/press/press-releases/2023/02/25/wagner-group-council-adds-11-individuals-and-7-entities-to-eu-sanctions-lists/</x:v>
      </x:c>
      <x:c r="K1477" s="20" t="str">
        <x:v>Primary source-register URL; automated screening score</x:v>
      </x:c>
      <x:c r="L1477" s="20" t="str">
        <x:v>2026-05-20</x:v>
      </x:c>
      <x:c r="M1477" s="20" t="str">
        <x:v>2026-05-20</x:v>
      </x:c>
      <x:c r="N1477" s="20" t="str">
        <x:v>GPT-5.5 Pro</x:v>
      </x:c>
      <x:c r="O1477" s="20" t="str">
        <x:v>Needs review</x:v>
      </x:c>
      <x:c r="P1477" s="20" t="str">
        <x:v>Screening score for Russia / Security contractors in Samoa; verify with country-specific evidence before final use.</x:v>
      </x:c>
    </x:row>
    <x:row r="1478" ht="24" customHeight="1">
      <x:c r="A1478" s="20" t="str">
        <x:v>WSM|China|Propaganda ecosystems</x:v>
      </x:c>
      <x:c r="B1478" s="20" t="str">
        <x:v>Samoa</x:v>
      </x:c>
      <x:c r="C1478" s="20" t="str">
        <x:v>WSM</x:v>
      </x:c>
      <x:c r="D1478" s="20" t="str">
        <x:v>China</x:v>
      </x:c>
      <x:c r="E1478" s="20" t="str">
        <x:v>Chinese influence</x:v>
      </x:c>
      <x:c r="F1478" s="20" t="str">
        <x:v>Propaganda ecosystems</x:v>
      </x:c>
      <x:c r="G1478" s="384" t="n">
        <x:v>7</x:v>
      </x:c>
      <x:c r="H1478" s="396" t="n">
        <x:v>4</x:v>
      </x:c>
      <x:c r="I1478" s="20" t="str">
        <x:v>EEAS/ODNI China FIMI source register</x:v>
      </x:c>
      <x:c r="J1478" s="397" t="str">
        <x:v>https://www.eeas.europa.eu/eeas/4th-eeas-annual-report-foreign-information-manipulation-and-interference-threats_en</x:v>
      </x:c>
      <x:c r="K1478" s="20" t="str">
        <x:v>Primary source-register URL; automated screening score</x:v>
      </x:c>
      <x:c r="L1478" s="20" t="str">
        <x:v>2026-05-20</x:v>
      </x:c>
      <x:c r="M1478" s="20" t="str">
        <x:v>2026-05-20</x:v>
      </x:c>
      <x:c r="N1478" s="20" t="str">
        <x:v>GPT-5.5 Pro</x:v>
      </x:c>
      <x:c r="O1478" s="20" t="str">
        <x:v>Needs review</x:v>
      </x:c>
      <x:c r="P1478" s="20" t="str">
        <x:v>Screening score for China / Propaganda ecosystems in Samoa; verify with country-specific evidence before final use.</x:v>
      </x:c>
    </x:row>
    <x:row r="1479" ht="24" customHeight="1">
      <x:c r="A1479" s="20" t="str">
        <x:v>WSM|China|PMC presence</x:v>
      </x:c>
      <x:c r="B1479" s="20" t="str">
        <x:v>Samoa</x:v>
      </x:c>
      <x:c r="C1479" s="20" t="str">
        <x:v>WSM</x:v>
      </x:c>
      <x:c r="D1479" s="20" t="str">
        <x:v>China</x:v>
      </x:c>
      <x:c r="E1479" s="20" t="str">
        <x:v>Chinese influence</x:v>
      </x:c>
      <x:c r="F1479" s="20" t="str">
        <x:v>PMC presence</x:v>
      </x:c>
      <x:c r="G1479" s="384" t="n">
        <x:v>1</x:v>
      </x:c>
      <x:c r="H1479" s="396" t="n">
        <x:v>2</x:v>
      </x:c>
      <x:c r="I1479" s="20" t="str">
        <x:v>MERICS/Carnegie Chinese overseas PSC source register</x:v>
      </x:c>
      <x:c r="J1479" s="397" t="str">
        <x:v>https://merics.org/en/report/guardians-belt-and-road</x:v>
      </x:c>
      <x:c r="K1479" s="20" t="str">
        <x:v>Primary source-register URL; automated screening score</x:v>
      </x:c>
      <x:c r="L1479" s="20" t="str">
        <x:v>2026-05-20</x:v>
      </x:c>
      <x:c r="M1479" s="20" t="str">
        <x:v>2026-05-20</x:v>
      </x:c>
      <x:c r="N1479" s="20" t="str">
        <x:v>GPT-5.5 Pro</x:v>
      </x:c>
      <x:c r="O1479" s="20" t="str">
        <x:v>Needs review</x:v>
      </x:c>
      <x:c r="P1479" s="20" t="str">
        <x:v>Screening score for China / PMC presence in Samoa; verify with country-specific evidence before final use.</x:v>
      </x:c>
    </x:row>
    <x:row r="1480" ht="24" customHeight="1">
      <x:c r="A1480" s="20" t="str">
        <x:v>WSM|China|Election interference</x:v>
      </x:c>
      <x:c r="B1480" s="20" t="str">
        <x:v>Samoa</x:v>
      </x:c>
      <x:c r="C1480" s="20" t="str">
        <x:v>WSM</x:v>
      </x:c>
      <x:c r="D1480" s="20" t="str">
        <x:v>China</x:v>
      </x:c>
      <x:c r="E1480" s="20" t="str">
        <x:v>Chinese influence</x:v>
      </x:c>
      <x:c r="F1480" s="20" t="str">
        <x:v>Election interference</x:v>
      </x:c>
      <x:c r="G1480" s="384" t="n">
        <x:v>3</x:v>
      </x:c>
      <x:c r="H1480" s="396" t="n">
        <x:v>3</x:v>
      </x:c>
      <x:c r="I1480" s="20" t="str">
        <x:v>EEAS/ODNI China election-FIMI source register</x:v>
      </x:c>
      <x:c r="J1480" s="397" t="str">
        <x:v>https://www.eeas.europa.eu/eeas/4th-eeas-annual-report-foreign-information-manipulation-and-interference-threats_en</x:v>
      </x:c>
      <x:c r="K1480" s="20" t="str">
        <x:v>Primary source-register URL; automated screening score</x:v>
      </x:c>
      <x:c r="L1480" s="20" t="str">
        <x:v>2026-05-20</x:v>
      </x:c>
      <x:c r="M1480" s="20" t="str">
        <x:v>2026-05-20</x:v>
      </x:c>
      <x:c r="N1480" s="20" t="str">
        <x:v>GPT-5.5 Pro</x:v>
      </x:c>
      <x:c r="O1480" s="20" t="str">
        <x:v>Needs review</x:v>
      </x:c>
      <x:c r="P1480" s="20" t="str">
        <x:v>Screening score for China / Election interference in Samoa; verify with country-specific evidence before final use.</x:v>
      </x:c>
    </x:row>
    <x:row r="1481" ht="24" customHeight="1">
      <x:c r="A1481" s="20" t="str">
        <x:v>WSM|China|Security contractors</x:v>
      </x:c>
      <x:c r="B1481" s="20" t="str">
        <x:v>Samoa</x:v>
      </x:c>
      <x:c r="C1481" s="20" t="str">
        <x:v>WSM</x:v>
      </x:c>
      <x:c r="D1481" s="20" t="str">
        <x:v>China</x:v>
      </x:c>
      <x:c r="E1481" s="20" t="str">
        <x:v>Chinese influence</x:v>
      </x:c>
      <x:c r="F1481" s="20" t="str">
        <x:v>Security contractors</x:v>
      </x:c>
      <x:c r="G1481" s="384" t="n">
        <x:v>2</x:v>
      </x:c>
      <x:c r="H1481" s="396" t="n">
        <x:v>2</x:v>
      </x:c>
      <x:c r="I1481" s="20" t="str">
        <x:v>MERICS/Carnegie Chinese security contractor source register</x:v>
      </x:c>
      <x:c r="J1481" s="397" t="str">
        <x:v>https://merics.org/en/report/guardians-belt-and-road</x:v>
      </x:c>
      <x:c r="K1481" s="20" t="str">
        <x:v>Primary source-register URL; automated screening score</x:v>
      </x:c>
      <x:c r="L1481" s="20" t="str">
        <x:v>2026-05-20</x:v>
      </x:c>
      <x:c r="M1481" s="20" t="str">
        <x:v>2026-05-20</x:v>
      </x:c>
      <x:c r="N1481" s="20" t="str">
        <x:v>GPT-5.5 Pro</x:v>
      </x:c>
      <x:c r="O1481" s="20" t="str">
        <x:v>Needs review</x:v>
      </x:c>
      <x:c r="P1481" s="20" t="str">
        <x:v>Screening score for China / Security contractors in Samoa; verify with country-specific evidence before final use.</x:v>
      </x:c>
    </x:row>
    <x:row r="1482" ht="24" customHeight="1">
      <x:c r="A1482" s="20" t="str">
        <x:v>WSM|United States|Propaganda ecosystems</x:v>
      </x:c>
      <x:c r="B1482" s="20" t="str">
        <x:v>Samoa</x:v>
      </x:c>
      <x:c r="C1482" s="20" t="str">
        <x:v>WSM</x:v>
      </x:c>
      <x:c r="D1482" s="20" t="str">
        <x:v>United States</x:v>
      </x:c>
      <x:c r="E1482" s="20" t="str">
        <x:v>American influence</x:v>
      </x:c>
      <x:c r="F1482" s="20" t="str">
        <x:v>Propaganda ecosystems</x:v>
      </x:c>
      <x:c r="G1482" s="384" t="n">
        <x:v>3</x:v>
      </x:c>
      <x:c r="H1482" s="396" t="n">
        <x:v>3</x:v>
      </x:c>
      <x:c r="I1482" s="20" t="str">
        <x:v>USAGM public media source register</x:v>
      </x:c>
      <x:c r="J1482" s="397" t="str">
        <x:v>https://www.usagm.gov/our-work/strategy-and-results/strategic-priorities/research-reports/</x:v>
      </x:c>
      <x:c r="K1482" s="20" t="str">
        <x:v>Primary source-register URL; automated screening score</x:v>
      </x:c>
      <x:c r="L1482" s="20" t="str">
        <x:v>2026-05-20</x:v>
      </x:c>
      <x:c r="M1482" s="20" t="str">
        <x:v>2026-05-20</x:v>
      </x:c>
      <x:c r="N1482" s="20" t="str">
        <x:v>GPT-5.5 Pro</x:v>
      </x:c>
      <x:c r="O1482" s="20" t="str">
        <x:v>Needs review</x:v>
      </x:c>
      <x:c r="P1482" s="20" t="str">
        <x:v>Screening score for United States / Propaganda ecosystems in Samoa; verify with country-specific evidence before final use.</x:v>
      </x:c>
    </x:row>
    <x:row r="1483" ht="24" customHeight="1">
      <x:c r="A1483" s="20" t="str">
        <x:v>WSM|United States|PMC presence</x:v>
      </x:c>
      <x:c r="B1483" s="20" t="str">
        <x:v>Samoa</x:v>
      </x:c>
      <x:c r="C1483" s="20" t="str">
        <x:v>WSM</x:v>
      </x:c>
      <x:c r="D1483" s="20" t="str">
        <x:v>United States</x:v>
      </x:c>
      <x:c r="E1483" s="20" t="str">
        <x:v>American influence</x:v>
      </x:c>
      <x:c r="F1483" s="20" t="str">
        <x:v>PMC presence</x:v>
      </x:c>
      <x:c r="G1483" s="384" t="n">
        <x:v>1</x:v>
      </x:c>
      <x:c r="H1483" s="396" t="n">
        <x:v>2</x:v>
      </x:c>
      <x:c r="I1483" s="20" t="str">
        <x:v>SAM/Greenbook U.S. security assistance contractor source register</x:v>
      </x:c>
      <x:c r="J1483" s="397" t="str">
        <x:v>https://internationalpolicy.org/programs/sam/</x:v>
      </x:c>
      <x:c r="K1483" s="20" t="str">
        <x:v>Primary source-register URL; automated screening score</x:v>
      </x:c>
      <x:c r="L1483" s="20" t="str">
        <x:v>2026-05-20</x:v>
      </x:c>
      <x:c r="M1483" s="20" t="str">
        <x:v>2026-05-20</x:v>
      </x:c>
      <x:c r="N1483" s="20" t="str">
        <x:v>GPT-5.5 Pro</x:v>
      </x:c>
      <x:c r="O1483" s="20" t="str">
        <x:v>Needs review</x:v>
      </x:c>
      <x:c r="P1483" s="20" t="str">
        <x:v>Screening score for United States / PMC presence in Samoa; verify with country-specific evidence before final use.</x:v>
      </x:c>
    </x:row>
    <x:row r="1484" ht="24" customHeight="1">
      <x:c r="A1484" s="20" t="str">
        <x:v>WSM|United States|Election interference</x:v>
      </x:c>
      <x:c r="B1484" s="20" t="str">
        <x:v>Samoa</x:v>
      </x:c>
      <x:c r="C1484" s="20" t="str">
        <x:v>WSM</x:v>
      </x:c>
      <x:c r="D1484" s="20" t="str">
        <x:v>United States</x:v>
      </x:c>
      <x:c r="E1484" s="20" t="str">
        <x:v>American influence</x:v>
      </x:c>
      <x:c r="F1484" s="20" t="str">
        <x:v>Election interference</x:v>
      </x:c>
      <x:c r="G1484" s="384" t="n">
        <x:v>1</x:v>
      </x:c>
      <x:c r="H1484" s="396" t="n">
        <x:v>2</x:v>
      </x:c>
      <x:c r="I1484" s="20" t="str">
        <x:v>NED/Greenbook democracy assistance source register</x:v>
      </x:c>
      <x:c r="J1484" s="397" t="str">
        <x:v>https://www.ned.org/ned-grantmaking/</x:v>
      </x:c>
      <x:c r="K1484" s="20" t="str">
        <x:v>Primary source-register URL; automated screening score</x:v>
      </x:c>
      <x:c r="L1484" s="20" t="str">
        <x:v>2026-05-20</x:v>
      </x:c>
      <x:c r="M1484" s="20" t="str">
        <x:v>2026-05-20</x:v>
      </x:c>
      <x:c r="N1484" s="20" t="str">
        <x:v>GPT-5.5 Pro</x:v>
      </x:c>
      <x:c r="O1484" s="20" t="str">
        <x:v>Needs review</x:v>
      </x:c>
      <x:c r="P1484" s="20" t="str">
        <x:v>Screening score for United States / Election interference in Samoa; verify with country-specific evidence before final use.</x:v>
      </x:c>
    </x:row>
    <x:row r="1485" ht="24" customHeight="1">
      <x:c r="A1485" s="20" t="str">
        <x:v>WSM|United States|Security contractors</x:v>
      </x:c>
      <x:c r="B1485" s="20" t="str">
        <x:v>Samoa</x:v>
      </x:c>
      <x:c r="C1485" s="20" t="str">
        <x:v>WSM</x:v>
      </x:c>
      <x:c r="D1485" s="20" t="str">
        <x:v>United States</x:v>
      </x:c>
      <x:c r="E1485" s="20" t="str">
        <x:v>American influence</x:v>
      </x:c>
      <x:c r="F1485" s="20" t="str">
        <x:v>Security contractors</x:v>
      </x:c>
      <x:c r="G1485" s="384" t="n">
        <x:v>2</x:v>
      </x:c>
      <x:c r="H1485" s="396" t="n">
        <x:v>2</x:v>
      </x:c>
      <x:c r="I1485" s="20" t="str">
        <x:v>SAM/Greenbook U.S. security contractor source register</x:v>
      </x:c>
      <x:c r="J1485" s="397" t="str">
        <x:v>https://internationalpolicy.org/programs/sam/</x:v>
      </x:c>
      <x:c r="K1485" s="20" t="str">
        <x:v>Primary source-register URL; automated screening score</x:v>
      </x:c>
      <x:c r="L1485" s="20" t="str">
        <x:v>2026-05-20</x:v>
      </x:c>
      <x:c r="M1485" s="20" t="str">
        <x:v>2026-05-20</x:v>
      </x:c>
      <x:c r="N1485" s="20" t="str">
        <x:v>GPT-5.5 Pro</x:v>
      </x:c>
      <x:c r="O1485" s="20" t="str">
        <x:v>Needs review</x:v>
      </x:c>
      <x:c r="P1485" s="20" t="str">
        <x:v>Screening score for United States / Security contractors in Samoa; verify with country-specific evidence before final use.</x:v>
      </x:c>
    </x:row>
    <x:row r="1486" ht="24" customHeight="1">
      <x:c r="A1486" s="20" t="str">
        <x:v>WSM|European Union|Propaganda ecosystems</x:v>
      </x:c>
      <x:c r="B1486" s="20" t="str">
        <x:v>Samoa</x:v>
      </x:c>
      <x:c r="C1486" s="20" t="str">
        <x:v>WSM</x:v>
      </x:c>
      <x:c r="D1486" s="20" t="str">
        <x:v>European Union</x:v>
      </x:c>
      <x:c r="E1486" s="20" t="str">
        <x:v>EU influence</x:v>
      </x:c>
      <x:c r="F1486" s="20" t="str">
        <x:v>Propaganda ecosystems</x:v>
      </x:c>
      <x:c r="G1486" s="384" t="n">
        <x:v>2</x:v>
      </x:c>
      <x:c r="H1486" s="396" t="n">
        <x:v>2</x:v>
      </x:c>
      <x:c r="I1486" s="20" t="str">
        <x:v>EEAS public diplomacy source register</x:v>
      </x:c>
      <x:c r="J1486" s="397" t="str">
        <x:v>https://www.eeas.europa.eu/eeas/public-diplomacy_en</x:v>
      </x:c>
      <x:c r="K1486" s="20" t="str">
        <x:v>Primary source-register URL; automated screening score</x:v>
      </x:c>
      <x:c r="L1486" s="20" t="str">
        <x:v>2026-05-20</x:v>
      </x:c>
      <x:c r="M1486" s="20" t="str">
        <x:v>2026-05-20</x:v>
      </x:c>
      <x:c r="N1486" s="20" t="str">
        <x:v>GPT-5.5 Pro</x:v>
      </x:c>
      <x:c r="O1486" s="20" t="str">
        <x:v>Needs review</x:v>
      </x:c>
      <x:c r="P1486" s="20" t="str">
        <x:v>Screening score for European Union / Propaganda ecosystems in Samoa; verify with country-specific evidence before final use.</x:v>
      </x:c>
    </x:row>
    <x:row r="1487" ht="24" customHeight="1">
      <x:c r="A1487" s="20" t="str">
        <x:v>WSM|European Union|PMC presence</x:v>
      </x:c>
      <x:c r="B1487" s="20" t="str">
        <x:v>Samoa</x:v>
      </x:c>
      <x:c r="C1487" s="20" t="str">
        <x:v>WSM</x:v>
      </x:c>
      <x:c r="D1487" s="20" t="str">
        <x:v>European Union</x:v>
      </x:c>
      <x:c r="E1487" s="20" t="str">
        <x:v>EU influence</x:v>
      </x:c>
      <x:c r="F1487" s="20" t="str">
        <x:v>PMC presence</x:v>
      </x:c>
      <x:c r="G1487" s="384" t="n">
        <x:v>0</x:v>
      </x:c>
      <x:c r="H1487" s="396" t="n">
        <x:v>1</x:v>
      </x:c>
      <x:c r="I1487" s="20" t="str">
        <x:v>EEAS CSDP missions source register</x:v>
      </x:c>
      <x:c r="J1487" s="397" t="str">
        <x:v>https://www.eeas.europa.eu/eeas/missions-and-operations_en</x:v>
      </x:c>
      <x:c r="K1487" s="20" t="str">
        <x:v>Primary source-register URL; automated screening score</x:v>
      </x:c>
      <x:c r="L1487" s="20" t="str">
        <x:v>2026-05-20</x:v>
      </x:c>
      <x:c r="M1487" s="20" t="str">
        <x:v>2026-05-20</x:v>
      </x:c>
      <x:c r="N1487" s="20" t="str">
        <x:v>GPT-5.5 Pro</x:v>
      </x:c>
      <x:c r="O1487" s="20" t="str">
        <x:v>Needs review</x:v>
      </x:c>
      <x:c r="P1487" s="20" t="str">
        <x:v>Screening score for European Union / PMC presence in Samoa; verify with country-specific evidence before final use.</x:v>
      </x:c>
    </x:row>
    <x:row r="1488" ht="24" customHeight="1">
      <x:c r="A1488" s="20" t="str">
        <x:v>WSM|European Union|Election interference</x:v>
      </x:c>
      <x:c r="B1488" s="20" t="str">
        <x:v>Samoa</x:v>
      </x:c>
      <x:c r="C1488" s="20" t="str">
        <x:v>WSM</x:v>
      </x:c>
      <x:c r="D1488" s="20" t="str">
        <x:v>European Union</x:v>
      </x:c>
      <x:c r="E1488" s="20" t="str">
        <x:v>EU influence</x:v>
      </x:c>
      <x:c r="F1488" s="20" t="str">
        <x:v>Election interference</x:v>
      </x:c>
      <x:c r="G1488" s="384" t="n">
        <x:v>1</x:v>
      </x:c>
      <x:c r="H1488" s="396" t="n">
        <x:v>2</x:v>
      </x:c>
      <x:c r="I1488" s="20" t="str">
        <x:v>EEAS EU election observation source register</x:v>
      </x:c>
      <x:c r="J1488" s="397" t="str">
        <x:v>https://www.eeas.europa.eu/eeas/eu-election-observation-missions-1_en?page_lang=en</x:v>
      </x:c>
      <x:c r="K1488" s="20" t="str">
        <x:v>Primary source-register URL; automated screening score</x:v>
      </x:c>
      <x:c r="L1488" s="20" t="str">
        <x:v>2026-05-20</x:v>
      </x:c>
      <x:c r="M1488" s="20" t="str">
        <x:v>2026-05-20</x:v>
      </x:c>
      <x:c r="N1488" s="20" t="str">
        <x:v>GPT-5.5 Pro</x:v>
      </x:c>
      <x:c r="O1488" s="20" t="str">
        <x:v>Needs review</x:v>
      </x:c>
      <x:c r="P1488" s="20" t="str">
        <x:v>Screening score for European Union / Election interference in Samoa; verify with country-specific evidence before final use.</x:v>
      </x:c>
    </x:row>
    <x:row r="1489" ht="24" customHeight="1">
      <x:c r="A1489" s="20" t="str">
        <x:v>WSM|European Union|Security contractors</x:v>
      </x:c>
      <x:c r="B1489" s="20" t="str">
        <x:v>Samoa</x:v>
      </x:c>
      <x:c r="C1489" s="20" t="str">
        <x:v>WSM</x:v>
      </x:c>
      <x:c r="D1489" s="20" t="str">
        <x:v>European Union</x:v>
      </x:c>
      <x:c r="E1489" s="20" t="str">
        <x:v>EU influence</x:v>
      </x:c>
      <x:c r="F1489" s="20" t="str">
        <x:v>Security contractors</x:v>
      </x:c>
      <x:c r="G1489" s="384" t="n">
        <x:v>1</x:v>
      </x:c>
      <x:c r="H1489" s="396" t="n">
        <x:v>2</x:v>
      </x:c>
      <x:c r="I1489" s="20" t="str">
        <x:v>EEAS CSDP / Global Gateway security source register</x:v>
      </x:c>
      <x:c r="J1489" s="397" t="str">
        <x:v>https://www.eeas.europa.eu/eeas/missions-and-operations_en</x:v>
      </x:c>
      <x:c r="K1489" s="20" t="str">
        <x:v>Primary source-register URL; automated screening score</x:v>
      </x:c>
      <x:c r="L1489" s="20" t="str">
        <x:v>2026-05-20</x:v>
      </x:c>
      <x:c r="M1489" s="20" t="str">
        <x:v>2026-05-20</x:v>
      </x:c>
      <x:c r="N1489" s="20" t="str">
        <x:v>GPT-5.5 Pro</x:v>
      </x:c>
      <x:c r="O1489" s="20" t="str">
        <x:v>Needs review</x:v>
      </x:c>
      <x:c r="P1489" s="20" t="str">
        <x:v>Screening score for European Union / Security contractors in Samoa; verify with country-specific evidence before final use.</x:v>
      </x:c>
    </x:row>
    <x:row r="1490" ht="24" customHeight="1">
      <x:c r="A1490" s="20" t="str">
        <x:v>SAU|Russia|Propaganda ecosystems</x:v>
      </x:c>
      <x:c r="B1490" s="20" t="str">
        <x:v>Saudi Arabia</x:v>
      </x:c>
      <x:c r="C1490" s="20" t="str">
        <x:v>SAU</x:v>
      </x:c>
      <x:c r="D1490" s="20" t="str">
        <x:v>Russia</x:v>
      </x:c>
      <x:c r="E1490" s="20" t="str">
        <x:v>Russian influence</x:v>
      </x:c>
      <x:c r="F1490" s="20" t="str">
        <x:v>Propaganda ecosystems</x:v>
      </x:c>
      <x:c r="G1490" s="384" t="n">
        <x:v>2</x:v>
      </x:c>
      <x:c r="H1490" s="396" t="n">
        <x:v>2</x:v>
      </x:c>
      <x:c r="I1490" s="20" t="str">
        <x:v>EEAS/EUvsDisinfo FIMI source register</x:v>
      </x:c>
      <x:c r="J1490" s="397" t="str">
        <x:v>https://www.eeas.europa.eu/eeas/4th-eeas-annual-report-foreign-information-manipulation-and-interference-threats_en</x:v>
      </x:c>
      <x:c r="K1490" s="20" t="str">
        <x:v>Primary source-register URL; automated screening score</x:v>
      </x:c>
      <x:c r="L1490" s="20" t="str">
        <x:v>2026-05-20</x:v>
      </x:c>
      <x:c r="M1490" s="20" t="str">
        <x:v>2026-05-20</x:v>
      </x:c>
      <x:c r="N1490" s="20" t="str">
        <x:v>GPT-5.5 Pro</x:v>
      </x:c>
      <x:c r="O1490" s="20" t="str">
        <x:v>Needs review</x:v>
      </x:c>
      <x:c r="P1490" s="20" t="str">
        <x:v>Screening score for Russia / Propaganda ecosystems in Saudi Arabia; verify with country-specific evidence before final use.</x:v>
      </x:c>
    </x:row>
    <x:row r="1491" ht="24" customHeight="1">
      <x:c r="A1491" s="20" t="str">
        <x:v>SAU|Russia|PMC presence</x:v>
      </x:c>
      <x:c r="B1491" s="20" t="str">
        <x:v>Saudi Arabia</x:v>
      </x:c>
      <x:c r="C1491" s="20" t="str">
        <x:v>SAU</x:v>
      </x:c>
      <x:c r="D1491" s="20" t="str">
        <x:v>Russia</x:v>
      </x:c>
      <x:c r="E1491" s="20" t="str">
        <x:v>Russian influence</x:v>
      </x:c>
      <x:c r="F1491" s="20" t="str">
        <x:v>PMC presence</x:v>
      </x:c>
      <x:c r="G1491" s="384" t="n">
        <x:v>0</x:v>
      </x:c>
      <x:c r="H1491" s="396" t="n">
        <x:v>1</x:v>
      </x:c>
      <x:c r="I1491" s="20" t="str">
        <x:v>Treasury and Council of the EU Wagner/PMC source register</x:v>
      </x:c>
      <x:c r="J1491" s="397" t="str">
        <x:v>https://www.consilium.europa.eu/en/press/press-releases/2023/02/25/wagner-group-council-adds-11-individuals-and-7-entities-to-eu-sanctions-lists/</x:v>
      </x:c>
      <x:c r="K1491" s="20" t="str">
        <x:v>Primary source-register URL; automated screening score</x:v>
      </x:c>
      <x:c r="L1491" s="20" t="str">
        <x:v>2026-05-20</x:v>
      </x:c>
      <x:c r="M1491" s="20" t="str">
        <x:v>2026-05-20</x:v>
      </x:c>
      <x:c r="N1491" s="20" t="str">
        <x:v>GPT-5.5 Pro</x:v>
      </x:c>
      <x:c r="O1491" s="20" t="str">
        <x:v>Needs review</x:v>
      </x:c>
      <x:c r="P1491" s="20" t="str">
        <x:v>Screening score for Russia / PMC presence in Saudi Arabia; verify with country-specific evidence before final use.</x:v>
      </x:c>
    </x:row>
    <x:row r="1492" ht="24" customHeight="1">
      <x:c r="A1492" s="20" t="str">
        <x:v>SAU|Russia|Election interference</x:v>
      </x:c>
      <x:c r="B1492" s="20" t="str">
        <x:v>Saudi Arabia</x:v>
      </x:c>
      <x:c r="C1492" s="20" t="str">
        <x:v>SAU</x:v>
      </x:c>
      <x:c r="D1492" s="20" t="str">
        <x:v>Russia</x:v>
      </x:c>
      <x:c r="E1492" s="20" t="str">
        <x:v>Russian influence</x:v>
      </x:c>
      <x:c r="F1492" s="20" t="str">
        <x:v>Election interference</x:v>
      </x:c>
      <x:c r="G1492" s="384" t="n">
        <x:v>0</x:v>
      </x:c>
      <x:c r="H1492" s="396" t="n">
        <x:v>1</x:v>
      </x:c>
      <x:c r="I1492" s="20" t="str">
        <x:v>ODNI/EEAS election-FIMI source register</x:v>
      </x:c>
      <x:c r="J1492" s="397" t="str">
        <x:v>https://www.dni.gov/files/ODNI/documents/assessments/ATA-2026-Unclassified-Report.pdf</x:v>
      </x:c>
      <x:c r="K1492" s="20" t="str">
        <x:v>Primary source-register URL; automated screening score</x:v>
      </x:c>
      <x:c r="L1492" s="20" t="str">
        <x:v>2026-05-20</x:v>
      </x:c>
      <x:c r="M1492" s="20" t="str">
        <x:v>2026-05-20</x:v>
      </x:c>
      <x:c r="N1492" s="20" t="str">
        <x:v>GPT-5.5 Pro</x:v>
      </x:c>
      <x:c r="O1492" s="20" t="str">
        <x:v>Needs review</x:v>
      </x:c>
      <x:c r="P1492" s="20" t="str">
        <x:v>Screening score for Russia / Election interference in Saudi Arabia; verify with country-specific evidence before final use.</x:v>
      </x:c>
    </x:row>
    <x:row r="1493" ht="24" customHeight="1">
      <x:c r="A1493" s="20" t="str">
        <x:v>SAU|Russia|Security contractors</x:v>
      </x:c>
      <x:c r="B1493" s="20" t="str">
        <x:v>Saudi Arabia</x:v>
      </x:c>
      <x:c r="C1493" s="20" t="str">
        <x:v>SAU</x:v>
      </x:c>
      <x:c r="D1493" s="20" t="str">
        <x:v>Russia</x:v>
      </x:c>
      <x:c r="E1493" s="20" t="str">
        <x:v>Russian influence</x:v>
      </x:c>
      <x:c r="F1493" s="20" t="str">
        <x:v>Security contractors</x:v>
      </x:c>
      <x:c r="G1493" s="384" t="n">
        <x:v>0</x:v>
      </x:c>
      <x:c r="H1493" s="396" t="n">
        <x:v>1</x:v>
      </x:c>
      <x:c r="I1493" s="20" t="str">
        <x:v>Council of the EU/Treasury Wagner-security source register</x:v>
      </x:c>
      <x:c r="J1493" s="397" t="str">
        <x:v>https://www.consilium.europa.eu/en/press/press-releases/2023/02/25/wagner-group-council-adds-11-individuals-and-7-entities-to-eu-sanctions-lists/</x:v>
      </x:c>
      <x:c r="K1493" s="20" t="str">
        <x:v>Primary source-register URL; automated screening score</x:v>
      </x:c>
      <x:c r="L1493" s="20" t="str">
        <x:v>2026-05-20</x:v>
      </x:c>
      <x:c r="M1493" s="20" t="str">
        <x:v>2026-05-20</x:v>
      </x:c>
      <x:c r="N1493" s="20" t="str">
        <x:v>GPT-5.5 Pro</x:v>
      </x:c>
      <x:c r="O1493" s="20" t="str">
        <x:v>Needs review</x:v>
      </x:c>
      <x:c r="P1493" s="20" t="str">
        <x:v>Screening score for Russia / Security contractors in Saudi Arabia; verify with country-specific evidence before final use.</x:v>
      </x:c>
    </x:row>
    <x:row r="1494" ht="24" customHeight="1">
      <x:c r="A1494" s="20" t="str">
        <x:v>SAU|China|Propaganda ecosystems</x:v>
      </x:c>
      <x:c r="B1494" s="20" t="str">
        <x:v>Saudi Arabia</x:v>
      </x:c>
      <x:c r="C1494" s="20" t="str">
        <x:v>SAU</x:v>
      </x:c>
      <x:c r="D1494" s="20" t="str">
        <x:v>China</x:v>
      </x:c>
      <x:c r="E1494" s="20" t="str">
        <x:v>Chinese influence</x:v>
      </x:c>
      <x:c r="F1494" s="20" t="str">
        <x:v>Propaganda ecosystems</x:v>
      </x:c>
      <x:c r="G1494" s="384" t="n">
        <x:v>3</x:v>
      </x:c>
      <x:c r="H1494" s="396" t="n">
        <x:v>3</x:v>
      </x:c>
      <x:c r="I1494" s="20" t="str">
        <x:v>EEAS/ODNI China FIMI source register</x:v>
      </x:c>
      <x:c r="J1494" s="397" t="str">
        <x:v>https://www.eeas.europa.eu/eeas/4th-eeas-annual-report-foreign-information-manipulation-and-interference-threats_en</x:v>
      </x:c>
      <x:c r="K1494" s="20" t="str">
        <x:v>Primary source-register URL; automated screening score</x:v>
      </x:c>
      <x:c r="L1494" s="20" t="str">
        <x:v>2026-05-20</x:v>
      </x:c>
      <x:c r="M1494" s="20" t="str">
        <x:v>2026-05-20</x:v>
      </x:c>
      <x:c r="N1494" s="20" t="str">
        <x:v>GPT-5.5 Pro</x:v>
      </x:c>
      <x:c r="O1494" s="20" t="str">
        <x:v>Needs review</x:v>
      </x:c>
      <x:c r="P1494" s="20" t="str">
        <x:v>Screening score for China / Propaganda ecosystems in Saudi Arabia; verify with country-specific evidence before final use.</x:v>
      </x:c>
    </x:row>
    <x:row r="1495" ht="24" customHeight="1">
      <x:c r="A1495" s="20" t="str">
        <x:v>SAU|China|PMC presence</x:v>
      </x:c>
      <x:c r="B1495" s="20" t="str">
        <x:v>Saudi Arabia</x:v>
      </x:c>
      <x:c r="C1495" s="20" t="str">
        <x:v>SAU</x:v>
      </x:c>
      <x:c r="D1495" s="20" t="str">
        <x:v>China</x:v>
      </x:c>
      <x:c r="E1495" s="20" t="str">
        <x:v>Chinese influence</x:v>
      </x:c>
      <x:c r="F1495" s="20" t="str">
        <x:v>PMC presence</x:v>
      </x:c>
      <x:c r="G1495" s="384" t="n">
        <x:v>0</x:v>
      </x:c>
      <x:c r="H1495" s="396" t="n">
        <x:v>1</x:v>
      </x:c>
      <x:c r="I1495" s="20" t="str">
        <x:v>MERICS/Carnegie Chinese overseas PSC source register</x:v>
      </x:c>
      <x:c r="J1495" s="397" t="str">
        <x:v>https://merics.org/en/report/guardians-belt-and-road</x:v>
      </x:c>
      <x:c r="K1495" s="20" t="str">
        <x:v>Primary source-register URL; automated screening score</x:v>
      </x:c>
      <x:c r="L1495" s="20" t="str">
        <x:v>2026-05-20</x:v>
      </x:c>
      <x:c r="M1495" s="20" t="str">
        <x:v>2026-05-20</x:v>
      </x:c>
      <x:c r="N1495" s="20" t="str">
        <x:v>GPT-5.5 Pro</x:v>
      </x:c>
      <x:c r="O1495" s="20" t="str">
        <x:v>Needs review</x:v>
      </x:c>
      <x:c r="P1495" s="20" t="str">
        <x:v>Screening score for China / PMC presence in Saudi Arabia; verify with country-specific evidence before final use.</x:v>
      </x:c>
    </x:row>
    <x:row r="1496" ht="24" customHeight="1">
      <x:c r="A1496" s="20" t="str">
        <x:v>SAU|China|Election interference</x:v>
      </x:c>
      <x:c r="B1496" s="20" t="str">
        <x:v>Saudi Arabia</x:v>
      </x:c>
      <x:c r="C1496" s="20" t="str">
        <x:v>SAU</x:v>
      </x:c>
      <x:c r="D1496" s="20" t="str">
        <x:v>China</x:v>
      </x:c>
      <x:c r="E1496" s="20" t="str">
        <x:v>Chinese influence</x:v>
      </x:c>
      <x:c r="F1496" s="20" t="str">
        <x:v>Election interference</x:v>
      </x:c>
      <x:c r="G1496" s="384" t="n">
        <x:v>1</x:v>
      </x:c>
      <x:c r="H1496" s="396" t="n">
        <x:v>2</x:v>
      </x:c>
      <x:c r="I1496" s="20" t="str">
        <x:v>EEAS/ODNI China election-FIMI source register</x:v>
      </x:c>
      <x:c r="J1496" s="397" t="str">
        <x:v>https://www.eeas.europa.eu/eeas/4th-eeas-annual-report-foreign-information-manipulation-and-interference-threats_en</x:v>
      </x:c>
      <x:c r="K1496" s="20" t="str">
        <x:v>Primary source-register URL; automated screening score</x:v>
      </x:c>
      <x:c r="L1496" s="20" t="str">
        <x:v>2026-05-20</x:v>
      </x:c>
      <x:c r="M1496" s="20" t="str">
        <x:v>2026-05-20</x:v>
      </x:c>
      <x:c r="N1496" s="20" t="str">
        <x:v>GPT-5.5 Pro</x:v>
      </x:c>
      <x:c r="O1496" s="20" t="str">
        <x:v>Needs review</x:v>
      </x:c>
      <x:c r="P1496" s="20" t="str">
        <x:v>Screening score for China / Election interference in Saudi Arabia; verify with country-specific evidence before final use.</x:v>
      </x:c>
    </x:row>
    <x:row r="1497" ht="24" customHeight="1">
      <x:c r="A1497" s="20" t="str">
        <x:v>SAU|China|Security contractors</x:v>
      </x:c>
      <x:c r="B1497" s="20" t="str">
        <x:v>Saudi Arabia</x:v>
      </x:c>
      <x:c r="C1497" s="20" t="str">
        <x:v>SAU</x:v>
      </x:c>
      <x:c r="D1497" s="20" t="str">
        <x:v>China</x:v>
      </x:c>
      <x:c r="E1497" s="20" t="str">
        <x:v>Chinese influence</x:v>
      </x:c>
      <x:c r="F1497" s="20" t="str">
        <x:v>Security contractors</x:v>
      </x:c>
      <x:c r="G1497" s="384" t="n">
        <x:v>1</x:v>
      </x:c>
      <x:c r="H1497" s="396" t="n">
        <x:v>2</x:v>
      </x:c>
      <x:c r="I1497" s="20" t="str">
        <x:v>MERICS/Carnegie Chinese security contractor source register</x:v>
      </x:c>
      <x:c r="J1497" s="397" t="str">
        <x:v>https://merics.org/en/report/guardians-belt-and-road</x:v>
      </x:c>
      <x:c r="K1497" s="20" t="str">
        <x:v>Primary source-register URL; automated screening score</x:v>
      </x:c>
      <x:c r="L1497" s="20" t="str">
        <x:v>2026-05-20</x:v>
      </x:c>
      <x:c r="M1497" s="20" t="str">
        <x:v>2026-05-20</x:v>
      </x:c>
      <x:c r="N1497" s="20" t="str">
        <x:v>GPT-5.5 Pro</x:v>
      </x:c>
      <x:c r="O1497" s="20" t="str">
        <x:v>Needs review</x:v>
      </x:c>
      <x:c r="P1497" s="20" t="str">
        <x:v>Screening score for China / Security contractors in Saudi Arabia; verify with country-specific evidence before final use.</x:v>
      </x:c>
    </x:row>
    <x:row r="1498" ht="24" customHeight="1">
      <x:c r="A1498" s="20" t="str">
        <x:v>SAU|United States|Propaganda ecosystems</x:v>
      </x:c>
      <x:c r="B1498" s="20" t="str">
        <x:v>Saudi Arabia</x:v>
      </x:c>
      <x:c r="C1498" s="20" t="str">
        <x:v>SAU</x:v>
      </x:c>
      <x:c r="D1498" s="20" t="str">
        <x:v>United States</x:v>
      </x:c>
      <x:c r="E1498" s="20" t="str">
        <x:v>American influence</x:v>
      </x:c>
      <x:c r="F1498" s="20" t="str">
        <x:v>Propaganda ecosystems</x:v>
      </x:c>
      <x:c r="G1498" s="384" t="n">
        <x:v>5</x:v>
      </x:c>
      <x:c r="H1498" s="396" t="n">
        <x:v>3</x:v>
      </x:c>
      <x:c r="I1498" s="20" t="str">
        <x:v>USAGM public media source register</x:v>
      </x:c>
      <x:c r="J1498" s="397" t="str">
        <x:v>https://www.usagm.gov/our-work/strategy-and-results/strategic-priorities/research-reports/</x:v>
      </x:c>
      <x:c r="K1498" s="20" t="str">
        <x:v>Primary source-register URL; automated screening score</x:v>
      </x:c>
      <x:c r="L1498" s="20" t="str">
        <x:v>2026-05-20</x:v>
      </x:c>
      <x:c r="M1498" s="20" t="str">
        <x:v>2026-05-20</x:v>
      </x:c>
      <x:c r="N1498" s="20" t="str">
        <x:v>GPT-5.5 Pro</x:v>
      </x:c>
      <x:c r="O1498" s="20" t="str">
        <x:v>Needs review</x:v>
      </x:c>
      <x:c r="P1498" s="20" t="str">
        <x:v>Screening score for United States / Propaganda ecosystems in Saudi Arabia; verify with country-specific evidence before final use.</x:v>
      </x:c>
    </x:row>
    <x:row r="1499" ht="24" customHeight="1">
      <x:c r="A1499" s="20" t="str">
        <x:v>SAU|United States|PMC presence</x:v>
      </x:c>
      <x:c r="B1499" s="20" t="str">
        <x:v>Saudi Arabia</x:v>
      </x:c>
      <x:c r="C1499" s="20" t="str">
        <x:v>SAU</x:v>
      </x:c>
      <x:c r="D1499" s="20" t="str">
        <x:v>United States</x:v>
      </x:c>
      <x:c r="E1499" s="20" t="str">
        <x:v>American influence</x:v>
      </x:c>
      <x:c r="F1499" s="20" t="str">
        <x:v>PMC presence</x:v>
      </x:c>
      <x:c r="G1499" s="384" t="n">
        <x:v>5</x:v>
      </x:c>
      <x:c r="H1499" s="396" t="n">
        <x:v>3</x:v>
      </x:c>
      <x:c r="I1499" s="20" t="str">
        <x:v>SAM/Greenbook U.S. security assistance contractor source register</x:v>
      </x:c>
      <x:c r="J1499" s="397" t="str">
        <x:v>https://internationalpolicy.org/programs/sam/</x:v>
      </x:c>
      <x:c r="K1499" s="20" t="str">
        <x:v>Primary source-register URL; automated screening score</x:v>
      </x:c>
      <x:c r="L1499" s="20" t="str">
        <x:v>2026-05-20</x:v>
      </x:c>
      <x:c r="M1499" s="20" t="str">
        <x:v>2026-05-20</x:v>
      </x:c>
      <x:c r="N1499" s="20" t="str">
        <x:v>GPT-5.5 Pro</x:v>
      </x:c>
      <x:c r="O1499" s="20" t="str">
        <x:v>Needs review</x:v>
      </x:c>
      <x:c r="P1499" s="20" t="str">
        <x:v>Screening score for United States / PMC presence in Saudi Arabia; verify with country-specific evidence before final use.</x:v>
      </x:c>
    </x:row>
    <x:row r="1500" ht="24" customHeight="1">
      <x:c r="A1500" s="20" t="str">
        <x:v>SAU|United States|Election interference</x:v>
      </x:c>
      <x:c r="B1500" s="20" t="str">
        <x:v>Saudi Arabia</x:v>
      </x:c>
      <x:c r="C1500" s="20" t="str">
        <x:v>SAU</x:v>
      </x:c>
      <x:c r="D1500" s="20" t="str">
        <x:v>United States</x:v>
      </x:c>
      <x:c r="E1500" s="20" t="str">
        <x:v>American influence</x:v>
      </x:c>
      <x:c r="F1500" s="20" t="str">
        <x:v>Election interference</x:v>
      </x:c>
      <x:c r="G1500" s="384" t="n">
        <x:v>2</x:v>
      </x:c>
      <x:c r="H1500" s="396" t="n">
        <x:v>2</x:v>
      </x:c>
      <x:c r="I1500" s="20" t="str">
        <x:v>NED/Greenbook democracy assistance source register</x:v>
      </x:c>
      <x:c r="J1500" s="397" t="str">
        <x:v>https://www.ned.org/ned-grantmaking/</x:v>
      </x:c>
      <x:c r="K1500" s="20" t="str">
        <x:v>Primary source-register URL; automated screening score</x:v>
      </x:c>
      <x:c r="L1500" s="20" t="str">
        <x:v>2026-05-20</x:v>
      </x:c>
      <x:c r="M1500" s="20" t="str">
        <x:v>2026-05-20</x:v>
      </x:c>
      <x:c r="N1500" s="20" t="str">
        <x:v>GPT-5.5 Pro</x:v>
      </x:c>
      <x:c r="O1500" s="20" t="str">
        <x:v>Needs review</x:v>
      </x:c>
      <x:c r="P1500" s="20" t="str">
        <x:v>Screening score for United States / Election interference in Saudi Arabia; verify with country-specific evidence before final use.</x:v>
      </x:c>
    </x:row>
    <x:row r="1501" ht="24" customHeight="1">
      <x:c r="A1501" s="20" t="str">
        <x:v>SAU|United States|Security contractors</x:v>
      </x:c>
      <x:c r="B1501" s="20" t="str">
        <x:v>Saudi Arabia</x:v>
      </x:c>
      <x:c r="C1501" s="20" t="str">
        <x:v>SAU</x:v>
      </x:c>
      <x:c r="D1501" s="20" t="str">
        <x:v>United States</x:v>
      </x:c>
      <x:c r="E1501" s="20" t="str">
        <x:v>American influence</x:v>
      </x:c>
      <x:c r="F1501" s="20" t="str">
        <x:v>Security contractors</x:v>
      </x:c>
      <x:c r="G1501" s="384" t="n">
        <x:v>7</x:v>
      </x:c>
      <x:c r="H1501" s="396" t="n">
        <x:v>4</x:v>
      </x:c>
      <x:c r="I1501" s="20" t="str">
        <x:v>SAM/Greenbook U.S. security contractor source register</x:v>
      </x:c>
      <x:c r="J1501" s="397" t="str">
        <x:v>https://internationalpolicy.org/programs/sam/</x:v>
      </x:c>
      <x:c r="K1501" s="20" t="str">
        <x:v>Primary source-register URL; automated screening score</x:v>
      </x:c>
      <x:c r="L1501" s="20" t="str">
        <x:v>2026-05-20</x:v>
      </x:c>
      <x:c r="M1501" s="20" t="str">
        <x:v>2026-05-20</x:v>
      </x:c>
      <x:c r="N1501" s="20" t="str">
        <x:v>GPT-5.5 Pro</x:v>
      </x:c>
      <x:c r="O1501" s="20" t="str">
        <x:v>Needs review</x:v>
      </x:c>
      <x:c r="P1501" s="20" t="str">
        <x:v>Screening score for United States / Security contractors in Saudi Arabia; verify with country-specific evidence before final use.</x:v>
      </x:c>
    </x:row>
    <x:row r="1502" ht="24" customHeight="1">
      <x:c r="A1502" s="20" t="str">
        <x:v>SAU|European Union|Propaganda ecosystems</x:v>
      </x:c>
      <x:c r="B1502" s="20" t="str">
        <x:v>Saudi Arabia</x:v>
      </x:c>
      <x:c r="C1502" s="20" t="str">
        <x:v>SAU</x:v>
      </x:c>
      <x:c r="D1502" s="20" t="str">
        <x:v>European Union</x:v>
      </x:c>
      <x:c r="E1502" s="20" t="str">
        <x:v>EU influence</x:v>
      </x:c>
      <x:c r="F1502" s="20" t="str">
        <x:v>Propaganda ecosystems</x:v>
      </x:c>
      <x:c r="G1502" s="384" t="n">
        <x:v>2</x:v>
      </x:c>
      <x:c r="H1502" s="396" t="n">
        <x:v>2</x:v>
      </x:c>
      <x:c r="I1502" s="20" t="str">
        <x:v>EEAS public diplomacy source register</x:v>
      </x:c>
      <x:c r="J1502" s="397" t="str">
        <x:v>https://www.eeas.europa.eu/eeas/public-diplomacy_en</x:v>
      </x:c>
      <x:c r="K1502" s="20" t="str">
        <x:v>Primary source-register URL; automated screening score</x:v>
      </x:c>
      <x:c r="L1502" s="20" t="str">
        <x:v>2026-05-20</x:v>
      </x:c>
      <x:c r="M1502" s="20" t="str">
        <x:v>2026-05-20</x:v>
      </x:c>
      <x:c r="N1502" s="20" t="str">
        <x:v>GPT-5.5 Pro</x:v>
      </x:c>
      <x:c r="O1502" s="20" t="str">
        <x:v>Needs review</x:v>
      </x:c>
      <x:c r="P1502" s="20" t="str">
        <x:v>Screening score for European Union / Propaganda ecosystems in Saudi Arabia; verify with country-specific evidence before final use.</x:v>
      </x:c>
    </x:row>
    <x:row r="1503" ht="24" customHeight="1">
      <x:c r="A1503" s="20" t="str">
        <x:v>SAU|European Union|PMC presence</x:v>
      </x:c>
      <x:c r="B1503" s="20" t="str">
        <x:v>Saudi Arabia</x:v>
      </x:c>
      <x:c r="C1503" s="20" t="str">
        <x:v>SAU</x:v>
      </x:c>
      <x:c r="D1503" s="20" t="str">
        <x:v>European Union</x:v>
      </x:c>
      <x:c r="E1503" s="20" t="str">
        <x:v>EU influence</x:v>
      </x:c>
      <x:c r="F1503" s="20" t="str">
        <x:v>PMC presence</x:v>
      </x:c>
      <x:c r="G1503" s="384" t="n">
        <x:v>0</x:v>
      </x:c>
      <x:c r="H1503" s="396" t="n">
        <x:v>1</x:v>
      </x:c>
      <x:c r="I1503" s="20" t="str">
        <x:v>EEAS CSDP missions source register</x:v>
      </x:c>
      <x:c r="J1503" s="397" t="str">
        <x:v>https://www.eeas.europa.eu/eeas/missions-and-operations_en</x:v>
      </x:c>
      <x:c r="K1503" s="20" t="str">
        <x:v>Primary source-register URL; automated screening score</x:v>
      </x:c>
      <x:c r="L1503" s="20" t="str">
        <x:v>2026-05-20</x:v>
      </x:c>
      <x:c r="M1503" s="20" t="str">
        <x:v>2026-05-20</x:v>
      </x:c>
      <x:c r="N1503" s="20" t="str">
        <x:v>GPT-5.5 Pro</x:v>
      </x:c>
      <x:c r="O1503" s="20" t="str">
        <x:v>Needs review</x:v>
      </x:c>
      <x:c r="P1503" s="20" t="str">
        <x:v>Screening score for European Union / PMC presence in Saudi Arabia; verify with country-specific evidence before final use.</x:v>
      </x:c>
    </x:row>
    <x:row r="1504" ht="24" customHeight="1">
      <x:c r="A1504" s="20" t="str">
        <x:v>SAU|European Union|Election interference</x:v>
      </x:c>
      <x:c r="B1504" s="20" t="str">
        <x:v>Saudi Arabia</x:v>
      </x:c>
      <x:c r="C1504" s="20" t="str">
        <x:v>SAU</x:v>
      </x:c>
      <x:c r="D1504" s="20" t="str">
        <x:v>European Union</x:v>
      </x:c>
      <x:c r="E1504" s="20" t="str">
        <x:v>EU influence</x:v>
      </x:c>
      <x:c r="F1504" s="20" t="str">
        <x:v>Election interference</x:v>
      </x:c>
      <x:c r="G1504" s="384" t="n">
        <x:v>1</x:v>
      </x:c>
      <x:c r="H1504" s="396" t="n">
        <x:v>2</x:v>
      </x:c>
      <x:c r="I1504" s="20" t="str">
        <x:v>EEAS EU election observation source register</x:v>
      </x:c>
      <x:c r="J1504" s="397" t="str">
        <x:v>https://www.eeas.europa.eu/eeas/eu-election-observation-missions-1_en?page_lang=en</x:v>
      </x:c>
      <x:c r="K1504" s="20" t="str">
        <x:v>Primary source-register URL; automated screening score</x:v>
      </x:c>
      <x:c r="L1504" s="20" t="str">
        <x:v>2026-05-20</x:v>
      </x:c>
      <x:c r="M1504" s="20" t="str">
        <x:v>2026-05-20</x:v>
      </x:c>
      <x:c r="N1504" s="20" t="str">
        <x:v>GPT-5.5 Pro</x:v>
      </x:c>
      <x:c r="O1504" s="20" t="str">
        <x:v>Needs review</x:v>
      </x:c>
      <x:c r="P1504" s="20" t="str">
        <x:v>Screening score for European Union / Election interference in Saudi Arabia; verify with country-specific evidence before final use.</x:v>
      </x:c>
    </x:row>
    <x:row r="1505" ht="24" customHeight="1">
      <x:c r="A1505" s="20" t="str">
        <x:v>SAU|European Union|Security contractors</x:v>
      </x:c>
      <x:c r="B1505" s="20" t="str">
        <x:v>Saudi Arabia</x:v>
      </x:c>
      <x:c r="C1505" s="20" t="str">
        <x:v>SAU</x:v>
      </x:c>
      <x:c r="D1505" s="20" t="str">
        <x:v>European Union</x:v>
      </x:c>
      <x:c r="E1505" s="20" t="str">
        <x:v>EU influence</x:v>
      </x:c>
      <x:c r="F1505" s="20" t="str">
        <x:v>Security contractors</x:v>
      </x:c>
      <x:c r="G1505" s="384" t="n">
        <x:v>2</x:v>
      </x:c>
      <x:c r="H1505" s="396" t="n">
        <x:v>2</x:v>
      </x:c>
      <x:c r="I1505" s="20" t="str">
        <x:v>EEAS CSDP / Global Gateway security source register</x:v>
      </x:c>
      <x:c r="J1505" s="397" t="str">
        <x:v>https://www.eeas.europa.eu/eeas/missions-and-operations_en</x:v>
      </x:c>
      <x:c r="K1505" s="20" t="str">
        <x:v>Primary source-register URL; automated screening score</x:v>
      </x:c>
      <x:c r="L1505" s="20" t="str">
        <x:v>2026-05-20</x:v>
      </x:c>
      <x:c r="M1505" s="20" t="str">
        <x:v>2026-05-20</x:v>
      </x:c>
      <x:c r="N1505" s="20" t="str">
        <x:v>GPT-5.5 Pro</x:v>
      </x:c>
      <x:c r="O1505" s="20" t="str">
        <x:v>Needs review</x:v>
      </x:c>
      <x:c r="P1505" s="20" t="str">
        <x:v>Screening score for European Union / Security contractors in Saudi Arabia; verify with country-specific evidence before final use.</x:v>
      </x:c>
    </x:row>
    <x:row r="1506" ht="24" customHeight="1">
      <x:c r="A1506" s="20" t="str">
        <x:v>SRB|Russia|Propaganda ecosystems</x:v>
      </x:c>
      <x:c r="B1506" s="20" t="str">
        <x:v>Serbia</x:v>
      </x:c>
      <x:c r="C1506" s="20" t="str">
        <x:v>SRB</x:v>
      </x:c>
      <x:c r="D1506" s="20" t="str">
        <x:v>Russia</x:v>
      </x:c>
      <x:c r="E1506" s="20" t="str">
        <x:v>Russian influence</x:v>
      </x:c>
      <x:c r="F1506" s="20" t="str">
        <x:v>Propaganda ecosystems</x:v>
      </x:c>
      <x:c r="G1506" s="384" t="n">
        <x:v>7</x:v>
      </x:c>
      <x:c r="H1506" s="396" t="n">
        <x:v>4</x:v>
      </x:c>
      <x:c r="I1506" s="20" t="str">
        <x:v>EEAS/EUvsDisinfo FIMI source register</x:v>
      </x:c>
      <x:c r="J1506" s="397" t="str">
        <x:v>https://www.eeas.europa.eu/eeas/4th-eeas-annual-report-foreign-information-manipulation-and-interference-threats_en</x:v>
      </x:c>
      <x:c r="K1506" s="20" t="str">
        <x:v>Primary source-register URL; automated screening score</x:v>
      </x:c>
      <x:c r="L1506" s="20" t="str">
        <x:v>2026-05-20</x:v>
      </x:c>
      <x:c r="M1506" s="20" t="str">
        <x:v>2026-05-20</x:v>
      </x:c>
      <x:c r="N1506" s="20" t="str">
        <x:v>GPT-5.5 Pro</x:v>
      </x:c>
      <x:c r="O1506" s="20" t="str">
        <x:v>Needs review</x:v>
      </x:c>
      <x:c r="P1506" s="20" t="str">
        <x:v>Screening score for Russia / Propaganda ecosystems in Serbia; verify with country-specific evidence before final use.</x:v>
      </x:c>
    </x:row>
    <x:row r="1507" ht="24" customHeight="1">
      <x:c r="A1507" s="20" t="str">
        <x:v>SRB|Russia|PMC presence</x:v>
      </x:c>
      <x:c r="B1507" s="20" t="str">
        <x:v>Serbia</x:v>
      </x:c>
      <x:c r="C1507" s="20" t="str">
        <x:v>SRB</x:v>
      </x:c>
      <x:c r="D1507" s="20" t="str">
        <x:v>Russia</x:v>
      </x:c>
      <x:c r="E1507" s="20" t="str">
        <x:v>Russian influence</x:v>
      </x:c>
      <x:c r="F1507" s="20" t="str">
        <x:v>PMC presence</x:v>
      </x:c>
      <x:c r="G1507" s="384" t="n">
        <x:v>1</x:v>
      </x:c>
      <x:c r="H1507" s="396" t="n">
        <x:v>2</x:v>
      </x:c>
      <x:c r="I1507" s="20" t="str">
        <x:v>Treasury and Council of the EU Wagner/PMC source register</x:v>
      </x:c>
      <x:c r="J1507" s="397" t="str">
        <x:v>https://www.consilium.europa.eu/en/press/press-releases/2023/02/25/wagner-group-council-adds-11-individuals-and-7-entities-to-eu-sanctions-lists/</x:v>
      </x:c>
      <x:c r="K1507" s="20" t="str">
        <x:v>Primary source-register URL; automated screening score</x:v>
      </x:c>
      <x:c r="L1507" s="20" t="str">
        <x:v>2026-05-20</x:v>
      </x:c>
      <x:c r="M1507" s="20" t="str">
        <x:v>2026-05-20</x:v>
      </x:c>
      <x:c r="N1507" s="20" t="str">
        <x:v>GPT-5.5 Pro</x:v>
      </x:c>
      <x:c r="O1507" s="20" t="str">
        <x:v>Needs review</x:v>
      </x:c>
      <x:c r="P1507" s="20" t="str">
        <x:v>Screening score for Russia / PMC presence in Serbia; verify with country-specific evidence before final use.</x:v>
      </x:c>
    </x:row>
    <x:row r="1508" ht="24" customHeight="1">
      <x:c r="A1508" s="20" t="str">
        <x:v>SRB|Russia|Election interference</x:v>
      </x:c>
      <x:c r="B1508" s="20" t="str">
        <x:v>Serbia</x:v>
      </x:c>
      <x:c r="C1508" s="20" t="str">
        <x:v>SRB</x:v>
      </x:c>
      <x:c r="D1508" s="20" t="str">
        <x:v>Russia</x:v>
      </x:c>
      <x:c r="E1508" s="20" t="str">
        <x:v>Russian influence</x:v>
      </x:c>
      <x:c r="F1508" s="20" t="str">
        <x:v>Election interference</x:v>
      </x:c>
      <x:c r="G1508" s="384" t="n">
        <x:v>6</x:v>
      </x:c>
      <x:c r="H1508" s="396" t="n">
        <x:v>4</x:v>
      </x:c>
      <x:c r="I1508" s="20" t="str">
        <x:v>ODNI/EEAS election-FIMI source register</x:v>
      </x:c>
      <x:c r="J1508" s="397" t="str">
        <x:v>https://www.dni.gov/files/ODNI/documents/assessments/ATA-2026-Unclassified-Report.pdf</x:v>
      </x:c>
      <x:c r="K1508" s="20" t="str">
        <x:v>Primary source-register URL; automated screening score</x:v>
      </x:c>
      <x:c r="L1508" s="20" t="str">
        <x:v>2026-05-20</x:v>
      </x:c>
      <x:c r="M1508" s="20" t="str">
        <x:v>2026-05-20</x:v>
      </x:c>
      <x:c r="N1508" s="20" t="str">
        <x:v>GPT-5.5 Pro</x:v>
      </x:c>
      <x:c r="O1508" s="20" t="str">
        <x:v>Needs review</x:v>
      </x:c>
      <x:c r="P1508" s="20" t="str">
        <x:v>Screening score for Russia / Election interference in Serbia; verify with country-specific evidence before final use.</x:v>
      </x:c>
    </x:row>
    <x:row r="1509" ht="24" customHeight="1">
      <x:c r="A1509" s="20" t="str">
        <x:v>SRB|Russia|Security contractors</x:v>
      </x:c>
      <x:c r="B1509" s="20" t="str">
        <x:v>Serbia</x:v>
      </x:c>
      <x:c r="C1509" s="20" t="str">
        <x:v>SRB</x:v>
      </x:c>
      <x:c r="D1509" s="20" t="str">
        <x:v>Russia</x:v>
      </x:c>
      <x:c r="E1509" s="20" t="str">
        <x:v>Russian influence</x:v>
      </x:c>
      <x:c r="F1509" s="20" t="str">
        <x:v>Security contractors</x:v>
      </x:c>
      <x:c r="G1509" s="384" t="n">
        <x:v>1</x:v>
      </x:c>
      <x:c r="H1509" s="396" t="n">
        <x:v>2</x:v>
      </x:c>
      <x:c r="I1509" s="20" t="str">
        <x:v>Council of the EU/Treasury Wagner-security source register</x:v>
      </x:c>
      <x:c r="J1509" s="397" t="str">
        <x:v>https://www.consilium.europa.eu/en/press/press-releases/2023/02/25/wagner-group-council-adds-11-individuals-and-7-entities-to-eu-sanctions-lists/</x:v>
      </x:c>
      <x:c r="K1509" s="20" t="str">
        <x:v>Primary source-register URL; automated screening score</x:v>
      </x:c>
      <x:c r="L1509" s="20" t="str">
        <x:v>2026-05-20</x:v>
      </x:c>
      <x:c r="M1509" s="20" t="str">
        <x:v>2026-05-20</x:v>
      </x:c>
      <x:c r="N1509" s="20" t="str">
        <x:v>GPT-5.5 Pro</x:v>
      </x:c>
      <x:c r="O1509" s="20" t="str">
        <x:v>Needs review</x:v>
      </x:c>
      <x:c r="P1509" s="20" t="str">
        <x:v>Screening score for Russia / Security contractors in Serbia; verify with country-specific evidence before final use.</x:v>
      </x:c>
    </x:row>
    <x:row r="1510" ht="24" customHeight="1">
      <x:c r="A1510" s="20" t="str">
        <x:v>SRB|China|Propaganda ecosystems</x:v>
      </x:c>
      <x:c r="B1510" s="20" t="str">
        <x:v>Serbia</x:v>
      </x:c>
      <x:c r="C1510" s="20" t="str">
        <x:v>SRB</x:v>
      </x:c>
      <x:c r="D1510" s="20" t="str">
        <x:v>China</x:v>
      </x:c>
      <x:c r="E1510" s="20" t="str">
        <x:v>Chinese influence</x:v>
      </x:c>
      <x:c r="F1510" s="20" t="str">
        <x:v>Propaganda ecosystems</x:v>
      </x:c>
      <x:c r="G1510" s="384" t="n">
        <x:v>4</x:v>
      </x:c>
      <x:c r="H1510" s="396" t="n">
        <x:v>3</x:v>
      </x:c>
      <x:c r="I1510" s="20" t="str">
        <x:v>EEAS/ODNI China FIMI source register</x:v>
      </x:c>
      <x:c r="J1510" s="397" t="str">
        <x:v>https://www.eeas.europa.eu/eeas/4th-eeas-annual-report-foreign-information-manipulation-and-interference-threats_en</x:v>
      </x:c>
      <x:c r="K1510" s="20" t="str">
        <x:v>Primary source-register URL; automated screening score</x:v>
      </x:c>
      <x:c r="L1510" s="20" t="str">
        <x:v>2026-05-20</x:v>
      </x:c>
      <x:c r="M1510" s="20" t="str">
        <x:v>2026-05-20</x:v>
      </x:c>
      <x:c r="N1510" s="20" t="str">
        <x:v>GPT-5.5 Pro</x:v>
      </x:c>
      <x:c r="O1510" s="20" t="str">
        <x:v>Needs review</x:v>
      </x:c>
      <x:c r="P1510" s="20" t="str">
        <x:v>Screening score for China / Propaganda ecosystems in Serbia; verify with country-specific evidence before final use.</x:v>
      </x:c>
    </x:row>
    <x:row r="1511" ht="24" customHeight="1">
      <x:c r="A1511" s="20" t="str">
        <x:v>SRB|China|PMC presence</x:v>
      </x:c>
      <x:c r="B1511" s="20" t="str">
        <x:v>Serbia</x:v>
      </x:c>
      <x:c r="C1511" s="20" t="str">
        <x:v>SRB</x:v>
      </x:c>
      <x:c r="D1511" s="20" t="str">
        <x:v>China</x:v>
      </x:c>
      <x:c r="E1511" s="20" t="str">
        <x:v>Chinese influence</x:v>
      </x:c>
      <x:c r="F1511" s="20" t="str">
        <x:v>PMC presence</x:v>
      </x:c>
      <x:c r="G1511" s="384" t="n">
        <x:v>0</x:v>
      </x:c>
      <x:c r="H1511" s="396" t="n">
        <x:v>1</x:v>
      </x:c>
      <x:c r="I1511" s="20" t="str">
        <x:v>MERICS/Carnegie Chinese overseas PSC source register</x:v>
      </x:c>
      <x:c r="J1511" s="397" t="str">
        <x:v>https://merics.org/en/report/guardians-belt-and-road</x:v>
      </x:c>
      <x:c r="K1511" s="20" t="str">
        <x:v>Primary source-register URL; automated screening score</x:v>
      </x:c>
      <x:c r="L1511" s="20" t="str">
        <x:v>2026-05-20</x:v>
      </x:c>
      <x:c r="M1511" s="20" t="str">
        <x:v>2026-05-20</x:v>
      </x:c>
      <x:c r="N1511" s="20" t="str">
        <x:v>GPT-5.5 Pro</x:v>
      </x:c>
      <x:c r="O1511" s="20" t="str">
        <x:v>Needs review</x:v>
      </x:c>
      <x:c r="P1511" s="20" t="str">
        <x:v>Screening score for China / PMC presence in Serbia; verify with country-specific evidence before final use.</x:v>
      </x:c>
    </x:row>
    <x:row r="1512" ht="24" customHeight="1">
      <x:c r="A1512" s="20" t="str">
        <x:v>SRB|China|Election interference</x:v>
      </x:c>
      <x:c r="B1512" s="20" t="str">
        <x:v>Serbia</x:v>
      </x:c>
      <x:c r="C1512" s="20" t="str">
        <x:v>SRB</x:v>
      </x:c>
      <x:c r="D1512" s="20" t="str">
        <x:v>China</x:v>
      </x:c>
      <x:c r="E1512" s="20" t="str">
        <x:v>Chinese influence</x:v>
      </x:c>
      <x:c r="F1512" s="20" t="str">
        <x:v>Election interference</x:v>
      </x:c>
      <x:c r="G1512" s="384" t="n">
        <x:v>2</x:v>
      </x:c>
      <x:c r="H1512" s="396" t="n">
        <x:v>2</x:v>
      </x:c>
      <x:c r="I1512" s="20" t="str">
        <x:v>EEAS/ODNI China election-FIMI source register</x:v>
      </x:c>
      <x:c r="J1512" s="397" t="str">
        <x:v>https://www.eeas.europa.eu/eeas/4th-eeas-annual-report-foreign-information-manipulation-and-interference-threats_en</x:v>
      </x:c>
      <x:c r="K1512" s="20" t="str">
        <x:v>Primary source-register URL; automated screening score</x:v>
      </x:c>
      <x:c r="L1512" s="20" t="str">
        <x:v>2026-05-20</x:v>
      </x:c>
      <x:c r="M1512" s="20" t="str">
        <x:v>2026-05-20</x:v>
      </x:c>
      <x:c r="N1512" s="20" t="str">
        <x:v>GPT-5.5 Pro</x:v>
      </x:c>
      <x:c r="O1512" s="20" t="str">
        <x:v>Needs review</x:v>
      </x:c>
      <x:c r="P1512" s="20" t="str">
        <x:v>Screening score for China / Election interference in Serbia; verify with country-specific evidence before final use.</x:v>
      </x:c>
    </x:row>
    <x:row r="1513" ht="24" customHeight="1">
      <x:c r="A1513" s="20" t="str">
        <x:v>SRB|China|Security contractors</x:v>
      </x:c>
      <x:c r="B1513" s="20" t="str">
        <x:v>Serbia</x:v>
      </x:c>
      <x:c r="C1513" s="20" t="str">
        <x:v>SRB</x:v>
      </x:c>
      <x:c r="D1513" s="20" t="str">
        <x:v>China</x:v>
      </x:c>
      <x:c r="E1513" s="20" t="str">
        <x:v>Chinese influence</x:v>
      </x:c>
      <x:c r="F1513" s="20" t="str">
        <x:v>Security contractors</x:v>
      </x:c>
      <x:c r="G1513" s="384" t="n">
        <x:v>0</x:v>
      </x:c>
      <x:c r="H1513" s="396" t="n">
        <x:v>1</x:v>
      </x:c>
      <x:c r="I1513" s="20" t="str">
        <x:v>MERICS/Carnegie Chinese security contractor source register</x:v>
      </x:c>
      <x:c r="J1513" s="397" t="str">
        <x:v>https://merics.org/en/report/guardians-belt-and-road</x:v>
      </x:c>
      <x:c r="K1513" s="20" t="str">
        <x:v>Primary source-register URL; automated screening score</x:v>
      </x:c>
      <x:c r="L1513" s="20" t="str">
        <x:v>2026-05-20</x:v>
      </x:c>
      <x:c r="M1513" s="20" t="str">
        <x:v>2026-05-20</x:v>
      </x:c>
      <x:c r="N1513" s="20" t="str">
        <x:v>GPT-5.5 Pro</x:v>
      </x:c>
      <x:c r="O1513" s="20" t="str">
        <x:v>Needs review</x:v>
      </x:c>
      <x:c r="P1513" s="20" t="str">
        <x:v>Screening score for China / Security contractors in Serbia; verify with country-specific evidence before final use.</x:v>
      </x:c>
    </x:row>
    <x:row r="1514" ht="24" customHeight="1">
      <x:c r="A1514" s="20" t="str">
        <x:v>SRB|United States|Propaganda ecosystems</x:v>
      </x:c>
      <x:c r="B1514" s="20" t="str">
        <x:v>Serbia</x:v>
      </x:c>
      <x:c r="C1514" s="20" t="str">
        <x:v>SRB</x:v>
      </x:c>
      <x:c r="D1514" s="20" t="str">
        <x:v>United States</x:v>
      </x:c>
      <x:c r="E1514" s="20" t="str">
        <x:v>American influence</x:v>
      </x:c>
      <x:c r="F1514" s="20" t="str">
        <x:v>Propaganda ecosystems</x:v>
      </x:c>
      <x:c r="G1514" s="384" t="n">
        <x:v>4</x:v>
      </x:c>
      <x:c r="H1514" s="396" t="n">
        <x:v>3</x:v>
      </x:c>
      <x:c r="I1514" s="20" t="str">
        <x:v>USAGM public media source register</x:v>
      </x:c>
      <x:c r="J1514" s="397" t="str">
        <x:v>https://www.usagm.gov/our-work/strategy-and-results/strategic-priorities/research-reports/</x:v>
      </x:c>
      <x:c r="K1514" s="20" t="str">
        <x:v>Primary source-register URL; automated screening score</x:v>
      </x:c>
      <x:c r="L1514" s="20" t="str">
        <x:v>2026-05-20</x:v>
      </x:c>
      <x:c r="M1514" s="20" t="str">
        <x:v>2026-05-20</x:v>
      </x:c>
      <x:c r="N1514" s="20" t="str">
        <x:v>GPT-5.5 Pro</x:v>
      </x:c>
      <x:c r="O1514" s="20" t="str">
        <x:v>Needs review</x:v>
      </x:c>
      <x:c r="P1514" s="20" t="str">
        <x:v>Screening score for United States / Propaganda ecosystems in Serbia; verify with country-specific evidence before final use.</x:v>
      </x:c>
    </x:row>
    <x:row r="1515" ht="24" customHeight="1">
      <x:c r="A1515" s="20" t="str">
        <x:v>SRB|United States|PMC presence</x:v>
      </x:c>
      <x:c r="B1515" s="20" t="str">
        <x:v>Serbia</x:v>
      </x:c>
      <x:c r="C1515" s="20" t="str">
        <x:v>SRB</x:v>
      </x:c>
      <x:c r="D1515" s="20" t="str">
        <x:v>United States</x:v>
      </x:c>
      <x:c r="E1515" s="20" t="str">
        <x:v>American influence</x:v>
      </x:c>
      <x:c r="F1515" s="20" t="str">
        <x:v>PMC presence</x:v>
      </x:c>
      <x:c r="G1515" s="384" t="n">
        <x:v>1</x:v>
      </x:c>
      <x:c r="H1515" s="396" t="n">
        <x:v>2</x:v>
      </x:c>
      <x:c r="I1515" s="20" t="str">
        <x:v>SAM/Greenbook U.S. security assistance contractor source register</x:v>
      </x:c>
      <x:c r="J1515" s="397" t="str">
        <x:v>https://internationalpolicy.org/programs/sam/</x:v>
      </x:c>
      <x:c r="K1515" s="20" t="str">
        <x:v>Primary source-register URL; automated screening score</x:v>
      </x:c>
      <x:c r="L1515" s="20" t="str">
        <x:v>2026-05-20</x:v>
      </x:c>
      <x:c r="M1515" s="20" t="str">
        <x:v>2026-05-20</x:v>
      </x:c>
      <x:c r="N1515" s="20" t="str">
        <x:v>GPT-5.5 Pro</x:v>
      </x:c>
      <x:c r="O1515" s="20" t="str">
        <x:v>Needs review</x:v>
      </x:c>
      <x:c r="P1515" s="20" t="str">
        <x:v>Screening score for United States / PMC presence in Serbia; verify with country-specific evidence before final use.</x:v>
      </x:c>
    </x:row>
    <x:row r="1516" ht="24" customHeight="1">
      <x:c r="A1516" s="20" t="str">
        <x:v>SRB|United States|Election interference</x:v>
      </x:c>
      <x:c r="B1516" s="20" t="str">
        <x:v>Serbia</x:v>
      </x:c>
      <x:c r="C1516" s="20" t="str">
        <x:v>SRB</x:v>
      </x:c>
      <x:c r="D1516" s="20" t="str">
        <x:v>United States</x:v>
      </x:c>
      <x:c r="E1516" s="20" t="str">
        <x:v>American influence</x:v>
      </x:c>
      <x:c r="F1516" s="20" t="str">
        <x:v>Election interference</x:v>
      </x:c>
      <x:c r="G1516" s="384" t="n">
        <x:v>3</x:v>
      </x:c>
      <x:c r="H1516" s="396" t="n">
        <x:v>3</x:v>
      </x:c>
      <x:c r="I1516" s="20" t="str">
        <x:v>NED/Greenbook democracy assistance source register</x:v>
      </x:c>
      <x:c r="J1516" s="397" t="str">
        <x:v>https://www.ned.org/ned-grantmaking/</x:v>
      </x:c>
      <x:c r="K1516" s="20" t="str">
        <x:v>Primary source-register URL; automated screening score</x:v>
      </x:c>
      <x:c r="L1516" s="20" t="str">
        <x:v>2026-05-20</x:v>
      </x:c>
      <x:c r="M1516" s="20" t="str">
        <x:v>2026-05-20</x:v>
      </x:c>
      <x:c r="N1516" s="20" t="str">
        <x:v>GPT-5.5 Pro</x:v>
      </x:c>
      <x:c r="O1516" s="20" t="str">
        <x:v>Needs review</x:v>
      </x:c>
      <x:c r="P1516" s="20" t="str">
        <x:v>Screening score for United States / Election interference in Serbia; verify with country-specific evidence before final use.</x:v>
      </x:c>
    </x:row>
    <x:row r="1517" ht="24" customHeight="1">
      <x:c r="A1517" s="20" t="str">
        <x:v>SRB|United States|Security contractors</x:v>
      </x:c>
      <x:c r="B1517" s="20" t="str">
        <x:v>Serbia</x:v>
      </x:c>
      <x:c r="C1517" s="20" t="str">
        <x:v>SRB</x:v>
      </x:c>
      <x:c r="D1517" s="20" t="str">
        <x:v>United States</x:v>
      </x:c>
      <x:c r="E1517" s="20" t="str">
        <x:v>American influence</x:v>
      </x:c>
      <x:c r="F1517" s="20" t="str">
        <x:v>Security contractors</x:v>
      </x:c>
      <x:c r="G1517" s="384" t="n">
        <x:v>2</x:v>
      </x:c>
      <x:c r="H1517" s="396" t="n">
        <x:v>2</x:v>
      </x:c>
      <x:c r="I1517" s="20" t="str">
        <x:v>SAM/Greenbook U.S. security contractor source register</x:v>
      </x:c>
      <x:c r="J1517" s="397" t="str">
        <x:v>https://internationalpolicy.org/programs/sam/</x:v>
      </x:c>
      <x:c r="K1517" s="20" t="str">
        <x:v>Primary source-register URL; automated screening score</x:v>
      </x:c>
      <x:c r="L1517" s="20" t="str">
        <x:v>2026-05-20</x:v>
      </x:c>
      <x:c r="M1517" s="20" t="str">
        <x:v>2026-05-20</x:v>
      </x:c>
      <x:c r="N1517" s="20" t="str">
        <x:v>GPT-5.5 Pro</x:v>
      </x:c>
      <x:c r="O1517" s="20" t="str">
        <x:v>Needs review</x:v>
      </x:c>
      <x:c r="P1517" s="20" t="str">
        <x:v>Screening score for United States / Security contractors in Serbia; verify with country-specific evidence before final use.</x:v>
      </x:c>
    </x:row>
    <x:row r="1518" ht="24" customHeight="1">
      <x:c r="A1518" s="20" t="str">
        <x:v>SRB|European Union|Propaganda ecosystems</x:v>
      </x:c>
      <x:c r="B1518" s="20" t="str">
        <x:v>Serbia</x:v>
      </x:c>
      <x:c r="C1518" s="20" t="str">
        <x:v>SRB</x:v>
      </x:c>
      <x:c r="D1518" s="20" t="str">
        <x:v>European Union</x:v>
      </x:c>
      <x:c r="E1518" s="20" t="str">
        <x:v>EU influence</x:v>
      </x:c>
      <x:c r="F1518" s="20" t="str">
        <x:v>Propaganda ecosystems</x:v>
      </x:c>
      <x:c r="G1518" s="384" t="n">
        <x:v>7</x:v>
      </x:c>
      <x:c r="H1518" s="396" t="n">
        <x:v>4</x:v>
      </x:c>
      <x:c r="I1518" s="20" t="str">
        <x:v>EEAS public diplomacy source register</x:v>
      </x:c>
      <x:c r="J1518" s="397" t="str">
        <x:v>https://www.eeas.europa.eu/eeas/public-diplomacy_en</x:v>
      </x:c>
      <x:c r="K1518" s="20" t="str">
        <x:v>Primary source-register URL; automated screening score</x:v>
      </x:c>
      <x:c r="L1518" s="20" t="str">
        <x:v>2026-05-20</x:v>
      </x:c>
      <x:c r="M1518" s="20" t="str">
        <x:v>2026-05-20</x:v>
      </x:c>
      <x:c r="N1518" s="20" t="str">
        <x:v>GPT-5.5 Pro</x:v>
      </x:c>
      <x:c r="O1518" s="20" t="str">
        <x:v>Needs review</x:v>
      </x:c>
      <x:c r="P1518" s="20" t="str">
        <x:v>Screening score for European Union / Propaganda ecosystems in Serbia; verify with country-specific evidence before final use.</x:v>
      </x:c>
    </x:row>
    <x:row r="1519" ht="24" customHeight="1">
      <x:c r="A1519" s="20" t="str">
        <x:v>SRB|European Union|PMC presence</x:v>
      </x:c>
      <x:c r="B1519" s="20" t="str">
        <x:v>Serbia</x:v>
      </x:c>
      <x:c r="C1519" s="20" t="str">
        <x:v>SRB</x:v>
      </x:c>
      <x:c r="D1519" s="20" t="str">
        <x:v>European Union</x:v>
      </x:c>
      <x:c r="E1519" s="20" t="str">
        <x:v>EU influence</x:v>
      </x:c>
      <x:c r="F1519" s="20" t="str">
        <x:v>PMC presence</x:v>
      </x:c>
      <x:c r="G1519" s="384" t="n">
        <x:v>0</x:v>
      </x:c>
      <x:c r="H1519" s="396" t="n">
        <x:v>1</x:v>
      </x:c>
      <x:c r="I1519" s="20" t="str">
        <x:v>EEAS CSDP missions source register</x:v>
      </x:c>
      <x:c r="J1519" s="397" t="str">
        <x:v>https://www.eeas.europa.eu/eeas/missions-and-operations_en</x:v>
      </x:c>
      <x:c r="K1519" s="20" t="str">
        <x:v>Primary source-register URL; automated screening score</x:v>
      </x:c>
      <x:c r="L1519" s="20" t="str">
        <x:v>2026-05-20</x:v>
      </x:c>
      <x:c r="M1519" s="20" t="str">
        <x:v>2026-05-20</x:v>
      </x:c>
      <x:c r="N1519" s="20" t="str">
        <x:v>GPT-5.5 Pro</x:v>
      </x:c>
      <x:c r="O1519" s="20" t="str">
        <x:v>Needs review</x:v>
      </x:c>
      <x:c r="P1519" s="20" t="str">
        <x:v>Screening score for European Union / PMC presence in Serbia; verify with country-specific evidence before final use.</x:v>
      </x:c>
    </x:row>
    <x:row r="1520" ht="24" customHeight="1">
      <x:c r="A1520" s="20" t="str">
        <x:v>SRB|European Union|Election interference</x:v>
      </x:c>
      <x:c r="B1520" s="20" t="str">
        <x:v>Serbia</x:v>
      </x:c>
      <x:c r="C1520" s="20" t="str">
        <x:v>SRB</x:v>
      </x:c>
      <x:c r="D1520" s="20" t="str">
        <x:v>European Union</x:v>
      </x:c>
      <x:c r="E1520" s="20" t="str">
        <x:v>EU influence</x:v>
      </x:c>
      <x:c r="F1520" s="20" t="str">
        <x:v>Election interference</x:v>
      </x:c>
      <x:c r="G1520" s="384" t="n">
        <x:v>3</x:v>
      </x:c>
      <x:c r="H1520" s="396" t="n">
        <x:v>3</x:v>
      </x:c>
      <x:c r="I1520" s="20" t="str">
        <x:v>EEAS EU election observation source register</x:v>
      </x:c>
      <x:c r="J1520" s="397" t="str">
        <x:v>https://www.eeas.europa.eu/eeas/eu-election-observation-missions-1_en?page_lang=en</x:v>
      </x:c>
      <x:c r="K1520" s="20" t="str">
        <x:v>Primary source-register URL; automated screening score</x:v>
      </x:c>
      <x:c r="L1520" s="20" t="str">
        <x:v>2026-05-20</x:v>
      </x:c>
      <x:c r="M1520" s="20" t="str">
        <x:v>2026-05-20</x:v>
      </x:c>
      <x:c r="N1520" s="20" t="str">
        <x:v>GPT-5.5 Pro</x:v>
      </x:c>
      <x:c r="O1520" s="20" t="str">
        <x:v>Needs review</x:v>
      </x:c>
      <x:c r="P1520" s="20" t="str">
        <x:v>Screening score for European Union / Election interference in Serbia; verify with country-specific evidence before final use.</x:v>
      </x:c>
    </x:row>
    <x:row r="1521" ht="24" customHeight="1">
      <x:c r="A1521" s="20" t="str">
        <x:v>SRB|European Union|Security contractors</x:v>
      </x:c>
      <x:c r="B1521" s="20" t="str">
        <x:v>Serbia</x:v>
      </x:c>
      <x:c r="C1521" s="20" t="str">
        <x:v>SRB</x:v>
      </x:c>
      <x:c r="D1521" s="20" t="str">
        <x:v>European Union</x:v>
      </x:c>
      <x:c r="E1521" s="20" t="str">
        <x:v>EU influence</x:v>
      </x:c>
      <x:c r="F1521" s="20" t="str">
        <x:v>Security contractors</x:v>
      </x:c>
      <x:c r="G1521" s="384" t="n">
        <x:v>1</x:v>
      </x:c>
      <x:c r="H1521" s="396" t="n">
        <x:v>2</x:v>
      </x:c>
      <x:c r="I1521" s="20" t="str">
        <x:v>EEAS CSDP / Global Gateway security source register</x:v>
      </x:c>
      <x:c r="J1521" s="397" t="str">
        <x:v>https://www.eeas.europa.eu/eeas/missions-and-operations_en</x:v>
      </x:c>
      <x:c r="K1521" s="20" t="str">
        <x:v>Primary source-register URL; automated screening score</x:v>
      </x:c>
      <x:c r="L1521" s="20" t="str">
        <x:v>2026-05-20</x:v>
      </x:c>
      <x:c r="M1521" s="20" t="str">
        <x:v>2026-05-20</x:v>
      </x:c>
      <x:c r="N1521" s="20" t="str">
        <x:v>GPT-5.5 Pro</x:v>
      </x:c>
      <x:c r="O1521" s="20" t="str">
        <x:v>Needs review</x:v>
      </x:c>
      <x:c r="P1521" s="20" t="str">
        <x:v>Screening score for European Union / Security contractors in Serbia; verify with country-specific evidence before final use.</x:v>
      </x:c>
    </x:row>
    <x:row r="1522" ht="24" customHeight="1">
      <x:c r="A1522" s="20" t="str">
        <x:v>SGP|Russia|Propaganda ecosystems</x:v>
      </x:c>
      <x:c r="B1522" s="20" t="str">
        <x:v>Singapore</x:v>
      </x:c>
      <x:c r="C1522" s="20" t="str">
        <x:v>SGP</x:v>
      </x:c>
      <x:c r="D1522" s="20" t="str">
        <x:v>Russia</x:v>
      </x:c>
      <x:c r="E1522" s="20" t="str">
        <x:v>Russian influence</x:v>
      </x:c>
      <x:c r="F1522" s="20" t="str">
        <x:v>Propaganda ecosystems</x:v>
      </x:c>
      <x:c r="G1522" s="384" t="n">
        <x:v>2</x:v>
      </x:c>
      <x:c r="H1522" s="396" t="n">
        <x:v>2</x:v>
      </x:c>
      <x:c r="I1522" s="20" t="str">
        <x:v>EEAS/EUvsDisinfo FIMI source register</x:v>
      </x:c>
      <x:c r="J1522" s="397" t="str">
        <x:v>https://www.eeas.europa.eu/eeas/4th-eeas-annual-report-foreign-information-manipulation-and-interference-threats_en</x:v>
      </x:c>
      <x:c r="K1522" s="20" t="str">
        <x:v>Primary source-register URL; automated screening score</x:v>
      </x:c>
      <x:c r="L1522" s="20" t="str">
        <x:v>2026-05-20</x:v>
      </x:c>
      <x:c r="M1522" s="20" t="str">
        <x:v>2026-05-20</x:v>
      </x:c>
      <x:c r="N1522" s="20" t="str">
        <x:v>GPT-5.5 Pro</x:v>
      </x:c>
      <x:c r="O1522" s="20" t="str">
        <x:v>Needs review</x:v>
      </x:c>
      <x:c r="P1522" s="20" t="str">
        <x:v>Screening score for Russia / Propaganda ecosystems in Singapore; verify with country-specific evidence before final use.</x:v>
      </x:c>
    </x:row>
    <x:row r="1523" ht="24" customHeight="1">
      <x:c r="A1523" s="20" t="str">
        <x:v>SGP|Russia|PMC presence</x:v>
      </x:c>
      <x:c r="B1523" s="20" t="str">
        <x:v>Singapore</x:v>
      </x:c>
      <x:c r="C1523" s="20" t="str">
        <x:v>SGP</x:v>
      </x:c>
      <x:c r="D1523" s="20" t="str">
        <x:v>Russia</x:v>
      </x:c>
      <x:c r="E1523" s="20" t="str">
        <x:v>Russian influence</x:v>
      </x:c>
      <x:c r="F1523" s="20" t="str">
        <x:v>PMC presence</x:v>
      </x:c>
      <x:c r="G1523" s="384" t="n">
        <x:v>0</x:v>
      </x:c>
      <x:c r="H1523" s="396" t="n">
        <x:v>1</x:v>
      </x:c>
      <x:c r="I1523" s="20" t="str">
        <x:v>Treasury and Council of the EU Wagner/PMC source register</x:v>
      </x:c>
      <x:c r="J1523" s="397" t="str">
        <x:v>https://www.consilium.europa.eu/en/press/press-releases/2023/02/25/wagner-group-council-adds-11-individuals-and-7-entities-to-eu-sanctions-lists/</x:v>
      </x:c>
      <x:c r="K1523" s="20" t="str">
        <x:v>Primary source-register URL; automated screening score</x:v>
      </x:c>
      <x:c r="L1523" s="20" t="str">
        <x:v>2026-05-20</x:v>
      </x:c>
      <x:c r="M1523" s="20" t="str">
        <x:v>2026-05-20</x:v>
      </x:c>
      <x:c r="N1523" s="20" t="str">
        <x:v>GPT-5.5 Pro</x:v>
      </x:c>
      <x:c r="O1523" s="20" t="str">
        <x:v>Needs review</x:v>
      </x:c>
      <x:c r="P1523" s="20" t="str">
        <x:v>Screening score for Russia / PMC presence in Singapore; verify with country-specific evidence before final use.</x:v>
      </x:c>
    </x:row>
    <x:row r="1524" ht="24" customHeight="1">
      <x:c r="A1524" s="20" t="str">
        <x:v>SGP|Russia|Election interference</x:v>
      </x:c>
      <x:c r="B1524" s="20" t="str">
        <x:v>Singapore</x:v>
      </x:c>
      <x:c r="C1524" s="20" t="str">
        <x:v>SGP</x:v>
      </x:c>
      <x:c r="D1524" s="20" t="str">
        <x:v>Russia</x:v>
      </x:c>
      <x:c r="E1524" s="20" t="str">
        <x:v>Russian influence</x:v>
      </x:c>
      <x:c r="F1524" s="20" t="str">
        <x:v>Election interference</x:v>
      </x:c>
      <x:c r="G1524" s="384" t="n">
        <x:v>0</x:v>
      </x:c>
      <x:c r="H1524" s="396" t="n">
        <x:v>1</x:v>
      </x:c>
      <x:c r="I1524" s="20" t="str">
        <x:v>ODNI/EEAS election-FIMI source register</x:v>
      </x:c>
      <x:c r="J1524" s="397" t="str">
        <x:v>https://www.dni.gov/files/ODNI/documents/assessments/ATA-2026-Unclassified-Report.pdf</x:v>
      </x:c>
      <x:c r="K1524" s="20" t="str">
        <x:v>Primary source-register URL; automated screening score</x:v>
      </x:c>
      <x:c r="L1524" s="20" t="str">
        <x:v>2026-05-20</x:v>
      </x:c>
      <x:c r="M1524" s="20" t="str">
        <x:v>2026-05-20</x:v>
      </x:c>
      <x:c r="N1524" s="20" t="str">
        <x:v>GPT-5.5 Pro</x:v>
      </x:c>
      <x:c r="O1524" s="20" t="str">
        <x:v>Needs review</x:v>
      </x:c>
      <x:c r="P1524" s="20" t="str">
        <x:v>Screening score for Russia / Election interference in Singapore; verify with country-specific evidence before final use.</x:v>
      </x:c>
    </x:row>
    <x:row r="1525" ht="24" customHeight="1">
      <x:c r="A1525" s="20" t="str">
        <x:v>SGP|Russia|Security contractors</x:v>
      </x:c>
      <x:c r="B1525" s="20" t="str">
        <x:v>Singapore</x:v>
      </x:c>
      <x:c r="C1525" s="20" t="str">
        <x:v>SGP</x:v>
      </x:c>
      <x:c r="D1525" s="20" t="str">
        <x:v>Russia</x:v>
      </x:c>
      <x:c r="E1525" s="20" t="str">
        <x:v>Russian influence</x:v>
      </x:c>
      <x:c r="F1525" s="20" t="str">
        <x:v>Security contractors</x:v>
      </x:c>
      <x:c r="G1525" s="384" t="n">
        <x:v>0</x:v>
      </x:c>
      <x:c r="H1525" s="396" t="n">
        <x:v>1</x:v>
      </x:c>
      <x:c r="I1525" s="20" t="str">
        <x:v>Council of the EU/Treasury Wagner-security source register</x:v>
      </x:c>
      <x:c r="J1525" s="397" t="str">
        <x:v>https://www.consilium.europa.eu/en/press/press-releases/2023/02/25/wagner-group-council-adds-11-individuals-and-7-entities-to-eu-sanctions-lists/</x:v>
      </x:c>
      <x:c r="K1525" s="20" t="str">
        <x:v>Primary source-register URL; automated screening score</x:v>
      </x:c>
      <x:c r="L1525" s="20" t="str">
        <x:v>2026-05-20</x:v>
      </x:c>
      <x:c r="M1525" s="20" t="str">
        <x:v>2026-05-20</x:v>
      </x:c>
      <x:c r="N1525" s="20" t="str">
        <x:v>GPT-5.5 Pro</x:v>
      </x:c>
      <x:c r="O1525" s="20" t="str">
        <x:v>Needs review</x:v>
      </x:c>
      <x:c r="P1525" s="20" t="str">
        <x:v>Screening score for Russia / Security contractors in Singapore; verify with country-specific evidence before final use.</x:v>
      </x:c>
    </x:row>
    <x:row r="1526" ht="24" customHeight="1">
      <x:c r="A1526" s="20" t="str">
        <x:v>SGP|China|Propaganda ecosystems</x:v>
      </x:c>
      <x:c r="B1526" s="20" t="str">
        <x:v>Singapore</x:v>
      </x:c>
      <x:c r="C1526" s="20" t="str">
        <x:v>SGP</x:v>
      </x:c>
      <x:c r="D1526" s="20" t="str">
        <x:v>China</x:v>
      </x:c>
      <x:c r="E1526" s="20" t="str">
        <x:v>Chinese influence</x:v>
      </x:c>
      <x:c r="F1526" s="20" t="str">
        <x:v>Propaganda ecosystems</x:v>
      </x:c>
      <x:c r="G1526" s="384" t="n">
        <x:v>6</x:v>
      </x:c>
      <x:c r="H1526" s="396" t="n">
        <x:v>4</x:v>
      </x:c>
      <x:c r="I1526" s="20" t="str">
        <x:v>EEAS/ODNI China FIMI source register</x:v>
      </x:c>
      <x:c r="J1526" s="397" t="str">
        <x:v>https://www.eeas.europa.eu/eeas/4th-eeas-annual-report-foreign-information-manipulation-and-interference-threats_en</x:v>
      </x:c>
      <x:c r="K1526" s="20" t="str">
        <x:v>Primary source-register URL; automated screening score</x:v>
      </x:c>
      <x:c r="L1526" s="20" t="str">
        <x:v>2026-05-20</x:v>
      </x:c>
      <x:c r="M1526" s="20" t="str">
        <x:v>2026-05-20</x:v>
      </x:c>
      <x:c r="N1526" s="20" t="str">
        <x:v>GPT-5.5 Pro</x:v>
      </x:c>
      <x:c r="O1526" s="20" t="str">
        <x:v>Needs review</x:v>
      </x:c>
      <x:c r="P1526" s="20" t="str">
        <x:v>Screening score for China / Propaganda ecosystems in Singapore; verify with country-specific evidence before final use.</x:v>
      </x:c>
    </x:row>
    <x:row r="1527" ht="24" customHeight="1">
      <x:c r="A1527" s="20" t="str">
        <x:v>SGP|China|PMC presence</x:v>
      </x:c>
      <x:c r="B1527" s="20" t="str">
        <x:v>Singapore</x:v>
      </x:c>
      <x:c r="C1527" s="20" t="str">
        <x:v>SGP</x:v>
      </x:c>
      <x:c r="D1527" s="20" t="str">
        <x:v>China</x:v>
      </x:c>
      <x:c r="E1527" s="20" t="str">
        <x:v>Chinese influence</x:v>
      </x:c>
      <x:c r="F1527" s="20" t="str">
        <x:v>PMC presence</x:v>
      </x:c>
      <x:c r="G1527" s="384" t="n">
        <x:v>1</x:v>
      </x:c>
      <x:c r="H1527" s="396" t="n">
        <x:v>2</x:v>
      </x:c>
      <x:c r="I1527" s="20" t="str">
        <x:v>MERICS/Carnegie Chinese overseas PSC source register</x:v>
      </x:c>
      <x:c r="J1527" s="397" t="str">
        <x:v>https://merics.org/en/report/guardians-belt-and-road</x:v>
      </x:c>
      <x:c r="K1527" s="20" t="str">
        <x:v>Primary source-register URL; automated screening score</x:v>
      </x:c>
      <x:c r="L1527" s="20" t="str">
        <x:v>2026-05-20</x:v>
      </x:c>
      <x:c r="M1527" s="20" t="str">
        <x:v>2026-05-20</x:v>
      </x:c>
      <x:c r="N1527" s="20" t="str">
        <x:v>GPT-5.5 Pro</x:v>
      </x:c>
      <x:c r="O1527" s="20" t="str">
        <x:v>Needs review</x:v>
      </x:c>
      <x:c r="P1527" s="20" t="str">
        <x:v>Screening score for China / PMC presence in Singapore; verify with country-specific evidence before final use.</x:v>
      </x:c>
    </x:row>
    <x:row r="1528" ht="24" customHeight="1">
      <x:c r="A1528" s="20" t="str">
        <x:v>SGP|China|Election interference</x:v>
      </x:c>
      <x:c r="B1528" s="20" t="str">
        <x:v>Singapore</x:v>
      </x:c>
      <x:c r="C1528" s="20" t="str">
        <x:v>SGP</x:v>
      </x:c>
      <x:c r="D1528" s="20" t="str">
        <x:v>China</x:v>
      </x:c>
      <x:c r="E1528" s="20" t="str">
        <x:v>Chinese influence</x:v>
      </x:c>
      <x:c r="F1528" s="20" t="str">
        <x:v>Election interference</x:v>
      </x:c>
      <x:c r="G1528" s="384" t="n">
        <x:v>3</x:v>
      </x:c>
      <x:c r="H1528" s="396" t="n">
        <x:v>3</x:v>
      </x:c>
      <x:c r="I1528" s="20" t="str">
        <x:v>EEAS/ODNI China election-FIMI source register</x:v>
      </x:c>
      <x:c r="J1528" s="397" t="str">
        <x:v>https://www.eeas.europa.eu/eeas/4th-eeas-annual-report-foreign-information-manipulation-and-interference-threats_en</x:v>
      </x:c>
      <x:c r="K1528" s="20" t="str">
        <x:v>Primary source-register URL; automated screening score</x:v>
      </x:c>
      <x:c r="L1528" s="20" t="str">
        <x:v>2026-05-20</x:v>
      </x:c>
      <x:c r="M1528" s="20" t="str">
        <x:v>2026-05-20</x:v>
      </x:c>
      <x:c r="N1528" s="20" t="str">
        <x:v>GPT-5.5 Pro</x:v>
      </x:c>
      <x:c r="O1528" s="20" t="str">
        <x:v>Needs review</x:v>
      </x:c>
      <x:c r="P1528" s="20" t="str">
        <x:v>Screening score for China / Election interference in Singapore; verify with country-specific evidence before final use.</x:v>
      </x:c>
    </x:row>
    <x:row r="1529" ht="24" customHeight="1">
      <x:c r="A1529" s="20" t="str">
        <x:v>SGP|China|Security contractors</x:v>
      </x:c>
      <x:c r="B1529" s="20" t="str">
        <x:v>Singapore</x:v>
      </x:c>
      <x:c r="C1529" s="20" t="str">
        <x:v>SGP</x:v>
      </x:c>
      <x:c r="D1529" s="20" t="str">
        <x:v>China</x:v>
      </x:c>
      <x:c r="E1529" s="20" t="str">
        <x:v>Chinese influence</x:v>
      </x:c>
      <x:c r="F1529" s="20" t="str">
        <x:v>Security contractors</x:v>
      </x:c>
      <x:c r="G1529" s="384" t="n">
        <x:v>2</x:v>
      </x:c>
      <x:c r="H1529" s="396" t="n">
        <x:v>2</x:v>
      </x:c>
      <x:c r="I1529" s="20" t="str">
        <x:v>MERICS/Carnegie Chinese security contractor source register</x:v>
      </x:c>
      <x:c r="J1529" s="397" t="str">
        <x:v>https://merics.org/en/report/guardians-belt-and-road</x:v>
      </x:c>
      <x:c r="K1529" s="20" t="str">
        <x:v>Primary source-register URL; automated screening score</x:v>
      </x:c>
      <x:c r="L1529" s="20" t="str">
        <x:v>2026-05-20</x:v>
      </x:c>
      <x:c r="M1529" s="20" t="str">
        <x:v>2026-05-20</x:v>
      </x:c>
      <x:c r="N1529" s="20" t="str">
        <x:v>GPT-5.5 Pro</x:v>
      </x:c>
      <x:c r="O1529" s="20" t="str">
        <x:v>Needs review</x:v>
      </x:c>
      <x:c r="P1529" s="20" t="str">
        <x:v>Screening score for China / Security contractors in Singapore; verify with country-specific evidence before final use.</x:v>
      </x:c>
    </x:row>
    <x:row r="1530" ht="24" customHeight="1">
      <x:c r="A1530" s="20" t="str">
        <x:v>SGP|United States|Propaganda ecosystems</x:v>
      </x:c>
      <x:c r="B1530" s="20" t="str">
        <x:v>Singapore</x:v>
      </x:c>
      <x:c r="C1530" s="20" t="str">
        <x:v>SGP</x:v>
      </x:c>
      <x:c r="D1530" s="20" t="str">
        <x:v>United States</x:v>
      </x:c>
      <x:c r="E1530" s="20" t="str">
        <x:v>American influence</x:v>
      </x:c>
      <x:c r="F1530" s="20" t="str">
        <x:v>Propaganda ecosystems</x:v>
      </x:c>
      <x:c r="G1530" s="384" t="n">
        <x:v>3</x:v>
      </x:c>
      <x:c r="H1530" s="396" t="n">
        <x:v>3</x:v>
      </x:c>
      <x:c r="I1530" s="20" t="str">
        <x:v>USAGM public media source register</x:v>
      </x:c>
      <x:c r="J1530" s="397" t="str">
        <x:v>https://www.usagm.gov/our-work/strategy-and-results/strategic-priorities/research-reports/</x:v>
      </x:c>
      <x:c r="K1530" s="20" t="str">
        <x:v>Primary source-register URL; automated screening score</x:v>
      </x:c>
      <x:c r="L1530" s="20" t="str">
        <x:v>2026-05-20</x:v>
      </x:c>
      <x:c r="M1530" s="20" t="str">
        <x:v>2026-05-20</x:v>
      </x:c>
      <x:c r="N1530" s="20" t="str">
        <x:v>GPT-5.5 Pro</x:v>
      </x:c>
      <x:c r="O1530" s="20" t="str">
        <x:v>Needs review</x:v>
      </x:c>
      <x:c r="P1530" s="20" t="str">
        <x:v>Screening score for United States / Propaganda ecosystems in Singapore; verify with country-specific evidence before final use.</x:v>
      </x:c>
    </x:row>
    <x:row r="1531" ht="24" customHeight="1">
      <x:c r="A1531" s="20" t="str">
        <x:v>SGP|United States|PMC presence</x:v>
      </x:c>
      <x:c r="B1531" s="20" t="str">
        <x:v>Singapore</x:v>
      </x:c>
      <x:c r="C1531" s="20" t="str">
        <x:v>SGP</x:v>
      </x:c>
      <x:c r="D1531" s="20" t="str">
        <x:v>United States</x:v>
      </x:c>
      <x:c r="E1531" s="20" t="str">
        <x:v>American influence</x:v>
      </x:c>
      <x:c r="F1531" s="20" t="str">
        <x:v>PMC presence</x:v>
      </x:c>
      <x:c r="G1531" s="384" t="n">
        <x:v>1</x:v>
      </x:c>
      <x:c r="H1531" s="396" t="n">
        <x:v>2</x:v>
      </x:c>
      <x:c r="I1531" s="20" t="str">
        <x:v>SAM/Greenbook U.S. security assistance contractor source register</x:v>
      </x:c>
      <x:c r="J1531" s="397" t="str">
        <x:v>https://internationalpolicy.org/programs/sam/</x:v>
      </x:c>
      <x:c r="K1531" s="20" t="str">
        <x:v>Primary source-register URL; automated screening score</x:v>
      </x:c>
      <x:c r="L1531" s="20" t="str">
        <x:v>2026-05-20</x:v>
      </x:c>
      <x:c r="M1531" s="20" t="str">
        <x:v>2026-05-20</x:v>
      </x:c>
      <x:c r="N1531" s="20" t="str">
        <x:v>GPT-5.5 Pro</x:v>
      </x:c>
      <x:c r="O1531" s="20" t="str">
        <x:v>Needs review</x:v>
      </x:c>
      <x:c r="P1531" s="20" t="str">
        <x:v>Screening score for United States / PMC presence in Singapore; verify with country-specific evidence before final use.</x:v>
      </x:c>
    </x:row>
    <x:row r="1532" ht="24" customHeight="1">
      <x:c r="A1532" s="20" t="str">
        <x:v>SGP|United States|Election interference</x:v>
      </x:c>
      <x:c r="B1532" s="20" t="str">
        <x:v>Singapore</x:v>
      </x:c>
      <x:c r="C1532" s="20" t="str">
        <x:v>SGP</x:v>
      </x:c>
      <x:c r="D1532" s="20" t="str">
        <x:v>United States</x:v>
      </x:c>
      <x:c r="E1532" s="20" t="str">
        <x:v>American influence</x:v>
      </x:c>
      <x:c r="F1532" s="20" t="str">
        <x:v>Election interference</x:v>
      </x:c>
      <x:c r="G1532" s="384" t="n">
        <x:v>2</x:v>
      </x:c>
      <x:c r="H1532" s="396" t="n">
        <x:v>2</x:v>
      </x:c>
      <x:c r="I1532" s="20" t="str">
        <x:v>NED/Greenbook democracy assistance source register</x:v>
      </x:c>
      <x:c r="J1532" s="397" t="str">
        <x:v>https://www.ned.org/ned-grantmaking/</x:v>
      </x:c>
      <x:c r="K1532" s="20" t="str">
        <x:v>Primary source-register URL; automated screening score</x:v>
      </x:c>
      <x:c r="L1532" s="20" t="str">
        <x:v>2026-05-20</x:v>
      </x:c>
      <x:c r="M1532" s="20" t="str">
        <x:v>2026-05-20</x:v>
      </x:c>
      <x:c r="N1532" s="20" t="str">
        <x:v>GPT-5.5 Pro</x:v>
      </x:c>
      <x:c r="O1532" s="20" t="str">
        <x:v>Needs review</x:v>
      </x:c>
      <x:c r="P1532" s="20" t="str">
        <x:v>Screening score for United States / Election interference in Singapore; verify with country-specific evidence before final use.</x:v>
      </x:c>
    </x:row>
    <x:row r="1533" ht="24" customHeight="1">
      <x:c r="A1533" s="20" t="str">
        <x:v>SGP|United States|Security contractors</x:v>
      </x:c>
      <x:c r="B1533" s="20" t="str">
        <x:v>Singapore</x:v>
      </x:c>
      <x:c r="C1533" s="20" t="str">
        <x:v>SGP</x:v>
      </x:c>
      <x:c r="D1533" s="20" t="str">
        <x:v>United States</x:v>
      </x:c>
      <x:c r="E1533" s="20" t="str">
        <x:v>American influence</x:v>
      </x:c>
      <x:c r="F1533" s="20" t="str">
        <x:v>Security contractors</x:v>
      </x:c>
      <x:c r="G1533" s="384" t="n">
        <x:v>5</x:v>
      </x:c>
      <x:c r="H1533" s="396" t="n">
        <x:v>3</x:v>
      </x:c>
      <x:c r="I1533" s="20" t="str">
        <x:v>SAM/Greenbook U.S. security contractor source register</x:v>
      </x:c>
      <x:c r="J1533" s="397" t="str">
        <x:v>https://internationalpolicy.org/programs/sam/</x:v>
      </x:c>
      <x:c r="K1533" s="20" t="str">
        <x:v>Primary source-register URL; automated screening score</x:v>
      </x:c>
      <x:c r="L1533" s="20" t="str">
        <x:v>2026-05-20</x:v>
      </x:c>
      <x:c r="M1533" s="20" t="str">
        <x:v>2026-05-20</x:v>
      </x:c>
      <x:c r="N1533" s="20" t="str">
        <x:v>GPT-5.5 Pro</x:v>
      </x:c>
      <x:c r="O1533" s="20" t="str">
        <x:v>Needs review</x:v>
      </x:c>
      <x:c r="P1533" s="20" t="str">
        <x:v>Screening score for United States / Security contractors in Singapore; verify with country-specific evidence before final use.</x:v>
      </x:c>
    </x:row>
    <x:row r="1534" ht="24" customHeight="1">
      <x:c r="A1534" s="20" t="str">
        <x:v>SGP|European Union|Propaganda ecosystems</x:v>
      </x:c>
      <x:c r="B1534" s="20" t="str">
        <x:v>Singapore</x:v>
      </x:c>
      <x:c r="C1534" s="20" t="str">
        <x:v>SGP</x:v>
      </x:c>
      <x:c r="D1534" s="20" t="str">
        <x:v>European Union</x:v>
      </x:c>
      <x:c r="E1534" s="20" t="str">
        <x:v>EU influence</x:v>
      </x:c>
      <x:c r="F1534" s="20" t="str">
        <x:v>Propaganda ecosystems</x:v>
      </x:c>
      <x:c r="G1534" s="384" t="n">
        <x:v>2</x:v>
      </x:c>
      <x:c r="H1534" s="396" t="n">
        <x:v>2</x:v>
      </x:c>
      <x:c r="I1534" s="20" t="str">
        <x:v>EEAS public diplomacy source register</x:v>
      </x:c>
      <x:c r="J1534" s="397" t="str">
        <x:v>https://www.eeas.europa.eu/eeas/public-diplomacy_en</x:v>
      </x:c>
      <x:c r="K1534" s="20" t="str">
        <x:v>Primary source-register URL; automated screening score</x:v>
      </x:c>
      <x:c r="L1534" s="20" t="str">
        <x:v>2026-05-20</x:v>
      </x:c>
      <x:c r="M1534" s="20" t="str">
        <x:v>2026-05-20</x:v>
      </x:c>
      <x:c r="N1534" s="20" t="str">
        <x:v>GPT-5.5 Pro</x:v>
      </x:c>
      <x:c r="O1534" s="20" t="str">
        <x:v>Needs review</x:v>
      </x:c>
      <x:c r="P1534" s="20" t="str">
        <x:v>Screening score for European Union / Propaganda ecosystems in Singapore; verify with country-specific evidence before final use.</x:v>
      </x:c>
    </x:row>
    <x:row r="1535" ht="24" customHeight="1">
      <x:c r="A1535" s="20" t="str">
        <x:v>SGP|European Union|PMC presence</x:v>
      </x:c>
      <x:c r="B1535" s="20" t="str">
        <x:v>Singapore</x:v>
      </x:c>
      <x:c r="C1535" s="20" t="str">
        <x:v>SGP</x:v>
      </x:c>
      <x:c r="D1535" s="20" t="str">
        <x:v>European Union</x:v>
      </x:c>
      <x:c r="E1535" s="20" t="str">
        <x:v>EU influence</x:v>
      </x:c>
      <x:c r="F1535" s="20" t="str">
        <x:v>PMC presence</x:v>
      </x:c>
      <x:c r="G1535" s="384" t="n">
        <x:v>0</x:v>
      </x:c>
      <x:c r="H1535" s="396" t="n">
        <x:v>1</x:v>
      </x:c>
      <x:c r="I1535" s="20" t="str">
        <x:v>EEAS CSDP missions source register</x:v>
      </x:c>
      <x:c r="J1535" s="397" t="str">
        <x:v>https://www.eeas.europa.eu/eeas/missions-and-operations_en</x:v>
      </x:c>
      <x:c r="K1535" s="20" t="str">
        <x:v>Primary source-register URL; automated screening score</x:v>
      </x:c>
      <x:c r="L1535" s="20" t="str">
        <x:v>2026-05-20</x:v>
      </x:c>
      <x:c r="M1535" s="20" t="str">
        <x:v>2026-05-20</x:v>
      </x:c>
      <x:c r="N1535" s="20" t="str">
        <x:v>GPT-5.5 Pro</x:v>
      </x:c>
      <x:c r="O1535" s="20" t="str">
        <x:v>Needs review</x:v>
      </x:c>
      <x:c r="P1535" s="20" t="str">
        <x:v>Screening score for European Union / PMC presence in Singapore; verify with country-specific evidence before final use.</x:v>
      </x:c>
    </x:row>
    <x:row r="1536" ht="24" customHeight="1">
      <x:c r="A1536" s="20" t="str">
        <x:v>SGP|European Union|Election interference</x:v>
      </x:c>
      <x:c r="B1536" s="20" t="str">
        <x:v>Singapore</x:v>
      </x:c>
      <x:c r="C1536" s="20" t="str">
        <x:v>SGP</x:v>
      </x:c>
      <x:c r="D1536" s="20" t="str">
        <x:v>European Union</x:v>
      </x:c>
      <x:c r="E1536" s="20" t="str">
        <x:v>EU influence</x:v>
      </x:c>
      <x:c r="F1536" s="20" t="str">
        <x:v>Election interference</x:v>
      </x:c>
      <x:c r="G1536" s="384" t="n">
        <x:v>1</x:v>
      </x:c>
      <x:c r="H1536" s="396" t="n">
        <x:v>2</x:v>
      </x:c>
      <x:c r="I1536" s="20" t="str">
        <x:v>EEAS EU election observation source register</x:v>
      </x:c>
      <x:c r="J1536" s="397" t="str">
        <x:v>https://www.eeas.europa.eu/eeas/eu-election-observation-missions-1_en?page_lang=en</x:v>
      </x:c>
      <x:c r="K1536" s="20" t="str">
        <x:v>Primary source-register URL; automated screening score</x:v>
      </x:c>
      <x:c r="L1536" s="20" t="str">
        <x:v>2026-05-20</x:v>
      </x:c>
      <x:c r="M1536" s="20" t="str">
        <x:v>2026-05-20</x:v>
      </x:c>
      <x:c r="N1536" s="20" t="str">
        <x:v>GPT-5.5 Pro</x:v>
      </x:c>
      <x:c r="O1536" s="20" t="str">
        <x:v>Needs review</x:v>
      </x:c>
      <x:c r="P1536" s="20" t="str">
        <x:v>Screening score for European Union / Election interference in Singapore; verify with country-specific evidence before final use.</x:v>
      </x:c>
    </x:row>
    <x:row r="1537" ht="24" customHeight="1">
      <x:c r="A1537" s="20" t="str">
        <x:v>SGP|European Union|Security contractors</x:v>
      </x:c>
      <x:c r="B1537" s="20" t="str">
        <x:v>Singapore</x:v>
      </x:c>
      <x:c r="C1537" s="20" t="str">
        <x:v>SGP</x:v>
      </x:c>
      <x:c r="D1537" s="20" t="str">
        <x:v>European Union</x:v>
      </x:c>
      <x:c r="E1537" s="20" t="str">
        <x:v>EU influence</x:v>
      </x:c>
      <x:c r="F1537" s="20" t="str">
        <x:v>Security contractors</x:v>
      </x:c>
      <x:c r="G1537" s="384" t="n">
        <x:v>2</x:v>
      </x:c>
      <x:c r="H1537" s="396" t="n">
        <x:v>2</x:v>
      </x:c>
      <x:c r="I1537" s="20" t="str">
        <x:v>EEAS CSDP / Global Gateway security source register</x:v>
      </x:c>
      <x:c r="J1537" s="397" t="str">
        <x:v>https://www.eeas.europa.eu/eeas/missions-and-operations_en</x:v>
      </x:c>
      <x:c r="K1537" s="20" t="str">
        <x:v>Primary source-register URL; automated screening score</x:v>
      </x:c>
      <x:c r="L1537" s="20" t="str">
        <x:v>2026-05-20</x:v>
      </x:c>
      <x:c r="M1537" s="20" t="str">
        <x:v>2026-05-20</x:v>
      </x:c>
      <x:c r="N1537" s="20" t="str">
        <x:v>GPT-5.5 Pro</x:v>
      </x:c>
      <x:c r="O1537" s="20" t="str">
        <x:v>Needs review</x:v>
      </x:c>
      <x:c r="P1537" s="20" t="str">
        <x:v>Screening score for European Union / Security contractors in Singapore; verify with country-specific evidence before final use.</x:v>
      </x:c>
    </x:row>
    <x:row r="1538" ht="24" customHeight="1">
      <x:c r="A1538" s="20" t="str">
        <x:v>SVK|Russia|Propaganda ecosystems</x:v>
      </x:c>
      <x:c r="B1538" s="20" t="str">
        <x:v>Slovakia</x:v>
      </x:c>
      <x:c r="C1538" s="20" t="str">
        <x:v>SVK</x:v>
      </x:c>
      <x:c r="D1538" s="20" t="str">
        <x:v>Russia</x:v>
      </x:c>
      <x:c r="E1538" s="20" t="str">
        <x:v>Russian influence</x:v>
      </x:c>
      <x:c r="F1538" s="20" t="str">
        <x:v>Propaganda ecosystems</x:v>
      </x:c>
      <x:c r="G1538" s="384" t="n">
        <x:v>6</x:v>
      </x:c>
      <x:c r="H1538" s="396" t="n">
        <x:v>4</x:v>
      </x:c>
      <x:c r="I1538" s="20" t="str">
        <x:v>EEAS/EUvsDisinfo FIMI source register</x:v>
      </x:c>
      <x:c r="J1538" s="397" t="str">
        <x:v>https://www.eeas.europa.eu/eeas/4th-eeas-annual-report-foreign-information-manipulation-and-interference-threats_en</x:v>
      </x:c>
      <x:c r="K1538" s="20" t="str">
        <x:v>Primary source-register URL; automated screening score</x:v>
      </x:c>
      <x:c r="L1538" s="20" t="str">
        <x:v>2026-05-20</x:v>
      </x:c>
      <x:c r="M1538" s="20" t="str">
        <x:v>2026-05-20</x:v>
      </x:c>
      <x:c r="N1538" s="20" t="str">
        <x:v>GPT-5.5 Pro</x:v>
      </x:c>
      <x:c r="O1538" s="20" t="str">
        <x:v>Needs review</x:v>
      </x:c>
      <x:c r="P1538" s="20" t="str">
        <x:v>Screening score for Russia / Propaganda ecosystems in Slovakia; verify with country-specific evidence before final use.</x:v>
      </x:c>
    </x:row>
    <x:row r="1539" ht="24" customHeight="1">
      <x:c r="A1539" s="20" t="str">
        <x:v>SVK|Russia|PMC presence</x:v>
      </x:c>
      <x:c r="B1539" s="20" t="str">
        <x:v>Slovakia</x:v>
      </x:c>
      <x:c r="C1539" s="20" t="str">
        <x:v>SVK</x:v>
      </x:c>
      <x:c r="D1539" s="20" t="str">
        <x:v>Russia</x:v>
      </x:c>
      <x:c r="E1539" s="20" t="str">
        <x:v>Russian influence</x:v>
      </x:c>
      <x:c r="F1539" s="20" t="str">
        <x:v>PMC presence</x:v>
      </x:c>
      <x:c r="G1539" s="384" t="n">
        <x:v>0</x:v>
      </x:c>
      <x:c r="H1539" s="396" t="n">
        <x:v>1</x:v>
      </x:c>
      <x:c r="I1539" s="20" t="str">
        <x:v>Treasury and Council of the EU Wagner/PMC source register</x:v>
      </x:c>
      <x:c r="J1539" s="397" t="str">
        <x:v>https://www.consilium.europa.eu/en/press/press-releases/2023/02/25/wagner-group-council-adds-11-individuals-and-7-entities-to-eu-sanctions-lists/</x:v>
      </x:c>
      <x:c r="K1539" s="20" t="str">
        <x:v>Primary source-register URL; automated screening score</x:v>
      </x:c>
      <x:c r="L1539" s="20" t="str">
        <x:v>2026-05-20</x:v>
      </x:c>
      <x:c r="M1539" s="20" t="str">
        <x:v>2026-05-20</x:v>
      </x:c>
      <x:c r="N1539" s="20" t="str">
        <x:v>GPT-5.5 Pro</x:v>
      </x:c>
      <x:c r="O1539" s="20" t="str">
        <x:v>Needs review</x:v>
      </x:c>
      <x:c r="P1539" s="20" t="str">
        <x:v>Screening score for Russia / PMC presence in Slovakia; verify with country-specific evidence before final use.</x:v>
      </x:c>
    </x:row>
    <x:row r="1540" ht="24" customHeight="1">
      <x:c r="A1540" s="20" t="str">
        <x:v>SVK|Russia|Election interference</x:v>
      </x:c>
      <x:c r="B1540" s="20" t="str">
        <x:v>Slovakia</x:v>
      </x:c>
      <x:c r="C1540" s="20" t="str">
        <x:v>SVK</x:v>
      </x:c>
      <x:c r="D1540" s="20" t="str">
        <x:v>Russia</x:v>
      </x:c>
      <x:c r="E1540" s="20" t="str">
        <x:v>Russian influence</x:v>
      </x:c>
      <x:c r="F1540" s="20" t="str">
        <x:v>Election interference</x:v>
      </x:c>
      <x:c r="G1540" s="384" t="n">
        <x:v>5</x:v>
      </x:c>
      <x:c r="H1540" s="396" t="n">
        <x:v>3</x:v>
      </x:c>
      <x:c r="I1540" s="20" t="str">
        <x:v>ODNI/EEAS election-FIMI source register</x:v>
      </x:c>
      <x:c r="J1540" s="397" t="str">
        <x:v>https://www.dni.gov/files/ODNI/documents/assessments/ATA-2026-Unclassified-Report.pdf</x:v>
      </x:c>
      <x:c r="K1540" s="20" t="str">
        <x:v>Primary source-register URL; automated screening score</x:v>
      </x:c>
      <x:c r="L1540" s="20" t="str">
        <x:v>2026-05-20</x:v>
      </x:c>
      <x:c r="M1540" s="20" t="str">
        <x:v>2026-05-20</x:v>
      </x:c>
      <x:c r="N1540" s="20" t="str">
        <x:v>GPT-5.5 Pro</x:v>
      </x:c>
      <x:c r="O1540" s="20" t="str">
        <x:v>Needs review</x:v>
      </x:c>
      <x:c r="P1540" s="20" t="str">
        <x:v>Screening score for Russia / Election interference in Slovakia; verify with country-specific evidence before final use.</x:v>
      </x:c>
    </x:row>
    <x:row r="1541" ht="24" customHeight="1">
      <x:c r="A1541" s="20" t="str">
        <x:v>SVK|Russia|Security contractors</x:v>
      </x:c>
      <x:c r="B1541" s="20" t="str">
        <x:v>Slovakia</x:v>
      </x:c>
      <x:c r="C1541" s="20" t="str">
        <x:v>SVK</x:v>
      </x:c>
      <x:c r="D1541" s="20" t="str">
        <x:v>Russia</x:v>
      </x:c>
      <x:c r="E1541" s="20" t="str">
        <x:v>Russian influence</x:v>
      </x:c>
      <x:c r="F1541" s="20" t="str">
        <x:v>Security contractors</x:v>
      </x:c>
      <x:c r="G1541" s="384" t="n">
        <x:v>0</x:v>
      </x:c>
      <x:c r="H1541" s="396" t="n">
        <x:v>1</x:v>
      </x:c>
      <x:c r="I1541" s="20" t="str">
        <x:v>Council of the EU/Treasury Wagner-security source register</x:v>
      </x:c>
      <x:c r="J1541" s="397" t="str">
        <x:v>https://www.consilium.europa.eu/en/press/press-releases/2023/02/25/wagner-group-council-adds-11-individuals-and-7-entities-to-eu-sanctions-lists/</x:v>
      </x:c>
      <x:c r="K1541" s="20" t="str">
        <x:v>Primary source-register URL; automated screening score</x:v>
      </x:c>
      <x:c r="L1541" s="20" t="str">
        <x:v>2026-05-20</x:v>
      </x:c>
      <x:c r="M1541" s="20" t="str">
        <x:v>2026-05-20</x:v>
      </x:c>
      <x:c r="N1541" s="20" t="str">
        <x:v>GPT-5.5 Pro</x:v>
      </x:c>
      <x:c r="O1541" s="20" t="str">
        <x:v>Needs review</x:v>
      </x:c>
      <x:c r="P1541" s="20" t="str">
        <x:v>Screening score for Russia / Security contractors in Slovakia; verify with country-specific evidence before final use.</x:v>
      </x:c>
    </x:row>
    <x:row r="1542" ht="24" customHeight="1">
      <x:c r="A1542" s="20" t="str">
        <x:v>SVK|China|Propaganda ecosystems</x:v>
      </x:c>
      <x:c r="B1542" s="20" t="str">
        <x:v>Slovakia</x:v>
      </x:c>
      <x:c r="C1542" s="20" t="str">
        <x:v>SVK</x:v>
      </x:c>
      <x:c r="D1542" s="20" t="str">
        <x:v>China</x:v>
      </x:c>
      <x:c r="E1542" s="20" t="str">
        <x:v>Chinese influence</x:v>
      </x:c>
      <x:c r="F1542" s="20" t="str">
        <x:v>Propaganda ecosystems</x:v>
      </x:c>
      <x:c r="G1542" s="384" t="n">
        <x:v>4</x:v>
      </x:c>
      <x:c r="H1542" s="396" t="n">
        <x:v>3</x:v>
      </x:c>
      <x:c r="I1542" s="20" t="str">
        <x:v>EEAS/ODNI China FIMI source register</x:v>
      </x:c>
      <x:c r="J1542" s="397" t="str">
        <x:v>https://www.eeas.europa.eu/eeas/4th-eeas-annual-report-foreign-information-manipulation-and-interference-threats_en</x:v>
      </x:c>
      <x:c r="K1542" s="20" t="str">
        <x:v>Primary source-register URL; automated screening score</x:v>
      </x:c>
      <x:c r="L1542" s="20" t="str">
        <x:v>2026-05-20</x:v>
      </x:c>
      <x:c r="M1542" s="20" t="str">
        <x:v>2026-05-20</x:v>
      </x:c>
      <x:c r="N1542" s="20" t="str">
        <x:v>GPT-5.5 Pro</x:v>
      </x:c>
      <x:c r="O1542" s="20" t="str">
        <x:v>Needs review</x:v>
      </x:c>
      <x:c r="P1542" s="20" t="str">
        <x:v>Screening score for China / Propaganda ecosystems in Slovakia; verify with country-specific evidence before final use.</x:v>
      </x:c>
    </x:row>
    <x:row r="1543" ht="24" customHeight="1">
      <x:c r="A1543" s="20" t="str">
        <x:v>SVK|China|PMC presence</x:v>
      </x:c>
      <x:c r="B1543" s="20" t="str">
        <x:v>Slovakia</x:v>
      </x:c>
      <x:c r="C1543" s="20" t="str">
        <x:v>SVK</x:v>
      </x:c>
      <x:c r="D1543" s="20" t="str">
        <x:v>China</x:v>
      </x:c>
      <x:c r="E1543" s="20" t="str">
        <x:v>Chinese influence</x:v>
      </x:c>
      <x:c r="F1543" s="20" t="str">
        <x:v>PMC presence</x:v>
      </x:c>
      <x:c r="G1543" s="384" t="n">
        <x:v>0</x:v>
      </x:c>
      <x:c r="H1543" s="396" t="n">
        <x:v>1</x:v>
      </x:c>
      <x:c r="I1543" s="20" t="str">
        <x:v>MERICS/Carnegie Chinese overseas PSC source register</x:v>
      </x:c>
      <x:c r="J1543" s="397" t="str">
        <x:v>https://merics.org/en/report/guardians-belt-and-road</x:v>
      </x:c>
      <x:c r="K1543" s="20" t="str">
        <x:v>Primary source-register URL; automated screening score</x:v>
      </x:c>
      <x:c r="L1543" s="20" t="str">
        <x:v>2026-05-20</x:v>
      </x:c>
      <x:c r="M1543" s="20" t="str">
        <x:v>2026-05-20</x:v>
      </x:c>
      <x:c r="N1543" s="20" t="str">
        <x:v>GPT-5.5 Pro</x:v>
      </x:c>
      <x:c r="O1543" s="20" t="str">
        <x:v>Needs review</x:v>
      </x:c>
      <x:c r="P1543" s="20" t="str">
        <x:v>Screening score for China / PMC presence in Slovakia; verify with country-specific evidence before final use.</x:v>
      </x:c>
    </x:row>
    <x:row r="1544" ht="24" customHeight="1">
      <x:c r="A1544" s="20" t="str">
        <x:v>SVK|China|Election interference</x:v>
      </x:c>
      <x:c r="B1544" s="20" t="str">
        <x:v>Slovakia</x:v>
      </x:c>
      <x:c r="C1544" s="20" t="str">
        <x:v>SVK</x:v>
      </x:c>
      <x:c r="D1544" s="20" t="str">
        <x:v>China</x:v>
      </x:c>
      <x:c r="E1544" s="20" t="str">
        <x:v>Chinese influence</x:v>
      </x:c>
      <x:c r="F1544" s="20" t="str">
        <x:v>Election interference</x:v>
      </x:c>
      <x:c r="G1544" s="384" t="n">
        <x:v>2</x:v>
      </x:c>
      <x:c r="H1544" s="396" t="n">
        <x:v>2</x:v>
      </x:c>
      <x:c r="I1544" s="20" t="str">
        <x:v>EEAS/ODNI China election-FIMI source register</x:v>
      </x:c>
      <x:c r="J1544" s="397" t="str">
        <x:v>https://www.eeas.europa.eu/eeas/4th-eeas-annual-report-foreign-information-manipulation-and-interference-threats_en</x:v>
      </x:c>
      <x:c r="K1544" s="20" t="str">
        <x:v>Primary source-register URL; automated screening score</x:v>
      </x:c>
      <x:c r="L1544" s="20" t="str">
        <x:v>2026-05-20</x:v>
      </x:c>
      <x:c r="M1544" s="20" t="str">
        <x:v>2026-05-20</x:v>
      </x:c>
      <x:c r="N1544" s="20" t="str">
        <x:v>GPT-5.5 Pro</x:v>
      </x:c>
      <x:c r="O1544" s="20" t="str">
        <x:v>Needs review</x:v>
      </x:c>
      <x:c r="P1544" s="20" t="str">
        <x:v>Screening score for China / Election interference in Slovakia; verify with country-specific evidence before final use.</x:v>
      </x:c>
    </x:row>
    <x:row r="1545" ht="24" customHeight="1">
      <x:c r="A1545" s="20" t="str">
        <x:v>SVK|China|Security contractors</x:v>
      </x:c>
      <x:c r="B1545" s="20" t="str">
        <x:v>Slovakia</x:v>
      </x:c>
      <x:c r="C1545" s="20" t="str">
        <x:v>SVK</x:v>
      </x:c>
      <x:c r="D1545" s="20" t="str">
        <x:v>China</x:v>
      </x:c>
      <x:c r="E1545" s="20" t="str">
        <x:v>Chinese influence</x:v>
      </x:c>
      <x:c r="F1545" s="20" t="str">
        <x:v>Security contractors</x:v>
      </x:c>
      <x:c r="G1545" s="384" t="n">
        <x:v>0</x:v>
      </x:c>
      <x:c r="H1545" s="396" t="n">
        <x:v>1</x:v>
      </x:c>
      <x:c r="I1545" s="20" t="str">
        <x:v>MERICS/Carnegie Chinese security contractor source register</x:v>
      </x:c>
      <x:c r="J1545" s="397" t="str">
        <x:v>https://merics.org/en/report/guardians-belt-and-road</x:v>
      </x:c>
      <x:c r="K1545" s="20" t="str">
        <x:v>Primary source-register URL; automated screening score</x:v>
      </x:c>
      <x:c r="L1545" s="20" t="str">
        <x:v>2026-05-20</x:v>
      </x:c>
      <x:c r="M1545" s="20" t="str">
        <x:v>2026-05-20</x:v>
      </x:c>
      <x:c r="N1545" s="20" t="str">
        <x:v>GPT-5.5 Pro</x:v>
      </x:c>
      <x:c r="O1545" s="20" t="str">
        <x:v>Needs review</x:v>
      </x:c>
      <x:c r="P1545" s="20" t="str">
        <x:v>Screening score for China / Security contractors in Slovakia; verify with country-specific evidence before final use.</x:v>
      </x:c>
    </x:row>
    <x:row r="1546" ht="24" customHeight="1">
      <x:c r="A1546" s="20" t="str">
        <x:v>SVK|United States|Propaganda ecosystems</x:v>
      </x:c>
      <x:c r="B1546" s="20" t="str">
        <x:v>Slovakia</x:v>
      </x:c>
      <x:c r="C1546" s="20" t="str">
        <x:v>SVK</x:v>
      </x:c>
      <x:c r="D1546" s="20" t="str">
        <x:v>United States</x:v>
      </x:c>
      <x:c r="E1546" s="20" t="str">
        <x:v>American influence</x:v>
      </x:c>
      <x:c r="F1546" s="20" t="str">
        <x:v>Propaganda ecosystems</x:v>
      </x:c>
      <x:c r="G1546" s="384" t="n">
        <x:v>4</x:v>
      </x:c>
      <x:c r="H1546" s="396" t="n">
        <x:v>3</x:v>
      </x:c>
      <x:c r="I1546" s="20" t="str">
        <x:v>USAGM public media source register</x:v>
      </x:c>
      <x:c r="J1546" s="397" t="str">
        <x:v>https://www.usagm.gov/our-work/strategy-and-results/strategic-priorities/research-reports/</x:v>
      </x:c>
      <x:c r="K1546" s="20" t="str">
        <x:v>Primary source-register URL; automated screening score</x:v>
      </x:c>
      <x:c r="L1546" s="20" t="str">
        <x:v>2026-05-20</x:v>
      </x:c>
      <x:c r="M1546" s="20" t="str">
        <x:v>2026-05-20</x:v>
      </x:c>
      <x:c r="N1546" s="20" t="str">
        <x:v>GPT-5.5 Pro</x:v>
      </x:c>
      <x:c r="O1546" s="20" t="str">
        <x:v>Needs review</x:v>
      </x:c>
      <x:c r="P1546" s="20" t="str">
        <x:v>Screening score for United States / Propaganda ecosystems in Slovakia; verify with country-specific evidence before final use.</x:v>
      </x:c>
    </x:row>
    <x:row r="1547" ht="24" customHeight="1">
      <x:c r="A1547" s="20" t="str">
        <x:v>SVK|United States|PMC presence</x:v>
      </x:c>
      <x:c r="B1547" s="20" t="str">
        <x:v>Slovakia</x:v>
      </x:c>
      <x:c r="C1547" s="20" t="str">
        <x:v>SVK</x:v>
      </x:c>
      <x:c r="D1547" s="20" t="str">
        <x:v>United States</x:v>
      </x:c>
      <x:c r="E1547" s="20" t="str">
        <x:v>American influence</x:v>
      </x:c>
      <x:c r="F1547" s="20" t="str">
        <x:v>PMC presence</x:v>
      </x:c>
      <x:c r="G1547" s="384" t="n">
        <x:v>3</x:v>
      </x:c>
      <x:c r="H1547" s="396" t="n">
        <x:v>3</x:v>
      </x:c>
      <x:c r="I1547" s="20" t="str">
        <x:v>SAM/Greenbook U.S. security assistance contractor source register</x:v>
      </x:c>
      <x:c r="J1547" s="397" t="str">
        <x:v>https://internationalpolicy.org/programs/sam/</x:v>
      </x:c>
      <x:c r="K1547" s="20" t="str">
        <x:v>Primary source-register URL; automated screening score</x:v>
      </x:c>
      <x:c r="L1547" s="20" t="str">
        <x:v>2026-05-20</x:v>
      </x:c>
      <x:c r="M1547" s="20" t="str">
        <x:v>2026-05-20</x:v>
      </x:c>
      <x:c r="N1547" s="20" t="str">
        <x:v>GPT-5.5 Pro</x:v>
      </x:c>
      <x:c r="O1547" s="20" t="str">
        <x:v>Needs review</x:v>
      </x:c>
      <x:c r="P1547" s="20" t="str">
        <x:v>Screening score for United States / PMC presence in Slovakia; verify with country-specific evidence before final use.</x:v>
      </x:c>
    </x:row>
    <x:row r="1548" ht="24" customHeight="1">
      <x:c r="A1548" s="20" t="str">
        <x:v>SVK|United States|Election interference</x:v>
      </x:c>
      <x:c r="B1548" s="20" t="str">
        <x:v>Slovakia</x:v>
      </x:c>
      <x:c r="C1548" s="20" t="str">
        <x:v>SVK</x:v>
      </x:c>
      <x:c r="D1548" s="20" t="str">
        <x:v>United States</x:v>
      </x:c>
      <x:c r="E1548" s="20" t="str">
        <x:v>American influence</x:v>
      </x:c>
      <x:c r="F1548" s="20" t="str">
        <x:v>Election interference</x:v>
      </x:c>
      <x:c r="G1548" s="384" t="n">
        <x:v>1</x:v>
      </x:c>
      <x:c r="H1548" s="396" t="n">
        <x:v>2</x:v>
      </x:c>
      <x:c r="I1548" s="20" t="str">
        <x:v>NED/Greenbook democracy assistance source register</x:v>
      </x:c>
      <x:c r="J1548" s="397" t="str">
        <x:v>https://www.ned.org/ned-grantmaking/</x:v>
      </x:c>
      <x:c r="K1548" s="20" t="str">
        <x:v>Primary source-register URL; automated screening score</x:v>
      </x:c>
      <x:c r="L1548" s="20" t="str">
        <x:v>2026-05-20</x:v>
      </x:c>
      <x:c r="M1548" s="20" t="str">
        <x:v>2026-05-20</x:v>
      </x:c>
      <x:c r="N1548" s="20" t="str">
        <x:v>GPT-5.5 Pro</x:v>
      </x:c>
      <x:c r="O1548" s="20" t="str">
        <x:v>Needs review</x:v>
      </x:c>
      <x:c r="P1548" s="20" t="str">
        <x:v>Screening score for United States / Election interference in Slovakia; verify with country-specific evidence before final use.</x:v>
      </x:c>
    </x:row>
    <x:row r="1549" ht="24" customHeight="1">
      <x:c r="A1549" s="20" t="str">
        <x:v>SVK|United States|Security contractors</x:v>
      </x:c>
      <x:c r="B1549" s="20" t="str">
        <x:v>Slovakia</x:v>
      </x:c>
      <x:c r="C1549" s="20" t="str">
        <x:v>SVK</x:v>
      </x:c>
      <x:c r="D1549" s="20" t="str">
        <x:v>United States</x:v>
      </x:c>
      <x:c r="E1549" s="20" t="str">
        <x:v>American influence</x:v>
      </x:c>
      <x:c r="F1549" s="20" t="str">
        <x:v>Security contractors</x:v>
      </x:c>
      <x:c r="G1549" s="384" t="n">
        <x:v>6</x:v>
      </x:c>
      <x:c r="H1549" s="396" t="n">
        <x:v>4</x:v>
      </x:c>
      <x:c r="I1549" s="20" t="str">
        <x:v>SAM/Greenbook U.S. security contractor source register</x:v>
      </x:c>
      <x:c r="J1549" s="397" t="str">
        <x:v>https://internationalpolicy.org/programs/sam/</x:v>
      </x:c>
      <x:c r="K1549" s="20" t="str">
        <x:v>Primary source-register URL; automated screening score</x:v>
      </x:c>
      <x:c r="L1549" s="20" t="str">
        <x:v>2026-05-20</x:v>
      </x:c>
      <x:c r="M1549" s="20" t="str">
        <x:v>2026-05-20</x:v>
      </x:c>
      <x:c r="N1549" s="20" t="str">
        <x:v>GPT-5.5 Pro</x:v>
      </x:c>
      <x:c r="O1549" s="20" t="str">
        <x:v>Needs review</x:v>
      </x:c>
      <x:c r="P1549" s="20" t="str">
        <x:v>Screening score for United States / Security contractors in Slovakia; verify with country-specific evidence before final use.</x:v>
      </x:c>
    </x:row>
    <x:row r="1550" ht="24" customHeight="1">
      <x:c r="A1550" s="20" t="str">
        <x:v>SVK|European Union|Propaganda ecosystems</x:v>
      </x:c>
      <x:c r="B1550" s="20" t="str">
        <x:v>Slovakia</x:v>
      </x:c>
      <x:c r="C1550" s="20" t="str">
        <x:v>SVK</x:v>
      </x:c>
      <x:c r="D1550" s="20" t="str">
        <x:v>European Union</x:v>
      </x:c>
      <x:c r="E1550" s="20" t="str">
        <x:v>EU influence</x:v>
      </x:c>
      <x:c r="F1550" s="20" t="str">
        <x:v>Propaganda ecosystems</x:v>
      </x:c>
      <x:c r="G1550" s="384" t="n">
        <x:v>9</x:v>
      </x:c>
      <x:c r="H1550" s="396" t="n">
        <x:v>5</x:v>
      </x:c>
      <x:c r="I1550" s="20" t="str">
        <x:v>EEAS public diplomacy source register</x:v>
      </x:c>
      <x:c r="J1550" s="397" t="str">
        <x:v>https://www.eeas.europa.eu/eeas/public-diplomacy_en</x:v>
      </x:c>
      <x:c r="K1550" s="20" t="str">
        <x:v>Primary source-register URL; automated screening score</x:v>
      </x:c>
      <x:c r="L1550" s="20" t="str">
        <x:v>2026-05-20</x:v>
      </x:c>
      <x:c r="M1550" s="20" t="str">
        <x:v>2026-05-20</x:v>
      </x:c>
      <x:c r="N1550" s="20" t="str">
        <x:v>GPT-5.5 Pro</x:v>
      </x:c>
      <x:c r="O1550" s="20" t="str">
        <x:v>Needs review</x:v>
      </x:c>
      <x:c r="P1550" s="20" t="str">
        <x:v>Screening score for European Union / Propaganda ecosystems in Slovakia; verify with country-specific evidence before final use.</x:v>
      </x:c>
    </x:row>
    <x:row r="1551" ht="24" customHeight="1">
      <x:c r="A1551" s="20" t="str">
        <x:v>SVK|European Union|PMC presence</x:v>
      </x:c>
      <x:c r="B1551" s="20" t="str">
        <x:v>Slovakia</x:v>
      </x:c>
      <x:c r="C1551" s="20" t="str">
        <x:v>SVK</x:v>
      </x:c>
      <x:c r="D1551" s="20" t="str">
        <x:v>European Union</x:v>
      </x:c>
      <x:c r="E1551" s="20" t="str">
        <x:v>EU influence</x:v>
      </x:c>
      <x:c r="F1551" s="20" t="str">
        <x:v>PMC presence</x:v>
      </x:c>
      <x:c r="G1551" s="384" t="n">
        <x:v>0</x:v>
      </x:c>
      <x:c r="H1551" s="396" t="n">
        <x:v>1</x:v>
      </x:c>
      <x:c r="I1551" s="20" t="str">
        <x:v>EEAS CSDP missions source register</x:v>
      </x:c>
      <x:c r="J1551" s="397" t="str">
        <x:v>https://www.eeas.europa.eu/eeas/missions-and-operations_en</x:v>
      </x:c>
      <x:c r="K1551" s="20" t="str">
        <x:v>Primary source-register URL; automated screening score</x:v>
      </x:c>
      <x:c r="L1551" s="20" t="str">
        <x:v>2026-05-20</x:v>
      </x:c>
      <x:c r="M1551" s="20" t="str">
        <x:v>2026-05-20</x:v>
      </x:c>
      <x:c r="N1551" s="20" t="str">
        <x:v>GPT-5.5 Pro</x:v>
      </x:c>
      <x:c r="O1551" s="20" t="str">
        <x:v>Needs review</x:v>
      </x:c>
      <x:c r="P1551" s="20" t="str">
        <x:v>Screening score for European Union / PMC presence in Slovakia; verify with country-specific evidence before final use.</x:v>
      </x:c>
    </x:row>
    <x:row r="1552" ht="24" customHeight="1">
      <x:c r="A1552" s="20" t="str">
        <x:v>SVK|European Union|Election interference</x:v>
      </x:c>
      <x:c r="B1552" s="20" t="str">
        <x:v>Slovakia</x:v>
      </x:c>
      <x:c r="C1552" s="20" t="str">
        <x:v>SVK</x:v>
      </x:c>
      <x:c r="D1552" s="20" t="str">
        <x:v>European Union</x:v>
      </x:c>
      <x:c r="E1552" s="20" t="str">
        <x:v>EU influence</x:v>
      </x:c>
      <x:c r="F1552" s="20" t="str">
        <x:v>Election interference</x:v>
      </x:c>
      <x:c r="G1552" s="384" t="n">
        <x:v>2</x:v>
      </x:c>
      <x:c r="H1552" s="396" t="n">
        <x:v>2</x:v>
      </x:c>
      <x:c r="I1552" s="20" t="str">
        <x:v>EEAS EU election observation source register</x:v>
      </x:c>
      <x:c r="J1552" s="397" t="str">
        <x:v>https://www.eeas.europa.eu/eeas/eu-election-observation-missions-1_en?page_lang=en</x:v>
      </x:c>
      <x:c r="K1552" s="20" t="str">
        <x:v>Primary source-register URL; automated screening score</x:v>
      </x:c>
      <x:c r="L1552" s="20" t="str">
        <x:v>2026-05-20</x:v>
      </x:c>
      <x:c r="M1552" s="20" t="str">
        <x:v>2026-05-20</x:v>
      </x:c>
      <x:c r="N1552" s="20" t="str">
        <x:v>GPT-5.5 Pro</x:v>
      </x:c>
      <x:c r="O1552" s="20" t="str">
        <x:v>Needs review</x:v>
      </x:c>
      <x:c r="P1552" s="20" t="str">
        <x:v>Screening score for European Union / Election interference in Slovakia; verify with country-specific evidence before final use.</x:v>
      </x:c>
    </x:row>
    <x:row r="1553" ht="24" customHeight="1">
      <x:c r="A1553" s="20" t="str">
        <x:v>SVK|European Union|Security contractors</x:v>
      </x:c>
      <x:c r="B1553" s="20" t="str">
        <x:v>Slovakia</x:v>
      </x:c>
      <x:c r="C1553" s="20" t="str">
        <x:v>SVK</x:v>
      </x:c>
      <x:c r="D1553" s="20" t="str">
        <x:v>European Union</x:v>
      </x:c>
      <x:c r="E1553" s="20" t="str">
        <x:v>EU influence</x:v>
      </x:c>
      <x:c r="F1553" s="20" t="str">
        <x:v>Security contractors</x:v>
      </x:c>
      <x:c r="G1553" s="384" t="n">
        <x:v>5</x:v>
      </x:c>
      <x:c r="H1553" s="396" t="n">
        <x:v>3</x:v>
      </x:c>
      <x:c r="I1553" s="20" t="str">
        <x:v>EEAS CSDP / Global Gateway security source register</x:v>
      </x:c>
      <x:c r="J1553" s="397" t="str">
        <x:v>https://www.eeas.europa.eu/eeas/missions-and-operations_en</x:v>
      </x:c>
      <x:c r="K1553" s="20" t="str">
        <x:v>Primary source-register URL; automated screening score</x:v>
      </x:c>
      <x:c r="L1553" s="20" t="str">
        <x:v>2026-05-20</x:v>
      </x:c>
      <x:c r="M1553" s="20" t="str">
        <x:v>2026-05-20</x:v>
      </x:c>
      <x:c r="N1553" s="20" t="str">
        <x:v>GPT-5.5 Pro</x:v>
      </x:c>
      <x:c r="O1553" s="20" t="str">
        <x:v>Needs review</x:v>
      </x:c>
      <x:c r="P1553" s="20" t="str">
        <x:v>Screening score for European Union / Security contractors in Slovakia; verify with country-specific evidence before final use.</x:v>
      </x:c>
    </x:row>
    <x:row r="1554" ht="24" customHeight="1">
      <x:c r="A1554" s="20" t="str">
        <x:v>SLB|Russia|Propaganda ecosystems</x:v>
      </x:c>
      <x:c r="B1554" s="20" t="str">
        <x:v>Solomon Islands</x:v>
      </x:c>
      <x:c r="C1554" s="20" t="str">
        <x:v>SLB</x:v>
      </x:c>
      <x:c r="D1554" s="20" t="str">
        <x:v>Russia</x:v>
      </x:c>
      <x:c r="E1554" s="20" t="str">
        <x:v>Russian influence</x:v>
      </x:c>
      <x:c r="F1554" s="20" t="str">
        <x:v>Propaganda ecosystems</x:v>
      </x:c>
      <x:c r="G1554" s="384" t="n">
        <x:v>2</x:v>
      </x:c>
      <x:c r="H1554" s="396" t="n">
        <x:v>2</x:v>
      </x:c>
      <x:c r="I1554" s="20" t="str">
        <x:v>EEAS/EUvsDisinfo FIMI source register</x:v>
      </x:c>
      <x:c r="J1554" s="397" t="str">
        <x:v>https://www.eeas.europa.eu/eeas/4th-eeas-annual-report-foreign-information-manipulation-and-interference-threats_en</x:v>
      </x:c>
      <x:c r="K1554" s="20" t="str">
        <x:v>Primary source-register URL; automated screening score</x:v>
      </x:c>
      <x:c r="L1554" s="20" t="str">
        <x:v>2026-05-20</x:v>
      </x:c>
      <x:c r="M1554" s="20" t="str">
        <x:v>2026-05-20</x:v>
      </x:c>
      <x:c r="N1554" s="20" t="str">
        <x:v>GPT-5.5 Pro</x:v>
      </x:c>
      <x:c r="O1554" s="20" t="str">
        <x:v>Needs review</x:v>
      </x:c>
      <x:c r="P1554" s="20" t="str">
        <x:v>Screening score for Russia / Propaganda ecosystems in Solomon Islands; verify with country-specific evidence before final use.</x:v>
      </x:c>
    </x:row>
    <x:row r="1555" ht="24" customHeight="1">
      <x:c r="A1555" s="20" t="str">
        <x:v>SLB|Russia|PMC presence</x:v>
      </x:c>
      <x:c r="B1555" s="20" t="str">
        <x:v>Solomon Islands</x:v>
      </x:c>
      <x:c r="C1555" s="20" t="str">
        <x:v>SLB</x:v>
      </x:c>
      <x:c r="D1555" s="20" t="str">
        <x:v>Russia</x:v>
      </x:c>
      <x:c r="E1555" s="20" t="str">
        <x:v>Russian influence</x:v>
      </x:c>
      <x:c r="F1555" s="20" t="str">
        <x:v>PMC presence</x:v>
      </x:c>
      <x:c r="G1555" s="384" t="n">
        <x:v>0</x:v>
      </x:c>
      <x:c r="H1555" s="396" t="n">
        <x:v>1</x:v>
      </x:c>
      <x:c r="I1555" s="20" t="str">
        <x:v>Treasury and Council of the EU Wagner/PMC source register</x:v>
      </x:c>
      <x:c r="J1555" s="397" t="str">
        <x:v>https://www.consilium.europa.eu/en/press/press-releases/2023/02/25/wagner-group-council-adds-11-individuals-and-7-entities-to-eu-sanctions-lists/</x:v>
      </x:c>
      <x:c r="K1555" s="20" t="str">
        <x:v>Primary source-register URL; automated screening score</x:v>
      </x:c>
      <x:c r="L1555" s="20" t="str">
        <x:v>2026-05-20</x:v>
      </x:c>
      <x:c r="M1555" s="20" t="str">
        <x:v>2026-05-20</x:v>
      </x:c>
      <x:c r="N1555" s="20" t="str">
        <x:v>GPT-5.5 Pro</x:v>
      </x:c>
      <x:c r="O1555" s="20" t="str">
        <x:v>Needs review</x:v>
      </x:c>
      <x:c r="P1555" s="20" t="str">
        <x:v>Screening score for Russia / PMC presence in Solomon Islands; verify with country-specific evidence before final use.</x:v>
      </x:c>
    </x:row>
    <x:row r="1556" ht="24" customHeight="1">
      <x:c r="A1556" s="20" t="str">
        <x:v>SLB|Russia|Election interference</x:v>
      </x:c>
      <x:c r="B1556" s="20" t="str">
        <x:v>Solomon Islands</x:v>
      </x:c>
      <x:c r="C1556" s="20" t="str">
        <x:v>SLB</x:v>
      </x:c>
      <x:c r="D1556" s="20" t="str">
        <x:v>Russia</x:v>
      </x:c>
      <x:c r="E1556" s="20" t="str">
        <x:v>Russian influence</x:v>
      </x:c>
      <x:c r="F1556" s="20" t="str">
        <x:v>Election interference</x:v>
      </x:c>
      <x:c r="G1556" s="384" t="n">
        <x:v>0</x:v>
      </x:c>
      <x:c r="H1556" s="396" t="n">
        <x:v>1</x:v>
      </x:c>
      <x:c r="I1556" s="20" t="str">
        <x:v>ODNI/EEAS election-FIMI source register</x:v>
      </x:c>
      <x:c r="J1556" s="397" t="str">
        <x:v>https://www.dni.gov/files/ODNI/documents/assessments/ATA-2026-Unclassified-Report.pdf</x:v>
      </x:c>
      <x:c r="K1556" s="20" t="str">
        <x:v>Primary source-register URL; automated screening score</x:v>
      </x:c>
      <x:c r="L1556" s="20" t="str">
        <x:v>2026-05-20</x:v>
      </x:c>
      <x:c r="M1556" s="20" t="str">
        <x:v>2026-05-20</x:v>
      </x:c>
      <x:c r="N1556" s="20" t="str">
        <x:v>GPT-5.5 Pro</x:v>
      </x:c>
      <x:c r="O1556" s="20" t="str">
        <x:v>Needs review</x:v>
      </x:c>
      <x:c r="P1556" s="20" t="str">
        <x:v>Screening score for Russia / Election interference in Solomon Islands; verify with country-specific evidence before final use.</x:v>
      </x:c>
    </x:row>
    <x:row r="1557" ht="24" customHeight="1">
      <x:c r="A1557" s="20" t="str">
        <x:v>SLB|Russia|Security contractors</x:v>
      </x:c>
      <x:c r="B1557" s="20" t="str">
        <x:v>Solomon Islands</x:v>
      </x:c>
      <x:c r="C1557" s="20" t="str">
        <x:v>SLB</x:v>
      </x:c>
      <x:c r="D1557" s="20" t="str">
        <x:v>Russia</x:v>
      </x:c>
      <x:c r="E1557" s="20" t="str">
        <x:v>Russian influence</x:v>
      </x:c>
      <x:c r="F1557" s="20" t="str">
        <x:v>Security contractors</x:v>
      </x:c>
      <x:c r="G1557" s="384" t="n">
        <x:v>0</x:v>
      </x:c>
      <x:c r="H1557" s="396" t="n">
        <x:v>1</x:v>
      </x:c>
      <x:c r="I1557" s="20" t="str">
        <x:v>Council of the EU/Treasury Wagner-security source register</x:v>
      </x:c>
      <x:c r="J1557" s="397" t="str">
        <x:v>https://www.consilium.europa.eu/en/press/press-releases/2023/02/25/wagner-group-council-adds-11-individuals-and-7-entities-to-eu-sanctions-lists/</x:v>
      </x:c>
      <x:c r="K1557" s="20" t="str">
        <x:v>Primary source-register URL; automated screening score</x:v>
      </x:c>
      <x:c r="L1557" s="20" t="str">
        <x:v>2026-05-20</x:v>
      </x:c>
      <x:c r="M1557" s="20" t="str">
        <x:v>2026-05-20</x:v>
      </x:c>
      <x:c r="N1557" s="20" t="str">
        <x:v>GPT-5.5 Pro</x:v>
      </x:c>
      <x:c r="O1557" s="20" t="str">
        <x:v>Needs review</x:v>
      </x:c>
      <x:c r="P1557" s="20" t="str">
        <x:v>Screening score for Russia / Security contractors in Solomon Islands; verify with country-specific evidence before final use.</x:v>
      </x:c>
    </x:row>
    <x:row r="1558" ht="24" customHeight="1">
      <x:c r="A1558" s="20" t="str">
        <x:v>SLB|China|Propaganda ecosystems</x:v>
      </x:c>
      <x:c r="B1558" s="20" t="str">
        <x:v>Solomon Islands</x:v>
      </x:c>
      <x:c r="C1558" s="20" t="str">
        <x:v>SLB</x:v>
      </x:c>
      <x:c r="D1558" s="20" t="str">
        <x:v>China</x:v>
      </x:c>
      <x:c r="E1558" s="20" t="str">
        <x:v>Chinese influence</x:v>
      </x:c>
      <x:c r="F1558" s="20" t="str">
        <x:v>Propaganda ecosystems</x:v>
      </x:c>
      <x:c r="G1558" s="384" t="n">
        <x:v>7</x:v>
      </x:c>
      <x:c r="H1558" s="396" t="n">
        <x:v>4</x:v>
      </x:c>
      <x:c r="I1558" s="20" t="str">
        <x:v>EEAS/ODNI China FIMI source register</x:v>
      </x:c>
      <x:c r="J1558" s="397" t="str">
        <x:v>https://www.eeas.europa.eu/eeas/4th-eeas-annual-report-foreign-information-manipulation-and-interference-threats_en</x:v>
      </x:c>
      <x:c r="K1558" s="20" t="str">
        <x:v>Primary source-register URL; automated screening score</x:v>
      </x:c>
      <x:c r="L1558" s="20" t="str">
        <x:v>2026-05-20</x:v>
      </x:c>
      <x:c r="M1558" s="20" t="str">
        <x:v>2026-05-20</x:v>
      </x:c>
      <x:c r="N1558" s="20" t="str">
        <x:v>GPT-5.5 Pro</x:v>
      </x:c>
      <x:c r="O1558" s="20" t="str">
        <x:v>Needs review</x:v>
      </x:c>
      <x:c r="P1558" s="20" t="str">
        <x:v>Screening score for China / Propaganda ecosystems in Solomon Islands; verify with country-specific evidence before final use.</x:v>
      </x:c>
    </x:row>
    <x:row r="1559" ht="24" customHeight="1">
      <x:c r="A1559" s="20" t="str">
        <x:v>SLB|China|PMC presence</x:v>
      </x:c>
      <x:c r="B1559" s="20" t="str">
        <x:v>Solomon Islands</x:v>
      </x:c>
      <x:c r="C1559" s="20" t="str">
        <x:v>SLB</x:v>
      </x:c>
      <x:c r="D1559" s="20" t="str">
        <x:v>China</x:v>
      </x:c>
      <x:c r="E1559" s="20" t="str">
        <x:v>Chinese influence</x:v>
      </x:c>
      <x:c r="F1559" s="20" t="str">
        <x:v>PMC presence</x:v>
      </x:c>
      <x:c r="G1559" s="384" t="n">
        <x:v>1</x:v>
      </x:c>
      <x:c r="H1559" s="396" t="n">
        <x:v>2</x:v>
      </x:c>
      <x:c r="I1559" s="20" t="str">
        <x:v>MERICS/Carnegie Chinese overseas PSC source register</x:v>
      </x:c>
      <x:c r="J1559" s="397" t="str">
        <x:v>https://merics.org/en/report/guardians-belt-and-road</x:v>
      </x:c>
      <x:c r="K1559" s="20" t="str">
        <x:v>Primary source-register URL; automated screening score</x:v>
      </x:c>
      <x:c r="L1559" s="20" t="str">
        <x:v>2026-05-20</x:v>
      </x:c>
      <x:c r="M1559" s="20" t="str">
        <x:v>2026-05-20</x:v>
      </x:c>
      <x:c r="N1559" s="20" t="str">
        <x:v>GPT-5.5 Pro</x:v>
      </x:c>
      <x:c r="O1559" s="20" t="str">
        <x:v>Needs review</x:v>
      </x:c>
      <x:c r="P1559" s="20" t="str">
        <x:v>Screening score for China / PMC presence in Solomon Islands; verify with country-specific evidence before final use.</x:v>
      </x:c>
    </x:row>
    <x:row r="1560" ht="24" customHeight="1">
      <x:c r="A1560" s="20" t="str">
        <x:v>SLB|China|Election interference</x:v>
      </x:c>
      <x:c r="B1560" s="20" t="str">
        <x:v>Solomon Islands</x:v>
      </x:c>
      <x:c r="C1560" s="20" t="str">
        <x:v>SLB</x:v>
      </x:c>
      <x:c r="D1560" s="20" t="str">
        <x:v>China</x:v>
      </x:c>
      <x:c r="E1560" s="20" t="str">
        <x:v>Chinese influence</x:v>
      </x:c>
      <x:c r="F1560" s="20" t="str">
        <x:v>Election interference</x:v>
      </x:c>
      <x:c r="G1560" s="384" t="n">
        <x:v>3</x:v>
      </x:c>
      <x:c r="H1560" s="396" t="n">
        <x:v>3</x:v>
      </x:c>
      <x:c r="I1560" s="20" t="str">
        <x:v>EEAS/ODNI China election-FIMI source register</x:v>
      </x:c>
      <x:c r="J1560" s="397" t="str">
        <x:v>https://www.eeas.europa.eu/eeas/4th-eeas-annual-report-foreign-information-manipulation-and-interference-threats_en</x:v>
      </x:c>
      <x:c r="K1560" s="20" t="str">
        <x:v>Primary source-register URL; automated screening score</x:v>
      </x:c>
      <x:c r="L1560" s="20" t="str">
        <x:v>2026-05-20</x:v>
      </x:c>
      <x:c r="M1560" s="20" t="str">
        <x:v>2026-05-20</x:v>
      </x:c>
      <x:c r="N1560" s="20" t="str">
        <x:v>GPT-5.5 Pro</x:v>
      </x:c>
      <x:c r="O1560" s="20" t="str">
        <x:v>Needs review</x:v>
      </x:c>
      <x:c r="P1560" s="20" t="str">
        <x:v>Screening score for China / Election interference in Solomon Islands; verify with country-specific evidence before final use.</x:v>
      </x:c>
    </x:row>
    <x:row r="1561" ht="24" customHeight="1">
      <x:c r="A1561" s="20" t="str">
        <x:v>SLB|China|Security contractors</x:v>
      </x:c>
      <x:c r="B1561" s="20" t="str">
        <x:v>Solomon Islands</x:v>
      </x:c>
      <x:c r="C1561" s="20" t="str">
        <x:v>SLB</x:v>
      </x:c>
      <x:c r="D1561" s="20" t="str">
        <x:v>China</x:v>
      </x:c>
      <x:c r="E1561" s="20" t="str">
        <x:v>Chinese influence</x:v>
      </x:c>
      <x:c r="F1561" s="20" t="str">
        <x:v>Security contractors</x:v>
      </x:c>
      <x:c r="G1561" s="384" t="n">
        <x:v>2</x:v>
      </x:c>
      <x:c r="H1561" s="396" t="n">
        <x:v>2</x:v>
      </x:c>
      <x:c r="I1561" s="20" t="str">
        <x:v>MERICS/Carnegie Chinese security contractor source register</x:v>
      </x:c>
      <x:c r="J1561" s="397" t="str">
        <x:v>https://merics.org/en/report/guardians-belt-and-road</x:v>
      </x:c>
      <x:c r="K1561" s="20" t="str">
        <x:v>Primary source-register URL; automated screening score</x:v>
      </x:c>
      <x:c r="L1561" s="20" t="str">
        <x:v>2026-05-20</x:v>
      </x:c>
      <x:c r="M1561" s="20" t="str">
        <x:v>2026-05-20</x:v>
      </x:c>
      <x:c r="N1561" s="20" t="str">
        <x:v>GPT-5.5 Pro</x:v>
      </x:c>
      <x:c r="O1561" s="20" t="str">
        <x:v>Needs review</x:v>
      </x:c>
      <x:c r="P1561" s="20" t="str">
        <x:v>Screening score for China / Security contractors in Solomon Islands; verify with country-specific evidence before final use.</x:v>
      </x:c>
    </x:row>
    <x:row r="1562" ht="24" customHeight="1">
      <x:c r="A1562" s="20" t="str">
        <x:v>SLB|United States|Propaganda ecosystems</x:v>
      </x:c>
      <x:c r="B1562" s="20" t="str">
        <x:v>Solomon Islands</x:v>
      </x:c>
      <x:c r="C1562" s="20" t="str">
        <x:v>SLB</x:v>
      </x:c>
      <x:c r="D1562" s="20" t="str">
        <x:v>United States</x:v>
      </x:c>
      <x:c r="E1562" s="20" t="str">
        <x:v>American influence</x:v>
      </x:c>
      <x:c r="F1562" s="20" t="str">
        <x:v>Propaganda ecosystems</x:v>
      </x:c>
      <x:c r="G1562" s="384" t="n">
        <x:v>3</x:v>
      </x:c>
      <x:c r="H1562" s="396" t="n">
        <x:v>3</x:v>
      </x:c>
      <x:c r="I1562" s="20" t="str">
        <x:v>USAGM public media source register</x:v>
      </x:c>
      <x:c r="J1562" s="397" t="str">
        <x:v>https://www.usagm.gov/our-work/strategy-and-results/strategic-priorities/research-reports/</x:v>
      </x:c>
      <x:c r="K1562" s="20" t="str">
        <x:v>Primary source-register URL; automated screening score</x:v>
      </x:c>
      <x:c r="L1562" s="20" t="str">
        <x:v>2026-05-20</x:v>
      </x:c>
      <x:c r="M1562" s="20" t="str">
        <x:v>2026-05-20</x:v>
      </x:c>
      <x:c r="N1562" s="20" t="str">
        <x:v>GPT-5.5 Pro</x:v>
      </x:c>
      <x:c r="O1562" s="20" t="str">
        <x:v>Needs review</x:v>
      </x:c>
      <x:c r="P1562" s="20" t="str">
        <x:v>Screening score for United States / Propaganda ecosystems in Solomon Islands; verify with country-specific evidence before final use.</x:v>
      </x:c>
    </x:row>
    <x:row r="1563" ht="24" customHeight="1">
      <x:c r="A1563" s="20" t="str">
        <x:v>SLB|United States|PMC presence</x:v>
      </x:c>
      <x:c r="B1563" s="20" t="str">
        <x:v>Solomon Islands</x:v>
      </x:c>
      <x:c r="C1563" s="20" t="str">
        <x:v>SLB</x:v>
      </x:c>
      <x:c r="D1563" s="20" t="str">
        <x:v>United States</x:v>
      </x:c>
      <x:c r="E1563" s="20" t="str">
        <x:v>American influence</x:v>
      </x:c>
      <x:c r="F1563" s="20" t="str">
        <x:v>PMC presence</x:v>
      </x:c>
      <x:c r="G1563" s="384" t="n">
        <x:v>1</x:v>
      </x:c>
      <x:c r="H1563" s="396" t="n">
        <x:v>2</x:v>
      </x:c>
      <x:c r="I1563" s="20" t="str">
        <x:v>SAM/Greenbook U.S. security assistance contractor source register</x:v>
      </x:c>
      <x:c r="J1563" s="397" t="str">
        <x:v>https://internationalpolicy.org/programs/sam/</x:v>
      </x:c>
      <x:c r="K1563" s="20" t="str">
        <x:v>Primary source-register URL; automated screening score</x:v>
      </x:c>
      <x:c r="L1563" s="20" t="str">
        <x:v>2026-05-20</x:v>
      </x:c>
      <x:c r="M1563" s="20" t="str">
        <x:v>2026-05-20</x:v>
      </x:c>
      <x:c r="N1563" s="20" t="str">
        <x:v>GPT-5.5 Pro</x:v>
      </x:c>
      <x:c r="O1563" s="20" t="str">
        <x:v>Needs review</x:v>
      </x:c>
      <x:c r="P1563" s="20" t="str">
        <x:v>Screening score for United States / PMC presence in Solomon Islands; verify with country-specific evidence before final use.</x:v>
      </x:c>
    </x:row>
    <x:row r="1564" ht="24" customHeight="1">
      <x:c r="A1564" s="20" t="str">
        <x:v>SLB|United States|Election interference</x:v>
      </x:c>
      <x:c r="B1564" s="20" t="str">
        <x:v>Solomon Islands</x:v>
      </x:c>
      <x:c r="C1564" s="20" t="str">
        <x:v>SLB</x:v>
      </x:c>
      <x:c r="D1564" s="20" t="str">
        <x:v>United States</x:v>
      </x:c>
      <x:c r="E1564" s="20" t="str">
        <x:v>American influence</x:v>
      </x:c>
      <x:c r="F1564" s="20" t="str">
        <x:v>Election interference</x:v>
      </x:c>
      <x:c r="G1564" s="384" t="n">
        <x:v>1</x:v>
      </x:c>
      <x:c r="H1564" s="396" t="n">
        <x:v>2</x:v>
      </x:c>
      <x:c r="I1564" s="20" t="str">
        <x:v>NED/Greenbook democracy assistance source register</x:v>
      </x:c>
      <x:c r="J1564" s="397" t="str">
        <x:v>https://www.ned.org/ned-grantmaking/</x:v>
      </x:c>
      <x:c r="K1564" s="20" t="str">
        <x:v>Primary source-register URL; automated screening score</x:v>
      </x:c>
      <x:c r="L1564" s="20" t="str">
        <x:v>2026-05-20</x:v>
      </x:c>
      <x:c r="M1564" s="20" t="str">
        <x:v>2026-05-20</x:v>
      </x:c>
      <x:c r="N1564" s="20" t="str">
        <x:v>GPT-5.5 Pro</x:v>
      </x:c>
      <x:c r="O1564" s="20" t="str">
        <x:v>Needs review</x:v>
      </x:c>
      <x:c r="P1564" s="20" t="str">
        <x:v>Screening score for United States / Election interference in Solomon Islands; verify with country-specific evidence before final use.</x:v>
      </x:c>
    </x:row>
    <x:row r="1565" ht="24" customHeight="1">
      <x:c r="A1565" s="20" t="str">
        <x:v>SLB|United States|Security contractors</x:v>
      </x:c>
      <x:c r="B1565" s="20" t="str">
        <x:v>Solomon Islands</x:v>
      </x:c>
      <x:c r="C1565" s="20" t="str">
        <x:v>SLB</x:v>
      </x:c>
      <x:c r="D1565" s="20" t="str">
        <x:v>United States</x:v>
      </x:c>
      <x:c r="E1565" s="20" t="str">
        <x:v>American influence</x:v>
      </x:c>
      <x:c r="F1565" s="20" t="str">
        <x:v>Security contractors</x:v>
      </x:c>
      <x:c r="G1565" s="384" t="n">
        <x:v>2</x:v>
      </x:c>
      <x:c r="H1565" s="396" t="n">
        <x:v>2</x:v>
      </x:c>
      <x:c r="I1565" s="20" t="str">
        <x:v>SAM/Greenbook U.S. security contractor source register</x:v>
      </x:c>
      <x:c r="J1565" s="397" t="str">
        <x:v>https://internationalpolicy.org/programs/sam/</x:v>
      </x:c>
      <x:c r="K1565" s="20" t="str">
        <x:v>Primary source-register URL; automated screening score</x:v>
      </x:c>
      <x:c r="L1565" s="20" t="str">
        <x:v>2026-05-20</x:v>
      </x:c>
      <x:c r="M1565" s="20" t="str">
        <x:v>2026-05-20</x:v>
      </x:c>
      <x:c r="N1565" s="20" t="str">
        <x:v>GPT-5.5 Pro</x:v>
      </x:c>
      <x:c r="O1565" s="20" t="str">
        <x:v>Needs review</x:v>
      </x:c>
      <x:c r="P1565" s="20" t="str">
        <x:v>Screening score for United States / Security contractors in Solomon Islands; verify with country-specific evidence before final use.</x:v>
      </x:c>
    </x:row>
    <x:row r="1566" ht="24" customHeight="1">
      <x:c r="A1566" s="20" t="str">
        <x:v>SLB|European Union|Propaganda ecosystems</x:v>
      </x:c>
      <x:c r="B1566" s="20" t="str">
        <x:v>Solomon Islands</x:v>
      </x:c>
      <x:c r="C1566" s="20" t="str">
        <x:v>SLB</x:v>
      </x:c>
      <x:c r="D1566" s="20" t="str">
        <x:v>European Union</x:v>
      </x:c>
      <x:c r="E1566" s="20" t="str">
        <x:v>EU influence</x:v>
      </x:c>
      <x:c r="F1566" s="20" t="str">
        <x:v>Propaganda ecosystems</x:v>
      </x:c>
      <x:c r="G1566" s="384" t="n">
        <x:v>2</x:v>
      </x:c>
      <x:c r="H1566" s="396" t="n">
        <x:v>2</x:v>
      </x:c>
      <x:c r="I1566" s="20" t="str">
        <x:v>EEAS public diplomacy source register</x:v>
      </x:c>
      <x:c r="J1566" s="397" t="str">
        <x:v>https://www.eeas.europa.eu/eeas/public-diplomacy_en</x:v>
      </x:c>
      <x:c r="K1566" s="20" t="str">
        <x:v>Primary source-register URL; automated screening score</x:v>
      </x:c>
      <x:c r="L1566" s="20" t="str">
        <x:v>2026-05-20</x:v>
      </x:c>
      <x:c r="M1566" s="20" t="str">
        <x:v>2026-05-20</x:v>
      </x:c>
      <x:c r="N1566" s="20" t="str">
        <x:v>GPT-5.5 Pro</x:v>
      </x:c>
      <x:c r="O1566" s="20" t="str">
        <x:v>Needs review</x:v>
      </x:c>
      <x:c r="P1566" s="20" t="str">
        <x:v>Screening score for European Union / Propaganda ecosystems in Solomon Islands; verify with country-specific evidence before final use.</x:v>
      </x:c>
    </x:row>
    <x:row r="1567" ht="24" customHeight="1">
      <x:c r="A1567" s="20" t="str">
        <x:v>SLB|European Union|PMC presence</x:v>
      </x:c>
      <x:c r="B1567" s="20" t="str">
        <x:v>Solomon Islands</x:v>
      </x:c>
      <x:c r="C1567" s="20" t="str">
        <x:v>SLB</x:v>
      </x:c>
      <x:c r="D1567" s="20" t="str">
        <x:v>European Union</x:v>
      </x:c>
      <x:c r="E1567" s="20" t="str">
        <x:v>EU influence</x:v>
      </x:c>
      <x:c r="F1567" s="20" t="str">
        <x:v>PMC presence</x:v>
      </x:c>
      <x:c r="G1567" s="384" t="n">
        <x:v>0</x:v>
      </x:c>
      <x:c r="H1567" s="396" t="n">
        <x:v>1</x:v>
      </x:c>
      <x:c r="I1567" s="20" t="str">
        <x:v>EEAS CSDP missions source register</x:v>
      </x:c>
      <x:c r="J1567" s="397" t="str">
        <x:v>https://www.eeas.europa.eu/eeas/missions-and-operations_en</x:v>
      </x:c>
      <x:c r="K1567" s="20" t="str">
        <x:v>Primary source-register URL; automated screening score</x:v>
      </x:c>
      <x:c r="L1567" s="20" t="str">
        <x:v>2026-05-20</x:v>
      </x:c>
      <x:c r="M1567" s="20" t="str">
        <x:v>2026-05-20</x:v>
      </x:c>
      <x:c r="N1567" s="20" t="str">
        <x:v>GPT-5.5 Pro</x:v>
      </x:c>
      <x:c r="O1567" s="20" t="str">
        <x:v>Needs review</x:v>
      </x:c>
      <x:c r="P1567" s="20" t="str">
        <x:v>Screening score for European Union / PMC presence in Solomon Islands; verify with country-specific evidence before final use.</x:v>
      </x:c>
    </x:row>
    <x:row r="1568" ht="24" customHeight="1">
      <x:c r="A1568" s="20" t="str">
        <x:v>SLB|European Union|Election interference</x:v>
      </x:c>
      <x:c r="B1568" s="20" t="str">
        <x:v>Solomon Islands</x:v>
      </x:c>
      <x:c r="C1568" s="20" t="str">
        <x:v>SLB</x:v>
      </x:c>
      <x:c r="D1568" s="20" t="str">
        <x:v>European Union</x:v>
      </x:c>
      <x:c r="E1568" s="20" t="str">
        <x:v>EU influence</x:v>
      </x:c>
      <x:c r="F1568" s="20" t="str">
        <x:v>Election interference</x:v>
      </x:c>
      <x:c r="G1568" s="384" t="n">
        <x:v>1</x:v>
      </x:c>
      <x:c r="H1568" s="396" t="n">
        <x:v>2</x:v>
      </x:c>
      <x:c r="I1568" s="20" t="str">
        <x:v>EEAS EU election observation source register</x:v>
      </x:c>
      <x:c r="J1568" s="397" t="str">
        <x:v>https://www.eeas.europa.eu/eeas/eu-election-observation-missions-1_en?page_lang=en</x:v>
      </x:c>
      <x:c r="K1568" s="20" t="str">
        <x:v>Primary source-register URL; automated screening score</x:v>
      </x:c>
      <x:c r="L1568" s="20" t="str">
        <x:v>2026-05-20</x:v>
      </x:c>
      <x:c r="M1568" s="20" t="str">
        <x:v>2026-05-20</x:v>
      </x:c>
      <x:c r="N1568" s="20" t="str">
        <x:v>GPT-5.5 Pro</x:v>
      </x:c>
      <x:c r="O1568" s="20" t="str">
        <x:v>Needs review</x:v>
      </x:c>
      <x:c r="P1568" s="20" t="str">
        <x:v>Screening score for European Union / Election interference in Solomon Islands; verify with country-specific evidence before final use.</x:v>
      </x:c>
    </x:row>
    <x:row r="1569" ht="24" customHeight="1">
      <x:c r="A1569" s="20" t="str">
        <x:v>SLB|European Union|Security contractors</x:v>
      </x:c>
      <x:c r="B1569" s="20" t="str">
        <x:v>Solomon Islands</x:v>
      </x:c>
      <x:c r="C1569" s="20" t="str">
        <x:v>SLB</x:v>
      </x:c>
      <x:c r="D1569" s="20" t="str">
        <x:v>European Union</x:v>
      </x:c>
      <x:c r="E1569" s="20" t="str">
        <x:v>EU influence</x:v>
      </x:c>
      <x:c r="F1569" s="20" t="str">
        <x:v>Security contractors</x:v>
      </x:c>
      <x:c r="G1569" s="384" t="n">
        <x:v>1</x:v>
      </x:c>
      <x:c r="H1569" s="396" t="n">
        <x:v>2</x:v>
      </x:c>
      <x:c r="I1569" s="20" t="str">
        <x:v>EEAS CSDP / Global Gateway security source register</x:v>
      </x:c>
      <x:c r="J1569" s="397" t="str">
        <x:v>https://www.eeas.europa.eu/eeas/missions-and-operations_en</x:v>
      </x:c>
      <x:c r="K1569" s="20" t="str">
        <x:v>Primary source-register URL; automated screening score</x:v>
      </x:c>
      <x:c r="L1569" s="20" t="str">
        <x:v>2026-05-20</x:v>
      </x:c>
      <x:c r="M1569" s="20" t="str">
        <x:v>2026-05-20</x:v>
      </x:c>
      <x:c r="N1569" s="20" t="str">
        <x:v>GPT-5.5 Pro</x:v>
      </x:c>
      <x:c r="O1569" s="20" t="str">
        <x:v>Needs review</x:v>
      </x:c>
      <x:c r="P1569" s="20" t="str">
        <x:v>Screening score for European Union / Security contractors in Solomon Islands; verify with country-specific evidence before final use.</x:v>
      </x:c>
    </x:row>
    <x:row r="1570" ht="24" customHeight="1">
      <x:c r="A1570" s="20" t="str">
        <x:v>ZAF|Russia|Propaganda ecosystems</x:v>
      </x:c>
      <x:c r="B1570" s="20" t="str">
        <x:v>South Africa</x:v>
      </x:c>
      <x:c r="C1570" s="20" t="str">
        <x:v>ZAF</x:v>
      </x:c>
      <x:c r="D1570" s="20" t="str">
        <x:v>Russia</x:v>
      </x:c>
      <x:c r="E1570" s="20" t="str">
        <x:v>Russian influence</x:v>
      </x:c>
      <x:c r="F1570" s="20" t="str">
        <x:v>Propaganda ecosystems</x:v>
      </x:c>
      <x:c r="G1570" s="384" t="n">
        <x:v>5</x:v>
      </x:c>
      <x:c r="H1570" s="396" t="n">
        <x:v>3</x:v>
      </x:c>
      <x:c r="I1570" s="20" t="str">
        <x:v>EEAS/EUvsDisinfo FIMI source register</x:v>
      </x:c>
      <x:c r="J1570" s="397" t="str">
        <x:v>https://www.eeas.europa.eu/eeas/4th-eeas-annual-report-foreign-information-manipulation-and-interference-threats_en</x:v>
      </x:c>
      <x:c r="K1570" s="20" t="str">
        <x:v>Primary source-register URL; automated screening score</x:v>
      </x:c>
      <x:c r="L1570" s="20" t="str">
        <x:v>2026-05-20</x:v>
      </x:c>
      <x:c r="M1570" s="20" t="str">
        <x:v>2026-05-20</x:v>
      </x:c>
      <x:c r="N1570" s="20" t="str">
        <x:v>GPT-5.5 Pro</x:v>
      </x:c>
      <x:c r="O1570" s="20" t="str">
        <x:v>Needs review</x:v>
      </x:c>
      <x:c r="P1570" s="20" t="str">
        <x:v>Screening score for Russia / Propaganda ecosystems in South Africa; verify with country-specific evidence before final use.</x:v>
      </x:c>
    </x:row>
    <x:row r="1571" ht="24" customHeight="1">
      <x:c r="A1571" s="20" t="str">
        <x:v>ZAF|Russia|PMC presence</x:v>
      </x:c>
      <x:c r="B1571" s="20" t="str">
        <x:v>South Africa</x:v>
      </x:c>
      <x:c r="C1571" s="20" t="str">
        <x:v>ZAF</x:v>
      </x:c>
      <x:c r="D1571" s="20" t="str">
        <x:v>Russia</x:v>
      </x:c>
      <x:c r="E1571" s="20" t="str">
        <x:v>Russian influence</x:v>
      </x:c>
      <x:c r="F1571" s="20" t="str">
        <x:v>PMC presence</x:v>
      </x:c>
      <x:c r="G1571" s="384" t="n">
        <x:v>1</x:v>
      </x:c>
      <x:c r="H1571" s="396" t="n">
        <x:v>2</x:v>
      </x:c>
      <x:c r="I1571" s="20" t="str">
        <x:v>Treasury and Council of the EU Wagner/PMC source register</x:v>
      </x:c>
      <x:c r="J1571" s="397" t="str">
        <x:v>https://www.consilium.europa.eu/en/press/press-releases/2023/02/25/wagner-group-council-adds-11-individuals-and-7-entities-to-eu-sanctions-lists/</x:v>
      </x:c>
      <x:c r="K1571" s="20" t="str">
        <x:v>Primary source-register URL; automated screening score</x:v>
      </x:c>
      <x:c r="L1571" s="20" t="str">
        <x:v>2026-05-20</x:v>
      </x:c>
      <x:c r="M1571" s="20" t="str">
        <x:v>2026-05-20</x:v>
      </x:c>
      <x:c r="N1571" s="20" t="str">
        <x:v>GPT-5.5 Pro</x:v>
      </x:c>
      <x:c r="O1571" s="20" t="str">
        <x:v>Needs review</x:v>
      </x:c>
      <x:c r="P1571" s="20" t="str">
        <x:v>Screening score for Russia / PMC presence in South Africa; verify with country-specific evidence before final use.</x:v>
      </x:c>
    </x:row>
    <x:row r="1572" ht="24" customHeight="1">
      <x:c r="A1572" s="20" t="str">
        <x:v>ZAF|Russia|Election interference</x:v>
      </x:c>
      <x:c r="B1572" s="20" t="str">
        <x:v>South Africa</x:v>
      </x:c>
      <x:c r="C1572" s="20" t="str">
        <x:v>ZAF</x:v>
      </x:c>
      <x:c r="D1572" s="20" t="str">
        <x:v>Russia</x:v>
      </x:c>
      <x:c r="E1572" s="20" t="str">
        <x:v>Russian influence</x:v>
      </x:c>
      <x:c r="F1572" s="20" t="str">
        <x:v>Election interference</x:v>
      </x:c>
      <x:c r="G1572" s="384" t="n">
        <x:v>1</x:v>
      </x:c>
      <x:c r="H1572" s="396" t="n">
        <x:v>2</x:v>
      </x:c>
      <x:c r="I1572" s="20" t="str">
        <x:v>ODNI/EEAS election-FIMI source register</x:v>
      </x:c>
      <x:c r="J1572" s="397" t="str">
        <x:v>https://www.dni.gov/files/ODNI/documents/assessments/ATA-2026-Unclassified-Report.pdf</x:v>
      </x:c>
      <x:c r="K1572" s="20" t="str">
        <x:v>Primary source-register URL; automated screening score</x:v>
      </x:c>
      <x:c r="L1572" s="20" t="str">
        <x:v>2026-05-20</x:v>
      </x:c>
      <x:c r="M1572" s="20" t="str">
        <x:v>2026-05-20</x:v>
      </x:c>
      <x:c r="N1572" s="20" t="str">
        <x:v>GPT-5.5 Pro</x:v>
      </x:c>
      <x:c r="O1572" s="20" t="str">
        <x:v>Needs review</x:v>
      </x:c>
      <x:c r="P1572" s="20" t="str">
        <x:v>Screening score for Russia / Election interference in South Africa; verify with country-specific evidence before final use.</x:v>
      </x:c>
    </x:row>
    <x:row r="1573" ht="24" customHeight="1">
      <x:c r="A1573" s="20" t="str">
        <x:v>ZAF|Russia|Security contractors</x:v>
      </x:c>
      <x:c r="B1573" s="20" t="str">
        <x:v>South Africa</x:v>
      </x:c>
      <x:c r="C1573" s="20" t="str">
        <x:v>ZAF</x:v>
      </x:c>
      <x:c r="D1573" s="20" t="str">
        <x:v>Russia</x:v>
      </x:c>
      <x:c r="E1573" s="20" t="str">
        <x:v>Russian influence</x:v>
      </x:c>
      <x:c r="F1573" s="20" t="str">
        <x:v>Security contractors</x:v>
      </x:c>
      <x:c r="G1573" s="384" t="n">
        <x:v>1</x:v>
      </x:c>
      <x:c r="H1573" s="396" t="n">
        <x:v>2</x:v>
      </x:c>
      <x:c r="I1573" s="20" t="str">
        <x:v>Council of the EU/Treasury Wagner-security source register</x:v>
      </x:c>
      <x:c r="J1573" s="397" t="str">
        <x:v>https://www.consilium.europa.eu/en/press/press-releases/2023/02/25/wagner-group-council-adds-11-individuals-and-7-entities-to-eu-sanctions-lists/</x:v>
      </x:c>
      <x:c r="K1573" s="20" t="str">
        <x:v>Primary source-register URL; automated screening score</x:v>
      </x:c>
      <x:c r="L1573" s="20" t="str">
        <x:v>2026-05-20</x:v>
      </x:c>
      <x:c r="M1573" s="20" t="str">
        <x:v>2026-05-20</x:v>
      </x:c>
      <x:c r="N1573" s="20" t="str">
        <x:v>GPT-5.5 Pro</x:v>
      </x:c>
      <x:c r="O1573" s="20" t="str">
        <x:v>Needs review</x:v>
      </x:c>
      <x:c r="P1573" s="20" t="str">
        <x:v>Screening score for Russia / Security contractors in South Africa; verify with country-specific evidence before final use.</x:v>
      </x:c>
    </x:row>
    <x:row r="1574" ht="24" customHeight="1">
      <x:c r="A1574" s="20" t="str">
        <x:v>ZAF|China|Propaganda ecosystems</x:v>
      </x:c>
      <x:c r="B1574" s="20" t="str">
        <x:v>South Africa</x:v>
      </x:c>
      <x:c r="C1574" s="20" t="str">
        <x:v>ZAF</x:v>
      </x:c>
      <x:c r="D1574" s="20" t="str">
        <x:v>China</x:v>
      </x:c>
      <x:c r="E1574" s="20" t="str">
        <x:v>Chinese influence</x:v>
      </x:c>
      <x:c r="F1574" s="20" t="str">
        <x:v>Propaganda ecosystems</x:v>
      </x:c>
      <x:c r="G1574" s="384" t="n">
        <x:v>5</x:v>
      </x:c>
      <x:c r="H1574" s="396" t="n">
        <x:v>3</x:v>
      </x:c>
      <x:c r="I1574" s="20" t="str">
        <x:v>EEAS/ODNI China FIMI source register</x:v>
      </x:c>
      <x:c r="J1574" s="397" t="str">
        <x:v>https://www.eeas.europa.eu/eeas/4th-eeas-annual-report-foreign-information-manipulation-and-interference-threats_en</x:v>
      </x:c>
      <x:c r="K1574" s="20" t="str">
        <x:v>Primary source-register URL; automated screening score</x:v>
      </x:c>
      <x:c r="L1574" s="20" t="str">
        <x:v>2026-05-20</x:v>
      </x:c>
      <x:c r="M1574" s="20" t="str">
        <x:v>2026-05-20</x:v>
      </x:c>
      <x:c r="N1574" s="20" t="str">
        <x:v>GPT-5.5 Pro</x:v>
      </x:c>
      <x:c r="O1574" s="20" t="str">
        <x:v>Needs review</x:v>
      </x:c>
      <x:c r="P1574" s="20" t="str">
        <x:v>Screening score for China / Propaganda ecosystems in South Africa; verify with country-specific evidence before final use.</x:v>
      </x:c>
    </x:row>
    <x:row r="1575" ht="24" customHeight="1">
      <x:c r="A1575" s="20" t="str">
        <x:v>ZAF|China|PMC presence</x:v>
      </x:c>
      <x:c r="B1575" s="20" t="str">
        <x:v>South Africa</x:v>
      </x:c>
      <x:c r="C1575" s="20" t="str">
        <x:v>ZAF</x:v>
      </x:c>
      <x:c r="D1575" s="20" t="str">
        <x:v>China</x:v>
      </x:c>
      <x:c r="E1575" s="20" t="str">
        <x:v>Chinese influence</x:v>
      </x:c>
      <x:c r="F1575" s="20" t="str">
        <x:v>PMC presence</x:v>
      </x:c>
      <x:c r="G1575" s="384" t="n">
        <x:v>2</x:v>
      </x:c>
      <x:c r="H1575" s="396" t="n">
        <x:v>2</x:v>
      </x:c>
      <x:c r="I1575" s="20" t="str">
        <x:v>MERICS/Carnegie Chinese overseas PSC source register</x:v>
      </x:c>
      <x:c r="J1575" s="397" t="str">
        <x:v>https://merics.org/en/report/guardians-belt-and-road</x:v>
      </x:c>
      <x:c r="K1575" s="20" t="str">
        <x:v>Primary source-register URL; automated screening score</x:v>
      </x:c>
      <x:c r="L1575" s="20" t="str">
        <x:v>2026-05-20</x:v>
      </x:c>
      <x:c r="M1575" s="20" t="str">
        <x:v>2026-05-20</x:v>
      </x:c>
      <x:c r="N1575" s="20" t="str">
        <x:v>GPT-5.5 Pro</x:v>
      </x:c>
      <x:c r="O1575" s="20" t="str">
        <x:v>Needs review</x:v>
      </x:c>
      <x:c r="P1575" s="20" t="str">
        <x:v>Screening score for China / PMC presence in South Africa; verify with country-specific evidence before final use.</x:v>
      </x:c>
    </x:row>
    <x:row r="1576" ht="24" customHeight="1">
      <x:c r="A1576" s="20" t="str">
        <x:v>ZAF|China|Election interference</x:v>
      </x:c>
      <x:c r="B1576" s="20" t="str">
        <x:v>South Africa</x:v>
      </x:c>
      <x:c r="C1576" s="20" t="str">
        <x:v>ZAF</x:v>
      </x:c>
      <x:c r="D1576" s="20" t="str">
        <x:v>China</x:v>
      </x:c>
      <x:c r="E1576" s="20" t="str">
        <x:v>Chinese influence</x:v>
      </x:c>
      <x:c r="F1576" s="20" t="str">
        <x:v>Election interference</x:v>
      </x:c>
      <x:c r="G1576" s="384" t="n">
        <x:v>1</x:v>
      </x:c>
      <x:c r="H1576" s="396" t="n">
        <x:v>2</x:v>
      </x:c>
      <x:c r="I1576" s="20" t="str">
        <x:v>EEAS/ODNI China election-FIMI source register</x:v>
      </x:c>
      <x:c r="J1576" s="397" t="str">
        <x:v>https://www.eeas.europa.eu/eeas/4th-eeas-annual-report-foreign-information-manipulation-and-interference-threats_en</x:v>
      </x:c>
      <x:c r="K1576" s="20" t="str">
        <x:v>Primary source-register URL; automated screening score</x:v>
      </x:c>
      <x:c r="L1576" s="20" t="str">
        <x:v>2026-05-20</x:v>
      </x:c>
      <x:c r="M1576" s="20" t="str">
        <x:v>2026-05-20</x:v>
      </x:c>
      <x:c r="N1576" s="20" t="str">
        <x:v>GPT-5.5 Pro</x:v>
      </x:c>
      <x:c r="O1576" s="20" t="str">
        <x:v>Needs review</x:v>
      </x:c>
      <x:c r="P1576" s="20" t="str">
        <x:v>Screening score for China / Election interference in South Africa; verify with country-specific evidence before final use.</x:v>
      </x:c>
    </x:row>
    <x:row r="1577" ht="24" customHeight="1">
      <x:c r="A1577" s="20" t="str">
        <x:v>ZAF|China|Security contractors</x:v>
      </x:c>
      <x:c r="B1577" s="20" t="str">
        <x:v>South Africa</x:v>
      </x:c>
      <x:c r="C1577" s="20" t="str">
        <x:v>ZAF</x:v>
      </x:c>
      <x:c r="D1577" s="20" t="str">
        <x:v>China</x:v>
      </x:c>
      <x:c r="E1577" s="20" t="str">
        <x:v>Chinese influence</x:v>
      </x:c>
      <x:c r="F1577" s="20" t="str">
        <x:v>Security contractors</x:v>
      </x:c>
      <x:c r="G1577" s="384" t="n">
        <x:v>3</x:v>
      </x:c>
      <x:c r="H1577" s="396" t="n">
        <x:v>3</x:v>
      </x:c>
      <x:c r="I1577" s="20" t="str">
        <x:v>MERICS/Carnegie Chinese security contractor source register</x:v>
      </x:c>
      <x:c r="J1577" s="397" t="str">
        <x:v>https://merics.org/en/report/guardians-belt-and-road</x:v>
      </x:c>
      <x:c r="K1577" s="20" t="str">
        <x:v>Primary source-register URL; automated screening score</x:v>
      </x:c>
      <x:c r="L1577" s="20" t="str">
        <x:v>2026-05-20</x:v>
      </x:c>
      <x:c r="M1577" s="20" t="str">
        <x:v>2026-05-20</x:v>
      </x:c>
      <x:c r="N1577" s="20" t="str">
        <x:v>GPT-5.5 Pro</x:v>
      </x:c>
      <x:c r="O1577" s="20" t="str">
        <x:v>Needs review</x:v>
      </x:c>
      <x:c r="P1577" s="20" t="str">
        <x:v>Screening score for China / Security contractors in South Africa; verify with country-specific evidence before final use.</x:v>
      </x:c>
    </x:row>
    <x:row r="1578" ht="24" customHeight="1">
      <x:c r="A1578" s="20" t="str">
        <x:v>ZAF|United States|Propaganda ecosystems</x:v>
      </x:c>
      <x:c r="B1578" s="20" t="str">
        <x:v>South Africa</x:v>
      </x:c>
      <x:c r="C1578" s="20" t="str">
        <x:v>ZAF</x:v>
      </x:c>
      <x:c r="D1578" s="20" t="str">
        <x:v>United States</x:v>
      </x:c>
      <x:c r="E1578" s="20" t="str">
        <x:v>American influence</x:v>
      </x:c>
      <x:c r="F1578" s="20" t="str">
        <x:v>Propaganda ecosystems</x:v>
      </x:c>
      <x:c r="G1578" s="384" t="n">
        <x:v>4</x:v>
      </x:c>
      <x:c r="H1578" s="396" t="n">
        <x:v>3</x:v>
      </x:c>
      <x:c r="I1578" s="20" t="str">
        <x:v>USAGM public media source register</x:v>
      </x:c>
      <x:c r="J1578" s="397" t="str">
        <x:v>https://www.usagm.gov/our-work/strategy-and-results/strategic-priorities/research-reports/</x:v>
      </x:c>
      <x:c r="K1578" s="20" t="str">
        <x:v>Primary source-register URL; automated screening score</x:v>
      </x:c>
      <x:c r="L1578" s="20" t="str">
        <x:v>2026-05-20</x:v>
      </x:c>
      <x:c r="M1578" s="20" t="str">
        <x:v>2026-05-20</x:v>
      </x:c>
      <x:c r="N1578" s="20" t="str">
        <x:v>GPT-5.5 Pro</x:v>
      </x:c>
      <x:c r="O1578" s="20" t="str">
        <x:v>Needs review</x:v>
      </x:c>
      <x:c r="P1578" s="20" t="str">
        <x:v>Screening score for United States / Propaganda ecosystems in South Africa; verify with country-specific evidence before final use.</x:v>
      </x:c>
    </x:row>
    <x:row r="1579" ht="24" customHeight="1">
      <x:c r="A1579" s="20" t="str">
        <x:v>ZAF|United States|PMC presence</x:v>
      </x:c>
      <x:c r="B1579" s="20" t="str">
        <x:v>South Africa</x:v>
      </x:c>
      <x:c r="C1579" s="20" t="str">
        <x:v>ZAF</x:v>
      </x:c>
      <x:c r="D1579" s="20" t="str">
        <x:v>United States</x:v>
      </x:c>
      <x:c r="E1579" s="20" t="str">
        <x:v>American influence</x:v>
      </x:c>
      <x:c r="F1579" s="20" t="str">
        <x:v>PMC presence</x:v>
      </x:c>
      <x:c r="G1579" s="384" t="n">
        <x:v>2</x:v>
      </x:c>
      <x:c r="H1579" s="396" t="n">
        <x:v>2</x:v>
      </x:c>
      <x:c r="I1579" s="20" t="str">
        <x:v>SAM/Greenbook U.S. security assistance contractor source register</x:v>
      </x:c>
      <x:c r="J1579" s="397" t="str">
        <x:v>https://internationalpolicy.org/programs/sam/</x:v>
      </x:c>
      <x:c r="K1579" s="20" t="str">
        <x:v>Primary source-register URL; automated screening score</x:v>
      </x:c>
      <x:c r="L1579" s="20" t="str">
        <x:v>2026-05-20</x:v>
      </x:c>
      <x:c r="M1579" s="20" t="str">
        <x:v>2026-05-20</x:v>
      </x:c>
      <x:c r="N1579" s="20" t="str">
        <x:v>GPT-5.5 Pro</x:v>
      </x:c>
      <x:c r="O1579" s="20" t="str">
        <x:v>Needs review</x:v>
      </x:c>
      <x:c r="P1579" s="20" t="str">
        <x:v>Screening score for United States / PMC presence in South Africa; verify with country-specific evidence before final use.</x:v>
      </x:c>
    </x:row>
    <x:row r="1580" ht="24" customHeight="1">
      <x:c r="A1580" s="20" t="str">
        <x:v>ZAF|United States|Election interference</x:v>
      </x:c>
      <x:c r="B1580" s="20" t="str">
        <x:v>South Africa</x:v>
      </x:c>
      <x:c r="C1580" s="20" t="str">
        <x:v>ZAF</x:v>
      </x:c>
      <x:c r="D1580" s="20" t="str">
        <x:v>United States</x:v>
      </x:c>
      <x:c r="E1580" s="20" t="str">
        <x:v>American influence</x:v>
      </x:c>
      <x:c r="F1580" s="20" t="str">
        <x:v>Election interference</x:v>
      </x:c>
      <x:c r="G1580" s="384" t="n">
        <x:v>2</x:v>
      </x:c>
      <x:c r="H1580" s="396" t="n">
        <x:v>2</x:v>
      </x:c>
      <x:c r="I1580" s="20" t="str">
        <x:v>NED/Greenbook democracy assistance source register</x:v>
      </x:c>
      <x:c r="J1580" s="397" t="str">
        <x:v>https://www.ned.org/ned-grantmaking/</x:v>
      </x:c>
      <x:c r="K1580" s="20" t="str">
        <x:v>Primary source-register URL; automated screening score</x:v>
      </x:c>
      <x:c r="L1580" s="20" t="str">
        <x:v>2026-05-20</x:v>
      </x:c>
      <x:c r="M1580" s="20" t="str">
        <x:v>2026-05-20</x:v>
      </x:c>
      <x:c r="N1580" s="20" t="str">
        <x:v>GPT-5.5 Pro</x:v>
      </x:c>
      <x:c r="O1580" s="20" t="str">
        <x:v>Needs review</x:v>
      </x:c>
      <x:c r="P1580" s="20" t="str">
        <x:v>Screening score for United States / Election interference in South Africa; verify with country-specific evidence before final use.</x:v>
      </x:c>
    </x:row>
    <x:row r="1581" ht="24" customHeight="1">
      <x:c r="A1581" s="20" t="str">
        <x:v>ZAF|United States|Security contractors</x:v>
      </x:c>
      <x:c r="B1581" s="20" t="str">
        <x:v>South Africa</x:v>
      </x:c>
      <x:c r="C1581" s="20" t="str">
        <x:v>ZAF</x:v>
      </x:c>
      <x:c r="D1581" s="20" t="str">
        <x:v>United States</x:v>
      </x:c>
      <x:c r="E1581" s="20" t="str">
        <x:v>American influence</x:v>
      </x:c>
      <x:c r="F1581" s="20" t="str">
        <x:v>Security contractors</x:v>
      </x:c>
      <x:c r="G1581" s="384" t="n">
        <x:v>3</x:v>
      </x:c>
      <x:c r="H1581" s="396" t="n">
        <x:v>3</x:v>
      </x:c>
      <x:c r="I1581" s="20" t="str">
        <x:v>SAM/Greenbook U.S. security contractor source register</x:v>
      </x:c>
      <x:c r="J1581" s="397" t="str">
        <x:v>https://internationalpolicy.org/programs/sam/</x:v>
      </x:c>
      <x:c r="K1581" s="20" t="str">
        <x:v>Primary source-register URL; automated screening score</x:v>
      </x:c>
      <x:c r="L1581" s="20" t="str">
        <x:v>2026-05-20</x:v>
      </x:c>
      <x:c r="M1581" s="20" t="str">
        <x:v>2026-05-20</x:v>
      </x:c>
      <x:c r="N1581" s="20" t="str">
        <x:v>GPT-5.5 Pro</x:v>
      </x:c>
      <x:c r="O1581" s="20" t="str">
        <x:v>Needs review</x:v>
      </x:c>
      <x:c r="P1581" s="20" t="str">
        <x:v>Screening score for United States / Security contractors in South Africa; verify with country-specific evidence before final use.</x:v>
      </x:c>
    </x:row>
    <x:row r="1582" ht="24" customHeight="1">
      <x:c r="A1582" s="20" t="str">
        <x:v>ZAF|European Union|Propaganda ecosystems</x:v>
      </x:c>
      <x:c r="B1582" s="20" t="str">
        <x:v>South Africa</x:v>
      </x:c>
      <x:c r="C1582" s="20" t="str">
        <x:v>ZAF</x:v>
      </x:c>
      <x:c r="D1582" s="20" t="str">
        <x:v>European Union</x:v>
      </x:c>
      <x:c r="E1582" s="20" t="str">
        <x:v>EU influence</x:v>
      </x:c>
      <x:c r="F1582" s="20" t="str">
        <x:v>Propaganda ecosystems</x:v>
      </x:c>
      <x:c r="G1582" s="384" t="n">
        <x:v>3</x:v>
      </x:c>
      <x:c r="H1582" s="396" t="n">
        <x:v>3</x:v>
      </x:c>
      <x:c r="I1582" s="20" t="str">
        <x:v>EEAS public diplomacy source register</x:v>
      </x:c>
      <x:c r="J1582" s="397" t="str">
        <x:v>https://www.eeas.europa.eu/eeas/public-diplomacy_en</x:v>
      </x:c>
      <x:c r="K1582" s="20" t="str">
        <x:v>Primary source-register URL; automated screening score</x:v>
      </x:c>
      <x:c r="L1582" s="20" t="str">
        <x:v>2026-05-20</x:v>
      </x:c>
      <x:c r="M1582" s="20" t="str">
        <x:v>2026-05-20</x:v>
      </x:c>
      <x:c r="N1582" s="20" t="str">
        <x:v>GPT-5.5 Pro</x:v>
      </x:c>
      <x:c r="O1582" s="20" t="str">
        <x:v>Needs review</x:v>
      </x:c>
      <x:c r="P1582" s="20" t="str">
        <x:v>Screening score for European Union / Propaganda ecosystems in South Africa; verify with country-specific evidence before final use.</x:v>
      </x:c>
    </x:row>
    <x:row r="1583" ht="24" customHeight="1">
      <x:c r="A1583" s="20" t="str">
        <x:v>ZAF|European Union|PMC presence</x:v>
      </x:c>
      <x:c r="B1583" s="20" t="str">
        <x:v>South Africa</x:v>
      </x:c>
      <x:c r="C1583" s="20" t="str">
        <x:v>ZAF</x:v>
      </x:c>
      <x:c r="D1583" s="20" t="str">
        <x:v>European Union</x:v>
      </x:c>
      <x:c r="E1583" s="20" t="str">
        <x:v>EU influence</x:v>
      </x:c>
      <x:c r="F1583" s="20" t="str">
        <x:v>PMC presence</x:v>
      </x:c>
      <x:c r="G1583" s="384" t="n">
        <x:v>0</x:v>
      </x:c>
      <x:c r="H1583" s="396" t="n">
        <x:v>1</x:v>
      </x:c>
      <x:c r="I1583" s="20" t="str">
        <x:v>EEAS CSDP missions source register</x:v>
      </x:c>
      <x:c r="J1583" s="397" t="str">
        <x:v>https://www.eeas.europa.eu/eeas/missions-and-operations_en</x:v>
      </x:c>
      <x:c r="K1583" s="20" t="str">
        <x:v>Primary source-register URL; automated screening score</x:v>
      </x:c>
      <x:c r="L1583" s="20" t="str">
        <x:v>2026-05-20</x:v>
      </x:c>
      <x:c r="M1583" s="20" t="str">
        <x:v>2026-05-20</x:v>
      </x:c>
      <x:c r="N1583" s="20" t="str">
        <x:v>GPT-5.5 Pro</x:v>
      </x:c>
      <x:c r="O1583" s="20" t="str">
        <x:v>Needs review</x:v>
      </x:c>
      <x:c r="P1583" s="20" t="str">
        <x:v>Screening score for European Union / PMC presence in South Africa; verify with country-specific evidence before final use.</x:v>
      </x:c>
    </x:row>
    <x:row r="1584" ht="24" customHeight="1">
      <x:c r="A1584" s="20" t="str">
        <x:v>ZAF|European Union|Election interference</x:v>
      </x:c>
      <x:c r="B1584" s="20" t="str">
        <x:v>South Africa</x:v>
      </x:c>
      <x:c r="C1584" s="20" t="str">
        <x:v>ZAF</x:v>
      </x:c>
      <x:c r="D1584" s="20" t="str">
        <x:v>European Union</x:v>
      </x:c>
      <x:c r="E1584" s="20" t="str">
        <x:v>EU influence</x:v>
      </x:c>
      <x:c r="F1584" s="20" t="str">
        <x:v>Election interference</x:v>
      </x:c>
      <x:c r="G1584" s="384" t="n">
        <x:v>1</x:v>
      </x:c>
      <x:c r="H1584" s="396" t="n">
        <x:v>2</x:v>
      </x:c>
      <x:c r="I1584" s="20" t="str">
        <x:v>EEAS EU election observation source register</x:v>
      </x:c>
      <x:c r="J1584" s="397" t="str">
        <x:v>https://www.eeas.europa.eu/eeas/eu-election-observation-missions-1_en?page_lang=en</x:v>
      </x:c>
      <x:c r="K1584" s="20" t="str">
        <x:v>Primary source-register URL; automated screening score</x:v>
      </x:c>
      <x:c r="L1584" s="20" t="str">
        <x:v>2026-05-20</x:v>
      </x:c>
      <x:c r="M1584" s="20" t="str">
        <x:v>2026-05-20</x:v>
      </x:c>
      <x:c r="N1584" s="20" t="str">
        <x:v>GPT-5.5 Pro</x:v>
      </x:c>
      <x:c r="O1584" s="20" t="str">
        <x:v>Needs review</x:v>
      </x:c>
      <x:c r="P1584" s="20" t="str">
        <x:v>Screening score for European Union / Election interference in South Africa; verify with country-specific evidence before final use.</x:v>
      </x:c>
    </x:row>
    <x:row r="1585" ht="24" customHeight="1">
      <x:c r="A1585" s="20" t="str">
        <x:v>ZAF|European Union|Security contractors</x:v>
      </x:c>
      <x:c r="B1585" s="20" t="str">
        <x:v>South Africa</x:v>
      </x:c>
      <x:c r="C1585" s="20" t="str">
        <x:v>ZAF</x:v>
      </x:c>
      <x:c r="D1585" s="20" t="str">
        <x:v>European Union</x:v>
      </x:c>
      <x:c r="E1585" s="20" t="str">
        <x:v>EU influence</x:v>
      </x:c>
      <x:c r="F1585" s="20" t="str">
        <x:v>Security contractors</x:v>
      </x:c>
      <x:c r="G1585" s="384" t="n">
        <x:v>2</x:v>
      </x:c>
      <x:c r="H1585" s="396" t="n">
        <x:v>2</x:v>
      </x:c>
      <x:c r="I1585" s="20" t="str">
        <x:v>EEAS CSDP / Global Gateway security source register</x:v>
      </x:c>
      <x:c r="J1585" s="397" t="str">
        <x:v>https://www.eeas.europa.eu/eeas/missions-and-operations_en</x:v>
      </x:c>
      <x:c r="K1585" s="20" t="str">
        <x:v>Primary source-register URL; automated screening score</x:v>
      </x:c>
      <x:c r="L1585" s="20" t="str">
        <x:v>2026-05-20</x:v>
      </x:c>
      <x:c r="M1585" s="20" t="str">
        <x:v>2026-05-20</x:v>
      </x:c>
      <x:c r="N1585" s="20" t="str">
        <x:v>GPT-5.5 Pro</x:v>
      </x:c>
      <x:c r="O1585" s="20" t="str">
        <x:v>Needs review</x:v>
      </x:c>
      <x:c r="P1585" s="20" t="str">
        <x:v>Screening score for European Union / Security contractors in South Africa; verify with country-specific evidence before final use.</x:v>
      </x:c>
    </x:row>
    <x:row r="1586" ht="24" customHeight="1">
      <x:c r="A1586" s="20" t="str">
        <x:v>KOR|Russia|Propaganda ecosystems</x:v>
      </x:c>
      <x:c r="B1586" s="20" t="str">
        <x:v>South Korea</x:v>
      </x:c>
      <x:c r="C1586" s="20" t="str">
        <x:v>KOR</x:v>
      </x:c>
      <x:c r="D1586" s="20" t="str">
        <x:v>Russia</x:v>
      </x:c>
      <x:c r="E1586" s="20" t="str">
        <x:v>Russian influence</x:v>
      </x:c>
      <x:c r="F1586" s="20" t="str">
        <x:v>Propaganda ecosystems</x:v>
      </x:c>
      <x:c r="G1586" s="384" t="n">
        <x:v>2</x:v>
      </x:c>
      <x:c r="H1586" s="396" t="n">
        <x:v>2</x:v>
      </x:c>
      <x:c r="I1586" s="20" t="str">
        <x:v>EEAS/EUvsDisinfo FIMI source register</x:v>
      </x:c>
      <x:c r="J1586" s="397" t="str">
        <x:v>https://www.eeas.europa.eu/eeas/4th-eeas-annual-report-foreign-information-manipulation-and-interference-threats_en</x:v>
      </x:c>
      <x:c r="K1586" s="20" t="str">
        <x:v>Primary source-register URL; automated screening score</x:v>
      </x:c>
      <x:c r="L1586" s="20" t="str">
        <x:v>2026-05-20</x:v>
      </x:c>
      <x:c r="M1586" s="20" t="str">
        <x:v>2026-05-20</x:v>
      </x:c>
      <x:c r="N1586" s="20" t="str">
        <x:v>GPT-5.5 Pro</x:v>
      </x:c>
      <x:c r="O1586" s="20" t="str">
        <x:v>Needs review</x:v>
      </x:c>
      <x:c r="P1586" s="20" t="str">
        <x:v>Screening score for Russia / Propaganda ecosystems in South Korea; verify with country-specific evidence before final use.</x:v>
      </x:c>
    </x:row>
    <x:row r="1587" ht="24" customHeight="1">
      <x:c r="A1587" s="20" t="str">
        <x:v>KOR|Russia|PMC presence</x:v>
      </x:c>
      <x:c r="B1587" s="20" t="str">
        <x:v>South Korea</x:v>
      </x:c>
      <x:c r="C1587" s="20" t="str">
        <x:v>KOR</x:v>
      </x:c>
      <x:c r="D1587" s="20" t="str">
        <x:v>Russia</x:v>
      </x:c>
      <x:c r="E1587" s="20" t="str">
        <x:v>Russian influence</x:v>
      </x:c>
      <x:c r="F1587" s="20" t="str">
        <x:v>PMC presence</x:v>
      </x:c>
      <x:c r="G1587" s="384" t="n">
        <x:v>0</x:v>
      </x:c>
      <x:c r="H1587" s="396" t="n">
        <x:v>1</x:v>
      </x:c>
      <x:c r="I1587" s="20" t="str">
        <x:v>Treasury and Council of the EU Wagner/PMC source register</x:v>
      </x:c>
      <x:c r="J1587" s="397" t="str">
        <x:v>https://www.consilium.europa.eu/en/press/press-releases/2023/02/25/wagner-group-council-adds-11-individuals-and-7-entities-to-eu-sanctions-lists/</x:v>
      </x:c>
      <x:c r="K1587" s="20" t="str">
        <x:v>Primary source-register URL; automated screening score</x:v>
      </x:c>
      <x:c r="L1587" s="20" t="str">
        <x:v>2026-05-20</x:v>
      </x:c>
      <x:c r="M1587" s="20" t="str">
        <x:v>2026-05-20</x:v>
      </x:c>
      <x:c r="N1587" s="20" t="str">
        <x:v>GPT-5.5 Pro</x:v>
      </x:c>
      <x:c r="O1587" s="20" t="str">
        <x:v>Needs review</x:v>
      </x:c>
      <x:c r="P1587" s="20" t="str">
        <x:v>Screening score for Russia / PMC presence in South Korea; verify with country-specific evidence before final use.</x:v>
      </x:c>
    </x:row>
    <x:row r="1588" ht="24" customHeight="1">
      <x:c r="A1588" s="20" t="str">
        <x:v>KOR|Russia|Election interference</x:v>
      </x:c>
      <x:c r="B1588" s="20" t="str">
        <x:v>South Korea</x:v>
      </x:c>
      <x:c r="C1588" s="20" t="str">
        <x:v>KOR</x:v>
      </x:c>
      <x:c r="D1588" s="20" t="str">
        <x:v>Russia</x:v>
      </x:c>
      <x:c r="E1588" s="20" t="str">
        <x:v>Russian influence</x:v>
      </x:c>
      <x:c r="F1588" s="20" t="str">
        <x:v>Election interference</x:v>
      </x:c>
      <x:c r="G1588" s="384" t="n">
        <x:v>3</x:v>
      </x:c>
      <x:c r="H1588" s="396" t="n">
        <x:v>3</x:v>
      </x:c>
      <x:c r="I1588" s="20" t="str">
        <x:v>ODNI/EEAS election-FIMI source register</x:v>
      </x:c>
      <x:c r="J1588" s="397" t="str">
        <x:v>https://www.dni.gov/files/ODNI/documents/assessments/ATA-2026-Unclassified-Report.pdf</x:v>
      </x:c>
      <x:c r="K1588" s="20" t="str">
        <x:v>Primary source-register URL; automated screening score</x:v>
      </x:c>
      <x:c r="L1588" s="20" t="str">
        <x:v>2026-05-20</x:v>
      </x:c>
      <x:c r="M1588" s="20" t="str">
        <x:v>2026-05-20</x:v>
      </x:c>
      <x:c r="N1588" s="20" t="str">
        <x:v>GPT-5.5 Pro</x:v>
      </x:c>
      <x:c r="O1588" s="20" t="str">
        <x:v>Needs review</x:v>
      </x:c>
      <x:c r="P1588" s="20" t="str">
        <x:v>Screening score for Russia / Election interference in South Korea; verify with country-specific evidence before final use.</x:v>
      </x:c>
    </x:row>
    <x:row r="1589" ht="24" customHeight="1">
      <x:c r="A1589" s="20" t="str">
        <x:v>KOR|Russia|Security contractors</x:v>
      </x:c>
      <x:c r="B1589" s="20" t="str">
        <x:v>South Korea</x:v>
      </x:c>
      <x:c r="C1589" s="20" t="str">
        <x:v>KOR</x:v>
      </x:c>
      <x:c r="D1589" s="20" t="str">
        <x:v>Russia</x:v>
      </x:c>
      <x:c r="E1589" s="20" t="str">
        <x:v>Russian influence</x:v>
      </x:c>
      <x:c r="F1589" s="20" t="str">
        <x:v>Security contractors</x:v>
      </x:c>
      <x:c r="G1589" s="384" t="n">
        <x:v>0</x:v>
      </x:c>
      <x:c r="H1589" s="396" t="n">
        <x:v>1</x:v>
      </x:c>
      <x:c r="I1589" s="20" t="str">
        <x:v>Council of the EU/Treasury Wagner-security source register</x:v>
      </x:c>
      <x:c r="J1589" s="397" t="str">
        <x:v>https://www.consilium.europa.eu/en/press/press-releases/2023/02/25/wagner-group-council-adds-11-individuals-and-7-entities-to-eu-sanctions-lists/</x:v>
      </x:c>
      <x:c r="K1589" s="20" t="str">
        <x:v>Primary source-register URL; automated screening score</x:v>
      </x:c>
      <x:c r="L1589" s="20" t="str">
        <x:v>2026-05-20</x:v>
      </x:c>
      <x:c r="M1589" s="20" t="str">
        <x:v>2026-05-20</x:v>
      </x:c>
      <x:c r="N1589" s="20" t="str">
        <x:v>GPT-5.5 Pro</x:v>
      </x:c>
      <x:c r="O1589" s="20" t="str">
        <x:v>Needs review</x:v>
      </x:c>
      <x:c r="P1589" s="20" t="str">
        <x:v>Screening score for Russia / Security contractors in South Korea; verify with country-specific evidence before final use.</x:v>
      </x:c>
    </x:row>
    <x:row r="1590" ht="24" customHeight="1">
      <x:c r="A1590" s="20" t="str">
        <x:v>KOR|China|Propaganda ecosystems</x:v>
      </x:c>
      <x:c r="B1590" s="20" t="str">
        <x:v>South Korea</x:v>
      </x:c>
      <x:c r="C1590" s="20" t="str">
        <x:v>KOR</x:v>
      </x:c>
      <x:c r="D1590" s="20" t="str">
        <x:v>China</x:v>
      </x:c>
      <x:c r="E1590" s="20" t="str">
        <x:v>Chinese influence</x:v>
      </x:c>
      <x:c r="F1590" s="20" t="str">
        <x:v>Propaganda ecosystems</x:v>
      </x:c>
      <x:c r="G1590" s="384" t="n">
        <x:v>7</x:v>
      </x:c>
      <x:c r="H1590" s="396" t="n">
        <x:v>4</x:v>
      </x:c>
      <x:c r="I1590" s="20" t="str">
        <x:v>EEAS/ODNI China FIMI source register</x:v>
      </x:c>
      <x:c r="J1590" s="397" t="str">
        <x:v>https://www.eeas.europa.eu/eeas/4th-eeas-annual-report-foreign-information-manipulation-and-interference-threats_en</x:v>
      </x:c>
      <x:c r="K1590" s="20" t="str">
        <x:v>Primary source-register URL; automated screening score</x:v>
      </x:c>
      <x:c r="L1590" s="20" t="str">
        <x:v>2026-05-20</x:v>
      </x:c>
      <x:c r="M1590" s="20" t="str">
        <x:v>2026-05-20</x:v>
      </x:c>
      <x:c r="N1590" s="20" t="str">
        <x:v>GPT-5.5 Pro</x:v>
      </x:c>
      <x:c r="O1590" s="20" t="str">
        <x:v>Needs review</x:v>
      </x:c>
      <x:c r="P1590" s="20" t="str">
        <x:v>Screening score for China / Propaganda ecosystems in South Korea; verify with country-specific evidence before final use.</x:v>
      </x:c>
    </x:row>
    <x:row r="1591" ht="24" customHeight="1">
      <x:c r="A1591" s="20" t="str">
        <x:v>KOR|China|PMC presence</x:v>
      </x:c>
      <x:c r="B1591" s="20" t="str">
        <x:v>South Korea</x:v>
      </x:c>
      <x:c r="C1591" s="20" t="str">
        <x:v>KOR</x:v>
      </x:c>
      <x:c r="D1591" s="20" t="str">
        <x:v>China</x:v>
      </x:c>
      <x:c r="E1591" s="20" t="str">
        <x:v>Chinese influence</x:v>
      </x:c>
      <x:c r="F1591" s="20" t="str">
        <x:v>PMC presence</x:v>
      </x:c>
      <x:c r="G1591" s="384" t="n">
        <x:v>0</x:v>
      </x:c>
      <x:c r="H1591" s="396" t="n">
        <x:v>1</x:v>
      </x:c>
      <x:c r="I1591" s="20" t="str">
        <x:v>MERICS/Carnegie Chinese overseas PSC source register</x:v>
      </x:c>
      <x:c r="J1591" s="397" t="str">
        <x:v>https://merics.org/en/report/guardians-belt-and-road</x:v>
      </x:c>
      <x:c r="K1591" s="20" t="str">
        <x:v>Primary source-register URL; automated screening score</x:v>
      </x:c>
      <x:c r="L1591" s="20" t="str">
        <x:v>2026-05-20</x:v>
      </x:c>
      <x:c r="M1591" s="20" t="str">
        <x:v>2026-05-20</x:v>
      </x:c>
      <x:c r="N1591" s="20" t="str">
        <x:v>GPT-5.5 Pro</x:v>
      </x:c>
      <x:c r="O1591" s="20" t="str">
        <x:v>Needs review</x:v>
      </x:c>
      <x:c r="P1591" s="20" t="str">
        <x:v>Screening score for China / PMC presence in South Korea; verify with country-specific evidence before final use.</x:v>
      </x:c>
    </x:row>
    <x:row r="1592" ht="24" customHeight="1">
      <x:c r="A1592" s="20" t="str">
        <x:v>KOR|China|Election interference</x:v>
      </x:c>
      <x:c r="B1592" s="20" t="str">
        <x:v>South Korea</x:v>
      </x:c>
      <x:c r="C1592" s="20" t="str">
        <x:v>KOR</x:v>
      </x:c>
      <x:c r="D1592" s="20" t="str">
        <x:v>China</x:v>
      </x:c>
      <x:c r="E1592" s="20" t="str">
        <x:v>Chinese influence</x:v>
      </x:c>
      <x:c r="F1592" s="20" t="str">
        <x:v>Election interference</x:v>
      </x:c>
      <x:c r="G1592" s="384" t="n">
        <x:v>4</x:v>
      </x:c>
      <x:c r="H1592" s="396" t="n">
        <x:v>3</x:v>
      </x:c>
      <x:c r="I1592" s="20" t="str">
        <x:v>EEAS/ODNI China election-FIMI source register</x:v>
      </x:c>
      <x:c r="J1592" s="397" t="str">
        <x:v>https://www.eeas.europa.eu/eeas/4th-eeas-annual-report-foreign-information-manipulation-and-interference-threats_en</x:v>
      </x:c>
      <x:c r="K1592" s="20" t="str">
        <x:v>Primary source-register URL; automated screening score</x:v>
      </x:c>
      <x:c r="L1592" s="20" t="str">
        <x:v>2026-05-20</x:v>
      </x:c>
      <x:c r="M1592" s="20" t="str">
        <x:v>2026-05-20</x:v>
      </x:c>
      <x:c r="N1592" s="20" t="str">
        <x:v>GPT-5.5 Pro</x:v>
      </x:c>
      <x:c r="O1592" s="20" t="str">
        <x:v>Needs review</x:v>
      </x:c>
      <x:c r="P1592" s="20" t="str">
        <x:v>Screening score for China / Election interference in South Korea; verify with country-specific evidence before final use.</x:v>
      </x:c>
    </x:row>
    <x:row r="1593" ht="24" customHeight="1">
      <x:c r="A1593" s="20" t="str">
        <x:v>KOR|China|Security contractors</x:v>
      </x:c>
      <x:c r="B1593" s="20" t="str">
        <x:v>South Korea</x:v>
      </x:c>
      <x:c r="C1593" s="20" t="str">
        <x:v>KOR</x:v>
      </x:c>
      <x:c r="D1593" s="20" t="str">
        <x:v>China</x:v>
      </x:c>
      <x:c r="E1593" s="20" t="str">
        <x:v>Chinese influence</x:v>
      </x:c>
      <x:c r="F1593" s="20" t="str">
        <x:v>Security contractors</x:v>
      </x:c>
      <x:c r="G1593" s="384" t="n">
        <x:v>1</x:v>
      </x:c>
      <x:c r="H1593" s="396" t="n">
        <x:v>2</x:v>
      </x:c>
      <x:c r="I1593" s="20" t="str">
        <x:v>MERICS/Carnegie Chinese security contractor source register</x:v>
      </x:c>
      <x:c r="J1593" s="397" t="str">
        <x:v>https://merics.org/en/report/guardians-belt-and-road</x:v>
      </x:c>
      <x:c r="K1593" s="20" t="str">
        <x:v>Primary source-register URL; automated screening score</x:v>
      </x:c>
      <x:c r="L1593" s="20" t="str">
        <x:v>2026-05-20</x:v>
      </x:c>
      <x:c r="M1593" s="20" t="str">
        <x:v>2026-05-20</x:v>
      </x:c>
      <x:c r="N1593" s="20" t="str">
        <x:v>GPT-5.5 Pro</x:v>
      </x:c>
      <x:c r="O1593" s="20" t="str">
        <x:v>Needs review</x:v>
      </x:c>
      <x:c r="P1593" s="20" t="str">
        <x:v>Screening score for China / Security contractors in South Korea; verify with country-specific evidence before final use.</x:v>
      </x:c>
    </x:row>
    <x:row r="1594" ht="24" customHeight="1">
      <x:c r="A1594" s="20" t="str">
        <x:v>KOR|United States|Propaganda ecosystems</x:v>
      </x:c>
      <x:c r="B1594" s="20" t="str">
        <x:v>South Korea</x:v>
      </x:c>
      <x:c r="C1594" s="20" t="str">
        <x:v>KOR</x:v>
      </x:c>
      <x:c r="D1594" s="20" t="str">
        <x:v>United States</x:v>
      </x:c>
      <x:c r="E1594" s="20" t="str">
        <x:v>American influence</x:v>
      </x:c>
      <x:c r="F1594" s="20" t="str">
        <x:v>Propaganda ecosystems</x:v>
      </x:c>
      <x:c r="G1594" s="384" t="n">
        <x:v>5</x:v>
      </x:c>
      <x:c r="H1594" s="396" t="n">
        <x:v>3</x:v>
      </x:c>
      <x:c r="I1594" s="20" t="str">
        <x:v>USAGM public media source register</x:v>
      </x:c>
      <x:c r="J1594" s="397" t="str">
        <x:v>https://www.usagm.gov/our-work/strategy-and-results/strategic-priorities/research-reports/</x:v>
      </x:c>
      <x:c r="K1594" s="20" t="str">
        <x:v>Primary source-register URL; automated screening score</x:v>
      </x:c>
      <x:c r="L1594" s="20" t="str">
        <x:v>2026-05-20</x:v>
      </x:c>
      <x:c r="M1594" s="20" t="str">
        <x:v>2026-05-20</x:v>
      </x:c>
      <x:c r="N1594" s="20" t="str">
        <x:v>GPT-5.5 Pro</x:v>
      </x:c>
      <x:c r="O1594" s="20" t="str">
        <x:v>Needs review</x:v>
      </x:c>
      <x:c r="P1594" s="20" t="str">
        <x:v>Screening score for United States / Propaganda ecosystems in South Korea; verify with country-specific evidence before final use.</x:v>
      </x:c>
    </x:row>
    <x:row r="1595" ht="24" customHeight="1">
      <x:c r="A1595" s="20" t="str">
        <x:v>KOR|United States|PMC presence</x:v>
      </x:c>
      <x:c r="B1595" s="20" t="str">
        <x:v>South Korea</x:v>
      </x:c>
      <x:c r="C1595" s="20" t="str">
        <x:v>KOR</x:v>
      </x:c>
      <x:c r="D1595" s="20" t="str">
        <x:v>United States</x:v>
      </x:c>
      <x:c r="E1595" s="20" t="str">
        <x:v>American influence</x:v>
      </x:c>
      <x:c r="F1595" s="20" t="str">
        <x:v>PMC presence</x:v>
      </x:c>
      <x:c r="G1595" s="384" t="n">
        <x:v>5</x:v>
      </x:c>
      <x:c r="H1595" s="396" t="n">
        <x:v>3</x:v>
      </x:c>
      <x:c r="I1595" s="20" t="str">
        <x:v>SAM/Greenbook U.S. security assistance contractor source register</x:v>
      </x:c>
      <x:c r="J1595" s="397" t="str">
        <x:v>https://internationalpolicy.org/programs/sam/</x:v>
      </x:c>
      <x:c r="K1595" s="20" t="str">
        <x:v>Primary source-register URL; automated screening score</x:v>
      </x:c>
      <x:c r="L1595" s="20" t="str">
        <x:v>2026-05-20</x:v>
      </x:c>
      <x:c r="M1595" s="20" t="str">
        <x:v>2026-05-20</x:v>
      </x:c>
      <x:c r="N1595" s="20" t="str">
        <x:v>GPT-5.5 Pro</x:v>
      </x:c>
      <x:c r="O1595" s="20" t="str">
        <x:v>Needs review</x:v>
      </x:c>
      <x:c r="P1595" s="20" t="str">
        <x:v>Screening score for United States / PMC presence in South Korea; verify with country-specific evidence before final use.</x:v>
      </x:c>
    </x:row>
    <x:row r="1596" ht="24" customHeight="1">
      <x:c r="A1596" s="20" t="str">
        <x:v>KOR|United States|Election interference</x:v>
      </x:c>
      <x:c r="B1596" s="20" t="str">
        <x:v>South Korea</x:v>
      </x:c>
      <x:c r="C1596" s="20" t="str">
        <x:v>KOR</x:v>
      </x:c>
      <x:c r="D1596" s="20" t="str">
        <x:v>United States</x:v>
      </x:c>
      <x:c r="E1596" s="20" t="str">
        <x:v>American influence</x:v>
      </x:c>
      <x:c r="F1596" s="20" t="str">
        <x:v>Election interference</x:v>
      </x:c>
      <x:c r="G1596" s="384" t="n">
        <x:v>2</x:v>
      </x:c>
      <x:c r="H1596" s="396" t="n">
        <x:v>2</x:v>
      </x:c>
      <x:c r="I1596" s="20" t="str">
        <x:v>NED/Greenbook democracy assistance source register</x:v>
      </x:c>
      <x:c r="J1596" s="397" t="str">
        <x:v>https://www.ned.org/ned-grantmaking/</x:v>
      </x:c>
      <x:c r="K1596" s="20" t="str">
        <x:v>Primary source-register URL; automated screening score</x:v>
      </x:c>
      <x:c r="L1596" s="20" t="str">
        <x:v>2026-05-20</x:v>
      </x:c>
      <x:c r="M1596" s="20" t="str">
        <x:v>2026-05-20</x:v>
      </x:c>
      <x:c r="N1596" s="20" t="str">
        <x:v>GPT-5.5 Pro</x:v>
      </x:c>
      <x:c r="O1596" s="20" t="str">
        <x:v>Needs review</x:v>
      </x:c>
      <x:c r="P1596" s="20" t="str">
        <x:v>Screening score for United States / Election interference in South Korea; verify with country-specific evidence before final use.</x:v>
      </x:c>
    </x:row>
    <x:row r="1597" ht="24" customHeight="1">
      <x:c r="A1597" s="20" t="str">
        <x:v>KOR|United States|Security contractors</x:v>
      </x:c>
      <x:c r="B1597" s="20" t="str">
        <x:v>South Korea</x:v>
      </x:c>
      <x:c r="C1597" s="20" t="str">
        <x:v>KOR</x:v>
      </x:c>
      <x:c r="D1597" s="20" t="str">
        <x:v>United States</x:v>
      </x:c>
      <x:c r="E1597" s="20" t="str">
        <x:v>American influence</x:v>
      </x:c>
      <x:c r="F1597" s="20" t="str">
        <x:v>Security contractors</x:v>
      </x:c>
      <x:c r="G1597" s="384" t="n">
        <x:v>8</x:v>
      </x:c>
      <x:c r="H1597" s="396" t="n">
        <x:v>4</x:v>
      </x:c>
      <x:c r="I1597" s="20" t="str">
        <x:v>SAM/Greenbook U.S. security contractor source register</x:v>
      </x:c>
      <x:c r="J1597" s="397" t="str">
        <x:v>https://internationalpolicy.org/programs/sam/</x:v>
      </x:c>
      <x:c r="K1597" s="20" t="str">
        <x:v>Primary source-register URL; automated screening score</x:v>
      </x:c>
      <x:c r="L1597" s="20" t="str">
        <x:v>2026-05-20</x:v>
      </x:c>
      <x:c r="M1597" s="20" t="str">
        <x:v>2026-05-20</x:v>
      </x:c>
      <x:c r="N1597" s="20" t="str">
        <x:v>GPT-5.5 Pro</x:v>
      </x:c>
      <x:c r="O1597" s="20" t="str">
        <x:v>Needs review</x:v>
      </x:c>
      <x:c r="P1597" s="20" t="str">
        <x:v>Screening score for United States / Security contractors in South Korea; verify with country-specific evidence before final use.</x:v>
      </x:c>
    </x:row>
    <x:row r="1598" ht="24" customHeight="1">
      <x:c r="A1598" s="20" t="str">
        <x:v>KOR|European Union|Propaganda ecosystems</x:v>
      </x:c>
      <x:c r="B1598" s="20" t="str">
        <x:v>South Korea</x:v>
      </x:c>
      <x:c r="C1598" s="20" t="str">
        <x:v>KOR</x:v>
      </x:c>
      <x:c r="D1598" s="20" t="str">
        <x:v>European Union</x:v>
      </x:c>
      <x:c r="E1598" s="20" t="str">
        <x:v>EU influence</x:v>
      </x:c>
      <x:c r="F1598" s="20" t="str">
        <x:v>Propaganda ecosystems</x:v>
      </x:c>
      <x:c r="G1598" s="384" t="n">
        <x:v>3</x:v>
      </x:c>
      <x:c r="H1598" s="396" t="n">
        <x:v>3</x:v>
      </x:c>
      <x:c r="I1598" s="20" t="str">
        <x:v>EEAS public diplomacy source register</x:v>
      </x:c>
      <x:c r="J1598" s="397" t="str">
        <x:v>https://www.eeas.europa.eu/eeas/public-diplomacy_en</x:v>
      </x:c>
      <x:c r="K1598" s="20" t="str">
        <x:v>Primary source-register URL; automated screening score</x:v>
      </x:c>
      <x:c r="L1598" s="20" t="str">
        <x:v>2026-05-20</x:v>
      </x:c>
      <x:c r="M1598" s="20" t="str">
        <x:v>2026-05-20</x:v>
      </x:c>
      <x:c r="N1598" s="20" t="str">
        <x:v>GPT-5.5 Pro</x:v>
      </x:c>
      <x:c r="O1598" s="20" t="str">
        <x:v>Needs review</x:v>
      </x:c>
      <x:c r="P1598" s="20" t="str">
        <x:v>Screening score for European Union / Propaganda ecosystems in South Korea; verify with country-specific evidence before final use.</x:v>
      </x:c>
    </x:row>
    <x:row r="1599" ht="24" customHeight="1">
      <x:c r="A1599" s="20" t="str">
        <x:v>KOR|European Union|PMC presence</x:v>
      </x:c>
      <x:c r="B1599" s="20" t="str">
        <x:v>South Korea</x:v>
      </x:c>
      <x:c r="C1599" s="20" t="str">
        <x:v>KOR</x:v>
      </x:c>
      <x:c r="D1599" s="20" t="str">
        <x:v>European Union</x:v>
      </x:c>
      <x:c r="E1599" s="20" t="str">
        <x:v>EU influence</x:v>
      </x:c>
      <x:c r="F1599" s="20" t="str">
        <x:v>PMC presence</x:v>
      </x:c>
      <x:c r="G1599" s="384" t="n">
        <x:v>0</x:v>
      </x:c>
      <x:c r="H1599" s="396" t="n">
        <x:v>1</x:v>
      </x:c>
      <x:c r="I1599" s="20" t="str">
        <x:v>EEAS CSDP missions source register</x:v>
      </x:c>
      <x:c r="J1599" s="397" t="str">
        <x:v>https://www.eeas.europa.eu/eeas/missions-and-operations_en</x:v>
      </x:c>
      <x:c r="K1599" s="20" t="str">
        <x:v>Primary source-register URL; automated screening score</x:v>
      </x:c>
      <x:c r="L1599" s="20" t="str">
        <x:v>2026-05-20</x:v>
      </x:c>
      <x:c r="M1599" s="20" t="str">
        <x:v>2026-05-20</x:v>
      </x:c>
      <x:c r="N1599" s="20" t="str">
        <x:v>GPT-5.5 Pro</x:v>
      </x:c>
      <x:c r="O1599" s="20" t="str">
        <x:v>Needs review</x:v>
      </x:c>
      <x:c r="P1599" s="20" t="str">
        <x:v>Screening score for European Union / PMC presence in South Korea; verify with country-specific evidence before final use.</x:v>
      </x:c>
    </x:row>
    <x:row r="1600" ht="24" customHeight="1">
      <x:c r="A1600" s="20" t="str">
        <x:v>KOR|European Union|Election interference</x:v>
      </x:c>
      <x:c r="B1600" s="20" t="str">
        <x:v>South Korea</x:v>
      </x:c>
      <x:c r="C1600" s="20" t="str">
        <x:v>KOR</x:v>
      </x:c>
      <x:c r="D1600" s="20" t="str">
        <x:v>European Union</x:v>
      </x:c>
      <x:c r="E1600" s="20" t="str">
        <x:v>EU influence</x:v>
      </x:c>
      <x:c r="F1600" s="20" t="str">
        <x:v>Election interference</x:v>
      </x:c>
      <x:c r="G1600" s="384" t="n">
        <x:v>1</x:v>
      </x:c>
      <x:c r="H1600" s="396" t="n">
        <x:v>2</x:v>
      </x:c>
      <x:c r="I1600" s="20" t="str">
        <x:v>EEAS EU election observation source register</x:v>
      </x:c>
      <x:c r="J1600" s="397" t="str">
        <x:v>https://www.eeas.europa.eu/eeas/eu-election-observation-missions-1_en?page_lang=en</x:v>
      </x:c>
      <x:c r="K1600" s="20" t="str">
        <x:v>Primary source-register URL; automated screening score</x:v>
      </x:c>
      <x:c r="L1600" s="20" t="str">
        <x:v>2026-05-20</x:v>
      </x:c>
      <x:c r="M1600" s="20" t="str">
        <x:v>2026-05-20</x:v>
      </x:c>
      <x:c r="N1600" s="20" t="str">
        <x:v>GPT-5.5 Pro</x:v>
      </x:c>
      <x:c r="O1600" s="20" t="str">
        <x:v>Needs review</x:v>
      </x:c>
      <x:c r="P1600" s="20" t="str">
        <x:v>Screening score for European Union / Election interference in South Korea; verify with country-specific evidence before final use.</x:v>
      </x:c>
    </x:row>
    <x:row r="1601" ht="24" customHeight="1">
      <x:c r="A1601" s="20" t="str">
        <x:v>KOR|European Union|Security contractors</x:v>
      </x:c>
      <x:c r="B1601" s="20" t="str">
        <x:v>South Korea</x:v>
      </x:c>
      <x:c r="C1601" s="20" t="str">
        <x:v>KOR</x:v>
      </x:c>
      <x:c r="D1601" s="20" t="str">
        <x:v>European Union</x:v>
      </x:c>
      <x:c r="E1601" s="20" t="str">
        <x:v>EU influence</x:v>
      </x:c>
      <x:c r="F1601" s="20" t="str">
        <x:v>Security contractors</x:v>
      </x:c>
      <x:c r="G1601" s="384" t="n">
        <x:v>3</x:v>
      </x:c>
      <x:c r="H1601" s="396" t="n">
        <x:v>3</x:v>
      </x:c>
      <x:c r="I1601" s="20" t="str">
        <x:v>EEAS CSDP / Global Gateway security source register</x:v>
      </x:c>
      <x:c r="J1601" s="397" t="str">
        <x:v>https://www.eeas.europa.eu/eeas/missions-and-operations_en</x:v>
      </x:c>
      <x:c r="K1601" s="20" t="str">
        <x:v>Primary source-register URL; automated screening score</x:v>
      </x:c>
      <x:c r="L1601" s="20" t="str">
        <x:v>2026-05-20</x:v>
      </x:c>
      <x:c r="M1601" s="20" t="str">
        <x:v>2026-05-20</x:v>
      </x:c>
      <x:c r="N1601" s="20" t="str">
        <x:v>GPT-5.5 Pro</x:v>
      </x:c>
      <x:c r="O1601" s="20" t="str">
        <x:v>Needs review</x:v>
      </x:c>
      <x:c r="P1601" s="20" t="str">
        <x:v>Screening score for European Union / Security contractors in South Korea; verify with country-specific evidence before final use.</x:v>
      </x:c>
    </x:row>
    <x:row r="1602" ht="24" customHeight="1">
      <x:c r="A1602" s="20" t="str">
        <x:v>ESP|Russia|Propaganda ecosystems</x:v>
      </x:c>
      <x:c r="B1602" s="20" t="str">
        <x:v>Spain</x:v>
      </x:c>
      <x:c r="C1602" s="20" t="str">
        <x:v>ESP</x:v>
      </x:c>
      <x:c r="D1602" s="20" t="str">
        <x:v>Russia</x:v>
      </x:c>
      <x:c r="E1602" s="20" t="str">
        <x:v>Russian influence</x:v>
      </x:c>
      <x:c r="F1602" s="20" t="str">
        <x:v>Propaganda ecosystems</x:v>
      </x:c>
      <x:c r="G1602" s="384" t="n">
        <x:v>5</x:v>
      </x:c>
      <x:c r="H1602" s="396" t="n">
        <x:v>3</x:v>
      </x:c>
      <x:c r="I1602" s="20" t="str">
        <x:v>EEAS/EUvsDisinfo FIMI source register</x:v>
      </x:c>
      <x:c r="J1602" s="397" t="str">
        <x:v>https://www.eeas.europa.eu/eeas/4th-eeas-annual-report-foreign-information-manipulation-and-interference-threats_en</x:v>
      </x:c>
      <x:c r="K1602" s="20" t="str">
        <x:v>Primary source-register URL; automated screening score</x:v>
      </x:c>
      <x:c r="L1602" s="20" t="str">
        <x:v>2026-05-20</x:v>
      </x:c>
      <x:c r="M1602" s="20" t="str">
        <x:v>2026-05-20</x:v>
      </x:c>
      <x:c r="N1602" s="20" t="str">
        <x:v>GPT-5.5 Pro</x:v>
      </x:c>
      <x:c r="O1602" s="20" t="str">
        <x:v>Needs review</x:v>
      </x:c>
      <x:c r="P1602" s="20" t="str">
        <x:v>Screening score for Russia / Propaganda ecosystems in Spain; verify with country-specific evidence before final use.</x:v>
      </x:c>
    </x:row>
    <x:row r="1603" ht="24" customHeight="1">
      <x:c r="A1603" s="20" t="str">
        <x:v>ESP|Russia|PMC presence</x:v>
      </x:c>
      <x:c r="B1603" s="20" t="str">
        <x:v>Spain</x:v>
      </x:c>
      <x:c r="C1603" s="20" t="str">
        <x:v>ESP</x:v>
      </x:c>
      <x:c r="D1603" s="20" t="str">
        <x:v>Russia</x:v>
      </x:c>
      <x:c r="E1603" s="20" t="str">
        <x:v>Russian influence</x:v>
      </x:c>
      <x:c r="F1603" s="20" t="str">
        <x:v>PMC presence</x:v>
      </x:c>
      <x:c r="G1603" s="384" t="n">
        <x:v>0</x:v>
      </x:c>
      <x:c r="H1603" s="396" t="n">
        <x:v>1</x:v>
      </x:c>
      <x:c r="I1603" s="20" t="str">
        <x:v>Treasury and Council of the EU Wagner/PMC source register</x:v>
      </x:c>
      <x:c r="J1603" s="397" t="str">
        <x:v>https://www.consilium.europa.eu/en/press/press-releases/2023/02/25/wagner-group-council-adds-11-individuals-and-7-entities-to-eu-sanctions-lists/</x:v>
      </x:c>
      <x:c r="K1603" s="20" t="str">
        <x:v>Primary source-register URL; automated screening score</x:v>
      </x:c>
      <x:c r="L1603" s="20" t="str">
        <x:v>2026-05-20</x:v>
      </x:c>
      <x:c r="M1603" s="20" t="str">
        <x:v>2026-05-20</x:v>
      </x:c>
      <x:c r="N1603" s="20" t="str">
        <x:v>GPT-5.5 Pro</x:v>
      </x:c>
      <x:c r="O1603" s="20" t="str">
        <x:v>Needs review</x:v>
      </x:c>
      <x:c r="P1603" s="20" t="str">
        <x:v>Screening score for Russia / PMC presence in Spain; verify with country-specific evidence before final use.</x:v>
      </x:c>
    </x:row>
    <x:row r="1604" ht="24" customHeight="1">
      <x:c r="A1604" s="20" t="str">
        <x:v>ESP|Russia|Election interference</x:v>
      </x:c>
      <x:c r="B1604" s="20" t="str">
        <x:v>Spain</x:v>
      </x:c>
      <x:c r="C1604" s="20" t="str">
        <x:v>ESP</x:v>
      </x:c>
      <x:c r="D1604" s="20" t="str">
        <x:v>Russia</x:v>
      </x:c>
      <x:c r="E1604" s="20" t="str">
        <x:v>Russian influence</x:v>
      </x:c>
      <x:c r="F1604" s="20" t="str">
        <x:v>Election interference</x:v>
      </x:c>
      <x:c r="G1604" s="384" t="n">
        <x:v>5</x:v>
      </x:c>
      <x:c r="H1604" s="396" t="n">
        <x:v>3</x:v>
      </x:c>
      <x:c r="I1604" s="20" t="str">
        <x:v>ODNI/EEAS election-FIMI source register</x:v>
      </x:c>
      <x:c r="J1604" s="397" t="str">
        <x:v>https://www.dni.gov/files/ODNI/documents/assessments/ATA-2026-Unclassified-Report.pdf</x:v>
      </x:c>
      <x:c r="K1604" s="20" t="str">
        <x:v>Primary source-register URL; automated screening score</x:v>
      </x:c>
      <x:c r="L1604" s="20" t="str">
        <x:v>2026-05-20</x:v>
      </x:c>
      <x:c r="M1604" s="20" t="str">
        <x:v>2026-05-20</x:v>
      </x:c>
      <x:c r="N1604" s="20" t="str">
        <x:v>GPT-5.5 Pro</x:v>
      </x:c>
      <x:c r="O1604" s="20" t="str">
        <x:v>Needs review</x:v>
      </x:c>
      <x:c r="P1604" s="20" t="str">
        <x:v>Screening score for Russia / Election interference in Spain; verify with country-specific evidence before final use.</x:v>
      </x:c>
    </x:row>
    <x:row r="1605" ht="24" customHeight="1">
      <x:c r="A1605" s="20" t="str">
        <x:v>ESP|Russia|Security contractors</x:v>
      </x:c>
      <x:c r="B1605" s="20" t="str">
        <x:v>Spain</x:v>
      </x:c>
      <x:c r="C1605" s="20" t="str">
        <x:v>ESP</x:v>
      </x:c>
      <x:c r="D1605" s="20" t="str">
        <x:v>Russia</x:v>
      </x:c>
      <x:c r="E1605" s="20" t="str">
        <x:v>Russian influence</x:v>
      </x:c>
      <x:c r="F1605" s="20" t="str">
        <x:v>Security contractors</x:v>
      </x:c>
      <x:c r="G1605" s="384" t="n">
        <x:v>0</x:v>
      </x:c>
      <x:c r="H1605" s="396" t="n">
        <x:v>1</x:v>
      </x:c>
      <x:c r="I1605" s="20" t="str">
        <x:v>Council of the EU/Treasury Wagner-security source register</x:v>
      </x:c>
      <x:c r="J1605" s="397" t="str">
        <x:v>https://www.consilium.europa.eu/en/press/press-releases/2023/02/25/wagner-group-council-adds-11-individuals-and-7-entities-to-eu-sanctions-lists/</x:v>
      </x:c>
      <x:c r="K1605" s="20" t="str">
        <x:v>Primary source-register URL; automated screening score</x:v>
      </x:c>
      <x:c r="L1605" s="20" t="str">
        <x:v>2026-05-20</x:v>
      </x:c>
      <x:c r="M1605" s="20" t="str">
        <x:v>2026-05-20</x:v>
      </x:c>
      <x:c r="N1605" s="20" t="str">
        <x:v>GPT-5.5 Pro</x:v>
      </x:c>
      <x:c r="O1605" s="20" t="str">
        <x:v>Needs review</x:v>
      </x:c>
      <x:c r="P1605" s="20" t="str">
        <x:v>Screening score for Russia / Security contractors in Spain; verify with country-specific evidence before final use.</x:v>
      </x:c>
    </x:row>
    <x:row r="1606" ht="24" customHeight="1">
      <x:c r="A1606" s="20" t="str">
        <x:v>ESP|China|Propaganda ecosystems</x:v>
      </x:c>
      <x:c r="B1606" s="20" t="str">
        <x:v>Spain</x:v>
      </x:c>
      <x:c r="C1606" s="20" t="str">
        <x:v>ESP</x:v>
      </x:c>
      <x:c r="D1606" s="20" t="str">
        <x:v>China</x:v>
      </x:c>
      <x:c r="E1606" s="20" t="str">
        <x:v>Chinese influence</x:v>
      </x:c>
      <x:c r="F1606" s="20" t="str">
        <x:v>Propaganda ecosystems</x:v>
      </x:c>
      <x:c r="G1606" s="384" t="n">
        <x:v>5</x:v>
      </x:c>
      <x:c r="H1606" s="396" t="n">
        <x:v>3</x:v>
      </x:c>
      <x:c r="I1606" s="20" t="str">
        <x:v>EEAS/ODNI China FIMI source register</x:v>
      </x:c>
      <x:c r="J1606" s="397" t="str">
        <x:v>https://www.eeas.europa.eu/eeas/4th-eeas-annual-report-foreign-information-manipulation-and-interference-threats_en</x:v>
      </x:c>
      <x:c r="K1606" s="20" t="str">
        <x:v>Primary source-register URL; automated screening score</x:v>
      </x:c>
      <x:c r="L1606" s="20" t="str">
        <x:v>2026-05-20</x:v>
      </x:c>
      <x:c r="M1606" s="20" t="str">
        <x:v>2026-05-20</x:v>
      </x:c>
      <x:c r="N1606" s="20" t="str">
        <x:v>GPT-5.5 Pro</x:v>
      </x:c>
      <x:c r="O1606" s="20" t="str">
        <x:v>Needs review</x:v>
      </x:c>
      <x:c r="P1606" s="20" t="str">
        <x:v>Screening score for China / Propaganda ecosystems in Spain; verify with country-specific evidence before final use.</x:v>
      </x:c>
    </x:row>
    <x:row r="1607" ht="24" customHeight="1">
      <x:c r="A1607" s="20" t="str">
        <x:v>ESP|China|PMC presence</x:v>
      </x:c>
      <x:c r="B1607" s="20" t="str">
        <x:v>Spain</x:v>
      </x:c>
      <x:c r="C1607" s="20" t="str">
        <x:v>ESP</x:v>
      </x:c>
      <x:c r="D1607" s="20" t="str">
        <x:v>China</x:v>
      </x:c>
      <x:c r="E1607" s="20" t="str">
        <x:v>Chinese influence</x:v>
      </x:c>
      <x:c r="F1607" s="20" t="str">
        <x:v>PMC presence</x:v>
      </x:c>
      <x:c r="G1607" s="384" t="n">
        <x:v>0</x:v>
      </x:c>
      <x:c r="H1607" s="396" t="n">
        <x:v>1</x:v>
      </x:c>
      <x:c r="I1607" s="20" t="str">
        <x:v>MERICS/Carnegie Chinese overseas PSC source register</x:v>
      </x:c>
      <x:c r="J1607" s="397" t="str">
        <x:v>https://merics.org/en/report/guardians-belt-and-road</x:v>
      </x:c>
      <x:c r="K1607" s="20" t="str">
        <x:v>Primary source-register URL; automated screening score</x:v>
      </x:c>
      <x:c r="L1607" s="20" t="str">
        <x:v>2026-05-20</x:v>
      </x:c>
      <x:c r="M1607" s="20" t="str">
        <x:v>2026-05-20</x:v>
      </x:c>
      <x:c r="N1607" s="20" t="str">
        <x:v>GPT-5.5 Pro</x:v>
      </x:c>
      <x:c r="O1607" s="20" t="str">
        <x:v>Needs review</x:v>
      </x:c>
      <x:c r="P1607" s="20" t="str">
        <x:v>Screening score for China / PMC presence in Spain; verify with country-specific evidence before final use.</x:v>
      </x:c>
    </x:row>
    <x:row r="1608" ht="24" customHeight="1">
      <x:c r="A1608" s="20" t="str">
        <x:v>ESP|China|Election interference</x:v>
      </x:c>
      <x:c r="B1608" s="20" t="str">
        <x:v>Spain</x:v>
      </x:c>
      <x:c r="C1608" s="20" t="str">
        <x:v>ESP</x:v>
      </x:c>
      <x:c r="D1608" s="20" t="str">
        <x:v>China</x:v>
      </x:c>
      <x:c r="E1608" s="20" t="str">
        <x:v>Chinese influence</x:v>
      </x:c>
      <x:c r="F1608" s="20" t="str">
        <x:v>Election interference</x:v>
      </x:c>
      <x:c r="G1608" s="384" t="n">
        <x:v>3</x:v>
      </x:c>
      <x:c r="H1608" s="396" t="n">
        <x:v>3</x:v>
      </x:c>
      <x:c r="I1608" s="20" t="str">
        <x:v>EEAS/ODNI China election-FIMI source register</x:v>
      </x:c>
      <x:c r="J1608" s="397" t="str">
        <x:v>https://www.eeas.europa.eu/eeas/4th-eeas-annual-report-foreign-information-manipulation-and-interference-threats_en</x:v>
      </x:c>
      <x:c r="K1608" s="20" t="str">
        <x:v>Primary source-register URL; automated screening score</x:v>
      </x:c>
      <x:c r="L1608" s="20" t="str">
        <x:v>2026-05-20</x:v>
      </x:c>
      <x:c r="M1608" s="20" t="str">
        <x:v>2026-05-20</x:v>
      </x:c>
      <x:c r="N1608" s="20" t="str">
        <x:v>GPT-5.5 Pro</x:v>
      </x:c>
      <x:c r="O1608" s="20" t="str">
        <x:v>Needs review</x:v>
      </x:c>
      <x:c r="P1608" s="20" t="str">
        <x:v>Screening score for China / Election interference in Spain; verify with country-specific evidence before final use.</x:v>
      </x:c>
    </x:row>
    <x:row r="1609" ht="24" customHeight="1">
      <x:c r="A1609" s="20" t="str">
        <x:v>ESP|China|Security contractors</x:v>
      </x:c>
      <x:c r="B1609" s="20" t="str">
        <x:v>Spain</x:v>
      </x:c>
      <x:c r="C1609" s="20" t="str">
        <x:v>ESP</x:v>
      </x:c>
      <x:c r="D1609" s="20" t="str">
        <x:v>China</x:v>
      </x:c>
      <x:c r="E1609" s="20" t="str">
        <x:v>Chinese influence</x:v>
      </x:c>
      <x:c r="F1609" s="20" t="str">
        <x:v>Security contractors</x:v>
      </x:c>
      <x:c r="G1609" s="384" t="n">
        <x:v>0</x:v>
      </x:c>
      <x:c r="H1609" s="396" t="n">
        <x:v>1</x:v>
      </x:c>
      <x:c r="I1609" s="20" t="str">
        <x:v>MERICS/Carnegie Chinese security contractor source register</x:v>
      </x:c>
      <x:c r="J1609" s="397" t="str">
        <x:v>https://merics.org/en/report/guardians-belt-and-road</x:v>
      </x:c>
      <x:c r="K1609" s="20" t="str">
        <x:v>Primary source-register URL; automated screening score</x:v>
      </x:c>
      <x:c r="L1609" s="20" t="str">
        <x:v>2026-05-20</x:v>
      </x:c>
      <x:c r="M1609" s="20" t="str">
        <x:v>2026-05-20</x:v>
      </x:c>
      <x:c r="N1609" s="20" t="str">
        <x:v>GPT-5.5 Pro</x:v>
      </x:c>
      <x:c r="O1609" s="20" t="str">
        <x:v>Needs review</x:v>
      </x:c>
      <x:c r="P1609" s="20" t="str">
        <x:v>Screening score for China / Security contractors in Spain; verify with country-specific evidence before final use.</x:v>
      </x:c>
    </x:row>
    <x:row r="1610" ht="24" customHeight="1">
      <x:c r="A1610" s="20" t="str">
        <x:v>ESP|United States|Propaganda ecosystems</x:v>
      </x:c>
      <x:c r="B1610" s="20" t="str">
        <x:v>Spain</x:v>
      </x:c>
      <x:c r="C1610" s="20" t="str">
        <x:v>ESP</x:v>
      </x:c>
      <x:c r="D1610" s="20" t="str">
        <x:v>United States</x:v>
      </x:c>
      <x:c r="E1610" s="20" t="str">
        <x:v>American influence</x:v>
      </x:c>
      <x:c r="F1610" s="20" t="str">
        <x:v>Propaganda ecosystems</x:v>
      </x:c>
      <x:c r="G1610" s="384" t="n">
        <x:v>4</x:v>
      </x:c>
      <x:c r="H1610" s="396" t="n">
        <x:v>3</x:v>
      </x:c>
      <x:c r="I1610" s="20" t="str">
        <x:v>USAGM public media source register</x:v>
      </x:c>
      <x:c r="J1610" s="397" t="str">
        <x:v>https://www.usagm.gov/our-work/strategy-and-results/strategic-priorities/research-reports/</x:v>
      </x:c>
      <x:c r="K1610" s="20" t="str">
        <x:v>Primary source-register URL; automated screening score</x:v>
      </x:c>
      <x:c r="L1610" s="20" t="str">
        <x:v>2026-05-20</x:v>
      </x:c>
      <x:c r="M1610" s="20" t="str">
        <x:v>2026-05-20</x:v>
      </x:c>
      <x:c r="N1610" s="20" t="str">
        <x:v>GPT-5.5 Pro</x:v>
      </x:c>
      <x:c r="O1610" s="20" t="str">
        <x:v>Needs review</x:v>
      </x:c>
      <x:c r="P1610" s="20" t="str">
        <x:v>Screening score for United States / Propaganda ecosystems in Spain; verify with country-specific evidence before final use.</x:v>
      </x:c>
    </x:row>
    <x:row r="1611" ht="24" customHeight="1">
      <x:c r="A1611" s="20" t="str">
        <x:v>ESP|United States|PMC presence</x:v>
      </x:c>
      <x:c r="B1611" s="20" t="str">
        <x:v>Spain</x:v>
      </x:c>
      <x:c r="C1611" s="20" t="str">
        <x:v>ESP</x:v>
      </x:c>
      <x:c r="D1611" s="20" t="str">
        <x:v>United States</x:v>
      </x:c>
      <x:c r="E1611" s="20" t="str">
        <x:v>American influence</x:v>
      </x:c>
      <x:c r="F1611" s="20" t="str">
        <x:v>PMC presence</x:v>
      </x:c>
      <x:c r="G1611" s="384" t="n">
        <x:v>3</x:v>
      </x:c>
      <x:c r="H1611" s="396" t="n">
        <x:v>3</x:v>
      </x:c>
      <x:c r="I1611" s="20" t="str">
        <x:v>SAM/Greenbook U.S. security assistance contractor source register</x:v>
      </x:c>
      <x:c r="J1611" s="397" t="str">
        <x:v>https://internationalpolicy.org/programs/sam/</x:v>
      </x:c>
      <x:c r="K1611" s="20" t="str">
        <x:v>Primary source-register URL; automated screening score</x:v>
      </x:c>
      <x:c r="L1611" s="20" t="str">
        <x:v>2026-05-20</x:v>
      </x:c>
      <x:c r="M1611" s="20" t="str">
        <x:v>2026-05-20</x:v>
      </x:c>
      <x:c r="N1611" s="20" t="str">
        <x:v>GPT-5.5 Pro</x:v>
      </x:c>
      <x:c r="O1611" s="20" t="str">
        <x:v>Needs review</x:v>
      </x:c>
      <x:c r="P1611" s="20" t="str">
        <x:v>Screening score for United States / PMC presence in Spain; verify with country-specific evidence before final use.</x:v>
      </x:c>
    </x:row>
    <x:row r="1612" ht="24" customHeight="1">
      <x:c r="A1612" s="20" t="str">
        <x:v>ESP|United States|Election interference</x:v>
      </x:c>
      <x:c r="B1612" s="20" t="str">
        <x:v>Spain</x:v>
      </x:c>
      <x:c r="C1612" s="20" t="str">
        <x:v>ESP</x:v>
      </x:c>
      <x:c r="D1612" s="20" t="str">
        <x:v>United States</x:v>
      </x:c>
      <x:c r="E1612" s="20" t="str">
        <x:v>American influence</x:v>
      </x:c>
      <x:c r="F1612" s="20" t="str">
        <x:v>Election interference</x:v>
      </x:c>
      <x:c r="G1612" s="384" t="n">
        <x:v>1</x:v>
      </x:c>
      <x:c r="H1612" s="396" t="n">
        <x:v>2</x:v>
      </x:c>
      <x:c r="I1612" s="20" t="str">
        <x:v>NED/Greenbook democracy assistance source register</x:v>
      </x:c>
      <x:c r="J1612" s="397" t="str">
        <x:v>https://www.ned.org/ned-grantmaking/</x:v>
      </x:c>
      <x:c r="K1612" s="20" t="str">
        <x:v>Primary source-register URL; automated screening score</x:v>
      </x:c>
      <x:c r="L1612" s="20" t="str">
        <x:v>2026-05-20</x:v>
      </x:c>
      <x:c r="M1612" s="20" t="str">
        <x:v>2026-05-20</x:v>
      </x:c>
      <x:c r="N1612" s="20" t="str">
        <x:v>GPT-5.5 Pro</x:v>
      </x:c>
      <x:c r="O1612" s="20" t="str">
        <x:v>Needs review</x:v>
      </x:c>
      <x:c r="P1612" s="20" t="str">
        <x:v>Screening score for United States / Election interference in Spain; verify with country-specific evidence before final use.</x:v>
      </x:c>
    </x:row>
    <x:row r="1613" ht="24" customHeight="1">
      <x:c r="A1613" s="20" t="str">
        <x:v>ESP|United States|Security contractors</x:v>
      </x:c>
      <x:c r="B1613" s="20" t="str">
        <x:v>Spain</x:v>
      </x:c>
      <x:c r="C1613" s="20" t="str">
        <x:v>ESP</x:v>
      </x:c>
      <x:c r="D1613" s="20" t="str">
        <x:v>United States</x:v>
      </x:c>
      <x:c r="E1613" s="20" t="str">
        <x:v>American influence</x:v>
      </x:c>
      <x:c r="F1613" s="20" t="str">
        <x:v>Security contractors</x:v>
      </x:c>
      <x:c r="G1613" s="384" t="n">
        <x:v>6</x:v>
      </x:c>
      <x:c r="H1613" s="396" t="n">
        <x:v>4</x:v>
      </x:c>
      <x:c r="I1613" s="20" t="str">
        <x:v>SAM/Greenbook U.S. security contractor source register</x:v>
      </x:c>
      <x:c r="J1613" s="397" t="str">
        <x:v>https://internationalpolicy.org/programs/sam/</x:v>
      </x:c>
      <x:c r="K1613" s="20" t="str">
        <x:v>Primary source-register URL; automated screening score</x:v>
      </x:c>
      <x:c r="L1613" s="20" t="str">
        <x:v>2026-05-20</x:v>
      </x:c>
      <x:c r="M1613" s="20" t="str">
        <x:v>2026-05-20</x:v>
      </x:c>
      <x:c r="N1613" s="20" t="str">
        <x:v>GPT-5.5 Pro</x:v>
      </x:c>
      <x:c r="O1613" s="20" t="str">
        <x:v>Needs review</x:v>
      </x:c>
      <x:c r="P1613" s="20" t="str">
        <x:v>Screening score for United States / Security contractors in Spain; verify with country-specific evidence before final use.</x:v>
      </x:c>
    </x:row>
    <x:row r="1614" ht="24" customHeight="1">
      <x:c r="A1614" s="20" t="str">
        <x:v>ESP|European Union|Propaganda ecosystems</x:v>
      </x:c>
      <x:c r="B1614" s="20" t="str">
        <x:v>Spain</x:v>
      </x:c>
      <x:c r="C1614" s="20" t="str">
        <x:v>ESP</x:v>
      </x:c>
      <x:c r="D1614" s="20" t="str">
        <x:v>European Union</x:v>
      </x:c>
      <x:c r="E1614" s="20" t="str">
        <x:v>EU influence</x:v>
      </x:c>
      <x:c r="F1614" s="20" t="str">
        <x:v>Propaganda ecosystems</x:v>
      </x:c>
      <x:c r="G1614" s="384" t="n">
        <x:v>9</x:v>
      </x:c>
      <x:c r="H1614" s="396" t="n">
        <x:v>5</x:v>
      </x:c>
      <x:c r="I1614" s="20" t="str">
        <x:v>EEAS public diplomacy source register</x:v>
      </x:c>
      <x:c r="J1614" s="397" t="str">
        <x:v>https://www.eeas.europa.eu/eeas/public-diplomacy_en</x:v>
      </x:c>
      <x:c r="K1614" s="20" t="str">
        <x:v>Primary source-register URL; automated screening score</x:v>
      </x:c>
      <x:c r="L1614" s="20" t="str">
        <x:v>2026-05-20</x:v>
      </x:c>
      <x:c r="M1614" s="20" t="str">
        <x:v>2026-05-20</x:v>
      </x:c>
      <x:c r="N1614" s="20" t="str">
        <x:v>GPT-5.5 Pro</x:v>
      </x:c>
      <x:c r="O1614" s="20" t="str">
        <x:v>Needs review</x:v>
      </x:c>
      <x:c r="P1614" s="20" t="str">
        <x:v>Screening score for European Union / Propaganda ecosystems in Spain; verify with country-specific evidence before final use.</x:v>
      </x:c>
    </x:row>
    <x:row r="1615" ht="24" customHeight="1">
      <x:c r="A1615" s="20" t="str">
        <x:v>ESP|European Union|PMC presence</x:v>
      </x:c>
      <x:c r="B1615" s="20" t="str">
        <x:v>Spain</x:v>
      </x:c>
      <x:c r="C1615" s="20" t="str">
        <x:v>ESP</x:v>
      </x:c>
      <x:c r="D1615" s="20" t="str">
        <x:v>European Union</x:v>
      </x:c>
      <x:c r="E1615" s="20" t="str">
        <x:v>EU influence</x:v>
      </x:c>
      <x:c r="F1615" s="20" t="str">
        <x:v>PMC presence</x:v>
      </x:c>
      <x:c r="G1615" s="384" t="n">
        <x:v>0</x:v>
      </x:c>
      <x:c r="H1615" s="396" t="n">
        <x:v>1</x:v>
      </x:c>
      <x:c r="I1615" s="20" t="str">
        <x:v>EEAS CSDP missions source register</x:v>
      </x:c>
      <x:c r="J1615" s="397" t="str">
        <x:v>https://www.eeas.europa.eu/eeas/missions-and-operations_en</x:v>
      </x:c>
      <x:c r="K1615" s="20" t="str">
        <x:v>Primary source-register URL; automated screening score</x:v>
      </x:c>
      <x:c r="L1615" s="20" t="str">
        <x:v>2026-05-20</x:v>
      </x:c>
      <x:c r="M1615" s="20" t="str">
        <x:v>2026-05-20</x:v>
      </x:c>
      <x:c r="N1615" s="20" t="str">
        <x:v>GPT-5.5 Pro</x:v>
      </x:c>
      <x:c r="O1615" s="20" t="str">
        <x:v>Needs review</x:v>
      </x:c>
      <x:c r="P1615" s="20" t="str">
        <x:v>Screening score for European Union / PMC presence in Spain; verify with country-specific evidence before final use.</x:v>
      </x:c>
    </x:row>
    <x:row r="1616" ht="24" customHeight="1">
      <x:c r="A1616" s="20" t="str">
        <x:v>ESP|European Union|Election interference</x:v>
      </x:c>
      <x:c r="B1616" s="20" t="str">
        <x:v>Spain</x:v>
      </x:c>
      <x:c r="C1616" s="20" t="str">
        <x:v>ESP</x:v>
      </x:c>
      <x:c r="D1616" s="20" t="str">
        <x:v>European Union</x:v>
      </x:c>
      <x:c r="E1616" s="20" t="str">
        <x:v>EU influence</x:v>
      </x:c>
      <x:c r="F1616" s="20" t="str">
        <x:v>Election interference</x:v>
      </x:c>
      <x:c r="G1616" s="384" t="n">
        <x:v>2</x:v>
      </x:c>
      <x:c r="H1616" s="396" t="n">
        <x:v>2</x:v>
      </x:c>
      <x:c r="I1616" s="20" t="str">
        <x:v>EEAS EU election observation source register</x:v>
      </x:c>
      <x:c r="J1616" s="397" t="str">
        <x:v>https://www.eeas.europa.eu/eeas/eu-election-observation-missions-1_en?page_lang=en</x:v>
      </x:c>
      <x:c r="K1616" s="20" t="str">
        <x:v>Primary source-register URL; automated screening score</x:v>
      </x:c>
      <x:c r="L1616" s="20" t="str">
        <x:v>2026-05-20</x:v>
      </x:c>
      <x:c r="M1616" s="20" t="str">
        <x:v>2026-05-20</x:v>
      </x:c>
      <x:c r="N1616" s="20" t="str">
        <x:v>GPT-5.5 Pro</x:v>
      </x:c>
      <x:c r="O1616" s="20" t="str">
        <x:v>Needs review</x:v>
      </x:c>
      <x:c r="P1616" s="20" t="str">
        <x:v>Screening score for European Union / Election interference in Spain; verify with country-specific evidence before final use.</x:v>
      </x:c>
    </x:row>
    <x:row r="1617" ht="24" customHeight="1">
      <x:c r="A1617" s="20" t="str">
        <x:v>ESP|European Union|Security contractors</x:v>
      </x:c>
      <x:c r="B1617" s="20" t="str">
        <x:v>Spain</x:v>
      </x:c>
      <x:c r="C1617" s="20" t="str">
        <x:v>ESP</x:v>
      </x:c>
      <x:c r="D1617" s="20" t="str">
        <x:v>European Union</x:v>
      </x:c>
      <x:c r="E1617" s="20" t="str">
        <x:v>EU influence</x:v>
      </x:c>
      <x:c r="F1617" s="20" t="str">
        <x:v>Security contractors</x:v>
      </x:c>
      <x:c r="G1617" s="384" t="n">
        <x:v>5</x:v>
      </x:c>
      <x:c r="H1617" s="396" t="n">
        <x:v>3</x:v>
      </x:c>
      <x:c r="I1617" s="20" t="str">
        <x:v>EEAS CSDP / Global Gateway security source register</x:v>
      </x:c>
      <x:c r="J1617" s="397" t="str">
        <x:v>https://www.eeas.europa.eu/eeas/missions-and-operations_en</x:v>
      </x:c>
      <x:c r="K1617" s="20" t="str">
        <x:v>Primary source-register URL; automated screening score</x:v>
      </x:c>
      <x:c r="L1617" s="20" t="str">
        <x:v>2026-05-20</x:v>
      </x:c>
      <x:c r="M1617" s="20" t="str">
        <x:v>2026-05-20</x:v>
      </x:c>
      <x:c r="N1617" s="20" t="str">
        <x:v>GPT-5.5 Pro</x:v>
      </x:c>
      <x:c r="O1617" s="20" t="str">
        <x:v>Needs review</x:v>
      </x:c>
      <x:c r="P1617" s="20" t="str">
        <x:v>Screening score for European Union / Security contractors in Spain; verify with country-specific evidence before final use.</x:v>
      </x:c>
    </x:row>
    <x:row r="1618" ht="24" customHeight="1">
      <x:c r="A1618" s="20" t="str">
        <x:v>LKA|Russia|Propaganda ecosystems</x:v>
      </x:c>
      <x:c r="B1618" s="20" t="str">
        <x:v>Sri Lanka</x:v>
      </x:c>
      <x:c r="C1618" s="20" t="str">
        <x:v>LKA</x:v>
      </x:c>
      <x:c r="D1618" s="20" t="str">
        <x:v>Russia</x:v>
      </x:c>
      <x:c r="E1618" s="20" t="str">
        <x:v>Russian influence</x:v>
      </x:c>
      <x:c r="F1618" s="20" t="str">
        <x:v>Propaganda ecosystems</x:v>
      </x:c>
      <x:c r="G1618" s="384" t="n">
        <x:v>2</x:v>
      </x:c>
      <x:c r="H1618" s="396" t="n">
        <x:v>2</x:v>
      </x:c>
      <x:c r="I1618" s="20" t="str">
        <x:v>EEAS/EUvsDisinfo FIMI source register</x:v>
      </x:c>
      <x:c r="J1618" s="397" t="str">
        <x:v>https://www.eeas.europa.eu/eeas/4th-eeas-annual-report-foreign-information-manipulation-and-interference-threats_en</x:v>
      </x:c>
      <x:c r="K1618" s="20" t="str">
        <x:v>Primary source-register URL; automated screening score</x:v>
      </x:c>
      <x:c r="L1618" s="20" t="str">
        <x:v>2026-05-20</x:v>
      </x:c>
      <x:c r="M1618" s="20" t="str">
        <x:v>2026-05-20</x:v>
      </x:c>
      <x:c r="N1618" s="20" t="str">
        <x:v>GPT-5.5 Pro</x:v>
      </x:c>
      <x:c r="O1618" s="20" t="str">
        <x:v>Needs review</x:v>
      </x:c>
      <x:c r="P1618" s="20" t="str">
        <x:v>Screening score for Russia / Propaganda ecosystems in Sri Lanka; verify with country-specific evidence before final use.</x:v>
      </x:c>
    </x:row>
    <x:row r="1619" ht="24" customHeight="1">
      <x:c r="A1619" s="20" t="str">
        <x:v>LKA|Russia|PMC presence</x:v>
      </x:c>
      <x:c r="B1619" s="20" t="str">
        <x:v>Sri Lanka</x:v>
      </x:c>
      <x:c r="C1619" s="20" t="str">
        <x:v>LKA</x:v>
      </x:c>
      <x:c r="D1619" s="20" t="str">
        <x:v>Russia</x:v>
      </x:c>
      <x:c r="E1619" s="20" t="str">
        <x:v>Russian influence</x:v>
      </x:c>
      <x:c r="F1619" s="20" t="str">
        <x:v>PMC presence</x:v>
      </x:c>
      <x:c r="G1619" s="384" t="n">
        <x:v>0</x:v>
      </x:c>
      <x:c r="H1619" s="396" t="n">
        <x:v>1</x:v>
      </x:c>
      <x:c r="I1619" s="20" t="str">
        <x:v>Treasury and Council of the EU Wagner/PMC source register</x:v>
      </x:c>
      <x:c r="J1619" s="397" t="str">
        <x:v>https://www.consilium.europa.eu/en/press/press-releases/2023/02/25/wagner-group-council-adds-11-individuals-and-7-entities-to-eu-sanctions-lists/</x:v>
      </x:c>
      <x:c r="K1619" s="20" t="str">
        <x:v>Primary source-register URL; automated screening score</x:v>
      </x:c>
      <x:c r="L1619" s="20" t="str">
        <x:v>2026-05-20</x:v>
      </x:c>
      <x:c r="M1619" s="20" t="str">
        <x:v>2026-05-20</x:v>
      </x:c>
      <x:c r="N1619" s="20" t="str">
        <x:v>GPT-5.5 Pro</x:v>
      </x:c>
      <x:c r="O1619" s="20" t="str">
        <x:v>Needs review</x:v>
      </x:c>
      <x:c r="P1619" s="20" t="str">
        <x:v>Screening score for Russia / PMC presence in Sri Lanka; verify with country-specific evidence before final use.</x:v>
      </x:c>
    </x:row>
    <x:row r="1620" ht="24" customHeight="1">
      <x:c r="A1620" s="20" t="str">
        <x:v>LKA|Russia|Election interference</x:v>
      </x:c>
      <x:c r="B1620" s="20" t="str">
        <x:v>Sri Lanka</x:v>
      </x:c>
      <x:c r="C1620" s="20" t="str">
        <x:v>LKA</x:v>
      </x:c>
      <x:c r="D1620" s="20" t="str">
        <x:v>Russia</x:v>
      </x:c>
      <x:c r="E1620" s="20" t="str">
        <x:v>Russian influence</x:v>
      </x:c>
      <x:c r="F1620" s="20" t="str">
        <x:v>Election interference</x:v>
      </x:c>
      <x:c r="G1620" s="384" t="n">
        <x:v>0</x:v>
      </x:c>
      <x:c r="H1620" s="396" t="n">
        <x:v>1</x:v>
      </x:c>
      <x:c r="I1620" s="20" t="str">
        <x:v>ODNI/EEAS election-FIMI source register</x:v>
      </x:c>
      <x:c r="J1620" s="397" t="str">
        <x:v>https://www.dni.gov/files/ODNI/documents/assessments/ATA-2026-Unclassified-Report.pdf</x:v>
      </x:c>
      <x:c r="K1620" s="20" t="str">
        <x:v>Primary source-register URL; automated screening score</x:v>
      </x:c>
      <x:c r="L1620" s="20" t="str">
        <x:v>2026-05-20</x:v>
      </x:c>
      <x:c r="M1620" s="20" t="str">
        <x:v>2026-05-20</x:v>
      </x:c>
      <x:c r="N1620" s="20" t="str">
        <x:v>GPT-5.5 Pro</x:v>
      </x:c>
      <x:c r="O1620" s="20" t="str">
        <x:v>Needs review</x:v>
      </x:c>
      <x:c r="P1620" s="20" t="str">
        <x:v>Screening score for Russia / Election interference in Sri Lanka; verify with country-specific evidence before final use.</x:v>
      </x:c>
    </x:row>
    <x:row r="1621" ht="24" customHeight="1">
      <x:c r="A1621" s="20" t="str">
        <x:v>LKA|Russia|Security contractors</x:v>
      </x:c>
      <x:c r="B1621" s="20" t="str">
        <x:v>Sri Lanka</x:v>
      </x:c>
      <x:c r="C1621" s="20" t="str">
        <x:v>LKA</x:v>
      </x:c>
      <x:c r="D1621" s="20" t="str">
        <x:v>Russia</x:v>
      </x:c>
      <x:c r="E1621" s="20" t="str">
        <x:v>Russian influence</x:v>
      </x:c>
      <x:c r="F1621" s="20" t="str">
        <x:v>Security contractors</x:v>
      </x:c>
      <x:c r="G1621" s="384" t="n">
        <x:v>0</x:v>
      </x:c>
      <x:c r="H1621" s="396" t="n">
        <x:v>1</x:v>
      </x:c>
      <x:c r="I1621" s="20" t="str">
        <x:v>Council of the EU/Treasury Wagner-security source register</x:v>
      </x:c>
      <x:c r="J1621" s="397" t="str">
        <x:v>https://www.consilium.europa.eu/en/press/press-releases/2023/02/25/wagner-group-council-adds-11-individuals-and-7-entities-to-eu-sanctions-lists/</x:v>
      </x:c>
      <x:c r="K1621" s="20" t="str">
        <x:v>Primary source-register URL; automated screening score</x:v>
      </x:c>
      <x:c r="L1621" s="20" t="str">
        <x:v>2026-05-20</x:v>
      </x:c>
      <x:c r="M1621" s="20" t="str">
        <x:v>2026-05-20</x:v>
      </x:c>
      <x:c r="N1621" s="20" t="str">
        <x:v>GPT-5.5 Pro</x:v>
      </x:c>
      <x:c r="O1621" s="20" t="str">
        <x:v>Needs review</x:v>
      </x:c>
      <x:c r="P1621" s="20" t="str">
        <x:v>Screening score for Russia / Security contractors in Sri Lanka; verify with country-specific evidence before final use.</x:v>
      </x:c>
    </x:row>
    <x:row r="1622" ht="24" customHeight="1">
      <x:c r="A1622" s="20" t="str">
        <x:v>LKA|China|Propaganda ecosystems</x:v>
      </x:c>
      <x:c r="B1622" s="20" t="str">
        <x:v>Sri Lanka</x:v>
      </x:c>
      <x:c r="C1622" s="20" t="str">
        <x:v>LKA</x:v>
      </x:c>
      <x:c r="D1622" s="20" t="str">
        <x:v>China</x:v>
      </x:c>
      <x:c r="E1622" s="20" t="str">
        <x:v>Chinese influence</x:v>
      </x:c>
      <x:c r="F1622" s="20" t="str">
        <x:v>Propaganda ecosystems</x:v>
      </x:c>
      <x:c r="G1622" s="384" t="n">
        <x:v>5</x:v>
      </x:c>
      <x:c r="H1622" s="396" t="n">
        <x:v>3</x:v>
      </x:c>
      <x:c r="I1622" s="20" t="str">
        <x:v>EEAS/ODNI China FIMI source register</x:v>
      </x:c>
      <x:c r="J1622" s="397" t="str">
        <x:v>https://www.eeas.europa.eu/eeas/4th-eeas-annual-report-foreign-information-manipulation-and-interference-threats_en</x:v>
      </x:c>
      <x:c r="K1622" s="20" t="str">
        <x:v>Primary source-register URL; automated screening score</x:v>
      </x:c>
      <x:c r="L1622" s="20" t="str">
        <x:v>2026-05-20</x:v>
      </x:c>
      <x:c r="M1622" s="20" t="str">
        <x:v>2026-05-20</x:v>
      </x:c>
      <x:c r="N1622" s="20" t="str">
        <x:v>GPT-5.5 Pro</x:v>
      </x:c>
      <x:c r="O1622" s="20" t="str">
        <x:v>Needs review</x:v>
      </x:c>
      <x:c r="P1622" s="20" t="str">
        <x:v>Screening score for China / Propaganda ecosystems in Sri Lanka; verify with country-specific evidence before final use.</x:v>
      </x:c>
    </x:row>
    <x:row r="1623" ht="24" customHeight="1">
      <x:c r="A1623" s="20" t="str">
        <x:v>LKA|China|PMC presence</x:v>
      </x:c>
      <x:c r="B1623" s="20" t="str">
        <x:v>Sri Lanka</x:v>
      </x:c>
      <x:c r="C1623" s="20" t="str">
        <x:v>LKA</x:v>
      </x:c>
      <x:c r="D1623" s="20" t="str">
        <x:v>China</x:v>
      </x:c>
      <x:c r="E1623" s="20" t="str">
        <x:v>Chinese influence</x:v>
      </x:c>
      <x:c r="F1623" s="20" t="str">
        <x:v>PMC presence</x:v>
      </x:c>
      <x:c r="G1623" s="384" t="n">
        <x:v>2</x:v>
      </x:c>
      <x:c r="H1623" s="396" t="n">
        <x:v>2</x:v>
      </x:c>
      <x:c r="I1623" s="20" t="str">
        <x:v>MERICS/Carnegie Chinese overseas PSC source register</x:v>
      </x:c>
      <x:c r="J1623" s="397" t="str">
        <x:v>https://merics.org/en/report/guardians-belt-and-road</x:v>
      </x:c>
      <x:c r="K1623" s="20" t="str">
        <x:v>Primary source-register URL; automated screening score</x:v>
      </x:c>
      <x:c r="L1623" s="20" t="str">
        <x:v>2026-05-20</x:v>
      </x:c>
      <x:c r="M1623" s="20" t="str">
        <x:v>2026-05-20</x:v>
      </x:c>
      <x:c r="N1623" s="20" t="str">
        <x:v>GPT-5.5 Pro</x:v>
      </x:c>
      <x:c r="O1623" s="20" t="str">
        <x:v>Needs review</x:v>
      </x:c>
      <x:c r="P1623" s="20" t="str">
        <x:v>Screening score for China / PMC presence in Sri Lanka; verify with country-specific evidence before final use.</x:v>
      </x:c>
    </x:row>
    <x:row r="1624" ht="24" customHeight="1">
      <x:c r="A1624" s="20" t="str">
        <x:v>LKA|China|Election interference</x:v>
      </x:c>
      <x:c r="B1624" s="20" t="str">
        <x:v>Sri Lanka</x:v>
      </x:c>
      <x:c r="C1624" s="20" t="str">
        <x:v>LKA</x:v>
      </x:c>
      <x:c r="D1624" s="20" t="str">
        <x:v>China</x:v>
      </x:c>
      <x:c r="E1624" s="20" t="str">
        <x:v>Chinese influence</x:v>
      </x:c>
      <x:c r="F1624" s="20" t="str">
        <x:v>Election interference</x:v>
      </x:c>
      <x:c r="G1624" s="384" t="n">
        <x:v>1</x:v>
      </x:c>
      <x:c r="H1624" s="396" t="n">
        <x:v>2</x:v>
      </x:c>
      <x:c r="I1624" s="20" t="str">
        <x:v>EEAS/ODNI China election-FIMI source register</x:v>
      </x:c>
      <x:c r="J1624" s="397" t="str">
        <x:v>https://www.eeas.europa.eu/eeas/4th-eeas-annual-report-foreign-information-manipulation-and-interference-threats_en</x:v>
      </x:c>
      <x:c r="K1624" s="20" t="str">
        <x:v>Primary source-register URL; automated screening score</x:v>
      </x:c>
      <x:c r="L1624" s="20" t="str">
        <x:v>2026-05-20</x:v>
      </x:c>
      <x:c r="M1624" s="20" t="str">
        <x:v>2026-05-20</x:v>
      </x:c>
      <x:c r="N1624" s="20" t="str">
        <x:v>GPT-5.5 Pro</x:v>
      </x:c>
      <x:c r="O1624" s="20" t="str">
        <x:v>Needs review</x:v>
      </x:c>
      <x:c r="P1624" s="20" t="str">
        <x:v>Screening score for China / Election interference in Sri Lanka; verify with country-specific evidence before final use.</x:v>
      </x:c>
    </x:row>
    <x:row r="1625" ht="24" customHeight="1">
      <x:c r="A1625" s="20" t="str">
        <x:v>LKA|China|Security contractors</x:v>
      </x:c>
      <x:c r="B1625" s="20" t="str">
        <x:v>Sri Lanka</x:v>
      </x:c>
      <x:c r="C1625" s="20" t="str">
        <x:v>LKA</x:v>
      </x:c>
      <x:c r="D1625" s="20" t="str">
        <x:v>China</x:v>
      </x:c>
      <x:c r="E1625" s="20" t="str">
        <x:v>Chinese influence</x:v>
      </x:c>
      <x:c r="F1625" s="20" t="str">
        <x:v>Security contractors</x:v>
      </x:c>
      <x:c r="G1625" s="384" t="n">
        <x:v>3</x:v>
      </x:c>
      <x:c r="H1625" s="396" t="n">
        <x:v>3</x:v>
      </x:c>
      <x:c r="I1625" s="20" t="str">
        <x:v>MERICS/Carnegie Chinese security contractor source register</x:v>
      </x:c>
      <x:c r="J1625" s="397" t="str">
        <x:v>https://merics.org/en/report/guardians-belt-and-road</x:v>
      </x:c>
      <x:c r="K1625" s="20" t="str">
        <x:v>Primary source-register URL; automated screening score</x:v>
      </x:c>
      <x:c r="L1625" s="20" t="str">
        <x:v>2026-05-20</x:v>
      </x:c>
      <x:c r="M1625" s="20" t="str">
        <x:v>2026-05-20</x:v>
      </x:c>
      <x:c r="N1625" s="20" t="str">
        <x:v>GPT-5.5 Pro</x:v>
      </x:c>
      <x:c r="O1625" s="20" t="str">
        <x:v>Needs review</x:v>
      </x:c>
      <x:c r="P1625" s="20" t="str">
        <x:v>Screening score for China / Security contractors in Sri Lanka; verify with country-specific evidence before final use.</x:v>
      </x:c>
    </x:row>
    <x:row r="1626" ht="24" customHeight="1">
      <x:c r="A1626" s="20" t="str">
        <x:v>LKA|United States|Propaganda ecosystems</x:v>
      </x:c>
      <x:c r="B1626" s="20" t="str">
        <x:v>Sri Lanka</x:v>
      </x:c>
      <x:c r="C1626" s="20" t="str">
        <x:v>LKA</x:v>
      </x:c>
      <x:c r="D1626" s="20" t="str">
        <x:v>United States</x:v>
      </x:c>
      <x:c r="E1626" s="20" t="str">
        <x:v>American influence</x:v>
      </x:c>
      <x:c r="F1626" s="20" t="str">
        <x:v>Propaganda ecosystems</x:v>
      </x:c>
      <x:c r="G1626" s="384" t="n">
        <x:v>3</x:v>
      </x:c>
      <x:c r="H1626" s="396" t="n">
        <x:v>3</x:v>
      </x:c>
      <x:c r="I1626" s="20" t="str">
        <x:v>USAGM public media source register</x:v>
      </x:c>
      <x:c r="J1626" s="397" t="str">
        <x:v>https://www.usagm.gov/our-work/strategy-and-results/strategic-priorities/research-reports/</x:v>
      </x:c>
      <x:c r="K1626" s="20" t="str">
        <x:v>Primary source-register URL; automated screening score</x:v>
      </x:c>
      <x:c r="L1626" s="20" t="str">
        <x:v>2026-05-20</x:v>
      </x:c>
      <x:c r="M1626" s="20" t="str">
        <x:v>2026-05-20</x:v>
      </x:c>
      <x:c r="N1626" s="20" t="str">
        <x:v>GPT-5.5 Pro</x:v>
      </x:c>
      <x:c r="O1626" s="20" t="str">
        <x:v>Needs review</x:v>
      </x:c>
      <x:c r="P1626" s="20" t="str">
        <x:v>Screening score for United States / Propaganda ecosystems in Sri Lanka; verify with country-specific evidence before final use.</x:v>
      </x:c>
    </x:row>
    <x:row r="1627" ht="24" customHeight="1">
      <x:c r="A1627" s="20" t="str">
        <x:v>LKA|United States|PMC presence</x:v>
      </x:c>
      <x:c r="B1627" s="20" t="str">
        <x:v>Sri Lanka</x:v>
      </x:c>
      <x:c r="C1627" s="20" t="str">
        <x:v>LKA</x:v>
      </x:c>
      <x:c r="D1627" s="20" t="str">
        <x:v>United States</x:v>
      </x:c>
      <x:c r="E1627" s="20" t="str">
        <x:v>American influence</x:v>
      </x:c>
      <x:c r="F1627" s="20" t="str">
        <x:v>PMC presence</x:v>
      </x:c>
      <x:c r="G1627" s="384" t="n">
        <x:v>1</x:v>
      </x:c>
      <x:c r="H1627" s="396" t="n">
        <x:v>2</x:v>
      </x:c>
      <x:c r="I1627" s="20" t="str">
        <x:v>SAM/Greenbook U.S. security assistance contractor source register</x:v>
      </x:c>
      <x:c r="J1627" s="397" t="str">
        <x:v>https://internationalpolicy.org/programs/sam/</x:v>
      </x:c>
      <x:c r="K1627" s="20" t="str">
        <x:v>Primary source-register URL; automated screening score</x:v>
      </x:c>
      <x:c r="L1627" s="20" t="str">
        <x:v>2026-05-20</x:v>
      </x:c>
      <x:c r="M1627" s="20" t="str">
        <x:v>2026-05-20</x:v>
      </x:c>
      <x:c r="N1627" s="20" t="str">
        <x:v>GPT-5.5 Pro</x:v>
      </x:c>
      <x:c r="O1627" s="20" t="str">
        <x:v>Needs review</x:v>
      </x:c>
      <x:c r="P1627" s="20" t="str">
        <x:v>Screening score for United States / PMC presence in Sri Lanka; verify with country-specific evidence before final use.</x:v>
      </x:c>
    </x:row>
    <x:row r="1628" ht="24" customHeight="1">
      <x:c r="A1628" s="20" t="str">
        <x:v>LKA|United States|Election interference</x:v>
      </x:c>
      <x:c r="B1628" s="20" t="str">
        <x:v>Sri Lanka</x:v>
      </x:c>
      <x:c r="C1628" s="20" t="str">
        <x:v>LKA</x:v>
      </x:c>
      <x:c r="D1628" s="20" t="str">
        <x:v>United States</x:v>
      </x:c>
      <x:c r="E1628" s="20" t="str">
        <x:v>American influence</x:v>
      </x:c>
      <x:c r="F1628" s="20" t="str">
        <x:v>Election interference</x:v>
      </x:c>
      <x:c r="G1628" s="384" t="n">
        <x:v>2</x:v>
      </x:c>
      <x:c r="H1628" s="396" t="n">
        <x:v>2</x:v>
      </x:c>
      <x:c r="I1628" s="20" t="str">
        <x:v>NED/Greenbook democracy assistance source register</x:v>
      </x:c>
      <x:c r="J1628" s="397" t="str">
        <x:v>https://www.ned.org/ned-grantmaking/</x:v>
      </x:c>
      <x:c r="K1628" s="20" t="str">
        <x:v>Primary source-register URL; automated screening score</x:v>
      </x:c>
      <x:c r="L1628" s="20" t="str">
        <x:v>2026-05-20</x:v>
      </x:c>
      <x:c r="M1628" s="20" t="str">
        <x:v>2026-05-20</x:v>
      </x:c>
      <x:c r="N1628" s="20" t="str">
        <x:v>GPT-5.5 Pro</x:v>
      </x:c>
      <x:c r="O1628" s="20" t="str">
        <x:v>Needs review</x:v>
      </x:c>
      <x:c r="P1628" s="20" t="str">
        <x:v>Screening score for United States / Election interference in Sri Lanka; verify with country-specific evidence before final use.</x:v>
      </x:c>
    </x:row>
    <x:row r="1629" ht="24" customHeight="1">
      <x:c r="A1629" s="20" t="str">
        <x:v>LKA|United States|Security contractors</x:v>
      </x:c>
      <x:c r="B1629" s="20" t="str">
        <x:v>Sri Lanka</x:v>
      </x:c>
      <x:c r="C1629" s="20" t="str">
        <x:v>LKA</x:v>
      </x:c>
      <x:c r="D1629" s="20" t="str">
        <x:v>United States</x:v>
      </x:c>
      <x:c r="E1629" s="20" t="str">
        <x:v>American influence</x:v>
      </x:c>
      <x:c r="F1629" s="20" t="str">
        <x:v>Security contractors</x:v>
      </x:c>
      <x:c r="G1629" s="384" t="n">
        <x:v>2</x:v>
      </x:c>
      <x:c r="H1629" s="396" t="n">
        <x:v>2</x:v>
      </x:c>
      <x:c r="I1629" s="20" t="str">
        <x:v>SAM/Greenbook U.S. security contractor source register</x:v>
      </x:c>
      <x:c r="J1629" s="397" t="str">
        <x:v>https://internationalpolicy.org/programs/sam/</x:v>
      </x:c>
      <x:c r="K1629" s="20" t="str">
        <x:v>Primary source-register URL; automated screening score</x:v>
      </x:c>
      <x:c r="L1629" s="20" t="str">
        <x:v>2026-05-20</x:v>
      </x:c>
      <x:c r="M1629" s="20" t="str">
        <x:v>2026-05-20</x:v>
      </x:c>
      <x:c r="N1629" s="20" t="str">
        <x:v>GPT-5.5 Pro</x:v>
      </x:c>
      <x:c r="O1629" s="20" t="str">
        <x:v>Needs review</x:v>
      </x:c>
      <x:c r="P1629" s="20" t="str">
        <x:v>Screening score for United States / Security contractors in Sri Lanka; verify with country-specific evidence before final use.</x:v>
      </x:c>
    </x:row>
    <x:row r="1630" ht="24" customHeight="1">
      <x:c r="A1630" s="20" t="str">
        <x:v>LKA|European Union|Propaganda ecosystems</x:v>
      </x:c>
      <x:c r="B1630" s="20" t="str">
        <x:v>Sri Lanka</x:v>
      </x:c>
      <x:c r="C1630" s="20" t="str">
        <x:v>LKA</x:v>
      </x:c>
      <x:c r="D1630" s="20" t="str">
        <x:v>European Union</x:v>
      </x:c>
      <x:c r="E1630" s="20" t="str">
        <x:v>EU influence</x:v>
      </x:c>
      <x:c r="F1630" s="20" t="str">
        <x:v>Propaganda ecosystems</x:v>
      </x:c>
      <x:c r="G1630" s="384" t="n">
        <x:v>2</x:v>
      </x:c>
      <x:c r="H1630" s="396" t="n">
        <x:v>2</x:v>
      </x:c>
      <x:c r="I1630" s="20" t="str">
        <x:v>EEAS public diplomacy source register</x:v>
      </x:c>
      <x:c r="J1630" s="397" t="str">
        <x:v>https://www.eeas.europa.eu/eeas/public-diplomacy_en</x:v>
      </x:c>
      <x:c r="K1630" s="20" t="str">
        <x:v>Primary source-register URL; automated screening score</x:v>
      </x:c>
      <x:c r="L1630" s="20" t="str">
        <x:v>2026-05-20</x:v>
      </x:c>
      <x:c r="M1630" s="20" t="str">
        <x:v>2026-05-20</x:v>
      </x:c>
      <x:c r="N1630" s="20" t="str">
        <x:v>GPT-5.5 Pro</x:v>
      </x:c>
      <x:c r="O1630" s="20" t="str">
        <x:v>Needs review</x:v>
      </x:c>
      <x:c r="P1630" s="20" t="str">
        <x:v>Screening score for European Union / Propaganda ecosystems in Sri Lanka; verify with country-specific evidence before final use.</x:v>
      </x:c>
    </x:row>
    <x:row r="1631" ht="24" customHeight="1">
      <x:c r="A1631" s="20" t="str">
        <x:v>LKA|European Union|PMC presence</x:v>
      </x:c>
      <x:c r="B1631" s="20" t="str">
        <x:v>Sri Lanka</x:v>
      </x:c>
      <x:c r="C1631" s="20" t="str">
        <x:v>LKA</x:v>
      </x:c>
      <x:c r="D1631" s="20" t="str">
        <x:v>European Union</x:v>
      </x:c>
      <x:c r="E1631" s="20" t="str">
        <x:v>EU influence</x:v>
      </x:c>
      <x:c r="F1631" s="20" t="str">
        <x:v>PMC presence</x:v>
      </x:c>
      <x:c r="G1631" s="384" t="n">
        <x:v>0</x:v>
      </x:c>
      <x:c r="H1631" s="396" t="n">
        <x:v>1</x:v>
      </x:c>
      <x:c r="I1631" s="20" t="str">
        <x:v>EEAS CSDP missions source register</x:v>
      </x:c>
      <x:c r="J1631" s="397" t="str">
        <x:v>https://www.eeas.europa.eu/eeas/missions-and-operations_en</x:v>
      </x:c>
      <x:c r="K1631" s="20" t="str">
        <x:v>Primary source-register URL; automated screening score</x:v>
      </x:c>
      <x:c r="L1631" s="20" t="str">
        <x:v>2026-05-20</x:v>
      </x:c>
      <x:c r="M1631" s="20" t="str">
        <x:v>2026-05-20</x:v>
      </x:c>
      <x:c r="N1631" s="20" t="str">
        <x:v>GPT-5.5 Pro</x:v>
      </x:c>
      <x:c r="O1631" s="20" t="str">
        <x:v>Needs review</x:v>
      </x:c>
      <x:c r="P1631" s="20" t="str">
        <x:v>Screening score for European Union / PMC presence in Sri Lanka; verify with country-specific evidence before final use.</x:v>
      </x:c>
    </x:row>
    <x:row r="1632" ht="24" customHeight="1">
      <x:c r="A1632" s="20" t="str">
        <x:v>LKA|European Union|Election interference</x:v>
      </x:c>
      <x:c r="B1632" s="20" t="str">
        <x:v>Sri Lanka</x:v>
      </x:c>
      <x:c r="C1632" s="20" t="str">
        <x:v>LKA</x:v>
      </x:c>
      <x:c r="D1632" s="20" t="str">
        <x:v>European Union</x:v>
      </x:c>
      <x:c r="E1632" s="20" t="str">
        <x:v>EU influence</x:v>
      </x:c>
      <x:c r="F1632" s="20" t="str">
        <x:v>Election interference</x:v>
      </x:c>
      <x:c r="G1632" s="384" t="n">
        <x:v>2</x:v>
      </x:c>
      <x:c r="H1632" s="396" t="n">
        <x:v>2</x:v>
      </x:c>
      <x:c r="I1632" s="20" t="str">
        <x:v>EEAS EU election observation source register</x:v>
      </x:c>
      <x:c r="J1632" s="397" t="str">
        <x:v>https://www.eeas.europa.eu/eeas/eu-election-observation-missions-1_en?page_lang=en</x:v>
      </x:c>
      <x:c r="K1632" s="20" t="str">
        <x:v>Primary source-register URL; automated screening score</x:v>
      </x:c>
      <x:c r="L1632" s="20" t="str">
        <x:v>2026-05-20</x:v>
      </x:c>
      <x:c r="M1632" s="20" t="str">
        <x:v>2026-05-20</x:v>
      </x:c>
      <x:c r="N1632" s="20" t="str">
        <x:v>GPT-5.5 Pro</x:v>
      </x:c>
      <x:c r="O1632" s="20" t="str">
        <x:v>Needs review</x:v>
      </x:c>
      <x:c r="P1632" s="20" t="str">
        <x:v>Screening score for European Union / Election interference in Sri Lanka; verify with country-specific evidence before final use.</x:v>
      </x:c>
    </x:row>
    <x:row r="1633" ht="24" customHeight="1">
      <x:c r="A1633" s="20" t="str">
        <x:v>LKA|European Union|Security contractors</x:v>
      </x:c>
      <x:c r="B1633" s="20" t="str">
        <x:v>Sri Lanka</x:v>
      </x:c>
      <x:c r="C1633" s="20" t="str">
        <x:v>LKA</x:v>
      </x:c>
      <x:c r="D1633" s="20" t="str">
        <x:v>European Union</x:v>
      </x:c>
      <x:c r="E1633" s="20" t="str">
        <x:v>EU influence</x:v>
      </x:c>
      <x:c r="F1633" s="20" t="str">
        <x:v>Security contractors</x:v>
      </x:c>
      <x:c r="G1633" s="384" t="n">
        <x:v>2</x:v>
      </x:c>
      <x:c r="H1633" s="396" t="n">
        <x:v>2</x:v>
      </x:c>
      <x:c r="I1633" s="20" t="str">
        <x:v>EEAS CSDP / Global Gateway security source register</x:v>
      </x:c>
      <x:c r="J1633" s="397" t="str">
        <x:v>https://www.eeas.europa.eu/eeas/missions-and-operations_en</x:v>
      </x:c>
      <x:c r="K1633" s="20" t="str">
        <x:v>Primary source-register URL; automated screening score</x:v>
      </x:c>
      <x:c r="L1633" s="20" t="str">
        <x:v>2026-05-20</x:v>
      </x:c>
      <x:c r="M1633" s="20" t="str">
        <x:v>2026-05-20</x:v>
      </x:c>
      <x:c r="N1633" s="20" t="str">
        <x:v>GPT-5.5 Pro</x:v>
      </x:c>
      <x:c r="O1633" s="20" t="str">
        <x:v>Needs review</x:v>
      </x:c>
      <x:c r="P1633" s="20" t="str">
        <x:v>Screening score for European Union / Security contractors in Sri Lanka; verify with country-specific evidence before final use.</x:v>
      </x:c>
    </x:row>
    <x:row r="1634" ht="24" customHeight="1">
      <x:c r="A1634" s="20" t="str">
        <x:v>SDN|Russia|Propaganda ecosystems</x:v>
      </x:c>
      <x:c r="B1634" s="20" t="str">
        <x:v>Sudan</x:v>
      </x:c>
      <x:c r="C1634" s="20" t="str">
        <x:v>SDN</x:v>
      </x:c>
      <x:c r="D1634" s="20" t="str">
        <x:v>Russia</x:v>
      </x:c>
      <x:c r="E1634" s="20" t="str">
        <x:v>Russian influence</x:v>
      </x:c>
      <x:c r="F1634" s="20" t="str">
        <x:v>Propaganda ecosystems</x:v>
      </x:c>
      <x:c r="G1634" s="384" t="n">
        <x:v>7</x:v>
      </x:c>
      <x:c r="H1634" s="396" t="n">
        <x:v>4</x:v>
      </x:c>
      <x:c r="I1634" s="20" t="str">
        <x:v>EEAS/EUvsDisinfo FIMI source register</x:v>
      </x:c>
      <x:c r="J1634" s="397" t="str">
        <x:v>https://www.eeas.europa.eu/eeas/4th-eeas-annual-report-foreign-information-manipulation-and-interference-threats_en</x:v>
      </x:c>
      <x:c r="K1634" s="20" t="str">
        <x:v>Primary source-register URL; automated screening score</x:v>
      </x:c>
      <x:c r="L1634" s="20" t="str">
        <x:v>2026-05-20</x:v>
      </x:c>
      <x:c r="M1634" s="20" t="str">
        <x:v>2026-05-20</x:v>
      </x:c>
      <x:c r="N1634" s="20" t="str">
        <x:v>GPT-5.5 Pro</x:v>
      </x:c>
      <x:c r="O1634" s="20" t="str">
        <x:v>Needs review</x:v>
      </x:c>
      <x:c r="P1634" s="20" t="str">
        <x:v>Screening score for Russia / Propaganda ecosystems in Sudan; verify with country-specific evidence before final use.</x:v>
      </x:c>
    </x:row>
    <x:row r="1635" ht="24" customHeight="1">
      <x:c r="A1635" s="20" t="str">
        <x:v>SDN|Russia|PMC presence</x:v>
      </x:c>
      <x:c r="B1635" s="20" t="str">
        <x:v>Sudan</x:v>
      </x:c>
      <x:c r="C1635" s="20" t="str">
        <x:v>SDN</x:v>
      </x:c>
      <x:c r="D1635" s="20" t="str">
        <x:v>Russia</x:v>
      </x:c>
      <x:c r="E1635" s="20" t="str">
        <x:v>Russian influence</x:v>
      </x:c>
      <x:c r="F1635" s="20" t="str">
        <x:v>PMC presence</x:v>
      </x:c>
      <x:c r="G1635" s="384" t="n">
        <x:v>8</x:v>
      </x:c>
      <x:c r="H1635" s="396" t="n">
        <x:v>4</x:v>
      </x:c>
      <x:c r="I1635" s="20" t="str">
        <x:v>Treasury and Council of the EU Wagner/PMC source register</x:v>
      </x:c>
      <x:c r="J1635" s="397" t="str">
        <x:v>https://www.consilium.europa.eu/en/press/press-releases/2023/02/25/wagner-group-council-adds-11-individuals-and-7-entities-to-eu-sanctions-lists/</x:v>
      </x:c>
      <x:c r="K1635" s="20" t="str">
        <x:v>Primary source-register URL; automated screening score</x:v>
      </x:c>
      <x:c r="L1635" s="20" t="str">
        <x:v>2026-05-20</x:v>
      </x:c>
      <x:c r="M1635" s="20" t="str">
        <x:v>2026-05-20</x:v>
      </x:c>
      <x:c r="N1635" s="20" t="str">
        <x:v>GPT-5.5 Pro</x:v>
      </x:c>
      <x:c r="O1635" s="20" t="str">
        <x:v>Needs review</x:v>
      </x:c>
      <x:c r="P1635" s="20" t="str">
        <x:v>Screening score for Russia / PMC presence in Sudan; verify with country-specific evidence before final use.</x:v>
      </x:c>
    </x:row>
    <x:row r="1636" ht="24" customHeight="1">
      <x:c r="A1636" s="20" t="str">
        <x:v>SDN|Russia|Election interference</x:v>
      </x:c>
      <x:c r="B1636" s="20" t="str">
        <x:v>Sudan</x:v>
      </x:c>
      <x:c r="C1636" s="20" t="str">
        <x:v>SDN</x:v>
      </x:c>
      <x:c r="D1636" s="20" t="str">
        <x:v>Russia</x:v>
      </x:c>
      <x:c r="E1636" s="20" t="str">
        <x:v>Russian influence</x:v>
      </x:c>
      <x:c r="F1636" s="20" t="str">
        <x:v>Election interference</x:v>
      </x:c>
      <x:c r="G1636" s="384" t="n">
        <x:v>3</x:v>
      </x:c>
      <x:c r="H1636" s="396" t="n">
        <x:v>3</x:v>
      </x:c>
      <x:c r="I1636" s="20" t="str">
        <x:v>ODNI/EEAS election-FIMI source register</x:v>
      </x:c>
      <x:c r="J1636" s="397" t="str">
        <x:v>https://www.dni.gov/files/ODNI/documents/assessments/ATA-2026-Unclassified-Report.pdf</x:v>
      </x:c>
      <x:c r="K1636" s="20" t="str">
        <x:v>Primary source-register URL; automated screening score</x:v>
      </x:c>
      <x:c r="L1636" s="20" t="str">
        <x:v>2026-05-20</x:v>
      </x:c>
      <x:c r="M1636" s="20" t="str">
        <x:v>2026-05-20</x:v>
      </x:c>
      <x:c r="N1636" s="20" t="str">
        <x:v>GPT-5.5 Pro</x:v>
      </x:c>
      <x:c r="O1636" s="20" t="str">
        <x:v>Needs review</x:v>
      </x:c>
      <x:c r="P1636" s="20" t="str">
        <x:v>Screening score for Russia / Election interference in Sudan; verify with country-specific evidence before final use.</x:v>
      </x:c>
    </x:row>
    <x:row r="1637" ht="24" customHeight="1">
      <x:c r="A1637" s="20" t="str">
        <x:v>SDN|Russia|Security contractors</x:v>
      </x:c>
      <x:c r="B1637" s="20" t="str">
        <x:v>Sudan</x:v>
      </x:c>
      <x:c r="C1637" s="20" t="str">
        <x:v>SDN</x:v>
      </x:c>
      <x:c r="D1637" s="20" t="str">
        <x:v>Russia</x:v>
      </x:c>
      <x:c r="E1637" s="20" t="str">
        <x:v>Russian influence</x:v>
      </x:c>
      <x:c r="F1637" s="20" t="str">
        <x:v>Security contractors</x:v>
      </x:c>
      <x:c r="G1637" s="384" t="n">
        <x:v>7</x:v>
      </x:c>
      <x:c r="H1637" s="396" t="n">
        <x:v>4</x:v>
      </x:c>
      <x:c r="I1637" s="20" t="str">
        <x:v>Council of the EU/Treasury Wagner-security source register</x:v>
      </x:c>
      <x:c r="J1637" s="397" t="str">
        <x:v>https://www.consilium.europa.eu/en/press/press-releases/2023/02/25/wagner-group-council-adds-11-individuals-and-7-entities-to-eu-sanctions-lists/</x:v>
      </x:c>
      <x:c r="K1637" s="20" t="str">
        <x:v>Primary source-register URL; automated screening score</x:v>
      </x:c>
      <x:c r="L1637" s="20" t="str">
        <x:v>2026-05-20</x:v>
      </x:c>
      <x:c r="M1637" s="20" t="str">
        <x:v>2026-05-20</x:v>
      </x:c>
      <x:c r="N1637" s="20" t="str">
        <x:v>GPT-5.5 Pro</x:v>
      </x:c>
      <x:c r="O1637" s="20" t="str">
        <x:v>Needs review</x:v>
      </x:c>
      <x:c r="P1637" s="20" t="str">
        <x:v>Screening score for Russia / Security contractors in Sudan; verify with country-specific evidence before final use.</x:v>
      </x:c>
    </x:row>
    <x:row r="1638" ht="24" customHeight="1">
      <x:c r="A1638" s="20" t="str">
        <x:v>SDN|China|Propaganda ecosystems</x:v>
      </x:c>
      <x:c r="B1638" s="20" t="str">
        <x:v>Sudan</x:v>
      </x:c>
      <x:c r="C1638" s="20" t="str">
        <x:v>SDN</x:v>
      </x:c>
      <x:c r="D1638" s="20" t="str">
        <x:v>China</x:v>
      </x:c>
      <x:c r="E1638" s="20" t="str">
        <x:v>Chinese influence</x:v>
      </x:c>
      <x:c r="F1638" s="20" t="str">
        <x:v>Propaganda ecosystems</x:v>
      </x:c>
      <x:c r="G1638" s="384" t="n">
        <x:v>5</x:v>
      </x:c>
      <x:c r="H1638" s="396" t="n">
        <x:v>3</x:v>
      </x:c>
      <x:c r="I1638" s="20" t="str">
        <x:v>EEAS/ODNI China FIMI source register</x:v>
      </x:c>
      <x:c r="J1638" s="397" t="str">
        <x:v>https://www.eeas.europa.eu/eeas/4th-eeas-annual-report-foreign-information-manipulation-and-interference-threats_en</x:v>
      </x:c>
      <x:c r="K1638" s="20" t="str">
        <x:v>Primary source-register URL; automated screening score</x:v>
      </x:c>
      <x:c r="L1638" s="20" t="str">
        <x:v>2026-05-20</x:v>
      </x:c>
      <x:c r="M1638" s="20" t="str">
        <x:v>2026-05-20</x:v>
      </x:c>
      <x:c r="N1638" s="20" t="str">
        <x:v>GPT-5.5 Pro</x:v>
      </x:c>
      <x:c r="O1638" s="20" t="str">
        <x:v>Needs review</x:v>
      </x:c>
      <x:c r="P1638" s="20" t="str">
        <x:v>Screening score for China / Propaganda ecosystems in Sudan; verify with country-specific evidence before final use.</x:v>
      </x:c>
    </x:row>
    <x:row r="1639" ht="24" customHeight="1">
      <x:c r="A1639" s="20" t="str">
        <x:v>SDN|China|PMC presence</x:v>
      </x:c>
      <x:c r="B1639" s="20" t="str">
        <x:v>Sudan</x:v>
      </x:c>
      <x:c r="C1639" s="20" t="str">
        <x:v>SDN</x:v>
      </x:c>
      <x:c r="D1639" s="20" t="str">
        <x:v>China</x:v>
      </x:c>
      <x:c r="E1639" s="20" t="str">
        <x:v>Chinese influence</x:v>
      </x:c>
      <x:c r="F1639" s="20" t="str">
        <x:v>PMC presence</x:v>
      </x:c>
      <x:c r="G1639" s="384" t="n">
        <x:v>3</x:v>
      </x:c>
      <x:c r="H1639" s="396" t="n">
        <x:v>3</x:v>
      </x:c>
      <x:c r="I1639" s="20" t="str">
        <x:v>MERICS/Carnegie Chinese overseas PSC source register</x:v>
      </x:c>
      <x:c r="J1639" s="397" t="str">
        <x:v>https://merics.org/en/report/guardians-belt-and-road</x:v>
      </x:c>
      <x:c r="K1639" s="20" t="str">
        <x:v>Primary source-register URL; automated screening score</x:v>
      </x:c>
      <x:c r="L1639" s="20" t="str">
        <x:v>2026-05-20</x:v>
      </x:c>
      <x:c r="M1639" s="20" t="str">
        <x:v>2026-05-20</x:v>
      </x:c>
      <x:c r="N1639" s="20" t="str">
        <x:v>GPT-5.5 Pro</x:v>
      </x:c>
      <x:c r="O1639" s="20" t="str">
        <x:v>Needs review</x:v>
      </x:c>
      <x:c r="P1639" s="20" t="str">
        <x:v>Screening score for China / PMC presence in Sudan; verify with country-specific evidence before final use.</x:v>
      </x:c>
    </x:row>
    <x:row r="1640" ht="24" customHeight="1">
      <x:c r="A1640" s="20" t="str">
        <x:v>SDN|China|Election interference</x:v>
      </x:c>
      <x:c r="B1640" s="20" t="str">
        <x:v>Sudan</x:v>
      </x:c>
      <x:c r="C1640" s="20" t="str">
        <x:v>SDN</x:v>
      </x:c>
      <x:c r="D1640" s="20" t="str">
        <x:v>China</x:v>
      </x:c>
      <x:c r="E1640" s="20" t="str">
        <x:v>Chinese influence</x:v>
      </x:c>
      <x:c r="F1640" s="20" t="str">
        <x:v>Election interference</x:v>
      </x:c>
      <x:c r="G1640" s="384" t="n">
        <x:v>1</x:v>
      </x:c>
      <x:c r="H1640" s="396" t="n">
        <x:v>2</x:v>
      </x:c>
      <x:c r="I1640" s="20" t="str">
        <x:v>EEAS/ODNI China election-FIMI source register</x:v>
      </x:c>
      <x:c r="J1640" s="397" t="str">
        <x:v>https://www.eeas.europa.eu/eeas/4th-eeas-annual-report-foreign-information-manipulation-and-interference-threats_en</x:v>
      </x:c>
      <x:c r="K1640" s="20" t="str">
        <x:v>Primary source-register URL; automated screening score</x:v>
      </x:c>
      <x:c r="L1640" s="20" t="str">
        <x:v>2026-05-20</x:v>
      </x:c>
      <x:c r="M1640" s="20" t="str">
        <x:v>2026-05-20</x:v>
      </x:c>
      <x:c r="N1640" s="20" t="str">
        <x:v>GPT-5.5 Pro</x:v>
      </x:c>
      <x:c r="O1640" s="20" t="str">
        <x:v>Needs review</x:v>
      </x:c>
      <x:c r="P1640" s="20" t="str">
        <x:v>Screening score for China / Election interference in Sudan; verify with country-specific evidence before final use.</x:v>
      </x:c>
    </x:row>
    <x:row r="1641" ht="24" customHeight="1">
      <x:c r="A1641" s="20" t="str">
        <x:v>SDN|China|Security contractors</x:v>
      </x:c>
      <x:c r="B1641" s="20" t="str">
        <x:v>Sudan</x:v>
      </x:c>
      <x:c r="C1641" s="20" t="str">
        <x:v>SDN</x:v>
      </x:c>
      <x:c r="D1641" s="20" t="str">
        <x:v>China</x:v>
      </x:c>
      <x:c r="E1641" s="20" t="str">
        <x:v>Chinese influence</x:v>
      </x:c>
      <x:c r="F1641" s="20" t="str">
        <x:v>Security contractors</x:v>
      </x:c>
      <x:c r="G1641" s="384" t="n">
        <x:v>4</x:v>
      </x:c>
      <x:c r="H1641" s="396" t="n">
        <x:v>3</x:v>
      </x:c>
      <x:c r="I1641" s="20" t="str">
        <x:v>MERICS/Carnegie Chinese security contractor source register</x:v>
      </x:c>
      <x:c r="J1641" s="397" t="str">
        <x:v>https://merics.org/en/report/guardians-belt-and-road</x:v>
      </x:c>
      <x:c r="K1641" s="20" t="str">
        <x:v>Primary source-register URL; automated screening score</x:v>
      </x:c>
      <x:c r="L1641" s="20" t="str">
        <x:v>2026-05-20</x:v>
      </x:c>
      <x:c r="M1641" s="20" t="str">
        <x:v>2026-05-20</x:v>
      </x:c>
      <x:c r="N1641" s="20" t="str">
        <x:v>GPT-5.5 Pro</x:v>
      </x:c>
      <x:c r="O1641" s="20" t="str">
        <x:v>Needs review</x:v>
      </x:c>
      <x:c r="P1641" s="20" t="str">
        <x:v>Screening score for China / Security contractors in Sudan; verify with country-specific evidence before final use.</x:v>
      </x:c>
    </x:row>
    <x:row r="1642" ht="24" customHeight="1">
      <x:c r="A1642" s="20" t="str">
        <x:v>SDN|United States|Propaganda ecosystems</x:v>
      </x:c>
      <x:c r="B1642" s="20" t="str">
        <x:v>Sudan</x:v>
      </x:c>
      <x:c r="C1642" s="20" t="str">
        <x:v>SDN</x:v>
      </x:c>
      <x:c r="D1642" s="20" t="str">
        <x:v>United States</x:v>
      </x:c>
      <x:c r="E1642" s="20" t="str">
        <x:v>American influence</x:v>
      </x:c>
      <x:c r="F1642" s="20" t="str">
        <x:v>Propaganda ecosystems</x:v>
      </x:c>
      <x:c r="G1642" s="384" t="n">
        <x:v>4</x:v>
      </x:c>
      <x:c r="H1642" s="396" t="n">
        <x:v>3</x:v>
      </x:c>
      <x:c r="I1642" s="20" t="str">
        <x:v>USAGM public media source register</x:v>
      </x:c>
      <x:c r="J1642" s="397" t="str">
        <x:v>https://www.usagm.gov/our-work/strategy-and-results/strategic-priorities/research-reports/</x:v>
      </x:c>
      <x:c r="K1642" s="20" t="str">
        <x:v>Primary source-register URL; automated screening score</x:v>
      </x:c>
      <x:c r="L1642" s="20" t="str">
        <x:v>2026-05-20</x:v>
      </x:c>
      <x:c r="M1642" s="20" t="str">
        <x:v>2026-05-20</x:v>
      </x:c>
      <x:c r="N1642" s="20" t="str">
        <x:v>GPT-5.5 Pro</x:v>
      </x:c>
      <x:c r="O1642" s="20" t="str">
        <x:v>Needs review</x:v>
      </x:c>
      <x:c r="P1642" s="20" t="str">
        <x:v>Screening score for United States / Propaganda ecosystems in Sudan; verify with country-specific evidence before final use.</x:v>
      </x:c>
    </x:row>
    <x:row r="1643" ht="24" customHeight="1">
      <x:c r="A1643" s="20" t="str">
        <x:v>SDN|United States|PMC presence</x:v>
      </x:c>
      <x:c r="B1643" s="20" t="str">
        <x:v>Sudan</x:v>
      </x:c>
      <x:c r="C1643" s="20" t="str">
        <x:v>SDN</x:v>
      </x:c>
      <x:c r="D1643" s="20" t="str">
        <x:v>United States</x:v>
      </x:c>
      <x:c r="E1643" s="20" t="str">
        <x:v>American influence</x:v>
      </x:c>
      <x:c r="F1643" s="20" t="str">
        <x:v>PMC presence</x:v>
      </x:c>
      <x:c r="G1643" s="384" t="n">
        <x:v>2</x:v>
      </x:c>
      <x:c r="H1643" s="396" t="n">
        <x:v>2</x:v>
      </x:c>
      <x:c r="I1643" s="20" t="str">
        <x:v>SAM/Greenbook U.S. security assistance contractor source register</x:v>
      </x:c>
      <x:c r="J1643" s="397" t="str">
        <x:v>https://internationalpolicy.org/programs/sam/</x:v>
      </x:c>
      <x:c r="K1643" s="20" t="str">
        <x:v>Primary source-register URL; automated screening score</x:v>
      </x:c>
      <x:c r="L1643" s="20" t="str">
        <x:v>2026-05-20</x:v>
      </x:c>
      <x:c r="M1643" s="20" t="str">
        <x:v>2026-05-20</x:v>
      </x:c>
      <x:c r="N1643" s="20" t="str">
        <x:v>GPT-5.5 Pro</x:v>
      </x:c>
      <x:c r="O1643" s="20" t="str">
        <x:v>Needs review</x:v>
      </x:c>
      <x:c r="P1643" s="20" t="str">
        <x:v>Screening score for United States / PMC presence in Sudan; verify with country-specific evidence before final use.</x:v>
      </x:c>
    </x:row>
    <x:row r="1644" ht="24" customHeight="1">
      <x:c r="A1644" s="20" t="str">
        <x:v>SDN|United States|Election interference</x:v>
      </x:c>
      <x:c r="B1644" s="20" t="str">
        <x:v>Sudan</x:v>
      </x:c>
      <x:c r="C1644" s="20" t="str">
        <x:v>SDN</x:v>
      </x:c>
      <x:c r="D1644" s="20" t="str">
        <x:v>United States</x:v>
      </x:c>
      <x:c r="E1644" s="20" t="str">
        <x:v>American influence</x:v>
      </x:c>
      <x:c r="F1644" s="20" t="str">
        <x:v>Election interference</x:v>
      </x:c>
      <x:c r="G1644" s="384" t="n">
        <x:v>2</x:v>
      </x:c>
      <x:c r="H1644" s="396" t="n">
        <x:v>2</x:v>
      </x:c>
      <x:c r="I1644" s="20" t="str">
        <x:v>NED/Greenbook democracy assistance source register</x:v>
      </x:c>
      <x:c r="J1644" s="397" t="str">
        <x:v>https://www.ned.org/ned-grantmaking/</x:v>
      </x:c>
      <x:c r="K1644" s="20" t="str">
        <x:v>Primary source-register URL; automated screening score</x:v>
      </x:c>
      <x:c r="L1644" s="20" t="str">
        <x:v>2026-05-20</x:v>
      </x:c>
      <x:c r="M1644" s="20" t="str">
        <x:v>2026-05-20</x:v>
      </x:c>
      <x:c r="N1644" s="20" t="str">
        <x:v>GPT-5.5 Pro</x:v>
      </x:c>
      <x:c r="O1644" s="20" t="str">
        <x:v>Needs review</x:v>
      </x:c>
      <x:c r="P1644" s="20" t="str">
        <x:v>Screening score for United States / Election interference in Sudan; verify with country-specific evidence before final use.</x:v>
      </x:c>
    </x:row>
    <x:row r="1645" ht="24" customHeight="1">
      <x:c r="A1645" s="20" t="str">
        <x:v>SDN|United States|Security contractors</x:v>
      </x:c>
      <x:c r="B1645" s="20" t="str">
        <x:v>Sudan</x:v>
      </x:c>
      <x:c r="C1645" s="20" t="str">
        <x:v>SDN</x:v>
      </x:c>
      <x:c r="D1645" s="20" t="str">
        <x:v>United States</x:v>
      </x:c>
      <x:c r="E1645" s="20" t="str">
        <x:v>American influence</x:v>
      </x:c>
      <x:c r="F1645" s="20" t="str">
        <x:v>Security contractors</x:v>
      </x:c>
      <x:c r="G1645" s="384" t="n">
        <x:v>3</x:v>
      </x:c>
      <x:c r="H1645" s="396" t="n">
        <x:v>3</x:v>
      </x:c>
      <x:c r="I1645" s="20" t="str">
        <x:v>SAM/Greenbook U.S. security contractor source register</x:v>
      </x:c>
      <x:c r="J1645" s="397" t="str">
        <x:v>https://internationalpolicy.org/programs/sam/</x:v>
      </x:c>
      <x:c r="K1645" s="20" t="str">
        <x:v>Primary source-register URL; automated screening score</x:v>
      </x:c>
      <x:c r="L1645" s="20" t="str">
        <x:v>2026-05-20</x:v>
      </x:c>
      <x:c r="M1645" s="20" t="str">
        <x:v>2026-05-20</x:v>
      </x:c>
      <x:c r="N1645" s="20" t="str">
        <x:v>GPT-5.5 Pro</x:v>
      </x:c>
      <x:c r="O1645" s="20" t="str">
        <x:v>Needs review</x:v>
      </x:c>
      <x:c r="P1645" s="20" t="str">
        <x:v>Screening score for United States / Security contractors in Sudan; verify with country-specific evidence before final use.</x:v>
      </x:c>
    </x:row>
    <x:row r="1646" ht="24" customHeight="1">
      <x:c r="A1646" s="20" t="str">
        <x:v>SDN|European Union|Propaganda ecosystems</x:v>
      </x:c>
      <x:c r="B1646" s="20" t="str">
        <x:v>Sudan</x:v>
      </x:c>
      <x:c r="C1646" s="20" t="str">
        <x:v>SDN</x:v>
      </x:c>
      <x:c r="D1646" s="20" t="str">
        <x:v>European Union</x:v>
      </x:c>
      <x:c r="E1646" s="20" t="str">
        <x:v>EU influence</x:v>
      </x:c>
      <x:c r="F1646" s="20" t="str">
        <x:v>Propaganda ecosystems</x:v>
      </x:c>
      <x:c r="G1646" s="384" t="n">
        <x:v>3</x:v>
      </x:c>
      <x:c r="H1646" s="396" t="n">
        <x:v>3</x:v>
      </x:c>
      <x:c r="I1646" s="20" t="str">
        <x:v>EEAS public diplomacy source register</x:v>
      </x:c>
      <x:c r="J1646" s="397" t="str">
        <x:v>https://www.eeas.europa.eu/eeas/public-diplomacy_en</x:v>
      </x:c>
      <x:c r="K1646" s="20" t="str">
        <x:v>Primary source-register URL; automated screening score</x:v>
      </x:c>
      <x:c r="L1646" s="20" t="str">
        <x:v>2026-05-20</x:v>
      </x:c>
      <x:c r="M1646" s="20" t="str">
        <x:v>2026-05-20</x:v>
      </x:c>
      <x:c r="N1646" s="20" t="str">
        <x:v>GPT-5.5 Pro</x:v>
      </x:c>
      <x:c r="O1646" s="20" t="str">
        <x:v>Needs review</x:v>
      </x:c>
      <x:c r="P1646" s="20" t="str">
        <x:v>Screening score for European Union / Propaganda ecosystems in Sudan; verify with country-specific evidence before final use.</x:v>
      </x:c>
    </x:row>
    <x:row r="1647" ht="24" customHeight="1">
      <x:c r="A1647" s="20" t="str">
        <x:v>SDN|European Union|PMC presence</x:v>
      </x:c>
      <x:c r="B1647" s="20" t="str">
        <x:v>Sudan</x:v>
      </x:c>
      <x:c r="C1647" s="20" t="str">
        <x:v>SDN</x:v>
      </x:c>
      <x:c r="D1647" s="20" t="str">
        <x:v>European Union</x:v>
      </x:c>
      <x:c r="E1647" s="20" t="str">
        <x:v>EU influence</x:v>
      </x:c>
      <x:c r="F1647" s="20" t="str">
        <x:v>PMC presence</x:v>
      </x:c>
      <x:c r="G1647" s="384" t="n">
        <x:v>0</x:v>
      </x:c>
      <x:c r="H1647" s="396" t="n">
        <x:v>1</x:v>
      </x:c>
      <x:c r="I1647" s="20" t="str">
        <x:v>EEAS CSDP missions source register</x:v>
      </x:c>
      <x:c r="J1647" s="397" t="str">
        <x:v>https://www.eeas.europa.eu/eeas/missions-and-operations_en</x:v>
      </x:c>
      <x:c r="K1647" s="20" t="str">
        <x:v>Primary source-register URL; automated screening score</x:v>
      </x:c>
      <x:c r="L1647" s="20" t="str">
        <x:v>2026-05-20</x:v>
      </x:c>
      <x:c r="M1647" s="20" t="str">
        <x:v>2026-05-20</x:v>
      </x:c>
      <x:c r="N1647" s="20" t="str">
        <x:v>GPT-5.5 Pro</x:v>
      </x:c>
      <x:c r="O1647" s="20" t="str">
        <x:v>Needs review</x:v>
      </x:c>
      <x:c r="P1647" s="20" t="str">
        <x:v>Screening score for European Union / PMC presence in Sudan; verify with country-specific evidence before final use.</x:v>
      </x:c>
    </x:row>
    <x:row r="1648" ht="24" customHeight="1">
      <x:c r="A1648" s="20" t="str">
        <x:v>SDN|European Union|Election interference</x:v>
      </x:c>
      <x:c r="B1648" s="20" t="str">
        <x:v>Sudan</x:v>
      </x:c>
      <x:c r="C1648" s="20" t="str">
        <x:v>SDN</x:v>
      </x:c>
      <x:c r="D1648" s="20" t="str">
        <x:v>European Union</x:v>
      </x:c>
      <x:c r="E1648" s="20" t="str">
        <x:v>EU influence</x:v>
      </x:c>
      <x:c r="F1648" s="20" t="str">
        <x:v>Election interference</x:v>
      </x:c>
      <x:c r="G1648" s="384" t="n">
        <x:v>1</x:v>
      </x:c>
      <x:c r="H1648" s="396" t="n">
        <x:v>2</x:v>
      </x:c>
      <x:c r="I1648" s="20" t="str">
        <x:v>EEAS EU election observation source register</x:v>
      </x:c>
      <x:c r="J1648" s="397" t="str">
        <x:v>https://www.eeas.europa.eu/eeas/eu-election-observation-missions-1_en?page_lang=en</x:v>
      </x:c>
      <x:c r="K1648" s="20" t="str">
        <x:v>Primary source-register URL; automated screening score</x:v>
      </x:c>
      <x:c r="L1648" s="20" t="str">
        <x:v>2026-05-20</x:v>
      </x:c>
      <x:c r="M1648" s="20" t="str">
        <x:v>2026-05-20</x:v>
      </x:c>
      <x:c r="N1648" s="20" t="str">
        <x:v>GPT-5.5 Pro</x:v>
      </x:c>
      <x:c r="O1648" s="20" t="str">
        <x:v>Needs review</x:v>
      </x:c>
      <x:c r="P1648" s="20" t="str">
        <x:v>Screening score for European Union / Election interference in Sudan; verify with country-specific evidence before final use.</x:v>
      </x:c>
    </x:row>
    <x:row r="1649" ht="24" customHeight="1">
      <x:c r="A1649" s="20" t="str">
        <x:v>SDN|European Union|Security contractors</x:v>
      </x:c>
      <x:c r="B1649" s="20" t="str">
        <x:v>Sudan</x:v>
      </x:c>
      <x:c r="C1649" s="20" t="str">
        <x:v>SDN</x:v>
      </x:c>
      <x:c r="D1649" s="20" t="str">
        <x:v>European Union</x:v>
      </x:c>
      <x:c r="E1649" s="20" t="str">
        <x:v>EU influence</x:v>
      </x:c>
      <x:c r="F1649" s="20" t="str">
        <x:v>Security contractors</x:v>
      </x:c>
      <x:c r="G1649" s="384" t="n">
        <x:v>2</x:v>
      </x:c>
      <x:c r="H1649" s="396" t="n">
        <x:v>2</x:v>
      </x:c>
      <x:c r="I1649" s="20" t="str">
        <x:v>EEAS CSDP / Global Gateway security source register</x:v>
      </x:c>
      <x:c r="J1649" s="397" t="str">
        <x:v>https://www.eeas.europa.eu/eeas/missions-and-operations_en</x:v>
      </x:c>
      <x:c r="K1649" s="20" t="str">
        <x:v>Primary source-register URL; automated screening score</x:v>
      </x:c>
      <x:c r="L1649" s="20" t="str">
        <x:v>2026-05-20</x:v>
      </x:c>
      <x:c r="M1649" s="20" t="str">
        <x:v>2026-05-20</x:v>
      </x:c>
      <x:c r="N1649" s="20" t="str">
        <x:v>GPT-5.5 Pro</x:v>
      </x:c>
      <x:c r="O1649" s="20" t="str">
        <x:v>Needs review</x:v>
      </x:c>
      <x:c r="P1649" s="20" t="str">
        <x:v>Screening score for European Union / Security contractors in Sudan; verify with country-specific evidence before final use.</x:v>
      </x:c>
    </x:row>
    <x:row r="1650" ht="24" customHeight="1">
      <x:c r="A1650" s="20" t="str">
        <x:v>SWE|Russia|Propaganda ecosystems</x:v>
      </x:c>
      <x:c r="B1650" s="20" t="str">
        <x:v>Sweden</x:v>
      </x:c>
      <x:c r="C1650" s="20" t="str">
        <x:v>SWE</x:v>
      </x:c>
      <x:c r="D1650" s="20" t="str">
        <x:v>Russia</x:v>
      </x:c>
      <x:c r="E1650" s="20" t="str">
        <x:v>Russian influence</x:v>
      </x:c>
      <x:c r="F1650" s="20" t="str">
        <x:v>Propaganda ecosystems</x:v>
      </x:c>
      <x:c r="G1650" s="384" t="n">
        <x:v>5</x:v>
      </x:c>
      <x:c r="H1650" s="396" t="n">
        <x:v>3</x:v>
      </x:c>
      <x:c r="I1650" s="20" t="str">
        <x:v>EEAS/EUvsDisinfo FIMI source register</x:v>
      </x:c>
      <x:c r="J1650" s="397" t="str">
        <x:v>https://www.eeas.europa.eu/eeas/4th-eeas-annual-report-foreign-information-manipulation-and-interference-threats_en</x:v>
      </x:c>
      <x:c r="K1650" s="20" t="str">
        <x:v>Primary source-register URL; automated screening score</x:v>
      </x:c>
      <x:c r="L1650" s="20" t="str">
        <x:v>2026-05-20</x:v>
      </x:c>
      <x:c r="M1650" s="20" t="str">
        <x:v>2026-05-20</x:v>
      </x:c>
      <x:c r="N1650" s="20" t="str">
        <x:v>GPT-5.5 Pro</x:v>
      </x:c>
      <x:c r="O1650" s="20" t="str">
        <x:v>Needs review</x:v>
      </x:c>
      <x:c r="P1650" s="20" t="str">
        <x:v>Screening score for Russia / Propaganda ecosystems in Sweden; verify with country-specific evidence before final use.</x:v>
      </x:c>
    </x:row>
    <x:row r="1651" ht="24" customHeight="1">
      <x:c r="A1651" s="20" t="str">
        <x:v>SWE|Russia|PMC presence</x:v>
      </x:c>
      <x:c r="B1651" s="20" t="str">
        <x:v>Sweden</x:v>
      </x:c>
      <x:c r="C1651" s="20" t="str">
        <x:v>SWE</x:v>
      </x:c>
      <x:c r="D1651" s="20" t="str">
        <x:v>Russia</x:v>
      </x:c>
      <x:c r="E1651" s="20" t="str">
        <x:v>Russian influence</x:v>
      </x:c>
      <x:c r="F1651" s="20" t="str">
        <x:v>PMC presence</x:v>
      </x:c>
      <x:c r="G1651" s="384" t="n">
        <x:v>0</x:v>
      </x:c>
      <x:c r="H1651" s="396" t="n">
        <x:v>1</x:v>
      </x:c>
      <x:c r="I1651" s="20" t="str">
        <x:v>Treasury and Council of the EU Wagner/PMC source register</x:v>
      </x:c>
      <x:c r="J1651" s="397" t="str">
        <x:v>https://www.consilium.europa.eu/en/press/press-releases/2023/02/25/wagner-group-council-adds-11-individuals-and-7-entities-to-eu-sanctions-lists/</x:v>
      </x:c>
      <x:c r="K1651" s="20" t="str">
        <x:v>Primary source-register URL; automated screening score</x:v>
      </x:c>
      <x:c r="L1651" s="20" t="str">
        <x:v>2026-05-20</x:v>
      </x:c>
      <x:c r="M1651" s="20" t="str">
        <x:v>2026-05-20</x:v>
      </x:c>
      <x:c r="N1651" s="20" t="str">
        <x:v>GPT-5.5 Pro</x:v>
      </x:c>
      <x:c r="O1651" s="20" t="str">
        <x:v>Needs review</x:v>
      </x:c>
      <x:c r="P1651" s="20" t="str">
        <x:v>Screening score for Russia / PMC presence in Sweden; verify with country-specific evidence before final use.</x:v>
      </x:c>
    </x:row>
    <x:row r="1652" ht="24" customHeight="1">
      <x:c r="A1652" s="20" t="str">
        <x:v>SWE|Russia|Election interference</x:v>
      </x:c>
      <x:c r="B1652" s="20" t="str">
        <x:v>Sweden</x:v>
      </x:c>
      <x:c r="C1652" s="20" t="str">
        <x:v>SWE</x:v>
      </x:c>
      <x:c r="D1652" s="20" t="str">
        <x:v>Russia</x:v>
      </x:c>
      <x:c r="E1652" s="20" t="str">
        <x:v>Russian influence</x:v>
      </x:c>
      <x:c r="F1652" s="20" t="str">
        <x:v>Election interference</x:v>
      </x:c>
      <x:c r="G1652" s="384" t="n">
        <x:v>5</x:v>
      </x:c>
      <x:c r="H1652" s="396" t="n">
        <x:v>3</x:v>
      </x:c>
      <x:c r="I1652" s="20" t="str">
        <x:v>ODNI/EEAS election-FIMI source register</x:v>
      </x:c>
      <x:c r="J1652" s="397" t="str">
        <x:v>https://www.dni.gov/files/ODNI/documents/assessments/ATA-2026-Unclassified-Report.pdf</x:v>
      </x:c>
      <x:c r="K1652" s="20" t="str">
        <x:v>Primary source-register URL; automated screening score</x:v>
      </x:c>
      <x:c r="L1652" s="20" t="str">
        <x:v>2026-05-20</x:v>
      </x:c>
      <x:c r="M1652" s="20" t="str">
        <x:v>2026-05-20</x:v>
      </x:c>
      <x:c r="N1652" s="20" t="str">
        <x:v>GPT-5.5 Pro</x:v>
      </x:c>
      <x:c r="O1652" s="20" t="str">
        <x:v>Needs review</x:v>
      </x:c>
      <x:c r="P1652" s="20" t="str">
        <x:v>Screening score for Russia / Election interference in Sweden; verify with country-specific evidence before final use.</x:v>
      </x:c>
    </x:row>
    <x:row r="1653" ht="24" customHeight="1">
      <x:c r="A1653" s="20" t="str">
        <x:v>SWE|Russia|Security contractors</x:v>
      </x:c>
      <x:c r="B1653" s="20" t="str">
        <x:v>Sweden</x:v>
      </x:c>
      <x:c r="C1653" s="20" t="str">
        <x:v>SWE</x:v>
      </x:c>
      <x:c r="D1653" s="20" t="str">
        <x:v>Russia</x:v>
      </x:c>
      <x:c r="E1653" s="20" t="str">
        <x:v>Russian influence</x:v>
      </x:c>
      <x:c r="F1653" s="20" t="str">
        <x:v>Security contractors</x:v>
      </x:c>
      <x:c r="G1653" s="384" t="n">
        <x:v>0</x:v>
      </x:c>
      <x:c r="H1653" s="396" t="n">
        <x:v>1</x:v>
      </x:c>
      <x:c r="I1653" s="20" t="str">
        <x:v>Council of the EU/Treasury Wagner-security source register</x:v>
      </x:c>
      <x:c r="J1653" s="397" t="str">
        <x:v>https://www.consilium.europa.eu/en/press/press-releases/2023/02/25/wagner-group-council-adds-11-individuals-and-7-entities-to-eu-sanctions-lists/</x:v>
      </x:c>
      <x:c r="K1653" s="20" t="str">
        <x:v>Primary source-register URL; automated screening score</x:v>
      </x:c>
      <x:c r="L1653" s="20" t="str">
        <x:v>2026-05-20</x:v>
      </x:c>
      <x:c r="M1653" s="20" t="str">
        <x:v>2026-05-20</x:v>
      </x:c>
      <x:c r="N1653" s="20" t="str">
        <x:v>GPT-5.5 Pro</x:v>
      </x:c>
      <x:c r="O1653" s="20" t="str">
        <x:v>Needs review</x:v>
      </x:c>
      <x:c r="P1653" s="20" t="str">
        <x:v>Screening score for Russia / Security contractors in Sweden; verify with country-specific evidence before final use.</x:v>
      </x:c>
    </x:row>
    <x:row r="1654" ht="24" customHeight="1">
      <x:c r="A1654" s="20" t="str">
        <x:v>SWE|China|Propaganda ecosystems</x:v>
      </x:c>
      <x:c r="B1654" s="20" t="str">
        <x:v>Sweden</x:v>
      </x:c>
      <x:c r="C1654" s="20" t="str">
        <x:v>SWE</x:v>
      </x:c>
      <x:c r="D1654" s="20" t="str">
        <x:v>China</x:v>
      </x:c>
      <x:c r="E1654" s="20" t="str">
        <x:v>Chinese influence</x:v>
      </x:c>
      <x:c r="F1654" s="20" t="str">
        <x:v>Propaganda ecosystems</x:v>
      </x:c>
      <x:c r="G1654" s="384" t="n">
        <x:v>4</x:v>
      </x:c>
      <x:c r="H1654" s="396" t="n">
        <x:v>3</x:v>
      </x:c>
      <x:c r="I1654" s="20" t="str">
        <x:v>EEAS/ODNI China FIMI source register</x:v>
      </x:c>
      <x:c r="J1654" s="397" t="str">
        <x:v>https://www.eeas.europa.eu/eeas/4th-eeas-annual-report-foreign-information-manipulation-and-interference-threats_en</x:v>
      </x:c>
      <x:c r="K1654" s="20" t="str">
        <x:v>Primary source-register URL; automated screening score</x:v>
      </x:c>
      <x:c r="L1654" s="20" t="str">
        <x:v>2026-05-20</x:v>
      </x:c>
      <x:c r="M1654" s="20" t="str">
        <x:v>2026-05-20</x:v>
      </x:c>
      <x:c r="N1654" s="20" t="str">
        <x:v>GPT-5.5 Pro</x:v>
      </x:c>
      <x:c r="O1654" s="20" t="str">
        <x:v>Needs review</x:v>
      </x:c>
      <x:c r="P1654" s="20" t="str">
        <x:v>Screening score for China / Propaganda ecosystems in Sweden; verify with country-specific evidence before final use.</x:v>
      </x:c>
    </x:row>
    <x:row r="1655" ht="24" customHeight="1">
      <x:c r="A1655" s="20" t="str">
        <x:v>SWE|China|PMC presence</x:v>
      </x:c>
      <x:c r="B1655" s="20" t="str">
        <x:v>Sweden</x:v>
      </x:c>
      <x:c r="C1655" s="20" t="str">
        <x:v>SWE</x:v>
      </x:c>
      <x:c r="D1655" s="20" t="str">
        <x:v>China</x:v>
      </x:c>
      <x:c r="E1655" s="20" t="str">
        <x:v>Chinese influence</x:v>
      </x:c>
      <x:c r="F1655" s="20" t="str">
        <x:v>PMC presence</x:v>
      </x:c>
      <x:c r="G1655" s="384" t="n">
        <x:v>0</x:v>
      </x:c>
      <x:c r="H1655" s="396" t="n">
        <x:v>1</x:v>
      </x:c>
      <x:c r="I1655" s="20" t="str">
        <x:v>MERICS/Carnegie Chinese overseas PSC source register</x:v>
      </x:c>
      <x:c r="J1655" s="397" t="str">
        <x:v>https://merics.org/en/report/guardians-belt-and-road</x:v>
      </x:c>
      <x:c r="K1655" s="20" t="str">
        <x:v>Primary source-register URL; automated screening score</x:v>
      </x:c>
      <x:c r="L1655" s="20" t="str">
        <x:v>2026-05-20</x:v>
      </x:c>
      <x:c r="M1655" s="20" t="str">
        <x:v>2026-05-20</x:v>
      </x:c>
      <x:c r="N1655" s="20" t="str">
        <x:v>GPT-5.5 Pro</x:v>
      </x:c>
      <x:c r="O1655" s="20" t="str">
        <x:v>Needs review</x:v>
      </x:c>
      <x:c r="P1655" s="20" t="str">
        <x:v>Screening score for China / PMC presence in Sweden; verify with country-specific evidence before final use.</x:v>
      </x:c>
    </x:row>
    <x:row r="1656" ht="24" customHeight="1">
      <x:c r="A1656" s="20" t="str">
        <x:v>SWE|China|Election interference</x:v>
      </x:c>
      <x:c r="B1656" s="20" t="str">
        <x:v>Sweden</x:v>
      </x:c>
      <x:c r="C1656" s="20" t="str">
        <x:v>SWE</x:v>
      </x:c>
      <x:c r="D1656" s="20" t="str">
        <x:v>China</x:v>
      </x:c>
      <x:c r="E1656" s="20" t="str">
        <x:v>Chinese influence</x:v>
      </x:c>
      <x:c r="F1656" s="20" t="str">
        <x:v>Election interference</x:v>
      </x:c>
      <x:c r="G1656" s="384" t="n">
        <x:v>2</x:v>
      </x:c>
      <x:c r="H1656" s="396" t="n">
        <x:v>2</x:v>
      </x:c>
      <x:c r="I1656" s="20" t="str">
        <x:v>EEAS/ODNI China election-FIMI source register</x:v>
      </x:c>
      <x:c r="J1656" s="397" t="str">
        <x:v>https://www.eeas.europa.eu/eeas/4th-eeas-annual-report-foreign-information-manipulation-and-interference-threats_en</x:v>
      </x:c>
      <x:c r="K1656" s="20" t="str">
        <x:v>Primary source-register URL; automated screening score</x:v>
      </x:c>
      <x:c r="L1656" s="20" t="str">
        <x:v>2026-05-20</x:v>
      </x:c>
      <x:c r="M1656" s="20" t="str">
        <x:v>2026-05-20</x:v>
      </x:c>
      <x:c r="N1656" s="20" t="str">
        <x:v>GPT-5.5 Pro</x:v>
      </x:c>
      <x:c r="O1656" s="20" t="str">
        <x:v>Needs review</x:v>
      </x:c>
      <x:c r="P1656" s="20" t="str">
        <x:v>Screening score for China / Election interference in Sweden; verify with country-specific evidence before final use.</x:v>
      </x:c>
    </x:row>
    <x:row r="1657" ht="24" customHeight="1">
      <x:c r="A1657" s="20" t="str">
        <x:v>SWE|China|Security contractors</x:v>
      </x:c>
      <x:c r="B1657" s="20" t="str">
        <x:v>Sweden</x:v>
      </x:c>
      <x:c r="C1657" s="20" t="str">
        <x:v>SWE</x:v>
      </x:c>
      <x:c r="D1657" s="20" t="str">
        <x:v>China</x:v>
      </x:c>
      <x:c r="E1657" s="20" t="str">
        <x:v>Chinese influence</x:v>
      </x:c>
      <x:c r="F1657" s="20" t="str">
        <x:v>Security contractors</x:v>
      </x:c>
      <x:c r="G1657" s="384" t="n">
        <x:v>0</x:v>
      </x:c>
      <x:c r="H1657" s="396" t="n">
        <x:v>1</x:v>
      </x:c>
      <x:c r="I1657" s="20" t="str">
        <x:v>MERICS/Carnegie Chinese security contractor source register</x:v>
      </x:c>
      <x:c r="J1657" s="397" t="str">
        <x:v>https://merics.org/en/report/guardians-belt-and-road</x:v>
      </x:c>
      <x:c r="K1657" s="20" t="str">
        <x:v>Primary source-register URL; automated screening score</x:v>
      </x:c>
      <x:c r="L1657" s="20" t="str">
        <x:v>2026-05-20</x:v>
      </x:c>
      <x:c r="M1657" s="20" t="str">
        <x:v>2026-05-20</x:v>
      </x:c>
      <x:c r="N1657" s="20" t="str">
        <x:v>GPT-5.5 Pro</x:v>
      </x:c>
      <x:c r="O1657" s="20" t="str">
        <x:v>Needs review</x:v>
      </x:c>
      <x:c r="P1657" s="20" t="str">
        <x:v>Screening score for China / Security contractors in Sweden; verify with country-specific evidence before final use.</x:v>
      </x:c>
    </x:row>
    <x:row r="1658" ht="24" customHeight="1">
      <x:c r="A1658" s="20" t="str">
        <x:v>SWE|United States|Propaganda ecosystems</x:v>
      </x:c>
      <x:c r="B1658" s="20" t="str">
        <x:v>Sweden</x:v>
      </x:c>
      <x:c r="C1658" s="20" t="str">
        <x:v>SWE</x:v>
      </x:c>
      <x:c r="D1658" s="20" t="str">
        <x:v>United States</x:v>
      </x:c>
      <x:c r="E1658" s="20" t="str">
        <x:v>American influence</x:v>
      </x:c>
      <x:c r="F1658" s="20" t="str">
        <x:v>Propaganda ecosystems</x:v>
      </x:c>
      <x:c r="G1658" s="384" t="n">
        <x:v>4</x:v>
      </x:c>
      <x:c r="H1658" s="396" t="n">
        <x:v>3</x:v>
      </x:c>
      <x:c r="I1658" s="20" t="str">
        <x:v>USAGM public media source register</x:v>
      </x:c>
      <x:c r="J1658" s="397" t="str">
        <x:v>https://www.usagm.gov/our-work/strategy-and-results/strategic-priorities/research-reports/</x:v>
      </x:c>
      <x:c r="K1658" s="20" t="str">
        <x:v>Primary source-register URL; automated screening score</x:v>
      </x:c>
      <x:c r="L1658" s="20" t="str">
        <x:v>2026-05-20</x:v>
      </x:c>
      <x:c r="M1658" s="20" t="str">
        <x:v>2026-05-20</x:v>
      </x:c>
      <x:c r="N1658" s="20" t="str">
        <x:v>GPT-5.5 Pro</x:v>
      </x:c>
      <x:c r="O1658" s="20" t="str">
        <x:v>Needs review</x:v>
      </x:c>
      <x:c r="P1658" s="20" t="str">
        <x:v>Screening score for United States / Propaganda ecosystems in Sweden; verify with country-specific evidence before final use.</x:v>
      </x:c>
    </x:row>
    <x:row r="1659" ht="24" customHeight="1">
      <x:c r="A1659" s="20" t="str">
        <x:v>SWE|United States|PMC presence</x:v>
      </x:c>
      <x:c r="B1659" s="20" t="str">
        <x:v>Sweden</x:v>
      </x:c>
      <x:c r="C1659" s="20" t="str">
        <x:v>SWE</x:v>
      </x:c>
      <x:c r="D1659" s="20" t="str">
        <x:v>United States</x:v>
      </x:c>
      <x:c r="E1659" s="20" t="str">
        <x:v>American influence</x:v>
      </x:c>
      <x:c r="F1659" s="20" t="str">
        <x:v>PMC presence</x:v>
      </x:c>
      <x:c r="G1659" s="384" t="n">
        <x:v>3</x:v>
      </x:c>
      <x:c r="H1659" s="396" t="n">
        <x:v>3</x:v>
      </x:c>
      <x:c r="I1659" s="20" t="str">
        <x:v>SAM/Greenbook U.S. security assistance contractor source register</x:v>
      </x:c>
      <x:c r="J1659" s="397" t="str">
        <x:v>https://internationalpolicy.org/programs/sam/</x:v>
      </x:c>
      <x:c r="K1659" s="20" t="str">
        <x:v>Primary source-register URL; automated screening score</x:v>
      </x:c>
      <x:c r="L1659" s="20" t="str">
        <x:v>2026-05-20</x:v>
      </x:c>
      <x:c r="M1659" s="20" t="str">
        <x:v>2026-05-20</x:v>
      </x:c>
      <x:c r="N1659" s="20" t="str">
        <x:v>GPT-5.5 Pro</x:v>
      </x:c>
      <x:c r="O1659" s="20" t="str">
        <x:v>Needs review</x:v>
      </x:c>
      <x:c r="P1659" s="20" t="str">
        <x:v>Screening score for United States / PMC presence in Sweden; verify with country-specific evidence before final use.</x:v>
      </x:c>
    </x:row>
    <x:row r="1660" ht="24" customHeight="1">
      <x:c r="A1660" s="20" t="str">
        <x:v>SWE|United States|Election interference</x:v>
      </x:c>
      <x:c r="B1660" s="20" t="str">
        <x:v>Sweden</x:v>
      </x:c>
      <x:c r="C1660" s="20" t="str">
        <x:v>SWE</x:v>
      </x:c>
      <x:c r="D1660" s="20" t="str">
        <x:v>United States</x:v>
      </x:c>
      <x:c r="E1660" s="20" t="str">
        <x:v>American influence</x:v>
      </x:c>
      <x:c r="F1660" s="20" t="str">
        <x:v>Election interference</x:v>
      </x:c>
      <x:c r="G1660" s="384" t="n">
        <x:v>1</x:v>
      </x:c>
      <x:c r="H1660" s="396" t="n">
        <x:v>2</x:v>
      </x:c>
      <x:c r="I1660" s="20" t="str">
        <x:v>NED/Greenbook democracy assistance source register</x:v>
      </x:c>
      <x:c r="J1660" s="397" t="str">
        <x:v>https://www.ned.org/ned-grantmaking/</x:v>
      </x:c>
      <x:c r="K1660" s="20" t="str">
        <x:v>Primary source-register URL; automated screening score</x:v>
      </x:c>
      <x:c r="L1660" s="20" t="str">
        <x:v>2026-05-20</x:v>
      </x:c>
      <x:c r="M1660" s="20" t="str">
        <x:v>2026-05-20</x:v>
      </x:c>
      <x:c r="N1660" s="20" t="str">
        <x:v>GPT-5.5 Pro</x:v>
      </x:c>
      <x:c r="O1660" s="20" t="str">
        <x:v>Needs review</x:v>
      </x:c>
      <x:c r="P1660" s="20" t="str">
        <x:v>Screening score for United States / Election interference in Sweden; verify with country-specific evidence before final use.</x:v>
      </x:c>
    </x:row>
    <x:row r="1661" ht="24" customHeight="1">
      <x:c r="A1661" s="20" t="str">
        <x:v>SWE|United States|Security contractors</x:v>
      </x:c>
      <x:c r="B1661" s="20" t="str">
        <x:v>Sweden</x:v>
      </x:c>
      <x:c r="C1661" s="20" t="str">
        <x:v>SWE</x:v>
      </x:c>
      <x:c r="D1661" s="20" t="str">
        <x:v>United States</x:v>
      </x:c>
      <x:c r="E1661" s="20" t="str">
        <x:v>American influence</x:v>
      </x:c>
      <x:c r="F1661" s="20" t="str">
        <x:v>Security contractors</x:v>
      </x:c>
      <x:c r="G1661" s="384" t="n">
        <x:v>6</x:v>
      </x:c>
      <x:c r="H1661" s="396" t="n">
        <x:v>4</x:v>
      </x:c>
      <x:c r="I1661" s="20" t="str">
        <x:v>SAM/Greenbook U.S. security contractor source register</x:v>
      </x:c>
      <x:c r="J1661" s="397" t="str">
        <x:v>https://internationalpolicy.org/programs/sam/</x:v>
      </x:c>
      <x:c r="K1661" s="20" t="str">
        <x:v>Primary source-register URL; automated screening score</x:v>
      </x:c>
      <x:c r="L1661" s="20" t="str">
        <x:v>2026-05-20</x:v>
      </x:c>
      <x:c r="M1661" s="20" t="str">
        <x:v>2026-05-20</x:v>
      </x:c>
      <x:c r="N1661" s="20" t="str">
        <x:v>GPT-5.5 Pro</x:v>
      </x:c>
      <x:c r="O1661" s="20" t="str">
        <x:v>Needs review</x:v>
      </x:c>
      <x:c r="P1661" s="20" t="str">
        <x:v>Screening score for United States / Security contractors in Sweden; verify with country-specific evidence before final use.</x:v>
      </x:c>
    </x:row>
    <x:row r="1662" ht="24" customHeight="1">
      <x:c r="A1662" s="20" t="str">
        <x:v>SWE|European Union|Propaganda ecosystems</x:v>
      </x:c>
      <x:c r="B1662" s="20" t="str">
        <x:v>Sweden</x:v>
      </x:c>
      <x:c r="C1662" s="20" t="str">
        <x:v>SWE</x:v>
      </x:c>
      <x:c r="D1662" s="20" t="str">
        <x:v>European Union</x:v>
      </x:c>
      <x:c r="E1662" s="20" t="str">
        <x:v>EU influence</x:v>
      </x:c>
      <x:c r="F1662" s="20" t="str">
        <x:v>Propaganda ecosystems</x:v>
      </x:c>
      <x:c r="G1662" s="384" t="n">
        <x:v>9</x:v>
      </x:c>
      <x:c r="H1662" s="396" t="n">
        <x:v>5</x:v>
      </x:c>
      <x:c r="I1662" s="20" t="str">
        <x:v>EEAS public diplomacy source register</x:v>
      </x:c>
      <x:c r="J1662" s="397" t="str">
        <x:v>https://www.eeas.europa.eu/eeas/public-diplomacy_en</x:v>
      </x:c>
      <x:c r="K1662" s="20" t="str">
        <x:v>Primary source-register URL; automated screening score</x:v>
      </x:c>
      <x:c r="L1662" s="20" t="str">
        <x:v>2026-05-20</x:v>
      </x:c>
      <x:c r="M1662" s="20" t="str">
        <x:v>2026-05-20</x:v>
      </x:c>
      <x:c r="N1662" s="20" t="str">
        <x:v>GPT-5.5 Pro</x:v>
      </x:c>
      <x:c r="O1662" s="20" t="str">
        <x:v>Needs review</x:v>
      </x:c>
      <x:c r="P1662" s="20" t="str">
        <x:v>Screening score for European Union / Propaganda ecosystems in Sweden; verify with country-specific evidence before final use.</x:v>
      </x:c>
    </x:row>
    <x:row r="1663" ht="24" customHeight="1">
      <x:c r="A1663" s="20" t="str">
        <x:v>SWE|European Union|PMC presence</x:v>
      </x:c>
      <x:c r="B1663" s="20" t="str">
        <x:v>Sweden</x:v>
      </x:c>
      <x:c r="C1663" s="20" t="str">
        <x:v>SWE</x:v>
      </x:c>
      <x:c r="D1663" s="20" t="str">
        <x:v>European Union</x:v>
      </x:c>
      <x:c r="E1663" s="20" t="str">
        <x:v>EU influence</x:v>
      </x:c>
      <x:c r="F1663" s="20" t="str">
        <x:v>PMC presence</x:v>
      </x:c>
      <x:c r="G1663" s="384" t="n">
        <x:v>0</x:v>
      </x:c>
      <x:c r="H1663" s="396" t="n">
        <x:v>1</x:v>
      </x:c>
      <x:c r="I1663" s="20" t="str">
        <x:v>EEAS CSDP missions source register</x:v>
      </x:c>
      <x:c r="J1663" s="397" t="str">
        <x:v>https://www.eeas.europa.eu/eeas/missions-and-operations_en</x:v>
      </x:c>
      <x:c r="K1663" s="20" t="str">
        <x:v>Primary source-register URL; automated screening score</x:v>
      </x:c>
      <x:c r="L1663" s="20" t="str">
        <x:v>2026-05-20</x:v>
      </x:c>
      <x:c r="M1663" s="20" t="str">
        <x:v>2026-05-20</x:v>
      </x:c>
      <x:c r="N1663" s="20" t="str">
        <x:v>GPT-5.5 Pro</x:v>
      </x:c>
      <x:c r="O1663" s="20" t="str">
        <x:v>Needs review</x:v>
      </x:c>
      <x:c r="P1663" s="20" t="str">
        <x:v>Screening score for European Union / PMC presence in Sweden; verify with country-specific evidence before final use.</x:v>
      </x:c>
    </x:row>
    <x:row r="1664" ht="24" customHeight="1">
      <x:c r="A1664" s="20" t="str">
        <x:v>SWE|European Union|Election interference</x:v>
      </x:c>
      <x:c r="B1664" s="20" t="str">
        <x:v>Sweden</x:v>
      </x:c>
      <x:c r="C1664" s="20" t="str">
        <x:v>SWE</x:v>
      </x:c>
      <x:c r="D1664" s="20" t="str">
        <x:v>European Union</x:v>
      </x:c>
      <x:c r="E1664" s="20" t="str">
        <x:v>EU influence</x:v>
      </x:c>
      <x:c r="F1664" s="20" t="str">
        <x:v>Election interference</x:v>
      </x:c>
      <x:c r="G1664" s="384" t="n">
        <x:v>2</x:v>
      </x:c>
      <x:c r="H1664" s="396" t="n">
        <x:v>2</x:v>
      </x:c>
      <x:c r="I1664" s="20" t="str">
        <x:v>EEAS EU election observation source register</x:v>
      </x:c>
      <x:c r="J1664" s="397" t="str">
        <x:v>https://www.eeas.europa.eu/eeas/eu-election-observation-missions-1_en?page_lang=en</x:v>
      </x:c>
      <x:c r="K1664" s="20" t="str">
        <x:v>Primary source-register URL; automated screening score</x:v>
      </x:c>
      <x:c r="L1664" s="20" t="str">
        <x:v>2026-05-20</x:v>
      </x:c>
      <x:c r="M1664" s="20" t="str">
        <x:v>2026-05-20</x:v>
      </x:c>
      <x:c r="N1664" s="20" t="str">
        <x:v>GPT-5.5 Pro</x:v>
      </x:c>
      <x:c r="O1664" s="20" t="str">
        <x:v>Needs review</x:v>
      </x:c>
      <x:c r="P1664" s="20" t="str">
        <x:v>Screening score for European Union / Election interference in Sweden; verify with country-specific evidence before final use.</x:v>
      </x:c>
    </x:row>
    <x:row r="1665" ht="24" customHeight="1">
      <x:c r="A1665" s="20" t="str">
        <x:v>SWE|European Union|Security contractors</x:v>
      </x:c>
      <x:c r="B1665" s="20" t="str">
        <x:v>Sweden</x:v>
      </x:c>
      <x:c r="C1665" s="20" t="str">
        <x:v>SWE</x:v>
      </x:c>
      <x:c r="D1665" s="20" t="str">
        <x:v>European Union</x:v>
      </x:c>
      <x:c r="E1665" s="20" t="str">
        <x:v>EU influence</x:v>
      </x:c>
      <x:c r="F1665" s="20" t="str">
        <x:v>Security contractors</x:v>
      </x:c>
      <x:c r="G1665" s="384" t="n">
        <x:v>5</x:v>
      </x:c>
      <x:c r="H1665" s="396" t="n">
        <x:v>3</x:v>
      </x:c>
      <x:c r="I1665" s="20" t="str">
        <x:v>EEAS CSDP / Global Gateway security source register</x:v>
      </x:c>
      <x:c r="J1665" s="397" t="str">
        <x:v>https://www.eeas.europa.eu/eeas/missions-and-operations_en</x:v>
      </x:c>
      <x:c r="K1665" s="20" t="str">
        <x:v>Primary source-register URL; automated screening score</x:v>
      </x:c>
      <x:c r="L1665" s="20" t="str">
        <x:v>2026-05-20</x:v>
      </x:c>
      <x:c r="M1665" s="20" t="str">
        <x:v>2026-05-20</x:v>
      </x:c>
      <x:c r="N1665" s="20" t="str">
        <x:v>GPT-5.5 Pro</x:v>
      </x:c>
      <x:c r="O1665" s="20" t="str">
        <x:v>Needs review</x:v>
      </x:c>
      <x:c r="P1665" s="20" t="str">
        <x:v>Screening score for European Union / Security contractors in Sweden; verify with country-specific evidence before final use.</x:v>
      </x:c>
    </x:row>
    <x:row r="1666" ht="24" customHeight="1">
      <x:c r="A1666" s="20" t="str">
        <x:v>SYR|Russia|Propaganda ecosystems</x:v>
      </x:c>
      <x:c r="B1666" s="20" t="str">
        <x:v>Syria</x:v>
      </x:c>
      <x:c r="C1666" s="20" t="str">
        <x:v>SYR</x:v>
      </x:c>
      <x:c r="D1666" s="20" t="str">
        <x:v>Russia</x:v>
      </x:c>
      <x:c r="E1666" s="20" t="str">
        <x:v>Russian influence</x:v>
      </x:c>
      <x:c r="F1666" s="20" t="str">
        <x:v>Propaganda ecosystems</x:v>
      </x:c>
      <x:c r="G1666" s="384" t="n">
        <x:v>7</x:v>
      </x:c>
      <x:c r="H1666" s="396" t="n">
        <x:v>4</x:v>
      </x:c>
      <x:c r="I1666" s="20" t="str">
        <x:v>EEAS/EUvsDisinfo FIMI source register</x:v>
      </x:c>
      <x:c r="J1666" s="397" t="str">
        <x:v>https://www.eeas.europa.eu/eeas/4th-eeas-annual-report-foreign-information-manipulation-and-interference-threats_en</x:v>
      </x:c>
      <x:c r="K1666" s="20" t="str">
        <x:v>Primary source-register URL; automated screening score</x:v>
      </x:c>
      <x:c r="L1666" s="20" t="str">
        <x:v>2026-05-20</x:v>
      </x:c>
      <x:c r="M1666" s="20" t="str">
        <x:v>2026-05-20</x:v>
      </x:c>
      <x:c r="N1666" s="20" t="str">
        <x:v>GPT-5.5 Pro</x:v>
      </x:c>
      <x:c r="O1666" s="20" t="str">
        <x:v>Needs review</x:v>
      </x:c>
      <x:c r="P1666" s="20" t="str">
        <x:v>Screening score for Russia / Propaganda ecosystems in Syria; verify with country-specific evidence before final use.</x:v>
      </x:c>
    </x:row>
    <x:row r="1667" ht="24" customHeight="1">
      <x:c r="A1667" s="20" t="str">
        <x:v>SYR|Russia|PMC presence</x:v>
      </x:c>
      <x:c r="B1667" s="20" t="str">
        <x:v>Syria</x:v>
      </x:c>
      <x:c r="C1667" s="20" t="str">
        <x:v>SYR</x:v>
      </x:c>
      <x:c r="D1667" s="20" t="str">
        <x:v>Russia</x:v>
      </x:c>
      <x:c r="E1667" s="20" t="str">
        <x:v>Russian influence</x:v>
      </x:c>
      <x:c r="F1667" s="20" t="str">
        <x:v>PMC presence</x:v>
      </x:c>
      <x:c r="G1667" s="384" t="n">
        <x:v>9</x:v>
      </x:c>
      <x:c r="H1667" s="396" t="n">
        <x:v>5</x:v>
      </x:c>
      <x:c r="I1667" s="20" t="str">
        <x:v>Treasury and Council of the EU Wagner/PMC source register</x:v>
      </x:c>
      <x:c r="J1667" s="397" t="str">
        <x:v>https://www.consilium.europa.eu/en/press/press-releases/2023/02/25/wagner-group-council-adds-11-individuals-and-7-entities-to-eu-sanctions-lists/</x:v>
      </x:c>
      <x:c r="K1667" s="20" t="str">
        <x:v>Primary source-register URL; automated screening score</x:v>
      </x:c>
      <x:c r="L1667" s="20" t="str">
        <x:v>2026-05-20</x:v>
      </x:c>
      <x:c r="M1667" s="20" t="str">
        <x:v>2026-05-20</x:v>
      </x:c>
      <x:c r="N1667" s="20" t="str">
        <x:v>GPT-5.5 Pro</x:v>
      </x:c>
      <x:c r="O1667" s="20" t="str">
        <x:v>Needs review</x:v>
      </x:c>
      <x:c r="P1667" s="20" t="str">
        <x:v>Screening score for Russia / PMC presence in Syria; verify with country-specific evidence before final use.</x:v>
      </x:c>
    </x:row>
    <x:row r="1668" ht="24" customHeight="1">
      <x:c r="A1668" s="20" t="str">
        <x:v>SYR|Russia|Election interference</x:v>
      </x:c>
      <x:c r="B1668" s="20" t="str">
        <x:v>Syria</x:v>
      </x:c>
      <x:c r="C1668" s="20" t="str">
        <x:v>SYR</x:v>
      </x:c>
      <x:c r="D1668" s="20" t="str">
        <x:v>Russia</x:v>
      </x:c>
      <x:c r="E1668" s="20" t="str">
        <x:v>Russian influence</x:v>
      </x:c>
      <x:c r="F1668" s="20" t="str">
        <x:v>Election interference</x:v>
      </x:c>
      <x:c r="G1668" s="384" t="n">
        <x:v>3</x:v>
      </x:c>
      <x:c r="H1668" s="396" t="n">
        <x:v>3</x:v>
      </x:c>
      <x:c r="I1668" s="20" t="str">
        <x:v>ODNI/EEAS election-FIMI source register</x:v>
      </x:c>
      <x:c r="J1668" s="397" t="str">
        <x:v>https://www.dni.gov/files/ODNI/documents/assessments/ATA-2026-Unclassified-Report.pdf</x:v>
      </x:c>
      <x:c r="K1668" s="20" t="str">
        <x:v>Primary source-register URL; automated screening score</x:v>
      </x:c>
      <x:c r="L1668" s="20" t="str">
        <x:v>2026-05-20</x:v>
      </x:c>
      <x:c r="M1668" s="20" t="str">
        <x:v>2026-05-20</x:v>
      </x:c>
      <x:c r="N1668" s="20" t="str">
        <x:v>GPT-5.5 Pro</x:v>
      </x:c>
      <x:c r="O1668" s="20" t="str">
        <x:v>Needs review</x:v>
      </x:c>
      <x:c r="P1668" s="20" t="str">
        <x:v>Screening score for Russia / Election interference in Syria; verify with country-specific evidence before final use.</x:v>
      </x:c>
    </x:row>
    <x:row r="1669" ht="24" customHeight="1">
      <x:c r="A1669" s="20" t="str">
        <x:v>SYR|Russia|Security contractors</x:v>
      </x:c>
      <x:c r="B1669" s="20" t="str">
        <x:v>Syria</x:v>
      </x:c>
      <x:c r="C1669" s="20" t="str">
        <x:v>SYR</x:v>
      </x:c>
      <x:c r="D1669" s="20" t="str">
        <x:v>Russia</x:v>
      </x:c>
      <x:c r="E1669" s="20" t="str">
        <x:v>Russian influence</x:v>
      </x:c>
      <x:c r="F1669" s="20" t="str">
        <x:v>Security contractors</x:v>
      </x:c>
      <x:c r="G1669" s="384" t="n">
        <x:v>8</x:v>
      </x:c>
      <x:c r="H1669" s="396" t="n">
        <x:v>4</x:v>
      </x:c>
      <x:c r="I1669" s="20" t="str">
        <x:v>Council of the EU/Treasury Wagner-security source register</x:v>
      </x:c>
      <x:c r="J1669" s="397" t="str">
        <x:v>https://www.consilium.europa.eu/en/press/press-releases/2023/02/25/wagner-group-council-adds-11-individuals-and-7-entities-to-eu-sanctions-lists/</x:v>
      </x:c>
      <x:c r="K1669" s="20" t="str">
        <x:v>Primary source-register URL; automated screening score</x:v>
      </x:c>
      <x:c r="L1669" s="20" t="str">
        <x:v>2026-05-20</x:v>
      </x:c>
      <x:c r="M1669" s="20" t="str">
        <x:v>2026-05-20</x:v>
      </x:c>
      <x:c r="N1669" s="20" t="str">
        <x:v>GPT-5.5 Pro</x:v>
      </x:c>
      <x:c r="O1669" s="20" t="str">
        <x:v>Needs review</x:v>
      </x:c>
      <x:c r="P1669" s="20" t="str">
        <x:v>Screening score for Russia / Security contractors in Syria; verify with country-specific evidence before final use.</x:v>
      </x:c>
    </x:row>
    <x:row r="1670" ht="24" customHeight="1">
      <x:c r="A1670" s="20" t="str">
        <x:v>SYR|China|Propaganda ecosystems</x:v>
      </x:c>
      <x:c r="B1670" s="20" t="str">
        <x:v>Syria</x:v>
      </x:c>
      <x:c r="C1670" s="20" t="str">
        <x:v>SYR</x:v>
      </x:c>
      <x:c r="D1670" s="20" t="str">
        <x:v>China</x:v>
      </x:c>
      <x:c r="E1670" s="20" t="str">
        <x:v>Chinese influence</x:v>
      </x:c>
      <x:c r="F1670" s="20" t="str">
        <x:v>Propaganda ecosystems</x:v>
      </x:c>
      <x:c r="G1670" s="384" t="n">
        <x:v>3</x:v>
      </x:c>
      <x:c r="H1670" s="396" t="n">
        <x:v>3</x:v>
      </x:c>
      <x:c r="I1670" s="20" t="str">
        <x:v>EEAS/ODNI China FIMI source register</x:v>
      </x:c>
      <x:c r="J1670" s="397" t="str">
        <x:v>https://www.eeas.europa.eu/eeas/4th-eeas-annual-report-foreign-information-manipulation-and-interference-threats_en</x:v>
      </x:c>
      <x:c r="K1670" s="20" t="str">
        <x:v>Primary source-register URL; automated screening score</x:v>
      </x:c>
      <x:c r="L1670" s="20" t="str">
        <x:v>2026-05-20</x:v>
      </x:c>
      <x:c r="M1670" s="20" t="str">
        <x:v>2026-05-20</x:v>
      </x:c>
      <x:c r="N1670" s="20" t="str">
        <x:v>GPT-5.5 Pro</x:v>
      </x:c>
      <x:c r="O1670" s="20" t="str">
        <x:v>Needs review</x:v>
      </x:c>
      <x:c r="P1670" s="20" t="str">
        <x:v>Screening score for China / Propaganda ecosystems in Syria; verify with country-specific evidence before final use.</x:v>
      </x:c>
    </x:row>
    <x:row r="1671" ht="24" customHeight="1">
      <x:c r="A1671" s="20" t="str">
        <x:v>SYR|China|PMC presence</x:v>
      </x:c>
      <x:c r="B1671" s="20" t="str">
        <x:v>Syria</x:v>
      </x:c>
      <x:c r="C1671" s="20" t="str">
        <x:v>SYR</x:v>
      </x:c>
      <x:c r="D1671" s="20" t="str">
        <x:v>China</x:v>
      </x:c>
      <x:c r="E1671" s="20" t="str">
        <x:v>Chinese influence</x:v>
      </x:c>
      <x:c r="F1671" s="20" t="str">
        <x:v>PMC presence</x:v>
      </x:c>
      <x:c r="G1671" s="384" t="n">
        <x:v>0</x:v>
      </x:c>
      <x:c r="H1671" s="396" t="n">
        <x:v>1</x:v>
      </x:c>
      <x:c r="I1671" s="20" t="str">
        <x:v>MERICS/Carnegie Chinese overseas PSC source register</x:v>
      </x:c>
      <x:c r="J1671" s="397" t="str">
        <x:v>https://merics.org/en/report/guardians-belt-and-road</x:v>
      </x:c>
      <x:c r="K1671" s="20" t="str">
        <x:v>Primary source-register URL; automated screening score</x:v>
      </x:c>
      <x:c r="L1671" s="20" t="str">
        <x:v>2026-05-20</x:v>
      </x:c>
      <x:c r="M1671" s="20" t="str">
        <x:v>2026-05-20</x:v>
      </x:c>
      <x:c r="N1671" s="20" t="str">
        <x:v>GPT-5.5 Pro</x:v>
      </x:c>
      <x:c r="O1671" s="20" t="str">
        <x:v>Needs review</x:v>
      </x:c>
      <x:c r="P1671" s="20" t="str">
        <x:v>Screening score for China / PMC presence in Syria; verify with country-specific evidence before final use.</x:v>
      </x:c>
    </x:row>
    <x:row r="1672" ht="24" customHeight="1">
      <x:c r="A1672" s="20" t="str">
        <x:v>SYR|China|Election interference</x:v>
      </x:c>
      <x:c r="B1672" s="20" t="str">
        <x:v>Syria</x:v>
      </x:c>
      <x:c r="C1672" s="20" t="str">
        <x:v>SYR</x:v>
      </x:c>
      <x:c r="D1672" s="20" t="str">
        <x:v>China</x:v>
      </x:c>
      <x:c r="E1672" s="20" t="str">
        <x:v>Chinese influence</x:v>
      </x:c>
      <x:c r="F1672" s="20" t="str">
        <x:v>Election interference</x:v>
      </x:c>
      <x:c r="G1672" s="384" t="n">
        <x:v>1</x:v>
      </x:c>
      <x:c r="H1672" s="396" t="n">
        <x:v>2</x:v>
      </x:c>
      <x:c r="I1672" s="20" t="str">
        <x:v>EEAS/ODNI China election-FIMI source register</x:v>
      </x:c>
      <x:c r="J1672" s="397" t="str">
        <x:v>https://www.eeas.europa.eu/eeas/4th-eeas-annual-report-foreign-information-manipulation-and-interference-threats_en</x:v>
      </x:c>
      <x:c r="K1672" s="20" t="str">
        <x:v>Primary source-register URL; automated screening score</x:v>
      </x:c>
      <x:c r="L1672" s="20" t="str">
        <x:v>2026-05-20</x:v>
      </x:c>
      <x:c r="M1672" s="20" t="str">
        <x:v>2026-05-20</x:v>
      </x:c>
      <x:c r="N1672" s="20" t="str">
        <x:v>GPT-5.5 Pro</x:v>
      </x:c>
      <x:c r="O1672" s="20" t="str">
        <x:v>Needs review</x:v>
      </x:c>
      <x:c r="P1672" s="20" t="str">
        <x:v>Screening score for China / Election interference in Syria; verify with country-specific evidence before final use.</x:v>
      </x:c>
    </x:row>
    <x:row r="1673" ht="24" customHeight="1">
      <x:c r="A1673" s="20" t="str">
        <x:v>SYR|China|Security contractors</x:v>
      </x:c>
      <x:c r="B1673" s="20" t="str">
        <x:v>Syria</x:v>
      </x:c>
      <x:c r="C1673" s="20" t="str">
        <x:v>SYR</x:v>
      </x:c>
      <x:c r="D1673" s="20" t="str">
        <x:v>China</x:v>
      </x:c>
      <x:c r="E1673" s="20" t="str">
        <x:v>Chinese influence</x:v>
      </x:c>
      <x:c r="F1673" s="20" t="str">
        <x:v>Security contractors</x:v>
      </x:c>
      <x:c r="G1673" s="384" t="n">
        <x:v>1</x:v>
      </x:c>
      <x:c r="H1673" s="396" t="n">
        <x:v>2</x:v>
      </x:c>
      <x:c r="I1673" s="20" t="str">
        <x:v>MERICS/Carnegie Chinese security contractor source register</x:v>
      </x:c>
      <x:c r="J1673" s="397" t="str">
        <x:v>https://merics.org/en/report/guardians-belt-and-road</x:v>
      </x:c>
      <x:c r="K1673" s="20" t="str">
        <x:v>Primary source-register URL; automated screening score</x:v>
      </x:c>
      <x:c r="L1673" s="20" t="str">
        <x:v>2026-05-20</x:v>
      </x:c>
      <x:c r="M1673" s="20" t="str">
        <x:v>2026-05-20</x:v>
      </x:c>
      <x:c r="N1673" s="20" t="str">
        <x:v>GPT-5.5 Pro</x:v>
      </x:c>
      <x:c r="O1673" s="20" t="str">
        <x:v>Needs review</x:v>
      </x:c>
      <x:c r="P1673" s="20" t="str">
        <x:v>Screening score for China / Security contractors in Syria; verify with country-specific evidence before final use.</x:v>
      </x:c>
    </x:row>
    <x:row r="1674" ht="24" customHeight="1">
      <x:c r="A1674" s="20" t="str">
        <x:v>SYR|United States|Propaganda ecosystems</x:v>
      </x:c>
      <x:c r="B1674" s="20" t="str">
        <x:v>Syria</x:v>
      </x:c>
      <x:c r="C1674" s="20" t="str">
        <x:v>SYR</x:v>
      </x:c>
      <x:c r="D1674" s="20" t="str">
        <x:v>United States</x:v>
      </x:c>
      <x:c r="E1674" s="20" t="str">
        <x:v>American influence</x:v>
      </x:c>
      <x:c r="F1674" s="20" t="str">
        <x:v>Propaganda ecosystems</x:v>
      </x:c>
      <x:c r="G1674" s="384" t="n">
        <x:v>6</x:v>
      </x:c>
      <x:c r="H1674" s="396" t="n">
        <x:v>4</x:v>
      </x:c>
      <x:c r="I1674" s="20" t="str">
        <x:v>USAGM public media source register</x:v>
      </x:c>
      <x:c r="J1674" s="397" t="str">
        <x:v>https://www.usagm.gov/our-work/strategy-and-results/strategic-priorities/research-reports/</x:v>
      </x:c>
      <x:c r="K1674" s="20" t="str">
        <x:v>Primary source-register URL; automated screening score</x:v>
      </x:c>
      <x:c r="L1674" s="20" t="str">
        <x:v>2026-05-20</x:v>
      </x:c>
      <x:c r="M1674" s="20" t="str">
        <x:v>2026-05-20</x:v>
      </x:c>
      <x:c r="N1674" s="20" t="str">
        <x:v>GPT-5.5 Pro</x:v>
      </x:c>
      <x:c r="O1674" s="20" t="str">
        <x:v>Needs review</x:v>
      </x:c>
      <x:c r="P1674" s="20" t="str">
        <x:v>Screening score for United States / Propaganda ecosystems in Syria; verify with country-specific evidence before final use.</x:v>
      </x:c>
    </x:row>
    <x:row r="1675" ht="24" customHeight="1">
      <x:c r="A1675" s="20" t="str">
        <x:v>SYR|United States|PMC presence</x:v>
      </x:c>
      <x:c r="B1675" s="20" t="str">
        <x:v>Syria</x:v>
      </x:c>
      <x:c r="C1675" s="20" t="str">
        <x:v>SYR</x:v>
      </x:c>
      <x:c r="D1675" s="20" t="str">
        <x:v>United States</x:v>
      </x:c>
      <x:c r="E1675" s="20" t="str">
        <x:v>American influence</x:v>
      </x:c>
      <x:c r="F1675" s="20" t="str">
        <x:v>PMC presence</x:v>
      </x:c>
      <x:c r="G1675" s="384" t="n">
        <x:v>7</x:v>
      </x:c>
      <x:c r="H1675" s="396" t="n">
        <x:v>4</x:v>
      </x:c>
      <x:c r="I1675" s="20" t="str">
        <x:v>SAM/Greenbook U.S. security assistance contractor source register</x:v>
      </x:c>
      <x:c r="J1675" s="397" t="str">
        <x:v>https://internationalpolicy.org/programs/sam/</x:v>
      </x:c>
      <x:c r="K1675" s="20" t="str">
        <x:v>Primary source-register URL; automated screening score</x:v>
      </x:c>
      <x:c r="L1675" s="20" t="str">
        <x:v>2026-05-20</x:v>
      </x:c>
      <x:c r="M1675" s="20" t="str">
        <x:v>2026-05-20</x:v>
      </x:c>
      <x:c r="N1675" s="20" t="str">
        <x:v>GPT-5.5 Pro</x:v>
      </x:c>
      <x:c r="O1675" s="20" t="str">
        <x:v>Needs review</x:v>
      </x:c>
      <x:c r="P1675" s="20" t="str">
        <x:v>Screening score for United States / PMC presence in Syria; verify with country-specific evidence before final use.</x:v>
      </x:c>
    </x:row>
    <x:row r="1676" ht="24" customHeight="1">
      <x:c r="A1676" s="20" t="str">
        <x:v>SYR|United States|Election interference</x:v>
      </x:c>
      <x:c r="B1676" s="20" t="str">
        <x:v>Syria</x:v>
      </x:c>
      <x:c r="C1676" s="20" t="str">
        <x:v>SYR</x:v>
      </x:c>
      <x:c r="D1676" s="20" t="str">
        <x:v>United States</x:v>
      </x:c>
      <x:c r="E1676" s="20" t="str">
        <x:v>American influence</x:v>
      </x:c>
      <x:c r="F1676" s="20" t="str">
        <x:v>Election interference</x:v>
      </x:c>
      <x:c r="G1676" s="384" t="n">
        <x:v>2</x:v>
      </x:c>
      <x:c r="H1676" s="396" t="n">
        <x:v>2</x:v>
      </x:c>
      <x:c r="I1676" s="20" t="str">
        <x:v>NED/Greenbook democracy assistance source register</x:v>
      </x:c>
      <x:c r="J1676" s="397" t="str">
        <x:v>https://www.ned.org/ned-grantmaking/</x:v>
      </x:c>
      <x:c r="K1676" s="20" t="str">
        <x:v>Primary source-register URL; automated screening score</x:v>
      </x:c>
      <x:c r="L1676" s="20" t="str">
        <x:v>2026-05-20</x:v>
      </x:c>
      <x:c r="M1676" s="20" t="str">
        <x:v>2026-05-20</x:v>
      </x:c>
      <x:c r="N1676" s="20" t="str">
        <x:v>GPT-5.5 Pro</x:v>
      </x:c>
      <x:c r="O1676" s="20" t="str">
        <x:v>Needs review</x:v>
      </x:c>
      <x:c r="P1676" s="20" t="str">
        <x:v>Screening score for United States / Election interference in Syria; verify with country-specific evidence before final use.</x:v>
      </x:c>
    </x:row>
    <x:row r="1677" ht="24" customHeight="1">
      <x:c r="A1677" s="20" t="str">
        <x:v>SYR|United States|Security contractors</x:v>
      </x:c>
      <x:c r="B1677" s="20" t="str">
        <x:v>Syria</x:v>
      </x:c>
      <x:c r="C1677" s="20" t="str">
        <x:v>SYR</x:v>
      </x:c>
      <x:c r="D1677" s="20" t="str">
        <x:v>United States</x:v>
      </x:c>
      <x:c r="E1677" s="20" t="str">
        <x:v>American influence</x:v>
      </x:c>
      <x:c r="F1677" s="20" t="str">
        <x:v>Security contractors</x:v>
      </x:c>
      <x:c r="G1677" s="384" t="n">
        <x:v>8</x:v>
      </x:c>
      <x:c r="H1677" s="396" t="n">
        <x:v>4</x:v>
      </x:c>
      <x:c r="I1677" s="20" t="str">
        <x:v>SAM/Greenbook U.S. security contractor source register</x:v>
      </x:c>
      <x:c r="J1677" s="397" t="str">
        <x:v>https://internationalpolicy.org/programs/sam/</x:v>
      </x:c>
      <x:c r="K1677" s="20" t="str">
        <x:v>Primary source-register URL; automated screening score</x:v>
      </x:c>
      <x:c r="L1677" s="20" t="str">
        <x:v>2026-05-20</x:v>
      </x:c>
      <x:c r="M1677" s="20" t="str">
        <x:v>2026-05-20</x:v>
      </x:c>
      <x:c r="N1677" s="20" t="str">
        <x:v>GPT-5.5 Pro</x:v>
      </x:c>
      <x:c r="O1677" s="20" t="str">
        <x:v>Needs review</x:v>
      </x:c>
      <x:c r="P1677" s="20" t="str">
        <x:v>Screening score for United States / Security contractors in Syria; verify with country-specific evidence before final use.</x:v>
      </x:c>
    </x:row>
    <x:row r="1678" ht="24" customHeight="1">
      <x:c r="A1678" s="20" t="str">
        <x:v>SYR|European Union|Propaganda ecosystems</x:v>
      </x:c>
      <x:c r="B1678" s="20" t="str">
        <x:v>Syria</x:v>
      </x:c>
      <x:c r="C1678" s="20" t="str">
        <x:v>SYR</x:v>
      </x:c>
      <x:c r="D1678" s="20" t="str">
        <x:v>European Union</x:v>
      </x:c>
      <x:c r="E1678" s="20" t="str">
        <x:v>EU influence</x:v>
      </x:c>
      <x:c r="F1678" s="20" t="str">
        <x:v>Propaganda ecosystems</x:v>
      </x:c>
      <x:c r="G1678" s="384" t="n">
        <x:v>2</x:v>
      </x:c>
      <x:c r="H1678" s="396" t="n">
        <x:v>2</x:v>
      </x:c>
      <x:c r="I1678" s="20" t="str">
        <x:v>EEAS public diplomacy source register</x:v>
      </x:c>
      <x:c r="J1678" s="397" t="str">
        <x:v>https://www.eeas.europa.eu/eeas/public-diplomacy_en</x:v>
      </x:c>
      <x:c r="K1678" s="20" t="str">
        <x:v>Primary source-register URL; automated screening score</x:v>
      </x:c>
      <x:c r="L1678" s="20" t="str">
        <x:v>2026-05-20</x:v>
      </x:c>
      <x:c r="M1678" s="20" t="str">
        <x:v>2026-05-20</x:v>
      </x:c>
      <x:c r="N1678" s="20" t="str">
        <x:v>GPT-5.5 Pro</x:v>
      </x:c>
      <x:c r="O1678" s="20" t="str">
        <x:v>Needs review</x:v>
      </x:c>
      <x:c r="P1678" s="20" t="str">
        <x:v>Screening score for European Union / Propaganda ecosystems in Syria; verify with country-specific evidence before final use.</x:v>
      </x:c>
    </x:row>
    <x:row r="1679" ht="24" customHeight="1">
      <x:c r="A1679" s="20" t="str">
        <x:v>SYR|European Union|PMC presence</x:v>
      </x:c>
      <x:c r="B1679" s="20" t="str">
        <x:v>Syria</x:v>
      </x:c>
      <x:c r="C1679" s="20" t="str">
        <x:v>SYR</x:v>
      </x:c>
      <x:c r="D1679" s="20" t="str">
        <x:v>European Union</x:v>
      </x:c>
      <x:c r="E1679" s="20" t="str">
        <x:v>EU influence</x:v>
      </x:c>
      <x:c r="F1679" s="20" t="str">
        <x:v>PMC presence</x:v>
      </x:c>
      <x:c r="G1679" s="384" t="n">
        <x:v>0</x:v>
      </x:c>
      <x:c r="H1679" s="396" t="n">
        <x:v>1</x:v>
      </x:c>
      <x:c r="I1679" s="20" t="str">
        <x:v>EEAS CSDP missions source register</x:v>
      </x:c>
      <x:c r="J1679" s="397" t="str">
        <x:v>https://www.eeas.europa.eu/eeas/missions-and-operations_en</x:v>
      </x:c>
      <x:c r="K1679" s="20" t="str">
        <x:v>Primary source-register URL; automated screening score</x:v>
      </x:c>
      <x:c r="L1679" s="20" t="str">
        <x:v>2026-05-20</x:v>
      </x:c>
      <x:c r="M1679" s="20" t="str">
        <x:v>2026-05-20</x:v>
      </x:c>
      <x:c r="N1679" s="20" t="str">
        <x:v>GPT-5.5 Pro</x:v>
      </x:c>
      <x:c r="O1679" s="20" t="str">
        <x:v>Needs review</x:v>
      </x:c>
      <x:c r="P1679" s="20" t="str">
        <x:v>Screening score for European Union / PMC presence in Syria; verify with country-specific evidence before final use.</x:v>
      </x:c>
    </x:row>
    <x:row r="1680" ht="24" customHeight="1">
      <x:c r="A1680" s="20" t="str">
        <x:v>SYR|European Union|Election interference</x:v>
      </x:c>
      <x:c r="B1680" s="20" t="str">
        <x:v>Syria</x:v>
      </x:c>
      <x:c r="C1680" s="20" t="str">
        <x:v>SYR</x:v>
      </x:c>
      <x:c r="D1680" s="20" t="str">
        <x:v>European Union</x:v>
      </x:c>
      <x:c r="E1680" s="20" t="str">
        <x:v>EU influence</x:v>
      </x:c>
      <x:c r="F1680" s="20" t="str">
        <x:v>Election interference</x:v>
      </x:c>
      <x:c r="G1680" s="384" t="n">
        <x:v>1</x:v>
      </x:c>
      <x:c r="H1680" s="396" t="n">
        <x:v>2</x:v>
      </x:c>
      <x:c r="I1680" s="20" t="str">
        <x:v>EEAS EU election observation source register</x:v>
      </x:c>
      <x:c r="J1680" s="397" t="str">
        <x:v>https://www.eeas.europa.eu/eeas/eu-election-observation-missions-1_en?page_lang=en</x:v>
      </x:c>
      <x:c r="K1680" s="20" t="str">
        <x:v>Primary source-register URL; automated screening score</x:v>
      </x:c>
      <x:c r="L1680" s="20" t="str">
        <x:v>2026-05-20</x:v>
      </x:c>
      <x:c r="M1680" s="20" t="str">
        <x:v>2026-05-20</x:v>
      </x:c>
      <x:c r="N1680" s="20" t="str">
        <x:v>GPT-5.5 Pro</x:v>
      </x:c>
      <x:c r="O1680" s="20" t="str">
        <x:v>Needs review</x:v>
      </x:c>
      <x:c r="P1680" s="20" t="str">
        <x:v>Screening score for European Union / Election interference in Syria; verify with country-specific evidence before final use.</x:v>
      </x:c>
    </x:row>
    <x:row r="1681" ht="24" customHeight="1">
      <x:c r="A1681" s="20" t="str">
        <x:v>SYR|European Union|Security contractors</x:v>
      </x:c>
      <x:c r="B1681" s="20" t="str">
        <x:v>Syria</x:v>
      </x:c>
      <x:c r="C1681" s="20" t="str">
        <x:v>SYR</x:v>
      </x:c>
      <x:c r="D1681" s="20" t="str">
        <x:v>European Union</x:v>
      </x:c>
      <x:c r="E1681" s="20" t="str">
        <x:v>EU influence</x:v>
      </x:c>
      <x:c r="F1681" s="20" t="str">
        <x:v>Security contractors</x:v>
      </x:c>
      <x:c r="G1681" s="384" t="n">
        <x:v>2</x:v>
      </x:c>
      <x:c r="H1681" s="396" t="n">
        <x:v>2</x:v>
      </x:c>
      <x:c r="I1681" s="20" t="str">
        <x:v>EEAS CSDP / Global Gateway security source register</x:v>
      </x:c>
      <x:c r="J1681" s="397" t="str">
        <x:v>https://www.eeas.europa.eu/eeas/missions-and-operations_en</x:v>
      </x:c>
      <x:c r="K1681" s="20" t="str">
        <x:v>Primary source-register URL; automated screening score</x:v>
      </x:c>
      <x:c r="L1681" s="20" t="str">
        <x:v>2026-05-20</x:v>
      </x:c>
      <x:c r="M1681" s="20" t="str">
        <x:v>2026-05-20</x:v>
      </x:c>
      <x:c r="N1681" s="20" t="str">
        <x:v>GPT-5.5 Pro</x:v>
      </x:c>
      <x:c r="O1681" s="20" t="str">
        <x:v>Needs review</x:v>
      </x:c>
      <x:c r="P1681" s="20" t="str">
        <x:v>Screening score for European Union / Security contractors in Syria; verify with country-specific evidence before final use.</x:v>
      </x:c>
    </x:row>
    <x:row r="1682" ht="24" customHeight="1">
      <x:c r="A1682" s="20" t="str">
        <x:v>TWN|Russia|Propaganda ecosystems</x:v>
      </x:c>
      <x:c r="B1682" s="20" t="str">
        <x:v>Taiwan</x:v>
      </x:c>
      <x:c r="C1682" s="20" t="str">
        <x:v>TWN</x:v>
      </x:c>
      <x:c r="D1682" s="20" t="str">
        <x:v>Russia</x:v>
      </x:c>
      <x:c r="E1682" s="20" t="str">
        <x:v>Russian influence</x:v>
      </x:c>
      <x:c r="F1682" s="20" t="str">
        <x:v>Propaganda ecosystems</x:v>
      </x:c>
      <x:c r="G1682" s="384" t="n">
        <x:v>2</x:v>
      </x:c>
      <x:c r="H1682" s="396" t="n">
        <x:v>2</x:v>
      </x:c>
      <x:c r="I1682" s="20" t="str">
        <x:v>EEAS/EUvsDisinfo FIMI source register</x:v>
      </x:c>
      <x:c r="J1682" s="397" t="str">
        <x:v>https://www.eeas.europa.eu/eeas/4th-eeas-annual-report-foreign-information-manipulation-and-interference-threats_en</x:v>
      </x:c>
      <x:c r="K1682" s="20" t="str">
        <x:v>Primary source-register URL; automated screening score</x:v>
      </x:c>
      <x:c r="L1682" s="20" t="str">
        <x:v>2026-05-20</x:v>
      </x:c>
      <x:c r="M1682" s="20" t="str">
        <x:v>2026-05-20</x:v>
      </x:c>
      <x:c r="N1682" s="20" t="str">
        <x:v>GPT-5.5 Pro</x:v>
      </x:c>
      <x:c r="O1682" s="20" t="str">
        <x:v>Needs review</x:v>
      </x:c>
      <x:c r="P1682" s="20" t="str">
        <x:v>Screening score for Russia / Propaganda ecosystems in Taiwan; verify with country-specific evidence before final use.</x:v>
      </x:c>
    </x:row>
    <x:row r="1683" ht="24" customHeight="1">
      <x:c r="A1683" s="20" t="str">
        <x:v>TWN|Russia|PMC presence</x:v>
      </x:c>
      <x:c r="B1683" s="20" t="str">
        <x:v>Taiwan</x:v>
      </x:c>
      <x:c r="C1683" s="20" t="str">
        <x:v>TWN</x:v>
      </x:c>
      <x:c r="D1683" s="20" t="str">
        <x:v>Russia</x:v>
      </x:c>
      <x:c r="E1683" s="20" t="str">
        <x:v>Russian influence</x:v>
      </x:c>
      <x:c r="F1683" s="20" t="str">
        <x:v>PMC presence</x:v>
      </x:c>
      <x:c r="G1683" s="384" t="n">
        <x:v>0</x:v>
      </x:c>
      <x:c r="H1683" s="396" t="n">
        <x:v>1</x:v>
      </x:c>
      <x:c r="I1683" s="20" t="str">
        <x:v>Treasury and Council of the EU Wagner/PMC source register</x:v>
      </x:c>
      <x:c r="J1683" s="397" t="str">
        <x:v>https://www.consilium.europa.eu/en/press/press-releases/2023/02/25/wagner-group-council-adds-11-individuals-and-7-entities-to-eu-sanctions-lists/</x:v>
      </x:c>
      <x:c r="K1683" s="20" t="str">
        <x:v>Primary source-register URL; automated screening score</x:v>
      </x:c>
      <x:c r="L1683" s="20" t="str">
        <x:v>2026-05-20</x:v>
      </x:c>
      <x:c r="M1683" s="20" t="str">
        <x:v>2026-05-20</x:v>
      </x:c>
      <x:c r="N1683" s="20" t="str">
        <x:v>GPT-5.5 Pro</x:v>
      </x:c>
      <x:c r="O1683" s="20" t="str">
        <x:v>Needs review</x:v>
      </x:c>
      <x:c r="P1683" s="20" t="str">
        <x:v>Screening score for Russia / PMC presence in Taiwan; verify with country-specific evidence before final use.</x:v>
      </x:c>
    </x:row>
    <x:row r="1684" ht="24" customHeight="1">
      <x:c r="A1684" s="20" t="str">
        <x:v>TWN|Russia|Election interference</x:v>
      </x:c>
      <x:c r="B1684" s="20" t="str">
        <x:v>Taiwan</x:v>
      </x:c>
      <x:c r="C1684" s="20" t="str">
        <x:v>TWN</x:v>
      </x:c>
      <x:c r="D1684" s="20" t="str">
        <x:v>Russia</x:v>
      </x:c>
      <x:c r="E1684" s="20" t="str">
        <x:v>Russian influence</x:v>
      </x:c>
      <x:c r="F1684" s="20" t="str">
        <x:v>Election interference</x:v>
      </x:c>
      <x:c r="G1684" s="384" t="n">
        <x:v>0</x:v>
      </x:c>
      <x:c r="H1684" s="396" t="n">
        <x:v>1</x:v>
      </x:c>
      <x:c r="I1684" s="20" t="str">
        <x:v>ODNI/EEAS election-FIMI source register</x:v>
      </x:c>
      <x:c r="J1684" s="397" t="str">
        <x:v>https://www.dni.gov/files/ODNI/documents/assessments/ATA-2026-Unclassified-Report.pdf</x:v>
      </x:c>
      <x:c r="K1684" s="20" t="str">
        <x:v>Primary source-register URL; automated screening score</x:v>
      </x:c>
      <x:c r="L1684" s="20" t="str">
        <x:v>2026-05-20</x:v>
      </x:c>
      <x:c r="M1684" s="20" t="str">
        <x:v>2026-05-20</x:v>
      </x:c>
      <x:c r="N1684" s="20" t="str">
        <x:v>GPT-5.5 Pro</x:v>
      </x:c>
      <x:c r="O1684" s="20" t="str">
        <x:v>Needs review</x:v>
      </x:c>
      <x:c r="P1684" s="20" t="str">
        <x:v>Screening score for Russia / Election interference in Taiwan; verify with country-specific evidence before final use.</x:v>
      </x:c>
    </x:row>
    <x:row r="1685" ht="24" customHeight="1">
      <x:c r="A1685" s="20" t="str">
        <x:v>TWN|Russia|Security contractors</x:v>
      </x:c>
      <x:c r="B1685" s="20" t="str">
        <x:v>Taiwan</x:v>
      </x:c>
      <x:c r="C1685" s="20" t="str">
        <x:v>TWN</x:v>
      </x:c>
      <x:c r="D1685" s="20" t="str">
        <x:v>Russia</x:v>
      </x:c>
      <x:c r="E1685" s="20" t="str">
        <x:v>Russian influence</x:v>
      </x:c>
      <x:c r="F1685" s="20" t="str">
        <x:v>Security contractors</x:v>
      </x:c>
      <x:c r="G1685" s="384" t="n">
        <x:v>0</x:v>
      </x:c>
      <x:c r="H1685" s="396" t="n">
        <x:v>1</x:v>
      </x:c>
      <x:c r="I1685" s="20" t="str">
        <x:v>Council of the EU/Treasury Wagner-security source register</x:v>
      </x:c>
      <x:c r="J1685" s="397" t="str">
        <x:v>https://www.consilium.europa.eu/en/press/press-releases/2023/02/25/wagner-group-council-adds-11-individuals-and-7-entities-to-eu-sanctions-lists/</x:v>
      </x:c>
      <x:c r="K1685" s="20" t="str">
        <x:v>Primary source-register URL; automated screening score</x:v>
      </x:c>
      <x:c r="L1685" s="20" t="str">
        <x:v>2026-05-20</x:v>
      </x:c>
      <x:c r="M1685" s="20" t="str">
        <x:v>2026-05-20</x:v>
      </x:c>
      <x:c r="N1685" s="20" t="str">
        <x:v>GPT-5.5 Pro</x:v>
      </x:c>
      <x:c r="O1685" s="20" t="str">
        <x:v>Needs review</x:v>
      </x:c>
      <x:c r="P1685" s="20" t="str">
        <x:v>Screening score for Russia / Security contractors in Taiwan; verify with country-specific evidence before final use.</x:v>
      </x:c>
    </x:row>
    <x:row r="1686" ht="24" customHeight="1">
      <x:c r="A1686" s="20" t="str">
        <x:v>TWN|China|Propaganda ecosystems</x:v>
      </x:c>
      <x:c r="B1686" s="20" t="str">
        <x:v>Taiwan</x:v>
      </x:c>
      <x:c r="C1686" s="20" t="str">
        <x:v>TWN</x:v>
      </x:c>
      <x:c r="D1686" s="20" t="str">
        <x:v>China</x:v>
      </x:c>
      <x:c r="E1686" s="20" t="str">
        <x:v>Chinese influence</x:v>
      </x:c>
      <x:c r="F1686" s="20" t="str">
        <x:v>Propaganda ecosystems</x:v>
      </x:c>
      <x:c r="G1686" s="384" t="n">
        <x:v>9</x:v>
      </x:c>
      <x:c r="H1686" s="396" t="n">
        <x:v>5</x:v>
      </x:c>
      <x:c r="I1686" s="20" t="str">
        <x:v>EEAS/ODNI China FIMI source register</x:v>
      </x:c>
      <x:c r="J1686" s="397" t="str">
        <x:v>https://www.eeas.europa.eu/eeas/4th-eeas-annual-report-foreign-information-manipulation-and-interference-threats_en</x:v>
      </x:c>
      <x:c r="K1686" s="20" t="str">
        <x:v>Primary source-register URL; automated screening score</x:v>
      </x:c>
      <x:c r="L1686" s="20" t="str">
        <x:v>2026-05-20</x:v>
      </x:c>
      <x:c r="M1686" s="20" t="str">
        <x:v>2026-05-20</x:v>
      </x:c>
      <x:c r="N1686" s="20" t="str">
        <x:v>GPT-5.5 Pro</x:v>
      </x:c>
      <x:c r="O1686" s="20" t="str">
        <x:v>Needs review</x:v>
      </x:c>
      <x:c r="P1686" s="20" t="str">
        <x:v>Screening score for China / Propaganda ecosystems in Taiwan; verify with country-specific evidence before final use.</x:v>
      </x:c>
    </x:row>
    <x:row r="1687" ht="24" customHeight="1">
      <x:c r="A1687" s="20" t="str">
        <x:v>TWN|China|PMC presence</x:v>
      </x:c>
      <x:c r="B1687" s="20" t="str">
        <x:v>Taiwan</x:v>
      </x:c>
      <x:c r="C1687" s="20" t="str">
        <x:v>TWN</x:v>
      </x:c>
      <x:c r="D1687" s="20" t="str">
        <x:v>China</x:v>
      </x:c>
      <x:c r="E1687" s="20" t="str">
        <x:v>Chinese influence</x:v>
      </x:c>
      <x:c r="F1687" s="20" t="str">
        <x:v>PMC presence</x:v>
      </x:c>
      <x:c r="G1687" s="384" t="n">
        <x:v>0</x:v>
      </x:c>
      <x:c r="H1687" s="396" t="n">
        <x:v>1</x:v>
      </x:c>
      <x:c r="I1687" s="20" t="str">
        <x:v>MERICS/Carnegie Chinese overseas PSC source register</x:v>
      </x:c>
      <x:c r="J1687" s="397" t="str">
        <x:v>https://merics.org/en/report/guardians-belt-and-road</x:v>
      </x:c>
      <x:c r="K1687" s="20" t="str">
        <x:v>Primary source-register URL; automated screening score</x:v>
      </x:c>
      <x:c r="L1687" s="20" t="str">
        <x:v>2026-05-20</x:v>
      </x:c>
      <x:c r="M1687" s="20" t="str">
        <x:v>2026-05-20</x:v>
      </x:c>
      <x:c r="N1687" s="20" t="str">
        <x:v>GPT-5.5 Pro</x:v>
      </x:c>
      <x:c r="O1687" s="20" t="str">
        <x:v>Needs review</x:v>
      </x:c>
      <x:c r="P1687" s="20" t="str">
        <x:v>Screening score for China / PMC presence in Taiwan; verify with country-specific evidence before final use.</x:v>
      </x:c>
    </x:row>
    <x:row r="1688" ht="24" customHeight="1">
      <x:c r="A1688" s="20" t="str">
        <x:v>TWN|China|Election interference</x:v>
      </x:c>
      <x:c r="B1688" s="20" t="str">
        <x:v>Taiwan</x:v>
      </x:c>
      <x:c r="C1688" s="20" t="str">
        <x:v>TWN</x:v>
      </x:c>
      <x:c r="D1688" s="20" t="str">
        <x:v>China</x:v>
      </x:c>
      <x:c r="E1688" s="20" t="str">
        <x:v>Chinese influence</x:v>
      </x:c>
      <x:c r="F1688" s="20" t="str">
        <x:v>Election interference</x:v>
      </x:c>
      <x:c r="G1688" s="384" t="n">
        <x:v>8</x:v>
      </x:c>
      <x:c r="H1688" s="396" t="n">
        <x:v>4</x:v>
      </x:c>
      <x:c r="I1688" s="20" t="str">
        <x:v>EEAS/ODNI China election-FIMI source register</x:v>
      </x:c>
      <x:c r="J1688" s="397" t="str">
        <x:v>https://www.eeas.europa.eu/eeas/4th-eeas-annual-report-foreign-information-manipulation-and-interference-threats_en</x:v>
      </x:c>
      <x:c r="K1688" s="20" t="str">
        <x:v>Primary source-register URL; automated screening score</x:v>
      </x:c>
      <x:c r="L1688" s="20" t="str">
        <x:v>2026-05-20</x:v>
      </x:c>
      <x:c r="M1688" s="20" t="str">
        <x:v>2026-05-20</x:v>
      </x:c>
      <x:c r="N1688" s="20" t="str">
        <x:v>GPT-5.5 Pro</x:v>
      </x:c>
      <x:c r="O1688" s="20" t="str">
        <x:v>Needs review</x:v>
      </x:c>
      <x:c r="P1688" s="20" t="str">
        <x:v>Screening score for China / Election interference in Taiwan; verify with country-specific evidence before final use.</x:v>
      </x:c>
    </x:row>
    <x:row r="1689" ht="24" customHeight="1">
      <x:c r="A1689" s="20" t="str">
        <x:v>TWN|China|Security contractors</x:v>
      </x:c>
      <x:c r="B1689" s="20" t="str">
        <x:v>Taiwan</x:v>
      </x:c>
      <x:c r="C1689" s="20" t="str">
        <x:v>TWN</x:v>
      </x:c>
      <x:c r="D1689" s="20" t="str">
        <x:v>China</x:v>
      </x:c>
      <x:c r="E1689" s="20" t="str">
        <x:v>Chinese influence</x:v>
      </x:c>
      <x:c r="F1689" s="20" t="str">
        <x:v>Security contractors</x:v>
      </x:c>
      <x:c r="G1689" s="384" t="n">
        <x:v>0</x:v>
      </x:c>
      <x:c r="H1689" s="396" t="n">
        <x:v>1</x:v>
      </x:c>
      <x:c r="I1689" s="20" t="str">
        <x:v>MERICS/Carnegie Chinese security contractor source register</x:v>
      </x:c>
      <x:c r="J1689" s="397" t="str">
        <x:v>https://merics.org/en/report/guardians-belt-and-road</x:v>
      </x:c>
      <x:c r="K1689" s="20" t="str">
        <x:v>Primary source-register URL; automated screening score</x:v>
      </x:c>
      <x:c r="L1689" s="20" t="str">
        <x:v>2026-05-20</x:v>
      </x:c>
      <x:c r="M1689" s="20" t="str">
        <x:v>2026-05-20</x:v>
      </x:c>
      <x:c r="N1689" s="20" t="str">
        <x:v>GPT-5.5 Pro</x:v>
      </x:c>
      <x:c r="O1689" s="20" t="str">
        <x:v>Needs review</x:v>
      </x:c>
      <x:c r="P1689" s="20" t="str">
        <x:v>Screening score for China / Security contractors in Taiwan; verify with country-specific evidence before final use.</x:v>
      </x:c>
    </x:row>
    <x:row r="1690" ht="24" customHeight="1">
      <x:c r="A1690" s="20" t="str">
        <x:v>TWN|United States|Propaganda ecosystems</x:v>
      </x:c>
      <x:c r="B1690" s="20" t="str">
        <x:v>Taiwan</x:v>
      </x:c>
      <x:c r="C1690" s="20" t="str">
        <x:v>TWN</x:v>
      </x:c>
      <x:c r="D1690" s="20" t="str">
        <x:v>United States</x:v>
      </x:c>
      <x:c r="E1690" s="20" t="str">
        <x:v>American influence</x:v>
      </x:c>
      <x:c r="F1690" s="20" t="str">
        <x:v>Propaganda ecosystems</x:v>
      </x:c>
      <x:c r="G1690" s="384" t="n">
        <x:v>5</x:v>
      </x:c>
      <x:c r="H1690" s="396" t="n">
        <x:v>3</x:v>
      </x:c>
      <x:c r="I1690" s="20" t="str">
        <x:v>USAGM public media source register</x:v>
      </x:c>
      <x:c r="J1690" s="397" t="str">
        <x:v>https://www.usagm.gov/our-work/strategy-and-results/strategic-priorities/research-reports/</x:v>
      </x:c>
      <x:c r="K1690" s="20" t="str">
        <x:v>Primary source-register URL; automated screening score</x:v>
      </x:c>
      <x:c r="L1690" s="20" t="str">
        <x:v>2026-05-20</x:v>
      </x:c>
      <x:c r="M1690" s="20" t="str">
        <x:v>2026-05-20</x:v>
      </x:c>
      <x:c r="N1690" s="20" t="str">
        <x:v>GPT-5.5 Pro</x:v>
      </x:c>
      <x:c r="O1690" s="20" t="str">
        <x:v>Needs review</x:v>
      </x:c>
      <x:c r="P1690" s="20" t="str">
        <x:v>Screening score for United States / Propaganda ecosystems in Taiwan; verify with country-specific evidence before final use.</x:v>
      </x:c>
    </x:row>
    <x:row r="1691" ht="24" customHeight="1">
      <x:c r="A1691" s="20" t="str">
        <x:v>TWN|United States|PMC presence</x:v>
      </x:c>
      <x:c r="B1691" s="20" t="str">
        <x:v>Taiwan</x:v>
      </x:c>
      <x:c r="C1691" s="20" t="str">
        <x:v>TWN</x:v>
      </x:c>
      <x:c r="D1691" s="20" t="str">
        <x:v>United States</x:v>
      </x:c>
      <x:c r="E1691" s="20" t="str">
        <x:v>American influence</x:v>
      </x:c>
      <x:c r="F1691" s="20" t="str">
        <x:v>PMC presence</x:v>
      </x:c>
      <x:c r="G1691" s="384" t="n">
        <x:v>1</x:v>
      </x:c>
      <x:c r="H1691" s="396" t="n">
        <x:v>2</x:v>
      </x:c>
      <x:c r="I1691" s="20" t="str">
        <x:v>SAM/Greenbook U.S. security assistance contractor source register</x:v>
      </x:c>
      <x:c r="J1691" s="397" t="str">
        <x:v>https://internationalpolicy.org/programs/sam/</x:v>
      </x:c>
      <x:c r="K1691" s="20" t="str">
        <x:v>Primary source-register URL; automated screening score</x:v>
      </x:c>
      <x:c r="L1691" s="20" t="str">
        <x:v>2026-05-20</x:v>
      </x:c>
      <x:c r="M1691" s="20" t="str">
        <x:v>2026-05-20</x:v>
      </x:c>
      <x:c r="N1691" s="20" t="str">
        <x:v>GPT-5.5 Pro</x:v>
      </x:c>
      <x:c r="O1691" s="20" t="str">
        <x:v>Needs review</x:v>
      </x:c>
      <x:c r="P1691" s="20" t="str">
        <x:v>Screening score for United States / PMC presence in Taiwan; verify with country-specific evidence before final use.</x:v>
      </x:c>
    </x:row>
    <x:row r="1692" ht="24" customHeight="1">
      <x:c r="A1692" s="20" t="str">
        <x:v>TWN|United States|Election interference</x:v>
      </x:c>
      <x:c r="B1692" s="20" t="str">
        <x:v>Taiwan</x:v>
      </x:c>
      <x:c r="C1692" s="20" t="str">
        <x:v>TWN</x:v>
      </x:c>
      <x:c r="D1692" s="20" t="str">
        <x:v>United States</x:v>
      </x:c>
      <x:c r="E1692" s="20" t="str">
        <x:v>American influence</x:v>
      </x:c>
      <x:c r="F1692" s="20" t="str">
        <x:v>Election interference</x:v>
      </x:c>
      <x:c r="G1692" s="384" t="n">
        <x:v>2</x:v>
      </x:c>
      <x:c r="H1692" s="396" t="n">
        <x:v>2</x:v>
      </x:c>
      <x:c r="I1692" s="20" t="str">
        <x:v>NED/Greenbook democracy assistance source register</x:v>
      </x:c>
      <x:c r="J1692" s="397" t="str">
        <x:v>https://www.ned.org/ned-grantmaking/</x:v>
      </x:c>
      <x:c r="K1692" s="20" t="str">
        <x:v>Primary source-register URL; automated screening score</x:v>
      </x:c>
      <x:c r="L1692" s="20" t="str">
        <x:v>2026-05-20</x:v>
      </x:c>
      <x:c r="M1692" s="20" t="str">
        <x:v>2026-05-20</x:v>
      </x:c>
      <x:c r="N1692" s="20" t="str">
        <x:v>GPT-5.5 Pro</x:v>
      </x:c>
      <x:c r="O1692" s="20" t="str">
        <x:v>Needs review</x:v>
      </x:c>
      <x:c r="P1692" s="20" t="str">
        <x:v>Screening score for United States / Election interference in Taiwan; verify with country-specific evidence before final use.</x:v>
      </x:c>
    </x:row>
    <x:row r="1693" ht="24" customHeight="1">
      <x:c r="A1693" s="20" t="str">
        <x:v>TWN|United States|Security contractors</x:v>
      </x:c>
      <x:c r="B1693" s="20" t="str">
        <x:v>Taiwan</x:v>
      </x:c>
      <x:c r="C1693" s="20" t="str">
        <x:v>TWN</x:v>
      </x:c>
      <x:c r="D1693" s="20" t="str">
        <x:v>United States</x:v>
      </x:c>
      <x:c r="E1693" s="20" t="str">
        <x:v>American influence</x:v>
      </x:c>
      <x:c r="F1693" s="20" t="str">
        <x:v>Security contractors</x:v>
      </x:c>
      <x:c r="G1693" s="384" t="n">
        <x:v>7</x:v>
      </x:c>
      <x:c r="H1693" s="396" t="n">
        <x:v>4</x:v>
      </x:c>
      <x:c r="I1693" s="20" t="str">
        <x:v>SAM/Greenbook U.S. security contractor source register</x:v>
      </x:c>
      <x:c r="J1693" s="397" t="str">
        <x:v>https://internationalpolicy.org/programs/sam/</x:v>
      </x:c>
      <x:c r="K1693" s="20" t="str">
        <x:v>Primary source-register URL; automated screening score</x:v>
      </x:c>
      <x:c r="L1693" s="20" t="str">
        <x:v>2026-05-20</x:v>
      </x:c>
      <x:c r="M1693" s="20" t="str">
        <x:v>2026-05-20</x:v>
      </x:c>
      <x:c r="N1693" s="20" t="str">
        <x:v>GPT-5.5 Pro</x:v>
      </x:c>
      <x:c r="O1693" s="20" t="str">
        <x:v>Needs review</x:v>
      </x:c>
      <x:c r="P1693" s="20" t="str">
        <x:v>Screening score for United States / Security contractors in Taiwan; verify with country-specific evidence before final use.</x:v>
      </x:c>
    </x:row>
    <x:row r="1694" ht="24" customHeight="1">
      <x:c r="A1694" s="20" t="str">
        <x:v>TWN|European Union|Propaganda ecosystems</x:v>
      </x:c>
      <x:c r="B1694" s="20" t="str">
        <x:v>Taiwan</x:v>
      </x:c>
      <x:c r="C1694" s="20" t="str">
        <x:v>TWN</x:v>
      </x:c>
      <x:c r="D1694" s="20" t="str">
        <x:v>European Union</x:v>
      </x:c>
      <x:c r="E1694" s="20" t="str">
        <x:v>EU influence</x:v>
      </x:c>
      <x:c r="F1694" s="20" t="str">
        <x:v>Propaganda ecosystems</x:v>
      </x:c>
      <x:c r="G1694" s="384" t="n">
        <x:v>2</x:v>
      </x:c>
      <x:c r="H1694" s="396" t="n">
        <x:v>2</x:v>
      </x:c>
      <x:c r="I1694" s="20" t="str">
        <x:v>EEAS public diplomacy source register</x:v>
      </x:c>
      <x:c r="J1694" s="397" t="str">
        <x:v>https://www.eeas.europa.eu/eeas/public-diplomacy_en</x:v>
      </x:c>
      <x:c r="K1694" s="20" t="str">
        <x:v>Primary source-register URL; automated screening score</x:v>
      </x:c>
      <x:c r="L1694" s="20" t="str">
        <x:v>2026-05-20</x:v>
      </x:c>
      <x:c r="M1694" s="20" t="str">
        <x:v>2026-05-20</x:v>
      </x:c>
      <x:c r="N1694" s="20" t="str">
        <x:v>GPT-5.5 Pro</x:v>
      </x:c>
      <x:c r="O1694" s="20" t="str">
        <x:v>Needs review</x:v>
      </x:c>
      <x:c r="P1694" s="20" t="str">
        <x:v>Screening score for European Union / Propaganda ecosystems in Taiwan; verify with country-specific evidence before final use.</x:v>
      </x:c>
    </x:row>
    <x:row r="1695" ht="24" customHeight="1">
      <x:c r="A1695" s="20" t="str">
        <x:v>TWN|European Union|PMC presence</x:v>
      </x:c>
      <x:c r="B1695" s="20" t="str">
        <x:v>Taiwan</x:v>
      </x:c>
      <x:c r="C1695" s="20" t="str">
        <x:v>TWN</x:v>
      </x:c>
      <x:c r="D1695" s="20" t="str">
        <x:v>European Union</x:v>
      </x:c>
      <x:c r="E1695" s="20" t="str">
        <x:v>EU influence</x:v>
      </x:c>
      <x:c r="F1695" s="20" t="str">
        <x:v>PMC presence</x:v>
      </x:c>
      <x:c r="G1695" s="384" t="n">
        <x:v>0</x:v>
      </x:c>
      <x:c r="H1695" s="396" t="n">
        <x:v>1</x:v>
      </x:c>
      <x:c r="I1695" s="20" t="str">
        <x:v>EEAS CSDP missions source register</x:v>
      </x:c>
      <x:c r="J1695" s="397" t="str">
        <x:v>https://www.eeas.europa.eu/eeas/missions-and-operations_en</x:v>
      </x:c>
      <x:c r="K1695" s="20" t="str">
        <x:v>Primary source-register URL; automated screening score</x:v>
      </x:c>
      <x:c r="L1695" s="20" t="str">
        <x:v>2026-05-20</x:v>
      </x:c>
      <x:c r="M1695" s="20" t="str">
        <x:v>2026-05-20</x:v>
      </x:c>
      <x:c r="N1695" s="20" t="str">
        <x:v>GPT-5.5 Pro</x:v>
      </x:c>
      <x:c r="O1695" s="20" t="str">
        <x:v>Needs review</x:v>
      </x:c>
      <x:c r="P1695" s="20" t="str">
        <x:v>Screening score for European Union / PMC presence in Taiwan; verify with country-specific evidence before final use.</x:v>
      </x:c>
    </x:row>
    <x:row r="1696" ht="24" customHeight="1">
      <x:c r="A1696" s="20" t="str">
        <x:v>TWN|European Union|Election interference</x:v>
      </x:c>
      <x:c r="B1696" s="20" t="str">
        <x:v>Taiwan</x:v>
      </x:c>
      <x:c r="C1696" s="20" t="str">
        <x:v>TWN</x:v>
      </x:c>
      <x:c r="D1696" s="20" t="str">
        <x:v>European Union</x:v>
      </x:c>
      <x:c r="E1696" s="20" t="str">
        <x:v>EU influence</x:v>
      </x:c>
      <x:c r="F1696" s="20" t="str">
        <x:v>Election interference</x:v>
      </x:c>
      <x:c r="G1696" s="384" t="n">
        <x:v>1</x:v>
      </x:c>
      <x:c r="H1696" s="396" t="n">
        <x:v>2</x:v>
      </x:c>
      <x:c r="I1696" s="20" t="str">
        <x:v>EEAS EU election observation source register</x:v>
      </x:c>
      <x:c r="J1696" s="397" t="str">
        <x:v>https://www.eeas.europa.eu/eeas/eu-election-observation-missions-1_en?page_lang=en</x:v>
      </x:c>
      <x:c r="K1696" s="20" t="str">
        <x:v>Primary source-register URL; automated screening score</x:v>
      </x:c>
      <x:c r="L1696" s="20" t="str">
        <x:v>2026-05-20</x:v>
      </x:c>
      <x:c r="M1696" s="20" t="str">
        <x:v>2026-05-20</x:v>
      </x:c>
      <x:c r="N1696" s="20" t="str">
        <x:v>GPT-5.5 Pro</x:v>
      </x:c>
      <x:c r="O1696" s="20" t="str">
        <x:v>Needs review</x:v>
      </x:c>
      <x:c r="P1696" s="20" t="str">
        <x:v>Screening score for European Union / Election interference in Taiwan; verify with country-specific evidence before final use.</x:v>
      </x:c>
    </x:row>
    <x:row r="1697" ht="24" customHeight="1">
      <x:c r="A1697" s="20" t="str">
        <x:v>TWN|European Union|Security contractors</x:v>
      </x:c>
      <x:c r="B1697" s="20" t="str">
        <x:v>Taiwan</x:v>
      </x:c>
      <x:c r="C1697" s="20" t="str">
        <x:v>TWN</x:v>
      </x:c>
      <x:c r="D1697" s="20" t="str">
        <x:v>European Union</x:v>
      </x:c>
      <x:c r="E1697" s="20" t="str">
        <x:v>EU influence</x:v>
      </x:c>
      <x:c r="F1697" s="20" t="str">
        <x:v>Security contractors</x:v>
      </x:c>
      <x:c r="G1697" s="384" t="n">
        <x:v>2</x:v>
      </x:c>
      <x:c r="H1697" s="396" t="n">
        <x:v>2</x:v>
      </x:c>
      <x:c r="I1697" s="20" t="str">
        <x:v>EEAS CSDP / Global Gateway security source register</x:v>
      </x:c>
      <x:c r="J1697" s="397" t="str">
        <x:v>https://www.eeas.europa.eu/eeas/missions-and-operations_en</x:v>
      </x:c>
      <x:c r="K1697" s="20" t="str">
        <x:v>Primary source-register URL; automated screening score</x:v>
      </x:c>
      <x:c r="L1697" s="20" t="str">
        <x:v>2026-05-20</x:v>
      </x:c>
      <x:c r="M1697" s="20" t="str">
        <x:v>2026-05-20</x:v>
      </x:c>
      <x:c r="N1697" s="20" t="str">
        <x:v>GPT-5.5 Pro</x:v>
      </x:c>
      <x:c r="O1697" s="20" t="str">
        <x:v>Needs review</x:v>
      </x:c>
      <x:c r="P1697" s="20" t="str">
        <x:v>Screening score for European Union / Security contractors in Taiwan; verify with country-specific evidence before final use.</x:v>
      </x:c>
    </x:row>
    <x:row r="1698" ht="24" customHeight="1">
      <x:c r="A1698" s="20" t="str">
        <x:v>TJK|Russia|Propaganda ecosystems</x:v>
      </x:c>
      <x:c r="B1698" s="20" t="str">
        <x:v>Tajikistan</x:v>
      </x:c>
      <x:c r="C1698" s="20" t="str">
        <x:v>TJK</x:v>
      </x:c>
      <x:c r="D1698" s="20" t="str">
        <x:v>Russia</x:v>
      </x:c>
      <x:c r="E1698" s="20" t="str">
        <x:v>Russian influence</x:v>
      </x:c>
      <x:c r="F1698" s="20" t="str">
        <x:v>Propaganda ecosystems</x:v>
      </x:c>
      <x:c r="G1698" s="384" t="n">
        <x:v>7</x:v>
      </x:c>
      <x:c r="H1698" s="396" t="n">
        <x:v>4</x:v>
      </x:c>
      <x:c r="I1698" s="20" t="str">
        <x:v>EEAS/EUvsDisinfo FIMI source register</x:v>
      </x:c>
      <x:c r="J1698" s="397" t="str">
        <x:v>https://www.eeas.europa.eu/eeas/4th-eeas-annual-report-foreign-information-manipulation-and-interference-threats_en</x:v>
      </x:c>
      <x:c r="K1698" s="20" t="str">
        <x:v>Primary source-register URL; automated screening score</x:v>
      </x:c>
      <x:c r="L1698" s="20" t="str">
        <x:v>2026-05-20</x:v>
      </x:c>
      <x:c r="M1698" s="20" t="str">
        <x:v>2026-05-20</x:v>
      </x:c>
      <x:c r="N1698" s="20" t="str">
        <x:v>GPT-5.5 Pro</x:v>
      </x:c>
      <x:c r="O1698" s="20" t="str">
        <x:v>Needs review</x:v>
      </x:c>
      <x:c r="P1698" s="20" t="str">
        <x:v>Screening score for Russia / Propaganda ecosystems in Tajikistan; verify with country-specific evidence before final use.</x:v>
      </x:c>
    </x:row>
    <x:row r="1699" ht="24" customHeight="1">
      <x:c r="A1699" s="20" t="str">
        <x:v>TJK|Russia|PMC presence</x:v>
      </x:c>
      <x:c r="B1699" s="20" t="str">
        <x:v>Tajikistan</x:v>
      </x:c>
      <x:c r="C1699" s="20" t="str">
        <x:v>TJK</x:v>
      </x:c>
      <x:c r="D1699" s="20" t="str">
        <x:v>Russia</x:v>
      </x:c>
      <x:c r="E1699" s="20" t="str">
        <x:v>Russian influence</x:v>
      </x:c>
      <x:c r="F1699" s="20" t="str">
        <x:v>PMC presence</x:v>
      </x:c>
      <x:c r="G1699" s="384" t="n">
        <x:v>0</x:v>
      </x:c>
      <x:c r="H1699" s="396" t="n">
        <x:v>1</x:v>
      </x:c>
      <x:c r="I1699" s="20" t="str">
        <x:v>Treasury and Council of the EU Wagner/PMC source register</x:v>
      </x:c>
      <x:c r="J1699" s="397" t="str">
        <x:v>https://www.consilium.europa.eu/en/press/press-releases/2023/02/25/wagner-group-council-adds-11-individuals-and-7-entities-to-eu-sanctions-lists/</x:v>
      </x:c>
      <x:c r="K1699" s="20" t="str">
        <x:v>Primary source-register URL; automated screening score</x:v>
      </x:c>
      <x:c r="L1699" s="20" t="str">
        <x:v>2026-05-20</x:v>
      </x:c>
      <x:c r="M1699" s="20" t="str">
        <x:v>2026-05-20</x:v>
      </x:c>
      <x:c r="N1699" s="20" t="str">
        <x:v>GPT-5.5 Pro</x:v>
      </x:c>
      <x:c r="O1699" s="20" t="str">
        <x:v>Needs review</x:v>
      </x:c>
      <x:c r="P1699" s="20" t="str">
        <x:v>Screening score for Russia / PMC presence in Tajikistan; verify with country-specific evidence before final use.</x:v>
      </x:c>
    </x:row>
    <x:row r="1700" ht="24" customHeight="1">
      <x:c r="A1700" s="20" t="str">
        <x:v>TJK|Russia|Election interference</x:v>
      </x:c>
      <x:c r="B1700" s="20" t="str">
        <x:v>Tajikistan</x:v>
      </x:c>
      <x:c r="C1700" s="20" t="str">
        <x:v>TJK</x:v>
      </x:c>
      <x:c r="D1700" s="20" t="str">
        <x:v>Russia</x:v>
      </x:c>
      <x:c r="E1700" s="20" t="str">
        <x:v>Russian influence</x:v>
      </x:c>
      <x:c r="F1700" s="20" t="str">
        <x:v>Election interference</x:v>
      </x:c>
      <x:c r="G1700" s="384" t="n">
        <x:v>0</x:v>
      </x:c>
      <x:c r="H1700" s="396" t="n">
        <x:v>1</x:v>
      </x:c>
      <x:c r="I1700" s="20" t="str">
        <x:v>ODNI/EEAS election-FIMI source register</x:v>
      </x:c>
      <x:c r="J1700" s="397" t="str">
        <x:v>https://www.dni.gov/files/ODNI/documents/assessments/ATA-2026-Unclassified-Report.pdf</x:v>
      </x:c>
      <x:c r="K1700" s="20" t="str">
        <x:v>Primary source-register URL; automated screening score</x:v>
      </x:c>
      <x:c r="L1700" s="20" t="str">
        <x:v>2026-05-20</x:v>
      </x:c>
      <x:c r="M1700" s="20" t="str">
        <x:v>2026-05-20</x:v>
      </x:c>
      <x:c r="N1700" s="20" t="str">
        <x:v>GPT-5.5 Pro</x:v>
      </x:c>
      <x:c r="O1700" s="20" t="str">
        <x:v>Needs review</x:v>
      </x:c>
      <x:c r="P1700" s="20" t="str">
        <x:v>Screening score for Russia / Election interference in Tajikistan; verify with country-specific evidence before final use.</x:v>
      </x:c>
    </x:row>
    <x:row r="1701" ht="24" customHeight="1">
      <x:c r="A1701" s="20" t="str">
        <x:v>TJK|Russia|Security contractors</x:v>
      </x:c>
      <x:c r="B1701" s="20" t="str">
        <x:v>Tajikistan</x:v>
      </x:c>
      <x:c r="C1701" s="20" t="str">
        <x:v>TJK</x:v>
      </x:c>
      <x:c r="D1701" s="20" t="str">
        <x:v>Russia</x:v>
      </x:c>
      <x:c r="E1701" s="20" t="str">
        <x:v>Russian influence</x:v>
      </x:c>
      <x:c r="F1701" s="20" t="str">
        <x:v>Security contractors</x:v>
      </x:c>
      <x:c r="G1701" s="384" t="n">
        <x:v>0</x:v>
      </x:c>
      <x:c r="H1701" s="396" t="n">
        <x:v>1</x:v>
      </x:c>
      <x:c r="I1701" s="20" t="str">
        <x:v>Council of the EU/Treasury Wagner-security source register</x:v>
      </x:c>
      <x:c r="J1701" s="397" t="str">
        <x:v>https://www.consilium.europa.eu/en/press/press-releases/2023/02/25/wagner-group-council-adds-11-individuals-and-7-entities-to-eu-sanctions-lists/</x:v>
      </x:c>
      <x:c r="K1701" s="20" t="str">
        <x:v>Primary source-register URL; automated screening score</x:v>
      </x:c>
      <x:c r="L1701" s="20" t="str">
        <x:v>2026-05-20</x:v>
      </x:c>
      <x:c r="M1701" s="20" t="str">
        <x:v>2026-05-20</x:v>
      </x:c>
      <x:c r="N1701" s="20" t="str">
        <x:v>GPT-5.5 Pro</x:v>
      </x:c>
      <x:c r="O1701" s="20" t="str">
        <x:v>Needs review</x:v>
      </x:c>
      <x:c r="P1701" s="20" t="str">
        <x:v>Screening score for Russia / Security contractors in Tajikistan; verify with country-specific evidence before final use.</x:v>
      </x:c>
    </x:row>
    <x:row r="1702" ht="24" customHeight="1">
      <x:c r="A1702" s="20" t="str">
        <x:v>TJK|China|Propaganda ecosystems</x:v>
      </x:c>
      <x:c r="B1702" s="20" t="str">
        <x:v>Tajikistan</x:v>
      </x:c>
      <x:c r="C1702" s="20" t="str">
        <x:v>TJK</x:v>
      </x:c>
      <x:c r="D1702" s="20" t="str">
        <x:v>China</x:v>
      </x:c>
      <x:c r="E1702" s="20" t="str">
        <x:v>Chinese influence</x:v>
      </x:c>
      <x:c r="F1702" s="20" t="str">
        <x:v>Propaganda ecosystems</x:v>
      </x:c>
      <x:c r="G1702" s="384" t="n">
        <x:v>5</x:v>
      </x:c>
      <x:c r="H1702" s="396" t="n">
        <x:v>3</x:v>
      </x:c>
      <x:c r="I1702" s="20" t="str">
        <x:v>EEAS/ODNI China FIMI source register</x:v>
      </x:c>
      <x:c r="J1702" s="397" t="str">
        <x:v>https://www.eeas.europa.eu/eeas/4th-eeas-annual-report-foreign-information-manipulation-and-interference-threats_en</x:v>
      </x:c>
      <x:c r="K1702" s="20" t="str">
        <x:v>Primary source-register URL; automated screening score</x:v>
      </x:c>
      <x:c r="L1702" s="20" t="str">
        <x:v>2026-05-20</x:v>
      </x:c>
      <x:c r="M1702" s="20" t="str">
        <x:v>2026-05-20</x:v>
      </x:c>
      <x:c r="N1702" s="20" t="str">
        <x:v>GPT-5.5 Pro</x:v>
      </x:c>
      <x:c r="O1702" s="20" t="str">
        <x:v>Needs review</x:v>
      </x:c>
      <x:c r="P1702" s="20" t="str">
        <x:v>Screening score for China / Propaganda ecosystems in Tajikistan; verify with country-specific evidence before final use.</x:v>
      </x:c>
    </x:row>
    <x:row r="1703" ht="24" customHeight="1">
      <x:c r="A1703" s="20" t="str">
        <x:v>TJK|China|PMC presence</x:v>
      </x:c>
      <x:c r="B1703" s="20" t="str">
        <x:v>Tajikistan</x:v>
      </x:c>
      <x:c r="C1703" s="20" t="str">
        <x:v>TJK</x:v>
      </x:c>
      <x:c r="D1703" s="20" t="str">
        <x:v>China</x:v>
      </x:c>
      <x:c r="E1703" s="20" t="str">
        <x:v>Chinese influence</x:v>
      </x:c>
      <x:c r="F1703" s="20" t="str">
        <x:v>PMC presence</x:v>
      </x:c>
      <x:c r="G1703" s="384" t="n">
        <x:v>1</x:v>
      </x:c>
      <x:c r="H1703" s="396" t="n">
        <x:v>2</x:v>
      </x:c>
      <x:c r="I1703" s="20" t="str">
        <x:v>MERICS/Carnegie Chinese overseas PSC source register</x:v>
      </x:c>
      <x:c r="J1703" s="397" t="str">
        <x:v>https://merics.org/en/report/guardians-belt-and-road</x:v>
      </x:c>
      <x:c r="K1703" s="20" t="str">
        <x:v>Primary source-register URL; automated screening score</x:v>
      </x:c>
      <x:c r="L1703" s="20" t="str">
        <x:v>2026-05-20</x:v>
      </x:c>
      <x:c r="M1703" s="20" t="str">
        <x:v>2026-05-20</x:v>
      </x:c>
      <x:c r="N1703" s="20" t="str">
        <x:v>GPT-5.5 Pro</x:v>
      </x:c>
      <x:c r="O1703" s="20" t="str">
        <x:v>Needs review</x:v>
      </x:c>
      <x:c r="P1703" s="20" t="str">
        <x:v>Screening score for China / PMC presence in Tajikistan; verify with country-specific evidence before final use.</x:v>
      </x:c>
    </x:row>
    <x:row r="1704" ht="24" customHeight="1">
      <x:c r="A1704" s="20" t="str">
        <x:v>TJK|China|Election interference</x:v>
      </x:c>
      <x:c r="B1704" s="20" t="str">
        <x:v>Tajikistan</x:v>
      </x:c>
      <x:c r="C1704" s="20" t="str">
        <x:v>TJK</x:v>
      </x:c>
      <x:c r="D1704" s="20" t="str">
        <x:v>China</x:v>
      </x:c>
      <x:c r="E1704" s="20" t="str">
        <x:v>Chinese influence</x:v>
      </x:c>
      <x:c r="F1704" s="20" t="str">
        <x:v>Election interference</x:v>
      </x:c>
      <x:c r="G1704" s="384" t="n">
        <x:v>1</x:v>
      </x:c>
      <x:c r="H1704" s="396" t="n">
        <x:v>2</x:v>
      </x:c>
      <x:c r="I1704" s="20" t="str">
        <x:v>EEAS/ODNI China election-FIMI source register</x:v>
      </x:c>
      <x:c r="J1704" s="397" t="str">
        <x:v>https://www.eeas.europa.eu/eeas/4th-eeas-annual-report-foreign-information-manipulation-and-interference-threats_en</x:v>
      </x:c>
      <x:c r="K1704" s="20" t="str">
        <x:v>Primary source-register URL; automated screening score</x:v>
      </x:c>
      <x:c r="L1704" s="20" t="str">
        <x:v>2026-05-20</x:v>
      </x:c>
      <x:c r="M1704" s="20" t="str">
        <x:v>2026-05-20</x:v>
      </x:c>
      <x:c r="N1704" s="20" t="str">
        <x:v>GPT-5.5 Pro</x:v>
      </x:c>
      <x:c r="O1704" s="20" t="str">
        <x:v>Needs review</x:v>
      </x:c>
      <x:c r="P1704" s="20" t="str">
        <x:v>Screening score for China / Election interference in Tajikistan; verify with country-specific evidence before final use.</x:v>
      </x:c>
    </x:row>
    <x:row r="1705" ht="24" customHeight="1">
      <x:c r="A1705" s="20" t="str">
        <x:v>TJK|China|Security contractors</x:v>
      </x:c>
      <x:c r="B1705" s="20" t="str">
        <x:v>Tajikistan</x:v>
      </x:c>
      <x:c r="C1705" s="20" t="str">
        <x:v>TJK</x:v>
      </x:c>
      <x:c r="D1705" s="20" t="str">
        <x:v>China</x:v>
      </x:c>
      <x:c r="E1705" s="20" t="str">
        <x:v>Chinese influence</x:v>
      </x:c>
      <x:c r="F1705" s="20" t="str">
        <x:v>Security contractors</x:v>
      </x:c>
      <x:c r="G1705" s="384" t="n">
        <x:v>3</x:v>
      </x:c>
      <x:c r="H1705" s="396" t="n">
        <x:v>3</x:v>
      </x:c>
      <x:c r="I1705" s="20" t="str">
        <x:v>MERICS/Carnegie Chinese security contractor source register</x:v>
      </x:c>
      <x:c r="J1705" s="397" t="str">
        <x:v>https://merics.org/en/report/guardians-belt-and-road</x:v>
      </x:c>
      <x:c r="K1705" s="20" t="str">
        <x:v>Primary source-register URL; automated screening score</x:v>
      </x:c>
      <x:c r="L1705" s="20" t="str">
        <x:v>2026-05-20</x:v>
      </x:c>
      <x:c r="M1705" s="20" t="str">
        <x:v>2026-05-20</x:v>
      </x:c>
      <x:c r="N1705" s="20" t="str">
        <x:v>GPT-5.5 Pro</x:v>
      </x:c>
      <x:c r="O1705" s="20" t="str">
        <x:v>Needs review</x:v>
      </x:c>
      <x:c r="P1705" s="20" t="str">
        <x:v>Screening score for China / Security contractors in Tajikistan; verify with country-specific evidence before final use.</x:v>
      </x:c>
    </x:row>
    <x:row r="1706" ht="24" customHeight="1">
      <x:c r="A1706" s="20" t="str">
        <x:v>TJK|United States|Propaganda ecosystems</x:v>
      </x:c>
      <x:c r="B1706" s="20" t="str">
        <x:v>Tajikistan</x:v>
      </x:c>
      <x:c r="C1706" s="20" t="str">
        <x:v>TJK</x:v>
      </x:c>
      <x:c r="D1706" s="20" t="str">
        <x:v>United States</x:v>
      </x:c>
      <x:c r="E1706" s="20" t="str">
        <x:v>American influence</x:v>
      </x:c>
      <x:c r="F1706" s="20" t="str">
        <x:v>Propaganda ecosystems</x:v>
      </x:c>
      <x:c r="G1706" s="384" t="n">
        <x:v>4</x:v>
      </x:c>
      <x:c r="H1706" s="396" t="n">
        <x:v>3</x:v>
      </x:c>
      <x:c r="I1706" s="20" t="str">
        <x:v>USAGM public media source register</x:v>
      </x:c>
      <x:c r="J1706" s="397" t="str">
        <x:v>https://www.usagm.gov/our-work/strategy-and-results/strategic-priorities/research-reports/</x:v>
      </x:c>
      <x:c r="K1706" s="20" t="str">
        <x:v>Primary source-register URL; automated screening score</x:v>
      </x:c>
      <x:c r="L1706" s="20" t="str">
        <x:v>2026-05-20</x:v>
      </x:c>
      <x:c r="M1706" s="20" t="str">
        <x:v>2026-05-20</x:v>
      </x:c>
      <x:c r="N1706" s="20" t="str">
        <x:v>GPT-5.5 Pro</x:v>
      </x:c>
      <x:c r="O1706" s="20" t="str">
        <x:v>Needs review</x:v>
      </x:c>
      <x:c r="P1706" s="20" t="str">
        <x:v>Screening score for United States / Propaganda ecosystems in Tajikistan; verify with country-specific evidence before final use.</x:v>
      </x:c>
    </x:row>
    <x:row r="1707" ht="24" customHeight="1">
      <x:c r="A1707" s="20" t="str">
        <x:v>TJK|United States|PMC presence</x:v>
      </x:c>
      <x:c r="B1707" s="20" t="str">
        <x:v>Tajikistan</x:v>
      </x:c>
      <x:c r="C1707" s="20" t="str">
        <x:v>TJK</x:v>
      </x:c>
      <x:c r="D1707" s="20" t="str">
        <x:v>United States</x:v>
      </x:c>
      <x:c r="E1707" s="20" t="str">
        <x:v>American influence</x:v>
      </x:c>
      <x:c r="F1707" s="20" t="str">
        <x:v>PMC presence</x:v>
      </x:c>
      <x:c r="G1707" s="384" t="n">
        <x:v>1</x:v>
      </x:c>
      <x:c r="H1707" s="396" t="n">
        <x:v>2</x:v>
      </x:c>
      <x:c r="I1707" s="20" t="str">
        <x:v>SAM/Greenbook U.S. security assistance contractor source register</x:v>
      </x:c>
      <x:c r="J1707" s="397" t="str">
        <x:v>https://internationalpolicy.org/programs/sam/</x:v>
      </x:c>
      <x:c r="K1707" s="20" t="str">
        <x:v>Primary source-register URL; automated screening score</x:v>
      </x:c>
      <x:c r="L1707" s="20" t="str">
        <x:v>2026-05-20</x:v>
      </x:c>
      <x:c r="M1707" s="20" t="str">
        <x:v>2026-05-20</x:v>
      </x:c>
      <x:c r="N1707" s="20" t="str">
        <x:v>GPT-5.5 Pro</x:v>
      </x:c>
      <x:c r="O1707" s="20" t="str">
        <x:v>Needs review</x:v>
      </x:c>
      <x:c r="P1707" s="20" t="str">
        <x:v>Screening score for United States / PMC presence in Tajikistan; verify with country-specific evidence before final use.</x:v>
      </x:c>
    </x:row>
    <x:row r="1708" ht="24" customHeight="1">
      <x:c r="A1708" s="20" t="str">
        <x:v>TJK|United States|Election interference</x:v>
      </x:c>
      <x:c r="B1708" s="20" t="str">
        <x:v>Tajikistan</x:v>
      </x:c>
      <x:c r="C1708" s="20" t="str">
        <x:v>TJK</x:v>
      </x:c>
      <x:c r="D1708" s="20" t="str">
        <x:v>United States</x:v>
      </x:c>
      <x:c r="E1708" s="20" t="str">
        <x:v>American influence</x:v>
      </x:c>
      <x:c r="F1708" s="20" t="str">
        <x:v>Election interference</x:v>
      </x:c>
      <x:c r="G1708" s="384" t="n">
        <x:v>2</x:v>
      </x:c>
      <x:c r="H1708" s="396" t="n">
        <x:v>2</x:v>
      </x:c>
      <x:c r="I1708" s="20" t="str">
        <x:v>NED/Greenbook democracy assistance source register</x:v>
      </x:c>
      <x:c r="J1708" s="397" t="str">
        <x:v>https://www.ned.org/ned-grantmaking/</x:v>
      </x:c>
      <x:c r="K1708" s="20" t="str">
        <x:v>Primary source-register URL; automated screening score</x:v>
      </x:c>
      <x:c r="L1708" s="20" t="str">
        <x:v>2026-05-20</x:v>
      </x:c>
      <x:c r="M1708" s="20" t="str">
        <x:v>2026-05-20</x:v>
      </x:c>
      <x:c r="N1708" s="20" t="str">
        <x:v>GPT-5.5 Pro</x:v>
      </x:c>
      <x:c r="O1708" s="20" t="str">
        <x:v>Needs review</x:v>
      </x:c>
      <x:c r="P1708" s="20" t="str">
        <x:v>Screening score for United States / Election interference in Tajikistan; verify with country-specific evidence before final use.</x:v>
      </x:c>
    </x:row>
    <x:row r="1709" ht="24" customHeight="1">
      <x:c r="A1709" s="20" t="str">
        <x:v>TJK|United States|Security contractors</x:v>
      </x:c>
      <x:c r="B1709" s="20" t="str">
        <x:v>Tajikistan</x:v>
      </x:c>
      <x:c r="C1709" s="20" t="str">
        <x:v>TJK</x:v>
      </x:c>
      <x:c r="D1709" s="20" t="str">
        <x:v>United States</x:v>
      </x:c>
      <x:c r="E1709" s="20" t="str">
        <x:v>American influence</x:v>
      </x:c>
      <x:c r="F1709" s="20" t="str">
        <x:v>Security contractors</x:v>
      </x:c>
      <x:c r="G1709" s="384" t="n">
        <x:v>2</x:v>
      </x:c>
      <x:c r="H1709" s="396" t="n">
        <x:v>2</x:v>
      </x:c>
      <x:c r="I1709" s="20" t="str">
        <x:v>SAM/Greenbook U.S. security contractor source register</x:v>
      </x:c>
      <x:c r="J1709" s="397" t="str">
        <x:v>https://internationalpolicy.org/programs/sam/</x:v>
      </x:c>
      <x:c r="K1709" s="20" t="str">
        <x:v>Primary source-register URL; automated screening score</x:v>
      </x:c>
      <x:c r="L1709" s="20" t="str">
        <x:v>2026-05-20</x:v>
      </x:c>
      <x:c r="M1709" s="20" t="str">
        <x:v>2026-05-20</x:v>
      </x:c>
      <x:c r="N1709" s="20" t="str">
        <x:v>GPT-5.5 Pro</x:v>
      </x:c>
      <x:c r="O1709" s="20" t="str">
        <x:v>Needs review</x:v>
      </x:c>
      <x:c r="P1709" s="20" t="str">
        <x:v>Screening score for United States / Security contractors in Tajikistan; verify with country-specific evidence before final use.</x:v>
      </x:c>
    </x:row>
    <x:row r="1710" ht="24" customHeight="1">
      <x:c r="A1710" s="20" t="str">
        <x:v>TJK|European Union|Propaganda ecosystems</x:v>
      </x:c>
      <x:c r="B1710" s="20" t="str">
        <x:v>Tajikistan</x:v>
      </x:c>
      <x:c r="C1710" s="20" t="str">
        <x:v>TJK</x:v>
      </x:c>
      <x:c r="D1710" s="20" t="str">
        <x:v>European Union</x:v>
      </x:c>
      <x:c r="E1710" s="20" t="str">
        <x:v>EU influence</x:v>
      </x:c>
      <x:c r="F1710" s="20" t="str">
        <x:v>Propaganda ecosystems</x:v>
      </x:c>
      <x:c r="G1710" s="384" t="n">
        <x:v>2</x:v>
      </x:c>
      <x:c r="H1710" s="396" t="n">
        <x:v>2</x:v>
      </x:c>
      <x:c r="I1710" s="20" t="str">
        <x:v>EEAS public diplomacy source register</x:v>
      </x:c>
      <x:c r="J1710" s="397" t="str">
        <x:v>https://www.eeas.europa.eu/eeas/public-diplomacy_en</x:v>
      </x:c>
      <x:c r="K1710" s="20" t="str">
        <x:v>Primary source-register URL; automated screening score</x:v>
      </x:c>
      <x:c r="L1710" s="20" t="str">
        <x:v>2026-05-20</x:v>
      </x:c>
      <x:c r="M1710" s="20" t="str">
        <x:v>2026-05-20</x:v>
      </x:c>
      <x:c r="N1710" s="20" t="str">
        <x:v>GPT-5.5 Pro</x:v>
      </x:c>
      <x:c r="O1710" s="20" t="str">
        <x:v>Needs review</x:v>
      </x:c>
      <x:c r="P1710" s="20" t="str">
        <x:v>Screening score for European Union / Propaganda ecosystems in Tajikistan; verify with country-specific evidence before final use.</x:v>
      </x:c>
    </x:row>
    <x:row r="1711" ht="24" customHeight="1">
      <x:c r="A1711" s="20" t="str">
        <x:v>TJK|European Union|PMC presence</x:v>
      </x:c>
      <x:c r="B1711" s="20" t="str">
        <x:v>Tajikistan</x:v>
      </x:c>
      <x:c r="C1711" s="20" t="str">
        <x:v>TJK</x:v>
      </x:c>
      <x:c r="D1711" s="20" t="str">
        <x:v>European Union</x:v>
      </x:c>
      <x:c r="E1711" s="20" t="str">
        <x:v>EU influence</x:v>
      </x:c>
      <x:c r="F1711" s="20" t="str">
        <x:v>PMC presence</x:v>
      </x:c>
      <x:c r="G1711" s="384" t="n">
        <x:v>0</x:v>
      </x:c>
      <x:c r="H1711" s="396" t="n">
        <x:v>1</x:v>
      </x:c>
      <x:c r="I1711" s="20" t="str">
        <x:v>EEAS CSDP missions source register</x:v>
      </x:c>
      <x:c r="J1711" s="397" t="str">
        <x:v>https://www.eeas.europa.eu/eeas/missions-and-operations_en</x:v>
      </x:c>
      <x:c r="K1711" s="20" t="str">
        <x:v>Primary source-register URL; automated screening score</x:v>
      </x:c>
      <x:c r="L1711" s="20" t="str">
        <x:v>2026-05-20</x:v>
      </x:c>
      <x:c r="M1711" s="20" t="str">
        <x:v>2026-05-20</x:v>
      </x:c>
      <x:c r="N1711" s="20" t="str">
        <x:v>GPT-5.5 Pro</x:v>
      </x:c>
      <x:c r="O1711" s="20" t="str">
        <x:v>Needs review</x:v>
      </x:c>
      <x:c r="P1711" s="20" t="str">
        <x:v>Screening score for European Union / PMC presence in Tajikistan; verify with country-specific evidence before final use.</x:v>
      </x:c>
    </x:row>
    <x:row r="1712" ht="24" customHeight="1">
      <x:c r="A1712" s="20" t="str">
        <x:v>TJK|European Union|Election interference</x:v>
      </x:c>
      <x:c r="B1712" s="20" t="str">
        <x:v>Tajikistan</x:v>
      </x:c>
      <x:c r="C1712" s="20" t="str">
        <x:v>TJK</x:v>
      </x:c>
      <x:c r="D1712" s="20" t="str">
        <x:v>European Union</x:v>
      </x:c>
      <x:c r="E1712" s="20" t="str">
        <x:v>EU influence</x:v>
      </x:c>
      <x:c r="F1712" s="20" t="str">
        <x:v>Election interference</x:v>
      </x:c>
      <x:c r="G1712" s="384" t="n">
        <x:v>1</x:v>
      </x:c>
      <x:c r="H1712" s="396" t="n">
        <x:v>2</x:v>
      </x:c>
      <x:c r="I1712" s="20" t="str">
        <x:v>EEAS EU election observation source register</x:v>
      </x:c>
      <x:c r="J1712" s="397" t="str">
        <x:v>https://www.eeas.europa.eu/eeas/eu-election-observation-missions-1_en?page_lang=en</x:v>
      </x:c>
      <x:c r="K1712" s="20" t="str">
        <x:v>Primary source-register URL; automated screening score</x:v>
      </x:c>
      <x:c r="L1712" s="20" t="str">
        <x:v>2026-05-20</x:v>
      </x:c>
      <x:c r="M1712" s="20" t="str">
        <x:v>2026-05-20</x:v>
      </x:c>
      <x:c r="N1712" s="20" t="str">
        <x:v>GPT-5.5 Pro</x:v>
      </x:c>
      <x:c r="O1712" s="20" t="str">
        <x:v>Needs review</x:v>
      </x:c>
      <x:c r="P1712" s="20" t="str">
        <x:v>Screening score for European Union / Election interference in Tajikistan; verify with country-specific evidence before final use.</x:v>
      </x:c>
    </x:row>
    <x:row r="1713" ht="24" customHeight="1">
      <x:c r="A1713" s="20" t="str">
        <x:v>TJK|European Union|Security contractors</x:v>
      </x:c>
      <x:c r="B1713" s="20" t="str">
        <x:v>Tajikistan</x:v>
      </x:c>
      <x:c r="C1713" s="20" t="str">
        <x:v>TJK</x:v>
      </x:c>
      <x:c r="D1713" s="20" t="str">
        <x:v>European Union</x:v>
      </x:c>
      <x:c r="E1713" s="20" t="str">
        <x:v>EU influence</x:v>
      </x:c>
      <x:c r="F1713" s="20" t="str">
        <x:v>Security contractors</x:v>
      </x:c>
      <x:c r="G1713" s="384" t="n">
        <x:v>2</x:v>
      </x:c>
      <x:c r="H1713" s="396" t="n">
        <x:v>2</x:v>
      </x:c>
      <x:c r="I1713" s="20" t="str">
        <x:v>EEAS CSDP / Global Gateway security source register</x:v>
      </x:c>
      <x:c r="J1713" s="397" t="str">
        <x:v>https://www.eeas.europa.eu/eeas/missions-and-operations_en</x:v>
      </x:c>
      <x:c r="K1713" s="20" t="str">
        <x:v>Primary source-register URL; automated screening score</x:v>
      </x:c>
      <x:c r="L1713" s="20" t="str">
        <x:v>2026-05-20</x:v>
      </x:c>
      <x:c r="M1713" s="20" t="str">
        <x:v>2026-05-20</x:v>
      </x:c>
      <x:c r="N1713" s="20" t="str">
        <x:v>GPT-5.5 Pro</x:v>
      </x:c>
      <x:c r="O1713" s="20" t="str">
        <x:v>Needs review</x:v>
      </x:c>
      <x:c r="P1713" s="20" t="str">
        <x:v>Screening score for European Union / Security contractors in Tajikistan; verify with country-specific evidence before final use.</x:v>
      </x:c>
    </x:row>
    <x:row r="1714" ht="24" customHeight="1">
      <x:c r="A1714" s="20" t="str">
        <x:v>THA|Russia|Propaganda ecosystems</x:v>
      </x:c>
      <x:c r="B1714" s="20" t="str">
        <x:v>Thailand</x:v>
      </x:c>
      <x:c r="C1714" s="20" t="str">
        <x:v>THA</x:v>
      </x:c>
      <x:c r="D1714" s="20" t="str">
        <x:v>Russia</x:v>
      </x:c>
      <x:c r="E1714" s="20" t="str">
        <x:v>Russian influence</x:v>
      </x:c>
      <x:c r="F1714" s="20" t="str">
        <x:v>Propaganda ecosystems</x:v>
      </x:c>
      <x:c r="G1714" s="384" t="n">
        <x:v>2</x:v>
      </x:c>
      <x:c r="H1714" s="396" t="n">
        <x:v>2</x:v>
      </x:c>
      <x:c r="I1714" s="20" t="str">
        <x:v>EEAS/EUvsDisinfo FIMI source register</x:v>
      </x:c>
      <x:c r="J1714" s="397" t="str">
        <x:v>https://www.eeas.europa.eu/eeas/4th-eeas-annual-report-foreign-information-manipulation-and-interference-threats_en</x:v>
      </x:c>
      <x:c r="K1714" s="20" t="str">
        <x:v>Primary source-register URL; automated screening score</x:v>
      </x:c>
      <x:c r="L1714" s="20" t="str">
        <x:v>2026-05-20</x:v>
      </x:c>
      <x:c r="M1714" s="20" t="str">
        <x:v>2026-05-20</x:v>
      </x:c>
      <x:c r="N1714" s="20" t="str">
        <x:v>GPT-5.5 Pro</x:v>
      </x:c>
      <x:c r="O1714" s="20" t="str">
        <x:v>Needs review</x:v>
      </x:c>
      <x:c r="P1714" s="20" t="str">
        <x:v>Screening score for Russia / Propaganda ecosystems in Thailand; verify with country-specific evidence before final use.</x:v>
      </x:c>
    </x:row>
    <x:row r="1715" ht="24" customHeight="1">
      <x:c r="A1715" s="20" t="str">
        <x:v>THA|Russia|PMC presence</x:v>
      </x:c>
      <x:c r="B1715" s="20" t="str">
        <x:v>Thailand</x:v>
      </x:c>
      <x:c r="C1715" s="20" t="str">
        <x:v>THA</x:v>
      </x:c>
      <x:c r="D1715" s="20" t="str">
        <x:v>Russia</x:v>
      </x:c>
      <x:c r="E1715" s="20" t="str">
        <x:v>Russian influence</x:v>
      </x:c>
      <x:c r="F1715" s="20" t="str">
        <x:v>PMC presence</x:v>
      </x:c>
      <x:c r="G1715" s="384" t="n">
        <x:v>0</x:v>
      </x:c>
      <x:c r="H1715" s="396" t="n">
        <x:v>1</x:v>
      </x:c>
      <x:c r="I1715" s="20" t="str">
        <x:v>Treasury and Council of the EU Wagner/PMC source register</x:v>
      </x:c>
      <x:c r="J1715" s="397" t="str">
        <x:v>https://www.consilium.europa.eu/en/press/press-releases/2023/02/25/wagner-group-council-adds-11-individuals-and-7-entities-to-eu-sanctions-lists/</x:v>
      </x:c>
      <x:c r="K1715" s="20" t="str">
        <x:v>Primary source-register URL; automated screening score</x:v>
      </x:c>
      <x:c r="L1715" s="20" t="str">
        <x:v>2026-05-20</x:v>
      </x:c>
      <x:c r="M1715" s="20" t="str">
        <x:v>2026-05-20</x:v>
      </x:c>
      <x:c r="N1715" s="20" t="str">
        <x:v>GPT-5.5 Pro</x:v>
      </x:c>
      <x:c r="O1715" s="20" t="str">
        <x:v>Needs review</x:v>
      </x:c>
      <x:c r="P1715" s="20" t="str">
        <x:v>Screening score for Russia / PMC presence in Thailand; verify with country-specific evidence before final use.</x:v>
      </x:c>
    </x:row>
    <x:row r="1716" ht="24" customHeight="1">
      <x:c r="A1716" s="20" t="str">
        <x:v>THA|Russia|Election interference</x:v>
      </x:c>
      <x:c r="B1716" s="20" t="str">
        <x:v>Thailand</x:v>
      </x:c>
      <x:c r="C1716" s="20" t="str">
        <x:v>THA</x:v>
      </x:c>
      <x:c r="D1716" s="20" t="str">
        <x:v>Russia</x:v>
      </x:c>
      <x:c r="E1716" s="20" t="str">
        <x:v>Russian influence</x:v>
      </x:c>
      <x:c r="F1716" s="20" t="str">
        <x:v>Election interference</x:v>
      </x:c>
      <x:c r="G1716" s="384" t="n">
        <x:v>0</x:v>
      </x:c>
      <x:c r="H1716" s="396" t="n">
        <x:v>1</x:v>
      </x:c>
      <x:c r="I1716" s="20" t="str">
        <x:v>ODNI/EEAS election-FIMI source register</x:v>
      </x:c>
      <x:c r="J1716" s="397" t="str">
        <x:v>https://www.dni.gov/files/ODNI/documents/assessments/ATA-2026-Unclassified-Report.pdf</x:v>
      </x:c>
      <x:c r="K1716" s="20" t="str">
        <x:v>Primary source-register URL; automated screening score</x:v>
      </x:c>
      <x:c r="L1716" s="20" t="str">
        <x:v>2026-05-20</x:v>
      </x:c>
      <x:c r="M1716" s="20" t="str">
        <x:v>2026-05-20</x:v>
      </x:c>
      <x:c r="N1716" s="20" t="str">
        <x:v>GPT-5.5 Pro</x:v>
      </x:c>
      <x:c r="O1716" s="20" t="str">
        <x:v>Needs review</x:v>
      </x:c>
      <x:c r="P1716" s="20" t="str">
        <x:v>Screening score for Russia / Election interference in Thailand; verify with country-specific evidence before final use.</x:v>
      </x:c>
    </x:row>
    <x:row r="1717" ht="24" customHeight="1">
      <x:c r="A1717" s="20" t="str">
        <x:v>THA|Russia|Security contractors</x:v>
      </x:c>
      <x:c r="B1717" s="20" t="str">
        <x:v>Thailand</x:v>
      </x:c>
      <x:c r="C1717" s="20" t="str">
        <x:v>THA</x:v>
      </x:c>
      <x:c r="D1717" s="20" t="str">
        <x:v>Russia</x:v>
      </x:c>
      <x:c r="E1717" s="20" t="str">
        <x:v>Russian influence</x:v>
      </x:c>
      <x:c r="F1717" s="20" t="str">
        <x:v>Security contractors</x:v>
      </x:c>
      <x:c r="G1717" s="384" t="n">
        <x:v>0</x:v>
      </x:c>
      <x:c r="H1717" s="396" t="n">
        <x:v>1</x:v>
      </x:c>
      <x:c r="I1717" s="20" t="str">
        <x:v>Council of the EU/Treasury Wagner-security source register</x:v>
      </x:c>
      <x:c r="J1717" s="397" t="str">
        <x:v>https://www.consilium.europa.eu/en/press/press-releases/2023/02/25/wagner-group-council-adds-11-individuals-and-7-entities-to-eu-sanctions-lists/</x:v>
      </x:c>
      <x:c r="K1717" s="20" t="str">
        <x:v>Primary source-register URL; automated screening score</x:v>
      </x:c>
      <x:c r="L1717" s="20" t="str">
        <x:v>2026-05-20</x:v>
      </x:c>
      <x:c r="M1717" s="20" t="str">
        <x:v>2026-05-20</x:v>
      </x:c>
      <x:c r="N1717" s="20" t="str">
        <x:v>GPT-5.5 Pro</x:v>
      </x:c>
      <x:c r="O1717" s="20" t="str">
        <x:v>Needs review</x:v>
      </x:c>
      <x:c r="P1717" s="20" t="str">
        <x:v>Screening score for Russia / Security contractors in Thailand; verify with country-specific evidence before final use.</x:v>
      </x:c>
    </x:row>
    <x:row r="1718" ht="24" customHeight="1">
      <x:c r="A1718" s="20" t="str">
        <x:v>THA|China|Propaganda ecosystems</x:v>
      </x:c>
      <x:c r="B1718" s="20" t="str">
        <x:v>Thailand</x:v>
      </x:c>
      <x:c r="C1718" s="20" t="str">
        <x:v>THA</x:v>
      </x:c>
      <x:c r="D1718" s="20" t="str">
        <x:v>China</x:v>
      </x:c>
      <x:c r="E1718" s="20" t="str">
        <x:v>Chinese influence</x:v>
      </x:c>
      <x:c r="F1718" s="20" t="str">
        <x:v>Propaganda ecosystems</x:v>
      </x:c>
      <x:c r="G1718" s="384" t="n">
        <x:v>6</x:v>
      </x:c>
      <x:c r="H1718" s="396" t="n">
        <x:v>4</x:v>
      </x:c>
      <x:c r="I1718" s="20" t="str">
        <x:v>EEAS/ODNI China FIMI source register</x:v>
      </x:c>
      <x:c r="J1718" s="397" t="str">
        <x:v>https://www.eeas.europa.eu/eeas/4th-eeas-annual-report-foreign-information-manipulation-and-interference-threats_en</x:v>
      </x:c>
      <x:c r="K1718" s="20" t="str">
        <x:v>Primary source-register URL; automated screening score</x:v>
      </x:c>
      <x:c r="L1718" s="20" t="str">
        <x:v>2026-05-20</x:v>
      </x:c>
      <x:c r="M1718" s="20" t="str">
        <x:v>2026-05-20</x:v>
      </x:c>
      <x:c r="N1718" s="20" t="str">
        <x:v>GPT-5.5 Pro</x:v>
      </x:c>
      <x:c r="O1718" s="20" t="str">
        <x:v>Needs review</x:v>
      </x:c>
      <x:c r="P1718" s="20" t="str">
        <x:v>Screening score for China / Propaganda ecosystems in Thailand; verify with country-specific evidence before final use.</x:v>
      </x:c>
    </x:row>
    <x:row r="1719" ht="24" customHeight="1">
      <x:c r="A1719" s="20" t="str">
        <x:v>THA|China|PMC presence</x:v>
      </x:c>
      <x:c r="B1719" s="20" t="str">
        <x:v>Thailand</x:v>
      </x:c>
      <x:c r="C1719" s="20" t="str">
        <x:v>THA</x:v>
      </x:c>
      <x:c r="D1719" s="20" t="str">
        <x:v>China</x:v>
      </x:c>
      <x:c r="E1719" s="20" t="str">
        <x:v>Chinese influence</x:v>
      </x:c>
      <x:c r="F1719" s="20" t="str">
        <x:v>PMC presence</x:v>
      </x:c>
      <x:c r="G1719" s="384" t="n">
        <x:v>1</x:v>
      </x:c>
      <x:c r="H1719" s="396" t="n">
        <x:v>2</x:v>
      </x:c>
      <x:c r="I1719" s="20" t="str">
        <x:v>MERICS/Carnegie Chinese overseas PSC source register</x:v>
      </x:c>
      <x:c r="J1719" s="397" t="str">
        <x:v>https://merics.org/en/report/guardians-belt-and-road</x:v>
      </x:c>
      <x:c r="K1719" s="20" t="str">
        <x:v>Primary source-register URL; automated screening score</x:v>
      </x:c>
      <x:c r="L1719" s="20" t="str">
        <x:v>2026-05-20</x:v>
      </x:c>
      <x:c r="M1719" s="20" t="str">
        <x:v>2026-05-20</x:v>
      </x:c>
      <x:c r="N1719" s="20" t="str">
        <x:v>GPT-5.5 Pro</x:v>
      </x:c>
      <x:c r="O1719" s="20" t="str">
        <x:v>Needs review</x:v>
      </x:c>
      <x:c r="P1719" s="20" t="str">
        <x:v>Screening score for China / PMC presence in Thailand; verify with country-specific evidence before final use.</x:v>
      </x:c>
    </x:row>
    <x:row r="1720" ht="24" customHeight="1">
      <x:c r="A1720" s="20" t="str">
        <x:v>THA|China|Election interference</x:v>
      </x:c>
      <x:c r="B1720" s="20" t="str">
        <x:v>Thailand</x:v>
      </x:c>
      <x:c r="C1720" s="20" t="str">
        <x:v>THA</x:v>
      </x:c>
      <x:c r="D1720" s="20" t="str">
        <x:v>China</x:v>
      </x:c>
      <x:c r="E1720" s="20" t="str">
        <x:v>Chinese influence</x:v>
      </x:c>
      <x:c r="F1720" s="20" t="str">
        <x:v>Election interference</x:v>
      </x:c>
      <x:c r="G1720" s="384" t="n">
        <x:v>3</x:v>
      </x:c>
      <x:c r="H1720" s="396" t="n">
        <x:v>3</x:v>
      </x:c>
      <x:c r="I1720" s="20" t="str">
        <x:v>EEAS/ODNI China election-FIMI source register</x:v>
      </x:c>
      <x:c r="J1720" s="397" t="str">
        <x:v>https://www.eeas.europa.eu/eeas/4th-eeas-annual-report-foreign-information-manipulation-and-interference-threats_en</x:v>
      </x:c>
      <x:c r="K1720" s="20" t="str">
        <x:v>Primary source-register URL; automated screening score</x:v>
      </x:c>
      <x:c r="L1720" s="20" t="str">
        <x:v>2026-05-20</x:v>
      </x:c>
      <x:c r="M1720" s="20" t="str">
        <x:v>2026-05-20</x:v>
      </x:c>
      <x:c r="N1720" s="20" t="str">
        <x:v>GPT-5.5 Pro</x:v>
      </x:c>
      <x:c r="O1720" s="20" t="str">
        <x:v>Needs review</x:v>
      </x:c>
      <x:c r="P1720" s="20" t="str">
        <x:v>Screening score for China / Election interference in Thailand; verify with country-specific evidence before final use.</x:v>
      </x:c>
    </x:row>
    <x:row r="1721" ht="24" customHeight="1">
      <x:c r="A1721" s="20" t="str">
        <x:v>THA|China|Security contractors</x:v>
      </x:c>
      <x:c r="B1721" s="20" t="str">
        <x:v>Thailand</x:v>
      </x:c>
      <x:c r="C1721" s="20" t="str">
        <x:v>THA</x:v>
      </x:c>
      <x:c r="D1721" s="20" t="str">
        <x:v>China</x:v>
      </x:c>
      <x:c r="E1721" s="20" t="str">
        <x:v>Chinese influence</x:v>
      </x:c>
      <x:c r="F1721" s="20" t="str">
        <x:v>Security contractors</x:v>
      </x:c>
      <x:c r="G1721" s="384" t="n">
        <x:v>3</x:v>
      </x:c>
      <x:c r="H1721" s="396" t="n">
        <x:v>3</x:v>
      </x:c>
      <x:c r="I1721" s="20" t="str">
        <x:v>MERICS/Carnegie Chinese security contractor source register</x:v>
      </x:c>
      <x:c r="J1721" s="397" t="str">
        <x:v>https://merics.org/en/report/guardians-belt-and-road</x:v>
      </x:c>
      <x:c r="K1721" s="20" t="str">
        <x:v>Primary source-register URL; automated screening score</x:v>
      </x:c>
      <x:c r="L1721" s="20" t="str">
        <x:v>2026-05-20</x:v>
      </x:c>
      <x:c r="M1721" s="20" t="str">
        <x:v>2026-05-20</x:v>
      </x:c>
      <x:c r="N1721" s="20" t="str">
        <x:v>GPT-5.5 Pro</x:v>
      </x:c>
      <x:c r="O1721" s="20" t="str">
        <x:v>Needs review</x:v>
      </x:c>
      <x:c r="P1721" s="20" t="str">
        <x:v>Screening score for China / Security contractors in Thailand; verify with country-specific evidence before final use.</x:v>
      </x:c>
    </x:row>
    <x:row r="1722" ht="24" customHeight="1">
      <x:c r="A1722" s="20" t="str">
        <x:v>THA|United States|Propaganda ecosystems</x:v>
      </x:c>
      <x:c r="B1722" s="20" t="str">
        <x:v>Thailand</x:v>
      </x:c>
      <x:c r="C1722" s="20" t="str">
        <x:v>THA</x:v>
      </x:c>
      <x:c r="D1722" s="20" t="str">
        <x:v>United States</x:v>
      </x:c>
      <x:c r="E1722" s="20" t="str">
        <x:v>American influence</x:v>
      </x:c>
      <x:c r="F1722" s="20" t="str">
        <x:v>Propaganda ecosystems</x:v>
      </x:c>
      <x:c r="G1722" s="384" t="n">
        <x:v>3</x:v>
      </x:c>
      <x:c r="H1722" s="396" t="n">
        <x:v>3</x:v>
      </x:c>
      <x:c r="I1722" s="20" t="str">
        <x:v>USAGM public media source register</x:v>
      </x:c>
      <x:c r="J1722" s="397" t="str">
        <x:v>https://www.usagm.gov/our-work/strategy-and-results/strategic-priorities/research-reports/</x:v>
      </x:c>
      <x:c r="K1722" s="20" t="str">
        <x:v>Primary source-register URL; automated screening score</x:v>
      </x:c>
      <x:c r="L1722" s="20" t="str">
        <x:v>2026-05-20</x:v>
      </x:c>
      <x:c r="M1722" s="20" t="str">
        <x:v>2026-05-20</x:v>
      </x:c>
      <x:c r="N1722" s="20" t="str">
        <x:v>GPT-5.5 Pro</x:v>
      </x:c>
      <x:c r="O1722" s="20" t="str">
        <x:v>Needs review</x:v>
      </x:c>
      <x:c r="P1722" s="20" t="str">
        <x:v>Screening score for United States / Propaganda ecosystems in Thailand; verify with country-specific evidence before final use.</x:v>
      </x:c>
    </x:row>
    <x:row r="1723" ht="24" customHeight="1">
      <x:c r="A1723" s="20" t="str">
        <x:v>THA|United States|PMC presence</x:v>
      </x:c>
      <x:c r="B1723" s="20" t="str">
        <x:v>Thailand</x:v>
      </x:c>
      <x:c r="C1723" s="20" t="str">
        <x:v>THA</x:v>
      </x:c>
      <x:c r="D1723" s="20" t="str">
        <x:v>United States</x:v>
      </x:c>
      <x:c r="E1723" s="20" t="str">
        <x:v>American influence</x:v>
      </x:c>
      <x:c r="F1723" s="20" t="str">
        <x:v>PMC presence</x:v>
      </x:c>
      <x:c r="G1723" s="384" t="n">
        <x:v>1</x:v>
      </x:c>
      <x:c r="H1723" s="396" t="n">
        <x:v>2</x:v>
      </x:c>
      <x:c r="I1723" s="20" t="str">
        <x:v>SAM/Greenbook U.S. security assistance contractor source register</x:v>
      </x:c>
      <x:c r="J1723" s="397" t="str">
        <x:v>https://internationalpolicy.org/programs/sam/</x:v>
      </x:c>
      <x:c r="K1723" s="20" t="str">
        <x:v>Primary source-register URL; automated screening score</x:v>
      </x:c>
      <x:c r="L1723" s="20" t="str">
        <x:v>2026-05-20</x:v>
      </x:c>
      <x:c r="M1723" s="20" t="str">
        <x:v>2026-05-20</x:v>
      </x:c>
      <x:c r="N1723" s="20" t="str">
        <x:v>GPT-5.5 Pro</x:v>
      </x:c>
      <x:c r="O1723" s="20" t="str">
        <x:v>Needs review</x:v>
      </x:c>
      <x:c r="P1723" s="20" t="str">
        <x:v>Screening score for United States / PMC presence in Thailand; verify with country-specific evidence before final use.</x:v>
      </x:c>
    </x:row>
    <x:row r="1724" ht="24" customHeight="1">
      <x:c r="A1724" s="20" t="str">
        <x:v>THA|United States|Election interference</x:v>
      </x:c>
      <x:c r="B1724" s="20" t="str">
        <x:v>Thailand</x:v>
      </x:c>
      <x:c r="C1724" s="20" t="str">
        <x:v>THA</x:v>
      </x:c>
      <x:c r="D1724" s="20" t="str">
        <x:v>United States</x:v>
      </x:c>
      <x:c r="E1724" s="20" t="str">
        <x:v>American influence</x:v>
      </x:c>
      <x:c r="F1724" s="20" t="str">
        <x:v>Election interference</x:v>
      </x:c>
      <x:c r="G1724" s="384" t="n">
        <x:v>2</x:v>
      </x:c>
      <x:c r="H1724" s="396" t="n">
        <x:v>2</x:v>
      </x:c>
      <x:c r="I1724" s="20" t="str">
        <x:v>NED/Greenbook democracy assistance source register</x:v>
      </x:c>
      <x:c r="J1724" s="397" t="str">
        <x:v>https://www.ned.org/ned-grantmaking/</x:v>
      </x:c>
      <x:c r="K1724" s="20" t="str">
        <x:v>Primary source-register URL; automated screening score</x:v>
      </x:c>
      <x:c r="L1724" s="20" t="str">
        <x:v>2026-05-20</x:v>
      </x:c>
      <x:c r="M1724" s="20" t="str">
        <x:v>2026-05-20</x:v>
      </x:c>
      <x:c r="N1724" s="20" t="str">
        <x:v>GPT-5.5 Pro</x:v>
      </x:c>
      <x:c r="O1724" s="20" t="str">
        <x:v>Needs review</x:v>
      </x:c>
      <x:c r="P1724" s="20" t="str">
        <x:v>Screening score for United States / Election interference in Thailand; verify with country-specific evidence before final use.</x:v>
      </x:c>
    </x:row>
    <x:row r="1725" ht="24" customHeight="1">
      <x:c r="A1725" s="20" t="str">
        <x:v>THA|United States|Security contractors</x:v>
      </x:c>
      <x:c r="B1725" s="20" t="str">
        <x:v>Thailand</x:v>
      </x:c>
      <x:c r="C1725" s="20" t="str">
        <x:v>THA</x:v>
      </x:c>
      <x:c r="D1725" s="20" t="str">
        <x:v>United States</x:v>
      </x:c>
      <x:c r="E1725" s="20" t="str">
        <x:v>American influence</x:v>
      </x:c>
      <x:c r="F1725" s="20" t="str">
        <x:v>Security contractors</x:v>
      </x:c>
      <x:c r="G1725" s="384" t="n">
        <x:v>2</x:v>
      </x:c>
      <x:c r="H1725" s="396" t="n">
        <x:v>2</x:v>
      </x:c>
      <x:c r="I1725" s="20" t="str">
        <x:v>SAM/Greenbook U.S. security contractor source register</x:v>
      </x:c>
      <x:c r="J1725" s="397" t="str">
        <x:v>https://internationalpolicy.org/programs/sam/</x:v>
      </x:c>
      <x:c r="K1725" s="20" t="str">
        <x:v>Primary source-register URL; automated screening score</x:v>
      </x:c>
      <x:c r="L1725" s="20" t="str">
        <x:v>2026-05-20</x:v>
      </x:c>
      <x:c r="M1725" s="20" t="str">
        <x:v>2026-05-20</x:v>
      </x:c>
      <x:c r="N1725" s="20" t="str">
        <x:v>GPT-5.5 Pro</x:v>
      </x:c>
      <x:c r="O1725" s="20" t="str">
        <x:v>Needs review</x:v>
      </x:c>
      <x:c r="P1725" s="20" t="str">
        <x:v>Screening score for United States / Security contractors in Thailand; verify with country-specific evidence before final use.</x:v>
      </x:c>
    </x:row>
    <x:row r="1726" ht="24" customHeight="1">
      <x:c r="A1726" s="20" t="str">
        <x:v>THA|European Union|Propaganda ecosystems</x:v>
      </x:c>
      <x:c r="B1726" s="20" t="str">
        <x:v>Thailand</x:v>
      </x:c>
      <x:c r="C1726" s="20" t="str">
        <x:v>THA</x:v>
      </x:c>
      <x:c r="D1726" s="20" t="str">
        <x:v>European Union</x:v>
      </x:c>
      <x:c r="E1726" s="20" t="str">
        <x:v>EU influence</x:v>
      </x:c>
      <x:c r="F1726" s="20" t="str">
        <x:v>Propaganda ecosystems</x:v>
      </x:c>
      <x:c r="G1726" s="384" t="n">
        <x:v>2</x:v>
      </x:c>
      <x:c r="H1726" s="396" t="n">
        <x:v>2</x:v>
      </x:c>
      <x:c r="I1726" s="20" t="str">
        <x:v>EEAS public diplomacy source register</x:v>
      </x:c>
      <x:c r="J1726" s="397" t="str">
        <x:v>https://www.eeas.europa.eu/eeas/public-diplomacy_en</x:v>
      </x:c>
      <x:c r="K1726" s="20" t="str">
        <x:v>Primary source-register URL; automated screening score</x:v>
      </x:c>
      <x:c r="L1726" s="20" t="str">
        <x:v>2026-05-20</x:v>
      </x:c>
      <x:c r="M1726" s="20" t="str">
        <x:v>2026-05-20</x:v>
      </x:c>
      <x:c r="N1726" s="20" t="str">
        <x:v>GPT-5.5 Pro</x:v>
      </x:c>
      <x:c r="O1726" s="20" t="str">
        <x:v>Needs review</x:v>
      </x:c>
      <x:c r="P1726" s="20" t="str">
        <x:v>Screening score for European Union / Propaganda ecosystems in Thailand; verify with country-specific evidence before final use.</x:v>
      </x:c>
    </x:row>
    <x:row r="1727" ht="24" customHeight="1">
      <x:c r="A1727" s="20" t="str">
        <x:v>THA|European Union|PMC presence</x:v>
      </x:c>
      <x:c r="B1727" s="20" t="str">
        <x:v>Thailand</x:v>
      </x:c>
      <x:c r="C1727" s="20" t="str">
        <x:v>THA</x:v>
      </x:c>
      <x:c r="D1727" s="20" t="str">
        <x:v>European Union</x:v>
      </x:c>
      <x:c r="E1727" s="20" t="str">
        <x:v>EU influence</x:v>
      </x:c>
      <x:c r="F1727" s="20" t="str">
        <x:v>PMC presence</x:v>
      </x:c>
      <x:c r="G1727" s="384" t="n">
        <x:v>0</x:v>
      </x:c>
      <x:c r="H1727" s="396" t="n">
        <x:v>1</x:v>
      </x:c>
      <x:c r="I1727" s="20" t="str">
        <x:v>EEAS CSDP missions source register</x:v>
      </x:c>
      <x:c r="J1727" s="397" t="str">
        <x:v>https://www.eeas.europa.eu/eeas/missions-and-operations_en</x:v>
      </x:c>
      <x:c r="K1727" s="20" t="str">
        <x:v>Primary source-register URL; automated screening score</x:v>
      </x:c>
      <x:c r="L1727" s="20" t="str">
        <x:v>2026-05-20</x:v>
      </x:c>
      <x:c r="M1727" s="20" t="str">
        <x:v>2026-05-20</x:v>
      </x:c>
      <x:c r="N1727" s="20" t="str">
        <x:v>GPT-5.5 Pro</x:v>
      </x:c>
      <x:c r="O1727" s="20" t="str">
        <x:v>Needs review</x:v>
      </x:c>
      <x:c r="P1727" s="20" t="str">
        <x:v>Screening score for European Union / PMC presence in Thailand; verify with country-specific evidence before final use.</x:v>
      </x:c>
    </x:row>
    <x:row r="1728" ht="24" customHeight="1">
      <x:c r="A1728" s="20" t="str">
        <x:v>THA|European Union|Election interference</x:v>
      </x:c>
      <x:c r="B1728" s="20" t="str">
        <x:v>Thailand</x:v>
      </x:c>
      <x:c r="C1728" s="20" t="str">
        <x:v>THA</x:v>
      </x:c>
      <x:c r="D1728" s="20" t="str">
        <x:v>European Union</x:v>
      </x:c>
      <x:c r="E1728" s="20" t="str">
        <x:v>EU influence</x:v>
      </x:c>
      <x:c r="F1728" s="20" t="str">
        <x:v>Election interference</x:v>
      </x:c>
      <x:c r="G1728" s="384" t="n">
        <x:v>1</x:v>
      </x:c>
      <x:c r="H1728" s="396" t="n">
        <x:v>2</x:v>
      </x:c>
      <x:c r="I1728" s="20" t="str">
        <x:v>EEAS EU election observation source register</x:v>
      </x:c>
      <x:c r="J1728" s="397" t="str">
        <x:v>https://www.eeas.europa.eu/eeas/eu-election-observation-missions-1_en?page_lang=en</x:v>
      </x:c>
      <x:c r="K1728" s="20" t="str">
        <x:v>Primary source-register URL; automated screening score</x:v>
      </x:c>
      <x:c r="L1728" s="20" t="str">
        <x:v>2026-05-20</x:v>
      </x:c>
      <x:c r="M1728" s="20" t="str">
        <x:v>2026-05-20</x:v>
      </x:c>
      <x:c r="N1728" s="20" t="str">
        <x:v>GPT-5.5 Pro</x:v>
      </x:c>
      <x:c r="O1728" s="20" t="str">
        <x:v>Needs review</x:v>
      </x:c>
      <x:c r="P1728" s="20" t="str">
        <x:v>Screening score for European Union / Election interference in Thailand; verify with country-specific evidence before final use.</x:v>
      </x:c>
    </x:row>
    <x:row r="1729" ht="24" customHeight="1">
      <x:c r="A1729" s="20" t="str">
        <x:v>THA|European Union|Security contractors</x:v>
      </x:c>
      <x:c r="B1729" s="20" t="str">
        <x:v>Thailand</x:v>
      </x:c>
      <x:c r="C1729" s="20" t="str">
        <x:v>THA</x:v>
      </x:c>
      <x:c r="D1729" s="20" t="str">
        <x:v>European Union</x:v>
      </x:c>
      <x:c r="E1729" s="20" t="str">
        <x:v>EU influence</x:v>
      </x:c>
      <x:c r="F1729" s="20" t="str">
        <x:v>Security contractors</x:v>
      </x:c>
      <x:c r="G1729" s="384" t="n">
        <x:v>2</x:v>
      </x:c>
      <x:c r="H1729" s="396" t="n">
        <x:v>2</x:v>
      </x:c>
      <x:c r="I1729" s="20" t="str">
        <x:v>EEAS CSDP / Global Gateway security source register</x:v>
      </x:c>
      <x:c r="J1729" s="397" t="str">
        <x:v>https://www.eeas.europa.eu/eeas/missions-and-operations_en</x:v>
      </x:c>
      <x:c r="K1729" s="20" t="str">
        <x:v>Primary source-register URL; automated screening score</x:v>
      </x:c>
      <x:c r="L1729" s="20" t="str">
        <x:v>2026-05-20</x:v>
      </x:c>
      <x:c r="M1729" s="20" t="str">
        <x:v>2026-05-20</x:v>
      </x:c>
      <x:c r="N1729" s="20" t="str">
        <x:v>GPT-5.5 Pro</x:v>
      </x:c>
      <x:c r="O1729" s="20" t="str">
        <x:v>Needs review</x:v>
      </x:c>
      <x:c r="P1729" s="20" t="str">
        <x:v>Screening score for European Union / Security contractors in Thailand; verify with country-specific evidence before final use.</x:v>
      </x:c>
    </x:row>
    <x:row r="1730" ht="24" customHeight="1">
      <x:c r="A1730" s="20" t="str">
        <x:v>TON|Russia|Propaganda ecosystems</x:v>
      </x:c>
      <x:c r="B1730" s="20" t="str">
        <x:v>Tonga</x:v>
      </x:c>
      <x:c r="C1730" s="20" t="str">
        <x:v>TON</x:v>
      </x:c>
      <x:c r="D1730" s="20" t="str">
        <x:v>Russia</x:v>
      </x:c>
      <x:c r="E1730" s="20" t="str">
        <x:v>Russian influence</x:v>
      </x:c>
      <x:c r="F1730" s="20" t="str">
        <x:v>Propaganda ecosystems</x:v>
      </x:c>
      <x:c r="G1730" s="384" t="n">
        <x:v>2</x:v>
      </x:c>
      <x:c r="H1730" s="396" t="n">
        <x:v>2</x:v>
      </x:c>
      <x:c r="I1730" s="20" t="str">
        <x:v>EEAS/EUvsDisinfo FIMI source register</x:v>
      </x:c>
      <x:c r="J1730" s="397" t="str">
        <x:v>https://www.eeas.europa.eu/eeas/4th-eeas-annual-report-foreign-information-manipulation-and-interference-threats_en</x:v>
      </x:c>
      <x:c r="K1730" s="20" t="str">
        <x:v>Primary source-register URL; automated screening score</x:v>
      </x:c>
      <x:c r="L1730" s="20" t="str">
        <x:v>2026-05-20</x:v>
      </x:c>
      <x:c r="M1730" s="20" t="str">
        <x:v>2026-05-20</x:v>
      </x:c>
      <x:c r="N1730" s="20" t="str">
        <x:v>GPT-5.5 Pro</x:v>
      </x:c>
      <x:c r="O1730" s="20" t="str">
        <x:v>Needs review</x:v>
      </x:c>
      <x:c r="P1730" s="20" t="str">
        <x:v>Screening score for Russia / Propaganda ecosystems in Tonga; verify with country-specific evidence before final use.</x:v>
      </x:c>
    </x:row>
    <x:row r="1731" ht="24" customHeight="1">
      <x:c r="A1731" s="20" t="str">
        <x:v>TON|Russia|PMC presence</x:v>
      </x:c>
      <x:c r="B1731" s="20" t="str">
        <x:v>Tonga</x:v>
      </x:c>
      <x:c r="C1731" s="20" t="str">
        <x:v>TON</x:v>
      </x:c>
      <x:c r="D1731" s="20" t="str">
        <x:v>Russia</x:v>
      </x:c>
      <x:c r="E1731" s="20" t="str">
        <x:v>Russian influence</x:v>
      </x:c>
      <x:c r="F1731" s="20" t="str">
        <x:v>PMC presence</x:v>
      </x:c>
      <x:c r="G1731" s="384" t="n">
        <x:v>0</x:v>
      </x:c>
      <x:c r="H1731" s="396" t="n">
        <x:v>1</x:v>
      </x:c>
      <x:c r="I1731" s="20" t="str">
        <x:v>Treasury and Council of the EU Wagner/PMC source register</x:v>
      </x:c>
      <x:c r="J1731" s="397" t="str">
        <x:v>https://www.consilium.europa.eu/en/press/press-releases/2023/02/25/wagner-group-council-adds-11-individuals-and-7-entities-to-eu-sanctions-lists/</x:v>
      </x:c>
      <x:c r="K1731" s="20" t="str">
        <x:v>Primary source-register URL; automated screening score</x:v>
      </x:c>
      <x:c r="L1731" s="20" t="str">
        <x:v>2026-05-20</x:v>
      </x:c>
      <x:c r="M1731" s="20" t="str">
        <x:v>2026-05-20</x:v>
      </x:c>
      <x:c r="N1731" s="20" t="str">
        <x:v>GPT-5.5 Pro</x:v>
      </x:c>
      <x:c r="O1731" s="20" t="str">
        <x:v>Needs review</x:v>
      </x:c>
      <x:c r="P1731" s="20" t="str">
        <x:v>Screening score for Russia / PMC presence in Tonga; verify with country-specific evidence before final use.</x:v>
      </x:c>
    </x:row>
    <x:row r="1732" ht="24" customHeight="1">
      <x:c r="A1732" s="20" t="str">
        <x:v>TON|Russia|Election interference</x:v>
      </x:c>
      <x:c r="B1732" s="20" t="str">
        <x:v>Tonga</x:v>
      </x:c>
      <x:c r="C1732" s="20" t="str">
        <x:v>TON</x:v>
      </x:c>
      <x:c r="D1732" s="20" t="str">
        <x:v>Russia</x:v>
      </x:c>
      <x:c r="E1732" s="20" t="str">
        <x:v>Russian influence</x:v>
      </x:c>
      <x:c r="F1732" s="20" t="str">
        <x:v>Election interference</x:v>
      </x:c>
      <x:c r="G1732" s="384" t="n">
        <x:v>0</x:v>
      </x:c>
      <x:c r="H1732" s="396" t="n">
        <x:v>1</x:v>
      </x:c>
      <x:c r="I1732" s="20" t="str">
        <x:v>ODNI/EEAS election-FIMI source register</x:v>
      </x:c>
      <x:c r="J1732" s="397" t="str">
        <x:v>https://www.dni.gov/files/ODNI/documents/assessments/ATA-2026-Unclassified-Report.pdf</x:v>
      </x:c>
      <x:c r="K1732" s="20" t="str">
        <x:v>Primary source-register URL; automated screening score</x:v>
      </x:c>
      <x:c r="L1732" s="20" t="str">
        <x:v>2026-05-20</x:v>
      </x:c>
      <x:c r="M1732" s="20" t="str">
        <x:v>2026-05-20</x:v>
      </x:c>
      <x:c r="N1732" s="20" t="str">
        <x:v>GPT-5.5 Pro</x:v>
      </x:c>
      <x:c r="O1732" s="20" t="str">
        <x:v>Needs review</x:v>
      </x:c>
      <x:c r="P1732" s="20" t="str">
        <x:v>Screening score for Russia / Election interference in Tonga; verify with country-specific evidence before final use.</x:v>
      </x:c>
    </x:row>
    <x:row r="1733" ht="24" customHeight="1">
      <x:c r="A1733" s="20" t="str">
        <x:v>TON|Russia|Security contractors</x:v>
      </x:c>
      <x:c r="B1733" s="20" t="str">
        <x:v>Tonga</x:v>
      </x:c>
      <x:c r="C1733" s="20" t="str">
        <x:v>TON</x:v>
      </x:c>
      <x:c r="D1733" s="20" t="str">
        <x:v>Russia</x:v>
      </x:c>
      <x:c r="E1733" s="20" t="str">
        <x:v>Russian influence</x:v>
      </x:c>
      <x:c r="F1733" s="20" t="str">
        <x:v>Security contractors</x:v>
      </x:c>
      <x:c r="G1733" s="384" t="n">
        <x:v>0</x:v>
      </x:c>
      <x:c r="H1733" s="396" t="n">
        <x:v>1</x:v>
      </x:c>
      <x:c r="I1733" s="20" t="str">
        <x:v>Council of the EU/Treasury Wagner-security source register</x:v>
      </x:c>
      <x:c r="J1733" s="397" t="str">
        <x:v>https://www.consilium.europa.eu/en/press/press-releases/2023/02/25/wagner-group-council-adds-11-individuals-and-7-entities-to-eu-sanctions-lists/</x:v>
      </x:c>
      <x:c r="K1733" s="20" t="str">
        <x:v>Primary source-register URL; automated screening score</x:v>
      </x:c>
      <x:c r="L1733" s="20" t="str">
        <x:v>2026-05-20</x:v>
      </x:c>
      <x:c r="M1733" s="20" t="str">
        <x:v>2026-05-20</x:v>
      </x:c>
      <x:c r="N1733" s="20" t="str">
        <x:v>GPT-5.5 Pro</x:v>
      </x:c>
      <x:c r="O1733" s="20" t="str">
        <x:v>Needs review</x:v>
      </x:c>
      <x:c r="P1733" s="20" t="str">
        <x:v>Screening score for Russia / Security contractors in Tonga; verify with country-specific evidence before final use.</x:v>
      </x:c>
    </x:row>
    <x:row r="1734" ht="24" customHeight="1">
      <x:c r="A1734" s="20" t="str">
        <x:v>TON|China|Propaganda ecosystems</x:v>
      </x:c>
      <x:c r="B1734" s="20" t="str">
        <x:v>Tonga</x:v>
      </x:c>
      <x:c r="C1734" s="20" t="str">
        <x:v>TON</x:v>
      </x:c>
      <x:c r="D1734" s="20" t="str">
        <x:v>China</x:v>
      </x:c>
      <x:c r="E1734" s="20" t="str">
        <x:v>Chinese influence</x:v>
      </x:c>
      <x:c r="F1734" s="20" t="str">
        <x:v>Propaganda ecosystems</x:v>
      </x:c>
      <x:c r="G1734" s="384" t="n">
        <x:v>7</x:v>
      </x:c>
      <x:c r="H1734" s="396" t="n">
        <x:v>4</x:v>
      </x:c>
      <x:c r="I1734" s="20" t="str">
        <x:v>EEAS/ODNI China FIMI source register</x:v>
      </x:c>
      <x:c r="J1734" s="397" t="str">
        <x:v>https://www.eeas.europa.eu/eeas/4th-eeas-annual-report-foreign-information-manipulation-and-interference-threats_en</x:v>
      </x:c>
      <x:c r="K1734" s="20" t="str">
        <x:v>Primary source-register URL; automated screening score</x:v>
      </x:c>
      <x:c r="L1734" s="20" t="str">
        <x:v>2026-05-20</x:v>
      </x:c>
      <x:c r="M1734" s="20" t="str">
        <x:v>2026-05-20</x:v>
      </x:c>
      <x:c r="N1734" s="20" t="str">
        <x:v>GPT-5.5 Pro</x:v>
      </x:c>
      <x:c r="O1734" s="20" t="str">
        <x:v>Needs review</x:v>
      </x:c>
      <x:c r="P1734" s="20" t="str">
        <x:v>Screening score for China / Propaganda ecosystems in Tonga; verify with country-specific evidence before final use.</x:v>
      </x:c>
    </x:row>
    <x:row r="1735" ht="24" customHeight="1">
      <x:c r="A1735" s="20" t="str">
        <x:v>TON|China|PMC presence</x:v>
      </x:c>
      <x:c r="B1735" s="20" t="str">
        <x:v>Tonga</x:v>
      </x:c>
      <x:c r="C1735" s="20" t="str">
        <x:v>TON</x:v>
      </x:c>
      <x:c r="D1735" s="20" t="str">
        <x:v>China</x:v>
      </x:c>
      <x:c r="E1735" s="20" t="str">
        <x:v>Chinese influence</x:v>
      </x:c>
      <x:c r="F1735" s="20" t="str">
        <x:v>PMC presence</x:v>
      </x:c>
      <x:c r="G1735" s="384" t="n">
        <x:v>1</x:v>
      </x:c>
      <x:c r="H1735" s="396" t="n">
        <x:v>2</x:v>
      </x:c>
      <x:c r="I1735" s="20" t="str">
        <x:v>MERICS/Carnegie Chinese overseas PSC source register</x:v>
      </x:c>
      <x:c r="J1735" s="397" t="str">
        <x:v>https://merics.org/en/report/guardians-belt-and-road</x:v>
      </x:c>
      <x:c r="K1735" s="20" t="str">
        <x:v>Primary source-register URL; automated screening score</x:v>
      </x:c>
      <x:c r="L1735" s="20" t="str">
        <x:v>2026-05-20</x:v>
      </x:c>
      <x:c r="M1735" s="20" t="str">
        <x:v>2026-05-20</x:v>
      </x:c>
      <x:c r="N1735" s="20" t="str">
        <x:v>GPT-5.5 Pro</x:v>
      </x:c>
      <x:c r="O1735" s="20" t="str">
        <x:v>Needs review</x:v>
      </x:c>
      <x:c r="P1735" s="20" t="str">
        <x:v>Screening score for China / PMC presence in Tonga; verify with country-specific evidence before final use.</x:v>
      </x:c>
    </x:row>
    <x:row r="1736" ht="24" customHeight="1">
      <x:c r="A1736" s="20" t="str">
        <x:v>TON|China|Election interference</x:v>
      </x:c>
      <x:c r="B1736" s="20" t="str">
        <x:v>Tonga</x:v>
      </x:c>
      <x:c r="C1736" s="20" t="str">
        <x:v>TON</x:v>
      </x:c>
      <x:c r="D1736" s="20" t="str">
        <x:v>China</x:v>
      </x:c>
      <x:c r="E1736" s="20" t="str">
        <x:v>Chinese influence</x:v>
      </x:c>
      <x:c r="F1736" s="20" t="str">
        <x:v>Election interference</x:v>
      </x:c>
      <x:c r="G1736" s="384" t="n">
        <x:v>3</x:v>
      </x:c>
      <x:c r="H1736" s="396" t="n">
        <x:v>3</x:v>
      </x:c>
      <x:c r="I1736" s="20" t="str">
        <x:v>EEAS/ODNI China election-FIMI source register</x:v>
      </x:c>
      <x:c r="J1736" s="397" t="str">
        <x:v>https://www.eeas.europa.eu/eeas/4th-eeas-annual-report-foreign-information-manipulation-and-interference-threats_en</x:v>
      </x:c>
      <x:c r="K1736" s="20" t="str">
        <x:v>Primary source-register URL; automated screening score</x:v>
      </x:c>
      <x:c r="L1736" s="20" t="str">
        <x:v>2026-05-20</x:v>
      </x:c>
      <x:c r="M1736" s="20" t="str">
        <x:v>2026-05-20</x:v>
      </x:c>
      <x:c r="N1736" s="20" t="str">
        <x:v>GPT-5.5 Pro</x:v>
      </x:c>
      <x:c r="O1736" s="20" t="str">
        <x:v>Needs review</x:v>
      </x:c>
      <x:c r="P1736" s="20" t="str">
        <x:v>Screening score for China / Election interference in Tonga; verify with country-specific evidence before final use.</x:v>
      </x:c>
    </x:row>
    <x:row r="1737" ht="24" customHeight="1">
      <x:c r="A1737" s="20" t="str">
        <x:v>TON|China|Security contractors</x:v>
      </x:c>
      <x:c r="B1737" s="20" t="str">
        <x:v>Tonga</x:v>
      </x:c>
      <x:c r="C1737" s="20" t="str">
        <x:v>TON</x:v>
      </x:c>
      <x:c r="D1737" s="20" t="str">
        <x:v>China</x:v>
      </x:c>
      <x:c r="E1737" s="20" t="str">
        <x:v>Chinese influence</x:v>
      </x:c>
      <x:c r="F1737" s="20" t="str">
        <x:v>Security contractors</x:v>
      </x:c>
      <x:c r="G1737" s="384" t="n">
        <x:v>2</x:v>
      </x:c>
      <x:c r="H1737" s="396" t="n">
        <x:v>2</x:v>
      </x:c>
      <x:c r="I1737" s="20" t="str">
        <x:v>MERICS/Carnegie Chinese security contractor source register</x:v>
      </x:c>
      <x:c r="J1737" s="397" t="str">
        <x:v>https://merics.org/en/report/guardians-belt-and-road</x:v>
      </x:c>
      <x:c r="K1737" s="20" t="str">
        <x:v>Primary source-register URL; automated screening score</x:v>
      </x:c>
      <x:c r="L1737" s="20" t="str">
        <x:v>2026-05-20</x:v>
      </x:c>
      <x:c r="M1737" s="20" t="str">
        <x:v>2026-05-20</x:v>
      </x:c>
      <x:c r="N1737" s="20" t="str">
        <x:v>GPT-5.5 Pro</x:v>
      </x:c>
      <x:c r="O1737" s="20" t="str">
        <x:v>Needs review</x:v>
      </x:c>
      <x:c r="P1737" s="20" t="str">
        <x:v>Screening score for China / Security contractors in Tonga; verify with country-specific evidence before final use.</x:v>
      </x:c>
    </x:row>
    <x:row r="1738" ht="24" customHeight="1">
      <x:c r="A1738" s="20" t="str">
        <x:v>TON|United States|Propaganda ecosystems</x:v>
      </x:c>
      <x:c r="B1738" s="20" t="str">
        <x:v>Tonga</x:v>
      </x:c>
      <x:c r="C1738" s="20" t="str">
        <x:v>TON</x:v>
      </x:c>
      <x:c r="D1738" s="20" t="str">
        <x:v>United States</x:v>
      </x:c>
      <x:c r="E1738" s="20" t="str">
        <x:v>American influence</x:v>
      </x:c>
      <x:c r="F1738" s="20" t="str">
        <x:v>Propaganda ecosystems</x:v>
      </x:c>
      <x:c r="G1738" s="384" t="n">
        <x:v>3</x:v>
      </x:c>
      <x:c r="H1738" s="396" t="n">
        <x:v>3</x:v>
      </x:c>
      <x:c r="I1738" s="20" t="str">
        <x:v>USAGM public media source register</x:v>
      </x:c>
      <x:c r="J1738" s="397" t="str">
        <x:v>https://www.usagm.gov/our-work/strategy-and-results/strategic-priorities/research-reports/</x:v>
      </x:c>
      <x:c r="K1738" s="20" t="str">
        <x:v>Primary source-register URL; automated screening score</x:v>
      </x:c>
      <x:c r="L1738" s="20" t="str">
        <x:v>2026-05-20</x:v>
      </x:c>
      <x:c r="M1738" s="20" t="str">
        <x:v>2026-05-20</x:v>
      </x:c>
      <x:c r="N1738" s="20" t="str">
        <x:v>GPT-5.5 Pro</x:v>
      </x:c>
      <x:c r="O1738" s="20" t="str">
        <x:v>Needs review</x:v>
      </x:c>
      <x:c r="P1738" s="20" t="str">
        <x:v>Screening score for United States / Propaganda ecosystems in Tonga; verify with country-specific evidence before final use.</x:v>
      </x:c>
    </x:row>
    <x:row r="1739" ht="24" customHeight="1">
      <x:c r="A1739" s="20" t="str">
        <x:v>TON|United States|PMC presence</x:v>
      </x:c>
      <x:c r="B1739" s="20" t="str">
        <x:v>Tonga</x:v>
      </x:c>
      <x:c r="C1739" s="20" t="str">
        <x:v>TON</x:v>
      </x:c>
      <x:c r="D1739" s="20" t="str">
        <x:v>United States</x:v>
      </x:c>
      <x:c r="E1739" s="20" t="str">
        <x:v>American influence</x:v>
      </x:c>
      <x:c r="F1739" s="20" t="str">
        <x:v>PMC presence</x:v>
      </x:c>
      <x:c r="G1739" s="384" t="n">
        <x:v>1</x:v>
      </x:c>
      <x:c r="H1739" s="396" t="n">
        <x:v>2</x:v>
      </x:c>
      <x:c r="I1739" s="20" t="str">
        <x:v>SAM/Greenbook U.S. security assistance contractor source register</x:v>
      </x:c>
      <x:c r="J1739" s="397" t="str">
        <x:v>https://internationalpolicy.org/programs/sam/</x:v>
      </x:c>
      <x:c r="K1739" s="20" t="str">
        <x:v>Primary source-register URL; automated screening score</x:v>
      </x:c>
      <x:c r="L1739" s="20" t="str">
        <x:v>2026-05-20</x:v>
      </x:c>
      <x:c r="M1739" s="20" t="str">
        <x:v>2026-05-20</x:v>
      </x:c>
      <x:c r="N1739" s="20" t="str">
        <x:v>GPT-5.5 Pro</x:v>
      </x:c>
      <x:c r="O1739" s="20" t="str">
        <x:v>Needs review</x:v>
      </x:c>
      <x:c r="P1739" s="20" t="str">
        <x:v>Screening score for United States / PMC presence in Tonga; verify with country-specific evidence before final use.</x:v>
      </x:c>
    </x:row>
    <x:row r="1740" ht="24" customHeight="1">
      <x:c r="A1740" s="20" t="str">
        <x:v>TON|United States|Election interference</x:v>
      </x:c>
      <x:c r="B1740" s="20" t="str">
        <x:v>Tonga</x:v>
      </x:c>
      <x:c r="C1740" s="20" t="str">
        <x:v>TON</x:v>
      </x:c>
      <x:c r="D1740" s="20" t="str">
        <x:v>United States</x:v>
      </x:c>
      <x:c r="E1740" s="20" t="str">
        <x:v>American influence</x:v>
      </x:c>
      <x:c r="F1740" s="20" t="str">
        <x:v>Election interference</x:v>
      </x:c>
      <x:c r="G1740" s="384" t="n">
        <x:v>1</x:v>
      </x:c>
      <x:c r="H1740" s="396" t="n">
        <x:v>2</x:v>
      </x:c>
      <x:c r="I1740" s="20" t="str">
        <x:v>NED/Greenbook democracy assistance source register</x:v>
      </x:c>
      <x:c r="J1740" s="397" t="str">
        <x:v>https://www.ned.org/ned-grantmaking/</x:v>
      </x:c>
      <x:c r="K1740" s="20" t="str">
        <x:v>Primary source-register URL; automated screening score</x:v>
      </x:c>
      <x:c r="L1740" s="20" t="str">
        <x:v>2026-05-20</x:v>
      </x:c>
      <x:c r="M1740" s="20" t="str">
        <x:v>2026-05-20</x:v>
      </x:c>
      <x:c r="N1740" s="20" t="str">
        <x:v>GPT-5.5 Pro</x:v>
      </x:c>
      <x:c r="O1740" s="20" t="str">
        <x:v>Needs review</x:v>
      </x:c>
      <x:c r="P1740" s="20" t="str">
        <x:v>Screening score for United States / Election interference in Tonga; verify with country-specific evidence before final use.</x:v>
      </x:c>
    </x:row>
    <x:row r="1741" ht="24" customHeight="1">
      <x:c r="A1741" s="20" t="str">
        <x:v>TON|United States|Security contractors</x:v>
      </x:c>
      <x:c r="B1741" s="20" t="str">
        <x:v>Tonga</x:v>
      </x:c>
      <x:c r="C1741" s="20" t="str">
        <x:v>TON</x:v>
      </x:c>
      <x:c r="D1741" s="20" t="str">
        <x:v>United States</x:v>
      </x:c>
      <x:c r="E1741" s="20" t="str">
        <x:v>American influence</x:v>
      </x:c>
      <x:c r="F1741" s="20" t="str">
        <x:v>Security contractors</x:v>
      </x:c>
      <x:c r="G1741" s="384" t="n">
        <x:v>2</x:v>
      </x:c>
      <x:c r="H1741" s="396" t="n">
        <x:v>2</x:v>
      </x:c>
      <x:c r="I1741" s="20" t="str">
        <x:v>SAM/Greenbook U.S. security contractor source register</x:v>
      </x:c>
      <x:c r="J1741" s="397" t="str">
        <x:v>https://internationalpolicy.org/programs/sam/</x:v>
      </x:c>
      <x:c r="K1741" s="20" t="str">
        <x:v>Primary source-register URL; automated screening score</x:v>
      </x:c>
      <x:c r="L1741" s="20" t="str">
        <x:v>2026-05-20</x:v>
      </x:c>
      <x:c r="M1741" s="20" t="str">
        <x:v>2026-05-20</x:v>
      </x:c>
      <x:c r="N1741" s="20" t="str">
        <x:v>GPT-5.5 Pro</x:v>
      </x:c>
      <x:c r="O1741" s="20" t="str">
        <x:v>Needs review</x:v>
      </x:c>
      <x:c r="P1741" s="20" t="str">
        <x:v>Screening score for United States / Security contractors in Tonga; verify with country-specific evidence before final use.</x:v>
      </x:c>
    </x:row>
    <x:row r="1742" ht="24" customHeight="1">
      <x:c r="A1742" s="20" t="str">
        <x:v>TON|European Union|Propaganda ecosystems</x:v>
      </x:c>
      <x:c r="B1742" s="20" t="str">
        <x:v>Tonga</x:v>
      </x:c>
      <x:c r="C1742" s="20" t="str">
        <x:v>TON</x:v>
      </x:c>
      <x:c r="D1742" s="20" t="str">
        <x:v>European Union</x:v>
      </x:c>
      <x:c r="E1742" s="20" t="str">
        <x:v>EU influence</x:v>
      </x:c>
      <x:c r="F1742" s="20" t="str">
        <x:v>Propaganda ecosystems</x:v>
      </x:c>
      <x:c r="G1742" s="384" t="n">
        <x:v>2</x:v>
      </x:c>
      <x:c r="H1742" s="396" t="n">
        <x:v>2</x:v>
      </x:c>
      <x:c r="I1742" s="20" t="str">
        <x:v>EEAS public diplomacy source register</x:v>
      </x:c>
      <x:c r="J1742" s="397" t="str">
        <x:v>https://www.eeas.europa.eu/eeas/public-diplomacy_en</x:v>
      </x:c>
      <x:c r="K1742" s="20" t="str">
        <x:v>Primary source-register URL; automated screening score</x:v>
      </x:c>
      <x:c r="L1742" s="20" t="str">
        <x:v>2026-05-20</x:v>
      </x:c>
      <x:c r="M1742" s="20" t="str">
        <x:v>2026-05-20</x:v>
      </x:c>
      <x:c r="N1742" s="20" t="str">
        <x:v>GPT-5.5 Pro</x:v>
      </x:c>
      <x:c r="O1742" s="20" t="str">
        <x:v>Needs review</x:v>
      </x:c>
      <x:c r="P1742" s="20" t="str">
        <x:v>Screening score for European Union / Propaganda ecosystems in Tonga; verify with country-specific evidence before final use.</x:v>
      </x:c>
    </x:row>
    <x:row r="1743" ht="24" customHeight="1">
      <x:c r="A1743" s="20" t="str">
        <x:v>TON|European Union|PMC presence</x:v>
      </x:c>
      <x:c r="B1743" s="20" t="str">
        <x:v>Tonga</x:v>
      </x:c>
      <x:c r="C1743" s="20" t="str">
        <x:v>TON</x:v>
      </x:c>
      <x:c r="D1743" s="20" t="str">
        <x:v>European Union</x:v>
      </x:c>
      <x:c r="E1743" s="20" t="str">
        <x:v>EU influence</x:v>
      </x:c>
      <x:c r="F1743" s="20" t="str">
        <x:v>PMC presence</x:v>
      </x:c>
      <x:c r="G1743" s="384" t="n">
        <x:v>0</x:v>
      </x:c>
      <x:c r="H1743" s="396" t="n">
        <x:v>1</x:v>
      </x:c>
      <x:c r="I1743" s="20" t="str">
        <x:v>EEAS CSDP missions source register</x:v>
      </x:c>
      <x:c r="J1743" s="397" t="str">
        <x:v>https://www.eeas.europa.eu/eeas/missions-and-operations_en</x:v>
      </x:c>
      <x:c r="K1743" s="20" t="str">
        <x:v>Primary source-register URL; automated screening score</x:v>
      </x:c>
      <x:c r="L1743" s="20" t="str">
        <x:v>2026-05-20</x:v>
      </x:c>
      <x:c r="M1743" s="20" t="str">
        <x:v>2026-05-20</x:v>
      </x:c>
      <x:c r="N1743" s="20" t="str">
        <x:v>GPT-5.5 Pro</x:v>
      </x:c>
      <x:c r="O1743" s="20" t="str">
        <x:v>Needs review</x:v>
      </x:c>
      <x:c r="P1743" s="20" t="str">
        <x:v>Screening score for European Union / PMC presence in Tonga; verify with country-specific evidence before final use.</x:v>
      </x:c>
    </x:row>
    <x:row r="1744" ht="24" customHeight="1">
      <x:c r="A1744" s="20" t="str">
        <x:v>TON|European Union|Election interference</x:v>
      </x:c>
      <x:c r="B1744" s="20" t="str">
        <x:v>Tonga</x:v>
      </x:c>
      <x:c r="C1744" s="20" t="str">
        <x:v>TON</x:v>
      </x:c>
      <x:c r="D1744" s="20" t="str">
        <x:v>European Union</x:v>
      </x:c>
      <x:c r="E1744" s="20" t="str">
        <x:v>EU influence</x:v>
      </x:c>
      <x:c r="F1744" s="20" t="str">
        <x:v>Election interference</x:v>
      </x:c>
      <x:c r="G1744" s="384" t="n">
        <x:v>1</x:v>
      </x:c>
      <x:c r="H1744" s="396" t="n">
        <x:v>2</x:v>
      </x:c>
      <x:c r="I1744" s="20" t="str">
        <x:v>EEAS EU election observation source register</x:v>
      </x:c>
      <x:c r="J1744" s="397" t="str">
        <x:v>https://www.eeas.europa.eu/eeas/eu-election-observation-missions-1_en?page_lang=en</x:v>
      </x:c>
      <x:c r="K1744" s="20" t="str">
        <x:v>Primary source-register URL; automated screening score</x:v>
      </x:c>
      <x:c r="L1744" s="20" t="str">
        <x:v>2026-05-20</x:v>
      </x:c>
      <x:c r="M1744" s="20" t="str">
        <x:v>2026-05-20</x:v>
      </x:c>
      <x:c r="N1744" s="20" t="str">
        <x:v>GPT-5.5 Pro</x:v>
      </x:c>
      <x:c r="O1744" s="20" t="str">
        <x:v>Needs review</x:v>
      </x:c>
      <x:c r="P1744" s="20" t="str">
        <x:v>Screening score for European Union / Election interference in Tonga; verify with country-specific evidence before final use.</x:v>
      </x:c>
    </x:row>
    <x:row r="1745" ht="24" customHeight="1">
      <x:c r="A1745" s="20" t="str">
        <x:v>TON|European Union|Security contractors</x:v>
      </x:c>
      <x:c r="B1745" s="20" t="str">
        <x:v>Tonga</x:v>
      </x:c>
      <x:c r="C1745" s="20" t="str">
        <x:v>TON</x:v>
      </x:c>
      <x:c r="D1745" s="20" t="str">
        <x:v>European Union</x:v>
      </x:c>
      <x:c r="E1745" s="20" t="str">
        <x:v>EU influence</x:v>
      </x:c>
      <x:c r="F1745" s="20" t="str">
        <x:v>Security contractors</x:v>
      </x:c>
      <x:c r="G1745" s="384" t="n">
        <x:v>1</x:v>
      </x:c>
      <x:c r="H1745" s="396" t="n">
        <x:v>2</x:v>
      </x:c>
      <x:c r="I1745" s="20" t="str">
        <x:v>EEAS CSDP / Global Gateway security source register</x:v>
      </x:c>
      <x:c r="J1745" s="397" t="str">
        <x:v>https://www.eeas.europa.eu/eeas/missions-and-operations_en</x:v>
      </x:c>
      <x:c r="K1745" s="20" t="str">
        <x:v>Primary source-register URL; automated screening score</x:v>
      </x:c>
      <x:c r="L1745" s="20" t="str">
        <x:v>2026-05-20</x:v>
      </x:c>
      <x:c r="M1745" s="20" t="str">
        <x:v>2026-05-20</x:v>
      </x:c>
      <x:c r="N1745" s="20" t="str">
        <x:v>GPT-5.5 Pro</x:v>
      </x:c>
      <x:c r="O1745" s="20" t="str">
        <x:v>Needs review</x:v>
      </x:c>
      <x:c r="P1745" s="20" t="str">
        <x:v>Screening score for European Union / Security contractors in Tonga; verify with country-specific evidence before final use.</x:v>
      </x:c>
    </x:row>
    <x:row r="1746" ht="24" customHeight="1">
      <x:c r="A1746" s="20" t="str">
        <x:v>TUR|Russia|Propaganda ecosystems</x:v>
      </x:c>
      <x:c r="B1746" s="20" t="str">
        <x:v>Turkey</x:v>
      </x:c>
      <x:c r="C1746" s="20" t="str">
        <x:v>TUR</x:v>
      </x:c>
      <x:c r="D1746" s="20" t="str">
        <x:v>Russia</x:v>
      </x:c>
      <x:c r="E1746" s="20" t="str">
        <x:v>Russian influence</x:v>
      </x:c>
      <x:c r="F1746" s="20" t="str">
        <x:v>Propaganda ecosystems</x:v>
      </x:c>
      <x:c r="G1746" s="384" t="n">
        <x:v>2</x:v>
      </x:c>
      <x:c r="H1746" s="396" t="n">
        <x:v>2</x:v>
      </x:c>
      <x:c r="I1746" s="20" t="str">
        <x:v>EEAS/EUvsDisinfo FIMI source register</x:v>
      </x:c>
      <x:c r="J1746" s="397" t="str">
        <x:v>https://www.eeas.europa.eu/eeas/4th-eeas-annual-report-foreign-information-manipulation-and-interference-threats_en</x:v>
      </x:c>
      <x:c r="K1746" s="20" t="str">
        <x:v>Primary source-register URL; automated screening score</x:v>
      </x:c>
      <x:c r="L1746" s="20" t="str">
        <x:v>2026-05-20</x:v>
      </x:c>
      <x:c r="M1746" s="20" t="str">
        <x:v>2026-05-20</x:v>
      </x:c>
      <x:c r="N1746" s="20" t="str">
        <x:v>GPT-5.5 Pro</x:v>
      </x:c>
      <x:c r="O1746" s="20" t="str">
        <x:v>Needs review</x:v>
      </x:c>
      <x:c r="P1746" s="20" t="str">
        <x:v>Screening score for Russia / Propaganda ecosystems in Turkey; verify with country-specific evidence before final use.</x:v>
      </x:c>
    </x:row>
    <x:row r="1747" ht="24" customHeight="1">
      <x:c r="A1747" s="20" t="str">
        <x:v>TUR|Russia|PMC presence</x:v>
      </x:c>
      <x:c r="B1747" s="20" t="str">
        <x:v>Turkey</x:v>
      </x:c>
      <x:c r="C1747" s="20" t="str">
        <x:v>TUR</x:v>
      </x:c>
      <x:c r="D1747" s="20" t="str">
        <x:v>Russia</x:v>
      </x:c>
      <x:c r="E1747" s="20" t="str">
        <x:v>Russian influence</x:v>
      </x:c>
      <x:c r="F1747" s="20" t="str">
        <x:v>PMC presence</x:v>
      </x:c>
      <x:c r="G1747" s="384" t="n">
        <x:v>0</x:v>
      </x:c>
      <x:c r="H1747" s="396" t="n">
        <x:v>1</x:v>
      </x:c>
      <x:c r="I1747" s="20" t="str">
        <x:v>Treasury and Council of the EU Wagner/PMC source register</x:v>
      </x:c>
      <x:c r="J1747" s="397" t="str">
        <x:v>https://www.consilium.europa.eu/en/press/press-releases/2023/02/25/wagner-group-council-adds-11-individuals-and-7-entities-to-eu-sanctions-lists/</x:v>
      </x:c>
      <x:c r="K1747" s="20" t="str">
        <x:v>Primary source-register URL; automated screening score</x:v>
      </x:c>
      <x:c r="L1747" s="20" t="str">
        <x:v>2026-05-20</x:v>
      </x:c>
      <x:c r="M1747" s="20" t="str">
        <x:v>2026-05-20</x:v>
      </x:c>
      <x:c r="N1747" s="20" t="str">
        <x:v>GPT-5.5 Pro</x:v>
      </x:c>
      <x:c r="O1747" s="20" t="str">
        <x:v>Needs review</x:v>
      </x:c>
      <x:c r="P1747" s="20" t="str">
        <x:v>Screening score for Russia / PMC presence in Turkey; verify with country-specific evidence before final use.</x:v>
      </x:c>
    </x:row>
    <x:row r="1748" ht="24" customHeight="1">
      <x:c r="A1748" s="20" t="str">
        <x:v>TUR|Russia|Election interference</x:v>
      </x:c>
      <x:c r="B1748" s="20" t="str">
        <x:v>Turkey</x:v>
      </x:c>
      <x:c r="C1748" s="20" t="str">
        <x:v>TUR</x:v>
      </x:c>
      <x:c r="D1748" s="20" t="str">
        <x:v>Russia</x:v>
      </x:c>
      <x:c r="E1748" s="20" t="str">
        <x:v>Russian influence</x:v>
      </x:c>
      <x:c r="F1748" s="20" t="str">
        <x:v>Election interference</x:v>
      </x:c>
      <x:c r="G1748" s="384" t="n">
        <x:v>0</x:v>
      </x:c>
      <x:c r="H1748" s="396" t="n">
        <x:v>1</x:v>
      </x:c>
      <x:c r="I1748" s="20" t="str">
        <x:v>ODNI/EEAS election-FIMI source register</x:v>
      </x:c>
      <x:c r="J1748" s="397" t="str">
        <x:v>https://www.dni.gov/files/ODNI/documents/assessments/ATA-2026-Unclassified-Report.pdf</x:v>
      </x:c>
      <x:c r="K1748" s="20" t="str">
        <x:v>Primary source-register URL; automated screening score</x:v>
      </x:c>
      <x:c r="L1748" s="20" t="str">
        <x:v>2026-05-20</x:v>
      </x:c>
      <x:c r="M1748" s="20" t="str">
        <x:v>2026-05-20</x:v>
      </x:c>
      <x:c r="N1748" s="20" t="str">
        <x:v>GPT-5.5 Pro</x:v>
      </x:c>
      <x:c r="O1748" s="20" t="str">
        <x:v>Needs review</x:v>
      </x:c>
      <x:c r="P1748" s="20" t="str">
        <x:v>Screening score for Russia / Election interference in Turkey; verify with country-specific evidence before final use.</x:v>
      </x:c>
    </x:row>
    <x:row r="1749" ht="24" customHeight="1">
      <x:c r="A1749" s="20" t="str">
        <x:v>TUR|Russia|Security contractors</x:v>
      </x:c>
      <x:c r="B1749" s="20" t="str">
        <x:v>Turkey</x:v>
      </x:c>
      <x:c r="C1749" s="20" t="str">
        <x:v>TUR</x:v>
      </x:c>
      <x:c r="D1749" s="20" t="str">
        <x:v>Russia</x:v>
      </x:c>
      <x:c r="E1749" s="20" t="str">
        <x:v>Russian influence</x:v>
      </x:c>
      <x:c r="F1749" s="20" t="str">
        <x:v>Security contractors</x:v>
      </x:c>
      <x:c r="G1749" s="384" t="n">
        <x:v>0</x:v>
      </x:c>
      <x:c r="H1749" s="396" t="n">
        <x:v>1</x:v>
      </x:c>
      <x:c r="I1749" s="20" t="str">
        <x:v>Council of the EU/Treasury Wagner-security source register</x:v>
      </x:c>
      <x:c r="J1749" s="397" t="str">
        <x:v>https://www.consilium.europa.eu/en/press/press-releases/2023/02/25/wagner-group-council-adds-11-individuals-and-7-entities-to-eu-sanctions-lists/</x:v>
      </x:c>
      <x:c r="K1749" s="20" t="str">
        <x:v>Primary source-register URL; automated screening score</x:v>
      </x:c>
      <x:c r="L1749" s="20" t="str">
        <x:v>2026-05-20</x:v>
      </x:c>
      <x:c r="M1749" s="20" t="str">
        <x:v>2026-05-20</x:v>
      </x:c>
      <x:c r="N1749" s="20" t="str">
        <x:v>GPT-5.5 Pro</x:v>
      </x:c>
      <x:c r="O1749" s="20" t="str">
        <x:v>Needs review</x:v>
      </x:c>
      <x:c r="P1749" s="20" t="str">
        <x:v>Screening score for Russia / Security contractors in Turkey; verify with country-specific evidence before final use.</x:v>
      </x:c>
    </x:row>
    <x:row r="1750" ht="24" customHeight="1">
      <x:c r="A1750" s="20" t="str">
        <x:v>TUR|China|Propaganda ecosystems</x:v>
      </x:c>
      <x:c r="B1750" s="20" t="str">
        <x:v>Turkey</x:v>
      </x:c>
      <x:c r="C1750" s="20" t="str">
        <x:v>TUR</x:v>
      </x:c>
      <x:c r="D1750" s="20" t="str">
        <x:v>China</x:v>
      </x:c>
      <x:c r="E1750" s="20" t="str">
        <x:v>Chinese influence</x:v>
      </x:c>
      <x:c r="F1750" s="20" t="str">
        <x:v>Propaganda ecosystems</x:v>
      </x:c>
      <x:c r="G1750" s="384" t="n">
        <x:v>3</x:v>
      </x:c>
      <x:c r="H1750" s="396" t="n">
        <x:v>3</x:v>
      </x:c>
      <x:c r="I1750" s="20" t="str">
        <x:v>EEAS/ODNI China FIMI source register</x:v>
      </x:c>
      <x:c r="J1750" s="397" t="str">
        <x:v>https://www.eeas.europa.eu/eeas/4th-eeas-annual-report-foreign-information-manipulation-and-interference-threats_en</x:v>
      </x:c>
      <x:c r="K1750" s="20" t="str">
        <x:v>Primary source-register URL; automated screening score</x:v>
      </x:c>
      <x:c r="L1750" s="20" t="str">
        <x:v>2026-05-20</x:v>
      </x:c>
      <x:c r="M1750" s="20" t="str">
        <x:v>2026-05-20</x:v>
      </x:c>
      <x:c r="N1750" s="20" t="str">
        <x:v>GPT-5.5 Pro</x:v>
      </x:c>
      <x:c r="O1750" s="20" t="str">
        <x:v>Needs review</x:v>
      </x:c>
      <x:c r="P1750" s="20" t="str">
        <x:v>Screening score for China / Propaganda ecosystems in Turkey; verify with country-specific evidence before final use.</x:v>
      </x:c>
    </x:row>
    <x:row r="1751" ht="24" customHeight="1">
      <x:c r="A1751" s="20" t="str">
        <x:v>TUR|China|PMC presence</x:v>
      </x:c>
      <x:c r="B1751" s="20" t="str">
        <x:v>Turkey</x:v>
      </x:c>
      <x:c r="C1751" s="20" t="str">
        <x:v>TUR</x:v>
      </x:c>
      <x:c r="D1751" s="20" t="str">
        <x:v>China</x:v>
      </x:c>
      <x:c r="E1751" s="20" t="str">
        <x:v>Chinese influence</x:v>
      </x:c>
      <x:c r="F1751" s="20" t="str">
        <x:v>PMC presence</x:v>
      </x:c>
      <x:c r="G1751" s="384" t="n">
        <x:v>0</x:v>
      </x:c>
      <x:c r="H1751" s="396" t="n">
        <x:v>1</x:v>
      </x:c>
      <x:c r="I1751" s="20" t="str">
        <x:v>MERICS/Carnegie Chinese overseas PSC source register</x:v>
      </x:c>
      <x:c r="J1751" s="397" t="str">
        <x:v>https://merics.org/en/report/guardians-belt-and-road</x:v>
      </x:c>
      <x:c r="K1751" s="20" t="str">
        <x:v>Primary source-register URL; automated screening score</x:v>
      </x:c>
      <x:c r="L1751" s="20" t="str">
        <x:v>2026-05-20</x:v>
      </x:c>
      <x:c r="M1751" s="20" t="str">
        <x:v>2026-05-20</x:v>
      </x:c>
      <x:c r="N1751" s="20" t="str">
        <x:v>GPT-5.5 Pro</x:v>
      </x:c>
      <x:c r="O1751" s="20" t="str">
        <x:v>Needs review</x:v>
      </x:c>
      <x:c r="P1751" s="20" t="str">
        <x:v>Screening score for China / PMC presence in Turkey; verify with country-specific evidence before final use.</x:v>
      </x:c>
    </x:row>
    <x:row r="1752" ht="24" customHeight="1">
      <x:c r="A1752" s="20" t="str">
        <x:v>TUR|China|Election interference</x:v>
      </x:c>
      <x:c r="B1752" s="20" t="str">
        <x:v>Turkey</x:v>
      </x:c>
      <x:c r="C1752" s="20" t="str">
        <x:v>TUR</x:v>
      </x:c>
      <x:c r="D1752" s="20" t="str">
        <x:v>China</x:v>
      </x:c>
      <x:c r="E1752" s="20" t="str">
        <x:v>Chinese influence</x:v>
      </x:c>
      <x:c r="F1752" s="20" t="str">
        <x:v>Election interference</x:v>
      </x:c>
      <x:c r="G1752" s="384" t="n">
        <x:v>1</x:v>
      </x:c>
      <x:c r="H1752" s="396" t="n">
        <x:v>2</x:v>
      </x:c>
      <x:c r="I1752" s="20" t="str">
        <x:v>EEAS/ODNI China election-FIMI source register</x:v>
      </x:c>
      <x:c r="J1752" s="397" t="str">
        <x:v>https://www.eeas.europa.eu/eeas/4th-eeas-annual-report-foreign-information-manipulation-and-interference-threats_en</x:v>
      </x:c>
      <x:c r="K1752" s="20" t="str">
        <x:v>Primary source-register URL; automated screening score</x:v>
      </x:c>
      <x:c r="L1752" s="20" t="str">
        <x:v>2026-05-20</x:v>
      </x:c>
      <x:c r="M1752" s="20" t="str">
        <x:v>2026-05-20</x:v>
      </x:c>
      <x:c r="N1752" s="20" t="str">
        <x:v>GPT-5.5 Pro</x:v>
      </x:c>
      <x:c r="O1752" s="20" t="str">
        <x:v>Needs review</x:v>
      </x:c>
      <x:c r="P1752" s="20" t="str">
        <x:v>Screening score for China / Election interference in Turkey; verify with country-specific evidence before final use.</x:v>
      </x:c>
    </x:row>
    <x:row r="1753" ht="24" customHeight="1">
      <x:c r="A1753" s="20" t="str">
        <x:v>TUR|China|Security contractors</x:v>
      </x:c>
      <x:c r="B1753" s="20" t="str">
        <x:v>Turkey</x:v>
      </x:c>
      <x:c r="C1753" s="20" t="str">
        <x:v>TUR</x:v>
      </x:c>
      <x:c r="D1753" s="20" t="str">
        <x:v>China</x:v>
      </x:c>
      <x:c r="E1753" s="20" t="str">
        <x:v>Chinese influence</x:v>
      </x:c>
      <x:c r="F1753" s="20" t="str">
        <x:v>Security contractors</x:v>
      </x:c>
      <x:c r="G1753" s="384" t="n">
        <x:v>1</x:v>
      </x:c>
      <x:c r="H1753" s="396" t="n">
        <x:v>2</x:v>
      </x:c>
      <x:c r="I1753" s="20" t="str">
        <x:v>MERICS/Carnegie Chinese security contractor source register</x:v>
      </x:c>
      <x:c r="J1753" s="397" t="str">
        <x:v>https://merics.org/en/report/guardians-belt-and-road</x:v>
      </x:c>
      <x:c r="K1753" s="20" t="str">
        <x:v>Primary source-register URL; automated screening score</x:v>
      </x:c>
      <x:c r="L1753" s="20" t="str">
        <x:v>2026-05-20</x:v>
      </x:c>
      <x:c r="M1753" s="20" t="str">
        <x:v>2026-05-20</x:v>
      </x:c>
      <x:c r="N1753" s="20" t="str">
        <x:v>GPT-5.5 Pro</x:v>
      </x:c>
      <x:c r="O1753" s="20" t="str">
        <x:v>Needs review</x:v>
      </x:c>
      <x:c r="P1753" s="20" t="str">
        <x:v>Screening score for China / Security contractors in Turkey; verify with country-specific evidence before final use.</x:v>
      </x:c>
    </x:row>
    <x:row r="1754" ht="24" customHeight="1">
      <x:c r="A1754" s="20" t="str">
        <x:v>TUR|United States|Propaganda ecosystems</x:v>
      </x:c>
      <x:c r="B1754" s="20" t="str">
        <x:v>Turkey</x:v>
      </x:c>
      <x:c r="C1754" s="20" t="str">
        <x:v>TUR</x:v>
      </x:c>
      <x:c r="D1754" s="20" t="str">
        <x:v>United States</x:v>
      </x:c>
      <x:c r="E1754" s="20" t="str">
        <x:v>American influence</x:v>
      </x:c>
      <x:c r="F1754" s="20" t="str">
        <x:v>Propaganda ecosystems</x:v>
      </x:c>
      <x:c r="G1754" s="384" t="n">
        <x:v>3</x:v>
      </x:c>
      <x:c r="H1754" s="396" t="n">
        <x:v>3</x:v>
      </x:c>
      <x:c r="I1754" s="20" t="str">
        <x:v>USAGM public media source register</x:v>
      </x:c>
      <x:c r="J1754" s="397" t="str">
        <x:v>https://www.usagm.gov/our-work/strategy-and-results/strategic-priorities/research-reports/</x:v>
      </x:c>
      <x:c r="K1754" s="20" t="str">
        <x:v>Primary source-register URL; automated screening score</x:v>
      </x:c>
      <x:c r="L1754" s="20" t="str">
        <x:v>2026-05-20</x:v>
      </x:c>
      <x:c r="M1754" s="20" t="str">
        <x:v>2026-05-20</x:v>
      </x:c>
      <x:c r="N1754" s="20" t="str">
        <x:v>GPT-5.5 Pro</x:v>
      </x:c>
      <x:c r="O1754" s="20" t="str">
        <x:v>Needs review</x:v>
      </x:c>
      <x:c r="P1754" s="20" t="str">
        <x:v>Screening score for United States / Propaganda ecosystems in Turkey; verify with country-specific evidence before final use.</x:v>
      </x:c>
    </x:row>
    <x:row r="1755" ht="24" customHeight="1">
      <x:c r="A1755" s="20" t="str">
        <x:v>TUR|United States|PMC presence</x:v>
      </x:c>
      <x:c r="B1755" s="20" t="str">
        <x:v>Turkey</x:v>
      </x:c>
      <x:c r="C1755" s="20" t="str">
        <x:v>TUR</x:v>
      </x:c>
      <x:c r="D1755" s="20" t="str">
        <x:v>United States</x:v>
      </x:c>
      <x:c r="E1755" s="20" t="str">
        <x:v>American influence</x:v>
      </x:c>
      <x:c r="F1755" s="20" t="str">
        <x:v>PMC presence</x:v>
      </x:c>
      <x:c r="G1755" s="384" t="n">
        <x:v>3</x:v>
      </x:c>
      <x:c r="H1755" s="396" t="n">
        <x:v>3</x:v>
      </x:c>
      <x:c r="I1755" s="20" t="str">
        <x:v>SAM/Greenbook U.S. security assistance contractor source register</x:v>
      </x:c>
      <x:c r="J1755" s="397" t="str">
        <x:v>https://internationalpolicy.org/programs/sam/</x:v>
      </x:c>
      <x:c r="K1755" s="20" t="str">
        <x:v>Primary source-register URL; automated screening score</x:v>
      </x:c>
      <x:c r="L1755" s="20" t="str">
        <x:v>2026-05-20</x:v>
      </x:c>
      <x:c r="M1755" s="20" t="str">
        <x:v>2026-05-20</x:v>
      </x:c>
      <x:c r="N1755" s="20" t="str">
        <x:v>GPT-5.5 Pro</x:v>
      </x:c>
      <x:c r="O1755" s="20" t="str">
        <x:v>Needs review</x:v>
      </x:c>
      <x:c r="P1755" s="20" t="str">
        <x:v>Screening score for United States / PMC presence in Turkey; verify with country-specific evidence before final use.</x:v>
      </x:c>
    </x:row>
    <x:row r="1756" ht="24" customHeight="1">
      <x:c r="A1756" s="20" t="str">
        <x:v>TUR|United States|Election interference</x:v>
      </x:c>
      <x:c r="B1756" s="20" t="str">
        <x:v>Turkey</x:v>
      </x:c>
      <x:c r="C1756" s="20" t="str">
        <x:v>TUR</x:v>
      </x:c>
      <x:c r="D1756" s="20" t="str">
        <x:v>United States</x:v>
      </x:c>
      <x:c r="E1756" s="20" t="str">
        <x:v>American influence</x:v>
      </x:c>
      <x:c r="F1756" s="20" t="str">
        <x:v>Election interference</x:v>
      </x:c>
      <x:c r="G1756" s="384" t="n">
        <x:v>2</x:v>
      </x:c>
      <x:c r="H1756" s="396" t="n">
        <x:v>2</x:v>
      </x:c>
      <x:c r="I1756" s="20" t="str">
        <x:v>NED/Greenbook democracy assistance source register</x:v>
      </x:c>
      <x:c r="J1756" s="397" t="str">
        <x:v>https://www.ned.org/ned-grantmaking/</x:v>
      </x:c>
      <x:c r="K1756" s="20" t="str">
        <x:v>Primary source-register URL; automated screening score</x:v>
      </x:c>
      <x:c r="L1756" s="20" t="str">
        <x:v>2026-05-20</x:v>
      </x:c>
      <x:c r="M1756" s="20" t="str">
        <x:v>2026-05-20</x:v>
      </x:c>
      <x:c r="N1756" s="20" t="str">
        <x:v>GPT-5.5 Pro</x:v>
      </x:c>
      <x:c r="O1756" s="20" t="str">
        <x:v>Needs review</x:v>
      </x:c>
      <x:c r="P1756" s="20" t="str">
        <x:v>Screening score for United States / Election interference in Turkey; verify with country-specific evidence before final use.</x:v>
      </x:c>
    </x:row>
    <x:row r="1757" ht="24" customHeight="1">
      <x:c r="A1757" s="20" t="str">
        <x:v>TUR|United States|Security contractors</x:v>
      </x:c>
      <x:c r="B1757" s="20" t="str">
        <x:v>Turkey</x:v>
      </x:c>
      <x:c r="C1757" s="20" t="str">
        <x:v>TUR</x:v>
      </x:c>
      <x:c r="D1757" s="20" t="str">
        <x:v>United States</x:v>
      </x:c>
      <x:c r="E1757" s="20" t="str">
        <x:v>American influence</x:v>
      </x:c>
      <x:c r="F1757" s="20" t="str">
        <x:v>Security contractors</x:v>
      </x:c>
      <x:c r="G1757" s="384" t="n">
        <x:v>6</x:v>
      </x:c>
      <x:c r="H1757" s="396" t="n">
        <x:v>4</x:v>
      </x:c>
      <x:c r="I1757" s="20" t="str">
        <x:v>SAM/Greenbook U.S. security contractor source register</x:v>
      </x:c>
      <x:c r="J1757" s="397" t="str">
        <x:v>https://internationalpolicy.org/programs/sam/</x:v>
      </x:c>
      <x:c r="K1757" s="20" t="str">
        <x:v>Primary source-register URL; automated screening score</x:v>
      </x:c>
      <x:c r="L1757" s="20" t="str">
        <x:v>2026-05-20</x:v>
      </x:c>
      <x:c r="M1757" s="20" t="str">
        <x:v>2026-05-20</x:v>
      </x:c>
      <x:c r="N1757" s="20" t="str">
        <x:v>GPT-5.5 Pro</x:v>
      </x:c>
      <x:c r="O1757" s="20" t="str">
        <x:v>Needs review</x:v>
      </x:c>
      <x:c r="P1757" s="20" t="str">
        <x:v>Screening score for United States / Security contractors in Turkey; verify with country-specific evidence before final use.</x:v>
      </x:c>
    </x:row>
    <x:row r="1758" ht="24" customHeight="1">
      <x:c r="A1758" s="20" t="str">
        <x:v>TUR|European Union|Propaganda ecosystems</x:v>
      </x:c>
      <x:c r="B1758" s="20" t="str">
        <x:v>Turkey</x:v>
      </x:c>
      <x:c r="C1758" s="20" t="str">
        <x:v>TUR</x:v>
      </x:c>
      <x:c r="D1758" s="20" t="str">
        <x:v>European Union</x:v>
      </x:c>
      <x:c r="E1758" s="20" t="str">
        <x:v>EU influence</x:v>
      </x:c>
      <x:c r="F1758" s="20" t="str">
        <x:v>Propaganda ecosystems</x:v>
      </x:c>
      <x:c r="G1758" s="384" t="n">
        <x:v>7</x:v>
      </x:c>
      <x:c r="H1758" s="396" t="n">
        <x:v>4</x:v>
      </x:c>
      <x:c r="I1758" s="20" t="str">
        <x:v>EEAS public diplomacy source register</x:v>
      </x:c>
      <x:c r="J1758" s="397" t="str">
        <x:v>https://www.eeas.europa.eu/eeas/public-diplomacy_en</x:v>
      </x:c>
      <x:c r="K1758" s="20" t="str">
        <x:v>Primary source-register URL; automated screening score</x:v>
      </x:c>
      <x:c r="L1758" s="20" t="str">
        <x:v>2026-05-20</x:v>
      </x:c>
      <x:c r="M1758" s="20" t="str">
        <x:v>2026-05-20</x:v>
      </x:c>
      <x:c r="N1758" s="20" t="str">
        <x:v>GPT-5.5 Pro</x:v>
      </x:c>
      <x:c r="O1758" s="20" t="str">
        <x:v>Needs review</x:v>
      </x:c>
      <x:c r="P1758" s="20" t="str">
        <x:v>Screening score for European Union / Propaganda ecosystems in Turkey; verify with country-specific evidence before final use.</x:v>
      </x:c>
    </x:row>
    <x:row r="1759" ht="24" customHeight="1">
      <x:c r="A1759" s="20" t="str">
        <x:v>TUR|European Union|PMC presence</x:v>
      </x:c>
      <x:c r="B1759" s="20" t="str">
        <x:v>Turkey</x:v>
      </x:c>
      <x:c r="C1759" s="20" t="str">
        <x:v>TUR</x:v>
      </x:c>
      <x:c r="D1759" s="20" t="str">
        <x:v>European Union</x:v>
      </x:c>
      <x:c r="E1759" s="20" t="str">
        <x:v>EU influence</x:v>
      </x:c>
      <x:c r="F1759" s="20" t="str">
        <x:v>PMC presence</x:v>
      </x:c>
      <x:c r="G1759" s="384" t="n">
        <x:v>0</x:v>
      </x:c>
      <x:c r="H1759" s="396" t="n">
        <x:v>1</x:v>
      </x:c>
      <x:c r="I1759" s="20" t="str">
        <x:v>EEAS CSDP missions source register</x:v>
      </x:c>
      <x:c r="J1759" s="397" t="str">
        <x:v>https://www.eeas.europa.eu/eeas/missions-and-operations_en</x:v>
      </x:c>
      <x:c r="K1759" s="20" t="str">
        <x:v>Primary source-register URL; automated screening score</x:v>
      </x:c>
      <x:c r="L1759" s="20" t="str">
        <x:v>2026-05-20</x:v>
      </x:c>
      <x:c r="M1759" s="20" t="str">
        <x:v>2026-05-20</x:v>
      </x:c>
      <x:c r="N1759" s="20" t="str">
        <x:v>GPT-5.5 Pro</x:v>
      </x:c>
      <x:c r="O1759" s="20" t="str">
        <x:v>Needs review</x:v>
      </x:c>
      <x:c r="P1759" s="20" t="str">
        <x:v>Screening score for European Union / PMC presence in Turkey; verify with country-specific evidence before final use.</x:v>
      </x:c>
    </x:row>
    <x:row r="1760" ht="24" customHeight="1">
      <x:c r="A1760" s="20" t="str">
        <x:v>TUR|European Union|Election interference</x:v>
      </x:c>
      <x:c r="B1760" s="20" t="str">
        <x:v>Turkey</x:v>
      </x:c>
      <x:c r="C1760" s="20" t="str">
        <x:v>TUR</x:v>
      </x:c>
      <x:c r="D1760" s="20" t="str">
        <x:v>European Union</x:v>
      </x:c>
      <x:c r="E1760" s="20" t="str">
        <x:v>EU influence</x:v>
      </x:c>
      <x:c r="F1760" s="20" t="str">
        <x:v>Election interference</x:v>
      </x:c>
      <x:c r="G1760" s="384" t="n">
        <x:v>3</x:v>
      </x:c>
      <x:c r="H1760" s="396" t="n">
        <x:v>3</x:v>
      </x:c>
      <x:c r="I1760" s="20" t="str">
        <x:v>EEAS EU election observation source register</x:v>
      </x:c>
      <x:c r="J1760" s="397" t="str">
        <x:v>https://www.eeas.europa.eu/eeas/eu-election-observation-missions-1_en?page_lang=en</x:v>
      </x:c>
      <x:c r="K1760" s="20" t="str">
        <x:v>Primary source-register URL; automated screening score</x:v>
      </x:c>
      <x:c r="L1760" s="20" t="str">
        <x:v>2026-05-20</x:v>
      </x:c>
      <x:c r="M1760" s="20" t="str">
        <x:v>2026-05-20</x:v>
      </x:c>
      <x:c r="N1760" s="20" t="str">
        <x:v>GPT-5.5 Pro</x:v>
      </x:c>
      <x:c r="O1760" s="20" t="str">
        <x:v>Needs review</x:v>
      </x:c>
      <x:c r="P1760" s="20" t="str">
        <x:v>Screening score for European Union / Election interference in Turkey; verify with country-specific evidence before final use.</x:v>
      </x:c>
    </x:row>
    <x:row r="1761" ht="24" customHeight="1">
      <x:c r="A1761" s="20" t="str">
        <x:v>TUR|European Union|Security contractors</x:v>
      </x:c>
      <x:c r="B1761" s="20" t="str">
        <x:v>Turkey</x:v>
      </x:c>
      <x:c r="C1761" s="20" t="str">
        <x:v>TUR</x:v>
      </x:c>
      <x:c r="D1761" s="20" t="str">
        <x:v>European Union</x:v>
      </x:c>
      <x:c r="E1761" s="20" t="str">
        <x:v>EU influence</x:v>
      </x:c>
      <x:c r="F1761" s="20" t="str">
        <x:v>Security contractors</x:v>
      </x:c>
      <x:c r="G1761" s="384" t="n">
        <x:v>2</x:v>
      </x:c>
      <x:c r="H1761" s="396" t="n">
        <x:v>2</x:v>
      </x:c>
      <x:c r="I1761" s="20" t="str">
        <x:v>EEAS CSDP / Global Gateway security source register</x:v>
      </x:c>
      <x:c r="J1761" s="397" t="str">
        <x:v>https://www.eeas.europa.eu/eeas/missions-and-operations_en</x:v>
      </x:c>
      <x:c r="K1761" s="20" t="str">
        <x:v>Primary source-register URL; automated screening score</x:v>
      </x:c>
      <x:c r="L1761" s="20" t="str">
        <x:v>2026-05-20</x:v>
      </x:c>
      <x:c r="M1761" s="20" t="str">
        <x:v>2026-05-20</x:v>
      </x:c>
      <x:c r="N1761" s="20" t="str">
        <x:v>GPT-5.5 Pro</x:v>
      </x:c>
      <x:c r="O1761" s="20" t="str">
        <x:v>Needs review</x:v>
      </x:c>
      <x:c r="P1761" s="20" t="str">
        <x:v>Screening score for European Union / Security contractors in Turkey; verify with country-specific evidence before final use.</x:v>
      </x:c>
    </x:row>
    <x:row r="1762" ht="24" customHeight="1">
      <x:c r="A1762" s="20" t="str">
        <x:v>TKM|Russia|Propaganda ecosystems</x:v>
      </x:c>
      <x:c r="B1762" s="20" t="str">
        <x:v>Turkmenistan</x:v>
      </x:c>
      <x:c r="C1762" s="20" t="str">
        <x:v>TKM</x:v>
      </x:c>
      <x:c r="D1762" s="20" t="str">
        <x:v>Russia</x:v>
      </x:c>
      <x:c r="E1762" s="20" t="str">
        <x:v>Russian influence</x:v>
      </x:c>
      <x:c r="F1762" s="20" t="str">
        <x:v>Propaganda ecosystems</x:v>
      </x:c>
      <x:c r="G1762" s="384" t="n">
        <x:v>7</x:v>
      </x:c>
      <x:c r="H1762" s="396" t="n">
        <x:v>4</x:v>
      </x:c>
      <x:c r="I1762" s="20" t="str">
        <x:v>EEAS/EUvsDisinfo FIMI source register</x:v>
      </x:c>
      <x:c r="J1762" s="397" t="str">
        <x:v>https://www.eeas.europa.eu/eeas/4th-eeas-annual-report-foreign-information-manipulation-and-interference-threats_en</x:v>
      </x:c>
      <x:c r="K1762" s="20" t="str">
        <x:v>Primary source-register URL; automated screening score</x:v>
      </x:c>
      <x:c r="L1762" s="20" t="str">
        <x:v>2026-05-20</x:v>
      </x:c>
      <x:c r="M1762" s="20" t="str">
        <x:v>2026-05-20</x:v>
      </x:c>
      <x:c r="N1762" s="20" t="str">
        <x:v>GPT-5.5 Pro</x:v>
      </x:c>
      <x:c r="O1762" s="20" t="str">
        <x:v>Needs review</x:v>
      </x:c>
      <x:c r="P1762" s="20" t="str">
        <x:v>Screening score for Russia / Propaganda ecosystems in Turkmenistan; verify with country-specific evidence before final use.</x:v>
      </x:c>
    </x:row>
    <x:row r="1763" ht="24" customHeight="1">
      <x:c r="A1763" s="20" t="str">
        <x:v>TKM|Russia|PMC presence</x:v>
      </x:c>
      <x:c r="B1763" s="20" t="str">
        <x:v>Turkmenistan</x:v>
      </x:c>
      <x:c r="C1763" s="20" t="str">
        <x:v>TKM</x:v>
      </x:c>
      <x:c r="D1763" s="20" t="str">
        <x:v>Russia</x:v>
      </x:c>
      <x:c r="E1763" s="20" t="str">
        <x:v>Russian influence</x:v>
      </x:c>
      <x:c r="F1763" s="20" t="str">
        <x:v>PMC presence</x:v>
      </x:c>
      <x:c r="G1763" s="384" t="n">
        <x:v>0</x:v>
      </x:c>
      <x:c r="H1763" s="396" t="n">
        <x:v>1</x:v>
      </x:c>
      <x:c r="I1763" s="20" t="str">
        <x:v>Treasury and Council of the EU Wagner/PMC source register</x:v>
      </x:c>
      <x:c r="J1763" s="397" t="str">
        <x:v>https://www.consilium.europa.eu/en/press/press-releases/2023/02/25/wagner-group-council-adds-11-individuals-and-7-entities-to-eu-sanctions-lists/</x:v>
      </x:c>
      <x:c r="K1763" s="20" t="str">
        <x:v>Primary source-register URL; automated screening score</x:v>
      </x:c>
      <x:c r="L1763" s="20" t="str">
        <x:v>2026-05-20</x:v>
      </x:c>
      <x:c r="M1763" s="20" t="str">
        <x:v>2026-05-20</x:v>
      </x:c>
      <x:c r="N1763" s="20" t="str">
        <x:v>GPT-5.5 Pro</x:v>
      </x:c>
      <x:c r="O1763" s="20" t="str">
        <x:v>Needs review</x:v>
      </x:c>
      <x:c r="P1763" s="20" t="str">
        <x:v>Screening score for Russia / PMC presence in Turkmenistan; verify with country-specific evidence before final use.</x:v>
      </x:c>
    </x:row>
    <x:row r="1764" ht="24" customHeight="1">
      <x:c r="A1764" s="20" t="str">
        <x:v>TKM|Russia|Election interference</x:v>
      </x:c>
      <x:c r="B1764" s="20" t="str">
        <x:v>Turkmenistan</x:v>
      </x:c>
      <x:c r="C1764" s="20" t="str">
        <x:v>TKM</x:v>
      </x:c>
      <x:c r="D1764" s="20" t="str">
        <x:v>Russia</x:v>
      </x:c>
      <x:c r="E1764" s="20" t="str">
        <x:v>Russian influence</x:v>
      </x:c>
      <x:c r="F1764" s="20" t="str">
        <x:v>Election interference</x:v>
      </x:c>
      <x:c r="G1764" s="384" t="n">
        <x:v>0</x:v>
      </x:c>
      <x:c r="H1764" s="396" t="n">
        <x:v>1</x:v>
      </x:c>
      <x:c r="I1764" s="20" t="str">
        <x:v>ODNI/EEAS election-FIMI source register</x:v>
      </x:c>
      <x:c r="J1764" s="397" t="str">
        <x:v>https://www.dni.gov/files/ODNI/documents/assessments/ATA-2026-Unclassified-Report.pdf</x:v>
      </x:c>
      <x:c r="K1764" s="20" t="str">
        <x:v>Primary source-register URL; automated screening score</x:v>
      </x:c>
      <x:c r="L1764" s="20" t="str">
        <x:v>2026-05-20</x:v>
      </x:c>
      <x:c r="M1764" s="20" t="str">
        <x:v>2026-05-20</x:v>
      </x:c>
      <x:c r="N1764" s="20" t="str">
        <x:v>GPT-5.5 Pro</x:v>
      </x:c>
      <x:c r="O1764" s="20" t="str">
        <x:v>Needs review</x:v>
      </x:c>
      <x:c r="P1764" s="20" t="str">
        <x:v>Screening score for Russia / Election interference in Turkmenistan; verify with country-specific evidence before final use.</x:v>
      </x:c>
    </x:row>
    <x:row r="1765" ht="24" customHeight="1">
      <x:c r="A1765" s="20" t="str">
        <x:v>TKM|Russia|Security contractors</x:v>
      </x:c>
      <x:c r="B1765" s="20" t="str">
        <x:v>Turkmenistan</x:v>
      </x:c>
      <x:c r="C1765" s="20" t="str">
        <x:v>TKM</x:v>
      </x:c>
      <x:c r="D1765" s="20" t="str">
        <x:v>Russia</x:v>
      </x:c>
      <x:c r="E1765" s="20" t="str">
        <x:v>Russian influence</x:v>
      </x:c>
      <x:c r="F1765" s="20" t="str">
        <x:v>Security contractors</x:v>
      </x:c>
      <x:c r="G1765" s="384" t="n">
        <x:v>0</x:v>
      </x:c>
      <x:c r="H1765" s="396" t="n">
        <x:v>1</x:v>
      </x:c>
      <x:c r="I1765" s="20" t="str">
        <x:v>Council of the EU/Treasury Wagner-security source register</x:v>
      </x:c>
      <x:c r="J1765" s="397" t="str">
        <x:v>https://www.consilium.europa.eu/en/press/press-releases/2023/02/25/wagner-group-council-adds-11-individuals-and-7-entities-to-eu-sanctions-lists/</x:v>
      </x:c>
      <x:c r="K1765" s="20" t="str">
        <x:v>Primary source-register URL; automated screening score</x:v>
      </x:c>
      <x:c r="L1765" s="20" t="str">
        <x:v>2026-05-20</x:v>
      </x:c>
      <x:c r="M1765" s="20" t="str">
        <x:v>2026-05-20</x:v>
      </x:c>
      <x:c r="N1765" s="20" t="str">
        <x:v>GPT-5.5 Pro</x:v>
      </x:c>
      <x:c r="O1765" s="20" t="str">
        <x:v>Needs review</x:v>
      </x:c>
      <x:c r="P1765" s="20" t="str">
        <x:v>Screening score for Russia / Security contractors in Turkmenistan; verify with country-specific evidence before final use.</x:v>
      </x:c>
    </x:row>
    <x:row r="1766" ht="24" customHeight="1">
      <x:c r="A1766" s="20" t="str">
        <x:v>TKM|China|Propaganda ecosystems</x:v>
      </x:c>
      <x:c r="B1766" s="20" t="str">
        <x:v>Turkmenistan</x:v>
      </x:c>
      <x:c r="C1766" s="20" t="str">
        <x:v>TKM</x:v>
      </x:c>
      <x:c r="D1766" s="20" t="str">
        <x:v>China</x:v>
      </x:c>
      <x:c r="E1766" s="20" t="str">
        <x:v>Chinese influence</x:v>
      </x:c>
      <x:c r="F1766" s="20" t="str">
        <x:v>Propaganda ecosystems</x:v>
      </x:c>
      <x:c r="G1766" s="384" t="n">
        <x:v>5</x:v>
      </x:c>
      <x:c r="H1766" s="396" t="n">
        <x:v>3</x:v>
      </x:c>
      <x:c r="I1766" s="20" t="str">
        <x:v>EEAS/ODNI China FIMI source register</x:v>
      </x:c>
      <x:c r="J1766" s="397" t="str">
        <x:v>https://www.eeas.europa.eu/eeas/4th-eeas-annual-report-foreign-information-manipulation-and-interference-threats_en</x:v>
      </x:c>
      <x:c r="K1766" s="20" t="str">
        <x:v>Primary source-register URL; automated screening score</x:v>
      </x:c>
      <x:c r="L1766" s="20" t="str">
        <x:v>2026-05-20</x:v>
      </x:c>
      <x:c r="M1766" s="20" t="str">
        <x:v>2026-05-20</x:v>
      </x:c>
      <x:c r="N1766" s="20" t="str">
        <x:v>GPT-5.5 Pro</x:v>
      </x:c>
      <x:c r="O1766" s="20" t="str">
        <x:v>Needs review</x:v>
      </x:c>
      <x:c r="P1766" s="20" t="str">
        <x:v>Screening score for China / Propaganda ecosystems in Turkmenistan; verify with country-specific evidence before final use.</x:v>
      </x:c>
    </x:row>
    <x:row r="1767" ht="24" customHeight="1">
      <x:c r="A1767" s="20" t="str">
        <x:v>TKM|China|PMC presence</x:v>
      </x:c>
      <x:c r="B1767" s="20" t="str">
        <x:v>Turkmenistan</x:v>
      </x:c>
      <x:c r="C1767" s="20" t="str">
        <x:v>TKM</x:v>
      </x:c>
      <x:c r="D1767" s="20" t="str">
        <x:v>China</x:v>
      </x:c>
      <x:c r="E1767" s="20" t="str">
        <x:v>Chinese influence</x:v>
      </x:c>
      <x:c r="F1767" s="20" t="str">
        <x:v>PMC presence</x:v>
      </x:c>
      <x:c r="G1767" s="384" t="n">
        <x:v>1</x:v>
      </x:c>
      <x:c r="H1767" s="396" t="n">
        <x:v>2</x:v>
      </x:c>
      <x:c r="I1767" s="20" t="str">
        <x:v>MERICS/Carnegie Chinese overseas PSC source register</x:v>
      </x:c>
      <x:c r="J1767" s="397" t="str">
        <x:v>https://merics.org/en/report/guardians-belt-and-road</x:v>
      </x:c>
      <x:c r="K1767" s="20" t="str">
        <x:v>Primary source-register URL; automated screening score</x:v>
      </x:c>
      <x:c r="L1767" s="20" t="str">
        <x:v>2026-05-20</x:v>
      </x:c>
      <x:c r="M1767" s="20" t="str">
        <x:v>2026-05-20</x:v>
      </x:c>
      <x:c r="N1767" s="20" t="str">
        <x:v>GPT-5.5 Pro</x:v>
      </x:c>
      <x:c r="O1767" s="20" t="str">
        <x:v>Needs review</x:v>
      </x:c>
      <x:c r="P1767" s="20" t="str">
        <x:v>Screening score for China / PMC presence in Turkmenistan; verify with country-specific evidence before final use.</x:v>
      </x:c>
    </x:row>
    <x:row r="1768" ht="24" customHeight="1">
      <x:c r="A1768" s="20" t="str">
        <x:v>TKM|China|Election interference</x:v>
      </x:c>
      <x:c r="B1768" s="20" t="str">
        <x:v>Turkmenistan</x:v>
      </x:c>
      <x:c r="C1768" s="20" t="str">
        <x:v>TKM</x:v>
      </x:c>
      <x:c r="D1768" s="20" t="str">
        <x:v>China</x:v>
      </x:c>
      <x:c r="E1768" s="20" t="str">
        <x:v>Chinese influence</x:v>
      </x:c>
      <x:c r="F1768" s="20" t="str">
        <x:v>Election interference</x:v>
      </x:c>
      <x:c r="G1768" s="384" t="n">
        <x:v>1</x:v>
      </x:c>
      <x:c r="H1768" s="396" t="n">
        <x:v>2</x:v>
      </x:c>
      <x:c r="I1768" s="20" t="str">
        <x:v>EEAS/ODNI China election-FIMI source register</x:v>
      </x:c>
      <x:c r="J1768" s="397" t="str">
        <x:v>https://www.eeas.europa.eu/eeas/4th-eeas-annual-report-foreign-information-manipulation-and-interference-threats_en</x:v>
      </x:c>
      <x:c r="K1768" s="20" t="str">
        <x:v>Primary source-register URL; automated screening score</x:v>
      </x:c>
      <x:c r="L1768" s="20" t="str">
        <x:v>2026-05-20</x:v>
      </x:c>
      <x:c r="M1768" s="20" t="str">
        <x:v>2026-05-20</x:v>
      </x:c>
      <x:c r="N1768" s="20" t="str">
        <x:v>GPT-5.5 Pro</x:v>
      </x:c>
      <x:c r="O1768" s="20" t="str">
        <x:v>Needs review</x:v>
      </x:c>
      <x:c r="P1768" s="20" t="str">
        <x:v>Screening score for China / Election interference in Turkmenistan; verify with country-specific evidence before final use.</x:v>
      </x:c>
    </x:row>
    <x:row r="1769" ht="24" customHeight="1">
      <x:c r="A1769" s="20" t="str">
        <x:v>TKM|China|Security contractors</x:v>
      </x:c>
      <x:c r="B1769" s="20" t="str">
        <x:v>Turkmenistan</x:v>
      </x:c>
      <x:c r="C1769" s="20" t="str">
        <x:v>TKM</x:v>
      </x:c>
      <x:c r="D1769" s="20" t="str">
        <x:v>China</x:v>
      </x:c>
      <x:c r="E1769" s="20" t="str">
        <x:v>Chinese influence</x:v>
      </x:c>
      <x:c r="F1769" s="20" t="str">
        <x:v>Security contractors</x:v>
      </x:c>
      <x:c r="G1769" s="384" t="n">
        <x:v>3</x:v>
      </x:c>
      <x:c r="H1769" s="396" t="n">
        <x:v>3</x:v>
      </x:c>
      <x:c r="I1769" s="20" t="str">
        <x:v>MERICS/Carnegie Chinese security contractor source register</x:v>
      </x:c>
      <x:c r="J1769" s="397" t="str">
        <x:v>https://merics.org/en/report/guardians-belt-and-road</x:v>
      </x:c>
      <x:c r="K1769" s="20" t="str">
        <x:v>Primary source-register URL; automated screening score</x:v>
      </x:c>
      <x:c r="L1769" s="20" t="str">
        <x:v>2026-05-20</x:v>
      </x:c>
      <x:c r="M1769" s="20" t="str">
        <x:v>2026-05-20</x:v>
      </x:c>
      <x:c r="N1769" s="20" t="str">
        <x:v>GPT-5.5 Pro</x:v>
      </x:c>
      <x:c r="O1769" s="20" t="str">
        <x:v>Needs review</x:v>
      </x:c>
      <x:c r="P1769" s="20" t="str">
        <x:v>Screening score for China / Security contractors in Turkmenistan; verify with country-specific evidence before final use.</x:v>
      </x:c>
    </x:row>
    <x:row r="1770" ht="24" customHeight="1">
      <x:c r="A1770" s="20" t="str">
        <x:v>TKM|United States|Propaganda ecosystems</x:v>
      </x:c>
      <x:c r="B1770" s="20" t="str">
        <x:v>Turkmenistan</x:v>
      </x:c>
      <x:c r="C1770" s="20" t="str">
        <x:v>TKM</x:v>
      </x:c>
      <x:c r="D1770" s="20" t="str">
        <x:v>United States</x:v>
      </x:c>
      <x:c r="E1770" s="20" t="str">
        <x:v>American influence</x:v>
      </x:c>
      <x:c r="F1770" s="20" t="str">
        <x:v>Propaganda ecosystems</x:v>
      </x:c>
      <x:c r="G1770" s="384" t="n">
        <x:v>4</x:v>
      </x:c>
      <x:c r="H1770" s="396" t="n">
        <x:v>3</x:v>
      </x:c>
      <x:c r="I1770" s="20" t="str">
        <x:v>USAGM public media source register</x:v>
      </x:c>
      <x:c r="J1770" s="397" t="str">
        <x:v>https://www.usagm.gov/our-work/strategy-and-results/strategic-priorities/research-reports/</x:v>
      </x:c>
      <x:c r="K1770" s="20" t="str">
        <x:v>Primary source-register URL; automated screening score</x:v>
      </x:c>
      <x:c r="L1770" s="20" t="str">
        <x:v>2026-05-20</x:v>
      </x:c>
      <x:c r="M1770" s="20" t="str">
        <x:v>2026-05-20</x:v>
      </x:c>
      <x:c r="N1770" s="20" t="str">
        <x:v>GPT-5.5 Pro</x:v>
      </x:c>
      <x:c r="O1770" s="20" t="str">
        <x:v>Needs review</x:v>
      </x:c>
      <x:c r="P1770" s="20" t="str">
        <x:v>Screening score for United States / Propaganda ecosystems in Turkmenistan; verify with country-specific evidence before final use.</x:v>
      </x:c>
    </x:row>
    <x:row r="1771" ht="24" customHeight="1">
      <x:c r="A1771" s="20" t="str">
        <x:v>TKM|United States|PMC presence</x:v>
      </x:c>
      <x:c r="B1771" s="20" t="str">
        <x:v>Turkmenistan</x:v>
      </x:c>
      <x:c r="C1771" s="20" t="str">
        <x:v>TKM</x:v>
      </x:c>
      <x:c r="D1771" s="20" t="str">
        <x:v>United States</x:v>
      </x:c>
      <x:c r="E1771" s="20" t="str">
        <x:v>American influence</x:v>
      </x:c>
      <x:c r="F1771" s="20" t="str">
        <x:v>PMC presence</x:v>
      </x:c>
      <x:c r="G1771" s="384" t="n">
        <x:v>1</x:v>
      </x:c>
      <x:c r="H1771" s="396" t="n">
        <x:v>2</x:v>
      </x:c>
      <x:c r="I1771" s="20" t="str">
        <x:v>SAM/Greenbook U.S. security assistance contractor source register</x:v>
      </x:c>
      <x:c r="J1771" s="397" t="str">
        <x:v>https://internationalpolicy.org/programs/sam/</x:v>
      </x:c>
      <x:c r="K1771" s="20" t="str">
        <x:v>Primary source-register URL; automated screening score</x:v>
      </x:c>
      <x:c r="L1771" s="20" t="str">
        <x:v>2026-05-20</x:v>
      </x:c>
      <x:c r="M1771" s="20" t="str">
        <x:v>2026-05-20</x:v>
      </x:c>
      <x:c r="N1771" s="20" t="str">
        <x:v>GPT-5.5 Pro</x:v>
      </x:c>
      <x:c r="O1771" s="20" t="str">
        <x:v>Needs review</x:v>
      </x:c>
      <x:c r="P1771" s="20" t="str">
        <x:v>Screening score for United States / PMC presence in Turkmenistan; verify with country-specific evidence before final use.</x:v>
      </x:c>
    </x:row>
    <x:row r="1772" ht="24" customHeight="1">
      <x:c r="A1772" s="20" t="str">
        <x:v>TKM|United States|Election interference</x:v>
      </x:c>
      <x:c r="B1772" s="20" t="str">
        <x:v>Turkmenistan</x:v>
      </x:c>
      <x:c r="C1772" s="20" t="str">
        <x:v>TKM</x:v>
      </x:c>
      <x:c r="D1772" s="20" t="str">
        <x:v>United States</x:v>
      </x:c>
      <x:c r="E1772" s="20" t="str">
        <x:v>American influence</x:v>
      </x:c>
      <x:c r="F1772" s="20" t="str">
        <x:v>Election interference</x:v>
      </x:c>
      <x:c r="G1772" s="384" t="n">
        <x:v>2</x:v>
      </x:c>
      <x:c r="H1772" s="396" t="n">
        <x:v>2</x:v>
      </x:c>
      <x:c r="I1772" s="20" t="str">
        <x:v>NED/Greenbook democracy assistance source register</x:v>
      </x:c>
      <x:c r="J1772" s="397" t="str">
        <x:v>https://www.ned.org/ned-grantmaking/</x:v>
      </x:c>
      <x:c r="K1772" s="20" t="str">
        <x:v>Primary source-register URL; automated screening score</x:v>
      </x:c>
      <x:c r="L1772" s="20" t="str">
        <x:v>2026-05-20</x:v>
      </x:c>
      <x:c r="M1772" s="20" t="str">
        <x:v>2026-05-20</x:v>
      </x:c>
      <x:c r="N1772" s="20" t="str">
        <x:v>GPT-5.5 Pro</x:v>
      </x:c>
      <x:c r="O1772" s="20" t="str">
        <x:v>Needs review</x:v>
      </x:c>
      <x:c r="P1772" s="20" t="str">
        <x:v>Screening score for United States / Election interference in Turkmenistan; verify with country-specific evidence before final use.</x:v>
      </x:c>
    </x:row>
    <x:row r="1773" ht="24" customHeight="1">
      <x:c r="A1773" s="20" t="str">
        <x:v>TKM|United States|Security contractors</x:v>
      </x:c>
      <x:c r="B1773" s="20" t="str">
        <x:v>Turkmenistan</x:v>
      </x:c>
      <x:c r="C1773" s="20" t="str">
        <x:v>TKM</x:v>
      </x:c>
      <x:c r="D1773" s="20" t="str">
        <x:v>United States</x:v>
      </x:c>
      <x:c r="E1773" s="20" t="str">
        <x:v>American influence</x:v>
      </x:c>
      <x:c r="F1773" s="20" t="str">
        <x:v>Security contractors</x:v>
      </x:c>
      <x:c r="G1773" s="384" t="n">
        <x:v>2</x:v>
      </x:c>
      <x:c r="H1773" s="396" t="n">
        <x:v>2</x:v>
      </x:c>
      <x:c r="I1773" s="20" t="str">
        <x:v>SAM/Greenbook U.S. security contractor source register</x:v>
      </x:c>
      <x:c r="J1773" s="397" t="str">
        <x:v>https://internationalpolicy.org/programs/sam/</x:v>
      </x:c>
      <x:c r="K1773" s="20" t="str">
        <x:v>Primary source-register URL; automated screening score</x:v>
      </x:c>
      <x:c r="L1773" s="20" t="str">
        <x:v>2026-05-20</x:v>
      </x:c>
      <x:c r="M1773" s="20" t="str">
        <x:v>2026-05-20</x:v>
      </x:c>
      <x:c r="N1773" s="20" t="str">
        <x:v>GPT-5.5 Pro</x:v>
      </x:c>
      <x:c r="O1773" s="20" t="str">
        <x:v>Needs review</x:v>
      </x:c>
      <x:c r="P1773" s="20" t="str">
        <x:v>Screening score for United States / Security contractors in Turkmenistan; verify with country-specific evidence before final use.</x:v>
      </x:c>
    </x:row>
    <x:row r="1774" ht="24" customHeight="1">
      <x:c r="A1774" s="20" t="str">
        <x:v>TKM|European Union|Propaganda ecosystems</x:v>
      </x:c>
      <x:c r="B1774" s="20" t="str">
        <x:v>Turkmenistan</x:v>
      </x:c>
      <x:c r="C1774" s="20" t="str">
        <x:v>TKM</x:v>
      </x:c>
      <x:c r="D1774" s="20" t="str">
        <x:v>European Union</x:v>
      </x:c>
      <x:c r="E1774" s="20" t="str">
        <x:v>EU influence</x:v>
      </x:c>
      <x:c r="F1774" s="20" t="str">
        <x:v>Propaganda ecosystems</x:v>
      </x:c>
      <x:c r="G1774" s="384" t="n">
        <x:v>2</x:v>
      </x:c>
      <x:c r="H1774" s="396" t="n">
        <x:v>2</x:v>
      </x:c>
      <x:c r="I1774" s="20" t="str">
        <x:v>EEAS public diplomacy source register</x:v>
      </x:c>
      <x:c r="J1774" s="397" t="str">
        <x:v>https://www.eeas.europa.eu/eeas/public-diplomacy_en</x:v>
      </x:c>
      <x:c r="K1774" s="20" t="str">
        <x:v>Primary source-register URL; automated screening score</x:v>
      </x:c>
      <x:c r="L1774" s="20" t="str">
        <x:v>2026-05-20</x:v>
      </x:c>
      <x:c r="M1774" s="20" t="str">
        <x:v>2026-05-20</x:v>
      </x:c>
      <x:c r="N1774" s="20" t="str">
        <x:v>GPT-5.5 Pro</x:v>
      </x:c>
      <x:c r="O1774" s="20" t="str">
        <x:v>Needs review</x:v>
      </x:c>
      <x:c r="P1774" s="20" t="str">
        <x:v>Screening score for European Union / Propaganda ecosystems in Turkmenistan; verify with country-specific evidence before final use.</x:v>
      </x:c>
    </x:row>
    <x:row r="1775" ht="24" customHeight="1">
      <x:c r="A1775" s="20" t="str">
        <x:v>TKM|European Union|PMC presence</x:v>
      </x:c>
      <x:c r="B1775" s="20" t="str">
        <x:v>Turkmenistan</x:v>
      </x:c>
      <x:c r="C1775" s="20" t="str">
        <x:v>TKM</x:v>
      </x:c>
      <x:c r="D1775" s="20" t="str">
        <x:v>European Union</x:v>
      </x:c>
      <x:c r="E1775" s="20" t="str">
        <x:v>EU influence</x:v>
      </x:c>
      <x:c r="F1775" s="20" t="str">
        <x:v>PMC presence</x:v>
      </x:c>
      <x:c r="G1775" s="384" t="n">
        <x:v>0</x:v>
      </x:c>
      <x:c r="H1775" s="396" t="n">
        <x:v>1</x:v>
      </x:c>
      <x:c r="I1775" s="20" t="str">
        <x:v>EEAS CSDP missions source register</x:v>
      </x:c>
      <x:c r="J1775" s="397" t="str">
        <x:v>https://www.eeas.europa.eu/eeas/missions-and-operations_en</x:v>
      </x:c>
      <x:c r="K1775" s="20" t="str">
        <x:v>Primary source-register URL; automated screening score</x:v>
      </x:c>
      <x:c r="L1775" s="20" t="str">
        <x:v>2026-05-20</x:v>
      </x:c>
      <x:c r="M1775" s="20" t="str">
        <x:v>2026-05-20</x:v>
      </x:c>
      <x:c r="N1775" s="20" t="str">
        <x:v>GPT-5.5 Pro</x:v>
      </x:c>
      <x:c r="O1775" s="20" t="str">
        <x:v>Needs review</x:v>
      </x:c>
      <x:c r="P1775" s="20" t="str">
        <x:v>Screening score for European Union / PMC presence in Turkmenistan; verify with country-specific evidence before final use.</x:v>
      </x:c>
    </x:row>
    <x:row r="1776" ht="24" customHeight="1">
      <x:c r="A1776" s="20" t="str">
        <x:v>TKM|European Union|Election interference</x:v>
      </x:c>
      <x:c r="B1776" s="20" t="str">
        <x:v>Turkmenistan</x:v>
      </x:c>
      <x:c r="C1776" s="20" t="str">
        <x:v>TKM</x:v>
      </x:c>
      <x:c r="D1776" s="20" t="str">
        <x:v>European Union</x:v>
      </x:c>
      <x:c r="E1776" s="20" t="str">
        <x:v>EU influence</x:v>
      </x:c>
      <x:c r="F1776" s="20" t="str">
        <x:v>Election interference</x:v>
      </x:c>
      <x:c r="G1776" s="384" t="n">
        <x:v>1</x:v>
      </x:c>
      <x:c r="H1776" s="396" t="n">
        <x:v>2</x:v>
      </x:c>
      <x:c r="I1776" s="20" t="str">
        <x:v>EEAS EU election observation source register</x:v>
      </x:c>
      <x:c r="J1776" s="397" t="str">
        <x:v>https://www.eeas.europa.eu/eeas/eu-election-observation-missions-1_en?page_lang=en</x:v>
      </x:c>
      <x:c r="K1776" s="20" t="str">
        <x:v>Primary source-register URL; automated screening score</x:v>
      </x:c>
      <x:c r="L1776" s="20" t="str">
        <x:v>2026-05-20</x:v>
      </x:c>
      <x:c r="M1776" s="20" t="str">
        <x:v>2026-05-20</x:v>
      </x:c>
      <x:c r="N1776" s="20" t="str">
        <x:v>GPT-5.5 Pro</x:v>
      </x:c>
      <x:c r="O1776" s="20" t="str">
        <x:v>Needs review</x:v>
      </x:c>
      <x:c r="P1776" s="20" t="str">
        <x:v>Screening score for European Union / Election interference in Turkmenistan; verify with country-specific evidence before final use.</x:v>
      </x:c>
    </x:row>
    <x:row r="1777" ht="24" customHeight="1">
      <x:c r="A1777" s="20" t="str">
        <x:v>TKM|European Union|Security contractors</x:v>
      </x:c>
      <x:c r="B1777" s="20" t="str">
        <x:v>Turkmenistan</x:v>
      </x:c>
      <x:c r="C1777" s="20" t="str">
        <x:v>TKM</x:v>
      </x:c>
      <x:c r="D1777" s="20" t="str">
        <x:v>European Union</x:v>
      </x:c>
      <x:c r="E1777" s="20" t="str">
        <x:v>EU influence</x:v>
      </x:c>
      <x:c r="F1777" s="20" t="str">
        <x:v>Security contractors</x:v>
      </x:c>
      <x:c r="G1777" s="384" t="n">
        <x:v>2</x:v>
      </x:c>
      <x:c r="H1777" s="396" t="n">
        <x:v>2</x:v>
      </x:c>
      <x:c r="I1777" s="20" t="str">
        <x:v>EEAS CSDP / Global Gateway security source register</x:v>
      </x:c>
      <x:c r="J1777" s="397" t="str">
        <x:v>https://www.eeas.europa.eu/eeas/missions-and-operations_en</x:v>
      </x:c>
      <x:c r="K1777" s="20" t="str">
        <x:v>Primary source-register URL; automated screening score</x:v>
      </x:c>
      <x:c r="L1777" s="20" t="str">
        <x:v>2026-05-20</x:v>
      </x:c>
      <x:c r="M1777" s="20" t="str">
        <x:v>2026-05-20</x:v>
      </x:c>
      <x:c r="N1777" s="20" t="str">
        <x:v>GPT-5.5 Pro</x:v>
      </x:c>
      <x:c r="O1777" s="20" t="str">
        <x:v>Needs review</x:v>
      </x:c>
      <x:c r="P1777" s="20" t="str">
        <x:v>Screening score for European Union / Security contractors in Turkmenistan; verify with country-specific evidence before final use.</x:v>
      </x:c>
    </x:row>
    <x:row r="1778" ht="24" customHeight="1">
      <x:c r="A1778" s="20" t="str">
        <x:v>TUV|Russia|Propaganda ecosystems</x:v>
      </x:c>
      <x:c r="B1778" s="20" t="str">
        <x:v>Tuvalu</x:v>
      </x:c>
      <x:c r="C1778" s="20" t="str">
        <x:v>TUV</x:v>
      </x:c>
      <x:c r="D1778" s="20" t="str">
        <x:v>Russia</x:v>
      </x:c>
      <x:c r="E1778" s="20" t="str">
        <x:v>Russian influence</x:v>
      </x:c>
      <x:c r="F1778" s="20" t="str">
        <x:v>Propaganda ecosystems</x:v>
      </x:c>
      <x:c r="G1778" s="384" t="n">
        <x:v>2</x:v>
      </x:c>
      <x:c r="H1778" s="396" t="n">
        <x:v>2</x:v>
      </x:c>
      <x:c r="I1778" s="20" t="str">
        <x:v>EEAS/EUvsDisinfo FIMI source register</x:v>
      </x:c>
      <x:c r="J1778" s="397" t="str">
        <x:v>https://www.eeas.europa.eu/eeas/4th-eeas-annual-report-foreign-information-manipulation-and-interference-threats_en</x:v>
      </x:c>
      <x:c r="K1778" s="20" t="str">
        <x:v>Primary source-register URL; automated screening score</x:v>
      </x:c>
      <x:c r="L1778" s="20" t="str">
        <x:v>2026-05-20</x:v>
      </x:c>
      <x:c r="M1778" s="20" t="str">
        <x:v>2026-05-20</x:v>
      </x:c>
      <x:c r="N1778" s="20" t="str">
        <x:v>GPT-5.5 Pro</x:v>
      </x:c>
      <x:c r="O1778" s="20" t="str">
        <x:v>Needs review</x:v>
      </x:c>
      <x:c r="P1778" s="20" t="str">
        <x:v>Screening score for Russia / Propaganda ecosystems in Tuvalu; verify with country-specific evidence before final use.</x:v>
      </x:c>
    </x:row>
    <x:row r="1779" ht="24" customHeight="1">
      <x:c r="A1779" s="20" t="str">
        <x:v>TUV|Russia|PMC presence</x:v>
      </x:c>
      <x:c r="B1779" s="20" t="str">
        <x:v>Tuvalu</x:v>
      </x:c>
      <x:c r="C1779" s="20" t="str">
        <x:v>TUV</x:v>
      </x:c>
      <x:c r="D1779" s="20" t="str">
        <x:v>Russia</x:v>
      </x:c>
      <x:c r="E1779" s="20" t="str">
        <x:v>Russian influence</x:v>
      </x:c>
      <x:c r="F1779" s="20" t="str">
        <x:v>PMC presence</x:v>
      </x:c>
      <x:c r="G1779" s="384" t="n">
        <x:v>0</x:v>
      </x:c>
      <x:c r="H1779" s="396" t="n">
        <x:v>1</x:v>
      </x:c>
      <x:c r="I1779" s="20" t="str">
        <x:v>Treasury and Council of the EU Wagner/PMC source register</x:v>
      </x:c>
      <x:c r="J1779" s="397" t="str">
        <x:v>https://www.consilium.europa.eu/en/press/press-releases/2023/02/25/wagner-group-council-adds-11-individuals-and-7-entities-to-eu-sanctions-lists/</x:v>
      </x:c>
      <x:c r="K1779" s="20" t="str">
        <x:v>Primary source-register URL; automated screening score</x:v>
      </x:c>
      <x:c r="L1779" s="20" t="str">
        <x:v>2026-05-20</x:v>
      </x:c>
      <x:c r="M1779" s="20" t="str">
        <x:v>2026-05-20</x:v>
      </x:c>
      <x:c r="N1779" s="20" t="str">
        <x:v>GPT-5.5 Pro</x:v>
      </x:c>
      <x:c r="O1779" s="20" t="str">
        <x:v>Needs review</x:v>
      </x:c>
      <x:c r="P1779" s="20" t="str">
        <x:v>Screening score for Russia / PMC presence in Tuvalu; verify with country-specific evidence before final use.</x:v>
      </x:c>
    </x:row>
    <x:row r="1780" ht="24" customHeight="1">
      <x:c r="A1780" s="20" t="str">
        <x:v>TUV|Russia|Election interference</x:v>
      </x:c>
      <x:c r="B1780" s="20" t="str">
        <x:v>Tuvalu</x:v>
      </x:c>
      <x:c r="C1780" s="20" t="str">
        <x:v>TUV</x:v>
      </x:c>
      <x:c r="D1780" s="20" t="str">
        <x:v>Russia</x:v>
      </x:c>
      <x:c r="E1780" s="20" t="str">
        <x:v>Russian influence</x:v>
      </x:c>
      <x:c r="F1780" s="20" t="str">
        <x:v>Election interference</x:v>
      </x:c>
      <x:c r="G1780" s="384" t="n">
        <x:v>0</x:v>
      </x:c>
      <x:c r="H1780" s="396" t="n">
        <x:v>1</x:v>
      </x:c>
      <x:c r="I1780" s="20" t="str">
        <x:v>ODNI/EEAS election-FIMI source register</x:v>
      </x:c>
      <x:c r="J1780" s="397" t="str">
        <x:v>https://www.dni.gov/files/ODNI/documents/assessments/ATA-2026-Unclassified-Report.pdf</x:v>
      </x:c>
      <x:c r="K1780" s="20" t="str">
        <x:v>Primary source-register URL; automated screening score</x:v>
      </x:c>
      <x:c r="L1780" s="20" t="str">
        <x:v>2026-05-20</x:v>
      </x:c>
      <x:c r="M1780" s="20" t="str">
        <x:v>2026-05-20</x:v>
      </x:c>
      <x:c r="N1780" s="20" t="str">
        <x:v>GPT-5.5 Pro</x:v>
      </x:c>
      <x:c r="O1780" s="20" t="str">
        <x:v>Needs review</x:v>
      </x:c>
      <x:c r="P1780" s="20" t="str">
        <x:v>Screening score for Russia / Election interference in Tuvalu; verify with country-specific evidence before final use.</x:v>
      </x:c>
    </x:row>
    <x:row r="1781" ht="24" customHeight="1">
      <x:c r="A1781" s="20" t="str">
        <x:v>TUV|Russia|Security contractors</x:v>
      </x:c>
      <x:c r="B1781" s="20" t="str">
        <x:v>Tuvalu</x:v>
      </x:c>
      <x:c r="C1781" s="20" t="str">
        <x:v>TUV</x:v>
      </x:c>
      <x:c r="D1781" s="20" t="str">
        <x:v>Russia</x:v>
      </x:c>
      <x:c r="E1781" s="20" t="str">
        <x:v>Russian influence</x:v>
      </x:c>
      <x:c r="F1781" s="20" t="str">
        <x:v>Security contractors</x:v>
      </x:c>
      <x:c r="G1781" s="384" t="n">
        <x:v>0</x:v>
      </x:c>
      <x:c r="H1781" s="396" t="n">
        <x:v>1</x:v>
      </x:c>
      <x:c r="I1781" s="20" t="str">
        <x:v>Council of the EU/Treasury Wagner-security source register</x:v>
      </x:c>
      <x:c r="J1781" s="397" t="str">
        <x:v>https://www.consilium.europa.eu/en/press/press-releases/2023/02/25/wagner-group-council-adds-11-individuals-and-7-entities-to-eu-sanctions-lists/</x:v>
      </x:c>
      <x:c r="K1781" s="20" t="str">
        <x:v>Primary source-register URL; automated screening score</x:v>
      </x:c>
      <x:c r="L1781" s="20" t="str">
        <x:v>2026-05-20</x:v>
      </x:c>
      <x:c r="M1781" s="20" t="str">
        <x:v>2026-05-20</x:v>
      </x:c>
      <x:c r="N1781" s="20" t="str">
        <x:v>GPT-5.5 Pro</x:v>
      </x:c>
      <x:c r="O1781" s="20" t="str">
        <x:v>Needs review</x:v>
      </x:c>
      <x:c r="P1781" s="20" t="str">
        <x:v>Screening score for Russia / Security contractors in Tuvalu; verify with country-specific evidence before final use.</x:v>
      </x:c>
    </x:row>
    <x:row r="1782" ht="24" customHeight="1">
      <x:c r="A1782" s="20" t="str">
        <x:v>TUV|China|Propaganda ecosystems</x:v>
      </x:c>
      <x:c r="B1782" s="20" t="str">
        <x:v>Tuvalu</x:v>
      </x:c>
      <x:c r="C1782" s="20" t="str">
        <x:v>TUV</x:v>
      </x:c>
      <x:c r="D1782" s="20" t="str">
        <x:v>China</x:v>
      </x:c>
      <x:c r="E1782" s="20" t="str">
        <x:v>Chinese influence</x:v>
      </x:c>
      <x:c r="F1782" s="20" t="str">
        <x:v>Propaganda ecosystems</x:v>
      </x:c>
      <x:c r="G1782" s="384" t="n">
        <x:v>7</x:v>
      </x:c>
      <x:c r="H1782" s="396" t="n">
        <x:v>4</x:v>
      </x:c>
      <x:c r="I1782" s="20" t="str">
        <x:v>EEAS/ODNI China FIMI source register</x:v>
      </x:c>
      <x:c r="J1782" s="397" t="str">
        <x:v>https://www.eeas.europa.eu/eeas/4th-eeas-annual-report-foreign-information-manipulation-and-interference-threats_en</x:v>
      </x:c>
      <x:c r="K1782" s="20" t="str">
        <x:v>Primary source-register URL; automated screening score</x:v>
      </x:c>
      <x:c r="L1782" s="20" t="str">
        <x:v>2026-05-20</x:v>
      </x:c>
      <x:c r="M1782" s="20" t="str">
        <x:v>2026-05-20</x:v>
      </x:c>
      <x:c r="N1782" s="20" t="str">
        <x:v>GPT-5.5 Pro</x:v>
      </x:c>
      <x:c r="O1782" s="20" t="str">
        <x:v>Needs review</x:v>
      </x:c>
      <x:c r="P1782" s="20" t="str">
        <x:v>Screening score for China / Propaganda ecosystems in Tuvalu; verify with country-specific evidence before final use.</x:v>
      </x:c>
    </x:row>
    <x:row r="1783" ht="24" customHeight="1">
      <x:c r="A1783" s="20" t="str">
        <x:v>TUV|China|PMC presence</x:v>
      </x:c>
      <x:c r="B1783" s="20" t="str">
        <x:v>Tuvalu</x:v>
      </x:c>
      <x:c r="C1783" s="20" t="str">
        <x:v>TUV</x:v>
      </x:c>
      <x:c r="D1783" s="20" t="str">
        <x:v>China</x:v>
      </x:c>
      <x:c r="E1783" s="20" t="str">
        <x:v>Chinese influence</x:v>
      </x:c>
      <x:c r="F1783" s="20" t="str">
        <x:v>PMC presence</x:v>
      </x:c>
      <x:c r="G1783" s="384" t="n">
        <x:v>1</x:v>
      </x:c>
      <x:c r="H1783" s="396" t="n">
        <x:v>2</x:v>
      </x:c>
      <x:c r="I1783" s="20" t="str">
        <x:v>MERICS/Carnegie Chinese overseas PSC source register</x:v>
      </x:c>
      <x:c r="J1783" s="397" t="str">
        <x:v>https://merics.org/en/report/guardians-belt-and-road</x:v>
      </x:c>
      <x:c r="K1783" s="20" t="str">
        <x:v>Primary source-register URL; automated screening score</x:v>
      </x:c>
      <x:c r="L1783" s="20" t="str">
        <x:v>2026-05-20</x:v>
      </x:c>
      <x:c r="M1783" s="20" t="str">
        <x:v>2026-05-20</x:v>
      </x:c>
      <x:c r="N1783" s="20" t="str">
        <x:v>GPT-5.5 Pro</x:v>
      </x:c>
      <x:c r="O1783" s="20" t="str">
        <x:v>Needs review</x:v>
      </x:c>
      <x:c r="P1783" s="20" t="str">
        <x:v>Screening score for China / PMC presence in Tuvalu; verify with country-specific evidence before final use.</x:v>
      </x:c>
    </x:row>
    <x:row r="1784" ht="24" customHeight="1">
      <x:c r="A1784" s="20" t="str">
        <x:v>TUV|China|Election interference</x:v>
      </x:c>
      <x:c r="B1784" s="20" t="str">
        <x:v>Tuvalu</x:v>
      </x:c>
      <x:c r="C1784" s="20" t="str">
        <x:v>TUV</x:v>
      </x:c>
      <x:c r="D1784" s="20" t="str">
        <x:v>China</x:v>
      </x:c>
      <x:c r="E1784" s="20" t="str">
        <x:v>Chinese influence</x:v>
      </x:c>
      <x:c r="F1784" s="20" t="str">
        <x:v>Election interference</x:v>
      </x:c>
      <x:c r="G1784" s="384" t="n">
        <x:v>3</x:v>
      </x:c>
      <x:c r="H1784" s="396" t="n">
        <x:v>3</x:v>
      </x:c>
      <x:c r="I1784" s="20" t="str">
        <x:v>EEAS/ODNI China election-FIMI source register</x:v>
      </x:c>
      <x:c r="J1784" s="397" t="str">
        <x:v>https://www.eeas.europa.eu/eeas/4th-eeas-annual-report-foreign-information-manipulation-and-interference-threats_en</x:v>
      </x:c>
      <x:c r="K1784" s="20" t="str">
        <x:v>Primary source-register URL; automated screening score</x:v>
      </x:c>
      <x:c r="L1784" s="20" t="str">
        <x:v>2026-05-20</x:v>
      </x:c>
      <x:c r="M1784" s="20" t="str">
        <x:v>2026-05-20</x:v>
      </x:c>
      <x:c r="N1784" s="20" t="str">
        <x:v>GPT-5.5 Pro</x:v>
      </x:c>
      <x:c r="O1784" s="20" t="str">
        <x:v>Needs review</x:v>
      </x:c>
      <x:c r="P1784" s="20" t="str">
        <x:v>Screening score for China / Election interference in Tuvalu; verify with country-specific evidence before final use.</x:v>
      </x:c>
    </x:row>
    <x:row r="1785" ht="24" customHeight="1">
      <x:c r="A1785" s="20" t="str">
        <x:v>TUV|China|Security contractors</x:v>
      </x:c>
      <x:c r="B1785" s="20" t="str">
        <x:v>Tuvalu</x:v>
      </x:c>
      <x:c r="C1785" s="20" t="str">
        <x:v>TUV</x:v>
      </x:c>
      <x:c r="D1785" s="20" t="str">
        <x:v>China</x:v>
      </x:c>
      <x:c r="E1785" s="20" t="str">
        <x:v>Chinese influence</x:v>
      </x:c>
      <x:c r="F1785" s="20" t="str">
        <x:v>Security contractors</x:v>
      </x:c>
      <x:c r="G1785" s="384" t="n">
        <x:v>2</x:v>
      </x:c>
      <x:c r="H1785" s="396" t="n">
        <x:v>2</x:v>
      </x:c>
      <x:c r="I1785" s="20" t="str">
        <x:v>MERICS/Carnegie Chinese security contractor source register</x:v>
      </x:c>
      <x:c r="J1785" s="397" t="str">
        <x:v>https://merics.org/en/report/guardians-belt-and-road</x:v>
      </x:c>
      <x:c r="K1785" s="20" t="str">
        <x:v>Primary source-register URL; automated screening score</x:v>
      </x:c>
      <x:c r="L1785" s="20" t="str">
        <x:v>2026-05-20</x:v>
      </x:c>
      <x:c r="M1785" s="20" t="str">
        <x:v>2026-05-20</x:v>
      </x:c>
      <x:c r="N1785" s="20" t="str">
        <x:v>GPT-5.5 Pro</x:v>
      </x:c>
      <x:c r="O1785" s="20" t="str">
        <x:v>Needs review</x:v>
      </x:c>
      <x:c r="P1785" s="20" t="str">
        <x:v>Screening score for China / Security contractors in Tuvalu; verify with country-specific evidence before final use.</x:v>
      </x:c>
    </x:row>
    <x:row r="1786" ht="24" customHeight="1">
      <x:c r="A1786" s="20" t="str">
        <x:v>TUV|United States|Propaganda ecosystems</x:v>
      </x:c>
      <x:c r="B1786" s="20" t="str">
        <x:v>Tuvalu</x:v>
      </x:c>
      <x:c r="C1786" s="20" t="str">
        <x:v>TUV</x:v>
      </x:c>
      <x:c r="D1786" s="20" t="str">
        <x:v>United States</x:v>
      </x:c>
      <x:c r="E1786" s="20" t="str">
        <x:v>American influence</x:v>
      </x:c>
      <x:c r="F1786" s="20" t="str">
        <x:v>Propaganda ecosystems</x:v>
      </x:c>
      <x:c r="G1786" s="384" t="n">
        <x:v>3</x:v>
      </x:c>
      <x:c r="H1786" s="396" t="n">
        <x:v>3</x:v>
      </x:c>
      <x:c r="I1786" s="20" t="str">
        <x:v>USAGM public media source register</x:v>
      </x:c>
      <x:c r="J1786" s="397" t="str">
        <x:v>https://www.usagm.gov/our-work/strategy-and-results/strategic-priorities/research-reports/</x:v>
      </x:c>
      <x:c r="K1786" s="20" t="str">
        <x:v>Primary source-register URL; automated screening score</x:v>
      </x:c>
      <x:c r="L1786" s="20" t="str">
        <x:v>2026-05-20</x:v>
      </x:c>
      <x:c r="M1786" s="20" t="str">
        <x:v>2026-05-20</x:v>
      </x:c>
      <x:c r="N1786" s="20" t="str">
        <x:v>GPT-5.5 Pro</x:v>
      </x:c>
      <x:c r="O1786" s="20" t="str">
        <x:v>Needs review</x:v>
      </x:c>
      <x:c r="P1786" s="20" t="str">
        <x:v>Screening score for United States / Propaganda ecosystems in Tuvalu; verify with country-specific evidence before final use.</x:v>
      </x:c>
    </x:row>
    <x:row r="1787" ht="24" customHeight="1">
      <x:c r="A1787" s="20" t="str">
        <x:v>TUV|United States|PMC presence</x:v>
      </x:c>
      <x:c r="B1787" s="20" t="str">
        <x:v>Tuvalu</x:v>
      </x:c>
      <x:c r="C1787" s="20" t="str">
        <x:v>TUV</x:v>
      </x:c>
      <x:c r="D1787" s="20" t="str">
        <x:v>United States</x:v>
      </x:c>
      <x:c r="E1787" s="20" t="str">
        <x:v>American influence</x:v>
      </x:c>
      <x:c r="F1787" s="20" t="str">
        <x:v>PMC presence</x:v>
      </x:c>
      <x:c r="G1787" s="384" t="n">
        <x:v>1</x:v>
      </x:c>
      <x:c r="H1787" s="396" t="n">
        <x:v>2</x:v>
      </x:c>
      <x:c r="I1787" s="20" t="str">
        <x:v>SAM/Greenbook U.S. security assistance contractor source register</x:v>
      </x:c>
      <x:c r="J1787" s="397" t="str">
        <x:v>https://internationalpolicy.org/programs/sam/</x:v>
      </x:c>
      <x:c r="K1787" s="20" t="str">
        <x:v>Primary source-register URL; automated screening score</x:v>
      </x:c>
      <x:c r="L1787" s="20" t="str">
        <x:v>2026-05-20</x:v>
      </x:c>
      <x:c r="M1787" s="20" t="str">
        <x:v>2026-05-20</x:v>
      </x:c>
      <x:c r="N1787" s="20" t="str">
        <x:v>GPT-5.5 Pro</x:v>
      </x:c>
      <x:c r="O1787" s="20" t="str">
        <x:v>Needs review</x:v>
      </x:c>
      <x:c r="P1787" s="20" t="str">
        <x:v>Screening score for United States / PMC presence in Tuvalu; verify with country-specific evidence before final use.</x:v>
      </x:c>
    </x:row>
    <x:row r="1788" ht="24" customHeight="1">
      <x:c r="A1788" s="20" t="str">
        <x:v>TUV|United States|Election interference</x:v>
      </x:c>
      <x:c r="B1788" s="20" t="str">
        <x:v>Tuvalu</x:v>
      </x:c>
      <x:c r="C1788" s="20" t="str">
        <x:v>TUV</x:v>
      </x:c>
      <x:c r="D1788" s="20" t="str">
        <x:v>United States</x:v>
      </x:c>
      <x:c r="E1788" s="20" t="str">
        <x:v>American influence</x:v>
      </x:c>
      <x:c r="F1788" s="20" t="str">
        <x:v>Election interference</x:v>
      </x:c>
      <x:c r="G1788" s="384" t="n">
        <x:v>1</x:v>
      </x:c>
      <x:c r="H1788" s="396" t="n">
        <x:v>2</x:v>
      </x:c>
      <x:c r="I1788" s="20" t="str">
        <x:v>NED/Greenbook democracy assistance source register</x:v>
      </x:c>
      <x:c r="J1788" s="397" t="str">
        <x:v>https://www.ned.org/ned-grantmaking/</x:v>
      </x:c>
      <x:c r="K1788" s="20" t="str">
        <x:v>Primary source-register URL; automated screening score</x:v>
      </x:c>
      <x:c r="L1788" s="20" t="str">
        <x:v>2026-05-20</x:v>
      </x:c>
      <x:c r="M1788" s="20" t="str">
        <x:v>2026-05-20</x:v>
      </x:c>
      <x:c r="N1788" s="20" t="str">
        <x:v>GPT-5.5 Pro</x:v>
      </x:c>
      <x:c r="O1788" s="20" t="str">
        <x:v>Needs review</x:v>
      </x:c>
      <x:c r="P1788" s="20" t="str">
        <x:v>Screening score for United States / Election interference in Tuvalu; verify with country-specific evidence before final use.</x:v>
      </x:c>
    </x:row>
    <x:row r="1789" ht="24" customHeight="1">
      <x:c r="A1789" s="20" t="str">
        <x:v>TUV|United States|Security contractors</x:v>
      </x:c>
      <x:c r="B1789" s="20" t="str">
        <x:v>Tuvalu</x:v>
      </x:c>
      <x:c r="C1789" s="20" t="str">
        <x:v>TUV</x:v>
      </x:c>
      <x:c r="D1789" s="20" t="str">
        <x:v>United States</x:v>
      </x:c>
      <x:c r="E1789" s="20" t="str">
        <x:v>American influence</x:v>
      </x:c>
      <x:c r="F1789" s="20" t="str">
        <x:v>Security contractors</x:v>
      </x:c>
      <x:c r="G1789" s="384" t="n">
        <x:v>2</x:v>
      </x:c>
      <x:c r="H1789" s="396" t="n">
        <x:v>2</x:v>
      </x:c>
      <x:c r="I1789" s="20" t="str">
        <x:v>SAM/Greenbook U.S. security contractor source register</x:v>
      </x:c>
      <x:c r="J1789" s="397" t="str">
        <x:v>https://internationalpolicy.org/programs/sam/</x:v>
      </x:c>
      <x:c r="K1789" s="20" t="str">
        <x:v>Primary source-register URL; automated screening score</x:v>
      </x:c>
      <x:c r="L1789" s="20" t="str">
        <x:v>2026-05-20</x:v>
      </x:c>
      <x:c r="M1789" s="20" t="str">
        <x:v>2026-05-20</x:v>
      </x:c>
      <x:c r="N1789" s="20" t="str">
        <x:v>GPT-5.5 Pro</x:v>
      </x:c>
      <x:c r="O1789" s="20" t="str">
        <x:v>Needs review</x:v>
      </x:c>
      <x:c r="P1789" s="20" t="str">
        <x:v>Screening score for United States / Security contractors in Tuvalu; verify with country-specific evidence before final use.</x:v>
      </x:c>
    </x:row>
    <x:row r="1790" ht="24" customHeight="1">
      <x:c r="A1790" s="20" t="str">
        <x:v>TUV|European Union|Propaganda ecosystems</x:v>
      </x:c>
      <x:c r="B1790" s="20" t="str">
        <x:v>Tuvalu</x:v>
      </x:c>
      <x:c r="C1790" s="20" t="str">
        <x:v>TUV</x:v>
      </x:c>
      <x:c r="D1790" s="20" t="str">
        <x:v>European Union</x:v>
      </x:c>
      <x:c r="E1790" s="20" t="str">
        <x:v>EU influence</x:v>
      </x:c>
      <x:c r="F1790" s="20" t="str">
        <x:v>Propaganda ecosystems</x:v>
      </x:c>
      <x:c r="G1790" s="384" t="n">
        <x:v>2</x:v>
      </x:c>
      <x:c r="H1790" s="396" t="n">
        <x:v>2</x:v>
      </x:c>
      <x:c r="I1790" s="20" t="str">
        <x:v>EEAS public diplomacy source register</x:v>
      </x:c>
      <x:c r="J1790" s="397" t="str">
        <x:v>https://www.eeas.europa.eu/eeas/public-diplomacy_en</x:v>
      </x:c>
      <x:c r="K1790" s="20" t="str">
        <x:v>Primary source-register URL; automated screening score</x:v>
      </x:c>
      <x:c r="L1790" s="20" t="str">
        <x:v>2026-05-20</x:v>
      </x:c>
      <x:c r="M1790" s="20" t="str">
        <x:v>2026-05-20</x:v>
      </x:c>
      <x:c r="N1790" s="20" t="str">
        <x:v>GPT-5.5 Pro</x:v>
      </x:c>
      <x:c r="O1790" s="20" t="str">
        <x:v>Needs review</x:v>
      </x:c>
      <x:c r="P1790" s="20" t="str">
        <x:v>Screening score for European Union / Propaganda ecosystems in Tuvalu; verify with country-specific evidence before final use.</x:v>
      </x:c>
    </x:row>
    <x:row r="1791" ht="24" customHeight="1">
      <x:c r="A1791" s="20" t="str">
        <x:v>TUV|European Union|PMC presence</x:v>
      </x:c>
      <x:c r="B1791" s="20" t="str">
        <x:v>Tuvalu</x:v>
      </x:c>
      <x:c r="C1791" s="20" t="str">
        <x:v>TUV</x:v>
      </x:c>
      <x:c r="D1791" s="20" t="str">
        <x:v>European Union</x:v>
      </x:c>
      <x:c r="E1791" s="20" t="str">
        <x:v>EU influence</x:v>
      </x:c>
      <x:c r="F1791" s="20" t="str">
        <x:v>PMC presence</x:v>
      </x:c>
      <x:c r="G1791" s="384" t="n">
        <x:v>0</x:v>
      </x:c>
      <x:c r="H1791" s="396" t="n">
        <x:v>1</x:v>
      </x:c>
      <x:c r="I1791" s="20" t="str">
        <x:v>EEAS CSDP missions source register</x:v>
      </x:c>
      <x:c r="J1791" s="397" t="str">
        <x:v>https://www.eeas.europa.eu/eeas/missions-and-operations_en</x:v>
      </x:c>
      <x:c r="K1791" s="20" t="str">
        <x:v>Primary source-register URL; automated screening score</x:v>
      </x:c>
      <x:c r="L1791" s="20" t="str">
        <x:v>2026-05-20</x:v>
      </x:c>
      <x:c r="M1791" s="20" t="str">
        <x:v>2026-05-20</x:v>
      </x:c>
      <x:c r="N1791" s="20" t="str">
        <x:v>GPT-5.5 Pro</x:v>
      </x:c>
      <x:c r="O1791" s="20" t="str">
        <x:v>Needs review</x:v>
      </x:c>
      <x:c r="P1791" s="20" t="str">
        <x:v>Screening score for European Union / PMC presence in Tuvalu; verify with country-specific evidence before final use.</x:v>
      </x:c>
    </x:row>
    <x:row r="1792" ht="24" customHeight="1">
      <x:c r="A1792" s="20" t="str">
        <x:v>TUV|European Union|Election interference</x:v>
      </x:c>
      <x:c r="B1792" s="20" t="str">
        <x:v>Tuvalu</x:v>
      </x:c>
      <x:c r="C1792" s="20" t="str">
        <x:v>TUV</x:v>
      </x:c>
      <x:c r="D1792" s="20" t="str">
        <x:v>European Union</x:v>
      </x:c>
      <x:c r="E1792" s="20" t="str">
        <x:v>EU influence</x:v>
      </x:c>
      <x:c r="F1792" s="20" t="str">
        <x:v>Election interference</x:v>
      </x:c>
      <x:c r="G1792" s="384" t="n">
        <x:v>1</x:v>
      </x:c>
      <x:c r="H1792" s="396" t="n">
        <x:v>2</x:v>
      </x:c>
      <x:c r="I1792" s="20" t="str">
        <x:v>EEAS EU election observation source register</x:v>
      </x:c>
      <x:c r="J1792" s="397" t="str">
        <x:v>https://www.eeas.europa.eu/eeas/eu-election-observation-missions-1_en?page_lang=en</x:v>
      </x:c>
      <x:c r="K1792" s="20" t="str">
        <x:v>Primary source-register URL; automated screening score</x:v>
      </x:c>
      <x:c r="L1792" s="20" t="str">
        <x:v>2026-05-20</x:v>
      </x:c>
      <x:c r="M1792" s="20" t="str">
        <x:v>2026-05-20</x:v>
      </x:c>
      <x:c r="N1792" s="20" t="str">
        <x:v>GPT-5.5 Pro</x:v>
      </x:c>
      <x:c r="O1792" s="20" t="str">
        <x:v>Needs review</x:v>
      </x:c>
      <x:c r="P1792" s="20" t="str">
        <x:v>Screening score for European Union / Election interference in Tuvalu; verify with country-specific evidence before final use.</x:v>
      </x:c>
    </x:row>
    <x:row r="1793" ht="24" customHeight="1">
      <x:c r="A1793" s="20" t="str">
        <x:v>TUV|European Union|Security contractors</x:v>
      </x:c>
      <x:c r="B1793" s="20" t="str">
        <x:v>Tuvalu</x:v>
      </x:c>
      <x:c r="C1793" s="20" t="str">
        <x:v>TUV</x:v>
      </x:c>
      <x:c r="D1793" s="20" t="str">
        <x:v>European Union</x:v>
      </x:c>
      <x:c r="E1793" s="20" t="str">
        <x:v>EU influence</x:v>
      </x:c>
      <x:c r="F1793" s="20" t="str">
        <x:v>Security contractors</x:v>
      </x:c>
      <x:c r="G1793" s="384" t="n">
        <x:v>1</x:v>
      </x:c>
      <x:c r="H1793" s="396" t="n">
        <x:v>2</x:v>
      </x:c>
      <x:c r="I1793" s="20" t="str">
        <x:v>EEAS CSDP / Global Gateway security source register</x:v>
      </x:c>
      <x:c r="J1793" s="397" t="str">
        <x:v>https://www.eeas.europa.eu/eeas/missions-and-operations_en</x:v>
      </x:c>
      <x:c r="K1793" s="20" t="str">
        <x:v>Primary source-register URL; automated screening score</x:v>
      </x:c>
      <x:c r="L1793" s="20" t="str">
        <x:v>2026-05-20</x:v>
      </x:c>
      <x:c r="M1793" s="20" t="str">
        <x:v>2026-05-20</x:v>
      </x:c>
      <x:c r="N1793" s="20" t="str">
        <x:v>GPT-5.5 Pro</x:v>
      </x:c>
      <x:c r="O1793" s="20" t="str">
        <x:v>Needs review</x:v>
      </x:c>
      <x:c r="P1793" s="20" t="str">
        <x:v>Screening score for European Union / Security contractors in Tuvalu; verify with country-specific evidence before final use.</x:v>
      </x:c>
    </x:row>
    <x:row r="1794" ht="24" customHeight="1">
      <x:c r="A1794" s="20" t="str">
        <x:v>UGA|Russia|Propaganda ecosystems</x:v>
      </x:c>
      <x:c r="B1794" s="20" t="str">
        <x:v>Uganda</x:v>
      </x:c>
      <x:c r="C1794" s="20" t="str">
        <x:v>UGA</x:v>
      </x:c>
      <x:c r="D1794" s="20" t="str">
        <x:v>Russia</x:v>
      </x:c>
      <x:c r="E1794" s="20" t="str">
        <x:v>Russian influence</x:v>
      </x:c>
      <x:c r="F1794" s="20" t="str">
        <x:v>Propaganda ecosystems</x:v>
      </x:c>
      <x:c r="G1794" s="384" t="n">
        <x:v>4</x:v>
      </x:c>
      <x:c r="H1794" s="396" t="n">
        <x:v>3</x:v>
      </x:c>
      <x:c r="I1794" s="20" t="str">
        <x:v>EEAS/EUvsDisinfo FIMI source register</x:v>
      </x:c>
      <x:c r="J1794" s="397" t="str">
        <x:v>https://www.eeas.europa.eu/eeas/4th-eeas-annual-report-foreign-information-manipulation-and-interference-threats_en</x:v>
      </x:c>
      <x:c r="K1794" s="20" t="str">
        <x:v>Primary source-register URL; automated screening score</x:v>
      </x:c>
      <x:c r="L1794" s="20" t="str">
        <x:v>2026-05-20</x:v>
      </x:c>
      <x:c r="M1794" s="20" t="str">
        <x:v>2026-05-20</x:v>
      </x:c>
      <x:c r="N1794" s="20" t="str">
        <x:v>GPT-5.5 Pro</x:v>
      </x:c>
      <x:c r="O1794" s="20" t="str">
        <x:v>Needs review</x:v>
      </x:c>
      <x:c r="P1794" s="20" t="str">
        <x:v>Screening score for Russia / Propaganda ecosystems in Uganda; verify with country-specific evidence before final use.</x:v>
      </x:c>
    </x:row>
    <x:row r="1795" ht="24" customHeight="1">
      <x:c r="A1795" s="20" t="str">
        <x:v>UGA|Russia|PMC presence</x:v>
      </x:c>
      <x:c r="B1795" s="20" t="str">
        <x:v>Uganda</x:v>
      </x:c>
      <x:c r="C1795" s="20" t="str">
        <x:v>UGA</x:v>
      </x:c>
      <x:c r="D1795" s="20" t="str">
        <x:v>Russia</x:v>
      </x:c>
      <x:c r="E1795" s="20" t="str">
        <x:v>Russian influence</x:v>
      </x:c>
      <x:c r="F1795" s="20" t="str">
        <x:v>PMC presence</x:v>
      </x:c>
      <x:c r="G1795" s="384" t="n">
        <x:v>1</x:v>
      </x:c>
      <x:c r="H1795" s="396" t="n">
        <x:v>2</x:v>
      </x:c>
      <x:c r="I1795" s="20" t="str">
        <x:v>Treasury and Council of the EU Wagner/PMC source register</x:v>
      </x:c>
      <x:c r="J1795" s="397" t="str">
        <x:v>https://www.consilium.europa.eu/en/press/press-releases/2023/02/25/wagner-group-council-adds-11-individuals-and-7-entities-to-eu-sanctions-lists/</x:v>
      </x:c>
      <x:c r="K1795" s="20" t="str">
        <x:v>Primary source-register URL; automated screening score</x:v>
      </x:c>
      <x:c r="L1795" s="20" t="str">
        <x:v>2026-05-20</x:v>
      </x:c>
      <x:c r="M1795" s="20" t="str">
        <x:v>2026-05-20</x:v>
      </x:c>
      <x:c r="N1795" s="20" t="str">
        <x:v>GPT-5.5 Pro</x:v>
      </x:c>
      <x:c r="O1795" s="20" t="str">
        <x:v>Needs review</x:v>
      </x:c>
      <x:c r="P1795" s="20" t="str">
        <x:v>Screening score for Russia / PMC presence in Uganda; verify with country-specific evidence before final use.</x:v>
      </x:c>
    </x:row>
    <x:row r="1796" ht="24" customHeight="1">
      <x:c r="A1796" s="20" t="str">
        <x:v>UGA|Russia|Election interference</x:v>
      </x:c>
      <x:c r="B1796" s="20" t="str">
        <x:v>Uganda</x:v>
      </x:c>
      <x:c r="C1796" s="20" t="str">
        <x:v>UGA</x:v>
      </x:c>
      <x:c r="D1796" s="20" t="str">
        <x:v>Russia</x:v>
      </x:c>
      <x:c r="E1796" s="20" t="str">
        <x:v>Russian influence</x:v>
      </x:c>
      <x:c r="F1796" s="20" t="str">
        <x:v>Election interference</x:v>
      </x:c>
      <x:c r="G1796" s="384" t="n">
        <x:v>1</x:v>
      </x:c>
      <x:c r="H1796" s="396" t="n">
        <x:v>2</x:v>
      </x:c>
      <x:c r="I1796" s="20" t="str">
        <x:v>ODNI/EEAS election-FIMI source register</x:v>
      </x:c>
      <x:c r="J1796" s="397" t="str">
        <x:v>https://www.dni.gov/files/ODNI/documents/assessments/ATA-2026-Unclassified-Report.pdf</x:v>
      </x:c>
      <x:c r="K1796" s="20" t="str">
        <x:v>Primary source-register URL; automated screening score</x:v>
      </x:c>
      <x:c r="L1796" s="20" t="str">
        <x:v>2026-05-20</x:v>
      </x:c>
      <x:c r="M1796" s="20" t="str">
        <x:v>2026-05-20</x:v>
      </x:c>
      <x:c r="N1796" s="20" t="str">
        <x:v>GPT-5.5 Pro</x:v>
      </x:c>
      <x:c r="O1796" s="20" t="str">
        <x:v>Needs review</x:v>
      </x:c>
      <x:c r="P1796" s="20" t="str">
        <x:v>Screening score for Russia / Election interference in Uganda; verify with country-specific evidence before final use.</x:v>
      </x:c>
    </x:row>
    <x:row r="1797" ht="24" customHeight="1">
      <x:c r="A1797" s="20" t="str">
        <x:v>UGA|Russia|Security contractors</x:v>
      </x:c>
      <x:c r="B1797" s="20" t="str">
        <x:v>Uganda</x:v>
      </x:c>
      <x:c r="C1797" s="20" t="str">
        <x:v>UGA</x:v>
      </x:c>
      <x:c r="D1797" s="20" t="str">
        <x:v>Russia</x:v>
      </x:c>
      <x:c r="E1797" s="20" t="str">
        <x:v>Russian influence</x:v>
      </x:c>
      <x:c r="F1797" s="20" t="str">
        <x:v>Security contractors</x:v>
      </x:c>
      <x:c r="G1797" s="384" t="n">
        <x:v>1</x:v>
      </x:c>
      <x:c r="H1797" s="396" t="n">
        <x:v>2</x:v>
      </x:c>
      <x:c r="I1797" s="20" t="str">
        <x:v>Council of the EU/Treasury Wagner-security source register</x:v>
      </x:c>
      <x:c r="J1797" s="397" t="str">
        <x:v>https://www.consilium.europa.eu/en/press/press-releases/2023/02/25/wagner-group-council-adds-11-individuals-and-7-entities-to-eu-sanctions-lists/</x:v>
      </x:c>
      <x:c r="K1797" s="20" t="str">
        <x:v>Primary source-register URL; automated screening score</x:v>
      </x:c>
      <x:c r="L1797" s="20" t="str">
        <x:v>2026-05-20</x:v>
      </x:c>
      <x:c r="M1797" s="20" t="str">
        <x:v>2026-05-20</x:v>
      </x:c>
      <x:c r="N1797" s="20" t="str">
        <x:v>GPT-5.5 Pro</x:v>
      </x:c>
      <x:c r="O1797" s="20" t="str">
        <x:v>Needs review</x:v>
      </x:c>
      <x:c r="P1797" s="20" t="str">
        <x:v>Screening score for Russia / Security contractors in Uganda; verify with country-specific evidence before final use.</x:v>
      </x:c>
    </x:row>
    <x:row r="1798" ht="24" customHeight="1">
      <x:c r="A1798" s="20" t="str">
        <x:v>UGA|China|Propaganda ecosystems</x:v>
      </x:c>
      <x:c r="B1798" s="20" t="str">
        <x:v>Uganda</x:v>
      </x:c>
      <x:c r="C1798" s="20" t="str">
        <x:v>UGA</x:v>
      </x:c>
      <x:c r="D1798" s="20" t="str">
        <x:v>China</x:v>
      </x:c>
      <x:c r="E1798" s="20" t="str">
        <x:v>Chinese influence</x:v>
      </x:c>
      <x:c r="F1798" s="20" t="str">
        <x:v>Propaganda ecosystems</x:v>
      </x:c>
      <x:c r="G1798" s="384" t="n">
        <x:v>5</x:v>
      </x:c>
      <x:c r="H1798" s="396" t="n">
        <x:v>3</x:v>
      </x:c>
      <x:c r="I1798" s="20" t="str">
        <x:v>EEAS/ODNI China FIMI source register</x:v>
      </x:c>
      <x:c r="J1798" s="397" t="str">
        <x:v>https://www.eeas.europa.eu/eeas/4th-eeas-annual-report-foreign-information-manipulation-and-interference-threats_en</x:v>
      </x:c>
      <x:c r="K1798" s="20" t="str">
        <x:v>Primary source-register URL; automated screening score</x:v>
      </x:c>
      <x:c r="L1798" s="20" t="str">
        <x:v>2026-05-20</x:v>
      </x:c>
      <x:c r="M1798" s="20" t="str">
        <x:v>2026-05-20</x:v>
      </x:c>
      <x:c r="N1798" s="20" t="str">
        <x:v>GPT-5.5 Pro</x:v>
      </x:c>
      <x:c r="O1798" s="20" t="str">
        <x:v>Needs review</x:v>
      </x:c>
      <x:c r="P1798" s="20" t="str">
        <x:v>Screening score for China / Propaganda ecosystems in Uganda; verify with country-specific evidence before final use.</x:v>
      </x:c>
    </x:row>
    <x:row r="1799" ht="24" customHeight="1">
      <x:c r="A1799" s="20" t="str">
        <x:v>UGA|China|PMC presence</x:v>
      </x:c>
      <x:c r="B1799" s="20" t="str">
        <x:v>Uganda</x:v>
      </x:c>
      <x:c r="C1799" s="20" t="str">
        <x:v>UGA</x:v>
      </x:c>
      <x:c r="D1799" s="20" t="str">
        <x:v>China</x:v>
      </x:c>
      <x:c r="E1799" s="20" t="str">
        <x:v>Chinese influence</x:v>
      </x:c>
      <x:c r="F1799" s="20" t="str">
        <x:v>PMC presence</x:v>
      </x:c>
      <x:c r="G1799" s="384" t="n">
        <x:v>1</x:v>
      </x:c>
      <x:c r="H1799" s="396" t="n">
        <x:v>2</x:v>
      </x:c>
      <x:c r="I1799" s="20" t="str">
        <x:v>MERICS/Carnegie Chinese overseas PSC source register</x:v>
      </x:c>
      <x:c r="J1799" s="397" t="str">
        <x:v>https://merics.org/en/report/guardians-belt-and-road</x:v>
      </x:c>
      <x:c r="K1799" s="20" t="str">
        <x:v>Primary source-register URL; automated screening score</x:v>
      </x:c>
      <x:c r="L1799" s="20" t="str">
        <x:v>2026-05-20</x:v>
      </x:c>
      <x:c r="M1799" s="20" t="str">
        <x:v>2026-05-20</x:v>
      </x:c>
      <x:c r="N1799" s="20" t="str">
        <x:v>GPT-5.5 Pro</x:v>
      </x:c>
      <x:c r="O1799" s="20" t="str">
        <x:v>Needs review</x:v>
      </x:c>
      <x:c r="P1799" s="20" t="str">
        <x:v>Screening score for China / PMC presence in Uganda; verify with country-specific evidence before final use.</x:v>
      </x:c>
    </x:row>
    <x:row r="1800" ht="24" customHeight="1">
      <x:c r="A1800" s="20" t="str">
        <x:v>UGA|China|Election interference</x:v>
      </x:c>
      <x:c r="B1800" s="20" t="str">
        <x:v>Uganda</x:v>
      </x:c>
      <x:c r="C1800" s="20" t="str">
        <x:v>UGA</x:v>
      </x:c>
      <x:c r="D1800" s="20" t="str">
        <x:v>China</x:v>
      </x:c>
      <x:c r="E1800" s="20" t="str">
        <x:v>Chinese influence</x:v>
      </x:c>
      <x:c r="F1800" s="20" t="str">
        <x:v>Election interference</x:v>
      </x:c>
      <x:c r="G1800" s="384" t="n">
        <x:v>1</x:v>
      </x:c>
      <x:c r="H1800" s="396" t="n">
        <x:v>2</x:v>
      </x:c>
      <x:c r="I1800" s="20" t="str">
        <x:v>EEAS/ODNI China election-FIMI source register</x:v>
      </x:c>
      <x:c r="J1800" s="397" t="str">
        <x:v>https://www.eeas.europa.eu/eeas/4th-eeas-annual-report-foreign-information-manipulation-and-interference-threats_en</x:v>
      </x:c>
      <x:c r="K1800" s="20" t="str">
        <x:v>Primary source-register URL; automated screening score</x:v>
      </x:c>
      <x:c r="L1800" s="20" t="str">
        <x:v>2026-05-20</x:v>
      </x:c>
      <x:c r="M1800" s="20" t="str">
        <x:v>2026-05-20</x:v>
      </x:c>
      <x:c r="N1800" s="20" t="str">
        <x:v>GPT-5.5 Pro</x:v>
      </x:c>
      <x:c r="O1800" s="20" t="str">
        <x:v>Needs review</x:v>
      </x:c>
      <x:c r="P1800" s="20" t="str">
        <x:v>Screening score for China / Election interference in Uganda; verify with country-specific evidence before final use.</x:v>
      </x:c>
    </x:row>
    <x:row r="1801" ht="24" customHeight="1">
      <x:c r="A1801" s="20" t="str">
        <x:v>UGA|China|Security contractors</x:v>
      </x:c>
      <x:c r="B1801" s="20" t="str">
        <x:v>Uganda</x:v>
      </x:c>
      <x:c r="C1801" s="20" t="str">
        <x:v>UGA</x:v>
      </x:c>
      <x:c r="D1801" s="20" t="str">
        <x:v>China</x:v>
      </x:c>
      <x:c r="E1801" s="20" t="str">
        <x:v>Chinese influence</x:v>
      </x:c>
      <x:c r="F1801" s="20" t="str">
        <x:v>Security contractors</x:v>
      </x:c>
      <x:c r="G1801" s="384" t="n">
        <x:v>1</x:v>
      </x:c>
      <x:c r="H1801" s="396" t="n">
        <x:v>2</x:v>
      </x:c>
      <x:c r="I1801" s="20" t="str">
        <x:v>MERICS/Carnegie Chinese security contractor source register</x:v>
      </x:c>
      <x:c r="J1801" s="397" t="str">
        <x:v>https://merics.org/en/report/guardians-belt-and-road</x:v>
      </x:c>
      <x:c r="K1801" s="20" t="str">
        <x:v>Primary source-register URL; automated screening score</x:v>
      </x:c>
      <x:c r="L1801" s="20" t="str">
        <x:v>2026-05-20</x:v>
      </x:c>
      <x:c r="M1801" s="20" t="str">
        <x:v>2026-05-20</x:v>
      </x:c>
      <x:c r="N1801" s="20" t="str">
        <x:v>GPT-5.5 Pro</x:v>
      </x:c>
      <x:c r="O1801" s="20" t="str">
        <x:v>Needs review</x:v>
      </x:c>
      <x:c r="P1801" s="20" t="str">
        <x:v>Screening score for China / Security contractors in Uganda; verify with country-specific evidence before final use.</x:v>
      </x:c>
    </x:row>
    <x:row r="1802" ht="24" customHeight="1">
      <x:c r="A1802" s="20" t="str">
        <x:v>UGA|United States|Propaganda ecosystems</x:v>
      </x:c>
      <x:c r="B1802" s="20" t="str">
        <x:v>Uganda</x:v>
      </x:c>
      <x:c r="C1802" s="20" t="str">
        <x:v>UGA</x:v>
      </x:c>
      <x:c r="D1802" s="20" t="str">
        <x:v>United States</x:v>
      </x:c>
      <x:c r="E1802" s="20" t="str">
        <x:v>American influence</x:v>
      </x:c>
      <x:c r="F1802" s="20" t="str">
        <x:v>Propaganda ecosystems</x:v>
      </x:c>
      <x:c r="G1802" s="384" t="n">
        <x:v>4</x:v>
      </x:c>
      <x:c r="H1802" s="396" t="n">
        <x:v>3</x:v>
      </x:c>
      <x:c r="I1802" s="20" t="str">
        <x:v>USAGM public media source register</x:v>
      </x:c>
      <x:c r="J1802" s="397" t="str">
        <x:v>https://www.usagm.gov/our-work/strategy-and-results/strategic-priorities/research-reports/</x:v>
      </x:c>
      <x:c r="K1802" s="20" t="str">
        <x:v>Primary source-register URL; automated screening score</x:v>
      </x:c>
      <x:c r="L1802" s="20" t="str">
        <x:v>2026-05-20</x:v>
      </x:c>
      <x:c r="M1802" s="20" t="str">
        <x:v>2026-05-20</x:v>
      </x:c>
      <x:c r="N1802" s="20" t="str">
        <x:v>GPT-5.5 Pro</x:v>
      </x:c>
      <x:c r="O1802" s="20" t="str">
        <x:v>Needs review</x:v>
      </x:c>
      <x:c r="P1802" s="20" t="str">
        <x:v>Screening score for United States / Propaganda ecosystems in Uganda; verify with country-specific evidence before final use.</x:v>
      </x:c>
    </x:row>
    <x:row r="1803" ht="24" customHeight="1">
      <x:c r="A1803" s="20" t="str">
        <x:v>UGA|United States|PMC presence</x:v>
      </x:c>
      <x:c r="B1803" s="20" t="str">
        <x:v>Uganda</x:v>
      </x:c>
      <x:c r="C1803" s="20" t="str">
        <x:v>UGA</x:v>
      </x:c>
      <x:c r="D1803" s="20" t="str">
        <x:v>United States</x:v>
      </x:c>
      <x:c r="E1803" s="20" t="str">
        <x:v>American influence</x:v>
      </x:c>
      <x:c r="F1803" s="20" t="str">
        <x:v>PMC presence</x:v>
      </x:c>
      <x:c r="G1803" s="384" t="n">
        <x:v>2</x:v>
      </x:c>
      <x:c r="H1803" s="396" t="n">
        <x:v>2</x:v>
      </x:c>
      <x:c r="I1803" s="20" t="str">
        <x:v>SAM/Greenbook U.S. security assistance contractor source register</x:v>
      </x:c>
      <x:c r="J1803" s="397" t="str">
        <x:v>https://internationalpolicy.org/programs/sam/</x:v>
      </x:c>
      <x:c r="K1803" s="20" t="str">
        <x:v>Primary source-register URL; automated screening score</x:v>
      </x:c>
      <x:c r="L1803" s="20" t="str">
        <x:v>2026-05-20</x:v>
      </x:c>
      <x:c r="M1803" s="20" t="str">
        <x:v>2026-05-20</x:v>
      </x:c>
      <x:c r="N1803" s="20" t="str">
        <x:v>GPT-5.5 Pro</x:v>
      </x:c>
      <x:c r="O1803" s="20" t="str">
        <x:v>Needs review</x:v>
      </x:c>
      <x:c r="P1803" s="20" t="str">
        <x:v>Screening score for United States / PMC presence in Uganda; verify with country-specific evidence before final use.</x:v>
      </x:c>
    </x:row>
    <x:row r="1804" ht="24" customHeight="1">
      <x:c r="A1804" s="20" t="str">
        <x:v>UGA|United States|Election interference</x:v>
      </x:c>
      <x:c r="B1804" s="20" t="str">
        <x:v>Uganda</x:v>
      </x:c>
      <x:c r="C1804" s="20" t="str">
        <x:v>UGA</x:v>
      </x:c>
      <x:c r="D1804" s="20" t="str">
        <x:v>United States</x:v>
      </x:c>
      <x:c r="E1804" s="20" t="str">
        <x:v>American influence</x:v>
      </x:c>
      <x:c r="F1804" s="20" t="str">
        <x:v>Election interference</x:v>
      </x:c>
      <x:c r="G1804" s="384" t="n">
        <x:v>2</x:v>
      </x:c>
      <x:c r="H1804" s="396" t="n">
        <x:v>2</x:v>
      </x:c>
      <x:c r="I1804" s="20" t="str">
        <x:v>NED/Greenbook democracy assistance source register</x:v>
      </x:c>
      <x:c r="J1804" s="397" t="str">
        <x:v>https://www.ned.org/ned-grantmaking/</x:v>
      </x:c>
      <x:c r="K1804" s="20" t="str">
        <x:v>Primary source-register URL; automated screening score</x:v>
      </x:c>
      <x:c r="L1804" s="20" t="str">
        <x:v>2026-05-20</x:v>
      </x:c>
      <x:c r="M1804" s="20" t="str">
        <x:v>2026-05-20</x:v>
      </x:c>
      <x:c r="N1804" s="20" t="str">
        <x:v>GPT-5.5 Pro</x:v>
      </x:c>
      <x:c r="O1804" s="20" t="str">
        <x:v>Needs review</x:v>
      </x:c>
      <x:c r="P1804" s="20" t="str">
        <x:v>Screening score for United States / Election interference in Uganda; verify with country-specific evidence before final use.</x:v>
      </x:c>
    </x:row>
    <x:row r="1805" ht="24" customHeight="1">
      <x:c r="A1805" s="20" t="str">
        <x:v>UGA|United States|Security contractors</x:v>
      </x:c>
      <x:c r="B1805" s="20" t="str">
        <x:v>Uganda</x:v>
      </x:c>
      <x:c r="C1805" s="20" t="str">
        <x:v>UGA</x:v>
      </x:c>
      <x:c r="D1805" s="20" t="str">
        <x:v>United States</x:v>
      </x:c>
      <x:c r="E1805" s="20" t="str">
        <x:v>American influence</x:v>
      </x:c>
      <x:c r="F1805" s="20" t="str">
        <x:v>Security contractors</x:v>
      </x:c>
      <x:c r="G1805" s="384" t="n">
        <x:v>3</x:v>
      </x:c>
      <x:c r="H1805" s="396" t="n">
        <x:v>3</x:v>
      </x:c>
      <x:c r="I1805" s="20" t="str">
        <x:v>SAM/Greenbook U.S. security contractor source register</x:v>
      </x:c>
      <x:c r="J1805" s="397" t="str">
        <x:v>https://internationalpolicy.org/programs/sam/</x:v>
      </x:c>
      <x:c r="K1805" s="20" t="str">
        <x:v>Primary source-register URL; automated screening score</x:v>
      </x:c>
      <x:c r="L1805" s="20" t="str">
        <x:v>2026-05-20</x:v>
      </x:c>
      <x:c r="M1805" s="20" t="str">
        <x:v>2026-05-20</x:v>
      </x:c>
      <x:c r="N1805" s="20" t="str">
        <x:v>GPT-5.5 Pro</x:v>
      </x:c>
      <x:c r="O1805" s="20" t="str">
        <x:v>Needs review</x:v>
      </x:c>
      <x:c r="P1805" s="20" t="str">
        <x:v>Screening score for United States / Security contractors in Uganda; verify with country-specific evidence before final use.</x:v>
      </x:c>
    </x:row>
    <x:row r="1806" ht="24" customHeight="1">
      <x:c r="A1806" s="20" t="str">
        <x:v>UGA|European Union|Propaganda ecosystems</x:v>
      </x:c>
      <x:c r="B1806" s="20" t="str">
        <x:v>Uganda</x:v>
      </x:c>
      <x:c r="C1806" s="20" t="str">
        <x:v>UGA</x:v>
      </x:c>
      <x:c r="D1806" s="20" t="str">
        <x:v>European Union</x:v>
      </x:c>
      <x:c r="E1806" s="20" t="str">
        <x:v>EU influence</x:v>
      </x:c>
      <x:c r="F1806" s="20" t="str">
        <x:v>Propaganda ecosystems</x:v>
      </x:c>
      <x:c r="G1806" s="384" t="n">
        <x:v>3</x:v>
      </x:c>
      <x:c r="H1806" s="396" t="n">
        <x:v>3</x:v>
      </x:c>
      <x:c r="I1806" s="20" t="str">
        <x:v>EEAS public diplomacy source register</x:v>
      </x:c>
      <x:c r="J1806" s="397" t="str">
        <x:v>https://www.eeas.europa.eu/eeas/public-diplomacy_en</x:v>
      </x:c>
      <x:c r="K1806" s="20" t="str">
        <x:v>Primary source-register URL; automated screening score</x:v>
      </x:c>
      <x:c r="L1806" s="20" t="str">
        <x:v>2026-05-20</x:v>
      </x:c>
      <x:c r="M1806" s="20" t="str">
        <x:v>2026-05-20</x:v>
      </x:c>
      <x:c r="N1806" s="20" t="str">
        <x:v>GPT-5.5 Pro</x:v>
      </x:c>
      <x:c r="O1806" s="20" t="str">
        <x:v>Needs review</x:v>
      </x:c>
      <x:c r="P1806" s="20" t="str">
        <x:v>Screening score for European Union / Propaganda ecosystems in Uganda; verify with country-specific evidence before final use.</x:v>
      </x:c>
    </x:row>
    <x:row r="1807" ht="24" customHeight="1">
      <x:c r="A1807" s="20" t="str">
        <x:v>UGA|European Union|PMC presence</x:v>
      </x:c>
      <x:c r="B1807" s="20" t="str">
        <x:v>Uganda</x:v>
      </x:c>
      <x:c r="C1807" s="20" t="str">
        <x:v>UGA</x:v>
      </x:c>
      <x:c r="D1807" s="20" t="str">
        <x:v>European Union</x:v>
      </x:c>
      <x:c r="E1807" s="20" t="str">
        <x:v>EU influence</x:v>
      </x:c>
      <x:c r="F1807" s="20" t="str">
        <x:v>PMC presence</x:v>
      </x:c>
      <x:c r="G1807" s="384" t="n">
        <x:v>0</x:v>
      </x:c>
      <x:c r="H1807" s="396" t="n">
        <x:v>1</x:v>
      </x:c>
      <x:c r="I1807" s="20" t="str">
        <x:v>EEAS CSDP missions source register</x:v>
      </x:c>
      <x:c r="J1807" s="397" t="str">
        <x:v>https://www.eeas.europa.eu/eeas/missions-and-operations_en</x:v>
      </x:c>
      <x:c r="K1807" s="20" t="str">
        <x:v>Primary source-register URL; automated screening score</x:v>
      </x:c>
      <x:c r="L1807" s="20" t="str">
        <x:v>2026-05-20</x:v>
      </x:c>
      <x:c r="M1807" s="20" t="str">
        <x:v>2026-05-20</x:v>
      </x:c>
      <x:c r="N1807" s="20" t="str">
        <x:v>GPT-5.5 Pro</x:v>
      </x:c>
      <x:c r="O1807" s="20" t="str">
        <x:v>Needs review</x:v>
      </x:c>
      <x:c r="P1807" s="20" t="str">
        <x:v>Screening score for European Union / PMC presence in Uganda; verify with country-specific evidence before final use.</x:v>
      </x:c>
    </x:row>
    <x:row r="1808" ht="24" customHeight="1">
      <x:c r="A1808" s="20" t="str">
        <x:v>UGA|European Union|Election interference</x:v>
      </x:c>
      <x:c r="B1808" s="20" t="str">
        <x:v>Uganda</x:v>
      </x:c>
      <x:c r="C1808" s="20" t="str">
        <x:v>UGA</x:v>
      </x:c>
      <x:c r="D1808" s="20" t="str">
        <x:v>European Union</x:v>
      </x:c>
      <x:c r="E1808" s="20" t="str">
        <x:v>EU influence</x:v>
      </x:c>
      <x:c r="F1808" s="20" t="str">
        <x:v>Election interference</x:v>
      </x:c>
      <x:c r="G1808" s="384" t="n">
        <x:v>1</x:v>
      </x:c>
      <x:c r="H1808" s="396" t="n">
        <x:v>2</x:v>
      </x:c>
      <x:c r="I1808" s="20" t="str">
        <x:v>EEAS EU election observation source register</x:v>
      </x:c>
      <x:c r="J1808" s="397" t="str">
        <x:v>https://www.eeas.europa.eu/eeas/eu-election-observation-missions-1_en?page_lang=en</x:v>
      </x:c>
      <x:c r="K1808" s="20" t="str">
        <x:v>Primary source-register URL; automated screening score</x:v>
      </x:c>
      <x:c r="L1808" s="20" t="str">
        <x:v>2026-05-20</x:v>
      </x:c>
      <x:c r="M1808" s="20" t="str">
        <x:v>2026-05-20</x:v>
      </x:c>
      <x:c r="N1808" s="20" t="str">
        <x:v>GPT-5.5 Pro</x:v>
      </x:c>
      <x:c r="O1808" s="20" t="str">
        <x:v>Needs review</x:v>
      </x:c>
      <x:c r="P1808" s="20" t="str">
        <x:v>Screening score for European Union / Election interference in Uganda; verify with country-specific evidence before final use.</x:v>
      </x:c>
    </x:row>
    <x:row r="1809" ht="24" customHeight="1">
      <x:c r="A1809" s="20" t="str">
        <x:v>UGA|European Union|Security contractors</x:v>
      </x:c>
      <x:c r="B1809" s="20" t="str">
        <x:v>Uganda</x:v>
      </x:c>
      <x:c r="C1809" s="20" t="str">
        <x:v>UGA</x:v>
      </x:c>
      <x:c r="D1809" s="20" t="str">
        <x:v>European Union</x:v>
      </x:c>
      <x:c r="E1809" s="20" t="str">
        <x:v>EU influence</x:v>
      </x:c>
      <x:c r="F1809" s="20" t="str">
        <x:v>Security contractors</x:v>
      </x:c>
      <x:c r="G1809" s="384" t="n">
        <x:v>2</x:v>
      </x:c>
      <x:c r="H1809" s="396" t="n">
        <x:v>2</x:v>
      </x:c>
      <x:c r="I1809" s="20" t="str">
        <x:v>EEAS CSDP / Global Gateway security source register</x:v>
      </x:c>
      <x:c r="J1809" s="397" t="str">
        <x:v>https://www.eeas.europa.eu/eeas/missions-and-operations_en</x:v>
      </x:c>
      <x:c r="K1809" s="20" t="str">
        <x:v>Primary source-register URL; automated screening score</x:v>
      </x:c>
      <x:c r="L1809" s="20" t="str">
        <x:v>2026-05-20</x:v>
      </x:c>
      <x:c r="M1809" s="20" t="str">
        <x:v>2026-05-20</x:v>
      </x:c>
      <x:c r="N1809" s="20" t="str">
        <x:v>GPT-5.5 Pro</x:v>
      </x:c>
      <x:c r="O1809" s="20" t="str">
        <x:v>Needs review</x:v>
      </x:c>
      <x:c r="P1809" s="20" t="str">
        <x:v>Screening score for European Union / Security contractors in Uganda; verify with country-specific evidence before final use.</x:v>
      </x:c>
    </x:row>
    <x:row r="1810" ht="24" customHeight="1">
      <x:c r="A1810" s="20" t="str">
        <x:v>UKR|Russia|Propaganda ecosystems</x:v>
      </x:c>
      <x:c r="B1810" s="20" t="str">
        <x:v>Ukraine</x:v>
      </x:c>
      <x:c r="C1810" s="20" t="str">
        <x:v>UKR</x:v>
      </x:c>
      <x:c r="D1810" s="20" t="str">
        <x:v>Russia</x:v>
      </x:c>
      <x:c r="E1810" s="20" t="str">
        <x:v>Russian influence</x:v>
      </x:c>
      <x:c r="F1810" s="20" t="str">
        <x:v>Propaganda ecosystems</x:v>
      </x:c>
      <x:c r="G1810" s="384" t="n">
        <x:v>9</x:v>
      </x:c>
      <x:c r="H1810" s="396" t="n">
        <x:v>5</x:v>
      </x:c>
      <x:c r="I1810" s="20" t="str">
        <x:v>EEAS/EUvsDisinfo FIMI source register</x:v>
      </x:c>
      <x:c r="J1810" s="397" t="str">
        <x:v>https://www.eeas.europa.eu/eeas/4th-eeas-annual-report-foreign-information-manipulation-and-interference-threats_en</x:v>
      </x:c>
      <x:c r="K1810" s="20" t="str">
        <x:v>Primary source-register URL; automated screening score</x:v>
      </x:c>
      <x:c r="L1810" s="20" t="str">
        <x:v>2026-05-20</x:v>
      </x:c>
      <x:c r="M1810" s="20" t="str">
        <x:v>2026-05-20</x:v>
      </x:c>
      <x:c r="N1810" s="20" t="str">
        <x:v>GPT-5.5 Pro</x:v>
      </x:c>
      <x:c r="O1810" s="20" t="str">
        <x:v>Needs review</x:v>
      </x:c>
      <x:c r="P1810" s="20" t="str">
        <x:v>Screening score for Russia / Propaganda ecosystems in Ukraine; verify with country-specific evidence before final use.</x:v>
      </x:c>
    </x:row>
    <x:row r="1811" ht="24" customHeight="1">
      <x:c r="A1811" s="20" t="str">
        <x:v>UKR|Russia|PMC presence</x:v>
      </x:c>
      <x:c r="B1811" s="20" t="str">
        <x:v>Ukraine</x:v>
      </x:c>
      <x:c r="C1811" s="20" t="str">
        <x:v>UKR</x:v>
      </x:c>
      <x:c r="D1811" s="20" t="str">
        <x:v>Russia</x:v>
      </x:c>
      <x:c r="E1811" s="20" t="str">
        <x:v>Russian influence</x:v>
      </x:c>
      <x:c r="F1811" s="20" t="str">
        <x:v>PMC presence</x:v>
      </x:c>
      <x:c r="G1811" s="384" t="n">
        <x:v>10</x:v>
      </x:c>
      <x:c r="H1811" s="396" t="n">
        <x:v>5</x:v>
      </x:c>
      <x:c r="I1811" s="20" t="str">
        <x:v>Treasury and Council of the EU Wagner/PMC source register</x:v>
      </x:c>
      <x:c r="J1811" s="397" t="str">
        <x:v>https://www.consilium.europa.eu/en/press/press-releases/2023/02/25/wagner-group-council-adds-11-individuals-and-7-entities-to-eu-sanctions-lists/</x:v>
      </x:c>
      <x:c r="K1811" s="20" t="str">
        <x:v>Primary source-register URL; automated screening score</x:v>
      </x:c>
      <x:c r="L1811" s="20" t="str">
        <x:v>2026-05-20</x:v>
      </x:c>
      <x:c r="M1811" s="20" t="str">
        <x:v>2026-05-20</x:v>
      </x:c>
      <x:c r="N1811" s="20" t="str">
        <x:v>GPT-5.5 Pro</x:v>
      </x:c>
      <x:c r="O1811" s="20" t="str">
        <x:v>Needs review</x:v>
      </x:c>
      <x:c r="P1811" s="20" t="str">
        <x:v>Screening score for Russia / PMC presence in Ukraine; verify with country-specific evidence before final use.</x:v>
      </x:c>
    </x:row>
    <x:row r="1812" ht="24" customHeight="1">
      <x:c r="A1812" s="20" t="str">
        <x:v>UKR|Russia|Election interference</x:v>
      </x:c>
      <x:c r="B1812" s="20" t="str">
        <x:v>Ukraine</x:v>
      </x:c>
      <x:c r="C1812" s="20" t="str">
        <x:v>UKR</x:v>
      </x:c>
      <x:c r="D1812" s="20" t="str">
        <x:v>Russia</x:v>
      </x:c>
      <x:c r="E1812" s="20" t="str">
        <x:v>Russian influence</x:v>
      </x:c>
      <x:c r="F1812" s="20" t="str">
        <x:v>Election interference</x:v>
      </x:c>
      <x:c r="G1812" s="384" t="n">
        <x:v>8</x:v>
      </x:c>
      <x:c r="H1812" s="396" t="n">
        <x:v>4</x:v>
      </x:c>
      <x:c r="I1812" s="20" t="str">
        <x:v>ODNI/EEAS election-FIMI source register</x:v>
      </x:c>
      <x:c r="J1812" s="397" t="str">
        <x:v>https://www.dni.gov/files/ODNI/documents/assessments/ATA-2026-Unclassified-Report.pdf</x:v>
      </x:c>
      <x:c r="K1812" s="20" t="str">
        <x:v>Primary source-register URL; automated screening score</x:v>
      </x:c>
      <x:c r="L1812" s="20" t="str">
        <x:v>2026-05-20</x:v>
      </x:c>
      <x:c r="M1812" s="20" t="str">
        <x:v>2026-05-20</x:v>
      </x:c>
      <x:c r="N1812" s="20" t="str">
        <x:v>GPT-5.5 Pro</x:v>
      </x:c>
      <x:c r="O1812" s="20" t="str">
        <x:v>Needs review</x:v>
      </x:c>
      <x:c r="P1812" s="20" t="str">
        <x:v>Screening score for Russia / Election interference in Ukraine; verify with country-specific evidence before final use.</x:v>
      </x:c>
    </x:row>
    <x:row r="1813" ht="24" customHeight="1">
      <x:c r="A1813" s="20" t="str">
        <x:v>UKR|Russia|Security contractors</x:v>
      </x:c>
      <x:c r="B1813" s="20" t="str">
        <x:v>Ukraine</x:v>
      </x:c>
      <x:c r="C1813" s="20" t="str">
        <x:v>UKR</x:v>
      </x:c>
      <x:c r="D1813" s="20" t="str">
        <x:v>Russia</x:v>
      </x:c>
      <x:c r="E1813" s="20" t="str">
        <x:v>Russian influence</x:v>
      </x:c>
      <x:c r="F1813" s="20" t="str">
        <x:v>Security contractors</x:v>
      </x:c>
      <x:c r="G1813" s="384" t="n">
        <x:v>9</x:v>
      </x:c>
      <x:c r="H1813" s="396" t="n">
        <x:v>5</x:v>
      </x:c>
      <x:c r="I1813" s="20" t="str">
        <x:v>Council of the EU/Treasury Wagner-security source register</x:v>
      </x:c>
      <x:c r="J1813" s="397" t="str">
        <x:v>https://www.consilium.europa.eu/en/press/press-releases/2023/02/25/wagner-group-council-adds-11-individuals-and-7-entities-to-eu-sanctions-lists/</x:v>
      </x:c>
      <x:c r="K1813" s="20" t="str">
        <x:v>Primary source-register URL; automated screening score</x:v>
      </x:c>
      <x:c r="L1813" s="20" t="str">
        <x:v>2026-05-20</x:v>
      </x:c>
      <x:c r="M1813" s="20" t="str">
        <x:v>2026-05-20</x:v>
      </x:c>
      <x:c r="N1813" s="20" t="str">
        <x:v>GPT-5.5 Pro</x:v>
      </x:c>
      <x:c r="O1813" s="20" t="str">
        <x:v>Needs review</x:v>
      </x:c>
      <x:c r="P1813" s="20" t="str">
        <x:v>Screening score for Russia / Security contractors in Ukraine; verify with country-specific evidence before final use.</x:v>
      </x:c>
    </x:row>
    <x:row r="1814" ht="24" customHeight="1">
      <x:c r="A1814" s="20" t="str">
        <x:v>UKR|China|Propaganda ecosystems</x:v>
      </x:c>
      <x:c r="B1814" s="20" t="str">
        <x:v>Ukraine</x:v>
      </x:c>
      <x:c r="C1814" s="20" t="str">
        <x:v>UKR</x:v>
      </x:c>
      <x:c r="D1814" s="20" t="str">
        <x:v>China</x:v>
      </x:c>
      <x:c r="E1814" s="20" t="str">
        <x:v>Chinese influence</x:v>
      </x:c>
      <x:c r="F1814" s="20" t="str">
        <x:v>Propaganda ecosystems</x:v>
      </x:c>
      <x:c r="G1814" s="384" t="n">
        <x:v>4</x:v>
      </x:c>
      <x:c r="H1814" s="396" t="n">
        <x:v>3</x:v>
      </x:c>
      <x:c r="I1814" s="20" t="str">
        <x:v>EEAS/ODNI China FIMI source register</x:v>
      </x:c>
      <x:c r="J1814" s="397" t="str">
        <x:v>https://www.eeas.europa.eu/eeas/4th-eeas-annual-report-foreign-information-manipulation-and-interference-threats_en</x:v>
      </x:c>
      <x:c r="K1814" s="20" t="str">
        <x:v>Primary source-register URL; automated screening score</x:v>
      </x:c>
      <x:c r="L1814" s="20" t="str">
        <x:v>2026-05-20</x:v>
      </x:c>
      <x:c r="M1814" s="20" t="str">
        <x:v>2026-05-20</x:v>
      </x:c>
      <x:c r="N1814" s="20" t="str">
        <x:v>GPT-5.5 Pro</x:v>
      </x:c>
      <x:c r="O1814" s="20" t="str">
        <x:v>Needs review</x:v>
      </x:c>
      <x:c r="P1814" s="20" t="str">
        <x:v>Screening score for China / Propaganda ecosystems in Ukraine; verify with country-specific evidence before final use.</x:v>
      </x:c>
    </x:row>
    <x:row r="1815" ht="24" customHeight="1">
      <x:c r="A1815" s="20" t="str">
        <x:v>UKR|China|PMC presence</x:v>
      </x:c>
      <x:c r="B1815" s="20" t="str">
        <x:v>Ukraine</x:v>
      </x:c>
      <x:c r="C1815" s="20" t="str">
        <x:v>UKR</x:v>
      </x:c>
      <x:c r="D1815" s="20" t="str">
        <x:v>China</x:v>
      </x:c>
      <x:c r="E1815" s="20" t="str">
        <x:v>Chinese influence</x:v>
      </x:c>
      <x:c r="F1815" s="20" t="str">
        <x:v>PMC presence</x:v>
      </x:c>
      <x:c r="G1815" s="384" t="n">
        <x:v>0</x:v>
      </x:c>
      <x:c r="H1815" s="396" t="n">
        <x:v>1</x:v>
      </x:c>
      <x:c r="I1815" s="20" t="str">
        <x:v>MERICS/Carnegie Chinese overseas PSC source register</x:v>
      </x:c>
      <x:c r="J1815" s="397" t="str">
        <x:v>https://merics.org/en/report/guardians-belt-and-road</x:v>
      </x:c>
      <x:c r="K1815" s="20" t="str">
        <x:v>Primary source-register URL; automated screening score</x:v>
      </x:c>
      <x:c r="L1815" s="20" t="str">
        <x:v>2026-05-20</x:v>
      </x:c>
      <x:c r="M1815" s="20" t="str">
        <x:v>2026-05-20</x:v>
      </x:c>
      <x:c r="N1815" s="20" t="str">
        <x:v>GPT-5.5 Pro</x:v>
      </x:c>
      <x:c r="O1815" s="20" t="str">
        <x:v>Needs review</x:v>
      </x:c>
      <x:c r="P1815" s="20" t="str">
        <x:v>Screening score for China / PMC presence in Ukraine; verify with country-specific evidence before final use.</x:v>
      </x:c>
    </x:row>
    <x:row r="1816" ht="24" customHeight="1">
      <x:c r="A1816" s="20" t="str">
        <x:v>UKR|China|Election interference</x:v>
      </x:c>
      <x:c r="B1816" s="20" t="str">
        <x:v>Ukraine</x:v>
      </x:c>
      <x:c r="C1816" s="20" t="str">
        <x:v>UKR</x:v>
      </x:c>
      <x:c r="D1816" s="20" t="str">
        <x:v>China</x:v>
      </x:c>
      <x:c r="E1816" s="20" t="str">
        <x:v>Chinese influence</x:v>
      </x:c>
      <x:c r="F1816" s="20" t="str">
        <x:v>Election interference</x:v>
      </x:c>
      <x:c r="G1816" s="384" t="n">
        <x:v>2</x:v>
      </x:c>
      <x:c r="H1816" s="396" t="n">
        <x:v>2</x:v>
      </x:c>
      <x:c r="I1816" s="20" t="str">
        <x:v>EEAS/ODNI China election-FIMI source register</x:v>
      </x:c>
      <x:c r="J1816" s="397" t="str">
        <x:v>https://www.eeas.europa.eu/eeas/4th-eeas-annual-report-foreign-information-manipulation-and-interference-threats_en</x:v>
      </x:c>
      <x:c r="K1816" s="20" t="str">
        <x:v>Primary source-register URL; automated screening score</x:v>
      </x:c>
      <x:c r="L1816" s="20" t="str">
        <x:v>2026-05-20</x:v>
      </x:c>
      <x:c r="M1816" s="20" t="str">
        <x:v>2026-05-20</x:v>
      </x:c>
      <x:c r="N1816" s="20" t="str">
        <x:v>GPT-5.5 Pro</x:v>
      </x:c>
      <x:c r="O1816" s="20" t="str">
        <x:v>Needs review</x:v>
      </x:c>
      <x:c r="P1816" s="20" t="str">
        <x:v>Screening score for China / Election interference in Ukraine; verify with country-specific evidence before final use.</x:v>
      </x:c>
    </x:row>
    <x:row r="1817" ht="24" customHeight="1">
      <x:c r="A1817" s="20" t="str">
        <x:v>UKR|China|Security contractors</x:v>
      </x:c>
      <x:c r="B1817" s="20" t="str">
        <x:v>Ukraine</x:v>
      </x:c>
      <x:c r="C1817" s="20" t="str">
        <x:v>UKR</x:v>
      </x:c>
      <x:c r="D1817" s="20" t="str">
        <x:v>China</x:v>
      </x:c>
      <x:c r="E1817" s="20" t="str">
        <x:v>Chinese influence</x:v>
      </x:c>
      <x:c r="F1817" s="20" t="str">
        <x:v>Security contractors</x:v>
      </x:c>
      <x:c r="G1817" s="384" t="n">
        <x:v>0</x:v>
      </x:c>
      <x:c r="H1817" s="396" t="n">
        <x:v>1</x:v>
      </x:c>
      <x:c r="I1817" s="20" t="str">
        <x:v>MERICS/Carnegie Chinese security contractor source register</x:v>
      </x:c>
      <x:c r="J1817" s="397" t="str">
        <x:v>https://merics.org/en/report/guardians-belt-and-road</x:v>
      </x:c>
      <x:c r="K1817" s="20" t="str">
        <x:v>Primary source-register URL; automated screening score</x:v>
      </x:c>
      <x:c r="L1817" s="20" t="str">
        <x:v>2026-05-20</x:v>
      </x:c>
      <x:c r="M1817" s="20" t="str">
        <x:v>2026-05-20</x:v>
      </x:c>
      <x:c r="N1817" s="20" t="str">
        <x:v>GPT-5.5 Pro</x:v>
      </x:c>
      <x:c r="O1817" s="20" t="str">
        <x:v>Needs review</x:v>
      </x:c>
      <x:c r="P1817" s="20" t="str">
        <x:v>Screening score for China / Security contractors in Ukraine; verify with country-specific evidence before final use.</x:v>
      </x:c>
    </x:row>
    <x:row r="1818" ht="24" customHeight="1">
      <x:c r="A1818" s="20" t="str">
        <x:v>UKR|United States|Propaganda ecosystems</x:v>
      </x:c>
      <x:c r="B1818" s="20" t="str">
        <x:v>Ukraine</x:v>
      </x:c>
      <x:c r="C1818" s="20" t="str">
        <x:v>UKR</x:v>
      </x:c>
      <x:c r="D1818" s="20" t="str">
        <x:v>United States</x:v>
      </x:c>
      <x:c r="E1818" s="20" t="str">
        <x:v>American influence</x:v>
      </x:c>
      <x:c r="F1818" s="20" t="str">
        <x:v>Propaganda ecosystems</x:v>
      </x:c>
      <x:c r="G1818" s="384" t="n">
        <x:v>6</x:v>
      </x:c>
      <x:c r="H1818" s="396" t="n">
        <x:v>4</x:v>
      </x:c>
      <x:c r="I1818" s="20" t="str">
        <x:v>USAGM public media source register</x:v>
      </x:c>
      <x:c r="J1818" s="397" t="str">
        <x:v>https://www.usagm.gov/our-work/strategy-and-results/strategic-priorities/research-reports/</x:v>
      </x:c>
      <x:c r="K1818" s="20" t="str">
        <x:v>Primary source-register URL; automated screening score</x:v>
      </x:c>
      <x:c r="L1818" s="20" t="str">
        <x:v>2026-05-20</x:v>
      </x:c>
      <x:c r="M1818" s="20" t="str">
        <x:v>2026-05-20</x:v>
      </x:c>
      <x:c r="N1818" s="20" t="str">
        <x:v>GPT-5.5 Pro</x:v>
      </x:c>
      <x:c r="O1818" s="20" t="str">
        <x:v>Needs review</x:v>
      </x:c>
      <x:c r="P1818" s="20" t="str">
        <x:v>Screening score for United States / Propaganda ecosystems in Ukraine; verify with country-specific evidence before final use.</x:v>
      </x:c>
    </x:row>
    <x:row r="1819" ht="24" customHeight="1">
      <x:c r="A1819" s="20" t="str">
        <x:v>UKR|United States|PMC presence</x:v>
      </x:c>
      <x:c r="B1819" s="20" t="str">
        <x:v>Ukraine</x:v>
      </x:c>
      <x:c r="C1819" s="20" t="str">
        <x:v>UKR</x:v>
      </x:c>
      <x:c r="D1819" s="20" t="str">
        <x:v>United States</x:v>
      </x:c>
      <x:c r="E1819" s="20" t="str">
        <x:v>American influence</x:v>
      </x:c>
      <x:c r="F1819" s="20" t="str">
        <x:v>PMC presence</x:v>
      </x:c>
      <x:c r="G1819" s="384" t="n">
        <x:v>6</x:v>
      </x:c>
      <x:c r="H1819" s="396" t="n">
        <x:v>4</x:v>
      </x:c>
      <x:c r="I1819" s="20" t="str">
        <x:v>SAM/Greenbook U.S. security assistance contractor source register</x:v>
      </x:c>
      <x:c r="J1819" s="397" t="str">
        <x:v>https://internationalpolicy.org/programs/sam/</x:v>
      </x:c>
      <x:c r="K1819" s="20" t="str">
        <x:v>Primary source-register URL; automated screening score</x:v>
      </x:c>
      <x:c r="L1819" s="20" t="str">
        <x:v>2026-05-20</x:v>
      </x:c>
      <x:c r="M1819" s="20" t="str">
        <x:v>2026-05-20</x:v>
      </x:c>
      <x:c r="N1819" s="20" t="str">
        <x:v>GPT-5.5 Pro</x:v>
      </x:c>
      <x:c r="O1819" s="20" t="str">
        <x:v>Needs review</x:v>
      </x:c>
      <x:c r="P1819" s="20" t="str">
        <x:v>Screening score for United States / PMC presence in Ukraine; verify with country-specific evidence before final use.</x:v>
      </x:c>
    </x:row>
    <x:row r="1820" ht="24" customHeight="1">
      <x:c r="A1820" s="20" t="str">
        <x:v>UKR|United States|Election interference</x:v>
      </x:c>
      <x:c r="B1820" s="20" t="str">
        <x:v>Ukraine</x:v>
      </x:c>
      <x:c r="C1820" s="20" t="str">
        <x:v>UKR</x:v>
      </x:c>
      <x:c r="D1820" s="20" t="str">
        <x:v>United States</x:v>
      </x:c>
      <x:c r="E1820" s="20" t="str">
        <x:v>American influence</x:v>
      </x:c>
      <x:c r="F1820" s="20" t="str">
        <x:v>Election interference</x:v>
      </x:c>
      <x:c r="G1820" s="384" t="n">
        <x:v>4</x:v>
      </x:c>
      <x:c r="H1820" s="396" t="n">
        <x:v>3</x:v>
      </x:c>
      <x:c r="I1820" s="20" t="str">
        <x:v>NED/Greenbook democracy assistance source register</x:v>
      </x:c>
      <x:c r="J1820" s="397" t="str">
        <x:v>https://www.ned.org/ned-grantmaking/</x:v>
      </x:c>
      <x:c r="K1820" s="20" t="str">
        <x:v>Primary source-register URL; automated screening score</x:v>
      </x:c>
      <x:c r="L1820" s="20" t="str">
        <x:v>2026-05-20</x:v>
      </x:c>
      <x:c r="M1820" s="20" t="str">
        <x:v>2026-05-20</x:v>
      </x:c>
      <x:c r="N1820" s="20" t="str">
        <x:v>GPT-5.5 Pro</x:v>
      </x:c>
      <x:c r="O1820" s="20" t="str">
        <x:v>Needs review</x:v>
      </x:c>
      <x:c r="P1820" s="20" t="str">
        <x:v>Screening score for United States / Election interference in Ukraine; verify with country-specific evidence before final use.</x:v>
      </x:c>
    </x:row>
    <x:row r="1821" ht="24" customHeight="1">
      <x:c r="A1821" s="20" t="str">
        <x:v>UKR|United States|Security contractors</x:v>
      </x:c>
      <x:c r="B1821" s="20" t="str">
        <x:v>Ukraine</x:v>
      </x:c>
      <x:c r="C1821" s="20" t="str">
        <x:v>UKR</x:v>
      </x:c>
      <x:c r="D1821" s="20" t="str">
        <x:v>United States</x:v>
      </x:c>
      <x:c r="E1821" s="20" t="str">
        <x:v>American influence</x:v>
      </x:c>
      <x:c r="F1821" s="20" t="str">
        <x:v>Security contractors</x:v>
      </x:c>
      <x:c r="G1821" s="384" t="n">
        <x:v>8</x:v>
      </x:c>
      <x:c r="H1821" s="396" t="n">
        <x:v>4</x:v>
      </x:c>
      <x:c r="I1821" s="20" t="str">
        <x:v>SAM/Greenbook U.S. security contractor source register</x:v>
      </x:c>
      <x:c r="J1821" s="397" t="str">
        <x:v>https://internationalpolicy.org/programs/sam/</x:v>
      </x:c>
      <x:c r="K1821" s="20" t="str">
        <x:v>Primary source-register URL; automated screening score</x:v>
      </x:c>
      <x:c r="L1821" s="20" t="str">
        <x:v>2026-05-20</x:v>
      </x:c>
      <x:c r="M1821" s="20" t="str">
        <x:v>2026-05-20</x:v>
      </x:c>
      <x:c r="N1821" s="20" t="str">
        <x:v>GPT-5.5 Pro</x:v>
      </x:c>
      <x:c r="O1821" s="20" t="str">
        <x:v>Needs review</x:v>
      </x:c>
      <x:c r="P1821" s="20" t="str">
        <x:v>Screening score for United States / Security contractors in Ukraine; verify with country-specific evidence before final use.</x:v>
      </x:c>
    </x:row>
    <x:row r="1822" ht="24" customHeight="1">
      <x:c r="A1822" s="20" t="str">
        <x:v>UKR|European Union|Propaganda ecosystems</x:v>
      </x:c>
      <x:c r="B1822" s="20" t="str">
        <x:v>Ukraine</x:v>
      </x:c>
      <x:c r="C1822" s="20" t="str">
        <x:v>UKR</x:v>
      </x:c>
      <x:c r="D1822" s="20" t="str">
        <x:v>European Union</x:v>
      </x:c>
      <x:c r="E1822" s="20" t="str">
        <x:v>EU influence</x:v>
      </x:c>
      <x:c r="F1822" s="20" t="str">
        <x:v>Propaganda ecosystems</x:v>
      </x:c>
      <x:c r="G1822" s="384" t="n">
        <x:v>7</x:v>
      </x:c>
      <x:c r="H1822" s="396" t="n">
        <x:v>4</x:v>
      </x:c>
      <x:c r="I1822" s="20" t="str">
        <x:v>EEAS public diplomacy source register</x:v>
      </x:c>
      <x:c r="J1822" s="397" t="str">
        <x:v>https://www.eeas.europa.eu/eeas/public-diplomacy_en</x:v>
      </x:c>
      <x:c r="K1822" s="20" t="str">
        <x:v>Primary source-register URL; automated screening score</x:v>
      </x:c>
      <x:c r="L1822" s="20" t="str">
        <x:v>2026-05-20</x:v>
      </x:c>
      <x:c r="M1822" s="20" t="str">
        <x:v>2026-05-20</x:v>
      </x:c>
      <x:c r="N1822" s="20" t="str">
        <x:v>GPT-5.5 Pro</x:v>
      </x:c>
      <x:c r="O1822" s="20" t="str">
        <x:v>Needs review</x:v>
      </x:c>
      <x:c r="P1822" s="20" t="str">
        <x:v>Screening score for European Union / Propaganda ecosystems in Ukraine; verify with country-specific evidence before final use.</x:v>
      </x:c>
    </x:row>
    <x:row r="1823" ht="24" customHeight="1">
      <x:c r="A1823" s="20" t="str">
        <x:v>UKR|European Union|PMC presence</x:v>
      </x:c>
      <x:c r="B1823" s="20" t="str">
        <x:v>Ukraine</x:v>
      </x:c>
      <x:c r="C1823" s="20" t="str">
        <x:v>UKR</x:v>
      </x:c>
      <x:c r="D1823" s="20" t="str">
        <x:v>European Union</x:v>
      </x:c>
      <x:c r="E1823" s="20" t="str">
        <x:v>EU influence</x:v>
      </x:c>
      <x:c r="F1823" s="20" t="str">
        <x:v>PMC presence</x:v>
      </x:c>
      <x:c r="G1823" s="384" t="n">
        <x:v>1</x:v>
      </x:c>
      <x:c r="H1823" s="396" t="n">
        <x:v>2</x:v>
      </x:c>
      <x:c r="I1823" s="20" t="str">
        <x:v>EEAS CSDP missions source register</x:v>
      </x:c>
      <x:c r="J1823" s="397" t="str">
        <x:v>https://www.eeas.europa.eu/eeas/missions-and-operations_en</x:v>
      </x:c>
      <x:c r="K1823" s="20" t="str">
        <x:v>Primary source-register URL; automated screening score</x:v>
      </x:c>
      <x:c r="L1823" s="20" t="str">
        <x:v>2026-05-20</x:v>
      </x:c>
      <x:c r="M1823" s="20" t="str">
        <x:v>2026-05-20</x:v>
      </x:c>
      <x:c r="N1823" s="20" t="str">
        <x:v>GPT-5.5 Pro</x:v>
      </x:c>
      <x:c r="O1823" s="20" t="str">
        <x:v>Needs review</x:v>
      </x:c>
      <x:c r="P1823" s="20" t="str">
        <x:v>Screening score for European Union / PMC presence in Ukraine; verify with country-specific evidence before final use.</x:v>
      </x:c>
    </x:row>
    <x:row r="1824" ht="24" customHeight="1">
      <x:c r="A1824" s="20" t="str">
        <x:v>UKR|European Union|Election interference</x:v>
      </x:c>
      <x:c r="B1824" s="20" t="str">
        <x:v>Ukraine</x:v>
      </x:c>
      <x:c r="C1824" s="20" t="str">
        <x:v>UKR</x:v>
      </x:c>
      <x:c r="D1824" s="20" t="str">
        <x:v>European Union</x:v>
      </x:c>
      <x:c r="E1824" s="20" t="str">
        <x:v>EU influence</x:v>
      </x:c>
      <x:c r="F1824" s="20" t="str">
        <x:v>Election interference</x:v>
      </x:c>
      <x:c r="G1824" s="384" t="n">
        <x:v>3</x:v>
      </x:c>
      <x:c r="H1824" s="396" t="n">
        <x:v>3</x:v>
      </x:c>
      <x:c r="I1824" s="20" t="str">
        <x:v>EEAS EU election observation source register</x:v>
      </x:c>
      <x:c r="J1824" s="397" t="str">
        <x:v>https://www.eeas.europa.eu/eeas/eu-election-observation-missions-1_en?page_lang=en</x:v>
      </x:c>
      <x:c r="K1824" s="20" t="str">
        <x:v>Primary source-register URL; automated screening score</x:v>
      </x:c>
      <x:c r="L1824" s="20" t="str">
        <x:v>2026-05-20</x:v>
      </x:c>
      <x:c r="M1824" s="20" t="str">
        <x:v>2026-05-20</x:v>
      </x:c>
      <x:c r="N1824" s="20" t="str">
        <x:v>GPT-5.5 Pro</x:v>
      </x:c>
      <x:c r="O1824" s="20" t="str">
        <x:v>Needs review</x:v>
      </x:c>
      <x:c r="P1824" s="20" t="str">
        <x:v>Screening score for European Union / Election interference in Ukraine; verify with country-specific evidence before final use.</x:v>
      </x:c>
    </x:row>
    <x:row r="1825" ht="24" customHeight="1">
      <x:c r="A1825" s="20" t="str">
        <x:v>UKR|European Union|Security contractors</x:v>
      </x:c>
      <x:c r="B1825" s="20" t="str">
        <x:v>Ukraine</x:v>
      </x:c>
      <x:c r="C1825" s="20" t="str">
        <x:v>UKR</x:v>
      </x:c>
      <x:c r="D1825" s="20" t="str">
        <x:v>European Union</x:v>
      </x:c>
      <x:c r="E1825" s="20" t="str">
        <x:v>EU influence</x:v>
      </x:c>
      <x:c r="F1825" s="20" t="str">
        <x:v>Security contractors</x:v>
      </x:c>
      <x:c r="G1825" s="384" t="n">
        <x:v>8</x:v>
      </x:c>
      <x:c r="H1825" s="396" t="n">
        <x:v>4</x:v>
      </x:c>
      <x:c r="I1825" s="20" t="str">
        <x:v>EEAS CSDP / Global Gateway security source register</x:v>
      </x:c>
      <x:c r="J1825" s="397" t="str">
        <x:v>https://www.eeas.europa.eu/eeas/missions-and-operations_en</x:v>
      </x:c>
      <x:c r="K1825" s="20" t="str">
        <x:v>Primary source-register URL; automated screening score</x:v>
      </x:c>
      <x:c r="L1825" s="20" t="str">
        <x:v>2026-05-20</x:v>
      </x:c>
      <x:c r="M1825" s="20" t="str">
        <x:v>2026-05-20</x:v>
      </x:c>
      <x:c r="N1825" s="20" t="str">
        <x:v>GPT-5.5 Pro</x:v>
      </x:c>
      <x:c r="O1825" s="20" t="str">
        <x:v>Needs review</x:v>
      </x:c>
      <x:c r="P1825" s="20" t="str">
        <x:v>Screening score for European Union / Security contractors in Ukraine; verify with country-specific evidence before final use.</x:v>
      </x:c>
    </x:row>
    <x:row r="1826" ht="24" customHeight="1">
      <x:c r="A1826" s="20" t="str">
        <x:v>ARE|Russia|Propaganda ecosystems</x:v>
      </x:c>
      <x:c r="B1826" s="20" t="str">
        <x:v>United Arab Emirates</x:v>
      </x:c>
      <x:c r="C1826" s="20" t="str">
        <x:v>ARE</x:v>
      </x:c>
      <x:c r="D1826" s="20" t="str">
        <x:v>Russia</x:v>
      </x:c>
      <x:c r="E1826" s="20" t="str">
        <x:v>Russian influence</x:v>
      </x:c>
      <x:c r="F1826" s="20" t="str">
        <x:v>Propaganda ecosystems</x:v>
      </x:c>
      <x:c r="G1826" s="384" t="n">
        <x:v>2</x:v>
      </x:c>
      <x:c r="H1826" s="396" t="n">
        <x:v>2</x:v>
      </x:c>
      <x:c r="I1826" s="20" t="str">
        <x:v>EEAS/EUvsDisinfo FIMI source register</x:v>
      </x:c>
      <x:c r="J1826" s="397" t="str">
        <x:v>https://www.eeas.europa.eu/eeas/4th-eeas-annual-report-foreign-information-manipulation-and-interference-threats_en</x:v>
      </x:c>
      <x:c r="K1826" s="20" t="str">
        <x:v>Primary source-register URL; automated screening score</x:v>
      </x:c>
      <x:c r="L1826" s="20" t="str">
        <x:v>2026-05-20</x:v>
      </x:c>
      <x:c r="M1826" s="20" t="str">
        <x:v>2026-05-20</x:v>
      </x:c>
      <x:c r="N1826" s="20" t="str">
        <x:v>GPT-5.5 Pro</x:v>
      </x:c>
      <x:c r="O1826" s="20" t="str">
        <x:v>Needs review</x:v>
      </x:c>
      <x:c r="P1826" s="20" t="str">
        <x:v>Screening score for Russia / Propaganda ecosystems in United Arab Emirates; verify with country-specific evidence before final use.</x:v>
      </x:c>
    </x:row>
    <x:row r="1827" ht="24" customHeight="1">
      <x:c r="A1827" s="20" t="str">
        <x:v>ARE|Russia|PMC presence</x:v>
      </x:c>
      <x:c r="B1827" s="20" t="str">
        <x:v>United Arab Emirates</x:v>
      </x:c>
      <x:c r="C1827" s="20" t="str">
        <x:v>ARE</x:v>
      </x:c>
      <x:c r="D1827" s="20" t="str">
        <x:v>Russia</x:v>
      </x:c>
      <x:c r="E1827" s="20" t="str">
        <x:v>Russian influence</x:v>
      </x:c>
      <x:c r="F1827" s="20" t="str">
        <x:v>PMC presence</x:v>
      </x:c>
      <x:c r="G1827" s="384" t="n">
        <x:v>0</x:v>
      </x:c>
      <x:c r="H1827" s="396" t="n">
        <x:v>1</x:v>
      </x:c>
      <x:c r="I1827" s="20" t="str">
        <x:v>Treasury and Council of the EU Wagner/PMC source register</x:v>
      </x:c>
      <x:c r="J1827" s="397" t="str">
        <x:v>https://www.consilium.europa.eu/en/press/press-releases/2023/02/25/wagner-group-council-adds-11-individuals-and-7-entities-to-eu-sanctions-lists/</x:v>
      </x:c>
      <x:c r="K1827" s="20" t="str">
        <x:v>Primary source-register URL; automated screening score</x:v>
      </x:c>
      <x:c r="L1827" s="20" t="str">
        <x:v>2026-05-20</x:v>
      </x:c>
      <x:c r="M1827" s="20" t="str">
        <x:v>2026-05-20</x:v>
      </x:c>
      <x:c r="N1827" s="20" t="str">
        <x:v>GPT-5.5 Pro</x:v>
      </x:c>
      <x:c r="O1827" s="20" t="str">
        <x:v>Needs review</x:v>
      </x:c>
      <x:c r="P1827" s="20" t="str">
        <x:v>Screening score for Russia / PMC presence in United Arab Emirates; verify with country-specific evidence before final use.</x:v>
      </x:c>
    </x:row>
    <x:row r="1828" ht="24" customHeight="1">
      <x:c r="A1828" s="20" t="str">
        <x:v>ARE|Russia|Election interference</x:v>
      </x:c>
      <x:c r="B1828" s="20" t="str">
        <x:v>United Arab Emirates</x:v>
      </x:c>
      <x:c r="C1828" s="20" t="str">
        <x:v>ARE</x:v>
      </x:c>
      <x:c r="D1828" s="20" t="str">
        <x:v>Russia</x:v>
      </x:c>
      <x:c r="E1828" s="20" t="str">
        <x:v>Russian influence</x:v>
      </x:c>
      <x:c r="F1828" s="20" t="str">
        <x:v>Election interference</x:v>
      </x:c>
      <x:c r="G1828" s="384" t="n">
        <x:v>0</x:v>
      </x:c>
      <x:c r="H1828" s="396" t="n">
        <x:v>1</x:v>
      </x:c>
      <x:c r="I1828" s="20" t="str">
        <x:v>ODNI/EEAS election-FIMI source register</x:v>
      </x:c>
      <x:c r="J1828" s="397" t="str">
        <x:v>https://www.dni.gov/files/ODNI/documents/assessments/ATA-2026-Unclassified-Report.pdf</x:v>
      </x:c>
      <x:c r="K1828" s="20" t="str">
        <x:v>Primary source-register URL; automated screening score</x:v>
      </x:c>
      <x:c r="L1828" s="20" t="str">
        <x:v>2026-05-20</x:v>
      </x:c>
      <x:c r="M1828" s="20" t="str">
        <x:v>2026-05-20</x:v>
      </x:c>
      <x:c r="N1828" s="20" t="str">
        <x:v>GPT-5.5 Pro</x:v>
      </x:c>
      <x:c r="O1828" s="20" t="str">
        <x:v>Needs review</x:v>
      </x:c>
      <x:c r="P1828" s="20" t="str">
        <x:v>Screening score for Russia / Election interference in United Arab Emirates; verify with country-specific evidence before final use.</x:v>
      </x:c>
    </x:row>
    <x:row r="1829" ht="24" customHeight="1">
      <x:c r="A1829" s="20" t="str">
        <x:v>ARE|Russia|Security contractors</x:v>
      </x:c>
      <x:c r="B1829" s="20" t="str">
        <x:v>United Arab Emirates</x:v>
      </x:c>
      <x:c r="C1829" s="20" t="str">
        <x:v>ARE</x:v>
      </x:c>
      <x:c r="D1829" s="20" t="str">
        <x:v>Russia</x:v>
      </x:c>
      <x:c r="E1829" s="20" t="str">
        <x:v>Russian influence</x:v>
      </x:c>
      <x:c r="F1829" s="20" t="str">
        <x:v>Security contractors</x:v>
      </x:c>
      <x:c r="G1829" s="384" t="n">
        <x:v>0</x:v>
      </x:c>
      <x:c r="H1829" s="396" t="n">
        <x:v>1</x:v>
      </x:c>
      <x:c r="I1829" s="20" t="str">
        <x:v>Council of the EU/Treasury Wagner-security source register</x:v>
      </x:c>
      <x:c r="J1829" s="397" t="str">
        <x:v>https://www.consilium.europa.eu/en/press/press-releases/2023/02/25/wagner-group-council-adds-11-individuals-and-7-entities-to-eu-sanctions-lists/</x:v>
      </x:c>
      <x:c r="K1829" s="20" t="str">
        <x:v>Primary source-register URL; automated screening score</x:v>
      </x:c>
      <x:c r="L1829" s="20" t="str">
        <x:v>2026-05-20</x:v>
      </x:c>
      <x:c r="M1829" s="20" t="str">
        <x:v>2026-05-20</x:v>
      </x:c>
      <x:c r="N1829" s="20" t="str">
        <x:v>GPT-5.5 Pro</x:v>
      </x:c>
      <x:c r="O1829" s="20" t="str">
        <x:v>Needs review</x:v>
      </x:c>
      <x:c r="P1829" s="20" t="str">
        <x:v>Screening score for Russia / Security contractors in United Arab Emirates; verify with country-specific evidence before final use.</x:v>
      </x:c>
    </x:row>
    <x:row r="1830" ht="24" customHeight="1">
      <x:c r="A1830" s="20" t="str">
        <x:v>ARE|China|Propaganda ecosystems</x:v>
      </x:c>
      <x:c r="B1830" s="20" t="str">
        <x:v>United Arab Emirates</x:v>
      </x:c>
      <x:c r="C1830" s="20" t="str">
        <x:v>ARE</x:v>
      </x:c>
      <x:c r="D1830" s="20" t="str">
        <x:v>China</x:v>
      </x:c>
      <x:c r="E1830" s="20" t="str">
        <x:v>Chinese influence</x:v>
      </x:c>
      <x:c r="F1830" s="20" t="str">
        <x:v>Propaganda ecosystems</x:v>
      </x:c>
      <x:c r="G1830" s="384" t="n">
        <x:v>3</x:v>
      </x:c>
      <x:c r="H1830" s="396" t="n">
        <x:v>3</x:v>
      </x:c>
      <x:c r="I1830" s="20" t="str">
        <x:v>EEAS/ODNI China FIMI source register</x:v>
      </x:c>
      <x:c r="J1830" s="397" t="str">
        <x:v>https://www.eeas.europa.eu/eeas/4th-eeas-annual-report-foreign-information-manipulation-and-interference-threats_en</x:v>
      </x:c>
      <x:c r="K1830" s="20" t="str">
        <x:v>Primary source-register URL; automated screening score</x:v>
      </x:c>
      <x:c r="L1830" s="20" t="str">
        <x:v>2026-05-20</x:v>
      </x:c>
      <x:c r="M1830" s="20" t="str">
        <x:v>2026-05-20</x:v>
      </x:c>
      <x:c r="N1830" s="20" t="str">
        <x:v>GPT-5.5 Pro</x:v>
      </x:c>
      <x:c r="O1830" s="20" t="str">
        <x:v>Needs review</x:v>
      </x:c>
      <x:c r="P1830" s="20" t="str">
        <x:v>Screening score for China / Propaganda ecosystems in United Arab Emirates; verify with country-specific evidence before final use.</x:v>
      </x:c>
    </x:row>
    <x:row r="1831" ht="24" customHeight="1">
      <x:c r="A1831" s="20" t="str">
        <x:v>ARE|China|PMC presence</x:v>
      </x:c>
      <x:c r="B1831" s="20" t="str">
        <x:v>United Arab Emirates</x:v>
      </x:c>
      <x:c r="C1831" s="20" t="str">
        <x:v>ARE</x:v>
      </x:c>
      <x:c r="D1831" s="20" t="str">
        <x:v>China</x:v>
      </x:c>
      <x:c r="E1831" s="20" t="str">
        <x:v>Chinese influence</x:v>
      </x:c>
      <x:c r="F1831" s="20" t="str">
        <x:v>PMC presence</x:v>
      </x:c>
      <x:c r="G1831" s="384" t="n">
        <x:v>0</x:v>
      </x:c>
      <x:c r="H1831" s="396" t="n">
        <x:v>1</x:v>
      </x:c>
      <x:c r="I1831" s="20" t="str">
        <x:v>MERICS/Carnegie Chinese overseas PSC source register</x:v>
      </x:c>
      <x:c r="J1831" s="397" t="str">
        <x:v>https://merics.org/en/report/guardians-belt-and-road</x:v>
      </x:c>
      <x:c r="K1831" s="20" t="str">
        <x:v>Primary source-register URL; automated screening score</x:v>
      </x:c>
      <x:c r="L1831" s="20" t="str">
        <x:v>2026-05-20</x:v>
      </x:c>
      <x:c r="M1831" s="20" t="str">
        <x:v>2026-05-20</x:v>
      </x:c>
      <x:c r="N1831" s="20" t="str">
        <x:v>GPT-5.5 Pro</x:v>
      </x:c>
      <x:c r="O1831" s="20" t="str">
        <x:v>Needs review</x:v>
      </x:c>
      <x:c r="P1831" s="20" t="str">
        <x:v>Screening score for China / PMC presence in United Arab Emirates; verify with country-specific evidence before final use.</x:v>
      </x:c>
    </x:row>
    <x:row r="1832" ht="24" customHeight="1">
      <x:c r="A1832" s="20" t="str">
        <x:v>ARE|China|Election interference</x:v>
      </x:c>
      <x:c r="B1832" s="20" t="str">
        <x:v>United Arab Emirates</x:v>
      </x:c>
      <x:c r="C1832" s="20" t="str">
        <x:v>ARE</x:v>
      </x:c>
      <x:c r="D1832" s="20" t="str">
        <x:v>China</x:v>
      </x:c>
      <x:c r="E1832" s="20" t="str">
        <x:v>Chinese influence</x:v>
      </x:c>
      <x:c r="F1832" s="20" t="str">
        <x:v>Election interference</x:v>
      </x:c>
      <x:c r="G1832" s="384" t="n">
        <x:v>1</x:v>
      </x:c>
      <x:c r="H1832" s="396" t="n">
        <x:v>2</x:v>
      </x:c>
      <x:c r="I1832" s="20" t="str">
        <x:v>EEAS/ODNI China election-FIMI source register</x:v>
      </x:c>
      <x:c r="J1832" s="397" t="str">
        <x:v>https://www.eeas.europa.eu/eeas/4th-eeas-annual-report-foreign-information-manipulation-and-interference-threats_en</x:v>
      </x:c>
      <x:c r="K1832" s="20" t="str">
        <x:v>Primary source-register URL; automated screening score</x:v>
      </x:c>
      <x:c r="L1832" s="20" t="str">
        <x:v>2026-05-20</x:v>
      </x:c>
      <x:c r="M1832" s="20" t="str">
        <x:v>2026-05-20</x:v>
      </x:c>
      <x:c r="N1832" s="20" t="str">
        <x:v>GPT-5.5 Pro</x:v>
      </x:c>
      <x:c r="O1832" s="20" t="str">
        <x:v>Needs review</x:v>
      </x:c>
      <x:c r="P1832" s="20" t="str">
        <x:v>Screening score for China / Election interference in United Arab Emirates; verify with country-specific evidence before final use.</x:v>
      </x:c>
    </x:row>
    <x:row r="1833" ht="24" customHeight="1">
      <x:c r="A1833" s="20" t="str">
        <x:v>ARE|China|Security contractors</x:v>
      </x:c>
      <x:c r="B1833" s="20" t="str">
        <x:v>United Arab Emirates</x:v>
      </x:c>
      <x:c r="C1833" s="20" t="str">
        <x:v>ARE</x:v>
      </x:c>
      <x:c r="D1833" s="20" t="str">
        <x:v>China</x:v>
      </x:c>
      <x:c r="E1833" s="20" t="str">
        <x:v>Chinese influence</x:v>
      </x:c>
      <x:c r="F1833" s="20" t="str">
        <x:v>Security contractors</x:v>
      </x:c>
      <x:c r="G1833" s="384" t="n">
        <x:v>1</x:v>
      </x:c>
      <x:c r="H1833" s="396" t="n">
        <x:v>2</x:v>
      </x:c>
      <x:c r="I1833" s="20" t="str">
        <x:v>MERICS/Carnegie Chinese security contractor source register</x:v>
      </x:c>
      <x:c r="J1833" s="397" t="str">
        <x:v>https://merics.org/en/report/guardians-belt-and-road</x:v>
      </x:c>
      <x:c r="K1833" s="20" t="str">
        <x:v>Primary source-register URL; automated screening score</x:v>
      </x:c>
      <x:c r="L1833" s="20" t="str">
        <x:v>2026-05-20</x:v>
      </x:c>
      <x:c r="M1833" s="20" t="str">
        <x:v>2026-05-20</x:v>
      </x:c>
      <x:c r="N1833" s="20" t="str">
        <x:v>GPT-5.5 Pro</x:v>
      </x:c>
      <x:c r="O1833" s="20" t="str">
        <x:v>Needs review</x:v>
      </x:c>
      <x:c r="P1833" s="20" t="str">
        <x:v>Screening score for China / Security contractors in United Arab Emirates; verify with country-specific evidence before final use.</x:v>
      </x:c>
    </x:row>
    <x:row r="1834" ht="24" customHeight="1">
      <x:c r="A1834" s="20" t="str">
        <x:v>ARE|United States|Propaganda ecosystems</x:v>
      </x:c>
      <x:c r="B1834" s="20" t="str">
        <x:v>United Arab Emirates</x:v>
      </x:c>
      <x:c r="C1834" s="20" t="str">
        <x:v>ARE</x:v>
      </x:c>
      <x:c r="D1834" s="20" t="str">
        <x:v>United States</x:v>
      </x:c>
      <x:c r="E1834" s="20" t="str">
        <x:v>American influence</x:v>
      </x:c>
      <x:c r="F1834" s="20" t="str">
        <x:v>Propaganda ecosystems</x:v>
      </x:c>
      <x:c r="G1834" s="384" t="n">
        <x:v>5</x:v>
      </x:c>
      <x:c r="H1834" s="396" t="n">
        <x:v>3</x:v>
      </x:c>
      <x:c r="I1834" s="20" t="str">
        <x:v>USAGM public media source register</x:v>
      </x:c>
      <x:c r="J1834" s="397" t="str">
        <x:v>https://www.usagm.gov/our-work/strategy-and-results/strategic-priorities/research-reports/</x:v>
      </x:c>
      <x:c r="K1834" s="20" t="str">
        <x:v>Primary source-register URL; automated screening score</x:v>
      </x:c>
      <x:c r="L1834" s="20" t="str">
        <x:v>2026-05-20</x:v>
      </x:c>
      <x:c r="M1834" s="20" t="str">
        <x:v>2026-05-20</x:v>
      </x:c>
      <x:c r="N1834" s="20" t="str">
        <x:v>GPT-5.5 Pro</x:v>
      </x:c>
      <x:c r="O1834" s="20" t="str">
        <x:v>Needs review</x:v>
      </x:c>
      <x:c r="P1834" s="20" t="str">
        <x:v>Screening score for United States / Propaganda ecosystems in United Arab Emirates; verify with country-specific evidence before final use.</x:v>
      </x:c>
    </x:row>
    <x:row r="1835" ht="24" customHeight="1">
      <x:c r="A1835" s="20" t="str">
        <x:v>ARE|United States|PMC presence</x:v>
      </x:c>
      <x:c r="B1835" s="20" t="str">
        <x:v>United Arab Emirates</x:v>
      </x:c>
      <x:c r="C1835" s="20" t="str">
        <x:v>ARE</x:v>
      </x:c>
      <x:c r="D1835" s="20" t="str">
        <x:v>United States</x:v>
      </x:c>
      <x:c r="E1835" s="20" t="str">
        <x:v>American influence</x:v>
      </x:c>
      <x:c r="F1835" s="20" t="str">
        <x:v>PMC presence</x:v>
      </x:c>
      <x:c r="G1835" s="384" t="n">
        <x:v>5</x:v>
      </x:c>
      <x:c r="H1835" s="396" t="n">
        <x:v>3</x:v>
      </x:c>
      <x:c r="I1835" s="20" t="str">
        <x:v>SAM/Greenbook U.S. security assistance contractor source register</x:v>
      </x:c>
      <x:c r="J1835" s="397" t="str">
        <x:v>https://internationalpolicy.org/programs/sam/</x:v>
      </x:c>
      <x:c r="K1835" s="20" t="str">
        <x:v>Primary source-register URL; automated screening score</x:v>
      </x:c>
      <x:c r="L1835" s="20" t="str">
        <x:v>2026-05-20</x:v>
      </x:c>
      <x:c r="M1835" s="20" t="str">
        <x:v>2026-05-20</x:v>
      </x:c>
      <x:c r="N1835" s="20" t="str">
        <x:v>GPT-5.5 Pro</x:v>
      </x:c>
      <x:c r="O1835" s="20" t="str">
        <x:v>Needs review</x:v>
      </x:c>
      <x:c r="P1835" s="20" t="str">
        <x:v>Screening score for United States / PMC presence in United Arab Emirates; verify with country-specific evidence before final use.</x:v>
      </x:c>
    </x:row>
    <x:row r="1836" ht="24" customHeight="1">
      <x:c r="A1836" s="20" t="str">
        <x:v>ARE|United States|Election interference</x:v>
      </x:c>
      <x:c r="B1836" s="20" t="str">
        <x:v>United Arab Emirates</x:v>
      </x:c>
      <x:c r="C1836" s="20" t="str">
        <x:v>ARE</x:v>
      </x:c>
      <x:c r="D1836" s="20" t="str">
        <x:v>United States</x:v>
      </x:c>
      <x:c r="E1836" s="20" t="str">
        <x:v>American influence</x:v>
      </x:c>
      <x:c r="F1836" s="20" t="str">
        <x:v>Election interference</x:v>
      </x:c>
      <x:c r="G1836" s="384" t="n">
        <x:v>2</x:v>
      </x:c>
      <x:c r="H1836" s="396" t="n">
        <x:v>2</x:v>
      </x:c>
      <x:c r="I1836" s="20" t="str">
        <x:v>NED/Greenbook democracy assistance source register</x:v>
      </x:c>
      <x:c r="J1836" s="397" t="str">
        <x:v>https://www.ned.org/ned-grantmaking/</x:v>
      </x:c>
      <x:c r="K1836" s="20" t="str">
        <x:v>Primary source-register URL; automated screening score</x:v>
      </x:c>
      <x:c r="L1836" s="20" t="str">
        <x:v>2026-05-20</x:v>
      </x:c>
      <x:c r="M1836" s="20" t="str">
        <x:v>2026-05-20</x:v>
      </x:c>
      <x:c r="N1836" s="20" t="str">
        <x:v>GPT-5.5 Pro</x:v>
      </x:c>
      <x:c r="O1836" s="20" t="str">
        <x:v>Needs review</x:v>
      </x:c>
      <x:c r="P1836" s="20" t="str">
        <x:v>Screening score for United States / Election interference in United Arab Emirates; verify with country-specific evidence before final use.</x:v>
      </x:c>
    </x:row>
    <x:row r="1837" ht="24" customHeight="1">
      <x:c r="A1837" s="20" t="str">
        <x:v>ARE|United States|Security contractors</x:v>
      </x:c>
      <x:c r="B1837" s="20" t="str">
        <x:v>United Arab Emirates</x:v>
      </x:c>
      <x:c r="C1837" s="20" t="str">
        <x:v>ARE</x:v>
      </x:c>
      <x:c r="D1837" s="20" t="str">
        <x:v>United States</x:v>
      </x:c>
      <x:c r="E1837" s="20" t="str">
        <x:v>American influence</x:v>
      </x:c>
      <x:c r="F1837" s="20" t="str">
        <x:v>Security contractors</x:v>
      </x:c>
      <x:c r="G1837" s="384" t="n">
        <x:v>7</x:v>
      </x:c>
      <x:c r="H1837" s="396" t="n">
        <x:v>4</x:v>
      </x:c>
      <x:c r="I1837" s="20" t="str">
        <x:v>SAM/Greenbook U.S. security contractor source register</x:v>
      </x:c>
      <x:c r="J1837" s="397" t="str">
        <x:v>https://internationalpolicy.org/programs/sam/</x:v>
      </x:c>
      <x:c r="K1837" s="20" t="str">
        <x:v>Primary source-register URL; automated screening score</x:v>
      </x:c>
      <x:c r="L1837" s="20" t="str">
        <x:v>2026-05-20</x:v>
      </x:c>
      <x:c r="M1837" s="20" t="str">
        <x:v>2026-05-20</x:v>
      </x:c>
      <x:c r="N1837" s="20" t="str">
        <x:v>GPT-5.5 Pro</x:v>
      </x:c>
      <x:c r="O1837" s="20" t="str">
        <x:v>Needs review</x:v>
      </x:c>
      <x:c r="P1837" s="20" t="str">
        <x:v>Screening score for United States / Security contractors in United Arab Emirates; verify with country-specific evidence before final use.</x:v>
      </x:c>
    </x:row>
    <x:row r="1838" ht="24" customHeight="1">
      <x:c r="A1838" s="20" t="str">
        <x:v>ARE|European Union|Propaganda ecosystems</x:v>
      </x:c>
      <x:c r="B1838" s="20" t="str">
        <x:v>United Arab Emirates</x:v>
      </x:c>
      <x:c r="C1838" s="20" t="str">
        <x:v>ARE</x:v>
      </x:c>
      <x:c r="D1838" s="20" t="str">
        <x:v>European Union</x:v>
      </x:c>
      <x:c r="E1838" s="20" t="str">
        <x:v>EU influence</x:v>
      </x:c>
      <x:c r="F1838" s="20" t="str">
        <x:v>Propaganda ecosystems</x:v>
      </x:c>
      <x:c r="G1838" s="384" t="n">
        <x:v>2</x:v>
      </x:c>
      <x:c r="H1838" s="396" t="n">
        <x:v>2</x:v>
      </x:c>
      <x:c r="I1838" s="20" t="str">
        <x:v>EEAS public diplomacy source register</x:v>
      </x:c>
      <x:c r="J1838" s="397" t="str">
        <x:v>https://www.eeas.europa.eu/eeas/public-diplomacy_en</x:v>
      </x:c>
      <x:c r="K1838" s="20" t="str">
        <x:v>Primary source-register URL; automated screening score</x:v>
      </x:c>
      <x:c r="L1838" s="20" t="str">
        <x:v>2026-05-20</x:v>
      </x:c>
      <x:c r="M1838" s="20" t="str">
        <x:v>2026-05-20</x:v>
      </x:c>
      <x:c r="N1838" s="20" t="str">
        <x:v>GPT-5.5 Pro</x:v>
      </x:c>
      <x:c r="O1838" s="20" t="str">
        <x:v>Needs review</x:v>
      </x:c>
      <x:c r="P1838" s="20" t="str">
        <x:v>Screening score for European Union / Propaganda ecosystems in United Arab Emirates; verify with country-specific evidence before final use.</x:v>
      </x:c>
    </x:row>
    <x:row r="1839" ht="24" customHeight="1">
      <x:c r="A1839" s="20" t="str">
        <x:v>ARE|European Union|PMC presence</x:v>
      </x:c>
      <x:c r="B1839" s="20" t="str">
        <x:v>United Arab Emirates</x:v>
      </x:c>
      <x:c r="C1839" s="20" t="str">
        <x:v>ARE</x:v>
      </x:c>
      <x:c r="D1839" s="20" t="str">
        <x:v>European Union</x:v>
      </x:c>
      <x:c r="E1839" s="20" t="str">
        <x:v>EU influence</x:v>
      </x:c>
      <x:c r="F1839" s="20" t="str">
        <x:v>PMC presence</x:v>
      </x:c>
      <x:c r="G1839" s="384" t="n">
        <x:v>0</x:v>
      </x:c>
      <x:c r="H1839" s="396" t="n">
        <x:v>1</x:v>
      </x:c>
      <x:c r="I1839" s="20" t="str">
        <x:v>EEAS CSDP missions source register</x:v>
      </x:c>
      <x:c r="J1839" s="397" t="str">
        <x:v>https://www.eeas.europa.eu/eeas/missions-and-operations_en</x:v>
      </x:c>
      <x:c r="K1839" s="20" t="str">
        <x:v>Primary source-register URL; automated screening score</x:v>
      </x:c>
      <x:c r="L1839" s="20" t="str">
        <x:v>2026-05-20</x:v>
      </x:c>
      <x:c r="M1839" s="20" t="str">
        <x:v>2026-05-20</x:v>
      </x:c>
      <x:c r="N1839" s="20" t="str">
        <x:v>GPT-5.5 Pro</x:v>
      </x:c>
      <x:c r="O1839" s="20" t="str">
        <x:v>Needs review</x:v>
      </x:c>
      <x:c r="P1839" s="20" t="str">
        <x:v>Screening score for European Union / PMC presence in United Arab Emirates; verify with country-specific evidence before final use.</x:v>
      </x:c>
    </x:row>
    <x:row r="1840" ht="24" customHeight="1">
      <x:c r="A1840" s="20" t="str">
        <x:v>ARE|European Union|Election interference</x:v>
      </x:c>
      <x:c r="B1840" s="20" t="str">
        <x:v>United Arab Emirates</x:v>
      </x:c>
      <x:c r="C1840" s="20" t="str">
        <x:v>ARE</x:v>
      </x:c>
      <x:c r="D1840" s="20" t="str">
        <x:v>European Union</x:v>
      </x:c>
      <x:c r="E1840" s="20" t="str">
        <x:v>EU influence</x:v>
      </x:c>
      <x:c r="F1840" s="20" t="str">
        <x:v>Election interference</x:v>
      </x:c>
      <x:c r="G1840" s="384" t="n">
        <x:v>1</x:v>
      </x:c>
      <x:c r="H1840" s="396" t="n">
        <x:v>2</x:v>
      </x:c>
      <x:c r="I1840" s="20" t="str">
        <x:v>EEAS EU election observation source register</x:v>
      </x:c>
      <x:c r="J1840" s="397" t="str">
        <x:v>https://www.eeas.europa.eu/eeas/eu-election-observation-missions-1_en?page_lang=en</x:v>
      </x:c>
      <x:c r="K1840" s="20" t="str">
        <x:v>Primary source-register URL; automated screening score</x:v>
      </x:c>
      <x:c r="L1840" s="20" t="str">
        <x:v>2026-05-20</x:v>
      </x:c>
      <x:c r="M1840" s="20" t="str">
        <x:v>2026-05-20</x:v>
      </x:c>
      <x:c r="N1840" s="20" t="str">
        <x:v>GPT-5.5 Pro</x:v>
      </x:c>
      <x:c r="O1840" s="20" t="str">
        <x:v>Needs review</x:v>
      </x:c>
      <x:c r="P1840" s="20" t="str">
        <x:v>Screening score for European Union / Election interference in United Arab Emirates; verify with country-specific evidence before final use.</x:v>
      </x:c>
    </x:row>
    <x:row r="1841" ht="24" customHeight="1">
      <x:c r="A1841" s="20" t="str">
        <x:v>ARE|European Union|Security contractors</x:v>
      </x:c>
      <x:c r="B1841" s="20" t="str">
        <x:v>United Arab Emirates</x:v>
      </x:c>
      <x:c r="C1841" s="20" t="str">
        <x:v>ARE</x:v>
      </x:c>
      <x:c r="D1841" s="20" t="str">
        <x:v>European Union</x:v>
      </x:c>
      <x:c r="E1841" s="20" t="str">
        <x:v>EU influence</x:v>
      </x:c>
      <x:c r="F1841" s="20" t="str">
        <x:v>Security contractors</x:v>
      </x:c>
      <x:c r="G1841" s="384" t="n">
        <x:v>2</x:v>
      </x:c>
      <x:c r="H1841" s="396" t="n">
        <x:v>2</x:v>
      </x:c>
      <x:c r="I1841" s="20" t="str">
        <x:v>EEAS CSDP / Global Gateway security source register</x:v>
      </x:c>
      <x:c r="J1841" s="397" t="str">
        <x:v>https://www.eeas.europa.eu/eeas/missions-and-operations_en</x:v>
      </x:c>
      <x:c r="K1841" s="20" t="str">
        <x:v>Primary source-register URL; automated screening score</x:v>
      </x:c>
      <x:c r="L1841" s="20" t="str">
        <x:v>2026-05-20</x:v>
      </x:c>
      <x:c r="M1841" s="20" t="str">
        <x:v>2026-05-20</x:v>
      </x:c>
      <x:c r="N1841" s="20" t="str">
        <x:v>GPT-5.5 Pro</x:v>
      </x:c>
      <x:c r="O1841" s="20" t="str">
        <x:v>Needs review</x:v>
      </x:c>
      <x:c r="P1841" s="20" t="str">
        <x:v>Screening score for European Union / Security contractors in United Arab Emirates; verify with country-specific evidence before final use.</x:v>
      </x:c>
    </x:row>
    <x:row r="1842" ht="24" customHeight="1">
      <x:c r="A1842" s="20" t="str">
        <x:v>GBR|Russia|Propaganda ecosystems</x:v>
      </x:c>
      <x:c r="B1842" s="20" t="str">
        <x:v>United Kingdom</x:v>
      </x:c>
      <x:c r="C1842" s="20" t="str">
        <x:v>GBR</x:v>
      </x:c>
      <x:c r="D1842" s="20" t="str">
        <x:v>Russia</x:v>
      </x:c>
      <x:c r="E1842" s="20" t="str">
        <x:v>Russian influence</x:v>
      </x:c>
      <x:c r="F1842" s="20" t="str">
        <x:v>Propaganda ecosystems</x:v>
      </x:c>
      <x:c r="G1842" s="384" t="n">
        <x:v>5</x:v>
      </x:c>
      <x:c r="H1842" s="396" t="n">
        <x:v>3</x:v>
      </x:c>
      <x:c r="I1842" s="20" t="str">
        <x:v>EEAS/EUvsDisinfo FIMI source register</x:v>
      </x:c>
      <x:c r="J1842" s="397" t="str">
        <x:v>https://www.eeas.europa.eu/eeas/4th-eeas-annual-report-foreign-information-manipulation-and-interference-threats_en</x:v>
      </x:c>
      <x:c r="K1842" s="20" t="str">
        <x:v>Primary source-register URL; automated screening score</x:v>
      </x:c>
      <x:c r="L1842" s="20" t="str">
        <x:v>2026-05-20</x:v>
      </x:c>
      <x:c r="M1842" s="20" t="str">
        <x:v>2026-05-20</x:v>
      </x:c>
      <x:c r="N1842" s="20" t="str">
        <x:v>GPT-5.5 Pro</x:v>
      </x:c>
      <x:c r="O1842" s="20" t="str">
        <x:v>Needs review</x:v>
      </x:c>
      <x:c r="P1842" s="20" t="str">
        <x:v>Screening score for Russia / Propaganda ecosystems in United Kingdom; verify with country-specific evidence before final use.</x:v>
      </x:c>
    </x:row>
    <x:row r="1843" ht="24" customHeight="1">
      <x:c r="A1843" s="20" t="str">
        <x:v>GBR|Russia|PMC presence</x:v>
      </x:c>
      <x:c r="B1843" s="20" t="str">
        <x:v>United Kingdom</x:v>
      </x:c>
      <x:c r="C1843" s="20" t="str">
        <x:v>GBR</x:v>
      </x:c>
      <x:c r="D1843" s="20" t="str">
        <x:v>Russia</x:v>
      </x:c>
      <x:c r="E1843" s="20" t="str">
        <x:v>Russian influence</x:v>
      </x:c>
      <x:c r="F1843" s="20" t="str">
        <x:v>PMC presence</x:v>
      </x:c>
      <x:c r="G1843" s="384" t="n">
        <x:v>0</x:v>
      </x:c>
      <x:c r="H1843" s="396" t="n">
        <x:v>1</x:v>
      </x:c>
      <x:c r="I1843" s="20" t="str">
        <x:v>Treasury and Council of the EU Wagner/PMC source register</x:v>
      </x:c>
      <x:c r="J1843" s="397" t="str">
        <x:v>https://www.consilium.europa.eu/en/press/press-releases/2023/02/25/wagner-group-council-adds-11-individuals-and-7-entities-to-eu-sanctions-lists/</x:v>
      </x:c>
      <x:c r="K1843" s="20" t="str">
        <x:v>Primary source-register URL; automated screening score</x:v>
      </x:c>
      <x:c r="L1843" s="20" t="str">
        <x:v>2026-05-20</x:v>
      </x:c>
      <x:c r="M1843" s="20" t="str">
        <x:v>2026-05-20</x:v>
      </x:c>
      <x:c r="N1843" s="20" t="str">
        <x:v>GPT-5.5 Pro</x:v>
      </x:c>
      <x:c r="O1843" s="20" t="str">
        <x:v>Needs review</x:v>
      </x:c>
      <x:c r="P1843" s="20" t="str">
        <x:v>Screening score for Russia / PMC presence in United Kingdom; verify with country-specific evidence before final use.</x:v>
      </x:c>
    </x:row>
    <x:row r="1844" ht="24" customHeight="1">
      <x:c r="A1844" s="20" t="str">
        <x:v>GBR|Russia|Election interference</x:v>
      </x:c>
      <x:c r="B1844" s="20" t="str">
        <x:v>United Kingdom</x:v>
      </x:c>
      <x:c r="C1844" s="20" t="str">
        <x:v>GBR</x:v>
      </x:c>
      <x:c r="D1844" s="20" t="str">
        <x:v>Russia</x:v>
      </x:c>
      <x:c r="E1844" s="20" t="str">
        <x:v>Russian influence</x:v>
      </x:c>
      <x:c r="F1844" s="20" t="str">
        <x:v>Election interference</x:v>
      </x:c>
      <x:c r="G1844" s="384" t="n">
        <x:v>7</x:v>
      </x:c>
      <x:c r="H1844" s="396" t="n">
        <x:v>4</x:v>
      </x:c>
      <x:c r="I1844" s="20" t="str">
        <x:v>ODNI/EEAS election-FIMI source register</x:v>
      </x:c>
      <x:c r="J1844" s="397" t="str">
        <x:v>https://www.dni.gov/files/ODNI/documents/assessments/ATA-2026-Unclassified-Report.pdf</x:v>
      </x:c>
      <x:c r="K1844" s="20" t="str">
        <x:v>Primary source-register URL; automated screening score</x:v>
      </x:c>
      <x:c r="L1844" s="20" t="str">
        <x:v>2026-05-20</x:v>
      </x:c>
      <x:c r="M1844" s="20" t="str">
        <x:v>2026-05-20</x:v>
      </x:c>
      <x:c r="N1844" s="20" t="str">
        <x:v>GPT-5.5 Pro</x:v>
      </x:c>
      <x:c r="O1844" s="20" t="str">
        <x:v>Needs review</x:v>
      </x:c>
      <x:c r="P1844" s="20" t="str">
        <x:v>Screening score for Russia / Election interference in United Kingdom; verify with country-specific evidence before final use.</x:v>
      </x:c>
    </x:row>
    <x:row r="1845" ht="24" customHeight="1">
      <x:c r="A1845" s="20" t="str">
        <x:v>GBR|Russia|Security contractors</x:v>
      </x:c>
      <x:c r="B1845" s="20" t="str">
        <x:v>United Kingdom</x:v>
      </x:c>
      <x:c r="C1845" s="20" t="str">
        <x:v>GBR</x:v>
      </x:c>
      <x:c r="D1845" s="20" t="str">
        <x:v>Russia</x:v>
      </x:c>
      <x:c r="E1845" s="20" t="str">
        <x:v>Russian influence</x:v>
      </x:c>
      <x:c r="F1845" s="20" t="str">
        <x:v>Security contractors</x:v>
      </x:c>
      <x:c r="G1845" s="384" t="n">
        <x:v>0</x:v>
      </x:c>
      <x:c r="H1845" s="396" t="n">
        <x:v>1</x:v>
      </x:c>
      <x:c r="I1845" s="20" t="str">
        <x:v>Council of the EU/Treasury Wagner-security source register</x:v>
      </x:c>
      <x:c r="J1845" s="397" t="str">
        <x:v>https://www.consilium.europa.eu/en/press/press-releases/2023/02/25/wagner-group-council-adds-11-individuals-and-7-entities-to-eu-sanctions-lists/</x:v>
      </x:c>
      <x:c r="K1845" s="20" t="str">
        <x:v>Primary source-register URL; automated screening score</x:v>
      </x:c>
      <x:c r="L1845" s="20" t="str">
        <x:v>2026-05-20</x:v>
      </x:c>
      <x:c r="M1845" s="20" t="str">
        <x:v>2026-05-20</x:v>
      </x:c>
      <x:c r="N1845" s="20" t="str">
        <x:v>GPT-5.5 Pro</x:v>
      </x:c>
      <x:c r="O1845" s="20" t="str">
        <x:v>Needs review</x:v>
      </x:c>
      <x:c r="P1845" s="20" t="str">
        <x:v>Screening score for Russia / Security contractors in United Kingdom; verify with country-specific evidence before final use.</x:v>
      </x:c>
    </x:row>
    <x:row r="1846" ht="24" customHeight="1">
      <x:c r="A1846" s="20" t="str">
        <x:v>GBR|China|Propaganda ecosystems</x:v>
      </x:c>
      <x:c r="B1846" s="20" t="str">
        <x:v>United Kingdom</x:v>
      </x:c>
      <x:c r="C1846" s="20" t="str">
        <x:v>GBR</x:v>
      </x:c>
      <x:c r="D1846" s="20" t="str">
        <x:v>China</x:v>
      </x:c>
      <x:c r="E1846" s="20" t="str">
        <x:v>Chinese influence</x:v>
      </x:c>
      <x:c r="F1846" s="20" t="str">
        <x:v>Propaganda ecosystems</x:v>
      </x:c>
      <x:c r="G1846" s="384" t="n">
        <x:v>6</x:v>
      </x:c>
      <x:c r="H1846" s="396" t="n">
        <x:v>4</x:v>
      </x:c>
      <x:c r="I1846" s="20" t="str">
        <x:v>EEAS/ODNI China FIMI source register</x:v>
      </x:c>
      <x:c r="J1846" s="397" t="str">
        <x:v>https://www.eeas.europa.eu/eeas/4th-eeas-annual-report-foreign-information-manipulation-and-interference-threats_en</x:v>
      </x:c>
      <x:c r="K1846" s="20" t="str">
        <x:v>Primary source-register URL; automated screening score</x:v>
      </x:c>
      <x:c r="L1846" s="20" t="str">
        <x:v>2026-05-20</x:v>
      </x:c>
      <x:c r="M1846" s="20" t="str">
        <x:v>2026-05-20</x:v>
      </x:c>
      <x:c r="N1846" s="20" t="str">
        <x:v>GPT-5.5 Pro</x:v>
      </x:c>
      <x:c r="O1846" s="20" t="str">
        <x:v>Needs review</x:v>
      </x:c>
      <x:c r="P1846" s="20" t="str">
        <x:v>Screening score for China / Propaganda ecosystems in United Kingdom; verify with country-specific evidence before final use.</x:v>
      </x:c>
    </x:row>
    <x:row r="1847" ht="24" customHeight="1">
      <x:c r="A1847" s="20" t="str">
        <x:v>GBR|China|PMC presence</x:v>
      </x:c>
      <x:c r="B1847" s="20" t="str">
        <x:v>United Kingdom</x:v>
      </x:c>
      <x:c r="C1847" s="20" t="str">
        <x:v>GBR</x:v>
      </x:c>
      <x:c r="D1847" s="20" t="str">
        <x:v>China</x:v>
      </x:c>
      <x:c r="E1847" s="20" t="str">
        <x:v>Chinese influence</x:v>
      </x:c>
      <x:c r="F1847" s="20" t="str">
        <x:v>PMC presence</x:v>
      </x:c>
      <x:c r="G1847" s="384" t="n">
        <x:v>0</x:v>
      </x:c>
      <x:c r="H1847" s="396" t="n">
        <x:v>1</x:v>
      </x:c>
      <x:c r="I1847" s="20" t="str">
        <x:v>MERICS/Carnegie Chinese overseas PSC source register</x:v>
      </x:c>
      <x:c r="J1847" s="397" t="str">
        <x:v>https://merics.org/en/report/guardians-belt-and-road</x:v>
      </x:c>
      <x:c r="K1847" s="20" t="str">
        <x:v>Primary source-register URL; automated screening score</x:v>
      </x:c>
      <x:c r="L1847" s="20" t="str">
        <x:v>2026-05-20</x:v>
      </x:c>
      <x:c r="M1847" s="20" t="str">
        <x:v>2026-05-20</x:v>
      </x:c>
      <x:c r="N1847" s="20" t="str">
        <x:v>GPT-5.5 Pro</x:v>
      </x:c>
      <x:c r="O1847" s="20" t="str">
        <x:v>Needs review</x:v>
      </x:c>
      <x:c r="P1847" s="20" t="str">
        <x:v>Screening score for China / PMC presence in United Kingdom; verify with country-specific evidence before final use.</x:v>
      </x:c>
    </x:row>
    <x:row r="1848" ht="24" customHeight="1">
      <x:c r="A1848" s="20" t="str">
        <x:v>GBR|China|Election interference</x:v>
      </x:c>
      <x:c r="B1848" s="20" t="str">
        <x:v>United Kingdom</x:v>
      </x:c>
      <x:c r="C1848" s="20" t="str">
        <x:v>GBR</x:v>
      </x:c>
      <x:c r="D1848" s="20" t="str">
        <x:v>China</x:v>
      </x:c>
      <x:c r="E1848" s="20" t="str">
        <x:v>Chinese influence</x:v>
      </x:c>
      <x:c r="F1848" s="20" t="str">
        <x:v>Election interference</x:v>
      </x:c>
      <x:c r="G1848" s="384" t="n">
        <x:v>4</x:v>
      </x:c>
      <x:c r="H1848" s="396" t="n">
        <x:v>3</x:v>
      </x:c>
      <x:c r="I1848" s="20" t="str">
        <x:v>EEAS/ODNI China election-FIMI source register</x:v>
      </x:c>
      <x:c r="J1848" s="397" t="str">
        <x:v>https://www.eeas.europa.eu/eeas/4th-eeas-annual-report-foreign-information-manipulation-and-interference-threats_en</x:v>
      </x:c>
      <x:c r="K1848" s="20" t="str">
        <x:v>Primary source-register URL; automated screening score</x:v>
      </x:c>
      <x:c r="L1848" s="20" t="str">
        <x:v>2026-05-20</x:v>
      </x:c>
      <x:c r="M1848" s="20" t="str">
        <x:v>2026-05-20</x:v>
      </x:c>
      <x:c r="N1848" s="20" t="str">
        <x:v>GPT-5.5 Pro</x:v>
      </x:c>
      <x:c r="O1848" s="20" t="str">
        <x:v>Needs review</x:v>
      </x:c>
      <x:c r="P1848" s="20" t="str">
        <x:v>Screening score for China / Election interference in United Kingdom; verify with country-specific evidence before final use.</x:v>
      </x:c>
    </x:row>
    <x:row r="1849" ht="24" customHeight="1">
      <x:c r="A1849" s="20" t="str">
        <x:v>GBR|China|Security contractors</x:v>
      </x:c>
      <x:c r="B1849" s="20" t="str">
        <x:v>United Kingdom</x:v>
      </x:c>
      <x:c r="C1849" s="20" t="str">
        <x:v>GBR</x:v>
      </x:c>
      <x:c r="D1849" s="20" t="str">
        <x:v>China</x:v>
      </x:c>
      <x:c r="E1849" s="20" t="str">
        <x:v>Chinese influence</x:v>
      </x:c>
      <x:c r="F1849" s="20" t="str">
        <x:v>Security contractors</x:v>
      </x:c>
      <x:c r="G1849" s="384" t="n">
        <x:v>0</x:v>
      </x:c>
      <x:c r="H1849" s="396" t="n">
        <x:v>1</x:v>
      </x:c>
      <x:c r="I1849" s="20" t="str">
        <x:v>MERICS/Carnegie Chinese security contractor source register</x:v>
      </x:c>
      <x:c r="J1849" s="397" t="str">
        <x:v>https://merics.org/en/report/guardians-belt-and-road</x:v>
      </x:c>
      <x:c r="K1849" s="20" t="str">
        <x:v>Primary source-register URL; automated screening score</x:v>
      </x:c>
      <x:c r="L1849" s="20" t="str">
        <x:v>2026-05-20</x:v>
      </x:c>
      <x:c r="M1849" s="20" t="str">
        <x:v>2026-05-20</x:v>
      </x:c>
      <x:c r="N1849" s="20" t="str">
        <x:v>GPT-5.5 Pro</x:v>
      </x:c>
      <x:c r="O1849" s="20" t="str">
        <x:v>Needs review</x:v>
      </x:c>
      <x:c r="P1849" s="20" t="str">
        <x:v>Screening score for China / Security contractors in United Kingdom; verify with country-specific evidence before final use.</x:v>
      </x:c>
    </x:row>
    <x:row r="1850" ht="24" customHeight="1">
      <x:c r="A1850" s="20" t="str">
        <x:v>GBR|United States|Propaganda ecosystems</x:v>
      </x:c>
      <x:c r="B1850" s="20" t="str">
        <x:v>United Kingdom</x:v>
      </x:c>
      <x:c r="C1850" s="20" t="str">
        <x:v>GBR</x:v>
      </x:c>
      <x:c r="D1850" s="20" t="str">
        <x:v>United States</x:v>
      </x:c>
      <x:c r="E1850" s="20" t="str">
        <x:v>American influence</x:v>
      </x:c>
      <x:c r="F1850" s="20" t="str">
        <x:v>Propaganda ecosystems</x:v>
      </x:c>
      <x:c r="G1850" s="384" t="n">
        <x:v>5</x:v>
      </x:c>
      <x:c r="H1850" s="396" t="n">
        <x:v>3</x:v>
      </x:c>
      <x:c r="I1850" s="20" t="str">
        <x:v>USAGM public media source register</x:v>
      </x:c>
      <x:c r="J1850" s="397" t="str">
        <x:v>https://www.usagm.gov/our-work/strategy-and-results/strategic-priorities/research-reports/</x:v>
      </x:c>
      <x:c r="K1850" s="20" t="str">
        <x:v>Primary source-register URL; automated screening score</x:v>
      </x:c>
      <x:c r="L1850" s="20" t="str">
        <x:v>2026-05-20</x:v>
      </x:c>
      <x:c r="M1850" s="20" t="str">
        <x:v>2026-05-20</x:v>
      </x:c>
      <x:c r="N1850" s="20" t="str">
        <x:v>GPT-5.5 Pro</x:v>
      </x:c>
      <x:c r="O1850" s="20" t="str">
        <x:v>Needs review</x:v>
      </x:c>
      <x:c r="P1850" s="20" t="str">
        <x:v>Screening score for United States / Propaganda ecosystems in United Kingdom; verify with country-specific evidence before final use.</x:v>
      </x:c>
    </x:row>
    <x:row r="1851" ht="24" customHeight="1">
      <x:c r="A1851" s="20" t="str">
        <x:v>GBR|United States|PMC presence</x:v>
      </x:c>
      <x:c r="B1851" s="20" t="str">
        <x:v>United Kingdom</x:v>
      </x:c>
      <x:c r="C1851" s="20" t="str">
        <x:v>GBR</x:v>
      </x:c>
      <x:c r="D1851" s="20" t="str">
        <x:v>United States</x:v>
      </x:c>
      <x:c r="E1851" s="20" t="str">
        <x:v>American influence</x:v>
      </x:c>
      <x:c r="F1851" s="20" t="str">
        <x:v>PMC presence</x:v>
      </x:c>
      <x:c r="G1851" s="384" t="n">
        <x:v>4</x:v>
      </x:c>
      <x:c r="H1851" s="396" t="n">
        <x:v>3</x:v>
      </x:c>
      <x:c r="I1851" s="20" t="str">
        <x:v>SAM/Greenbook U.S. security assistance contractor source register</x:v>
      </x:c>
      <x:c r="J1851" s="397" t="str">
        <x:v>https://internationalpolicy.org/programs/sam/</x:v>
      </x:c>
      <x:c r="K1851" s="20" t="str">
        <x:v>Primary source-register URL; automated screening score</x:v>
      </x:c>
      <x:c r="L1851" s="20" t="str">
        <x:v>2026-05-20</x:v>
      </x:c>
      <x:c r="M1851" s="20" t="str">
        <x:v>2026-05-20</x:v>
      </x:c>
      <x:c r="N1851" s="20" t="str">
        <x:v>GPT-5.5 Pro</x:v>
      </x:c>
      <x:c r="O1851" s="20" t="str">
        <x:v>Needs review</x:v>
      </x:c>
      <x:c r="P1851" s="20" t="str">
        <x:v>Screening score for United States / PMC presence in United Kingdom; verify with country-specific evidence before final use.</x:v>
      </x:c>
    </x:row>
    <x:row r="1852" ht="24" customHeight="1">
      <x:c r="A1852" s="20" t="str">
        <x:v>GBR|United States|Election interference</x:v>
      </x:c>
      <x:c r="B1852" s="20" t="str">
        <x:v>United Kingdom</x:v>
      </x:c>
      <x:c r="C1852" s="20" t="str">
        <x:v>GBR</x:v>
      </x:c>
      <x:c r="D1852" s="20" t="str">
        <x:v>United States</x:v>
      </x:c>
      <x:c r="E1852" s="20" t="str">
        <x:v>American influence</x:v>
      </x:c>
      <x:c r="F1852" s="20" t="str">
        <x:v>Election interference</x:v>
      </x:c>
      <x:c r="G1852" s="384" t="n">
        <x:v>1</x:v>
      </x:c>
      <x:c r="H1852" s="396" t="n">
        <x:v>2</x:v>
      </x:c>
      <x:c r="I1852" s="20" t="str">
        <x:v>NED/Greenbook democracy assistance source register</x:v>
      </x:c>
      <x:c r="J1852" s="397" t="str">
        <x:v>https://www.ned.org/ned-grantmaking/</x:v>
      </x:c>
      <x:c r="K1852" s="20" t="str">
        <x:v>Primary source-register URL; automated screening score</x:v>
      </x:c>
      <x:c r="L1852" s="20" t="str">
        <x:v>2026-05-20</x:v>
      </x:c>
      <x:c r="M1852" s="20" t="str">
        <x:v>2026-05-20</x:v>
      </x:c>
      <x:c r="N1852" s="20" t="str">
        <x:v>GPT-5.5 Pro</x:v>
      </x:c>
      <x:c r="O1852" s="20" t="str">
        <x:v>Needs review</x:v>
      </x:c>
      <x:c r="P1852" s="20" t="str">
        <x:v>Screening score for United States / Election interference in United Kingdom; verify with country-specific evidence before final use.</x:v>
      </x:c>
    </x:row>
    <x:row r="1853" ht="24" customHeight="1">
      <x:c r="A1853" s="20" t="str">
        <x:v>GBR|United States|Security contractors</x:v>
      </x:c>
      <x:c r="B1853" s="20" t="str">
        <x:v>United Kingdom</x:v>
      </x:c>
      <x:c r="C1853" s="20" t="str">
        <x:v>GBR</x:v>
      </x:c>
      <x:c r="D1853" s="20" t="str">
        <x:v>United States</x:v>
      </x:c>
      <x:c r="E1853" s="20" t="str">
        <x:v>American influence</x:v>
      </x:c>
      <x:c r="F1853" s="20" t="str">
        <x:v>Security contractors</x:v>
      </x:c>
      <x:c r="G1853" s="384" t="n">
        <x:v>7</x:v>
      </x:c>
      <x:c r="H1853" s="396" t="n">
        <x:v>4</x:v>
      </x:c>
      <x:c r="I1853" s="20" t="str">
        <x:v>SAM/Greenbook U.S. security contractor source register</x:v>
      </x:c>
      <x:c r="J1853" s="397" t="str">
        <x:v>https://internationalpolicy.org/programs/sam/</x:v>
      </x:c>
      <x:c r="K1853" s="20" t="str">
        <x:v>Primary source-register URL; automated screening score</x:v>
      </x:c>
      <x:c r="L1853" s="20" t="str">
        <x:v>2026-05-20</x:v>
      </x:c>
      <x:c r="M1853" s="20" t="str">
        <x:v>2026-05-20</x:v>
      </x:c>
      <x:c r="N1853" s="20" t="str">
        <x:v>GPT-5.5 Pro</x:v>
      </x:c>
      <x:c r="O1853" s="20" t="str">
        <x:v>Needs review</x:v>
      </x:c>
      <x:c r="P1853" s="20" t="str">
        <x:v>Screening score for United States / Security contractors in United Kingdom; verify with country-specific evidence before final use.</x:v>
      </x:c>
    </x:row>
    <x:row r="1854" ht="24" customHeight="1">
      <x:c r="A1854" s="20" t="str">
        <x:v>GBR|European Union|Propaganda ecosystems</x:v>
      </x:c>
      <x:c r="B1854" s="20" t="str">
        <x:v>United Kingdom</x:v>
      </x:c>
      <x:c r="C1854" s="20" t="str">
        <x:v>GBR</x:v>
      </x:c>
      <x:c r="D1854" s="20" t="str">
        <x:v>European Union</x:v>
      </x:c>
      <x:c r="E1854" s="20" t="str">
        <x:v>EU influence</x:v>
      </x:c>
      <x:c r="F1854" s="20" t="str">
        <x:v>Propaganda ecosystems</x:v>
      </x:c>
      <x:c r="G1854" s="384" t="n">
        <x:v>5</x:v>
      </x:c>
      <x:c r="H1854" s="396" t="n">
        <x:v>3</x:v>
      </x:c>
      <x:c r="I1854" s="20" t="str">
        <x:v>EEAS public diplomacy source register</x:v>
      </x:c>
      <x:c r="J1854" s="397" t="str">
        <x:v>https://www.eeas.europa.eu/eeas/public-diplomacy_en</x:v>
      </x:c>
      <x:c r="K1854" s="20" t="str">
        <x:v>Primary source-register URL; automated screening score</x:v>
      </x:c>
      <x:c r="L1854" s="20" t="str">
        <x:v>2026-05-20</x:v>
      </x:c>
      <x:c r="M1854" s="20" t="str">
        <x:v>2026-05-20</x:v>
      </x:c>
      <x:c r="N1854" s="20" t="str">
        <x:v>GPT-5.5 Pro</x:v>
      </x:c>
      <x:c r="O1854" s="20" t="str">
        <x:v>Needs review</x:v>
      </x:c>
      <x:c r="P1854" s="20" t="str">
        <x:v>Screening score for European Union / Propaganda ecosystems in United Kingdom; verify with country-specific evidence before final use.</x:v>
      </x:c>
    </x:row>
    <x:row r="1855" ht="24" customHeight="1">
      <x:c r="A1855" s="20" t="str">
        <x:v>GBR|European Union|PMC presence</x:v>
      </x:c>
      <x:c r="B1855" s="20" t="str">
        <x:v>United Kingdom</x:v>
      </x:c>
      <x:c r="C1855" s="20" t="str">
        <x:v>GBR</x:v>
      </x:c>
      <x:c r="D1855" s="20" t="str">
        <x:v>European Union</x:v>
      </x:c>
      <x:c r="E1855" s="20" t="str">
        <x:v>EU influence</x:v>
      </x:c>
      <x:c r="F1855" s="20" t="str">
        <x:v>PMC presence</x:v>
      </x:c>
      <x:c r="G1855" s="384" t="n">
        <x:v>0</x:v>
      </x:c>
      <x:c r="H1855" s="396" t="n">
        <x:v>1</x:v>
      </x:c>
      <x:c r="I1855" s="20" t="str">
        <x:v>EEAS CSDP missions source register</x:v>
      </x:c>
      <x:c r="J1855" s="397" t="str">
        <x:v>https://www.eeas.europa.eu/eeas/missions-and-operations_en</x:v>
      </x:c>
      <x:c r="K1855" s="20" t="str">
        <x:v>Primary source-register URL; automated screening score</x:v>
      </x:c>
      <x:c r="L1855" s="20" t="str">
        <x:v>2026-05-20</x:v>
      </x:c>
      <x:c r="M1855" s="20" t="str">
        <x:v>2026-05-20</x:v>
      </x:c>
      <x:c r="N1855" s="20" t="str">
        <x:v>GPT-5.5 Pro</x:v>
      </x:c>
      <x:c r="O1855" s="20" t="str">
        <x:v>Needs review</x:v>
      </x:c>
      <x:c r="P1855" s="20" t="str">
        <x:v>Screening score for European Union / PMC presence in United Kingdom; verify with country-specific evidence before final use.</x:v>
      </x:c>
    </x:row>
    <x:row r="1856" ht="24" customHeight="1">
      <x:c r="A1856" s="20" t="str">
        <x:v>GBR|European Union|Election interference</x:v>
      </x:c>
      <x:c r="B1856" s="20" t="str">
        <x:v>United Kingdom</x:v>
      </x:c>
      <x:c r="C1856" s="20" t="str">
        <x:v>GBR</x:v>
      </x:c>
      <x:c r="D1856" s="20" t="str">
        <x:v>European Union</x:v>
      </x:c>
      <x:c r="E1856" s="20" t="str">
        <x:v>EU influence</x:v>
      </x:c>
      <x:c r="F1856" s="20" t="str">
        <x:v>Election interference</x:v>
      </x:c>
      <x:c r="G1856" s="384" t="n">
        <x:v>1</x:v>
      </x:c>
      <x:c r="H1856" s="396" t="n">
        <x:v>2</x:v>
      </x:c>
      <x:c r="I1856" s="20" t="str">
        <x:v>EEAS EU election observation source register</x:v>
      </x:c>
      <x:c r="J1856" s="397" t="str">
        <x:v>https://www.eeas.europa.eu/eeas/eu-election-observation-missions-1_en?page_lang=en</x:v>
      </x:c>
      <x:c r="K1856" s="20" t="str">
        <x:v>Primary source-register URL; automated screening score</x:v>
      </x:c>
      <x:c r="L1856" s="20" t="str">
        <x:v>2026-05-20</x:v>
      </x:c>
      <x:c r="M1856" s="20" t="str">
        <x:v>2026-05-20</x:v>
      </x:c>
      <x:c r="N1856" s="20" t="str">
        <x:v>GPT-5.5 Pro</x:v>
      </x:c>
      <x:c r="O1856" s="20" t="str">
        <x:v>Needs review</x:v>
      </x:c>
      <x:c r="P1856" s="20" t="str">
        <x:v>Screening score for European Union / Election interference in United Kingdom; verify with country-specific evidence before final use.</x:v>
      </x:c>
    </x:row>
    <x:row r="1857" ht="24" customHeight="1">
      <x:c r="A1857" s="20" t="str">
        <x:v>GBR|European Union|Security contractors</x:v>
      </x:c>
      <x:c r="B1857" s="20" t="str">
        <x:v>United Kingdom</x:v>
      </x:c>
      <x:c r="C1857" s="20" t="str">
        <x:v>GBR</x:v>
      </x:c>
      <x:c r="D1857" s="20" t="str">
        <x:v>European Union</x:v>
      </x:c>
      <x:c r="E1857" s="20" t="str">
        <x:v>EU influence</x:v>
      </x:c>
      <x:c r="F1857" s="20" t="str">
        <x:v>Security contractors</x:v>
      </x:c>
      <x:c r="G1857" s="384" t="n">
        <x:v>5</x:v>
      </x:c>
      <x:c r="H1857" s="396" t="n">
        <x:v>3</x:v>
      </x:c>
      <x:c r="I1857" s="20" t="str">
        <x:v>EEAS CSDP / Global Gateway security source register</x:v>
      </x:c>
      <x:c r="J1857" s="397" t="str">
        <x:v>https://www.eeas.europa.eu/eeas/missions-and-operations_en</x:v>
      </x:c>
      <x:c r="K1857" s="20" t="str">
        <x:v>Primary source-register URL; automated screening score</x:v>
      </x:c>
      <x:c r="L1857" s="20" t="str">
        <x:v>2026-05-20</x:v>
      </x:c>
      <x:c r="M1857" s="20" t="str">
        <x:v>2026-05-20</x:v>
      </x:c>
      <x:c r="N1857" s="20" t="str">
        <x:v>GPT-5.5 Pro</x:v>
      </x:c>
      <x:c r="O1857" s="20" t="str">
        <x:v>Needs review</x:v>
      </x:c>
      <x:c r="P1857" s="20" t="str">
        <x:v>Screening score for European Union / Security contractors in United Kingdom; verify with country-specific evidence before final use.</x:v>
      </x:c>
    </x:row>
    <x:row r="1858" ht="24" customHeight="1">
      <x:c r="A1858" s="20" t="str">
        <x:v>USA|Russia|Propaganda ecosystems</x:v>
      </x:c>
      <x:c r="B1858" s="20" t="str">
        <x:v>United States</x:v>
      </x:c>
      <x:c r="C1858" s="20" t="str">
        <x:v>USA</x:v>
      </x:c>
      <x:c r="D1858" s="20" t="str">
        <x:v>Russia</x:v>
      </x:c>
      <x:c r="E1858" s="20" t="str">
        <x:v>Russian influence</x:v>
      </x:c>
      <x:c r="F1858" s="20" t="str">
        <x:v>Propaganda ecosystems</x:v>
      </x:c>
      <x:c r="G1858" s="384" t="n">
        <x:v>5</x:v>
      </x:c>
      <x:c r="H1858" s="396" t="n">
        <x:v>3</x:v>
      </x:c>
      <x:c r="I1858" s="20" t="str">
        <x:v>EEAS/EUvsDisinfo FIMI source register</x:v>
      </x:c>
      <x:c r="J1858" s="397" t="str">
        <x:v>https://www.eeas.europa.eu/eeas/4th-eeas-annual-report-foreign-information-manipulation-and-interference-threats_en</x:v>
      </x:c>
      <x:c r="K1858" s="20" t="str">
        <x:v>Primary source-register URL; automated screening score</x:v>
      </x:c>
      <x:c r="L1858" s="20" t="str">
        <x:v>2026-05-20</x:v>
      </x:c>
      <x:c r="M1858" s="20" t="str">
        <x:v>2026-05-20</x:v>
      </x:c>
      <x:c r="N1858" s="20" t="str">
        <x:v>GPT-5.5 Pro</x:v>
      </x:c>
      <x:c r="O1858" s="20" t="str">
        <x:v>Needs review</x:v>
      </x:c>
      <x:c r="P1858" s="20" t="str">
        <x:v>Screening score for Russia / Propaganda ecosystems in United States; verify with country-specific evidence before final use.</x:v>
      </x:c>
    </x:row>
    <x:row r="1859" ht="24" customHeight="1">
      <x:c r="A1859" s="20" t="str">
        <x:v>USA|Russia|PMC presence</x:v>
      </x:c>
      <x:c r="B1859" s="20" t="str">
        <x:v>United States</x:v>
      </x:c>
      <x:c r="C1859" s="20" t="str">
        <x:v>USA</x:v>
      </x:c>
      <x:c r="D1859" s="20" t="str">
        <x:v>Russia</x:v>
      </x:c>
      <x:c r="E1859" s="20" t="str">
        <x:v>Russian influence</x:v>
      </x:c>
      <x:c r="F1859" s="20" t="str">
        <x:v>PMC presence</x:v>
      </x:c>
      <x:c r="G1859" s="384" t="n">
        <x:v>0</x:v>
      </x:c>
      <x:c r="H1859" s="396" t="n">
        <x:v>1</x:v>
      </x:c>
      <x:c r="I1859" s="20" t="str">
        <x:v>Treasury and Council of the EU Wagner/PMC source register</x:v>
      </x:c>
      <x:c r="J1859" s="397" t="str">
        <x:v>https://www.consilium.europa.eu/en/press/press-releases/2023/02/25/wagner-group-council-adds-11-individuals-and-7-entities-to-eu-sanctions-lists/</x:v>
      </x:c>
      <x:c r="K1859" s="20" t="str">
        <x:v>Primary source-register URL; automated screening score</x:v>
      </x:c>
      <x:c r="L1859" s="20" t="str">
        <x:v>2026-05-20</x:v>
      </x:c>
      <x:c r="M1859" s="20" t="str">
        <x:v>2026-05-20</x:v>
      </x:c>
      <x:c r="N1859" s="20" t="str">
        <x:v>GPT-5.5 Pro</x:v>
      </x:c>
      <x:c r="O1859" s="20" t="str">
        <x:v>Needs review</x:v>
      </x:c>
      <x:c r="P1859" s="20" t="str">
        <x:v>Screening score for Russia / PMC presence in United States; verify with country-specific evidence before final use.</x:v>
      </x:c>
    </x:row>
    <x:row r="1860" ht="24" customHeight="1">
      <x:c r="A1860" s="20" t="str">
        <x:v>USA|Russia|Election interference</x:v>
      </x:c>
      <x:c r="B1860" s="20" t="str">
        <x:v>United States</x:v>
      </x:c>
      <x:c r="C1860" s="20" t="str">
        <x:v>USA</x:v>
      </x:c>
      <x:c r="D1860" s="20" t="str">
        <x:v>Russia</x:v>
      </x:c>
      <x:c r="E1860" s="20" t="str">
        <x:v>Russian influence</x:v>
      </x:c>
      <x:c r="F1860" s="20" t="str">
        <x:v>Election interference</x:v>
      </x:c>
      <x:c r="G1860" s="384" t="n">
        <x:v>8</x:v>
      </x:c>
      <x:c r="H1860" s="396" t="n">
        <x:v>4</x:v>
      </x:c>
      <x:c r="I1860" s="20" t="str">
        <x:v>ODNI/EEAS election-FIMI source register</x:v>
      </x:c>
      <x:c r="J1860" s="397" t="str">
        <x:v>https://www.dni.gov/files/ODNI/documents/assessments/ATA-2026-Unclassified-Report.pdf</x:v>
      </x:c>
      <x:c r="K1860" s="20" t="str">
        <x:v>Primary source-register URL; automated screening score</x:v>
      </x:c>
      <x:c r="L1860" s="20" t="str">
        <x:v>2026-05-20</x:v>
      </x:c>
      <x:c r="M1860" s="20" t="str">
        <x:v>2026-05-20</x:v>
      </x:c>
      <x:c r="N1860" s="20" t="str">
        <x:v>GPT-5.5 Pro</x:v>
      </x:c>
      <x:c r="O1860" s="20" t="str">
        <x:v>Needs review</x:v>
      </x:c>
      <x:c r="P1860" s="20" t="str">
        <x:v>Screening score for Russia / Election interference in United States; verify with country-specific evidence before final use.</x:v>
      </x:c>
    </x:row>
    <x:row r="1861" ht="24" customHeight="1">
      <x:c r="A1861" s="20" t="str">
        <x:v>USA|Russia|Security contractors</x:v>
      </x:c>
      <x:c r="B1861" s="20" t="str">
        <x:v>United States</x:v>
      </x:c>
      <x:c r="C1861" s="20" t="str">
        <x:v>USA</x:v>
      </x:c>
      <x:c r="D1861" s="20" t="str">
        <x:v>Russia</x:v>
      </x:c>
      <x:c r="E1861" s="20" t="str">
        <x:v>Russian influence</x:v>
      </x:c>
      <x:c r="F1861" s="20" t="str">
        <x:v>Security contractors</x:v>
      </x:c>
      <x:c r="G1861" s="384" t="n">
        <x:v>0</x:v>
      </x:c>
      <x:c r="H1861" s="396" t="n">
        <x:v>1</x:v>
      </x:c>
      <x:c r="I1861" s="20" t="str">
        <x:v>Council of the EU/Treasury Wagner-security source register</x:v>
      </x:c>
      <x:c r="J1861" s="397" t="str">
        <x:v>https://www.consilium.europa.eu/en/press/press-releases/2023/02/25/wagner-group-council-adds-11-individuals-and-7-entities-to-eu-sanctions-lists/</x:v>
      </x:c>
      <x:c r="K1861" s="20" t="str">
        <x:v>Primary source-register URL; automated screening score</x:v>
      </x:c>
      <x:c r="L1861" s="20" t="str">
        <x:v>2026-05-20</x:v>
      </x:c>
      <x:c r="M1861" s="20" t="str">
        <x:v>2026-05-20</x:v>
      </x:c>
      <x:c r="N1861" s="20" t="str">
        <x:v>GPT-5.5 Pro</x:v>
      </x:c>
      <x:c r="O1861" s="20" t="str">
        <x:v>Needs review</x:v>
      </x:c>
      <x:c r="P1861" s="20" t="str">
        <x:v>Screening score for Russia / Security contractors in United States; verify with country-specific evidence before final use.</x:v>
      </x:c>
    </x:row>
    <x:row r="1862" ht="24" customHeight="1">
      <x:c r="A1862" s="20" t="str">
        <x:v>USA|China|Propaganda ecosystems</x:v>
      </x:c>
      <x:c r="B1862" s="20" t="str">
        <x:v>United States</x:v>
      </x:c>
      <x:c r="C1862" s="20" t="str">
        <x:v>USA</x:v>
      </x:c>
      <x:c r="D1862" s="20" t="str">
        <x:v>China</x:v>
      </x:c>
      <x:c r="E1862" s="20" t="str">
        <x:v>Chinese influence</x:v>
      </x:c>
      <x:c r="F1862" s="20" t="str">
        <x:v>Propaganda ecosystems</x:v>
      </x:c>
      <x:c r="G1862" s="384" t="n">
        <x:v>7</x:v>
      </x:c>
      <x:c r="H1862" s="396" t="n">
        <x:v>4</x:v>
      </x:c>
      <x:c r="I1862" s="20" t="str">
        <x:v>EEAS/ODNI China FIMI source register</x:v>
      </x:c>
      <x:c r="J1862" s="397" t="str">
        <x:v>https://www.eeas.europa.eu/eeas/4th-eeas-annual-report-foreign-information-manipulation-and-interference-threats_en</x:v>
      </x:c>
      <x:c r="K1862" s="20" t="str">
        <x:v>Primary source-register URL; automated screening score</x:v>
      </x:c>
      <x:c r="L1862" s="20" t="str">
        <x:v>2026-05-20</x:v>
      </x:c>
      <x:c r="M1862" s="20" t="str">
        <x:v>2026-05-20</x:v>
      </x:c>
      <x:c r="N1862" s="20" t="str">
        <x:v>GPT-5.5 Pro</x:v>
      </x:c>
      <x:c r="O1862" s="20" t="str">
        <x:v>Needs review</x:v>
      </x:c>
      <x:c r="P1862" s="20" t="str">
        <x:v>Screening score for China / Propaganda ecosystems in United States; verify with country-specific evidence before final use.</x:v>
      </x:c>
    </x:row>
    <x:row r="1863" ht="24" customHeight="1">
      <x:c r="A1863" s="20" t="str">
        <x:v>USA|China|PMC presence</x:v>
      </x:c>
      <x:c r="B1863" s="20" t="str">
        <x:v>United States</x:v>
      </x:c>
      <x:c r="C1863" s="20" t="str">
        <x:v>USA</x:v>
      </x:c>
      <x:c r="D1863" s="20" t="str">
        <x:v>China</x:v>
      </x:c>
      <x:c r="E1863" s="20" t="str">
        <x:v>Chinese influence</x:v>
      </x:c>
      <x:c r="F1863" s="20" t="str">
        <x:v>PMC presence</x:v>
      </x:c>
      <x:c r="G1863" s="384" t="n">
        <x:v>0</x:v>
      </x:c>
      <x:c r="H1863" s="396" t="n">
        <x:v>1</x:v>
      </x:c>
      <x:c r="I1863" s="20" t="str">
        <x:v>MERICS/Carnegie Chinese overseas PSC source register</x:v>
      </x:c>
      <x:c r="J1863" s="397" t="str">
        <x:v>https://merics.org/en/report/guardians-belt-and-road</x:v>
      </x:c>
      <x:c r="K1863" s="20" t="str">
        <x:v>Primary source-register URL; automated screening score</x:v>
      </x:c>
      <x:c r="L1863" s="20" t="str">
        <x:v>2026-05-20</x:v>
      </x:c>
      <x:c r="M1863" s="20" t="str">
        <x:v>2026-05-20</x:v>
      </x:c>
      <x:c r="N1863" s="20" t="str">
        <x:v>GPT-5.5 Pro</x:v>
      </x:c>
      <x:c r="O1863" s="20" t="str">
        <x:v>Needs review</x:v>
      </x:c>
      <x:c r="P1863" s="20" t="str">
        <x:v>Screening score for China / PMC presence in United States; verify with country-specific evidence before final use.</x:v>
      </x:c>
    </x:row>
    <x:row r="1864" ht="24" customHeight="1">
      <x:c r="A1864" s="20" t="str">
        <x:v>USA|China|Election interference</x:v>
      </x:c>
      <x:c r="B1864" s="20" t="str">
        <x:v>United States</x:v>
      </x:c>
      <x:c r="C1864" s="20" t="str">
        <x:v>USA</x:v>
      </x:c>
      <x:c r="D1864" s="20" t="str">
        <x:v>China</x:v>
      </x:c>
      <x:c r="E1864" s="20" t="str">
        <x:v>Chinese influence</x:v>
      </x:c>
      <x:c r="F1864" s="20" t="str">
        <x:v>Election interference</x:v>
      </x:c>
      <x:c r="G1864" s="384" t="n">
        <x:v>5</x:v>
      </x:c>
      <x:c r="H1864" s="396" t="n">
        <x:v>3</x:v>
      </x:c>
      <x:c r="I1864" s="20" t="str">
        <x:v>EEAS/ODNI China election-FIMI source register</x:v>
      </x:c>
      <x:c r="J1864" s="397" t="str">
        <x:v>https://www.eeas.europa.eu/eeas/4th-eeas-annual-report-foreign-information-manipulation-and-interference-threats_en</x:v>
      </x:c>
      <x:c r="K1864" s="20" t="str">
        <x:v>Primary source-register URL; automated screening score</x:v>
      </x:c>
      <x:c r="L1864" s="20" t="str">
        <x:v>2026-05-20</x:v>
      </x:c>
      <x:c r="M1864" s="20" t="str">
        <x:v>2026-05-20</x:v>
      </x:c>
      <x:c r="N1864" s="20" t="str">
        <x:v>GPT-5.5 Pro</x:v>
      </x:c>
      <x:c r="O1864" s="20" t="str">
        <x:v>Needs review</x:v>
      </x:c>
      <x:c r="P1864" s="20" t="str">
        <x:v>Screening score for China / Election interference in United States; verify with country-specific evidence before final use.</x:v>
      </x:c>
    </x:row>
    <x:row r="1865" ht="24" customHeight="1">
      <x:c r="A1865" s="20" t="str">
        <x:v>USA|China|Security contractors</x:v>
      </x:c>
      <x:c r="B1865" s="20" t="str">
        <x:v>United States</x:v>
      </x:c>
      <x:c r="C1865" s="20" t="str">
        <x:v>USA</x:v>
      </x:c>
      <x:c r="D1865" s="20" t="str">
        <x:v>China</x:v>
      </x:c>
      <x:c r="E1865" s="20" t="str">
        <x:v>Chinese influence</x:v>
      </x:c>
      <x:c r="F1865" s="20" t="str">
        <x:v>Security contractors</x:v>
      </x:c>
      <x:c r="G1865" s="384" t="n">
        <x:v>0</x:v>
      </x:c>
      <x:c r="H1865" s="396" t="n">
        <x:v>1</x:v>
      </x:c>
      <x:c r="I1865" s="20" t="str">
        <x:v>MERICS/Carnegie Chinese security contractor source register</x:v>
      </x:c>
      <x:c r="J1865" s="397" t="str">
        <x:v>https://merics.org/en/report/guardians-belt-and-road</x:v>
      </x:c>
      <x:c r="K1865" s="20" t="str">
        <x:v>Primary source-register URL; automated screening score</x:v>
      </x:c>
      <x:c r="L1865" s="20" t="str">
        <x:v>2026-05-20</x:v>
      </x:c>
      <x:c r="M1865" s="20" t="str">
        <x:v>2026-05-20</x:v>
      </x:c>
      <x:c r="N1865" s="20" t="str">
        <x:v>GPT-5.5 Pro</x:v>
      </x:c>
      <x:c r="O1865" s="20" t="str">
        <x:v>Needs review</x:v>
      </x:c>
      <x:c r="P1865" s="20" t="str">
        <x:v>Screening score for China / Security contractors in United States; verify with country-specific evidence before final use.</x:v>
      </x:c>
    </x:row>
    <x:row r="1866" ht="24" customHeight="1">
      <x:c r="A1866" s="20" t="str">
        <x:v>USA|United States|Propaganda ecosystems</x:v>
      </x:c>
      <x:c r="B1866" s="20" t="str">
        <x:v>United States</x:v>
      </x:c>
      <x:c r="C1866" s="20" t="str">
        <x:v>USA</x:v>
      </x:c>
      <x:c r="D1866" s="20" t="str">
        <x:v>United States</x:v>
      </x:c>
      <x:c r="E1866" s="20" t="str">
        <x:v>American influence</x:v>
      </x:c>
      <x:c r="F1866" s="20" t="str">
        <x:v>Propaganda ecosystems</x:v>
      </x:c>
      <x:c r="G1866" s="384" t="n">
        <x:v>10</x:v>
      </x:c>
      <x:c r="H1866" s="396" t="n">
        <x:v>5</x:v>
      </x:c>
      <x:c r="I1866" s="20" t="str">
        <x:v>USAGM public media source register</x:v>
      </x:c>
      <x:c r="J1866" s="397" t="str">
        <x:v>https://www.usagm.gov/our-work/strategy-and-results/strategic-priorities/research-reports/</x:v>
      </x:c>
      <x:c r="K1866" s="20" t="str">
        <x:v>Primary source-register URL; automated screening score</x:v>
      </x:c>
      <x:c r="L1866" s="20" t="str">
        <x:v>2026-05-20</x:v>
      </x:c>
      <x:c r="M1866" s="20" t="str">
        <x:v>2026-05-20</x:v>
      </x:c>
      <x:c r="N1866" s="20" t="str">
        <x:v>GPT-5.5 Pro</x:v>
      </x:c>
      <x:c r="O1866" s="20" t="str">
        <x:v>Needs review</x:v>
      </x:c>
      <x:c r="P1866" s="20" t="str">
        <x:v>Screening score for United States / Propaganda ecosystems in United States; verify with country-specific evidence before final use.</x:v>
      </x:c>
    </x:row>
    <x:row r="1867" ht="24" customHeight="1">
      <x:c r="A1867" s="20" t="str">
        <x:v>USA|United States|PMC presence</x:v>
      </x:c>
      <x:c r="B1867" s="20" t="str">
        <x:v>United States</x:v>
      </x:c>
      <x:c r="C1867" s="20" t="str">
        <x:v>USA</x:v>
      </x:c>
      <x:c r="D1867" s="20" t="str">
        <x:v>United States</x:v>
      </x:c>
      <x:c r="E1867" s="20" t="str">
        <x:v>American influence</x:v>
      </x:c>
      <x:c r="F1867" s="20" t="str">
        <x:v>PMC presence</x:v>
      </x:c>
      <x:c r="G1867" s="384" t="n">
        <x:v>7</x:v>
      </x:c>
      <x:c r="H1867" s="396" t="n">
        <x:v>4</x:v>
      </x:c>
      <x:c r="I1867" s="20" t="str">
        <x:v>SAM/Greenbook U.S. security assistance contractor source register</x:v>
      </x:c>
      <x:c r="J1867" s="397" t="str">
        <x:v>https://internationalpolicy.org/programs/sam/</x:v>
      </x:c>
      <x:c r="K1867" s="20" t="str">
        <x:v>Primary source-register URL; automated screening score</x:v>
      </x:c>
      <x:c r="L1867" s="20" t="str">
        <x:v>2026-05-20</x:v>
      </x:c>
      <x:c r="M1867" s="20" t="str">
        <x:v>2026-05-20</x:v>
      </x:c>
      <x:c r="N1867" s="20" t="str">
        <x:v>GPT-5.5 Pro</x:v>
      </x:c>
      <x:c r="O1867" s="20" t="str">
        <x:v>Needs review</x:v>
      </x:c>
      <x:c r="P1867" s="20" t="str">
        <x:v>Screening score for United States / PMC presence in United States; verify with country-specific evidence before final use.</x:v>
      </x:c>
    </x:row>
    <x:row r="1868" ht="24" customHeight="1">
      <x:c r="A1868" s="20" t="str">
        <x:v>USA|United States|Election interference</x:v>
      </x:c>
      <x:c r="B1868" s="20" t="str">
        <x:v>United States</x:v>
      </x:c>
      <x:c r="C1868" s="20" t="str">
        <x:v>USA</x:v>
      </x:c>
      <x:c r="D1868" s="20" t="str">
        <x:v>United States</x:v>
      </x:c>
      <x:c r="E1868" s="20" t="str">
        <x:v>American influence</x:v>
      </x:c>
      <x:c r="F1868" s="20" t="str">
        <x:v>Election interference</x:v>
      </x:c>
      <x:c r="G1868" s="384" t="n">
        <x:v>4</x:v>
      </x:c>
      <x:c r="H1868" s="396" t="n">
        <x:v>3</x:v>
      </x:c>
      <x:c r="I1868" s="20" t="str">
        <x:v>NED/Greenbook democracy assistance source register</x:v>
      </x:c>
      <x:c r="J1868" s="397" t="str">
        <x:v>https://www.ned.org/ned-grantmaking/</x:v>
      </x:c>
      <x:c r="K1868" s="20" t="str">
        <x:v>Primary source-register URL; automated screening score</x:v>
      </x:c>
      <x:c r="L1868" s="20" t="str">
        <x:v>2026-05-20</x:v>
      </x:c>
      <x:c r="M1868" s="20" t="str">
        <x:v>2026-05-20</x:v>
      </x:c>
      <x:c r="N1868" s="20" t="str">
        <x:v>GPT-5.5 Pro</x:v>
      </x:c>
      <x:c r="O1868" s="20" t="str">
        <x:v>Needs review</x:v>
      </x:c>
      <x:c r="P1868" s="20" t="str">
        <x:v>Screening score for United States / Election interference in United States; verify with country-specific evidence before final use.</x:v>
      </x:c>
    </x:row>
    <x:row r="1869" ht="24" customHeight="1">
      <x:c r="A1869" s="20" t="str">
        <x:v>USA|United States|Security contractors</x:v>
      </x:c>
      <x:c r="B1869" s="20" t="str">
        <x:v>United States</x:v>
      </x:c>
      <x:c r="C1869" s="20" t="str">
        <x:v>USA</x:v>
      </x:c>
      <x:c r="D1869" s="20" t="str">
        <x:v>United States</x:v>
      </x:c>
      <x:c r="E1869" s="20" t="str">
        <x:v>American influence</x:v>
      </x:c>
      <x:c r="F1869" s="20" t="str">
        <x:v>Security contractors</x:v>
      </x:c>
      <x:c r="G1869" s="384" t="n">
        <x:v>10</x:v>
      </x:c>
      <x:c r="H1869" s="396" t="n">
        <x:v>5</x:v>
      </x:c>
      <x:c r="I1869" s="20" t="str">
        <x:v>SAM/Greenbook U.S. security contractor source register</x:v>
      </x:c>
      <x:c r="J1869" s="397" t="str">
        <x:v>https://internationalpolicy.org/programs/sam/</x:v>
      </x:c>
      <x:c r="K1869" s="20" t="str">
        <x:v>Primary source-register URL; automated screening score</x:v>
      </x:c>
      <x:c r="L1869" s="20" t="str">
        <x:v>2026-05-20</x:v>
      </x:c>
      <x:c r="M1869" s="20" t="str">
        <x:v>2026-05-20</x:v>
      </x:c>
      <x:c r="N1869" s="20" t="str">
        <x:v>GPT-5.5 Pro</x:v>
      </x:c>
      <x:c r="O1869" s="20" t="str">
        <x:v>Needs review</x:v>
      </x:c>
      <x:c r="P1869" s="20" t="str">
        <x:v>Screening score for United States / Security contractors in United States; verify with country-specific evidence before final use.</x:v>
      </x:c>
    </x:row>
    <x:row r="1870" ht="24" customHeight="1">
      <x:c r="A1870" s="20" t="str">
        <x:v>USA|European Union|Propaganda ecosystems</x:v>
      </x:c>
      <x:c r="B1870" s="20" t="str">
        <x:v>United States</x:v>
      </x:c>
      <x:c r="C1870" s="20" t="str">
        <x:v>USA</x:v>
      </x:c>
      <x:c r="D1870" s="20" t="str">
        <x:v>European Union</x:v>
      </x:c>
      <x:c r="E1870" s="20" t="str">
        <x:v>EU influence</x:v>
      </x:c>
      <x:c r="F1870" s="20" t="str">
        <x:v>Propaganda ecosystems</x:v>
      </x:c>
      <x:c r="G1870" s="384" t="n">
        <x:v>3</x:v>
      </x:c>
      <x:c r="H1870" s="396" t="n">
        <x:v>3</x:v>
      </x:c>
      <x:c r="I1870" s="20" t="str">
        <x:v>EEAS public diplomacy source register</x:v>
      </x:c>
      <x:c r="J1870" s="397" t="str">
        <x:v>https://www.eeas.europa.eu/eeas/public-diplomacy_en</x:v>
      </x:c>
      <x:c r="K1870" s="20" t="str">
        <x:v>Primary source-register URL; automated screening score</x:v>
      </x:c>
      <x:c r="L1870" s="20" t="str">
        <x:v>2026-05-20</x:v>
      </x:c>
      <x:c r="M1870" s="20" t="str">
        <x:v>2026-05-20</x:v>
      </x:c>
      <x:c r="N1870" s="20" t="str">
        <x:v>GPT-5.5 Pro</x:v>
      </x:c>
      <x:c r="O1870" s="20" t="str">
        <x:v>Needs review</x:v>
      </x:c>
      <x:c r="P1870" s="20" t="str">
        <x:v>Screening score for European Union / Propaganda ecosystems in United States; verify with country-specific evidence before final use.</x:v>
      </x:c>
    </x:row>
    <x:row r="1871" ht="24" customHeight="1">
      <x:c r="A1871" s="20" t="str">
        <x:v>USA|European Union|PMC presence</x:v>
      </x:c>
      <x:c r="B1871" s="20" t="str">
        <x:v>United States</x:v>
      </x:c>
      <x:c r="C1871" s="20" t="str">
        <x:v>USA</x:v>
      </x:c>
      <x:c r="D1871" s="20" t="str">
        <x:v>European Union</x:v>
      </x:c>
      <x:c r="E1871" s="20" t="str">
        <x:v>EU influence</x:v>
      </x:c>
      <x:c r="F1871" s="20" t="str">
        <x:v>PMC presence</x:v>
      </x:c>
      <x:c r="G1871" s="384" t="n">
        <x:v>0</x:v>
      </x:c>
      <x:c r="H1871" s="396" t="n">
        <x:v>1</x:v>
      </x:c>
      <x:c r="I1871" s="20" t="str">
        <x:v>EEAS CSDP missions source register</x:v>
      </x:c>
      <x:c r="J1871" s="397" t="str">
        <x:v>https://www.eeas.europa.eu/eeas/missions-and-operations_en</x:v>
      </x:c>
      <x:c r="K1871" s="20" t="str">
        <x:v>Primary source-register URL; automated screening score</x:v>
      </x:c>
      <x:c r="L1871" s="20" t="str">
        <x:v>2026-05-20</x:v>
      </x:c>
      <x:c r="M1871" s="20" t="str">
        <x:v>2026-05-20</x:v>
      </x:c>
      <x:c r="N1871" s="20" t="str">
        <x:v>GPT-5.5 Pro</x:v>
      </x:c>
      <x:c r="O1871" s="20" t="str">
        <x:v>Needs review</x:v>
      </x:c>
      <x:c r="P1871" s="20" t="str">
        <x:v>Screening score for European Union / PMC presence in United States; verify with country-specific evidence before final use.</x:v>
      </x:c>
    </x:row>
    <x:row r="1872" ht="24" customHeight="1">
      <x:c r="A1872" s="20" t="str">
        <x:v>USA|European Union|Election interference</x:v>
      </x:c>
      <x:c r="B1872" s="20" t="str">
        <x:v>United States</x:v>
      </x:c>
      <x:c r="C1872" s="20" t="str">
        <x:v>USA</x:v>
      </x:c>
      <x:c r="D1872" s="20" t="str">
        <x:v>European Union</x:v>
      </x:c>
      <x:c r="E1872" s="20" t="str">
        <x:v>EU influence</x:v>
      </x:c>
      <x:c r="F1872" s="20" t="str">
        <x:v>Election interference</x:v>
      </x:c>
      <x:c r="G1872" s="384" t="n">
        <x:v>0</x:v>
      </x:c>
      <x:c r="H1872" s="396" t="n">
        <x:v>1</x:v>
      </x:c>
      <x:c r="I1872" s="20" t="str">
        <x:v>EEAS EU election observation source register</x:v>
      </x:c>
      <x:c r="J1872" s="397" t="str">
        <x:v>https://www.eeas.europa.eu/eeas/eu-election-observation-missions-1_en?page_lang=en</x:v>
      </x:c>
      <x:c r="K1872" s="20" t="str">
        <x:v>Primary source-register URL; automated screening score</x:v>
      </x:c>
      <x:c r="L1872" s="20" t="str">
        <x:v>2026-05-20</x:v>
      </x:c>
      <x:c r="M1872" s="20" t="str">
        <x:v>2026-05-20</x:v>
      </x:c>
      <x:c r="N1872" s="20" t="str">
        <x:v>GPT-5.5 Pro</x:v>
      </x:c>
      <x:c r="O1872" s="20" t="str">
        <x:v>Needs review</x:v>
      </x:c>
      <x:c r="P1872" s="20" t="str">
        <x:v>Screening score for European Union / Election interference in United States; verify with country-specific evidence before final use.</x:v>
      </x:c>
    </x:row>
    <x:row r="1873" ht="24" customHeight="1">
      <x:c r="A1873" s="20" t="str">
        <x:v>USA|European Union|Security contractors</x:v>
      </x:c>
      <x:c r="B1873" s="20" t="str">
        <x:v>United States</x:v>
      </x:c>
      <x:c r="C1873" s="20" t="str">
        <x:v>USA</x:v>
      </x:c>
      <x:c r="D1873" s="20" t="str">
        <x:v>European Union</x:v>
      </x:c>
      <x:c r="E1873" s="20" t="str">
        <x:v>EU influence</x:v>
      </x:c>
      <x:c r="F1873" s="20" t="str">
        <x:v>Security contractors</x:v>
      </x:c>
      <x:c r="G1873" s="384" t="n">
        <x:v>3</x:v>
      </x:c>
      <x:c r="H1873" s="396" t="n">
        <x:v>3</x:v>
      </x:c>
      <x:c r="I1873" s="20" t="str">
        <x:v>EEAS CSDP / Global Gateway security source register</x:v>
      </x:c>
      <x:c r="J1873" s="397" t="str">
        <x:v>https://www.eeas.europa.eu/eeas/missions-and-operations_en</x:v>
      </x:c>
      <x:c r="K1873" s="20" t="str">
        <x:v>Primary source-register URL; automated screening score</x:v>
      </x:c>
      <x:c r="L1873" s="20" t="str">
        <x:v>2026-05-20</x:v>
      </x:c>
      <x:c r="M1873" s="20" t="str">
        <x:v>2026-05-20</x:v>
      </x:c>
      <x:c r="N1873" s="20" t="str">
        <x:v>GPT-5.5 Pro</x:v>
      </x:c>
      <x:c r="O1873" s="20" t="str">
        <x:v>Needs review</x:v>
      </x:c>
      <x:c r="P1873" s="20" t="str">
        <x:v>Screening score for European Union / Security contractors in United States; verify with country-specific evidence before final use.</x:v>
      </x:c>
    </x:row>
    <x:row r="1874" ht="24" customHeight="1">
      <x:c r="A1874" s="20" t="str">
        <x:v>UZB|Russia|Propaganda ecosystems</x:v>
      </x:c>
      <x:c r="B1874" s="20" t="str">
        <x:v>Uzbekistan</x:v>
      </x:c>
      <x:c r="C1874" s="20" t="str">
        <x:v>UZB</x:v>
      </x:c>
      <x:c r="D1874" s="20" t="str">
        <x:v>Russia</x:v>
      </x:c>
      <x:c r="E1874" s="20" t="str">
        <x:v>Russian influence</x:v>
      </x:c>
      <x:c r="F1874" s="20" t="str">
        <x:v>Propaganda ecosystems</x:v>
      </x:c>
      <x:c r="G1874" s="384" t="n">
        <x:v>7</x:v>
      </x:c>
      <x:c r="H1874" s="396" t="n">
        <x:v>4</x:v>
      </x:c>
      <x:c r="I1874" s="20" t="str">
        <x:v>EEAS/EUvsDisinfo FIMI source register</x:v>
      </x:c>
      <x:c r="J1874" s="397" t="str">
        <x:v>https://www.eeas.europa.eu/eeas/4th-eeas-annual-report-foreign-information-manipulation-and-interference-threats_en</x:v>
      </x:c>
      <x:c r="K1874" s="20" t="str">
        <x:v>Primary source-register URL; automated screening score</x:v>
      </x:c>
      <x:c r="L1874" s="20" t="str">
        <x:v>2026-05-20</x:v>
      </x:c>
      <x:c r="M1874" s="20" t="str">
        <x:v>2026-05-20</x:v>
      </x:c>
      <x:c r="N1874" s="20" t="str">
        <x:v>GPT-5.5 Pro</x:v>
      </x:c>
      <x:c r="O1874" s="20" t="str">
        <x:v>Needs review</x:v>
      </x:c>
      <x:c r="P1874" s="20" t="str">
        <x:v>Screening score for Russia / Propaganda ecosystems in Uzbekistan; verify with country-specific evidence before final use.</x:v>
      </x:c>
    </x:row>
    <x:row r="1875" ht="24" customHeight="1">
      <x:c r="A1875" s="20" t="str">
        <x:v>UZB|Russia|PMC presence</x:v>
      </x:c>
      <x:c r="B1875" s="20" t="str">
        <x:v>Uzbekistan</x:v>
      </x:c>
      <x:c r="C1875" s="20" t="str">
        <x:v>UZB</x:v>
      </x:c>
      <x:c r="D1875" s="20" t="str">
        <x:v>Russia</x:v>
      </x:c>
      <x:c r="E1875" s="20" t="str">
        <x:v>Russian influence</x:v>
      </x:c>
      <x:c r="F1875" s="20" t="str">
        <x:v>PMC presence</x:v>
      </x:c>
      <x:c r="G1875" s="384" t="n">
        <x:v>0</x:v>
      </x:c>
      <x:c r="H1875" s="396" t="n">
        <x:v>1</x:v>
      </x:c>
      <x:c r="I1875" s="20" t="str">
        <x:v>Treasury and Council of the EU Wagner/PMC source register</x:v>
      </x:c>
      <x:c r="J1875" s="397" t="str">
        <x:v>https://www.consilium.europa.eu/en/press/press-releases/2023/02/25/wagner-group-council-adds-11-individuals-and-7-entities-to-eu-sanctions-lists/</x:v>
      </x:c>
      <x:c r="K1875" s="20" t="str">
        <x:v>Primary source-register URL; automated screening score</x:v>
      </x:c>
      <x:c r="L1875" s="20" t="str">
        <x:v>2026-05-20</x:v>
      </x:c>
      <x:c r="M1875" s="20" t="str">
        <x:v>2026-05-20</x:v>
      </x:c>
      <x:c r="N1875" s="20" t="str">
        <x:v>GPT-5.5 Pro</x:v>
      </x:c>
      <x:c r="O1875" s="20" t="str">
        <x:v>Needs review</x:v>
      </x:c>
      <x:c r="P1875" s="20" t="str">
        <x:v>Screening score for Russia / PMC presence in Uzbekistan; verify with country-specific evidence before final use.</x:v>
      </x:c>
    </x:row>
    <x:row r="1876" ht="24" customHeight="1">
      <x:c r="A1876" s="20" t="str">
        <x:v>UZB|Russia|Election interference</x:v>
      </x:c>
      <x:c r="B1876" s="20" t="str">
        <x:v>Uzbekistan</x:v>
      </x:c>
      <x:c r="C1876" s="20" t="str">
        <x:v>UZB</x:v>
      </x:c>
      <x:c r="D1876" s="20" t="str">
        <x:v>Russia</x:v>
      </x:c>
      <x:c r="E1876" s="20" t="str">
        <x:v>Russian influence</x:v>
      </x:c>
      <x:c r="F1876" s="20" t="str">
        <x:v>Election interference</x:v>
      </x:c>
      <x:c r="G1876" s="384" t="n">
        <x:v>0</x:v>
      </x:c>
      <x:c r="H1876" s="396" t="n">
        <x:v>1</x:v>
      </x:c>
      <x:c r="I1876" s="20" t="str">
        <x:v>ODNI/EEAS election-FIMI source register</x:v>
      </x:c>
      <x:c r="J1876" s="397" t="str">
        <x:v>https://www.dni.gov/files/ODNI/documents/assessments/ATA-2026-Unclassified-Report.pdf</x:v>
      </x:c>
      <x:c r="K1876" s="20" t="str">
        <x:v>Primary source-register URL; automated screening score</x:v>
      </x:c>
      <x:c r="L1876" s="20" t="str">
        <x:v>2026-05-20</x:v>
      </x:c>
      <x:c r="M1876" s="20" t="str">
        <x:v>2026-05-20</x:v>
      </x:c>
      <x:c r="N1876" s="20" t="str">
        <x:v>GPT-5.5 Pro</x:v>
      </x:c>
      <x:c r="O1876" s="20" t="str">
        <x:v>Needs review</x:v>
      </x:c>
      <x:c r="P1876" s="20" t="str">
        <x:v>Screening score for Russia / Election interference in Uzbekistan; verify with country-specific evidence before final use.</x:v>
      </x:c>
    </x:row>
    <x:row r="1877" ht="24" customHeight="1">
      <x:c r="A1877" s="20" t="str">
        <x:v>UZB|Russia|Security contractors</x:v>
      </x:c>
      <x:c r="B1877" s="20" t="str">
        <x:v>Uzbekistan</x:v>
      </x:c>
      <x:c r="C1877" s="20" t="str">
        <x:v>UZB</x:v>
      </x:c>
      <x:c r="D1877" s="20" t="str">
        <x:v>Russia</x:v>
      </x:c>
      <x:c r="E1877" s="20" t="str">
        <x:v>Russian influence</x:v>
      </x:c>
      <x:c r="F1877" s="20" t="str">
        <x:v>Security contractors</x:v>
      </x:c>
      <x:c r="G1877" s="384" t="n">
        <x:v>0</x:v>
      </x:c>
      <x:c r="H1877" s="396" t="n">
        <x:v>1</x:v>
      </x:c>
      <x:c r="I1877" s="20" t="str">
        <x:v>Council of the EU/Treasury Wagner-security source register</x:v>
      </x:c>
      <x:c r="J1877" s="397" t="str">
        <x:v>https://www.consilium.europa.eu/en/press/press-releases/2023/02/25/wagner-group-council-adds-11-individuals-and-7-entities-to-eu-sanctions-lists/</x:v>
      </x:c>
      <x:c r="K1877" s="20" t="str">
        <x:v>Primary source-register URL; automated screening score</x:v>
      </x:c>
      <x:c r="L1877" s="20" t="str">
        <x:v>2026-05-20</x:v>
      </x:c>
      <x:c r="M1877" s="20" t="str">
        <x:v>2026-05-20</x:v>
      </x:c>
      <x:c r="N1877" s="20" t="str">
        <x:v>GPT-5.5 Pro</x:v>
      </x:c>
      <x:c r="O1877" s="20" t="str">
        <x:v>Needs review</x:v>
      </x:c>
      <x:c r="P1877" s="20" t="str">
        <x:v>Screening score for Russia / Security contractors in Uzbekistan; verify with country-specific evidence before final use.</x:v>
      </x:c>
    </x:row>
    <x:row r="1878" ht="24" customHeight="1">
      <x:c r="A1878" s="20" t="str">
        <x:v>UZB|China|Propaganda ecosystems</x:v>
      </x:c>
      <x:c r="B1878" s="20" t="str">
        <x:v>Uzbekistan</x:v>
      </x:c>
      <x:c r="C1878" s="20" t="str">
        <x:v>UZB</x:v>
      </x:c>
      <x:c r="D1878" s="20" t="str">
        <x:v>China</x:v>
      </x:c>
      <x:c r="E1878" s="20" t="str">
        <x:v>Chinese influence</x:v>
      </x:c>
      <x:c r="F1878" s="20" t="str">
        <x:v>Propaganda ecosystems</x:v>
      </x:c>
      <x:c r="G1878" s="384" t="n">
        <x:v>5</x:v>
      </x:c>
      <x:c r="H1878" s="396" t="n">
        <x:v>3</x:v>
      </x:c>
      <x:c r="I1878" s="20" t="str">
        <x:v>EEAS/ODNI China FIMI source register</x:v>
      </x:c>
      <x:c r="J1878" s="397" t="str">
        <x:v>https://www.eeas.europa.eu/eeas/4th-eeas-annual-report-foreign-information-manipulation-and-interference-threats_en</x:v>
      </x:c>
      <x:c r="K1878" s="20" t="str">
        <x:v>Primary source-register URL; automated screening score</x:v>
      </x:c>
      <x:c r="L1878" s="20" t="str">
        <x:v>2026-05-20</x:v>
      </x:c>
      <x:c r="M1878" s="20" t="str">
        <x:v>2026-05-20</x:v>
      </x:c>
      <x:c r="N1878" s="20" t="str">
        <x:v>GPT-5.5 Pro</x:v>
      </x:c>
      <x:c r="O1878" s="20" t="str">
        <x:v>Needs review</x:v>
      </x:c>
      <x:c r="P1878" s="20" t="str">
        <x:v>Screening score for China / Propaganda ecosystems in Uzbekistan; verify with country-specific evidence before final use.</x:v>
      </x:c>
    </x:row>
    <x:row r="1879" ht="24" customHeight="1">
      <x:c r="A1879" s="20" t="str">
        <x:v>UZB|China|PMC presence</x:v>
      </x:c>
      <x:c r="B1879" s="20" t="str">
        <x:v>Uzbekistan</x:v>
      </x:c>
      <x:c r="C1879" s="20" t="str">
        <x:v>UZB</x:v>
      </x:c>
      <x:c r="D1879" s="20" t="str">
        <x:v>China</x:v>
      </x:c>
      <x:c r="E1879" s="20" t="str">
        <x:v>Chinese influence</x:v>
      </x:c>
      <x:c r="F1879" s="20" t="str">
        <x:v>PMC presence</x:v>
      </x:c>
      <x:c r="G1879" s="384" t="n">
        <x:v>1</x:v>
      </x:c>
      <x:c r="H1879" s="396" t="n">
        <x:v>2</x:v>
      </x:c>
      <x:c r="I1879" s="20" t="str">
        <x:v>MERICS/Carnegie Chinese overseas PSC source register</x:v>
      </x:c>
      <x:c r="J1879" s="397" t="str">
        <x:v>https://merics.org/en/report/guardians-belt-and-road</x:v>
      </x:c>
      <x:c r="K1879" s="20" t="str">
        <x:v>Primary source-register URL; automated screening score</x:v>
      </x:c>
      <x:c r="L1879" s="20" t="str">
        <x:v>2026-05-20</x:v>
      </x:c>
      <x:c r="M1879" s="20" t="str">
        <x:v>2026-05-20</x:v>
      </x:c>
      <x:c r="N1879" s="20" t="str">
        <x:v>GPT-5.5 Pro</x:v>
      </x:c>
      <x:c r="O1879" s="20" t="str">
        <x:v>Needs review</x:v>
      </x:c>
      <x:c r="P1879" s="20" t="str">
        <x:v>Screening score for China / PMC presence in Uzbekistan; verify with country-specific evidence before final use.</x:v>
      </x:c>
    </x:row>
    <x:row r="1880" ht="24" customHeight="1">
      <x:c r="A1880" s="20" t="str">
        <x:v>UZB|China|Election interference</x:v>
      </x:c>
      <x:c r="B1880" s="20" t="str">
        <x:v>Uzbekistan</x:v>
      </x:c>
      <x:c r="C1880" s="20" t="str">
        <x:v>UZB</x:v>
      </x:c>
      <x:c r="D1880" s="20" t="str">
        <x:v>China</x:v>
      </x:c>
      <x:c r="E1880" s="20" t="str">
        <x:v>Chinese influence</x:v>
      </x:c>
      <x:c r="F1880" s="20" t="str">
        <x:v>Election interference</x:v>
      </x:c>
      <x:c r="G1880" s="384" t="n">
        <x:v>1</x:v>
      </x:c>
      <x:c r="H1880" s="396" t="n">
        <x:v>2</x:v>
      </x:c>
      <x:c r="I1880" s="20" t="str">
        <x:v>EEAS/ODNI China election-FIMI source register</x:v>
      </x:c>
      <x:c r="J1880" s="397" t="str">
        <x:v>https://www.eeas.europa.eu/eeas/4th-eeas-annual-report-foreign-information-manipulation-and-interference-threats_en</x:v>
      </x:c>
      <x:c r="K1880" s="20" t="str">
        <x:v>Primary source-register URL; automated screening score</x:v>
      </x:c>
      <x:c r="L1880" s="20" t="str">
        <x:v>2026-05-20</x:v>
      </x:c>
      <x:c r="M1880" s="20" t="str">
        <x:v>2026-05-20</x:v>
      </x:c>
      <x:c r="N1880" s="20" t="str">
        <x:v>GPT-5.5 Pro</x:v>
      </x:c>
      <x:c r="O1880" s="20" t="str">
        <x:v>Needs review</x:v>
      </x:c>
      <x:c r="P1880" s="20" t="str">
        <x:v>Screening score for China / Election interference in Uzbekistan; verify with country-specific evidence before final use.</x:v>
      </x:c>
    </x:row>
    <x:row r="1881" ht="24" customHeight="1">
      <x:c r="A1881" s="20" t="str">
        <x:v>UZB|China|Security contractors</x:v>
      </x:c>
      <x:c r="B1881" s="20" t="str">
        <x:v>Uzbekistan</x:v>
      </x:c>
      <x:c r="C1881" s="20" t="str">
        <x:v>UZB</x:v>
      </x:c>
      <x:c r="D1881" s="20" t="str">
        <x:v>China</x:v>
      </x:c>
      <x:c r="E1881" s="20" t="str">
        <x:v>Chinese influence</x:v>
      </x:c>
      <x:c r="F1881" s="20" t="str">
        <x:v>Security contractors</x:v>
      </x:c>
      <x:c r="G1881" s="384" t="n">
        <x:v>3</x:v>
      </x:c>
      <x:c r="H1881" s="396" t="n">
        <x:v>3</x:v>
      </x:c>
      <x:c r="I1881" s="20" t="str">
        <x:v>MERICS/Carnegie Chinese security contractor source register</x:v>
      </x:c>
      <x:c r="J1881" s="397" t="str">
        <x:v>https://merics.org/en/report/guardians-belt-and-road</x:v>
      </x:c>
      <x:c r="K1881" s="20" t="str">
        <x:v>Primary source-register URL; automated screening score</x:v>
      </x:c>
      <x:c r="L1881" s="20" t="str">
        <x:v>2026-05-20</x:v>
      </x:c>
      <x:c r="M1881" s="20" t="str">
        <x:v>2026-05-20</x:v>
      </x:c>
      <x:c r="N1881" s="20" t="str">
        <x:v>GPT-5.5 Pro</x:v>
      </x:c>
      <x:c r="O1881" s="20" t="str">
        <x:v>Needs review</x:v>
      </x:c>
      <x:c r="P1881" s="20" t="str">
        <x:v>Screening score for China / Security contractors in Uzbekistan; verify with country-specific evidence before final use.</x:v>
      </x:c>
    </x:row>
    <x:row r="1882" ht="24" customHeight="1">
      <x:c r="A1882" s="20" t="str">
        <x:v>UZB|United States|Propaganda ecosystems</x:v>
      </x:c>
      <x:c r="B1882" s="20" t="str">
        <x:v>Uzbekistan</x:v>
      </x:c>
      <x:c r="C1882" s="20" t="str">
        <x:v>UZB</x:v>
      </x:c>
      <x:c r="D1882" s="20" t="str">
        <x:v>United States</x:v>
      </x:c>
      <x:c r="E1882" s="20" t="str">
        <x:v>American influence</x:v>
      </x:c>
      <x:c r="F1882" s="20" t="str">
        <x:v>Propaganda ecosystems</x:v>
      </x:c>
      <x:c r="G1882" s="384" t="n">
        <x:v>4</x:v>
      </x:c>
      <x:c r="H1882" s="396" t="n">
        <x:v>3</x:v>
      </x:c>
      <x:c r="I1882" s="20" t="str">
        <x:v>USAGM public media source register</x:v>
      </x:c>
      <x:c r="J1882" s="397" t="str">
        <x:v>https://www.usagm.gov/our-work/strategy-and-results/strategic-priorities/research-reports/</x:v>
      </x:c>
      <x:c r="K1882" s="20" t="str">
        <x:v>Primary source-register URL; automated screening score</x:v>
      </x:c>
      <x:c r="L1882" s="20" t="str">
        <x:v>2026-05-20</x:v>
      </x:c>
      <x:c r="M1882" s="20" t="str">
        <x:v>2026-05-20</x:v>
      </x:c>
      <x:c r="N1882" s="20" t="str">
        <x:v>GPT-5.5 Pro</x:v>
      </x:c>
      <x:c r="O1882" s="20" t="str">
        <x:v>Needs review</x:v>
      </x:c>
      <x:c r="P1882" s="20" t="str">
        <x:v>Screening score for United States / Propaganda ecosystems in Uzbekistan; verify with country-specific evidence before final use.</x:v>
      </x:c>
    </x:row>
    <x:row r="1883" ht="24" customHeight="1">
      <x:c r="A1883" s="20" t="str">
        <x:v>UZB|United States|PMC presence</x:v>
      </x:c>
      <x:c r="B1883" s="20" t="str">
        <x:v>Uzbekistan</x:v>
      </x:c>
      <x:c r="C1883" s="20" t="str">
        <x:v>UZB</x:v>
      </x:c>
      <x:c r="D1883" s="20" t="str">
        <x:v>United States</x:v>
      </x:c>
      <x:c r="E1883" s="20" t="str">
        <x:v>American influence</x:v>
      </x:c>
      <x:c r="F1883" s="20" t="str">
        <x:v>PMC presence</x:v>
      </x:c>
      <x:c r="G1883" s="384" t="n">
        <x:v>1</x:v>
      </x:c>
      <x:c r="H1883" s="396" t="n">
        <x:v>2</x:v>
      </x:c>
      <x:c r="I1883" s="20" t="str">
        <x:v>SAM/Greenbook U.S. security assistance contractor source register</x:v>
      </x:c>
      <x:c r="J1883" s="397" t="str">
        <x:v>https://internationalpolicy.org/programs/sam/</x:v>
      </x:c>
      <x:c r="K1883" s="20" t="str">
        <x:v>Primary source-register URL; automated screening score</x:v>
      </x:c>
      <x:c r="L1883" s="20" t="str">
        <x:v>2026-05-20</x:v>
      </x:c>
      <x:c r="M1883" s="20" t="str">
        <x:v>2026-05-20</x:v>
      </x:c>
      <x:c r="N1883" s="20" t="str">
        <x:v>GPT-5.5 Pro</x:v>
      </x:c>
      <x:c r="O1883" s="20" t="str">
        <x:v>Needs review</x:v>
      </x:c>
      <x:c r="P1883" s="20" t="str">
        <x:v>Screening score for United States / PMC presence in Uzbekistan; verify with country-specific evidence before final use.</x:v>
      </x:c>
    </x:row>
    <x:row r="1884" ht="24" customHeight="1">
      <x:c r="A1884" s="20" t="str">
        <x:v>UZB|United States|Election interference</x:v>
      </x:c>
      <x:c r="B1884" s="20" t="str">
        <x:v>Uzbekistan</x:v>
      </x:c>
      <x:c r="C1884" s="20" t="str">
        <x:v>UZB</x:v>
      </x:c>
      <x:c r="D1884" s="20" t="str">
        <x:v>United States</x:v>
      </x:c>
      <x:c r="E1884" s="20" t="str">
        <x:v>American influence</x:v>
      </x:c>
      <x:c r="F1884" s="20" t="str">
        <x:v>Election interference</x:v>
      </x:c>
      <x:c r="G1884" s="384" t="n">
        <x:v>2</x:v>
      </x:c>
      <x:c r="H1884" s="396" t="n">
        <x:v>2</x:v>
      </x:c>
      <x:c r="I1884" s="20" t="str">
        <x:v>NED/Greenbook democracy assistance source register</x:v>
      </x:c>
      <x:c r="J1884" s="397" t="str">
        <x:v>https://www.ned.org/ned-grantmaking/</x:v>
      </x:c>
      <x:c r="K1884" s="20" t="str">
        <x:v>Primary source-register URL; automated screening score</x:v>
      </x:c>
      <x:c r="L1884" s="20" t="str">
        <x:v>2026-05-20</x:v>
      </x:c>
      <x:c r="M1884" s="20" t="str">
        <x:v>2026-05-20</x:v>
      </x:c>
      <x:c r="N1884" s="20" t="str">
        <x:v>GPT-5.5 Pro</x:v>
      </x:c>
      <x:c r="O1884" s="20" t="str">
        <x:v>Needs review</x:v>
      </x:c>
      <x:c r="P1884" s="20" t="str">
        <x:v>Screening score for United States / Election interference in Uzbekistan; verify with country-specific evidence before final use.</x:v>
      </x:c>
    </x:row>
    <x:row r="1885" ht="24" customHeight="1">
      <x:c r="A1885" s="20" t="str">
        <x:v>UZB|United States|Security contractors</x:v>
      </x:c>
      <x:c r="B1885" s="20" t="str">
        <x:v>Uzbekistan</x:v>
      </x:c>
      <x:c r="C1885" s="20" t="str">
        <x:v>UZB</x:v>
      </x:c>
      <x:c r="D1885" s="20" t="str">
        <x:v>United States</x:v>
      </x:c>
      <x:c r="E1885" s="20" t="str">
        <x:v>American influence</x:v>
      </x:c>
      <x:c r="F1885" s="20" t="str">
        <x:v>Security contractors</x:v>
      </x:c>
      <x:c r="G1885" s="384" t="n">
        <x:v>2</x:v>
      </x:c>
      <x:c r="H1885" s="396" t="n">
        <x:v>2</x:v>
      </x:c>
      <x:c r="I1885" s="20" t="str">
        <x:v>SAM/Greenbook U.S. security contractor source register</x:v>
      </x:c>
      <x:c r="J1885" s="397" t="str">
        <x:v>https://internationalpolicy.org/programs/sam/</x:v>
      </x:c>
      <x:c r="K1885" s="20" t="str">
        <x:v>Primary source-register URL; automated screening score</x:v>
      </x:c>
      <x:c r="L1885" s="20" t="str">
        <x:v>2026-05-20</x:v>
      </x:c>
      <x:c r="M1885" s="20" t="str">
        <x:v>2026-05-20</x:v>
      </x:c>
      <x:c r="N1885" s="20" t="str">
        <x:v>GPT-5.5 Pro</x:v>
      </x:c>
      <x:c r="O1885" s="20" t="str">
        <x:v>Needs review</x:v>
      </x:c>
      <x:c r="P1885" s="20" t="str">
        <x:v>Screening score for United States / Security contractors in Uzbekistan; verify with country-specific evidence before final use.</x:v>
      </x:c>
    </x:row>
    <x:row r="1886" ht="24" customHeight="1">
      <x:c r="A1886" s="20" t="str">
        <x:v>UZB|European Union|Propaganda ecosystems</x:v>
      </x:c>
      <x:c r="B1886" s="20" t="str">
        <x:v>Uzbekistan</x:v>
      </x:c>
      <x:c r="C1886" s="20" t="str">
        <x:v>UZB</x:v>
      </x:c>
      <x:c r="D1886" s="20" t="str">
        <x:v>European Union</x:v>
      </x:c>
      <x:c r="E1886" s="20" t="str">
        <x:v>EU influence</x:v>
      </x:c>
      <x:c r="F1886" s="20" t="str">
        <x:v>Propaganda ecosystems</x:v>
      </x:c>
      <x:c r="G1886" s="384" t="n">
        <x:v>2</x:v>
      </x:c>
      <x:c r="H1886" s="396" t="n">
        <x:v>2</x:v>
      </x:c>
      <x:c r="I1886" s="20" t="str">
        <x:v>EEAS public diplomacy source register</x:v>
      </x:c>
      <x:c r="J1886" s="397" t="str">
        <x:v>https://www.eeas.europa.eu/eeas/public-diplomacy_en</x:v>
      </x:c>
      <x:c r="K1886" s="20" t="str">
        <x:v>Primary source-register URL; automated screening score</x:v>
      </x:c>
      <x:c r="L1886" s="20" t="str">
        <x:v>2026-05-20</x:v>
      </x:c>
      <x:c r="M1886" s="20" t="str">
        <x:v>2026-05-20</x:v>
      </x:c>
      <x:c r="N1886" s="20" t="str">
        <x:v>GPT-5.5 Pro</x:v>
      </x:c>
      <x:c r="O1886" s="20" t="str">
        <x:v>Needs review</x:v>
      </x:c>
      <x:c r="P1886" s="20" t="str">
        <x:v>Screening score for European Union / Propaganda ecosystems in Uzbekistan; verify with country-specific evidence before final use.</x:v>
      </x:c>
    </x:row>
    <x:row r="1887" ht="24" customHeight="1">
      <x:c r="A1887" s="20" t="str">
        <x:v>UZB|European Union|PMC presence</x:v>
      </x:c>
      <x:c r="B1887" s="20" t="str">
        <x:v>Uzbekistan</x:v>
      </x:c>
      <x:c r="C1887" s="20" t="str">
        <x:v>UZB</x:v>
      </x:c>
      <x:c r="D1887" s="20" t="str">
        <x:v>European Union</x:v>
      </x:c>
      <x:c r="E1887" s="20" t="str">
        <x:v>EU influence</x:v>
      </x:c>
      <x:c r="F1887" s="20" t="str">
        <x:v>PMC presence</x:v>
      </x:c>
      <x:c r="G1887" s="384" t="n">
        <x:v>0</x:v>
      </x:c>
      <x:c r="H1887" s="396" t="n">
        <x:v>1</x:v>
      </x:c>
      <x:c r="I1887" s="20" t="str">
        <x:v>EEAS CSDP missions source register</x:v>
      </x:c>
      <x:c r="J1887" s="397" t="str">
        <x:v>https://www.eeas.europa.eu/eeas/missions-and-operations_en</x:v>
      </x:c>
      <x:c r="K1887" s="20" t="str">
        <x:v>Primary source-register URL; automated screening score</x:v>
      </x:c>
      <x:c r="L1887" s="20" t="str">
        <x:v>2026-05-20</x:v>
      </x:c>
      <x:c r="M1887" s="20" t="str">
        <x:v>2026-05-20</x:v>
      </x:c>
      <x:c r="N1887" s="20" t="str">
        <x:v>GPT-5.5 Pro</x:v>
      </x:c>
      <x:c r="O1887" s="20" t="str">
        <x:v>Needs review</x:v>
      </x:c>
      <x:c r="P1887" s="20" t="str">
        <x:v>Screening score for European Union / PMC presence in Uzbekistan; verify with country-specific evidence before final use.</x:v>
      </x:c>
    </x:row>
    <x:row r="1888" ht="24" customHeight="1">
      <x:c r="A1888" s="20" t="str">
        <x:v>UZB|European Union|Election interference</x:v>
      </x:c>
      <x:c r="B1888" s="20" t="str">
        <x:v>Uzbekistan</x:v>
      </x:c>
      <x:c r="C1888" s="20" t="str">
        <x:v>UZB</x:v>
      </x:c>
      <x:c r="D1888" s="20" t="str">
        <x:v>European Union</x:v>
      </x:c>
      <x:c r="E1888" s="20" t="str">
        <x:v>EU influence</x:v>
      </x:c>
      <x:c r="F1888" s="20" t="str">
        <x:v>Election interference</x:v>
      </x:c>
      <x:c r="G1888" s="384" t="n">
        <x:v>1</x:v>
      </x:c>
      <x:c r="H1888" s="396" t="n">
        <x:v>2</x:v>
      </x:c>
      <x:c r="I1888" s="20" t="str">
        <x:v>EEAS EU election observation source register</x:v>
      </x:c>
      <x:c r="J1888" s="397" t="str">
        <x:v>https://www.eeas.europa.eu/eeas/eu-election-observation-missions-1_en?page_lang=en</x:v>
      </x:c>
      <x:c r="K1888" s="20" t="str">
        <x:v>Primary source-register URL; automated screening score</x:v>
      </x:c>
      <x:c r="L1888" s="20" t="str">
        <x:v>2026-05-20</x:v>
      </x:c>
      <x:c r="M1888" s="20" t="str">
        <x:v>2026-05-20</x:v>
      </x:c>
      <x:c r="N1888" s="20" t="str">
        <x:v>GPT-5.5 Pro</x:v>
      </x:c>
      <x:c r="O1888" s="20" t="str">
        <x:v>Needs review</x:v>
      </x:c>
      <x:c r="P1888" s="20" t="str">
        <x:v>Screening score for European Union / Election interference in Uzbekistan; verify with country-specific evidence before final use.</x:v>
      </x:c>
    </x:row>
    <x:row r="1889" ht="24" customHeight="1">
      <x:c r="A1889" s="20" t="str">
        <x:v>UZB|European Union|Security contractors</x:v>
      </x:c>
      <x:c r="B1889" s="20" t="str">
        <x:v>Uzbekistan</x:v>
      </x:c>
      <x:c r="C1889" s="20" t="str">
        <x:v>UZB</x:v>
      </x:c>
      <x:c r="D1889" s="20" t="str">
        <x:v>European Union</x:v>
      </x:c>
      <x:c r="E1889" s="20" t="str">
        <x:v>EU influence</x:v>
      </x:c>
      <x:c r="F1889" s="20" t="str">
        <x:v>Security contractors</x:v>
      </x:c>
      <x:c r="G1889" s="384" t="n">
        <x:v>2</x:v>
      </x:c>
      <x:c r="H1889" s="396" t="n">
        <x:v>2</x:v>
      </x:c>
      <x:c r="I1889" s="20" t="str">
        <x:v>EEAS CSDP / Global Gateway security source register</x:v>
      </x:c>
      <x:c r="J1889" s="397" t="str">
        <x:v>https://www.eeas.europa.eu/eeas/missions-and-operations_en</x:v>
      </x:c>
      <x:c r="K1889" s="20" t="str">
        <x:v>Primary source-register URL; automated screening score</x:v>
      </x:c>
      <x:c r="L1889" s="20" t="str">
        <x:v>2026-05-20</x:v>
      </x:c>
      <x:c r="M1889" s="20" t="str">
        <x:v>2026-05-20</x:v>
      </x:c>
      <x:c r="N1889" s="20" t="str">
        <x:v>GPT-5.5 Pro</x:v>
      </x:c>
      <x:c r="O1889" s="20" t="str">
        <x:v>Needs review</x:v>
      </x:c>
      <x:c r="P1889" s="20" t="str">
        <x:v>Screening score for European Union / Security contractors in Uzbekistan; verify with country-specific evidence before final use.</x:v>
      </x:c>
    </x:row>
    <x:row r="1890" ht="24" customHeight="1">
      <x:c r="A1890" s="20" t="str">
        <x:v>VUT|Russia|Propaganda ecosystems</x:v>
      </x:c>
      <x:c r="B1890" s="20" t="str">
        <x:v>Vanuatu</x:v>
      </x:c>
      <x:c r="C1890" s="20" t="str">
        <x:v>VUT</x:v>
      </x:c>
      <x:c r="D1890" s="20" t="str">
        <x:v>Russia</x:v>
      </x:c>
      <x:c r="E1890" s="20" t="str">
        <x:v>Russian influence</x:v>
      </x:c>
      <x:c r="F1890" s="20" t="str">
        <x:v>Propaganda ecosystems</x:v>
      </x:c>
      <x:c r="G1890" s="384" t="n">
        <x:v>2</x:v>
      </x:c>
      <x:c r="H1890" s="396" t="n">
        <x:v>2</x:v>
      </x:c>
      <x:c r="I1890" s="20" t="str">
        <x:v>EEAS/EUvsDisinfo FIMI source register</x:v>
      </x:c>
      <x:c r="J1890" s="397" t="str">
        <x:v>https://www.eeas.europa.eu/eeas/4th-eeas-annual-report-foreign-information-manipulation-and-interference-threats_en</x:v>
      </x:c>
      <x:c r="K1890" s="20" t="str">
        <x:v>Primary source-register URL; automated screening score</x:v>
      </x:c>
      <x:c r="L1890" s="20" t="str">
        <x:v>2026-05-20</x:v>
      </x:c>
      <x:c r="M1890" s="20" t="str">
        <x:v>2026-05-20</x:v>
      </x:c>
      <x:c r="N1890" s="20" t="str">
        <x:v>GPT-5.5 Pro</x:v>
      </x:c>
      <x:c r="O1890" s="20" t="str">
        <x:v>Needs review</x:v>
      </x:c>
      <x:c r="P1890" s="20" t="str">
        <x:v>Screening score for Russia / Propaganda ecosystems in Vanuatu; verify with country-specific evidence before final use.</x:v>
      </x:c>
    </x:row>
    <x:row r="1891" ht="24" customHeight="1">
      <x:c r="A1891" s="20" t="str">
        <x:v>VUT|Russia|PMC presence</x:v>
      </x:c>
      <x:c r="B1891" s="20" t="str">
        <x:v>Vanuatu</x:v>
      </x:c>
      <x:c r="C1891" s="20" t="str">
        <x:v>VUT</x:v>
      </x:c>
      <x:c r="D1891" s="20" t="str">
        <x:v>Russia</x:v>
      </x:c>
      <x:c r="E1891" s="20" t="str">
        <x:v>Russian influence</x:v>
      </x:c>
      <x:c r="F1891" s="20" t="str">
        <x:v>PMC presence</x:v>
      </x:c>
      <x:c r="G1891" s="384" t="n">
        <x:v>0</x:v>
      </x:c>
      <x:c r="H1891" s="396" t="n">
        <x:v>1</x:v>
      </x:c>
      <x:c r="I1891" s="20" t="str">
        <x:v>Treasury and Council of the EU Wagner/PMC source register</x:v>
      </x:c>
      <x:c r="J1891" s="397" t="str">
        <x:v>https://www.consilium.europa.eu/en/press/press-releases/2023/02/25/wagner-group-council-adds-11-individuals-and-7-entities-to-eu-sanctions-lists/</x:v>
      </x:c>
      <x:c r="K1891" s="20" t="str">
        <x:v>Primary source-register URL; automated screening score</x:v>
      </x:c>
      <x:c r="L1891" s="20" t="str">
        <x:v>2026-05-20</x:v>
      </x:c>
      <x:c r="M1891" s="20" t="str">
        <x:v>2026-05-20</x:v>
      </x:c>
      <x:c r="N1891" s="20" t="str">
        <x:v>GPT-5.5 Pro</x:v>
      </x:c>
      <x:c r="O1891" s="20" t="str">
        <x:v>Needs review</x:v>
      </x:c>
      <x:c r="P1891" s="20" t="str">
        <x:v>Screening score for Russia / PMC presence in Vanuatu; verify with country-specific evidence before final use.</x:v>
      </x:c>
    </x:row>
    <x:row r="1892" ht="24" customHeight="1">
      <x:c r="A1892" s="20" t="str">
        <x:v>VUT|Russia|Election interference</x:v>
      </x:c>
      <x:c r="B1892" s="20" t="str">
        <x:v>Vanuatu</x:v>
      </x:c>
      <x:c r="C1892" s="20" t="str">
        <x:v>VUT</x:v>
      </x:c>
      <x:c r="D1892" s="20" t="str">
        <x:v>Russia</x:v>
      </x:c>
      <x:c r="E1892" s="20" t="str">
        <x:v>Russian influence</x:v>
      </x:c>
      <x:c r="F1892" s="20" t="str">
        <x:v>Election interference</x:v>
      </x:c>
      <x:c r="G1892" s="384" t="n">
        <x:v>0</x:v>
      </x:c>
      <x:c r="H1892" s="396" t="n">
        <x:v>1</x:v>
      </x:c>
      <x:c r="I1892" s="20" t="str">
        <x:v>ODNI/EEAS election-FIMI source register</x:v>
      </x:c>
      <x:c r="J1892" s="397" t="str">
        <x:v>https://www.dni.gov/files/ODNI/documents/assessments/ATA-2026-Unclassified-Report.pdf</x:v>
      </x:c>
      <x:c r="K1892" s="20" t="str">
        <x:v>Primary source-register URL; automated screening score</x:v>
      </x:c>
      <x:c r="L1892" s="20" t="str">
        <x:v>2026-05-20</x:v>
      </x:c>
      <x:c r="M1892" s="20" t="str">
        <x:v>2026-05-20</x:v>
      </x:c>
      <x:c r="N1892" s="20" t="str">
        <x:v>GPT-5.5 Pro</x:v>
      </x:c>
      <x:c r="O1892" s="20" t="str">
        <x:v>Needs review</x:v>
      </x:c>
      <x:c r="P1892" s="20" t="str">
        <x:v>Screening score for Russia / Election interference in Vanuatu; verify with country-specific evidence before final use.</x:v>
      </x:c>
    </x:row>
    <x:row r="1893" ht="24" customHeight="1">
      <x:c r="A1893" s="20" t="str">
        <x:v>VUT|Russia|Security contractors</x:v>
      </x:c>
      <x:c r="B1893" s="20" t="str">
        <x:v>Vanuatu</x:v>
      </x:c>
      <x:c r="C1893" s="20" t="str">
        <x:v>VUT</x:v>
      </x:c>
      <x:c r="D1893" s="20" t="str">
        <x:v>Russia</x:v>
      </x:c>
      <x:c r="E1893" s="20" t="str">
        <x:v>Russian influence</x:v>
      </x:c>
      <x:c r="F1893" s="20" t="str">
        <x:v>Security contractors</x:v>
      </x:c>
      <x:c r="G1893" s="384" t="n">
        <x:v>0</x:v>
      </x:c>
      <x:c r="H1893" s="396" t="n">
        <x:v>1</x:v>
      </x:c>
      <x:c r="I1893" s="20" t="str">
        <x:v>Council of the EU/Treasury Wagner-security source register</x:v>
      </x:c>
      <x:c r="J1893" s="397" t="str">
        <x:v>https://www.consilium.europa.eu/en/press/press-releases/2023/02/25/wagner-group-council-adds-11-individuals-and-7-entities-to-eu-sanctions-lists/</x:v>
      </x:c>
      <x:c r="K1893" s="20" t="str">
        <x:v>Primary source-register URL; automated screening score</x:v>
      </x:c>
      <x:c r="L1893" s="20" t="str">
        <x:v>2026-05-20</x:v>
      </x:c>
      <x:c r="M1893" s="20" t="str">
        <x:v>2026-05-20</x:v>
      </x:c>
      <x:c r="N1893" s="20" t="str">
        <x:v>GPT-5.5 Pro</x:v>
      </x:c>
      <x:c r="O1893" s="20" t="str">
        <x:v>Needs review</x:v>
      </x:c>
      <x:c r="P1893" s="20" t="str">
        <x:v>Screening score for Russia / Security contractors in Vanuatu; verify with country-specific evidence before final use.</x:v>
      </x:c>
    </x:row>
    <x:row r="1894" ht="24" customHeight="1">
      <x:c r="A1894" s="20" t="str">
        <x:v>VUT|China|Propaganda ecosystems</x:v>
      </x:c>
      <x:c r="B1894" s="20" t="str">
        <x:v>Vanuatu</x:v>
      </x:c>
      <x:c r="C1894" s="20" t="str">
        <x:v>VUT</x:v>
      </x:c>
      <x:c r="D1894" s="20" t="str">
        <x:v>China</x:v>
      </x:c>
      <x:c r="E1894" s="20" t="str">
        <x:v>Chinese influence</x:v>
      </x:c>
      <x:c r="F1894" s="20" t="str">
        <x:v>Propaganda ecosystems</x:v>
      </x:c>
      <x:c r="G1894" s="384" t="n">
        <x:v>7</x:v>
      </x:c>
      <x:c r="H1894" s="396" t="n">
        <x:v>4</x:v>
      </x:c>
      <x:c r="I1894" s="20" t="str">
        <x:v>EEAS/ODNI China FIMI source register</x:v>
      </x:c>
      <x:c r="J1894" s="397" t="str">
        <x:v>https://www.eeas.europa.eu/eeas/4th-eeas-annual-report-foreign-information-manipulation-and-interference-threats_en</x:v>
      </x:c>
      <x:c r="K1894" s="20" t="str">
        <x:v>Primary source-register URL; automated screening score</x:v>
      </x:c>
      <x:c r="L1894" s="20" t="str">
        <x:v>2026-05-20</x:v>
      </x:c>
      <x:c r="M1894" s="20" t="str">
        <x:v>2026-05-20</x:v>
      </x:c>
      <x:c r="N1894" s="20" t="str">
        <x:v>GPT-5.5 Pro</x:v>
      </x:c>
      <x:c r="O1894" s="20" t="str">
        <x:v>Needs review</x:v>
      </x:c>
      <x:c r="P1894" s="20" t="str">
        <x:v>Screening score for China / Propaganda ecosystems in Vanuatu; verify with country-specific evidence before final use.</x:v>
      </x:c>
    </x:row>
    <x:row r="1895" ht="24" customHeight="1">
      <x:c r="A1895" s="20" t="str">
        <x:v>VUT|China|PMC presence</x:v>
      </x:c>
      <x:c r="B1895" s="20" t="str">
        <x:v>Vanuatu</x:v>
      </x:c>
      <x:c r="C1895" s="20" t="str">
        <x:v>VUT</x:v>
      </x:c>
      <x:c r="D1895" s="20" t="str">
        <x:v>China</x:v>
      </x:c>
      <x:c r="E1895" s="20" t="str">
        <x:v>Chinese influence</x:v>
      </x:c>
      <x:c r="F1895" s="20" t="str">
        <x:v>PMC presence</x:v>
      </x:c>
      <x:c r="G1895" s="384" t="n">
        <x:v>1</x:v>
      </x:c>
      <x:c r="H1895" s="396" t="n">
        <x:v>2</x:v>
      </x:c>
      <x:c r="I1895" s="20" t="str">
        <x:v>MERICS/Carnegie Chinese overseas PSC source register</x:v>
      </x:c>
      <x:c r="J1895" s="397" t="str">
        <x:v>https://merics.org/en/report/guardians-belt-and-road</x:v>
      </x:c>
      <x:c r="K1895" s="20" t="str">
        <x:v>Primary source-register URL; automated screening score</x:v>
      </x:c>
      <x:c r="L1895" s="20" t="str">
        <x:v>2026-05-20</x:v>
      </x:c>
      <x:c r="M1895" s="20" t="str">
        <x:v>2026-05-20</x:v>
      </x:c>
      <x:c r="N1895" s="20" t="str">
        <x:v>GPT-5.5 Pro</x:v>
      </x:c>
      <x:c r="O1895" s="20" t="str">
        <x:v>Needs review</x:v>
      </x:c>
      <x:c r="P1895" s="20" t="str">
        <x:v>Screening score for China / PMC presence in Vanuatu; verify with country-specific evidence before final use.</x:v>
      </x:c>
    </x:row>
    <x:row r="1896" ht="24" customHeight="1">
      <x:c r="A1896" s="20" t="str">
        <x:v>VUT|China|Election interference</x:v>
      </x:c>
      <x:c r="B1896" s="20" t="str">
        <x:v>Vanuatu</x:v>
      </x:c>
      <x:c r="C1896" s="20" t="str">
        <x:v>VUT</x:v>
      </x:c>
      <x:c r="D1896" s="20" t="str">
        <x:v>China</x:v>
      </x:c>
      <x:c r="E1896" s="20" t="str">
        <x:v>Chinese influence</x:v>
      </x:c>
      <x:c r="F1896" s="20" t="str">
        <x:v>Election interference</x:v>
      </x:c>
      <x:c r="G1896" s="384" t="n">
        <x:v>3</x:v>
      </x:c>
      <x:c r="H1896" s="396" t="n">
        <x:v>3</x:v>
      </x:c>
      <x:c r="I1896" s="20" t="str">
        <x:v>EEAS/ODNI China election-FIMI source register</x:v>
      </x:c>
      <x:c r="J1896" s="397" t="str">
        <x:v>https://www.eeas.europa.eu/eeas/4th-eeas-annual-report-foreign-information-manipulation-and-interference-threats_en</x:v>
      </x:c>
      <x:c r="K1896" s="20" t="str">
        <x:v>Primary source-register URL; automated screening score</x:v>
      </x:c>
      <x:c r="L1896" s="20" t="str">
        <x:v>2026-05-20</x:v>
      </x:c>
      <x:c r="M1896" s="20" t="str">
        <x:v>2026-05-20</x:v>
      </x:c>
      <x:c r="N1896" s="20" t="str">
        <x:v>GPT-5.5 Pro</x:v>
      </x:c>
      <x:c r="O1896" s="20" t="str">
        <x:v>Needs review</x:v>
      </x:c>
      <x:c r="P1896" s="20" t="str">
        <x:v>Screening score for China / Election interference in Vanuatu; verify with country-specific evidence before final use.</x:v>
      </x:c>
    </x:row>
    <x:row r="1897" ht="24" customHeight="1">
      <x:c r="A1897" s="20" t="str">
        <x:v>VUT|China|Security contractors</x:v>
      </x:c>
      <x:c r="B1897" s="20" t="str">
        <x:v>Vanuatu</x:v>
      </x:c>
      <x:c r="C1897" s="20" t="str">
        <x:v>VUT</x:v>
      </x:c>
      <x:c r="D1897" s="20" t="str">
        <x:v>China</x:v>
      </x:c>
      <x:c r="E1897" s="20" t="str">
        <x:v>Chinese influence</x:v>
      </x:c>
      <x:c r="F1897" s="20" t="str">
        <x:v>Security contractors</x:v>
      </x:c>
      <x:c r="G1897" s="384" t="n">
        <x:v>2</x:v>
      </x:c>
      <x:c r="H1897" s="396" t="n">
        <x:v>2</x:v>
      </x:c>
      <x:c r="I1897" s="20" t="str">
        <x:v>MERICS/Carnegie Chinese security contractor source register</x:v>
      </x:c>
      <x:c r="J1897" s="397" t="str">
        <x:v>https://merics.org/en/report/guardians-belt-and-road</x:v>
      </x:c>
      <x:c r="K1897" s="20" t="str">
        <x:v>Primary source-register URL; automated screening score</x:v>
      </x:c>
      <x:c r="L1897" s="20" t="str">
        <x:v>2026-05-20</x:v>
      </x:c>
      <x:c r="M1897" s="20" t="str">
        <x:v>2026-05-20</x:v>
      </x:c>
      <x:c r="N1897" s="20" t="str">
        <x:v>GPT-5.5 Pro</x:v>
      </x:c>
      <x:c r="O1897" s="20" t="str">
        <x:v>Needs review</x:v>
      </x:c>
      <x:c r="P1897" s="20" t="str">
        <x:v>Screening score for China / Security contractors in Vanuatu; verify with country-specific evidence before final use.</x:v>
      </x:c>
    </x:row>
    <x:row r="1898" ht="24" customHeight="1">
      <x:c r="A1898" s="20" t="str">
        <x:v>VUT|United States|Propaganda ecosystems</x:v>
      </x:c>
      <x:c r="B1898" s="20" t="str">
        <x:v>Vanuatu</x:v>
      </x:c>
      <x:c r="C1898" s="20" t="str">
        <x:v>VUT</x:v>
      </x:c>
      <x:c r="D1898" s="20" t="str">
        <x:v>United States</x:v>
      </x:c>
      <x:c r="E1898" s="20" t="str">
        <x:v>American influence</x:v>
      </x:c>
      <x:c r="F1898" s="20" t="str">
        <x:v>Propaganda ecosystems</x:v>
      </x:c>
      <x:c r="G1898" s="384" t="n">
        <x:v>3</x:v>
      </x:c>
      <x:c r="H1898" s="396" t="n">
        <x:v>3</x:v>
      </x:c>
      <x:c r="I1898" s="20" t="str">
        <x:v>USAGM public media source register</x:v>
      </x:c>
      <x:c r="J1898" s="397" t="str">
        <x:v>https://www.usagm.gov/our-work/strategy-and-results/strategic-priorities/research-reports/</x:v>
      </x:c>
      <x:c r="K1898" s="20" t="str">
        <x:v>Primary source-register URL; automated screening score</x:v>
      </x:c>
      <x:c r="L1898" s="20" t="str">
        <x:v>2026-05-20</x:v>
      </x:c>
      <x:c r="M1898" s="20" t="str">
        <x:v>2026-05-20</x:v>
      </x:c>
      <x:c r="N1898" s="20" t="str">
        <x:v>GPT-5.5 Pro</x:v>
      </x:c>
      <x:c r="O1898" s="20" t="str">
        <x:v>Needs review</x:v>
      </x:c>
      <x:c r="P1898" s="20" t="str">
        <x:v>Screening score for United States / Propaganda ecosystems in Vanuatu; verify with country-specific evidence before final use.</x:v>
      </x:c>
    </x:row>
    <x:row r="1899" ht="24" customHeight="1">
      <x:c r="A1899" s="20" t="str">
        <x:v>VUT|United States|PMC presence</x:v>
      </x:c>
      <x:c r="B1899" s="20" t="str">
        <x:v>Vanuatu</x:v>
      </x:c>
      <x:c r="C1899" s="20" t="str">
        <x:v>VUT</x:v>
      </x:c>
      <x:c r="D1899" s="20" t="str">
        <x:v>United States</x:v>
      </x:c>
      <x:c r="E1899" s="20" t="str">
        <x:v>American influence</x:v>
      </x:c>
      <x:c r="F1899" s="20" t="str">
        <x:v>PMC presence</x:v>
      </x:c>
      <x:c r="G1899" s="384" t="n">
        <x:v>1</x:v>
      </x:c>
      <x:c r="H1899" s="396" t="n">
        <x:v>2</x:v>
      </x:c>
      <x:c r="I1899" s="20" t="str">
        <x:v>SAM/Greenbook U.S. security assistance contractor source register</x:v>
      </x:c>
      <x:c r="J1899" s="397" t="str">
        <x:v>https://internationalpolicy.org/programs/sam/</x:v>
      </x:c>
      <x:c r="K1899" s="20" t="str">
        <x:v>Primary source-register URL; automated screening score</x:v>
      </x:c>
      <x:c r="L1899" s="20" t="str">
        <x:v>2026-05-20</x:v>
      </x:c>
      <x:c r="M1899" s="20" t="str">
        <x:v>2026-05-20</x:v>
      </x:c>
      <x:c r="N1899" s="20" t="str">
        <x:v>GPT-5.5 Pro</x:v>
      </x:c>
      <x:c r="O1899" s="20" t="str">
        <x:v>Needs review</x:v>
      </x:c>
      <x:c r="P1899" s="20" t="str">
        <x:v>Screening score for United States / PMC presence in Vanuatu; verify with country-specific evidence before final use.</x:v>
      </x:c>
    </x:row>
    <x:row r="1900" ht="24" customHeight="1">
      <x:c r="A1900" s="20" t="str">
        <x:v>VUT|United States|Election interference</x:v>
      </x:c>
      <x:c r="B1900" s="20" t="str">
        <x:v>Vanuatu</x:v>
      </x:c>
      <x:c r="C1900" s="20" t="str">
        <x:v>VUT</x:v>
      </x:c>
      <x:c r="D1900" s="20" t="str">
        <x:v>United States</x:v>
      </x:c>
      <x:c r="E1900" s="20" t="str">
        <x:v>American influence</x:v>
      </x:c>
      <x:c r="F1900" s="20" t="str">
        <x:v>Election interference</x:v>
      </x:c>
      <x:c r="G1900" s="384" t="n">
        <x:v>1</x:v>
      </x:c>
      <x:c r="H1900" s="396" t="n">
        <x:v>2</x:v>
      </x:c>
      <x:c r="I1900" s="20" t="str">
        <x:v>NED/Greenbook democracy assistance source register</x:v>
      </x:c>
      <x:c r="J1900" s="397" t="str">
        <x:v>https://www.ned.org/ned-grantmaking/</x:v>
      </x:c>
      <x:c r="K1900" s="20" t="str">
        <x:v>Primary source-register URL; automated screening score</x:v>
      </x:c>
      <x:c r="L1900" s="20" t="str">
        <x:v>2026-05-20</x:v>
      </x:c>
      <x:c r="M1900" s="20" t="str">
        <x:v>2026-05-20</x:v>
      </x:c>
      <x:c r="N1900" s="20" t="str">
        <x:v>GPT-5.5 Pro</x:v>
      </x:c>
      <x:c r="O1900" s="20" t="str">
        <x:v>Needs review</x:v>
      </x:c>
      <x:c r="P1900" s="20" t="str">
        <x:v>Screening score for United States / Election interference in Vanuatu; verify with country-specific evidence before final use.</x:v>
      </x:c>
    </x:row>
    <x:row r="1901" ht="24" customHeight="1">
      <x:c r="A1901" s="20" t="str">
        <x:v>VUT|United States|Security contractors</x:v>
      </x:c>
      <x:c r="B1901" s="20" t="str">
        <x:v>Vanuatu</x:v>
      </x:c>
      <x:c r="C1901" s="20" t="str">
        <x:v>VUT</x:v>
      </x:c>
      <x:c r="D1901" s="20" t="str">
        <x:v>United States</x:v>
      </x:c>
      <x:c r="E1901" s="20" t="str">
        <x:v>American influence</x:v>
      </x:c>
      <x:c r="F1901" s="20" t="str">
        <x:v>Security contractors</x:v>
      </x:c>
      <x:c r="G1901" s="384" t="n">
        <x:v>2</x:v>
      </x:c>
      <x:c r="H1901" s="396" t="n">
        <x:v>2</x:v>
      </x:c>
      <x:c r="I1901" s="20" t="str">
        <x:v>SAM/Greenbook U.S. security contractor source register</x:v>
      </x:c>
      <x:c r="J1901" s="397" t="str">
        <x:v>https://internationalpolicy.org/programs/sam/</x:v>
      </x:c>
      <x:c r="K1901" s="20" t="str">
        <x:v>Primary source-register URL; automated screening score</x:v>
      </x:c>
      <x:c r="L1901" s="20" t="str">
        <x:v>2026-05-20</x:v>
      </x:c>
      <x:c r="M1901" s="20" t="str">
        <x:v>2026-05-20</x:v>
      </x:c>
      <x:c r="N1901" s="20" t="str">
        <x:v>GPT-5.5 Pro</x:v>
      </x:c>
      <x:c r="O1901" s="20" t="str">
        <x:v>Needs review</x:v>
      </x:c>
      <x:c r="P1901" s="20" t="str">
        <x:v>Screening score for United States / Security contractors in Vanuatu; verify with country-specific evidence before final use.</x:v>
      </x:c>
    </x:row>
    <x:row r="1902" ht="24" customHeight="1">
      <x:c r="A1902" s="20" t="str">
        <x:v>VUT|European Union|Propaganda ecosystems</x:v>
      </x:c>
      <x:c r="B1902" s="20" t="str">
        <x:v>Vanuatu</x:v>
      </x:c>
      <x:c r="C1902" s="20" t="str">
        <x:v>VUT</x:v>
      </x:c>
      <x:c r="D1902" s="20" t="str">
        <x:v>European Union</x:v>
      </x:c>
      <x:c r="E1902" s="20" t="str">
        <x:v>EU influence</x:v>
      </x:c>
      <x:c r="F1902" s="20" t="str">
        <x:v>Propaganda ecosystems</x:v>
      </x:c>
      <x:c r="G1902" s="384" t="n">
        <x:v>2</x:v>
      </x:c>
      <x:c r="H1902" s="396" t="n">
        <x:v>2</x:v>
      </x:c>
      <x:c r="I1902" s="20" t="str">
        <x:v>EEAS public diplomacy source register</x:v>
      </x:c>
      <x:c r="J1902" s="397" t="str">
        <x:v>https://www.eeas.europa.eu/eeas/public-diplomacy_en</x:v>
      </x:c>
      <x:c r="K1902" s="20" t="str">
        <x:v>Primary source-register URL; automated screening score</x:v>
      </x:c>
      <x:c r="L1902" s="20" t="str">
        <x:v>2026-05-20</x:v>
      </x:c>
      <x:c r="M1902" s="20" t="str">
        <x:v>2026-05-20</x:v>
      </x:c>
      <x:c r="N1902" s="20" t="str">
        <x:v>GPT-5.5 Pro</x:v>
      </x:c>
      <x:c r="O1902" s="20" t="str">
        <x:v>Needs review</x:v>
      </x:c>
      <x:c r="P1902" s="20" t="str">
        <x:v>Screening score for European Union / Propaganda ecosystems in Vanuatu; verify with country-specific evidence before final use.</x:v>
      </x:c>
    </x:row>
    <x:row r="1903" ht="24" customHeight="1">
      <x:c r="A1903" s="20" t="str">
        <x:v>VUT|European Union|PMC presence</x:v>
      </x:c>
      <x:c r="B1903" s="20" t="str">
        <x:v>Vanuatu</x:v>
      </x:c>
      <x:c r="C1903" s="20" t="str">
        <x:v>VUT</x:v>
      </x:c>
      <x:c r="D1903" s="20" t="str">
        <x:v>European Union</x:v>
      </x:c>
      <x:c r="E1903" s="20" t="str">
        <x:v>EU influence</x:v>
      </x:c>
      <x:c r="F1903" s="20" t="str">
        <x:v>PMC presence</x:v>
      </x:c>
      <x:c r="G1903" s="384" t="n">
        <x:v>0</x:v>
      </x:c>
      <x:c r="H1903" s="396" t="n">
        <x:v>1</x:v>
      </x:c>
      <x:c r="I1903" s="20" t="str">
        <x:v>EEAS CSDP missions source register</x:v>
      </x:c>
      <x:c r="J1903" s="397" t="str">
        <x:v>https://www.eeas.europa.eu/eeas/missions-and-operations_en</x:v>
      </x:c>
      <x:c r="K1903" s="20" t="str">
        <x:v>Primary source-register URL; automated screening score</x:v>
      </x:c>
      <x:c r="L1903" s="20" t="str">
        <x:v>2026-05-20</x:v>
      </x:c>
      <x:c r="M1903" s="20" t="str">
        <x:v>2026-05-20</x:v>
      </x:c>
      <x:c r="N1903" s="20" t="str">
        <x:v>GPT-5.5 Pro</x:v>
      </x:c>
      <x:c r="O1903" s="20" t="str">
        <x:v>Needs review</x:v>
      </x:c>
      <x:c r="P1903" s="20" t="str">
        <x:v>Screening score for European Union / PMC presence in Vanuatu; verify with country-specific evidence before final use.</x:v>
      </x:c>
    </x:row>
    <x:row r="1904" ht="24" customHeight="1">
      <x:c r="A1904" s="20" t="str">
        <x:v>VUT|European Union|Election interference</x:v>
      </x:c>
      <x:c r="B1904" s="20" t="str">
        <x:v>Vanuatu</x:v>
      </x:c>
      <x:c r="C1904" s="20" t="str">
        <x:v>VUT</x:v>
      </x:c>
      <x:c r="D1904" s="20" t="str">
        <x:v>European Union</x:v>
      </x:c>
      <x:c r="E1904" s="20" t="str">
        <x:v>EU influence</x:v>
      </x:c>
      <x:c r="F1904" s="20" t="str">
        <x:v>Election interference</x:v>
      </x:c>
      <x:c r="G1904" s="384" t="n">
        <x:v>1</x:v>
      </x:c>
      <x:c r="H1904" s="396" t="n">
        <x:v>2</x:v>
      </x:c>
      <x:c r="I1904" s="20" t="str">
        <x:v>EEAS EU election observation source register</x:v>
      </x:c>
      <x:c r="J1904" s="397" t="str">
        <x:v>https://www.eeas.europa.eu/eeas/eu-election-observation-missions-1_en?page_lang=en</x:v>
      </x:c>
      <x:c r="K1904" s="20" t="str">
        <x:v>Primary source-register URL; automated screening score</x:v>
      </x:c>
      <x:c r="L1904" s="20" t="str">
        <x:v>2026-05-20</x:v>
      </x:c>
      <x:c r="M1904" s="20" t="str">
        <x:v>2026-05-20</x:v>
      </x:c>
      <x:c r="N1904" s="20" t="str">
        <x:v>GPT-5.5 Pro</x:v>
      </x:c>
      <x:c r="O1904" s="20" t="str">
        <x:v>Needs review</x:v>
      </x:c>
      <x:c r="P1904" s="20" t="str">
        <x:v>Screening score for European Union / Election interference in Vanuatu; verify with country-specific evidence before final use.</x:v>
      </x:c>
    </x:row>
    <x:row r="1905" ht="24" customHeight="1">
      <x:c r="A1905" s="20" t="str">
        <x:v>VUT|European Union|Security contractors</x:v>
      </x:c>
      <x:c r="B1905" s="20" t="str">
        <x:v>Vanuatu</x:v>
      </x:c>
      <x:c r="C1905" s="20" t="str">
        <x:v>VUT</x:v>
      </x:c>
      <x:c r="D1905" s="20" t="str">
        <x:v>European Union</x:v>
      </x:c>
      <x:c r="E1905" s="20" t="str">
        <x:v>EU influence</x:v>
      </x:c>
      <x:c r="F1905" s="20" t="str">
        <x:v>Security contractors</x:v>
      </x:c>
      <x:c r="G1905" s="384" t="n">
        <x:v>1</x:v>
      </x:c>
      <x:c r="H1905" s="396" t="n">
        <x:v>2</x:v>
      </x:c>
      <x:c r="I1905" s="20" t="str">
        <x:v>EEAS CSDP / Global Gateway security source register</x:v>
      </x:c>
      <x:c r="J1905" s="397" t="str">
        <x:v>https://www.eeas.europa.eu/eeas/missions-and-operations_en</x:v>
      </x:c>
      <x:c r="K1905" s="20" t="str">
        <x:v>Primary source-register URL; automated screening score</x:v>
      </x:c>
      <x:c r="L1905" s="20" t="str">
        <x:v>2026-05-20</x:v>
      </x:c>
      <x:c r="M1905" s="20" t="str">
        <x:v>2026-05-20</x:v>
      </x:c>
      <x:c r="N1905" s="20" t="str">
        <x:v>GPT-5.5 Pro</x:v>
      </x:c>
      <x:c r="O1905" s="20" t="str">
        <x:v>Needs review</x:v>
      </x:c>
      <x:c r="P1905" s="20" t="str">
        <x:v>Screening score for European Union / Security contractors in Vanuatu; verify with country-specific evidence before final use.</x:v>
      </x:c>
    </x:row>
    <x:row r="1906" ht="24" customHeight="1">
      <x:c r="A1906" s="20" t="str">
        <x:v>VEN|Russia|Propaganda ecosystems</x:v>
      </x:c>
      <x:c r="B1906" s="20" t="str">
        <x:v>Venezuela</x:v>
      </x:c>
      <x:c r="C1906" s="20" t="str">
        <x:v>VEN</x:v>
      </x:c>
      <x:c r="D1906" s="20" t="str">
        <x:v>Russia</x:v>
      </x:c>
      <x:c r="E1906" s="20" t="str">
        <x:v>Russian influence</x:v>
      </x:c>
      <x:c r="F1906" s="20" t="str">
        <x:v>Propaganda ecosystems</x:v>
      </x:c>
      <x:c r="G1906" s="384" t="n">
        <x:v>7</x:v>
      </x:c>
      <x:c r="H1906" s="396" t="n">
        <x:v>4</x:v>
      </x:c>
      <x:c r="I1906" s="20" t="str">
        <x:v>EEAS/EUvsDisinfo FIMI source register</x:v>
      </x:c>
      <x:c r="J1906" s="397" t="str">
        <x:v>https://www.eeas.europa.eu/eeas/4th-eeas-annual-report-foreign-information-manipulation-and-interference-threats_en</x:v>
      </x:c>
      <x:c r="K1906" s="20" t="str">
        <x:v>Primary source-register URL; automated screening score</x:v>
      </x:c>
      <x:c r="L1906" s="20" t="str">
        <x:v>2026-05-20</x:v>
      </x:c>
      <x:c r="M1906" s="20" t="str">
        <x:v>2026-05-20</x:v>
      </x:c>
      <x:c r="N1906" s="20" t="str">
        <x:v>GPT-5.5 Pro</x:v>
      </x:c>
      <x:c r="O1906" s="20" t="str">
        <x:v>Needs review</x:v>
      </x:c>
      <x:c r="P1906" s="20" t="str">
        <x:v>Screening score for Russia / Propaganda ecosystems in Venezuela; verify with country-specific evidence before final use.</x:v>
      </x:c>
    </x:row>
    <x:row r="1907" ht="24" customHeight="1">
      <x:c r="A1907" s="20" t="str">
        <x:v>VEN|Russia|PMC presence</x:v>
      </x:c>
      <x:c r="B1907" s="20" t="str">
        <x:v>Venezuela</x:v>
      </x:c>
      <x:c r="C1907" s="20" t="str">
        <x:v>VEN</x:v>
      </x:c>
      <x:c r="D1907" s="20" t="str">
        <x:v>Russia</x:v>
      </x:c>
      <x:c r="E1907" s="20" t="str">
        <x:v>Russian influence</x:v>
      </x:c>
      <x:c r="F1907" s="20" t="str">
        <x:v>PMC presence</x:v>
      </x:c>
      <x:c r="G1907" s="384" t="n">
        <x:v>3</x:v>
      </x:c>
      <x:c r="H1907" s="396" t="n">
        <x:v>3</x:v>
      </x:c>
      <x:c r="I1907" s="20" t="str">
        <x:v>Treasury and Council of the EU Wagner/PMC source register</x:v>
      </x:c>
      <x:c r="J1907" s="397" t="str">
        <x:v>https://www.consilium.europa.eu/en/press/press-releases/2023/02/25/wagner-group-council-adds-11-individuals-and-7-entities-to-eu-sanctions-lists/</x:v>
      </x:c>
      <x:c r="K1907" s="20" t="str">
        <x:v>Primary source-register URL; automated screening score</x:v>
      </x:c>
      <x:c r="L1907" s="20" t="str">
        <x:v>2026-05-20</x:v>
      </x:c>
      <x:c r="M1907" s="20" t="str">
        <x:v>2026-05-20</x:v>
      </x:c>
      <x:c r="N1907" s="20" t="str">
        <x:v>GPT-5.5 Pro</x:v>
      </x:c>
      <x:c r="O1907" s="20" t="str">
        <x:v>Needs review</x:v>
      </x:c>
      <x:c r="P1907" s="20" t="str">
        <x:v>Screening score for Russia / PMC presence in Venezuela; verify with country-specific evidence before final use.</x:v>
      </x:c>
    </x:row>
    <x:row r="1908" ht="24" customHeight="1">
      <x:c r="A1908" s="20" t="str">
        <x:v>VEN|Russia|Election interference</x:v>
      </x:c>
      <x:c r="B1908" s="20" t="str">
        <x:v>Venezuela</x:v>
      </x:c>
      <x:c r="C1908" s="20" t="str">
        <x:v>VEN</x:v>
      </x:c>
      <x:c r="D1908" s="20" t="str">
        <x:v>Russia</x:v>
      </x:c>
      <x:c r="E1908" s="20" t="str">
        <x:v>Russian influence</x:v>
      </x:c>
      <x:c r="F1908" s="20" t="str">
        <x:v>Election interference</x:v>
      </x:c>
      <x:c r="G1908" s="384" t="n">
        <x:v>4</x:v>
      </x:c>
      <x:c r="H1908" s="396" t="n">
        <x:v>3</x:v>
      </x:c>
      <x:c r="I1908" s="20" t="str">
        <x:v>ODNI/EEAS election-FIMI source register</x:v>
      </x:c>
      <x:c r="J1908" s="397" t="str">
        <x:v>https://www.dni.gov/files/ODNI/documents/assessments/ATA-2026-Unclassified-Report.pdf</x:v>
      </x:c>
      <x:c r="K1908" s="20" t="str">
        <x:v>Primary source-register URL; automated screening score</x:v>
      </x:c>
      <x:c r="L1908" s="20" t="str">
        <x:v>2026-05-20</x:v>
      </x:c>
      <x:c r="M1908" s="20" t="str">
        <x:v>2026-05-20</x:v>
      </x:c>
      <x:c r="N1908" s="20" t="str">
        <x:v>GPT-5.5 Pro</x:v>
      </x:c>
      <x:c r="O1908" s="20" t="str">
        <x:v>Needs review</x:v>
      </x:c>
      <x:c r="P1908" s="20" t="str">
        <x:v>Screening score for Russia / Election interference in Venezuela; verify with country-specific evidence before final use.</x:v>
      </x:c>
    </x:row>
    <x:row r="1909" ht="24" customHeight="1">
      <x:c r="A1909" s="20" t="str">
        <x:v>VEN|Russia|Security contractors</x:v>
      </x:c>
      <x:c r="B1909" s="20" t="str">
        <x:v>Venezuela</x:v>
      </x:c>
      <x:c r="C1909" s="20" t="str">
        <x:v>VEN</x:v>
      </x:c>
      <x:c r="D1909" s="20" t="str">
        <x:v>Russia</x:v>
      </x:c>
      <x:c r="E1909" s="20" t="str">
        <x:v>Russian influence</x:v>
      </x:c>
      <x:c r="F1909" s="20" t="str">
        <x:v>Security contractors</x:v>
      </x:c>
      <x:c r="G1909" s="384" t="n">
        <x:v>3</x:v>
      </x:c>
      <x:c r="H1909" s="396" t="n">
        <x:v>3</x:v>
      </x:c>
      <x:c r="I1909" s="20" t="str">
        <x:v>Council of the EU/Treasury Wagner-security source register</x:v>
      </x:c>
      <x:c r="J1909" s="397" t="str">
        <x:v>https://www.consilium.europa.eu/en/press/press-releases/2023/02/25/wagner-group-council-adds-11-individuals-and-7-entities-to-eu-sanctions-lists/</x:v>
      </x:c>
      <x:c r="K1909" s="20" t="str">
        <x:v>Primary source-register URL; automated screening score</x:v>
      </x:c>
      <x:c r="L1909" s="20" t="str">
        <x:v>2026-05-20</x:v>
      </x:c>
      <x:c r="M1909" s="20" t="str">
        <x:v>2026-05-20</x:v>
      </x:c>
      <x:c r="N1909" s="20" t="str">
        <x:v>GPT-5.5 Pro</x:v>
      </x:c>
      <x:c r="O1909" s="20" t="str">
        <x:v>Needs review</x:v>
      </x:c>
      <x:c r="P1909" s="20" t="str">
        <x:v>Screening score for Russia / Security contractors in Venezuela; verify with country-specific evidence before final use.</x:v>
      </x:c>
    </x:row>
    <x:row r="1910" ht="24" customHeight="1">
      <x:c r="A1910" s="20" t="str">
        <x:v>VEN|China|Propaganda ecosystems</x:v>
      </x:c>
      <x:c r="B1910" s="20" t="str">
        <x:v>Venezuela</x:v>
      </x:c>
      <x:c r="C1910" s="20" t="str">
        <x:v>VEN</x:v>
      </x:c>
      <x:c r="D1910" s="20" t="str">
        <x:v>China</x:v>
      </x:c>
      <x:c r="E1910" s="20" t="str">
        <x:v>Chinese influence</x:v>
      </x:c>
      <x:c r="F1910" s="20" t="str">
        <x:v>Propaganda ecosystems</x:v>
      </x:c>
      <x:c r="G1910" s="384" t="n">
        <x:v>5</x:v>
      </x:c>
      <x:c r="H1910" s="396" t="n">
        <x:v>3</x:v>
      </x:c>
      <x:c r="I1910" s="20" t="str">
        <x:v>EEAS/ODNI China FIMI source register</x:v>
      </x:c>
      <x:c r="J1910" s="397" t="str">
        <x:v>https://www.eeas.europa.eu/eeas/4th-eeas-annual-report-foreign-information-manipulation-and-interference-threats_en</x:v>
      </x:c>
      <x:c r="K1910" s="20" t="str">
        <x:v>Primary source-register URL; automated screening score</x:v>
      </x:c>
      <x:c r="L1910" s="20" t="str">
        <x:v>2026-05-20</x:v>
      </x:c>
      <x:c r="M1910" s="20" t="str">
        <x:v>2026-05-20</x:v>
      </x:c>
      <x:c r="N1910" s="20" t="str">
        <x:v>GPT-5.5 Pro</x:v>
      </x:c>
      <x:c r="O1910" s="20" t="str">
        <x:v>Needs review</x:v>
      </x:c>
      <x:c r="P1910" s="20" t="str">
        <x:v>Screening score for China / Propaganda ecosystems in Venezuela; verify with country-specific evidence before final use.</x:v>
      </x:c>
    </x:row>
    <x:row r="1911" ht="24" customHeight="1">
      <x:c r="A1911" s="20" t="str">
        <x:v>VEN|China|PMC presence</x:v>
      </x:c>
      <x:c r="B1911" s="20" t="str">
        <x:v>Venezuela</x:v>
      </x:c>
      <x:c r="C1911" s="20" t="str">
        <x:v>VEN</x:v>
      </x:c>
      <x:c r="D1911" s="20" t="str">
        <x:v>China</x:v>
      </x:c>
      <x:c r="E1911" s="20" t="str">
        <x:v>Chinese influence</x:v>
      </x:c>
      <x:c r="F1911" s="20" t="str">
        <x:v>PMC presence</x:v>
      </x:c>
      <x:c r="G1911" s="384" t="n">
        <x:v>0</x:v>
      </x:c>
      <x:c r="H1911" s="396" t="n">
        <x:v>1</x:v>
      </x:c>
      <x:c r="I1911" s="20" t="str">
        <x:v>MERICS/Carnegie Chinese overseas PSC source register</x:v>
      </x:c>
      <x:c r="J1911" s="397" t="str">
        <x:v>https://merics.org/en/report/guardians-belt-and-road</x:v>
      </x:c>
      <x:c r="K1911" s="20" t="str">
        <x:v>Primary source-register URL; automated screening score</x:v>
      </x:c>
      <x:c r="L1911" s="20" t="str">
        <x:v>2026-05-20</x:v>
      </x:c>
      <x:c r="M1911" s="20" t="str">
        <x:v>2026-05-20</x:v>
      </x:c>
      <x:c r="N1911" s="20" t="str">
        <x:v>GPT-5.5 Pro</x:v>
      </x:c>
      <x:c r="O1911" s="20" t="str">
        <x:v>Needs review</x:v>
      </x:c>
      <x:c r="P1911" s="20" t="str">
        <x:v>Screening score for China / PMC presence in Venezuela; verify with country-specific evidence before final use.</x:v>
      </x:c>
    </x:row>
    <x:row r="1912" ht="24" customHeight="1">
      <x:c r="A1912" s="20" t="str">
        <x:v>VEN|China|Election interference</x:v>
      </x:c>
      <x:c r="B1912" s="20" t="str">
        <x:v>Venezuela</x:v>
      </x:c>
      <x:c r="C1912" s="20" t="str">
        <x:v>VEN</x:v>
      </x:c>
      <x:c r="D1912" s="20" t="str">
        <x:v>China</x:v>
      </x:c>
      <x:c r="E1912" s="20" t="str">
        <x:v>Chinese influence</x:v>
      </x:c>
      <x:c r="F1912" s="20" t="str">
        <x:v>Election interference</x:v>
      </x:c>
      <x:c r="G1912" s="384" t="n">
        <x:v>2</x:v>
      </x:c>
      <x:c r="H1912" s="396" t="n">
        <x:v>2</x:v>
      </x:c>
      <x:c r="I1912" s="20" t="str">
        <x:v>EEAS/ODNI China election-FIMI source register</x:v>
      </x:c>
      <x:c r="J1912" s="397" t="str">
        <x:v>https://www.eeas.europa.eu/eeas/4th-eeas-annual-report-foreign-information-manipulation-and-interference-threats_en</x:v>
      </x:c>
      <x:c r="K1912" s="20" t="str">
        <x:v>Primary source-register URL; automated screening score</x:v>
      </x:c>
      <x:c r="L1912" s="20" t="str">
        <x:v>2026-05-20</x:v>
      </x:c>
      <x:c r="M1912" s="20" t="str">
        <x:v>2026-05-20</x:v>
      </x:c>
      <x:c r="N1912" s="20" t="str">
        <x:v>GPT-5.5 Pro</x:v>
      </x:c>
      <x:c r="O1912" s="20" t="str">
        <x:v>Needs review</x:v>
      </x:c>
      <x:c r="P1912" s="20" t="str">
        <x:v>Screening score for China / Election interference in Venezuela; verify with country-specific evidence before final use.</x:v>
      </x:c>
    </x:row>
    <x:row r="1913" ht="24" customHeight="1">
      <x:c r="A1913" s="20" t="str">
        <x:v>VEN|China|Security contractors</x:v>
      </x:c>
      <x:c r="B1913" s="20" t="str">
        <x:v>Venezuela</x:v>
      </x:c>
      <x:c r="C1913" s="20" t="str">
        <x:v>VEN</x:v>
      </x:c>
      <x:c r="D1913" s="20" t="str">
        <x:v>China</x:v>
      </x:c>
      <x:c r="E1913" s="20" t="str">
        <x:v>Chinese influence</x:v>
      </x:c>
      <x:c r="F1913" s="20" t="str">
        <x:v>Security contractors</x:v>
      </x:c>
      <x:c r="G1913" s="384" t="n">
        <x:v>0</x:v>
      </x:c>
      <x:c r="H1913" s="396" t="n">
        <x:v>1</x:v>
      </x:c>
      <x:c r="I1913" s="20" t="str">
        <x:v>MERICS/Carnegie Chinese security contractor source register</x:v>
      </x:c>
      <x:c r="J1913" s="397" t="str">
        <x:v>https://merics.org/en/report/guardians-belt-and-road</x:v>
      </x:c>
      <x:c r="K1913" s="20" t="str">
        <x:v>Primary source-register URL; automated screening score</x:v>
      </x:c>
      <x:c r="L1913" s="20" t="str">
        <x:v>2026-05-20</x:v>
      </x:c>
      <x:c r="M1913" s="20" t="str">
        <x:v>2026-05-20</x:v>
      </x:c>
      <x:c r="N1913" s="20" t="str">
        <x:v>GPT-5.5 Pro</x:v>
      </x:c>
      <x:c r="O1913" s="20" t="str">
        <x:v>Needs review</x:v>
      </x:c>
      <x:c r="P1913" s="20" t="str">
        <x:v>Screening score for China / Security contractors in Venezuela; verify with country-specific evidence before final use.</x:v>
      </x:c>
    </x:row>
    <x:row r="1914" ht="24" customHeight="1">
      <x:c r="A1914" s="20" t="str">
        <x:v>VEN|United States|Propaganda ecosystems</x:v>
      </x:c>
      <x:c r="B1914" s="20" t="str">
        <x:v>Venezuela</x:v>
      </x:c>
      <x:c r="C1914" s="20" t="str">
        <x:v>VEN</x:v>
      </x:c>
      <x:c r="D1914" s="20" t="str">
        <x:v>United States</x:v>
      </x:c>
      <x:c r="E1914" s="20" t="str">
        <x:v>American influence</x:v>
      </x:c>
      <x:c r="F1914" s="20" t="str">
        <x:v>Propaganda ecosystems</x:v>
      </x:c>
      <x:c r="G1914" s="384" t="n">
        <x:v>7</x:v>
      </x:c>
      <x:c r="H1914" s="396" t="n">
        <x:v>4</x:v>
      </x:c>
      <x:c r="I1914" s="20" t="str">
        <x:v>USAGM public media source register</x:v>
      </x:c>
      <x:c r="J1914" s="397" t="str">
        <x:v>https://www.usagm.gov/our-work/strategy-and-results/strategic-priorities/research-reports/</x:v>
      </x:c>
      <x:c r="K1914" s="20" t="str">
        <x:v>Primary source-register URL; automated screening score</x:v>
      </x:c>
      <x:c r="L1914" s="20" t="str">
        <x:v>2026-05-20</x:v>
      </x:c>
      <x:c r="M1914" s="20" t="str">
        <x:v>2026-05-20</x:v>
      </x:c>
      <x:c r="N1914" s="20" t="str">
        <x:v>GPT-5.5 Pro</x:v>
      </x:c>
      <x:c r="O1914" s="20" t="str">
        <x:v>Needs review</x:v>
      </x:c>
      <x:c r="P1914" s="20" t="str">
        <x:v>Screening score for United States / Propaganda ecosystems in Venezuela; verify with country-specific evidence before final use.</x:v>
      </x:c>
    </x:row>
    <x:row r="1915" ht="24" customHeight="1">
      <x:c r="A1915" s="20" t="str">
        <x:v>VEN|United States|PMC presence</x:v>
      </x:c>
      <x:c r="B1915" s="20" t="str">
        <x:v>Venezuela</x:v>
      </x:c>
      <x:c r="C1915" s="20" t="str">
        <x:v>VEN</x:v>
      </x:c>
      <x:c r="D1915" s="20" t="str">
        <x:v>United States</x:v>
      </x:c>
      <x:c r="E1915" s="20" t="str">
        <x:v>American influence</x:v>
      </x:c>
      <x:c r="F1915" s="20" t="str">
        <x:v>PMC presence</x:v>
      </x:c>
      <x:c r="G1915" s="384" t="n">
        <x:v>2</x:v>
      </x:c>
      <x:c r="H1915" s="396" t="n">
        <x:v>2</x:v>
      </x:c>
      <x:c r="I1915" s="20" t="str">
        <x:v>SAM/Greenbook U.S. security assistance contractor source register</x:v>
      </x:c>
      <x:c r="J1915" s="397" t="str">
        <x:v>https://internationalpolicy.org/programs/sam/</x:v>
      </x:c>
      <x:c r="K1915" s="20" t="str">
        <x:v>Primary source-register URL; automated screening score</x:v>
      </x:c>
      <x:c r="L1915" s="20" t="str">
        <x:v>2026-05-20</x:v>
      </x:c>
      <x:c r="M1915" s="20" t="str">
        <x:v>2026-05-20</x:v>
      </x:c>
      <x:c r="N1915" s="20" t="str">
        <x:v>GPT-5.5 Pro</x:v>
      </x:c>
      <x:c r="O1915" s="20" t="str">
        <x:v>Needs review</x:v>
      </x:c>
      <x:c r="P1915" s="20" t="str">
        <x:v>Screening score for United States / PMC presence in Venezuela; verify with country-specific evidence before final use.</x:v>
      </x:c>
    </x:row>
    <x:row r="1916" ht="24" customHeight="1">
      <x:c r="A1916" s="20" t="str">
        <x:v>VEN|United States|Election interference</x:v>
      </x:c>
      <x:c r="B1916" s="20" t="str">
        <x:v>Venezuela</x:v>
      </x:c>
      <x:c r="C1916" s="20" t="str">
        <x:v>VEN</x:v>
      </x:c>
      <x:c r="D1916" s="20" t="str">
        <x:v>United States</x:v>
      </x:c>
      <x:c r="E1916" s="20" t="str">
        <x:v>American influence</x:v>
      </x:c>
      <x:c r="F1916" s="20" t="str">
        <x:v>Election interference</x:v>
      </x:c>
      <x:c r="G1916" s="384" t="n">
        <x:v>5</x:v>
      </x:c>
      <x:c r="H1916" s="396" t="n">
        <x:v>3</x:v>
      </x:c>
      <x:c r="I1916" s="20" t="str">
        <x:v>NED/Greenbook democracy assistance source register</x:v>
      </x:c>
      <x:c r="J1916" s="397" t="str">
        <x:v>https://www.ned.org/ned-grantmaking/</x:v>
      </x:c>
      <x:c r="K1916" s="20" t="str">
        <x:v>Primary source-register URL; automated screening score</x:v>
      </x:c>
      <x:c r="L1916" s="20" t="str">
        <x:v>2026-05-20</x:v>
      </x:c>
      <x:c r="M1916" s="20" t="str">
        <x:v>2026-05-20</x:v>
      </x:c>
      <x:c r="N1916" s="20" t="str">
        <x:v>GPT-5.5 Pro</x:v>
      </x:c>
      <x:c r="O1916" s="20" t="str">
        <x:v>Needs review</x:v>
      </x:c>
      <x:c r="P1916" s="20" t="str">
        <x:v>Screening score for United States / Election interference in Venezuela; verify with country-specific evidence before final use.</x:v>
      </x:c>
    </x:row>
    <x:row r="1917" ht="24" customHeight="1">
      <x:c r="A1917" s="20" t="str">
        <x:v>VEN|United States|Security contractors</x:v>
      </x:c>
      <x:c r="B1917" s="20" t="str">
        <x:v>Venezuela</x:v>
      </x:c>
      <x:c r="C1917" s="20" t="str">
        <x:v>VEN</x:v>
      </x:c>
      <x:c r="D1917" s="20" t="str">
        <x:v>United States</x:v>
      </x:c>
      <x:c r="E1917" s="20" t="str">
        <x:v>American influence</x:v>
      </x:c>
      <x:c r="F1917" s="20" t="str">
        <x:v>Security contractors</x:v>
      </x:c>
      <x:c r="G1917" s="384" t="n">
        <x:v>4</x:v>
      </x:c>
      <x:c r="H1917" s="396" t="n">
        <x:v>3</x:v>
      </x:c>
      <x:c r="I1917" s="20" t="str">
        <x:v>SAM/Greenbook U.S. security contractor source register</x:v>
      </x:c>
      <x:c r="J1917" s="397" t="str">
        <x:v>https://internationalpolicy.org/programs/sam/</x:v>
      </x:c>
      <x:c r="K1917" s="20" t="str">
        <x:v>Primary source-register URL; automated screening score</x:v>
      </x:c>
      <x:c r="L1917" s="20" t="str">
        <x:v>2026-05-20</x:v>
      </x:c>
      <x:c r="M1917" s="20" t="str">
        <x:v>2026-05-20</x:v>
      </x:c>
      <x:c r="N1917" s="20" t="str">
        <x:v>GPT-5.5 Pro</x:v>
      </x:c>
      <x:c r="O1917" s="20" t="str">
        <x:v>Needs review</x:v>
      </x:c>
      <x:c r="P1917" s="20" t="str">
        <x:v>Screening score for United States / Security contractors in Venezuela; verify with country-specific evidence before final use.</x:v>
      </x:c>
    </x:row>
    <x:row r="1918" ht="24" customHeight="1">
      <x:c r="A1918" s="20" t="str">
        <x:v>VEN|European Union|Propaganda ecosystems</x:v>
      </x:c>
      <x:c r="B1918" s="20" t="str">
        <x:v>Venezuela</x:v>
      </x:c>
      <x:c r="C1918" s="20" t="str">
        <x:v>VEN</x:v>
      </x:c>
      <x:c r="D1918" s="20" t="str">
        <x:v>European Union</x:v>
      </x:c>
      <x:c r="E1918" s="20" t="str">
        <x:v>EU influence</x:v>
      </x:c>
      <x:c r="F1918" s="20" t="str">
        <x:v>Propaganda ecosystems</x:v>
      </x:c>
      <x:c r="G1918" s="384" t="n">
        <x:v>3</x:v>
      </x:c>
      <x:c r="H1918" s="396" t="n">
        <x:v>3</x:v>
      </x:c>
      <x:c r="I1918" s="20" t="str">
        <x:v>EEAS public diplomacy source register</x:v>
      </x:c>
      <x:c r="J1918" s="397" t="str">
        <x:v>https://www.eeas.europa.eu/eeas/public-diplomacy_en</x:v>
      </x:c>
      <x:c r="K1918" s="20" t="str">
        <x:v>Primary source-register URL; automated screening score</x:v>
      </x:c>
      <x:c r="L1918" s="20" t="str">
        <x:v>2026-05-20</x:v>
      </x:c>
      <x:c r="M1918" s="20" t="str">
        <x:v>2026-05-20</x:v>
      </x:c>
      <x:c r="N1918" s="20" t="str">
        <x:v>GPT-5.5 Pro</x:v>
      </x:c>
      <x:c r="O1918" s="20" t="str">
        <x:v>Needs review</x:v>
      </x:c>
      <x:c r="P1918" s="20" t="str">
        <x:v>Screening score for European Union / Propaganda ecosystems in Venezuela; verify with country-specific evidence before final use.</x:v>
      </x:c>
    </x:row>
    <x:row r="1919" ht="24" customHeight="1">
      <x:c r="A1919" s="20" t="str">
        <x:v>VEN|European Union|PMC presence</x:v>
      </x:c>
      <x:c r="B1919" s="20" t="str">
        <x:v>Venezuela</x:v>
      </x:c>
      <x:c r="C1919" s="20" t="str">
        <x:v>VEN</x:v>
      </x:c>
      <x:c r="D1919" s="20" t="str">
        <x:v>European Union</x:v>
      </x:c>
      <x:c r="E1919" s="20" t="str">
        <x:v>EU influence</x:v>
      </x:c>
      <x:c r="F1919" s="20" t="str">
        <x:v>PMC presence</x:v>
      </x:c>
      <x:c r="G1919" s="384" t="n">
        <x:v>0</x:v>
      </x:c>
      <x:c r="H1919" s="396" t="n">
        <x:v>1</x:v>
      </x:c>
      <x:c r="I1919" s="20" t="str">
        <x:v>EEAS CSDP missions source register</x:v>
      </x:c>
      <x:c r="J1919" s="397" t="str">
        <x:v>https://www.eeas.europa.eu/eeas/missions-and-operations_en</x:v>
      </x:c>
      <x:c r="K1919" s="20" t="str">
        <x:v>Primary source-register URL; automated screening score</x:v>
      </x:c>
      <x:c r="L1919" s="20" t="str">
        <x:v>2026-05-20</x:v>
      </x:c>
      <x:c r="M1919" s="20" t="str">
        <x:v>2026-05-20</x:v>
      </x:c>
      <x:c r="N1919" s="20" t="str">
        <x:v>GPT-5.5 Pro</x:v>
      </x:c>
      <x:c r="O1919" s="20" t="str">
        <x:v>Needs review</x:v>
      </x:c>
      <x:c r="P1919" s="20" t="str">
        <x:v>Screening score for European Union / PMC presence in Venezuela; verify with country-specific evidence before final use.</x:v>
      </x:c>
    </x:row>
    <x:row r="1920" ht="24" customHeight="1">
      <x:c r="A1920" s="20" t="str">
        <x:v>VEN|European Union|Election interference</x:v>
      </x:c>
      <x:c r="B1920" s="20" t="str">
        <x:v>Venezuela</x:v>
      </x:c>
      <x:c r="C1920" s="20" t="str">
        <x:v>VEN</x:v>
      </x:c>
      <x:c r="D1920" s="20" t="str">
        <x:v>European Union</x:v>
      </x:c>
      <x:c r="E1920" s="20" t="str">
        <x:v>EU influence</x:v>
      </x:c>
      <x:c r="F1920" s="20" t="str">
        <x:v>Election interference</x:v>
      </x:c>
      <x:c r="G1920" s="384" t="n">
        <x:v>1</x:v>
      </x:c>
      <x:c r="H1920" s="396" t="n">
        <x:v>2</x:v>
      </x:c>
      <x:c r="I1920" s="20" t="str">
        <x:v>EEAS EU election observation source register</x:v>
      </x:c>
      <x:c r="J1920" s="397" t="str">
        <x:v>https://www.eeas.europa.eu/eeas/eu-election-observation-missions-1_en?page_lang=en</x:v>
      </x:c>
      <x:c r="K1920" s="20" t="str">
        <x:v>Primary source-register URL; automated screening score</x:v>
      </x:c>
      <x:c r="L1920" s="20" t="str">
        <x:v>2026-05-20</x:v>
      </x:c>
      <x:c r="M1920" s="20" t="str">
        <x:v>2026-05-20</x:v>
      </x:c>
      <x:c r="N1920" s="20" t="str">
        <x:v>GPT-5.5 Pro</x:v>
      </x:c>
      <x:c r="O1920" s="20" t="str">
        <x:v>Needs review</x:v>
      </x:c>
      <x:c r="P1920" s="20" t="str">
        <x:v>Screening score for European Union / Election interference in Venezuela; verify with country-specific evidence before final use.</x:v>
      </x:c>
    </x:row>
    <x:row r="1921" ht="24" customHeight="1">
      <x:c r="A1921" s="20" t="str">
        <x:v>VEN|European Union|Security contractors</x:v>
      </x:c>
      <x:c r="B1921" s="20" t="str">
        <x:v>Venezuela</x:v>
      </x:c>
      <x:c r="C1921" s="20" t="str">
        <x:v>VEN</x:v>
      </x:c>
      <x:c r="D1921" s="20" t="str">
        <x:v>European Union</x:v>
      </x:c>
      <x:c r="E1921" s="20" t="str">
        <x:v>EU influence</x:v>
      </x:c>
      <x:c r="F1921" s="20" t="str">
        <x:v>Security contractors</x:v>
      </x:c>
      <x:c r="G1921" s="384" t="n">
        <x:v>2</x:v>
      </x:c>
      <x:c r="H1921" s="396" t="n">
        <x:v>2</x:v>
      </x:c>
      <x:c r="I1921" s="20" t="str">
        <x:v>EEAS CSDP / Global Gateway security source register</x:v>
      </x:c>
      <x:c r="J1921" s="397" t="str">
        <x:v>https://www.eeas.europa.eu/eeas/missions-and-operations_en</x:v>
      </x:c>
      <x:c r="K1921" s="20" t="str">
        <x:v>Primary source-register URL; automated screening score</x:v>
      </x:c>
      <x:c r="L1921" s="20" t="str">
        <x:v>2026-05-20</x:v>
      </x:c>
      <x:c r="M1921" s="20" t="str">
        <x:v>2026-05-20</x:v>
      </x:c>
      <x:c r="N1921" s="20" t="str">
        <x:v>GPT-5.5 Pro</x:v>
      </x:c>
      <x:c r="O1921" s="20" t="str">
        <x:v>Needs review</x:v>
      </x:c>
      <x:c r="P1921" s="20" t="str">
        <x:v>Screening score for European Union / Security contractors in Venezuela; verify with country-specific evidence before final use.</x:v>
      </x:c>
    </x:row>
    <x:row r="1922" ht="24" customHeight="1">
      <x:c r="A1922" s="20" t="str">
        <x:v>VNM|Russia|Propaganda ecosystems</x:v>
      </x:c>
      <x:c r="B1922" s="20" t="str">
        <x:v>Vietnam</x:v>
      </x:c>
      <x:c r="C1922" s="20" t="str">
        <x:v>VNM</x:v>
      </x:c>
      <x:c r="D1922" s="20" t="str">
        <x:v>Russia</x:v>
      </x:c>
      <x:c r="E1922" s="20" t="str">
        <x:v>Russian influence</x:v>
      </x:c>
      <x:c r="F1922" s="20" t="str">
        <x:v>Propaganda ecosystems</x:v>
      </x:c>
      <x:c r="G1922" s="384" t="n">
        <x:v>2</x:v>
      </x:c>
      <x:c r="H1922" s="396" t="n">
        <x:v>2</x:v>
      </x:c>
      <x:c r="I1922" s="20" t="str">
        <x:v>EEAS/EUvsDisinfo FIMI source register</x:v>
      </x:c>
      <x:c r="J1922" s="397" t="str">
        <x:v>https://www.eeas.europa.eu/eeas/4th-eeas-annual-report-foreign-information-manipulation-and-interference-threats_en</x:v>
      </x:c>
      <x:c r="K1922" s="20" t="str">
        <x:v>Primary source-register URL; automated screening score</x:v>
      </x:c>
      <x:c r="L1922" s="20" t="str">
        <x:v>2026-05-20</x:v>
      </x:c>
      <x:c r="M1922" s="20" t="str">
        <x:v>2026-05-20</x:v>
      </x:c>
      <x:c r="N1922" s="20" t="str">
        <x:v>GPT-5.5 Pro</x:v>
      </x:c>
      <x:c r="O1922" s="20" t="str">
        <x:v>Needs review</x:v>
      </x:c>
      <x:c r="P1922" s="20" t="str">
        <x:v>Screening score for Russia / Propaganda ecosystems in Vietnam; verify with country-specific evidence before final use.</x:v>
      </x:c>
    </x:row>
    <x:row r="1923" ht="24" customHeight="1">
      <x:c r="A1923" s="20" t="str">
        <x:v>VNM|Russia|PMC presence</x:v>
      </x:c>
      <x:c r="B1923" s="20" t="str">
        <x:v>Vietnam</x:v>
      </x:c>
      <x:c r="C1923" s="20" t="str">
        <x:v>VNM</x:v>
      </x:c>
      <x:c r="D1923" s="20" t="str">
        <x:v>Russia</x:v>
      </x:c>
      <x:c r="E1923" s="20" t="str">
        <x:v>Russian influence</x:v>
      </x:c>
      <x:c r="F1923" s="20" t="str">
        <x:v>PMC presence</x:v>
      </x:c>
      <x:c r="G1923" s="384" t="n">
        <x:v>0</x:v>
      </x:c>
      <x:c r="H1923" s="396" t="n">
        <x:v>1</x:v>
      </x:c>
      <x:c r="I1923" s="20" t="str">
        <x:v>Treasury and Council of the EU Wagner/PMC source register</x:v>
      </x:c>
      <x:c r="J1923" s="397" t="str">
        <x:v>https://www.consilium.europa.eu/en/press/press-releases/2023/02/25/wagner-group-council-adds-11-individuals-and-7-entities-to-eu-sanctions-lists/</x:v>
      </x:c>
      <x:c r="K1923" s="20" t="str">
        <x:v>Primary source-register URL; automated screening score</x:v>
      </x:c>
      <x:c r="L1923" s="20" t="str">
        <x:v>2026-05-20</x:v>
      </x:c>
      <x:c r="M1923" s="20" t="str">
        <x:v>2026-05-20</x:v>
      </x:c>
      <x:c r="N1923" s="20" t="str">
        <x:v>GPT-5.5 Pro</x:v>
      </x:c>
      <x:c r="O1923" s="20" t="str">
        <x:v>Needs review</x:v>
      </x:c>
      <x:c r="P1923" s="20" t="str">
        <x:v>Screening score for Russia / PMC presence in Vietnam; verify with country-specific evidence before final use.</x:v>
      </x:c>
    </x:row>
    <x:row r="1924" ht="24" customHeight="1">
      <x:c r="A1924" s="20" t="str">
        <x:v>VNM|Russia|Election interference</x:v>
      </x:c>
      <x:c r="B1924" s="20" t="str">
        <x:v>Vietnam</x:v>
      </x:c>
      <x:c r="C1924" s="20" t="str">
        <x:v>VNM</x:v>
      </x:c>
      <x:c r="D1924" s="20" t="str">
        <x:v>Russia</x:v>
      </x:c>
      <x:c r="E1924" s="20" t="str">
        <x:v>Russian influence</x:v>
      </x:c>
      <x:c r="F1924" s="20" t="str">
        <x:v>Election interference</x:v>
      </x:c>
      <x:c r="G1924" s="384" t="n">
        <x:v>0</x:v>
      </x:c>
      <x:c r="H1924" s="396" t="n">
        <x:v>1</x:v>
      </x:c>
      <x:c r="I1924" s="20" t="str">
        <x:v>ODNI/EEAS election-FIMI source register</x:v>
      </x:c>
      <x:c r="J1924" s="397" t="str">
        <x:v>https://www.dni.gov/files/ODNI/documents/assessments/ATA-2026-Unclassified-Report.pdf</x:v>
      </x:c>
      <x:c r="K1924" s="20" t="str">
        <x:v>Primary source-register URL; automated screening score</x:v>
      </x:c>
      <x:c r="L1924" s="20" t="str">
        <x:v>2026-05-20</x:v>
      </x:c>
      <x:c r="M1924" s="20" t="str">
        <x:v>2026-05-20</x:v>
      </x:c>
      <x:c r="N1924" s="20" t="str">
        <x:v>GPT-5.5 Pro</x:v>
      </x:c>
      <x:c r="O1924" s="20" t="str">
        <x:v>Needs review</x:v>
      </x:c>
      <x:c r="P1924" s="20" t="str">
        <x:v>Screening score for Russia / Election interference in Vietnam; verify with country-specific evidence before final use.</x:v>
      </x:c>
    </x:row>
    <x:row r="1925" ht="24" customHeight="1">
      <x:c r="A1925" s="20" t="str">
        <x:v>VNM|Russia|Security contractors</x:v>
      </x:c>
      <x:c r="B1925" s="20" t="str">
        <x:v>Vietnam</x:v>
      </x:c>
      <x:c r="C1925" s="20" t="str">
        <x:v>VNM</x:v>
      </x:c>
      <x:c r="D1925" s="20" t="str">
        <x:v>Russia</x:v>
      </x:c>
      <x:c r="E1925" s="20" t="str">
        <x:v>Russian influence</x:v>
      </x:c>
      <x:c r="F1925" s="20" t="str">
        <x:v>Security contractors</x:v>
      </x:c>
      <x:c r="G1925" s="384" t="n">
        <x:v>0</x:v>
      </x:c>
      <x:c r="H1925" s="396" t="n">
        <x:v>1</x:v>
      </x:c>
      <x:c r="I1925" s="20" t="str">
        <x:v>Council of the EU/Treasury Wagner-security source register</x:v>
      </x:c>
      <x:c r="J1925" s="397" t="str">
        <x:v>https://www.consilium.europa.eu/en/press/press-releases/2023/02/25/wagner-group-council-adds-11-individuals-and-7-entities-to-eu-sanctions-lists/</x:v>
      </x:c>
      <x:c r="K1925" s="20" t="str">
        <x:v>Primary source-register URL; automated screening score</x:v>
      </x:c>
      <x:c r="L1925" s="20" t="str">
        <x:v>2026-05-20</x:v>
      </x:c>
      <x:c r="M1925" s="20" t="str">
        <x:v>2026-05-20</x:v>
      </x:c>
      <x:c r="N1925" s="20" t="str">
        <x:v>GPT-5.5 Pro</x:v>
      </x:c>
      <x:c r="O1925" s="20" t="str">
        <x:v>Needs review</x:v>
      </x:c>
      <x:c r="P1925" s="20" t="str">
        <x:v>Screening score for Russia / Security contractors in Vietnam; verify with country-specific evidence before final use.</x:v>
      </x:c>
    </x:row>
    <x:row r="1926" ht="24" customHeight="1">
      <x:c r="A1926" s="20" t="str">
        <x:v>VNM|China|Propaganda ecosystems</x:v>
      </x:c>
      <x:c r="B1926" s="20" t="str">
        <x:v>Vietnam</x:v>
      </x:c>
      <x:c r="C1926" s="20" t="str">
        <x:v>VNM</x:v>
      </x:c>
      <x:c r="D1926" s="20" t="str">
        <x:v>China</x:v>
      </x:c>
      <x:c r="E1926" s="20" t="str">
        <x:v>Chinese influence</x:v>
      </x:c>
      <x:c r="F1926" s="20" t="str">
        <x:v>Propaganda ecosystems</x:v>
      </x:c>
      <x:c r="G1926" s="384" t="n">
        <x:v>6</x:v>
      </x:c>
      <x:c r="H1926" s="396" t="n">
        <x:v>4</x:v>
      </x:c>
      <x:c r="I1926" s="20" t="str">
        <x:v>EEAS/ODNI China FIMI source register</x:v>
      </x:c>
      <x:c r="J1926" s="397" t="str">
        <x:v>https://www.eeas.europa.eu/eeas/4th-eeas-annual-report-foreign-information-manipulation-and-interference-threats_en</x:v>
      </x:c>
      <x:c r="K1926" s="20" t="str">
        <x:v>Primary source-register URL; automated screening score</x:v>
      </x:c>
      <x:c r="L1926" s="20" t="str">
        <x:v>2026-05-20</x:v>
      </x:c>
      <x:c r="M1926" s="20" t="str">
        <x:v>2026-05-20</x:v>
      </x:c>
      <x:c r="N1926" s="20" t="str">
        <x:v>GPT-5.5 Pro</x:v>
      </x:c>
      <x:c r="O1926" s="20" t="str">
        <x:v>Needs review</x:v>
      </x:c>
      <x:c r="P1926" s="20" t="str">
        <x:v>Screening score for China / Propaganda ecosystems in Vietnam; verify with country-specific evidence before final use.</x:v>
      </x:c>
    </x:row>
    <x:row r="1927" ht="24" customHeight="1">
      <x:c r="A1927" s="20" t="str">
        <x:v>VNM|China|PMC presence</x:v>
      </x:c>
      <x:c r="B1927" s="20" t="str">
        <x:v>Vietnam</x:v>
      </x:c>
      <x:c r="C1927" s="20" t="str">
        <x:v>VNM</x:v>
      </x:c>
      <x:c r="D1927" s="20" t="str">
        <x:v>China</x:v>
      </x:c>
      <x:c r="E1927" s="20" t="str">
        <x:v>Chinese influence</x:v>
      </x:c>
      <x:c r="F1927" s="20" t="str">
        <x:v>PMC presence</x:v>
      </x:c>
      <x:c r="G1927" s="384" t="n">
        <x:v>1</x:v>
      </x:c>
      <x:c r="H1927" s="396" t="n">
        <x:v>2</x:v>
      </x:c>
      <x:c r="I1927" s="20" t="str">
        <x:v>MERICS/Carnegie Chinese overseas PSC source register</x:v>
      </x:c>
      <x:c r="J1927" s="397" t="str">
        <x:v>https://merics.org/en/report/guardians-belt-and-road</x:v>
      </x:c>
      <x:c r="K1927" s="20" t="str">
        <x:v>Primary source-register URL; automated screening score</x:v>
      </x:c>
      <x:c r="L1927" s="20" t="str">
        <x:v>2026-05-20</x:v>
      </x:c>
      <x:c r="M1927" s="20" t="str">
        <x:v>2026-05-20</x:v>
      </x:c>
      <x:c r="N1927" s="20" t="str">
        <x:v>GPT-5.5 Pro</x:v>
      </x:c>
      <x:c r="O1927" s="20" t="str">
        <x:v>Needs review</x:v>
      </x:c>
      <x:c r="P1927" s="20" t="str">
        <x:v>Screening score for China / PMC presence in Vietnam; verify with country-specific evidence before final use.</x:v>
      </x:c>
    </x:row>
    <x:row r="1928" ht="24" customHeight="1">
      <x:c r="A1928" s="20" t="str">
        <x:v>VNM|China|Election interference</x:v>
      </x:c>
      <x:c r="B1928" s="20" t="str">
        <x:v>Vietnam</x:v>
      </x:c>
      <x:c r="C1928" s="20" t="str">
        <x:v>VNM</x:v>
      </x:c>
      <x:c r="D1928" s="20" t="str">
        <x:v>China</x:v>
      </x:c>
      <x:c r="E1928" s="20" t="str">
        <x:v>Chinese influence</x:v>
      </x:c>
      <x:c r="F1928" s="20" t="str">
        <x:v>Election interference</x:v>
      </x:c>
      <x:c r="G1928" s="384" t="n">
        <x:v>4</x:v>
      </x:c>
      <x:c r="H1928" s="396" t="n">
        <x:v>3</x:v>
      </x:c>
      <x:c r="I1928" s="20" t="str">
        <x:v>EEAS/ODNI China election-FIMI source register</x:v>
      </x:c>
      <x:c r="J1928" s="397" t="str">
        <x:v>https://www.eeas.europa.eu/eeas/4th-eeas-annual-report-foreign-information-manipulation-and-interference-threats_en</x:v>
      </x:c>
      <x:c r="K1928" s="20" t="str">
        <x:v>Primary source-register URL; automated screening score</x:v>
      </x:c>
      <x:c r="L1928" s="20" t="str">
        <x:v>2026-05-20</x:v>
      </x:c>
      <x:c r="M1928" s="20" t="str">
        <x:v>2026-05-20</x:v>
      </x:c>
      <x:c r="N1928" s="20" t="str">
        <x:v>GPT-5.5 Pro</x:v>
      </x:c>
      <x:c r="O1928" s="20" t="str">
        <x:v>Needs review</x:v>
      </x:c>
      <x:c r="P1928" s="20" t="str">
        <x:v>Screening score for China / Election interference in Vietnam; verify with country-specific evidence before final use.</x:v>
      </x:c>
    </x:row>
    <x:row r="1929" ht="24" customHeight="1">
      <x:c r="A1929" s="20" t="str">
        <x:v>VNM|China|Security contractors</x:v>
      </x:c>
      <x:c r="B1929" s="20" t="str">
        <x:v>Vietnam</x:v>
      </x:c>
      <x:c r="C1929" s="20" t="str">
        <x:v>VNM</x:v>
      </x:c>
      <x:c r="D1929" s="20" t="str">
        <x:v>China</x:v>
      </x:c>
      <x:c r="E1929" s="20" t="str">
        <x:v>Chinese influence</x:v>
      </x:c>
      <x:c r="F1929" s="20" t="str">
        <x:v>Security contractors</x:v>
      </x:c>
      <x:c r="G1929" s="384" t="n">
        <x:v>3</x:v>
      </x:c>
      <x:c r="H1929" s="396" t="n">
        <x:v>3</x:v>
      </x:c>
      <x:c r="I1929" s="20" t="str">
        <x:v>MERICS/Carnegie Chinese security contractor source register</x:v>
      </x:c>
      <x:c r="J1929" s="397" t="str">
        <x:v>https://merics.org/en/report/guardians-belt-and-road</x:v>
      </x:c>
      <x:c r="K1929" s="20" t="str">
        <x:v>Primary source-register URL; automated screening score</x:v>
      </x:c>
      <x:c r="L1929" s="20" t="str">
        <x:v>2026-05-20</x:v>
      </x:c>
      <x:c r="M1929" s="20" t="str">
        <x:v>2026-05-20</x:v>
      </x:c>
      <x:c r="N1929" s="20" t="str">
        <x:v>GPT-5.5 Pro</x:v>
      </x:c>
      <x:c r="O1929" s="20" t="str">
        <x:v>Needs review</x:v>
      </x:c>
      <x:c r="P1929" s="20" t="str">
        <x:v>Screening score for China / Security contractors in Vietnam; verify with country-specific evidence before final use.</x:v>
      </x:c>
    </x:row>
    <x:row r="1930" ht="24" customHeight="1">
      <x:c r="A1930" s="20" t="str">
        <x:v>VNM|United States|Propaganda ecosystems</x:v>
      </x:c>
      <x:c r="B1930" s="20" t="str">
        <x:v>Vietnam</x:v>
      </x:c>
      <x:c r="C1930" s="20" t="str">
        <x:v>VNM</x:v>
      </x:c>
      <x:c r="D1930" s="20" t="str">
        <x:v>United States</x:v>
      </x:c>
      <x:c r="E1930" s="20" t="str">
        <x:v>American influence</x:v>
      </x:c>
      <x:c r="F1930" s="20" t="str">
        <x:v>Propaganda ecosystems</x:v>
      </x:c>
      <x:c r="G1930" s="384" t="n">
        <x:v>3</x:v>
      </x:c>
      <x:c r="H1930" s="396" t="n">
        <x:v>3</x:v>
      </x:c>
      <x:c r="I1930" s="20" t="str">
        <x:v>USAGM public media source register</x:v>
      </x:c>
      <x:c r="J1930" s="397" t="str">
        <x:v>https://www.usagm.gov/our-work/strategy-and-results/strategic-priorities/research-reports/</x:v>
      </x:c>
      <x:c r="K1930" s="20" t="str">
        <x:v>Primary source-register URL; automated screening score</x:v>
      </x:c>
      <x:c r="L1930" s="20" t="str">
        <x:v>2026-05-20</x:v>
      </x:c>
      <x:c r="M1930" s="20" t="str">
        <x:v>2026-05-20</x:v>
      </x:c>
      <x:c r="N1930" s="20" t="str">
        <x:v>GPT-5.5 Pro</x:v>
      </x:c>
      <x:c r="O1930" s="20" t="str">
        <x:v>Needs review</x:v>
      </x:c>
      <x:c r="P1930" s="20" t="str">
        <x:v>Screening score for United States / Propaganda ecosystems in Vietnam; verify with country-specific evidence before final use.</x:v>
      </x:c>
    </x:row>
    <x:row r="1931" ht="24" customHeight="1">
      <x:c r="A1931" s="20" t="str">
        <x:v>VNM|United States|PMC presence</x:v>
      </x:c>
      <x:c r="B1931" s="20" t="str">
        <x:v>Vietnam</x:v>
      </x:c>
      <x:c r="C1931" s="20" t="str">
        <x:v>VNM</x:v>
      </x:c>
      <x:c r="D1931" s="20" t="str">
        <x:v>United States</x:v>
      </x:c>
      <x:c r="E1931" s="20" t="str">
        <x:v>American influence</x:v>
      </x:c>
      <x:c r="F1931" s="20" t="str">
        <x:v>PMC presence</x:v>
      </x:c>
      <x:c r="G1931" s="384" t="n">
        <x:v>1</x:v>
      </x:c>
      <x:c r="H1931" s="396" t="n">
        <x:v>2</x:v>
      </x:c>
      <x:c r="I1931" s="20" t="str">
        <x:v>SAM/Greenbook U.S. security assistance contractor source register</x:v>
      </x:c>
      <x:c r="J1931" s="397" t="str">
        <x:v>https://internationalpolicy.org/programs/sam/</x:v>
      </x:c>
      <x:c r="K1931" s="20" t="str">
        <x:v>Primary source-register URL; automated screening score</x:v>
      </x:c>
      <x:c r="L1931" s="20" t="str">
        <x:v>2026-05-20</x:v>
      </x:c>
      <x:c r="M1931" s="20" t="str">
        <x:v>2026-05-20</x:v>
      </x:c>
      <x:c r="N1931" s="20" t="str">
        <x:v>GPT-5.5 Pro</x:v>
      </x:c>
      <x:c r="O1931" s="20" t="str">
        <x:v>Needs review</x:v>
      </x:c>
      <x:c r="P1931" s="20" t="str">
        <x:v>Screening score for United States / PMC presence in Vietnam; verify with country-specific evidence before final use.</x:v>
      </x:c>
    </x:row>
    <x:row r="1932" ht="24" customHeight="1">
      <x:c r="A1932" s="20" t="str">
        <x:v>VNM|United States|Election interference</x:v>
      </x:c>
      <x:c r="B1932" s="20" t="str">
        <x:v>Vietnam</x:v>
      </x:c>
      <x:c r="C1932" s="20" t="str">
        <x:v>VNM</x:v>
      </x:c>
      <x:c r="D1932" s="20" t="str">
        <x:v>United States</x:v>
      </x:c>
      <x:c r="E1932" s="20" t="str">
        <x:v>American influence</x:v>
      </x:c>
      <x:c r="F1932" s="20" t="str">
        <x:v>Election interference</x:v>
      </x:c>
      <x:c r="G1932" s="384" t="n">
        <x:v>2</x:v>
      </x:c>
      <x:c r="H1932" s="396" t="n">
        <x:v>2</x:v>
      </x:c>
      <x:c r="I1932" s="20" t="str">
        <x:v>NED/Greenbook democracy assistance source register</x:v>
      </x:c>
      <x:c r="J1932" s="397" t="str">
        <x:v>https://www.ned.org/ned-grantmaking/</x:v>
      </x:c>
      <x:c r="K1932" s="20" t="str">
        <x:v>Primary source-register URL; automated screening score</x:v>
      </x:c>
      <x:c r="L1932" s="20" t="str">
        <x:v>2026-05-20</x:v>
      </x:c>
      <x:c r="M1932" s="20" t="str">
        <x:v>2026-05-20</x:v>
      </x:c>
      <x:c r="N1932" s="20" t="str">
        <x:v>GPT-5.5 Pro</x:v>
      </x:c>
      <x:c r="O1932" s="20" t="str">
        <x:v>Needs review</x:v>
      </x:c>
      <x:c r="P1932" s="20" t="str">
        <x:v>Screening score for United States / Election interference in Vietnam; verify with country-specific evidence before final use.</x:v>
      </x:c>
    </x:row>
    <x:row r="1933" ht="24" customHeight="1">
      <x:c r="A1933" s="20" t="str">
        <x:v>VNM|United States|Security contractors</x:v>
      </x:c>
      <x:c r="B1933" s="20" t="str">
        <x:v>Vietnam</x:v>
      </x:c>
      <x:c r="C1933" s="20" t="str">
        <x:v>VNM</x:v>
      </x:c>
      <x:c r="D1933" s="20" t="str">
        <x:v>United States</x:v>
      </x:c>
      <x:c r="E1933" s="20" t="str">
        <x:v>American influence</x:v>
      </x:c>
      <x:c r="F1933" s="20" t="str">
        <x:v>Security contractors</x:v>
      </x:c>
      <x:c r="G1933" s="384" t="n">
        <x:v>2</x:v>
      </x:c>
      <x:c r="H1933" s="396" t="n">
        <x:v>2</x:v>
      </x:c>
      <x:c r="I1933" s="20" t="str">
        <x:v>SAM/Greenbook U.S. security contractor source register</x:v>
      </x:c>
      <x:c r="J1933" s="397" t="str">
        <x:v>https://internationalpolicy.org/programs/sam/</x:v>
      </x:c>
      <x:c r="K1933" s="20" t="str">
        <x:v>Primary source-register URL; automated screening score</x:v>
      </x:c>
      <x:c r="L1933" s="20" t="str">
        <x:v>2026-05-20</x:v>
      </x:c>
      <x:c r="M1933" s="20" t="str">
        <x:v>2026-05-20</x:v>
      </x:c>
      <x:c r="N1933" s="20" t="str">
        <x:v>GPT-5.5 Pro</x:v>
      </x:c>
      <x:c r="O1933" s="20" t="str">
        <x:v>Needs review</x:v>
      </x:c>
      <x:c r="P1933" s="20" t="str">
        <x:v>Screening score for United States / Security contractors in Vietnam; verify with country-specific evidence before final use.</x:v>
      </x:c>
    </x:row>
    <x:row r="1934" ht="24" customHeight="1">
      <x:c r="A1934" s="20" t="str">
        <x:v>VNM|European Union|Propaganda ecosystems</x:v>
      </x:c>
      <x:c r="B1934" s="20" t="str">
        <x:v>Vietnam</x:v>
      </x:c>
      <x:c r="C1934" s="20" t="str">
        <x:v>VNM</x:v>
      </x:c>
      <x:c r="D1934" s="20" t="str">
        <x:v>European Union</x:v>
      </x:c>
      <x:c r="E1934" s="20" t="str">
        <x:v>EU influence</x:v>
      </x:c>
      <x:c r="F1934" s="20" t="str">
        <x:v>Propaganda ecosystems</x:v>
      </x:c>
      <x:c r="G1934" s="384" t="n">
        <x:v>2</x:v>
      </x:c>
      <x:c r="H1934" s="396" t="n">
        <x:v>2</x:v>
      </x:c>
      <x:c r="I1934" s="20" t="str">
        <x:v>EEAS public diplomacy source register</x:v>
      </x:c>
      <x:c r="J1934" s="397" t="str">
        <x:v>https://www.eeas.europa.eu/eeas/public-diplomacy_en</x:v>
      </x:c>
      <x:c r="K1934" s="20" t="str">
        <x:v>Primary source-register URL; automated screening score</x:v>
      </x:c>
      <x:c r="L1934" s="20" t="str">
        <x:v>2026-05-20</x:v>
      </x:c>
      <x:c r="M1934" s="20" t="str">
        <x:v>2026-05-20</x:v>
      </x:c>
      <x:c r="N1934" s="20" t="str">
        <x:v>GPT-5.5 Pro</x:v>
      </x:c>
      <x:c r="O1934" s="20" t="str">
        <x:v>Needs review</x:v>
      </x:c>
      <x:c r="P1934" s="20" t="str">
        <x:v>Screening score for European Union / Propaganda ecosystems in Vietnam; verify with country-specific evidence before final use.</x:v>
      </x:c>
    </x:row>
    <x:row r="1935" ht="24" customHeight="1">
      <x:c r="A1935" s="20" t="str">
        <x:v>VNM|European Union|PMC presence</x:v>
      </x:c>
      <x:c r="B1935" s="20" t="str">
        <x:v>Vietnam</x:v>
      </x:c>
      <x:c r="C1935" s="20" t="str">
        <x:v>VNM</x:v>
      </x:c>
      <x:c r="D1935" s="20" t="str">
        <x:v>European Union</x:v>
      </x:c>
      <x:c r="E1935" s="20" t="str">
        <x:v>EU influence</x:v>
      </x:c>
      <x:c r="F1935" s="20" t="str">
        <x:v>PMC presence</x:v>
      </x:c>
      <x:c r="G1935" s="384" t="n">
        <x:v>0</x:v>
      </x:c>
      <x:c r="H1935" s="396" t="n">
        <x:v>1</x:v>
      </x:c>
      <x:c r="I1935" s="20" t="str">
        <x:v>EEAS CSDP missions source register</x:v>
      </x:c>
      <x:c r="J1935" s="397" t="str">
        <x:v>https://www.eeas.europa.eu/eeas/missions-and-operations_en</x:v>
      </x:c>
      <x:c r="K1935" s="20" t="str">
        <x:v>Primary source-register URL; automated screening score</x:v>
      </x:c>
      <x:c r="L1935" s="20" t="str">
        <x:v>2026-05-20</x:v>
      </x:c>
      <x:c r="M1935" s="20" t="str">
        <x:v>2026-05-20</x:v>
      </x:c>
      <x:c r="N1935" s="20" t="str">
        <x:v>GPT-5.5 Pro</x:v>
      </x:c>
      <x:c r="O1935" s="20" t="str">
        <x:v>Needs review</x:v>
      </x:c>
      <x:c r="P1935" s="20" t="str">
        <x:v>Screening score for European Union / PMC presence in Vietnam; verify with country-specific evidence before final use.</x:v>
      </x:c>
    </x:row>
    <x:row r="1936" ht="24" customHeight="1">
      <x:c r="A1936" s="20" t="str">
        <x:v>VNM|European Union|Election interference</x:v>
      </x:c>
      <x:c r="B1936" s="20" t="str">
        <x:v>Vietnam</x:v>
      </x:c>
      <x:c r="C1936" s="20" t="str">
        <x:v>VNM</x:v>
      </x:c>
      <x:c r="D1936" s="20" t="str">
        <x:v>European Union</x:v>
      </x:c>
      <x:c r="E1936" s="20" t="str">
        <x:v>EU influence</x:v>
      </x:c>
      <x:c r="F1936" s="20" t="str">
        <x:v>Election interference</x:v>
      </x:c>
      <x:c r="G1936" s="384" t="n">
        <x:v>1</x:v>
      </x:c>
      <x:c r="H1936" s="396" t="n">
        <x:v>2</x:v>
      </x:c>
      <x:c r="I1936" s="20" t="str">
        <x:v>EEAS EU election observation source register</x:v>
      </x:c>
      <x:c r="J1936" s="397" t="str">
        <x:v>https://www.eeas.europa.eu/eeas/eu-election-observation-missions-1_en?page_lang=en</x:v>
      </x:c>
      <x:c r="K1936" s="20" t="str">
        <x:v>Primary source-register URL; automated screening score</x:v>
      </x:c>
      <x:c r="L1936" s="20" t="str">
        <x:v>2026-05-20</x:v>
      </x:c>
      <x:c r="M1936" s="20" t="str">
        <x:v>2026-05-20</x:v>
      </x:c>
      <x:c r="N1936" s="20" t="str">
        <x:v>GPT-5.5 Pro</x:v>
      </x:c>
      <x:c r="O1936" s="20" t="str">
        <x:v>Needs review</x:v>
      </x:c>
      <x:c r="P1936" s="20" t="str">
        <x:v>Screening score for European Union / Election interference in Vietnam; verify with country-specific evidence before final use.</x:v>
      </x:c>
    </x:row>
    <x:row r="1937" ht="24" customHeight="1">
      <x:c r="A1937" s="20" t="str">
        <x:v>VNM|European Union|Security contractors</x:v>
      </x:c>
      <x:c r="B1937" s="20" t="str">
        <x:v>Vietnam</x:v>
      </x:c>
      <x:c r="C1937" s="20" t="str">
        <x:v>VNM</x:v>
      </x:c>
      <x:c r="D1937" s="20" t="str">
        <x:v>European Union</x:v>
      </x:c>
      <x:c r="E1937" s="20" t="str">
        <x:v>EU influence</x:v>
      </x:c>
      <x:c r="F1937" s="20" t="str">
        <x:v>Security contractors</x:v>
      </x:c>
      <x:c r="G1937" s="384" t="n">
        <x:v>2</x:v>
      </x:c>
      <x:c r="H1937" s="396" t="n">
        <x:v>2</x:v>
      </x:c>
      <x:c r="I1937" s="20" t="str">
        <x:v>EEAS CSDP / Global Gateway security source register</x:v>
      </x:c>
      <x:c r="J1937" s="397" t="str">
        <x:v>https://www.eeas.europa.eu/eeas/missions-and-operations_en</x:v>
      </x:c>
      <x:c r="K1937" s="20" t="str">
        <x:v>Primary source-register URL; automated screening score</x:v>
      </x:c>
      <x:c r="L1937" s="20" t="str">
        <x:v>2026-05-20</x:v>
      </x:c>
      <x:c r="M1937" s="20" t="str">
        <x:v>2026-05-20</x:v>
      </x:c>
      <x:c r="N1937" s="20" t="str">
        <x:v>GPT-5.5 Pro</x:v>
      </x:c>
      <x:c r="O1937" s="20" t="str">
        <x:v>Needs review</x:v>
      </x:c>
      <x:c r="P1937" s="20" t="str">
        <x:v>Screening score for European Union / Security contractors in Vietnam; verify with country-specific evidence before final use.</x:v>
      </x:c>
    </x:row>
    <x:row r="1938" ht="24" customHeight="1">
      <x:c r="A1938" s="20" t="str">
        <x:v>ESH|Russia|Propaganda ecosystems</x:v>
      </x:c>
      <x:c r="B1938" s="20" t="str">
        <x:v>Western Sahara</x:v>
      </x:c>
      <x:c r="C1938" s="20" t="str">
        <x:v>ESH</x:v>
      </x:c>
      <x:c r="D1938" s="20" t="str">
        <x:v>Russia</x:v>
      </x:c>
      <x:c r="E1938" s="20" t="str">
        <x:v>Russian influence</x:v>
      </x:c>
      <x:c r="F1938" s="20" t="str">
        <x:v>Propaganda ecosystems</x:v>
      </x:c>
      <x:c r="G1938" s="384" t="n">
        <x:v>4</x:v>
      </x:c>
      <x:c r="H1938" s="396" t="n">
        <x:v>3</x:v>
      </x:c>
      <x:c r="I1938" s="20" t="str">
        <x:v>EEAS/EUvsDisinfo FIMI source register</x:v>
      </x:c>
      <x:c r="J1938" s="397" t="str">
        <x:v>https://www.eeas.europa.eu/eeas/4th-eeas-annual-report-foreign-information-manipulation-and-interference-threats_en</x:v>
      </x:c>
      <x:c r="K1938" s="20" t="str">
        <x:v>Primary source-register URL; automated screening score</x:v>
      </x:c>
      <x:c r="L1938" s="20" t="str">
        <x:v>2026-05-20</x:v>
      </x:c>
      <x:c r="M1938" s="20" t="str">
        <x:v>2026-05-20</x:v>
      </x:c>
      <x:c r="N1938" s="20" t="str">
        <x:v>GPT-5.5 Pro</x:v>
      </x:c>
      <x:c r="O1938" s="20" t="str">
        <x:v>Needs review</x:v>
      </x:c>
      <x:c r="P1938" s="20" t="str">
        <x:v>Screening score for Russia / Propaganda ecosystems in Western Sahara; verify with country-specific evidence before final use.</x:v>
      </x:c>
    </x:row>
    <x:row r="1939" ht="24" customHeight="1">
      <x:c r="A1939" s="20" t="str">
        <x:v>ESH|Russia|PMC presence</x:v>
      </x:c>
      <x:c r="B1939" s="20" t="str">
        <x:v>Western Sahara</x:v>
      </x:c>
      <x:c r="C1939" s="20" t="str">
        <x:v>ESH</x:v>
      </x:c>
      <x:c r="D1939" s="20" t="str">
        <x:v>Russia</x:v>
      </x:c>
      <x:c r="E1939" s="20" t="str">
        <x:v>Russian influence</x:v>
      </x:c>
      <x:c r="F1939" s="20" t="str">
        <x:v>PMC presence</x:v>
      </x:c>
      <x:c r="G1939" s="384" t="n">
        <x:v>1</x:v>
      </x:c>
      <x:c r="H1939" s="396" t="n">
        <x:v>2</x:v>
      </x:c>
      <x:c r="I1939" s="20" t="str">
        <x:v>Treasury and Council of the EU Wagner/PMC source register</x:v>
      </x:c>
      <x:c r="J1939" s="397" t="str">
        <x:v>https://www.consilium.europa.eu/en/press/press-releases/2023/02/25/wagner-group-council-adds-11-individuals-and-7-entities-to-eu-sanctions-lists/</x:v>
      </x:c>
      <x:c r="K1939" s="20" t="str">
        <x:v>Primary source-register URL; automated screening score</x:v>
      </x:c>
      <x:c r="L1939" s="20" t="str">
        <x:v>2026-05-20</x:v>
      </x:c>
      <x:c r="M1939" s="20" t="str">
        <x:v>2026-05-20</x:v>
      </x:c>
      <x:c r="N1939" s="20" t="str">
        <x:v>GPT-5.5 Pro</x:v>
      </x:c>
      <x:c r="O1939" s="20" t="str">
        <x:v>Needs review</x:v>
      </x:c>
      <x:c r="P1939" s="20" t="str">
        <x:v>Screening score for Russia / PMC presence in Western Sahara; verify with country-specific evidence before final use.</x:v>
      </x:c>
    </x:row>
    <x:row r="1940" ht="24" customHeight="1">
      <x:c r="A1940" s="20" t="str">
        <x:v>ESH|Russia|Election interference</x:v>
      </x:c>
      <x:c r="B1940" s="20" t="str">
        <x:v>Western Sahara</x:v>
      </x:c>
      <x:c r="C1940" s="20" t="str">
        <x:v>ESH</x:v>
      </x:c>
      <x:c r="D1940" s="20" t="str">
        <x:v>Russia</x:v>
      </x:c>
      <x:c r="E1940" s="20" t="str">
        <x:v>Russian influence</x:v>
      </x:c>
      <x:c r="F1940" s="20" t="str">
        <x:v>Election interference</x:v>
      </x:c>
      <x:c r="G1940" s="384" t="n">
        <x:v>1</x:v>
      </x:c>
      <x:c r="H1940" s="396" t="n">
        <x:v>2</x:v>
      </x:c>
      <x:c r="I1940" s="20" t="str">
        <x:v>ODNI/EEAS election-FIMI source register</x:v>
      </x:c>
      <x:c r="J1940" s="397" t="str">
        <x:v>https://www.dni.gov/files/ODNI/documents/assessments/ATA-2026-Unclassified-Report.pdf</x:v>
      </x:c>
      <x:c r="K1940" s="20" t="str">
        <x:v>Primary source-register URL; automated screening score</x:v>
      </x:c>
      <x:c r="L1940" s="20" t="str">
        <x:v>2026-05-20</x:v>
      </x:c>
      <x:c r="M1940" s="20" t="str">
        <x:v>2026-05-20</x:v>
      </x:c>
      <x:c r="N1940" s="20" t="str">
        <x:v>GPT-5.5 Pro</x:v>
      </x:c>
      <x:c r="O1940" s="20" t="str">
        <x:v>Needs review</x:v>
      </x:c>
      <x:c r="P1940" s="20" t="str">
        <x:v>Screening score for Russia / Election interference in Western Sahara; verify with country-specific evidence before final use.</x:v>
      </x:c>
    </x:row>
    <x:row r="1941" ht="24" customHeight="1">
      <x:c r="A1941" s="20" t="str">
        <x:v>ESH|Russia|Security contractors</x:v>
      </x:c>
      <x:c r="B1941" s="20" t="str">
        <x:v>Western Sahara</x:v>
      </x:c>
      <x:c r="C1941" s="20" t="str">
        <x:v>ESH</x:v>
      </x:c>
      <x:c r="D1941" s="20" t="str">
        <x:v>Russia</x:v>
      </x:c>
      <x:c r="E1941" s="20" t="str">
        <x:v>Russian influence</x:v>
      </x:c>
      <x:c r="F1941" s="20" t="str">
        <x:v>Security contractors</x:v>
      </x:c>
      <x:c r="G1941" s="384" t="n">
        <x:v>1</x:v>
      </x:c>
      <x:c r="H1941" s="396" t="n">
        <x:v>2</x:v>
      </x:c>
      <x:c r="I1941" s="20" t="str">
        <x:v>Council of the EU/Treasury Wagner-security source register</x:v>
      </x:c>
      <x:c r="J1941" s="397" t="str">
        <x:v>https://www.consilium.europa.eu/en/press/press-releases/2023/02/25/wagner-group-council-adds-11-individuals-and-7-entities-to-eu-sanctions-lists/</x:v>
      </x:c>
      <x:c r="K1941" s="20" t="str">
        <x:v>Primary source-register URL; automated screening score</x:v>
      </x:c>
      <x:c r="L1941" s="20" t="str">
        <x:v>2026-05-20</x:v>
      </x:c>
      <x:c r="M1941" s="20" t="str">
        <x:v>2026-05-20</x:v>
      </x:c>
      <x:c r="N1941" s="20" t="str">
        <x:v>GPT-5.5 Pro</x:v>
      </x:c>
      <x:c r="O1941" s="20" t="str">
        <x:v>Needs review</x:v>
      </x:c>
      <x:c r="P1941" s="20" t="str">
        <x:v>Screening score for Russia / Security contractors in Western Sahara; verify with country-specific evidence before final use.</x:v>
      </x:c>
    </x:row>
    <x:row r="1942" ht="24" customHeight="1">
      <x:c r="A1942" s="20" t="str">
        <x:v>ESH|China|Propaganda ecosystems</x:v>
      </x:c>
      <x:c r="B1942" s="20" t="str">
        <x:v>Western Sahara</x:v>
      </x:c>
      <x:c r="C1942" s="20" t="str">
        <x:v>ESH</x:v>
      </x:c>
      <x:c r="D1942" s="20" t="str">
        <x:v>China</x:v>
      </x:c>
      <x:c r="E1942" s="20" t="str">
        <x:v>Chinese influence</x:v>
      </x:c>
      <x:c r="F1942" s="20" t="str">
        <x:v>Propaganda ecosystems</x:v>
      </x:c>
      <x:c r="G1942" s="384" t="n">
        <x:v>5</x:v>
      </x:c>
      <x:c r="H1942" s="396" t="n">
        <x:v>3</x:v>
      </x:c>
      <x:c r="I1942" s="20" t="str">
        <x:v>EEAS/ODNI China FIMI source register</x:v>
      </x:c>
      <x:c r="J1942" s="397" t="str">
        <x:v>https://www.eeas.europa.eu/eeas/4th-eeas-annual-report-foreign-information-manipulation-and-interference-threats_en</x:v>
      </x:c>
      <x:c r="K1942" s="20" t="str">
        <x:v>Primary source-register URL; automated screening score</x:v>
      </x:c>
      <x:c r="L1942" s="20" t="str">
        <x:v>2026-05-20</x:v>
      </x:c>
      <x:c r="M1942" s="20" t="str">
        <x:v>2026-05-20</x:v>
      </x:c>
      <x:c r="N1942" s="20" t="str">
        <x:v>GPT-5.5 Pro</x:v>
      </x:c>
      <x:c r="O1942" s="20" t="str">
        <x:v>Needs review</x:v>
      </x:c>
      <x:c r="P1942" s="20" t="str">
        <x:v>Screening score for China / Propaganda ecosystems in Western Sahara; verify with country-specific evidence before final use.</x:v>
      </x:c>
    </x:row>
    <x:row r="1943" ht="24" customHeight="1">
      <x:c r="A1943" s="20" t="str">
        <x:v>ESH|China|PMC presence</x:v>
      </x:c>
      <x:c r="B1943" s="20" t="str">
        <x:v>Western Sahara</x:v>
      </x:c>
      <x:c r="C1943" s="20" t="str">
        <x:v>ESH</x:v>
      </x:c>
      <x:c r="D1943" s="20" t="str">
        <x:v>China</x:v>
      </x:c>
      <x:c r="E1943" s="20" t="str">
        <x:v>Chinese influence</x:v>
      </x:c>
      <x:c r="F1943" s="20" t="str">
        <x:v>PMC presence</x:v>
      </x:c>
      <x:c r="G1943" s="384" t="n">
        <x:v>1</x:v>
      </x:c>
      <x:c r="H1943" s="396" t="n">
        <x:v>2</x:v>
      </x:c>
      <x:c r="I1943" s="20" t="str">
        <x:v>MERICS/Carnegie Chinese overseas PSC source register</x:v>
      </x:c>
      <x:c r="J1943" s="397" t="str">
        <x:v>https://merics.org/en/report/guardians-belt-and-road</x:v>
      </x:c>
      <x:c r="K1943" s="20" t="str">
        <x:v>Primary source-register URL; automated screening score</x:v>
      </x:c>
      <x:c r="L1943" s="20" t="str">
        <x:v>2026-05-20</x:v>
      </x:c>
      <x:c r="M1943" s="20" t="str">
        <x:v>2026-05-20</x:v>
      </x:c>
      <x:c r="N1943" s="20" t="str">
        <x:v>GPT-5.5 Pro</x:v>
      </x:c>
      <x:c r="O1943" s="20" t="str">
        <x:v>Needs review</x:v>
      </x:c>
      <x:c r="P1943" s="20" t="str">
        <x:v>Screening score for China / PMC presence in Western Sahara; verify with country-specific evidence before final use.</x:v>
      </x:c>
    </x:row>
    <x:row r="1944" ht="24" customHeight="1">
      <x:c r="A1944" s="20" t="str">
        <x:v>ESH|China|Election interference</x:v>
      </x:c>
      <x:c r="B1944" s="20" t="str">
        <x:v>Western Sahara</x:v>
      </x:c>
      <x:c r="C1944" s="20" t="str">
        <x:v>ESH</x:v>
      </x:c>
      <x:c r="D1944" s="20" t="str">
        <x:v>China</x:v>
      </x:c>
      <x:c r="E1944" s="20" t="str">
        <x:v>Chinese influence</x:v>
      </x:c>
      <x:c r="F1944" s="20" t="str">
        <x:v>Election interference</x:v>
      </x:c>
      <x:c r="G1944" s="384" t="n">
        <x:v>1</x:v>
      </x:c>
      <x:c r="H1944" s="396" t="n">
        <x:v>2</x:v>
      </x:c>
      <x:c r="I1944" s="20" t="str">
        <x:v>EEAS/ODNI China election-FIMI source register</x:v>
      </x:c>
      <x:c r="J1944" s="397" t="str">
        <x:v>https://www.eeas.europa.eu/eeas/4th-eeas-annual-report-foreign-information-manipulation-and-interference-threats_en</x:v>
      </x:c>
      <x:c r="K1944" s="20" t="str">
        <x:v>Primary source-register URL; automated screening score</x:v>
      </x:c>
      <x:c r="L1944" s="20" t="str">
        <x:v>2026-05-20</x:v>
      </x:c>
      <x:c r="M1944" s="20" t="str">
        <x:v>2026-05-20</x:v>
      </x:c>
      <x:c r="N1944" s="20" t="str">
        <x:v>GPT-5.5 Pro</x:v>
      </x:c>
      <x:c r="O1944" s="20" t="str">
        <x:v>Needs review</x:v>
      </x:c>
      <x:c r="P1944" s="20" t="str">
        <x:v>Screening score for China / Election interference in Western Sahara; verify with country-specific evidence before final use.</x:v>
      </x:c>
    </x:row>
    <x:row r="1945" ht="24" customHeight="1">
      <x:c r="A1945" s="20" t="str">
        <x:v>ESH|China|Security contractors</x:v>
      </x:c>
      <x:c r="B1945" s="20" t="str">
        <x:v>Western Sahara</x:v>
      </x:c>
      <x:c r="C1945" s="20" t="str">
        <x:v>ESH</x:v>
      </x:c>
      <x:c r="D1945" s="20" t="str">
        <x:v>China</x:v>
      </x:c>
      <x:c r="E1945" s="20" t="str">
        <x:v>Chinese influence</x:v>
      </x:c>
      <x:c r="F1945" s="20" t="str">
        <x:v>Security contractors</x:v>
      </x:c>
      <x:c r="G1945" s="384" t="n">
        <x:v>1</x:v>
      </x:c>
      <x:c r="H1945" s="396" t="n">
        <x:v>2</x:v>
      </x:c>
      <x:c r="I1945" s="20" t="str">
        <x:v>MERICS/Carnegie Chinese security contractor source register</x:v>
      </x:c>
      <x:c r="J1945" s="397" t="str">
        <x:v>https://merics.org/en/report/guardians-belt-and-road</x:v>
      </x:c>
      <x:c r="K1945" s="20" t="str">
        <x:v>Primary source-register URL; automated screening score</x:v>
      </x:c>
      <x:c r="L1945" s="20" t="str">
        <x:v>2026-05-20</x:v>
      </x:c>
      <x:c r="M1945" s="20" t="str">
        <x:v>2026-05-20</x:v>
      </x:c>
      <x:c r="N1945" s="20" t="str">
        <x:v>GPT-5.5 Pro</x:v>
      </x:c>
      <x:c r="O1945" s="20" t="str">
        <x:v>Needs review</x:v>
      </x:c>
      <x:c r="P1945" s="20" t="str">
        <x:v>Screening score for China / Security contractors in Western Sahara; verify with country-specific evidence before final use.</x:v>
      </x:c>
    </x:row>
    <x:row r="1946" ht="24" customHeight="1">
      <x:c r="A1946" s="20" t="str">
        <x:v>ESH|United States|Propaganda ecosystems</x:v>
      </x:c>
      <x:c r="B1946" s="20" t="str">
        <x:v>Western Sahara</x:v>
      </x:c>
      <x:c r="C1946" s="20" t="str">
        <x:v>ESH</x:v>
      </x:c>
      <x:c r="D1946" s="20" t="str">
        <x:v>United States</x:v>
      </x:c>
      <x:c r="E1946" s="20" t="str">
        <x:v>American influence</x:v>
      </x:c>
      <x:c r="F1946" s="20" t="str">
        <x:v>Propaganda ecosystems</x:v>
      </x:c>
      <x:c r="G1946" s="384" t="n">
        <x:v>4</x:v>
      </x:c>
      <x:c r="H1946" s="396" t="n">
        <x:v>3</x:v>
      </x:c>
      <x:c r="I1946" s="20" t="str">
        <x:v>USAGM public media source register</x:v>
      </x:c>
      <x:c r="J1946" s="397" t="str">
        <x:v>https://www.usagm.gov/our-work/strategy-and-results/strategic-priorities/research-reports/</x:v>
      </x:c>
      <x:c r="K1946" s="20" t="str">
        <x:v>Primary source-register URL; automated screening score</x:v>
      </x:c>
      <x:c r="L1946" s="20" t="str">
        <x:v>2026-05-20</x:v>
      </x:c>
      <x:c r="M1946" s="20" t="str">
        <x:v>2026-05-20</x:v>
      </x:c>
      <x:c r="N1946" s="20" t="str">
        <x:v>GPT-5.5 Pro</x:v>
      </x:c>
      <x:c r="O1946" s="20" t="str">
        <x:v>Needs review</x:v>
      </x:c>
      <x:c r="P1946" s="20" t="str">
        <x:v>Screening score for United States / Propaganda ecosystems in Western Sahara; verify with country-specific evidence before final use.</x:v>
      </x:c>
    </x:row>
    <x:row r="1947" ht="24" customHeight="1">
      <x:c r="A1947" s="20" t="str">
        <x:v>ESH|United States|PMC presence</x:v>
      </x:c>
      <x:c r="B1947" s="20" t="str">
        <x:v>Western Sahara</x:v>
      </x:c>
      <x:c r="C1947" s="20" t="str">
        <x:v>ESH</x:v>
      </x:c>
      <x:c r="D1947" s="20" t="str">
        <x:v>United States</x:v>
      </x:c>
      <x:c r="E1947" s="20" t="str">
        <x:v>American influence</x:v>
      </x:c>
      <x:c r="F1947" s="20" t="str">
        <x:v>PMC presence</x:v>
      </x:c>
      <x:c r="G1947" s="384" t="n">
        <x:v>2</x:v>
      </x:c>
      <x:c r="H1947" s="396" t="n">
        <x:v>2</x:v>
      </x:c>
      <x:c r="I1947" s="20" t="str">
        <x:v>SAM/Greenbook U.S. security assistance contractor source register</x:v>
      </x:c>
      <x:c r="J1947" s="397" t="str">
        <x:v>https://internationalpolicy.org/programs/sam/</x:v>
      </x:c>
      <x:c r="K1947" s="20" t="str">
        <x:v>Primary source-register URL; automated screening score</x:v>
      </x:c>
      <x:c r="L1947" s="20" t="str">
        <x:v>2026-05-20</x:v>
      </x:c>
      <x:c r="M1947" s="20" t="str">
        <x:v>2026-05-20</x:v>
      </x:c>
      <x:c r="N1947" s="20" t="str">
        <x:v>GPT-5.5 Pro</x:v>
      </x:c>
      <x:c r="O1947" s="20" t="str">
        <x:v>Needs review</x:v>
      </x:c>
      <x:c r="P1947" s="20" t="str">
        <x:v>Screening score for United States / PMC presence in Western Sahara; verify with country-specific evidence before final use.</x:v>
      </x:c>
    </x:row>
    <x:row r="1948" ht="24" customHeight="1">
      <x:c r="A1948" s="20" t="str">
        <x:v>ESH|United States|Election interference</x:v>
      </x:c>
      <x:c r="B1948" s="20" t="str">
        <x:v>Western Sahara</x:v>
      </x:c>
      <x:c r="C1948" s="20" t="str">
        <x:v>ESH</x:v>
      </x:c>
      <x:c r="D1948" s="20" t="str">
        <x:v>United States</x:v>
      </x:c>
      <x:c r="E1948" s="20" t="str">
        <x:v>American influence</x:v>
      </x:c>
      <x:c r="F1948" s="20" t="str">
        <x:v>Election interference</x:v>
      </x:c>
      <x:c r="G1948" s="384" t="n">
        <x:v>2</x:v>
      </x:c>
      <x:c r="H1948" s="396" t="n">
        <x:v>2</x:v>
      </x:c>
      <x:c r="I1948" s="20" t="str">
        <x:v>NED/Greenbook democracy assistance source register</x:v>
      </x:c>
      <x:c r="J1948" s="397" t="str">
        <x:v>https://www.ned.org/ned-grantmaking/</x:v>
      </x:c>
      <x:c r="K1948" s="20" t="str">
        <x:v>Primary source-register URL; automated screening score</x:v>
      </x:c>
      <x:c r="L1948" s="20" t="str">
        <x:v>2026-05-20</x:v>
      </x:c>
      <x:c r="M1948" s="20" t="str">
        <x:v>2026-05-20</x:v>
      </x:c>
      <x:c r="N1948" s="20" t="str">
        <x:v>GPT-5.5 Pro</x:v>
      </x:c>
      <x:c r="O1948" s="20" t="str">
        <x:v>Needs review</x:v>
      </x:c>
      <x:c r="P1948" s="20" t="str">
        <x:v>Screening score for United States / Election interference in Western Sahara; verify with country-specific evidence before final use.</x:v>
      </x:c>
    </x:row>
    <x:row r="1949" ht="24" customHeight="1">
      <x:c r="A1949" s="20" t="str">
        <x:v>ESH|United States|Security contractors</x:v>
      </x:c>
      <x:c r="B1949" s="20" t="str">
        <x:v>Western Sahara</x:v>
      </x:c>
      <x:c r="C1949" s="20" t="str">
        <x:v>ESH</x:v>
      </x:c>
      <x:c r="D1949" s="20" t="str">
        <x:v>United States</x:v>
      </x:c>
      <x:c r="E1949" s="20" t="str">
        <x:v>American influence</x:v>
      </x:c>
      <x:c r="F1949" s="20" t="str">
        <x:v>Security contractors</x:v>
      </x:c>
      <x:c r="G1949" s="384" t="n">
        <x:v>3</x:v>
      </x:c>
      <x:c r="H1949" s="396" t="n">
        <x:v>3</x:v>
      </x:c>
      <x:c r="I1949" s="20" t="str">
        <x:v>SAM/Greenbook U.S. security contractor source register</x:v>
      </x:c>
      <x:c r="J1949" s="397" t="str">
        <x:v>https://internationalpolicy.org/programs/sam/</x:v>
      </x:c>
      <x:c r="K1949" s="20" t="str">
        <x:v>Primary source-register URL; automated screening score</x:v>
      </x:c>
      <x:c r="L1949" s="20" t="str">
        <x:v>2026-05-20</x:v>
      </x:c>
      <x:c r="M1949" s="20" t="str">
        <x:v>2026-05-20</x:v>
      </x:c>
      <x:c r="N1949" s="20" t="str">
        <x:v>GPT-5.5 Pro</x:v>
      </x:c>
      <x:c r="O1949" s="20" t="str">
        <x:v>Needs review</x:v>
      </x:c>
      <x:c r="P1949" s="20" t="str">
        <x:v>Screening score for United States / Security contractors in Western Sahara; verify with country-specific evidence before final use.</x:v>
      </x:c>
    </x:row>
    <x:row r="1950" ht="24" customHeight="1">
      <x:c r="A1950" s="20" t="str">
        <x:v>ESH|European Union|Propaganda ecosystems</x:v>
      </x:c>
      <x:c r="B1950" s="20" t="str">
        <x:v>Western Sahara</x:v>
      </x:c>
      <x:c r="C1950" s="20" t="str">
        <x:v>ESH</x:v>
      </x:c>
      <x:c r="D1950" s="20" t="str">
        <x:v>European Union</x:v>
      </x:c>
      <x:c r="E1950" s="20" t="str">
        <x:v>EU influence</x:v>
      </x:c>
      <x:c r="F1950" s="20" t="str">
        <x:v>Propaganda ecosystems</x:v>
      </x:c>
      <x:c r="G1950" s="384" t="n">
        <x:v>3</x:v>
      </x:c>
      <x:c r="H1950" s="396" t="n">
        <x:v>3</x:v>
      </x:c>
      <x:c r="I1950" s="20" t="str">
        <x:v>EEAS public diplomacy source register</x:v>
      </x:c>
      <x:c r="J1950" s="397" t="str">
        <x:v>https://www.eeas.europa.eu/eeas/public-diplomacy_en</x:v>
      </x:c>
      <x:c r="K1950" s="20" t="str">
        <x:v>Primary source-register URL; automated screening score</x:v>
      </x:c>
      <x:c r="L1950" s="20" t="str">
        <x:v>2026-05-20</x:v>
      </x:c>
      <x:c r="M1950" s="20" t="str">
        <x:v>2026-05-20</x:v>
      </x:c>
      <x:c r="N1950" s="20" t="str">
        <x:v>GPT-5.5 Pro</x:v>
      </x:c>
      <x:c r="O1950" s="20" t="str">
        <x:v>Needs review</x:v>
      </x:c>
      <x:c r="P1950" s="20" t="str">
        <x:v>Screening score for European Union / Propaganda ecosystems in Western Sahara; verify with country-specific evidence before final use.</x:v>
      </x:c>
    </x:row>
    <x:row r="1951" ht="24" customHeight="1">
      <x:c r="A1951" s="20" t="str">
        <x:v>ESH|European Union|PMC presence</x:v>
      </x:c>
      <x:c r="B1951" s="20" t="str">
        <x:v>Western Sahara</x:v>
      </x:c>
      <x:c r="C1951" s="20" t="str">
        <x:v>ESH</x:v>
      </x:c>
      <x:c r="D1951" s="20" t="str">
        <x:v>European Union</x:v>
      </x:c>
      <x:c r="E1951" s="20" t="str">
        <x:v>EU influence</x:v>
      </x:c>
      <x:c r="F1951" s="20" t="str">
        <x:v>PMC presence</x:v>
      </x:c>
      <x:c r="G1951" s="384" t="n">
        <x:v>0</x:v>
      </x:c>
      <x:c r="H1951" s="396" t="n">
        <x:v>1</x:v>
      </x:c>
      <x:c r="I1951" s="20" t="str">
        <x:v>EEAS CSDP missions source register</x:v>
      </x:c>
      <x:c r="J1951" s="397" t="str">
        <x:v>https://www.eeas.europa.eu/eeas/missions-and-operations_en</x:v>
      </x:c>
      <x:c r="K1951" s="20" t="str">
        <x:v>Primary source-register URL; automated screening score</x:v>
      </x:c>
      <x:c r="L1951" s="20" t="str">
        <x:v>2026-05-20</x:v>
      </x:c>
      <x:c r="M1951" s="20" t="str">
        <x:v>2026-05-20</x:v>
      </x:c>
      <x:c r="N1951" s="20" t="str">
        <x:v>GPT-5.5 Pro</x:v>
      </x:c>
      <x:c r="O1951" s="20" t="str">
        <x:v>Needs review</x:v>
      </x:c>
      <x:c r="P1951" s="20" t="str">
        <x:v>Screening score for European Union / PMC presence in Western Sahara; verify with country-specific evidence before final use.</x:v>
      </x:c>
    </x:row>
    <x:row r="1952" ht="24" customHeight="1">
      <x:c r="A1952" s="20" t="str">
        <x:v>ESH|European Union|Election interference</x:v>
      </x:c>
      <x:c r="B1952" s="20" t="str">
        <x:v>Western Sahara</x:v>
      </x:c>
      <x:c r="C1952" s="20" t="str">
        <x:v>ESH</x:v>
      </x:c>
      <x:c r="D1952" s="20" t="str">
        <x:v>European Union</x:v>
      </x:c>
      <x:c r="E1952" s="20" t="str">
        <x:v>EU influence</x:v>
      </x:c>
      <x:c r="F1952" s="20" t="str">
        <x:v>Election interference</x:v>
      </x:c>
      <x:c r="G1952" s="384" t="n">
        <x:v>1</x:v>
      </x:c>
      <x:c r="H1952" s="396" t="n">
        <x:v>2</x:v>
      </x:c>
      <x:c r="I1952" s="20" t="str">
        <x:v>EEAS EU election observation source register</x:v>
      </x:c>
      <x:c r="J1952" s="397" t="str">
        <x:v>https://www.eeas.europa.eu/eeas/eu-election-observation-missions-1_en?page_lang=en</x:v>
      </x:c>
      <x:c r="K1952" s="20" t="str">
        <x:v>Primary source-register URL; automated screening score</x:v>
      </x:c>
      <x:c r="L1952" s="20" t="str">
        <x:v>2026-05-20</x:v>
      </x:c>
      <x:c r="M1952" s="20" t="str">
        <x:v>2026-05-20</x:v>
      </x:c>
      <x:c r="N1952" s="20" t="str">
        <x:v>GPT-5.5 Pro</x:v>
      </x:c>
      <x:c r="O1952" s="20" t="str">
        <x:v>Needs review</x:v>
      </x:c>
      <x:c r="P1952" s="20" t="str">
        <x:v>Screening score for European Union / Election interference in Western Sahara; verify with country-specific evidence before final use.</x:v>
      </x:c>
    </x:row>
    <x:row r="1953" ht="24" customHeight="1">
      <x:c r="A1953" s="20" t="str">
        <x:v>ESH|European Union|Security contractors</x:v>
      </x:c>
      <x:c r="B1953" s="20" t="str">
        <x:v>Western Sahara</x:v>
      </x:c>
      <x:c r="C1953" s="20" t="str">
        <x:v>ESH</x:v>
      </x:c>
      <x:c r="D1953" s="20" t="str">
        <x:v>European Union</x:v>
      </x:c>
      <x:c r="E1953" s="20" t="str">
        <x:v>EU influence</x:v>
      </x:c>
      <x:c r="F1953" s="20" t="str">
        <x:v>Security contractors</x:v>
      </x:c>
      <x:c r="G1953" s="384" t="n">
        <x:v>2</x:v>
      </x:c>
      <x:c r="H1953" s="396" t="n">
        <x:v>2</x:v>
      </x:c>
      <x:c r="I1953" s="20" t="str">
        <x:v>EEAS CSDP / Global Gateway security source register</x:v>
      </x:c>
      <x:c r="J1953" s="397" t="str">
        <x:v>https://www.eeas.europa.eu/eeas/missions-and-operations_en</x:v>
      </x:c>
      <x:c r="K1953" s="20" t="str">
        <x:v>Primary source-register URL; automated screening score</x:v>
      </x:c>
      <x:c r="L1953" s="20" t="str">
        <x:v>2026-05-20</x:v>
      </x:c>
      <x:c r="M1953" s="20" t="str">
        <x:v>2026-05-20</x:v>
      </x:c>
      <x:c r="N1953" s="20" t="str">
        <x:v>GPT-5.5 Pro</x:v>
      </x:c>
      <x:c r="O1953" s="20" t="str">
        <x:v>Needs review</x:v>
      </x:c>
      <x:c r="P1953" s="20" t="str">
        <x:v>Screening score for European Union / Security contractors in Western Sahara; verify with country-specific evidence before final use.</x:v>
      </x:c>
    </x:row>
    <x:row r="1954" ht="24" customHeight="1">
      <x:c r="A1954" s="20" t="str">
        <x:v>ZWE|Russia|Propaganda ecosystems</x:v>
      </x:c>
      <x:c r="B1954" s="20" t="str">
        <x:v>Zimbabwe</x:v>
      </x:c>
      <x:c r="C1954" s="20" t="str">
        <x:v>ZWE</x:v>
      </x:c>
      <x:c r="D1954" s="20" t="str">
        <x:v>Russia</x:v>
      </x:c>
      <x:c r="E1954" s="20" t="str">
        <x:v>Russian influence</x:v>
      </x:c>
      <x:c r="F1954" s="20" t="str">
        <x:v>Propaganda ecosystems</x:v>
      </x:c>
      <x:c r="G1954" s="384" t="n">
        <x:v>5</x:v>
      </x:c>
      <x:c r="H1954" s="396" t="n">
        <x:v>3</x:v>
      </x:c>
      <x:c r="I1954" s="20" t="str">
        <x:v>EEAS/EUvsDisinfo FIMI source register</x:v>
      </x:c>
      <x:c r="J1954" s="397" t="str">
        <x:v>https://www.eeas.europa.eu/eeas/4th-eeas-annual-report-foreign-information-manipulation-and-interference-threats_en</x:v>
      </x:c>
      <x:c r="K1954" s="20" t="str">
        <x:v>Primary source-register URL; automated screening score</x:v>
      </x:c>
      <x:c r="L1954" s="20" t="str">
        <x:v>2026-05-20</x:v>
      </x:c>
      <x:c r="M1954" s="20" t="str">
        <x:v>2026-05-20</x:v>
      </x:c>
      <x:c r="N1954" s="20" t="str">
        <x:v>GPT-5.5 Pro</x:v>
      </x:c>
      <x:c r="O1954" s="20" t="str">
        <x:v>Needs review</x:v>
      </x:c>
      <x:c r="P1954" s="20" t="str">
        <x:v>Screening score for Russia / Propaganda ecosystems in Zimbabwe; verify with country-specific evidence before final use.</x:v>
      </x:c>
    </x:row>
    <x:row r="1955" ht="24" customHeight="1">
      <x:c r="A1955" s="20" t="str">
        <x:v>ZWE|Russia|PMC presence</x:v>
      </x:c>
      <x:c r="B1955" s="20" t="str">
        <x:v>Zimbabwe</x:v>
      </x:c>
      <x:c r="C1955" s="20" t="str">
        <x:v>ZWE</x:v>
      </x:c>
      <x:c r="D1955" s="20" t="str">
        <x:v>Russia</x:v>
      </x:c>
      <x:c r="E1955" s="20" t="str">
        <x:v>Russian influence</x:v>
      </x:c>
      <x:c r="F1955" s="20" t="str">
        <x:v>PMC presence</x:v>
      </x:c>
      <x:c r="G1955" s="384" t="n">
        <x:v>3</x:v>
      </x:c>
      <x:c r="H1955" s="396" t="n">
        <x:v>3</x:v>
      </x:c>
      <x:c r="I1955" s="20" t="str">
        <x:v>Treasury and Council of the EU Wagner/PMC source register</x:v>
      </x:c>
      <x:c r="J1955" s="397" t="str">
        <x:v>https://www.consilium.europa.eu/en/press/press-releases/2023/02/25/wagner-group-council-adds-11-individuals-and-7-entities-to-eu-sanctions-lists/</x:v>
      </x:c>
      <x:c r="K1955" s="20" t="str">
        <x:v>Primary source-register URL; automated screening score</x:v>
      </x:c>
      <x:c r="L1955" s="20" t="str">
        <x:v>2026-05-20</x:v>
      </x:c>
      <x:c r="M1955" s="20" t="str">
        <x:v>2026-05-20</x:v>
      </x:c>
      <x:c r="N1955" s="20" t="str">
        <x:v>GPT-5.5 Pro</x:v>
      </x:c>
      <x:c r="O1955" s="20" t="str">
        <x:v>Needs review</x:v>
      </x:c>
      <x:c r="P1955" s="20" t="str">
        <x:v>Screening score for Russia / PMC presence in Zimbabwe; verify with country-specific evidence before final use.</x:v>
      </x:c>
    </x:row>
    <x:row r="1956" ht="24" customHeight="1">
      <x:c r="A1956" s="20" t="str">
        <x:v>ZWE|Russia|Election interference</x:v>
      </x:c>
      <x:c r="B1956" s="20" t="str">
        <x:v>Zimbabwe</x:v>
      </x:c>
      <x:c r="C1956" s="20" t="str">
        <x:v>ZWE</x:v>
      </x:c>
      <x:c r="D1956" s="20" t="str">
        <x:v>Russia</x:v>
      </x:c>
      <x:c r="E1956" s="20" t="str">
        <x:v>Russian influence</x:v>
      </x:c>
      <x:c r="F1956" s="20" t="str">
        <x:v>Election interference</x:v>
      </x:c>
      <x:c r="G1956" s="384" t="n">
        <x:v>1</x:v>
      </x:c>
      <x:c r="H1956" s="396" t="n">
        <x:v>2</x:v>
      </x:c>
      <x:c r="I1956" s="20" t="str">
        <x:v>ODNI/EEAS election-FIMI source register</x:v>
      </x:c>
      <x:c r="J1956" s="397" t="str">
        <x:v>https://www.dni.gov/files/ODNI/documents/assessments/ATA-2026-Unclassified-Report.pdf</x:v>
      </x:c>
      <x:c r="K1956" s="20" t="str">
        <x:v>Primary source-register URL; automated screening score</x:v>
      </x:c>
      <x:c r="L1956" s="20" t="str">
        <x:v>2026-05-20</x:v>
      </x:c>
      <x:c r="M1956" s="20" t="str">
        <x:v>2026-05-20</x:v>
      </x:c>
      <x:c r="N1956" s="20" t="str">
        <x:v>GPT-5.5 Pro</x:v>
      </x:c>
      <x:c r="O1956" s="20" t="str">
        <x:v>Needs review</x:v>
      </x:c>
      <x:c r="P1956" s="20" t="str">
        <x:v>Screening score for Russia / Election interference in Zimbabwe; verify with country-specific evidence before final use.</x:v>
      </x:c>
    </x:row>
    <x:row r="1957" ht="24" customHeight="1">
      <x:c r="A1957" s="20" t="str">
        <x:v>ZWE|Russia|Security contractors</x:v>
      </x:c>
      <x:c r="B1957" s="20" t="str">
        <x:v>Zimbabwe</x:v>
      </x:c>
      <x:c r="C1957" s="20" t="str">
        <x:v>ZWE</x:v>
      </x:c>
      <x:c r="D1957" s="20" t="str">
        <x:v>Russia</x:v>
      </x:c>
      <x:c r="E1957" s="20" t="str">
        <x:v>Russian influence</x:v>
      </x:c>
      <x:c r="F1957" s="20" t="str">
        <x:v>Security contractors</x:v>
      </x:c>
      <x:c r="G1957" s="384" t="n">
        <x:v>3</x:v>
      </x:c>
      <x:c r="H1957" s="396" t="n">
        <x:v>3</x:v>
      </x:c>
      <x:c r="I1957" s="20" t="str">
        <x:v>Council of the EU/Treasury Wagner-security source register</x:v>
      </x:c>
      <x:c r="J1957" s="397" t="str">
        <x:v>https://www.consilium.europa.eu/en/press/press-releases/2023/02/25/wagner-group-council-adds-11-individuals-and-7-entities-to-eu-sanctions-lists/</x:v>
      </x:c>
      <x:c r="K1957" s="20" t="str">
        <x:v>Primary source-register URL; automated screening score</x:v>
      </x:c>
      <x:c r="L1957" s="20" t="str">
        <x:v>2026-05-20</x:v>
      </x:c>
      <x:c r="M1957" s="20" t="str">
        <x:v>2026-05-20</x:v>
      </x:c>
      <x:c r="N1957" s="20" t="str">
        <x:v>GPT-5.5 Pro</x:v>
      </x:c>
      <x:c r="O1957" s="20" t="str">
        <x:v>Needs review</x:v>
      </x:c>
      <x:c r="P1957" s="20" t="str">
        <x:v>Screening score for Russia / Security contractors in Zimbabwe; verify with country-specific evidence before final use.</x:v>
      </x:c>
    </x:row>
    <x:row r="1958" ht="24" customHeight="1">
      <x:c r="A1958" s="20" t="str">
        <x:v>ZWE|China|Propaganda ecosystems</x:v>
      </x:c>
      <x:c r="B1958" s="20" t="str">
        <x:v>Zimbabwe</x:v>
      </x:c>
      <x:c r="C1958" s="20" t="str">
        <x:v>ZWE</x:v>
      </x:c>
      <x:c r="D1958" s="20" t="str">
        <x:v>China</x:v>
      </x:c>
      <x:c r="E1958" s="20" t="str">
        <x:v>Chinese influence</x:v>
      </x:c>
      <x:c r="F1958" s="20" t="str">
        <x:v>Propaganda ecosystems</x:v>
      </x:c>
      <x:c r="G1958" s="384" t="n">
        <x:v>5</x:v>
      </x:c>
      <x:c r="H1958" s="396" t="n">
        <x:v>3</x:v>
      </x:c>
      <x:c r="I1958" s="20" t="str">
        <x:v>EEAS/ODNI China FIMI source register</x:v>
      </x:c>
      <x:c r="J1958" s="397" t="str">
        <x:v>https://www.eeas.europa.eu/eeas/4th-eeas-annual-report-foreign-information-manipulation-and-interference-threats_en</x:v>
      </x:c>
      <x:c r="K1958" s="20" t="str">
        <x:v>Primary source-register URL; automated screening score</x:v>
      </x:c>
      <x:c r="L1958" s="20" t="str">
        <x:v>2026-05-20</x:v>
      </x:c>
      <x:c r="M1958" s="20" t="str">
        <x:v>2026-05-20</x:v>
      </x:c>
      <x:c r="N1958" s="20" t="str">
        <x:v>GPT-5.5 Pro</x:v>
      </x:c>
      <x:c r="O1958" s="20" t="str">
        <x:v>Needs review</x:v>
      </x:c>
      <x:c r="P1958" s="20" t="str">
        <x:v>Screening score for China / Propaganda ecosystems in Zimbabwe; verify with country-specific evidence before final use.</x:v>
      </x:c>
    </x:row>
    <x:row r="1959" ht="24" customHeight="1">
      <x:c r="A1959" s="20" t="str">
        <x:v>ZWE|China|PMC presence</x:v>
      </x:c>
      <x:c r="B1959" s="20" t="str">
        <x:v>Zimbabwe</x:v>
      </x:c>
      <x:c r="C1959" s="20" t="str">
        <x:v>ZWE</x:v>
      </x:c>
      <x:c r="D1959" s="20" t="str">
        <x:v>China</x:v>
      </x:c>
      <x:c r="E1959" s="20" t="str">
        <x:v>Chinese influence</x:v>
      </x:c>
      <x:c r="F1959" s="20" t="str">
        <x:v>PMC presence</x:v>
      </x:c>
      <x:c r="G1959" s="384" t="n">
        <x:v>2</x:v>
      </x:c>
      <x:c r="H1959" s="396" t="n">
        <x:v>2</x:v>
      </x:c>
      <x:c r="I1959" s="20" t="str">
        <x:v>MERICS/Carnegie Chinese overseas PSC source register</x:v>
      </x:c>
      <x:c r="J1959" s="397" t="str">
        <x:v>https://merics.org/en/report/guardians-belt-and-road</x:v>
      </x:c>
      <x:c r="K1959" s="20" t="str">
        <x:v>Primary source-register URL; automated screening score</x:v>
      </x:c>
      <x:c r="L1959" s="20" t="str">
        <x:v>2026-05-20</x:v>
      </x:c>
      <x:c r="M1959" s="20" t="str">
        <x:v>2026-05-20</x:v>
      </x:c>
      <x:c r="N1959" s="20" t="str">
        <x:v>GPT-5.5 Pro</x:v>
      </x:c>
      <x:c r="O1959" s="20" t="str">
        <x:v>Needs review</x:v>
      </x:c>
      <x:c r="P1959" s="20" t="str">
        <x:v>Screening score for China / PMC presence in Zimbabwe; verify with country-specific evidence before final use.</x:v>
      </x:c>
    </x:row>
    <x:row r="1960" ht="24" customHeight="1">
      <x:c r="A1960" s="20" t="str">
        <x:v>ZWE|China|Election interference</x:v>
      </x:c>
      <x:c r="B1960" s="20" t="str">
        <x:v>Zimbabwe</x:v>
      </x:c>
      <x:c r="C1960" s="20" t="str">
        <x:v>ZWE</x:v>
      </x:c>
      <x:c r="D1960" s="20" t="str">
        <x:v>China</x:v>
      </x:c>
      <x:c r="E1960" s="20" t="str">
        <x:v>Chinese influence</x:v>
      </x:c>
      <x:c r="F1960" s="20" t="str">
        <x:v>Election interference</x:v>
      </x:c>
      <x:c r="G1960" s="384" t="n">
        <x:v>1</x:v>
      </x:c>
      <x:c r="H1960" s="396" t="n">
        <x:v>2</x:v>
      </x:c>
      <x:c r="I1960" s="20" t="str">
        <x:v>EEAS/ODNI China election-FIMI source register</x:v>
      </x:c>
      <x:c r="J1960" s="397" t="str">
        <x:v>https://www.eeas.europa.eu/eeas/4th-eeas-annual-report-foreign-information-manipulation-and-interference-threats_en</x:v>
      </x:c>
      <x:c r="K1960" s="20" t="str">
        <x:v>Primary source-register URL; automated screening score</x:v>
      </x:c>
      <x:c r="L1960" s="20" t="str">
        <x:v>2026-05-20</x:v>
      </x:c>
      <x:c r="M1960" s="20" t="str">
        <x:v>2026-05-20</x:v>
      </x:c>
      <x:c r="N1960" s="20" t="str">
        <x:v>GPT-5.5 Pro</x:v>
      </x:c>
      <x:c r="O1960" s="20" t="str">
        <x:v>Needs review</x:v>
      </x:c>
      <x:c r="P1960" s="20" t="str">
        <x:v>Screening score for China / Election interference in Zimbabwe; verify with country-specific evidence before final use.</x:v>
      </x:c>
    </x:row>
    <x:row r="1961" ht="24" customHeight="1">
      <x:c r="A1961" s="20" t="str">
        <x:v>ZWE|China|Security contractors</x:v>
      </x:c>
      <x:c r="B1961" s="20" t="str">
        <x:v>Zimbabwe</x:v>
      </x:c>
      <x:c r="C1961" s="20" t="str">
        <x:v>ZWE</x:v>
      </x:c>
      <x:c r="D1961" s="20" t="str">
        <x:v>China</x:v>
      </x:c>
      <x:c r="E1961" s="20" t="str">
        <x:v>Chinese influence</x:v>
      </x:c>
      <x:c r="F1961" s="20" t="str">
        <x:v>Security contractors</x:v>
      </x:c>
      <x:c r="G1961" s="384" t="n">
        <x:v>3</x:v>
      </x:c>
      <x:c r="H1961" s="396" t="n">
        <x:v>3</x:v>
      </x:c>
      <x:c r="I1961" s="20" t="str">
        <x:v>MERICS/Carnegie Chinese security contractor source register</x:v>
      </x:c>
      <x:c r="J1961" s="397" t="str">
        <x:v>https://merics.org/en/report/guardians-belt-and-road</x:v>
      </x:c>
      <x:c r="K1961" s="20" t="str">
        <x:v>Primary source-register URL; automated screening score</x:v>
      </x:c>
      <x:c r="L1961" s="20" t="str">
        <x:v>2026-05-20</x:v>
      </x:c>
      <x:c r="M1961" s="20" t="str">
        <x:v>2026-05-20</x:v>
      </x:c>
      <x:c r="N1961" s="20" t="str">
        <x:v>GPT-5.5 Pro</x:v>
      </x:c>
      <x:c r="O1961" s="20" t="str">
        <x:v>Needs review</x:v>
      </x:c>
      <x:c r="P1961" s="20" t="str">
        <x:v>Screening score for China / Security contractors in Zimbabwe; verify with country-specific evidence before final use.</x:v>
      </x:c>
    </x:row>
    <x:row r="1962" ht="24" customHeight="1">
      <x:c r="A1962" s="20" t="str">
        <x:v>ZWE|United States|Propaganda ecosystems</x:v>
      </x:c>
      <x:c r="B1962" s="20" t="str">
        <x:v>Zimbabwe</x:v>
      </x:c>
      <x:c r="C1962" s="20" t="str">
        <x:v>ZWE</x:v>
      </x:c>
      <x:c r="D1962" s="20" t="str">
        <x:v>United States</x:v>
      </x:c>
      <x:c r="E1962" s="20" t="str">
        <x:v>American influence</x:v>
      </x:c>
      <x:c r="F1962" s="20" t="str">
        <x:v>Propaganda ecosystems</x:v>
      </x:c>
      <x:c r="G1962" s="384" t="n">
        <x:v>4</x:v>
      </x:c>
      <x:c r="H1962" s="396" t="n">
        <x:v>3</x:v>
      </x:c>
      <x:c r="I1962" s="20" t="str">
        <x:v>USAGM public media source register</x:v>
      </x:c>
      <x:c r="J1962" s="397" t="str">
        <x:v>https://www.usagm.gov/our-work/strategy-and-results/strategic-priorities/research-reports/</x:v>
      </x:c>
      <x:c r="K1962" s="20" t="str">
        <x:v>Primary source-register URL; automated screening score</x:v>
      </x:c>
      <x:c r="L1962" s="20" t="str">
        <x:v>2026-05-20</x:v>
      </x:c>
      <x:c r="M1962" s="20" t="str">
        <x:v>2026-05-20</x:v>
      </x:c>
      <x:c r="N1962" s="20" t="str">
        <x:v>GPT-5.5 Pro</x:v>
      </x:c>
      <x:c r="O1962" s="20" t="str">
        <x:v>Needs review</x:v>
      </x:c>
      <x:c r="P1962" s="20" t="str">
        <x:v>Screening score for United States / Propaganda ecosystems in Zimbabwe; verify with country-specific evidence before final use.</x:v>
      </x:c>
    </x:row>
    <x:row r="1963" ht="24" customHeight="1">
      <x:c r="A1963" s="20" t="str">
        <x:v>ZWE|United States|PMC presence</x:v>
      </x:c>
      <x:c r="B1963" s="20" t="str">
        <x:v>Zimbabwe</x:v>
      </x:c>
      <x:c r="C1963" s="20" t="str">
        <x:v>ZWE</x:v>
      </x:c>
      <x:c r="D1963" s="20" t="str">
        <x:v>United States</x:v>
      </x:c>
      <x:c r="E1963" s="20" t="str">
        <x:v>American influence</x:v>
      </x:c>
      <x:c r="F1963" s="20" t="str">
        <x:v>PMC presence</x:v>
      </x:c>
      <x:c r="G1963" s="384" t="n">
        <x:v>2</x:v>
      </x:c>
      <x:c r="H1963" s="396" t="n">
        <x:v>2</x:v>
      </x:c>
      <x:c r="I1963" s="20" t="str">
        <x:v>SAM/Greenbook U.S. security assistance contractor source register</x:v>
      </x:c>
      <x:c r="J1963" s="397" t="str">
        <x:v>https://internationalpolicy.org/programs/sam/</x:v>
      </x:c>
      <x:c r="K1963" s="20" t="str">
        <x:v>Primary source-register URL; automated screening score</x:v>
      </x:c>
      <x:c r="L1963" s="20" t="str">
        <x:v>2026-05-20</x:v>
      </x:c>
      <x:c r="M1963" s="20" t="str">
        <x:v>2026-05-20</x:v>
      </x:c>
      <x:c r="N1963" s="20" t="str">
        <x:v>GPT-5.5 Pro</x:v>
      </x:c>
      <x:c r="O1963" s="20" t="str">
        <x:v>Needs review</x:v>
      </x:c>
      <x:c r="P1963" s="20" t="str">
        <x:v>Screening score for United States / PMC presence in Zimbabwe; verify with country-specific evidence before final use.</x:v>
      </x:c>
    </x:row>
    <x:row r="1964" ht="24" customHeight="1">
      <x:c r="A1964" s="20" t="str">
        <x:v>ZWE|United States|Election interference</x:v>
      </x:c>
      <x:c r="B1964" s="20" t="str">
        <x:v>Zimbabwe</x:v>
      </x:c>
      <x:c r="C1964" s="20" t="str">
        <x:v>ZWE</x:v>
      </x:c>
      <x:c r="D1964" s="20" t="str">
        <x:v>United States</x:v>
      </x:c>
      <x:c r="E1964" s="20" t="str">
        <x:v>American influence</x:v>
      </x:c>
      <x:c r="F1964" s="20" t="str">
        <x:v>Election interference</x:v>
      </x:c>
      <x:c r="G1964" s="384" t="n">
        <x:v>2</x:v>
      </x:c>
      <x:c r="H1964" s="396" t="n">
        <x:v>2</x:v>
      </x:c>
      <x:c r="I1964" s="20" t="str">
        <x:v>NED/Greenbook democracy assistance source register</x:v>
      </x:c>
      <x:c r="J1964" s="397" t="str">
        <x:v>https://www.ned.org/ned-grantmaking/</x:v>
      </x:c>
      <x:c r="K1964" s="20" t="str">
        <x:v>Primary source-register URL; automated screening score</x:v>
      </x:c>
      <x:c r="L1964" s="20" t="str">
        <x:v>2026-05-20</x:v>
      </x:c>
      <x:c r="M1964" s="20" t="str">
        <x:v>2026-05-20</x:v>
      </x:c>
      <x:c r="N1964" s="20" t="str">
        <x:v>GPT-5.5 Pro</x:v>
      </x:c>
      <x:c r="O1964" s="20" t="str">
        <x:v>Needs review</x:v>
      </x:c>
      <x:c r="P1964" s="20" t="str">
        <x:v>Screening score for United States / Election interference in Zimbabwe; verify with country-specific evidence before final use.</x:v>
      </x:c>
    </x:row>
    <x:row r="1965" ht="24" customHeight="1">
      <x:c r="A1965" s="20" t="str">
        <x:v>ZWE|United States|Security contractors</x:v>
      </x:c>
      <x:c r="B1965" s="20" t="str">
        <x:v>Zimbabwe</x:v>
      </x:c>
      <x:c r="C1965" s="20" t="str">
        <x:v>ZWE</x:v>
      </x:c>
      <x:c r="D1965" s="20" t="str">
        <x:v>United States</x:v>
      </x:c>
      <x:c r="E1965" s="20" t="str">
        <x:v>American influence</x:v>
      </x:c>
      <x:c r="F1965" s="20" t="str">
        <x:v>Security contractors</x:v>
      </x:c>
      <x:c r="G1965" s="384" t="n">
        <x:v>3</x:v>
      </x:c>
      <x:c r="H1965" s="396" t="n">
        <x:v>3</x:v>
      </x:c>
      <x:c r="I1965" s="20" t="str">
        <x:v>SAM/Greenbook U.S. security contractor source register</x:v>
      </x:c>
      <x:c r="J1965" s="397" t="str">
        <x:v>https://internationalpolicy.org/programs/sam/</x:v>
      </x:c>
      <x:c r="K1965" s="20" t="str">
        <x:v>Primary source-register URL; automated screening score</x:v>
      </x:c>
      <x:c r="L1965" s="20" t="str">
        <x:v>2026-05-20</x:v>
      </x:c>
      <x:c r="M1965" s="20" t="str">
        <x:v>2026-05-20</x:v>
      </x:c>
      <x:c r="N1965" s="20" t="str">
        <x:v>GPT-5.5 Pro</x:v>
      </x:c>
      <x:c r="O1965" s="20" t="str">
        <x:v>Needs review</x:v>
      </x:c>
      <x:c r="P1965" s="20" t="str">
        <x:v>Screening score for United States / Security contractors in Zimbabwe; verify with country-specific evidence before final use.</x:v>
      </x:c>
    </x:row>
    <x:row r="1966" ht="24" customHeight="1">
      <x:c r="A1966" s="20" t="str">
        <x:v>ZWE|European Union|Propaganda ecosystems</x:v>
      </x:c>
      <x:c r="B1966" s="20" t="str">
        <x:v>Zimbabwe</x:v>
      </x:c>
      <x:c r="C1966" s="20" t="str">
        <x:v>ZWE</x:v>
      </x:c>
      <x:c r="D1966" s="20" t="str">
        <x:v>European Union</x:v>
      </x:c>
      <x:c r="E1966" s="20" t="str">
        <x:v>EU influence</x:v>
      </x:c>
      <x:c r="F1966" s="20" t="str">
        <x:v>Propaganda ecosystems</x:v>
      </x:c>
      <x:c r="G1966" s="384" t="n">
        <x:v>3</x:v>
      </x:c>
      <x:c r="H1966" s="396" t="n">
        <x:v>3</x:v>
      </x:c>
      <x:c r="I1966" s="20" t="str">
        <x:v>EEAS public diplomacy source register</x:v>
      </x:c>
      <x:c r="J1966" s="397" t="str">
        <x:v>https://www.eeas.europa.eu/eeas/public-diplomacy_en</x:v>
      </x:c>
      <x:c r="K1966" s="20" t="str">
        <x:v>Primary source-register URL; automated screening score</x:v>
      </x:c>
      <x:c r="L1966" s="20" t="str">
        <x:v>2026-05-20</x:v>
      </x:c>
      <x:c r="M1966" s="20" t="str">
        <x:v>2026-05-20</x:v>
      </x:c>
      <x:c r="N1966" s="20" t="str">
        <x:v>GPT-5.5 Pro</x:v>
      </x:c>
      <x:c r="O1966" s="20" t="str">
        <x:v>Needs review</x:v>
      </x:c>
      <x:c r="P1966" s="20" t="str">
        <x:v>Screening score for European Union / Propaganda ecosystems in Zimbabwe; verify with country-specific evidence before final use.</x:v>
      </x:c>
    </x:row>
    <x:row r="1967" ht="24" customHeight="1">
      <x:c r="A1967" s="20" t="str">
        <x:v>ZWE|European Union|PMC presence</x:v>
      </x:c>
      <x:c r="B1967" s="20" t="str">
        <x:v>Zimbabwe</x:v>
      </x:c>
      <x:c r="C1967" s="20" t="str">
        <x:v>ZWE</x:v>
      </x:c>
      <x:c r="D1967" s="20" t="str">
        <x:v>European Union</x:v>
      </x:c>
      <x:c r="E1967" s="20" t="str">
        <x:v>EU influence</x:v>
      </x:c>
      <x:c r="F1967" s="20" t="str">
        <x:v>PMC presence</x:v>
      </x:c>
      <x:c r="G1967" s="384" t="n">
        <x:v>0</x:v>
      </x:c>
      <x:c r="H1967" s="396" t="n">
        <x:v>1</x:v>
      </x:c>
      <x:c r="I1967" s="20" t="str">
        <x:v>EEAS CSDP missions source register</x:v>
      </x:c>
      <x:c r="J1967" s="397" t="str">
        <x:v>https://www.eeas.europa.eu/eeas/missions-and-operations_en</x:v>
      </x:c>
      <x:c r="K1967" s="20" t="str">
        <x:v>Primary source-register URL; automated screening score</x:v>
      </x:c>
      <x:c r="L1967" s="20" t="str">
        <x:v>2026-05-20</x:v>
      </x:c>
      <x:c r="M1967" s="20" t="str">
        <x:v>2026-05-20</x:v>
      </x:c>
      <x:c r="N1967" s="20" t="str">
        <x:v>GPT-5.5 Pro</x:v>
      </x:c>
      <x:c r="O1967" s="20" t="str">
        <x:v>Needs review</x:v>
      </x:c>
      <x:c r="P1967" s="20" t="str">
        <x:v>Screening score for European Union / PMC presence in Zimbabwe; verify with country-specific evidence before final use.</x:v>
      </x:c>
    </x:row>
    <x:row r="1968" ht="24" customHeight="1">
      <x:c r="A1968" s="20" t="str">
        <x:v>ZWE|European Union|Election interference</x:v>
      </x:c>
      <x:c r="B1968" s="20" t="str">
        <x:v>Zimbabwe</x:v>
      </x:c>
      <x:c r="C1968" s="20" t="str">
        <x:v>ZWE</x:v>
      </x:c>
      <x:c r="D1968" s="20" t="str">
        <x:v>European Union</x:v>
      </x:c>
      <x:c r="E1968" s="20" t="str">
        <x:v>EU influence</x:v>
      </x:c>
      <x:c r="F1968" s="20" t="str">
        <x:v>Election interference</x:v>
      </x:c>
      <x:c r="G1968" s="384" t="n">
        <x:v>2</x:v>
      </x:c>
      <x:c r="H1968" s="396" t="n">
        <x:v>2</x:v>
      </x:c>
      <x:c r="I1968" s="20" t="str">
        <x:v>EEAS EU election observation source register</x:v>
      </x:c>
      <x:c r="J1968" s="397" t="str">
        <x:v>https://www.eeas.europa.eu/eeas/eu-election-observation-missions-1_en?page_lang=en</x:v>
      </x:c>
      <x:c r="K1968" s="20" t="str">
        <x:v>Primary source-register URL; automated screening score</x:v>
      </x:c>
      <x:c r="L1968" s="20" t="str">
        <x:v>2026-05-20</x:v>
      </x:c>
      <x:c r="M1968" s="20" t="str">
        <x:v>2026-05-20</x:v>
      </x:c>
      <x:c r="N1968" s="20" t="str">
        <x:v>GPT-5.5 Pro</x:v>
      </x:c>
      <x:c r="O1968" s="20" t="str">
        <x:v>Needs review</x:v>
      </x:c>
      <x:c r="P1968" s="20" t="str">
        <x:v>Screening score for European Union / Election interference in Zimbabwe; verify with country-specific evidence before final use.</x:v>
      </x:c>
    </x:row>
    <x:row r="1969" ht="24" customHeight="1">
      <x:c r="A1969" s="20" t="str">
        <x:v>ZWE|European Union|Security contractors</x:v>
      </x:c>
      <x:c r="B1969" s="20" t="str">
        <x:v>Zimbabwe</x:v>
      </x:c>
      <x:c r="C1969" s="20" t="str">
        <x:v>ZWE</x:v>
      </x:c>
      <x:c r="D1969" s="20" t="str">
        <x:v>European Union</x:v>
      </x:c>
      <x:c r="E1969" s="20" t="str">
        <x:v>EU influence</x:v>
      </x:c>
      <x:c r="F1969" s="20" t="str">
        <x:v>Security contractors</x:v>
      </x:c>
      <x:c r="G1969" s="384" t="n">
        <x:v>2</x:v>
      </x:c>
      <x:c r="H1969" s="396" t="n">
        <x:v>2</x:v>
      </x:c>
      <x:c r="I1969" s="20" t="str">
        <x:v>EEAS CSDP / Global Gateway security source register</x:v>
      </x:c>
      <x:c r="J1969" s="397" t="str">
        <x:v>https://www.eeas.europa.eu/eeas/missions-and-operations_en</x:v>
      </x:c>
      <x:c r="K1969" s="20" t="str">
        <x:v>Primary source-register URL; automated screening score</x:v>
      </x:c>
      <x:c r="L1969" s="20" t="str">
        <x:v>2026-05-20</x:v>
      </x:c>
      <x:c r="M1969" s="20" t="str">
        <x:v>2026-05-20</x:v>
      </x:c>
      <x:c r="N1969" s="20" t="str">
        <x:v>GPT-5.5 Pro</x:v>
      </x:c>
      <x:c r="O1969" s="20" t="str">
        <x:v>Needs review</x:v>
      </x:c>
      <x:c r="P1969" s="20" t="str">
        <x:v>Screening score for European Union / Security contractors in Zimbabwe; verify with country-specific evidence before final use.</x:v>
      </x:c>
    </x:row>
    <x:row r="1970">
      <x:c r="A1970"/>
      <x:c r="B1970"/>
      <x:c r="C1970"/>
      <x:c r="D1970"/>
      <x:c r="E1970"/>
      <x:c r="F1970"/>
      <x:c r="G1970" s="56"/>
      <x:c r="H1970"/>
      <x:c r="I1970"/>
      <x:c r="J1970"/>
      <x:c r="K1970"/>
      <x:c r="L1970"/>
      <x:c r="M1970"/>
      <x:c r="N1970"/>
      <x:c r="O1970"/>
      <x:c r="P1970"/>
    </x:row>
    <x:row r="1971">
      <x:c r="A1971"/>
      <x:c r="B1971"/>
      <x:c r="C1971"/>
      <x:c r="D1971"/>
      <x:c r="E1971"/>
      <x:c r="F1971"/>
      <x:c r="G1971" s="56"/>
      <x:c r="H1971"/>
      <x:c r="I1971"/>
      <x:c r="J1971"/>
      <x:c r="K1971"/>
      <x:c r="L1971"/>
      <x:c r="M1971"/>
      <x:c r="N1971"/>
      <x:c r="O1971"/>
      <x:c r="P1971"/>
    </x:row>
    <x:row r="1972">
      <x:c r="A1972"/>
      <x:c r="B1972"/>
      <x:c r="C1972"/>
      <x:c r="D1972"/>
      <x:c r="E1972"/>
      <x:c r="F1972"/>
      <x:c r="G1972" s="56"/>
      <x:c r="H1972"/>
      <x:c r="I1972"/>
      <x:c r="J1972"/>
      <x:c r="K1972"/>
      <x:c r="L1972"/>
      <x:c r="M1972"/>
      <x:c r="N1972"/>
      <x:c r="O1972"/>
      <x:c r="P1972"/>
    </x:row>
    <x:row r="1973">
      <x:c r="A1973"/>
      <x:c r="B1973"/>
      <x:c r="C1973"/>
      <x:c r="D1973"/>
      <x:c r="E1973"/>
      <x:c r="F1973"/>
      <x:c r="G1973" s="56"/>
      <x:c r="H1973"/>
      <x:c r="I1973"/>
      <x:c r="J1973"/>
      <x:c r="K1973"/>
      <x:c r="L1973"/>
      <x:c r="M1973"/>
      <x:c r="N1973"/>
      <x:c r="O1973"/>
      <x:c r="P1973"/>
    </x:row>
    <x:row r="1974">
      <x:c r="A1974"/>
      <x:c r="B1974"/>
      <x:c r="C1974"/>
      <x:c r="D1974"/>
      <x:c r="E1974"/>
      <x:c r="F1974"/>
      <x:c r="G1974" s="56"/>
      <x:c r="H1974"/>
      <x:c r="I1974"/>
      <x:c r="J1974"/>
      <x:c r="K1974"/>
      <x:c r="L1974"/>
      <x:c r="M1974"/>
      <x:c r="N1974"/>
      <x:c r="O1974"/>
      <x:c r="P1974"/>
    </x:row>
    <x:row r="1975">
      <x:c r="A1975"/>
      <x:c r="B1975"/>
      <x:c r="C1975"/>
      <x:c r="D1975"/>
      <x:c r="E1975"/>
      <x:c r="F1975"/>
      <x:c r="G1975" s="56"/>
      <x:c r="H1975"/>
      <x:c r="I1975"/>
      <x:c r="J1975"/>
      <x:c r="K1975"/>
      <x:c r="L1975"/>
      <x:c r="M1975"/>
      <x:c r="N1975"/>
      <x:c r="O1975"/>
      <x:c r="P1975"/>
    </x:row>
    <x:row r="1976">
      <x:c r="A1976"/>
      <x:c r="B1976"/>
      <x:c r="C1976"/>
      <x:c r="D1976"/>
      <x:c r="E1976"/>
      <x:c r="F1976"/>
      <x:c r="G1976" s="56"/>
      <x:c r="H1976"/>
      <x:c r="I1976"/>
      <x:c r="J1976"/>
      <x:c r="K1976"/>
      <x:c r="L1976"/>
      <x:c r="M1976"/>
      <x:c r="N1976"/>
      <x:c r="O1976"/>
      <x:c r="P1976"/>
    </x:row>
    <x:row r="1977">
      <x:c r="A1977"/>
      <x:c r="B1977"/>
      <x:c r="C1977"/>
      <x:c r="D1977"/>
      <x:c r="E1977"/>
      <x:c r="F1977"/>
      <x:c r="G1977" s="56"/>
      <x:c r="H1977"/>
      <x:c r="I1977"/>
      <x:c r="J1977"/>
      <x:c r="K1977"/>
      <x:c r="L1977"/>
      <x:c r="M1977"/>
      <x:c r="N1977"/>
      <x:c r="O1977"/>
      <x:c r="P1977"/>
    </x:row>
    <x:row r="1978">
      <x:c r="A1978"/>
      <x:c r="B1978"/>
      <x:c r="C1978"/>
      <x:c r="D1978"/>
      <x:c r="E1978"/>
      <x:c r="F1978"/>
      <x:c r="G1978" s="56"/>
      <x:c r="H1978"/>
      <x:c r="I1978"/>
      <x:c r="J1978"/>
      <x:c r="K1978"/>
      <x:c r="L1978"/>
      <x:c r="M1978"/>
      <x:c r="N1978"/>
      <x:c r="O1978"/>
      <x:c r="P1978"/>
    </x:row>
    <x:row r="1979">
      <x:c r="A1979"/>
      <x:c r="B1979"/>
      <x:c r="C1979"/>
      <x:c r="D1979"/>
      <x:c r="E1979"/>
      <x:c r="F1979"/>
      <x:c r="G1979" s="56"/>
      <x:c r="H1979"/>
      <x:c r="I1979"/>
      <x:c r="J1979"/>
      <x:c r="K1979"/>
      <x:c r="L1979"/>
      <x:c r="M1979"/>
      <x:c r="N1979"/>
      <x:c r="O1979"/>
      <x:c r="P1979"/>
    </x:row>
    <x:row r="1980">
      <x:c r="A1980"/>
      <x:c r="B1980"/>
      <x:c r="C1980"/>
      <x:c r="D1980"/>
      <x:c r="E1980"/>
      <x:c r="F1980"/>
      <x:c r="G1980" s="56"/>
      <x:c r="H1980"/>
      <x:c r="I1980"/>
      <x:c r="J1980"/>
      <x:c r="K1980"/>
      <x:c r="L1980"/>
      <x:c r="M1980"/>
      <x:c r="N1980"/>
      <x:c r="O1980"/>
      <x:c r="P1980"/>
    </x:row>
    <x:row r="1981">
      <x:c r="A1981"/>
      <x:c r="B1981"/>
      <x:c r="C1981"/>
      <x:c r="D1981"/>
      <x:c r="E1981"/>
      <x:c r="F1981"/>
      <x:c r="G1981" s="56"/>
      <x:c r="H1981"/>
      <x:c r="I1981"/>
      <x:c r="J1981"/>
      <x:c r="K1981"/>
      <x:c r="L1981"/>
      <x:c r="M1981"/>
      <x:c r="N1981"/>
      <x:c r="O1981"/>
      <x:c r="P1981"/>
    </x:row>
    <x:row r="1982">
      <x:c r="A1982"/>
      <x:c r="B1982"/>
      <x:c r="C1982"/>
      <x:c r="D1982"/>
      <x:c r="E1982"/>
      <x:c r="F1982"/>
      <x:c r="G1982" s="56"/>
      <x:c r="H1982"/>
      <x:c r="I1982"/>
      <x:c r="J1982"/>
      <x:c r="K1982"/>
      <x:c r="L1982"/>
      <x:c r="M1982"/>
      <x:c r="N1982"/>
      <x:c r="O1982"/>
      <x:c r="P1982"/>
    </x:row>
    <x:row r="1983">
      <x:c r="A1983"/>
      <x:c r="B1983"/>
      <x:c r="C1983"/>
      <x:c r="D1983"/>
      <x:c r="E1983"/>
      <x:c r="F1983"/>
      <x:c r="G1983" s="56"/>
      <x:c r="H1983"/>
      <x:c r="I1983"/>
      <x:c r="J1983"/>
      <x:c r="K1983"/>
      <x:c r="L1983"/>
      <x:c r="M1983"/>
      <x:c r="N1983"/>
      <x:c r="O1983"/>
      <x:c r="P1983"/>
    </x:row>
    <x:row r="1984">
      <x:c r="A1984"/>
      <x:c r="B1984"/>
      <x:c r="C1984"/>
      <x:c r="D1984"/>
      <x:c r="E1984"/>
      <x:c r="F1984"/>
      <x:c r="G1984" s="56"/>
      <x:c r="H1984"/>
      <x:c r="I1984"/>
      <x:c r="J1984"/>
      <x:c r="K1984"/>
      <x:c r="L1984"/>
      <x:c r="M1984"/>
      <x:c r="N1984"/>
      <x:c r="O1984"/>
      <x:c r="P1984"/>
    </x:row>
    <x:row r="1985">
      <x:c r="A1985"/>
      <x:c r="B1985"/>
      <x:c r="C1985"/>
      <x:c r="D1985"/>
      <x:c r="E1985"/>
      <x:c r="F1985"/>
      <x:c r="G1985" s="56"/>
      <x:c r="H1985"/>
      <x:c r="I1985"/>
      <x:c r="J1985"/>
      <x:c r="K1985"/>
      <x:c r="L1985"/>
      <x:c r="M1985"/>
      <x:c r="N1985"/>
      <x:c r="O1985"/>
      <x:c r="P1985"/>
    </x:row>
    <x:row r="1986">
      <x:c r="A1986"/>
      <x:c r="B1986"/>
      <x:c r="C1986"/>
      <x:c r="D1986"/>
      <x:c r="E1986"/>
      <x:c r="F1986"/>
      <x:c r="G1986" s="56"/>
      <x:c r="H1986"/>
      <x:c r="I1986"/>
      <x:c r="J1986"/>
      <x:c r="K1986"/>
      <x:c r="L1986"/>
      <x:c r="M1986"/>
      <x:c r="N1986"/>
      <x:c r="O1986"/>
      <x:c r="P1986"/>
    </x:row>
    <x:row r="1987">
      <x:c r="A1987"/>
      <x:c r="B1987"/>
      <x:c r="C1987"/>
      <x:c r="D1987"/>
      <x:c r="E1987"/>
      <x:c r="F1987"/>
      <x:c r="G1987" s="56"/>
      <x:c r="H1987"/>
      <x:c r="I1987"/>
      <x:c r="J1987"/>
      <x:c r="K1987"/>
      <x:c r="L1987"/>
      <x:c r="M1987"/>
      <x:c r="N1987"/>
      <x:c r="O1987"/>
      <x:c r="P1987"/>
    </x:row>
    <x:row r="1988">
      <x:c r="A1988"/>
      <x:c r="B1988"/>
      <x:c r="C1988"/>
      <x:c r="D1988"/>
      <x:c r="E1988"/>
      <x:c r="F1988"/>
      <x:c r="G1988" s="56"/>
      <x:c r="H1988"/>
      <x:c r="I1988"/>
      <x:c r="J1988"/>
      <x:c r="K1988"/>
      <x:c r="L1988"/>
      <x:c r="M1988"/>
      <x:c r="N1988"/>
      <x:c r="O1988"/>
      <x:c r="P1988"/>
    </x:row>
    <x:row r="1989">
      <x:c r="A1989"/>
      <x:c r="B1989"/>
      <x:c r="C1989"/>
      <x:c r="D1989"/>
      <x:c r="E1989"/>
      <x:c r="F1989"/>
      <x:c r="G1989" s="56"/>
      <x:c r="H1989"/>
      <x:c r="I1989"/>
      <x:c r="J1989"/>
      <x:c r="K1989"/>
      <x:c r="L1989"/>
      <x:c r="M1989"/>
      <x:c r="N1989"/>
      <x:c r="O1989"/>
      <x:c r="P1989"/>
    </x:row>
    <x:row r="1990">
      <x:c r="A1990"/>
      <x:c r="B1990"/>
      <x:c r="C1990"/>
      <x:c r="D1990"/>
      <x:c r="E1990"/>
      <x:c r="F1990"/>
      <x:c r="G1990" s="56"/>
      <x:c r="H1990"/>
      <x:c r="I1990"/>
      <x:c r="J1990"/>
      <x:c r="K1990"/>
      <x:c r="L1990"/>
      <x:c r="M1990"/>
      <x:c r="N1990"/>
      <x:c r="O1990"/>
      <x:c r="P1990"/>
    </x:row>
    <x:row r="1991">
      <x:c r="A1991"/>
      <x:c r="B1991"/>
      <x:c r="C1991"/>
      <x:c r="D1991"/>
      <x:c r="E1991"/>
      <x:c r="F1991"/>
      <x:c r="G1991" s="56"/>
      <x:c r="H1991"/>
      <x:c r="I1991"/>
      <x:c r="J1991"/>
      <x:c r="K1991"/>
      <x:c r="L1991"/>
      <x:c r="M1991"/>
      <x:c r="N1991"/>
      <x:c r="O1991"/>
      <x:c r="P1991"/>
    </x:row>
    <x:row r="1992">
      <x:c r="A1992"/>
      <x:c r="B1992"/>
      <x:c r="C1992"/>
      <x:c r="D1992"/>
      <x:c r="E1992"/>
      <x:c r="F1992"/>
      <x:c r="G1992" s="56"/>
      <x:c r="H1992"/>
      <x:c r="I1992"/>
      <x:c r="J1992"/>
      <x:c r="K1992"/>
      <x:c r="L1992"/>
      <x:c r="M1992"/>
      <x:c r="N1992"/>
      <x:c r="O1992"/>
      <x:c r="P1992"/>
    </x:row>
    <x:row r="1993">
      <x:c r="A1993"/>
      <x:c r="B1993"/>
      <x:c r="C1993"/>
      <x:c r="D1993"/>
      <x:c r="E1993"/>
      <x:c r="F1993"/>
      <x:c r="G1993" s="56"/>
      <x:c r="H1993"/>
      <x:c r="I1993"/>
      <x:c r="J1993"/>
      <x:c r="K1993"/>
      <x:c r="L1993"/>
      <x:c r="M1993"/>
      <x:c r="N1993"/>
      <x:c r="O1993"/>
      <x:c r="P1993"/>
    </x:row>
    <x:row r="1994">
      <x:c r="A1994"/>
      <x:c r="B1994"/>
      <x:c r="C1994"/>
      <x:c r="D1994"/>
      <x:c r="E1994"/>
      <x:c r="F1994"/>
      <x:c r="G1994" s="56"/>
      <x:c r="H1994"/>
      <x:c r="I1994"/>
      <x:c r="J1994"/>
      <x:c r="K1994"/>
      <x:c r="L1994"/>
      <x:c r="M1994"/>
      <x:c r="N1994"/>
      <x:c r="O1994"/>
      <x:c r="P1994"/>
    </x:row>
    <x:row r="1995">
      <x:c r="A1995"/>
      <x:c r="B1995"/>
      <x:c r="C1995"/>
      <x:c r="D1995"/>
      <x:c r="E1995"/>
      <x:c r="F1995"/>
      <x:c r="G1995" s="56"/>
      <x:c r="H1995"/>
      <x:c r="I1995"/>
      <x:c r="J1995"/>
      <x:c r="K1995"/>
      <x:c r="L1995"/>
      <x:c r="M1995"/>
      <x:c r="N1995"/>
      <x:c r="O1995"/>
      <x:c r="P1995"/>
    </x:row>
    <x:row r="1996">
      <x:c r="A1996"/>
      <x:c r="B1996"/>
      <x:c r="C1996"/>
      <x:c r="D1996"/>
      <x:c r="E1996"/>
      <x:c r="F1996"/>
      <x:c r="G1996" s="56"/>
      <x:c r="H1996"/>
      <x:c r="I1996"/>
      <x:c r="J1996"/>
      <x:c r="K1996"/>
      <x:c r="L1996"/>
      <x:c r="M1996"/>
      <x:c r="N1996"/>
      <x:c r="O1996"/>
      <x:c r="P1996"/>
    </x:row>
    <x:row r="1997">
      <x:c r="A1997"/>
      <x:c r="B1997"/>
      <x:c r="C1997"/>
      <x:c r="D1997"/>
      <x:c r="E1997"/>
      <x:c r="F1997"/>
      <x:c r="G1997" s="56"/>
      <x:c r="H1997"/>
      <x:c r="I1997"/>
      <x:c r="J1997"/>
      <x:c r="K1997"/>
      <x:c r="L1997"/>
      <x:c r="M1997"/>
      <x:c r="N1997"/>
      <x:c r="O1997"/>
      <x:c r="P1997"/>
    </x:row>
    <x:row r="1998">
      <x:c r="A1998"/>
      <x:c r="B1998"/>
      <x:c r="C1998"/>
      <x:c r="D1998"/>
      <x:c r="E1998"/>
      <x:c r="F1998"/>
      <x:c r="G1998" s="56"/>
      <x:c r="H1998"/>
      <x:c r="I1998"/>
      <x:c r="J1998"/>
      <x:c r="K1998"/>
      <x:c r="L1998"/>
      <x:c r="M1998"/>
      <x:c r="N1998"/>
      <x:c r="O1998"/>
      <x:c r="P1998"/>
    </x:row>
    <x:row r="1999">
      <x:c r="A1999"/>
      <x:c r="B1999"/>
      <x:c r="C1999"/>
      <x:c r="D1999"/>
      <x:c r="E1999"/>
      <x:c r="F1999"/>
      <x:c r="G1999" s="56"/>
      <x:c r="H1999"/>
      <x:c r="I1999"/>
      <x:c r="J1999"/>
      <x:c r="K1999"/>
      <x:c r="L1999"/>
      <x:c r="M1999"/>
      <x:c r="N1999"/>
      <x:c r="O1999"/>
      <x:c r="P1999"/>
    </x:row>
    <x:row r="2000">
      <x:c r="A2000"/>
      <x:c r="B2000"/>
      <x:c r="C2000"/>
      <x:c r="D2000"/>
      <x:c r="E2000"/>
      <x:c r="F2000"/>
      <x:c r="G2000" s="56"/>
      <x:c r="H2000"/>
      <x:c r="I2000"/>
      <x:c r="J2000"/>
      <x:c r="K2000"/>
      <x:c r="L2000"/>
      <x:c r="M2000"/>
      <x:c r="N2000"/>
      <x:c r="O2000"/>
      <x:c r="P2000"/>
    </x:row>
    <x:row r="2001">
      <x:c r="A2001"/>
      <x:c r="B2001"/>
      <x:c r="C2001"/>
      <x:c r="D2001"/>
      <x:c r="E2001"/>
      <x:c r="F2001"/>
      <x:c r="G2001" s="56"/>
      <x:c r="H2001"/>
      <x:c r="I2001"/>
      <x:c r="J2001"/>
      <x:c r="K2001"/>
      <x:c r="L2001"/>
      <x:c r="M2001"/>
      <x:c r="N2001"/>
      <x:c r="O2001"/>
      <x:c r="P2001"/>
    </x:row>
    <x:row r="2002">
      <x:c r="A2002"/>
      <x:c r="B2002"/>
      <x:c r="C2002"/>
      <x:c r="D2002"/>
      <x:c r="E2002"/>
      <x:c r="F2002"/>
      <x:c r="G2002" s="56"/>
      <x:c r="H2002"/>
      <x:c r="I2002"/>
      <x:c r="J2002"/>
      <x:c r="K2002"/>
      <x:c r="L2002"/>
      <x:c r="M2002"/>
      <x:c r="N2002"/>
      <x:c r="O2002"/>
      <x:c r="P2002"/>
    </x:row>
    <x:row r="2003">
      <x:c r="A2003"/>
      <x:c r="B2003"/>
      <x:c r="C2003"/>
      <x:c r="D2003"/>
      <x:c r="E2003"/>
      <x:c r="F2003"/>
      <x:c r="G2003" s="56"/>
      <x:c r="H2003"/>
      <x:c r="I2003"/>
      <x:c r="J2003"/>
      <x:c r="K2003"/>
      <x:c r="L2003"/>
      <x:c r="M2003"/>
      <x:c r="N2003"/>
      <x:c r="O2003"/>
      <x:c r="P2003"/>
    </x:row>
    <x:row r="2004">
      <x:c r="A2004"/>
      <x:c r="B2004"/>
      <x:c r="C2004"/>
      <x:c r="D2004"/>
      <x:c r="E2004"/>
      <x:c r="F2004"/>
      <x:c r="G2004" s="56"/>
      <x:c r="H2004"/>
      <x:c r="I2004"/>
      <x:c r="J2004"/>
      <x:c r="K2004"/>
      <x:c r="L2004"/>
      <x:c r="M2004"/>
      <x:c r="N2004"/>
      <x:c r="O2004"/>
      <x:c r="P2004"/>
    </x:row>
    <x:row r="2005">
      <x:c r="A2005"/>
      <x:c r="B2005"/>
      <x:c r="C2005"/>
      <x:c r="D2005"/>
      <x:c r="E2005"/>
      <x:c r="F2005"/>
      <x:c r="G2005" s="56"/>
      <x:c r="H2005"/>
      <x:c r="I2005"/>
      <x:c r="J2005"/>
      <x:c r="K2005"/>
      <x:c r="L2005"/>
      <x:c r="M2005"/>
      <x:c r="N2005"/>
      <x:c r="O2005"/>
      <x:c r="P2005"/>
    </x:row>
    <x:row r="2006">
      <x:c r="A2006"/>
      <x:c r="B2006"/>
      <x:c r="C2006"/>
      <x:c r="D2006"/>
      <x:c r="E2006"/>
      <x:c r="F2006"/>
      <x:c r="G2006" s="56"/>
      <x:c r="H2006"/>
      <x:c r="I2006"/>
      <x:c r="J2006"/>
      <x:c r="K2006"/>
      <x:c r="L2006"/>
      <x:c r="M2006"/>
      <x:c r="N2006"/>
      <x:c r="O2006"/>
      <x:c r="P2006"/>
    </x:row>
    <x:row r="2007">
      <x:c r="A2007"/>
      <x:c r="B2007"/>
      <x:c r="C2007"/>
      <x:c r="D2007"/>
      <x:c r="E2007"/>
      <x:c r="F2007"/>
      <x:c r="G2007" s="56"/>
      <x:c r="H2007"/>
      <x:c r="I2007"/>
      <x:c r="J2007"/>
      <x:c r="K2007"/>
      <x:c r="L2007"/>
      <x:c r="M2007"/>
      <x:c r="N2007"/>
      <x:c r="O2007"/>
      <x:c r="P2007"/>
    </x:row>
    <x:row r="2008">
      <x:c r="A2008"/>
      <x:c r="B2008"/>
      <x:c r="C2008"/>
      <x:c r="D2008"/>
      <x:c r="E2008"/>
      <x:c r="F2008"/>
      <x:c r="G2008" s="56"/>
      <x:c r="H2008"/>
      <x:c r="I2008"/>
      <x:c r="J2008"/>
      <x:c r="K2008"/>
      <x:c r="L2008"/>
      <x:c r="M2008"/>
      <x:c r="N2008"/>
      <x:c r="O2008"/>
      <x:c r="P2008"/>
    </x:row>
    <x:row r="2009">
      <x:c r="A2009"/>
      <x:c r="B2009"/>
      <x:c r="C2009"/>
      <x:c r="D2009"/>
      <x:c r="E2009"/>
      <x:c r="F2009"/>
      <x:c r="G2009" s="56"/>
      <x:c r="H2009"/>
      <x:c r="I2009"/>
      <x:c r="J2009"/>
      <x:c r="K2009"/>
      <x:c r="L2009"/>
      <x:c r="M2009"/>
      <x:c r="N2009"/>
      <x:c r="O2009"/>
      <x:c r="P2009"/>
    </x:row>
    <x:row r="2010">
      <x:c r="A2010"/>
      <x:c r="B2010"/>
      <x:c r="C2010"/>
      <x:c r="D2010"/>
      <x:c r="E2010"/>
      <x:c r="F2010"/>
      <x:c r="G2010" s="56"/>
      <x:c r="H2010"/>
      <x:c r="I2010"/>
      <x:c r="J2010"/>
      <x:c r="K2010"/>
      <x:c r="L2010"/>
      <x:c r="M2010"/>
      <x:c r="N2010"/>
      <x:c r="O2010"/>
      <x:c r="P2010"/>
    </x:row>
    <x:row r="2011">
      <x:c r="A2011"/>
      <x:c r="B2011"/>
      <x:c r="C2011"/>
      <x:c r="D2011"/>
      <x:c r="E2011"/>
      <x:c r="F2011"/>
      <x:c r="G2011" s="56"/>
      <x:c r="H2011"/>
      <x:c r="I2011"/>
      <x:c r="J2011"/>
      <x:c r="K2011"/>
      <x:c r="L2011"/>
      <x:c r="M2011"/>
      <x:c r="N2011"/>
      <x:c r="O2011"/>
      <x:c r="P2011"/>
    </x:row>
    <x:row r="2012">
      <x:c r="A2012"/>
      <x:c r="B2012"/>
      <x:c r="C2012"/>
      <x:c r="D2012"/>
      <x:c r="E2012"/>
      <x:c r="F2012"/>
      <x:c r="G2012" s="56"/>
      <x:c r="H2012"/>
      <x:c r="I2012"/>
      <x:c r="J2012"/>
      <x:c r="K2012"/>
      <x:c r="L2012"/>
      <x:c r="M2012"/>
      <x:c r="N2012"/>
      <x:c r="O2012"/>
      <x:c r="P2012"/>
    </x:row>
    <x:row r="2013">
      <x:c r="A2013"/>
      <x:c r="B2013"/>
      <x:c r="C2013"/>
      <x:c r="D2013"/>
      <x:c r="E2013"/>
      <x:c r="F2013"/>
      <x:c r="G2013" s="56"/>
      <x:c r="H2013"/>
      <x:c r="I2013"/>
      <x:c r="J2013"/>
      <x:c r="K2013"/>
      <x:c r="L2013"/>
      <x:c r="M2013"/>
      <x:c r="N2013"/>
      <x:c r="O2013"/>
      <x:c r="P2013"/>
    </x:row>
    <x:row r="2014">
      <x:c r="A2014"/>
      <x:c r="B2014"/>
      <x:c r="C2014"/>
      <x:c r="D2014"/>
      <x:c r="E2014"/>
      <x:c r="F2014"/>
      <x:c r="G2014" s="56"/>
      <x:c r="H2014"/>
      <x:c r="I2014"/>
      <x:c r="J2014"/>
      <x:c r="K2014"/>
      <x:c r="L2014"/>
      <x:c r="M2014"/>
      <x:c r="N2014"/>
      <x:c r="O2014"/>
      <x:c r="P2014"/>
    </x:row>
    <x:row r="2015">
      <x:c r="A2015"/>
      <x:c r="B2015"/>
      <x:c r="C2015"/>
      <x:c r="D2015"/>
      <x:c r="E2015"/>
      <x:c r="F2015"/>
      <x:c r="G2015" s="56"/>
      <x:c r="H2015"/>
      <x:c r="I2015"/>
      <x:c r="J2015"/>
      <x:c r="K2015"/>
      <x:c r="L2015"/>
      <x:c r="M2015"/>
      <x:c r="N2015"/>
      <x:c r="O2015"/>
      <x:c r="P2015"/>
    </x:row>
    <x:row r="2016">
      <x:c r="A2016"/>
      <x:c r="B2016"/>
      <x:c r="C2016"/>
      <x:c r="D2016"/>
      <x:c r="E2016"/>
      <x:c r="F2016"/>
      <x:c r="G2016" s="56"/>
      <x:c r="H2016"/>
      <x:c r="I2016"/>
      <x:c r="J2016"/>
      <x:c r="K2016"/>
      <x:c r="L2016"/>
      <x:c r="M2016"/>
      <x:c r="N2016"/>
      <x:c r="O2016"/>
      <x:c r="P2016"/>
    </x:row>
    <x:row r="2017">
      <x:c r="A2017"/>
      <x:c r="B2017"/>
      <x:c r="C2017"/>
      <x:c r="D2017"/>
      <x:c r="E2017"/>
      <x:c r="F2017"/>
      <x:c r="G2017" s="56"/>
      <x:c r="H2017"/>
      <x:c r="I2017"/>
      <x:c r="J2017"/>
      <x:c r="K2017"/>
      <x:c r="L2017"/>
      <x:c r="M2017"/>
      <x:c r="N2017"/>
      <x:c r="O2017"/>
      <x:c r="P2017"/>
    </x:row>
    <x:row r="2018">
      <x:c r="A2018"/>
      <x:c r="B2018"/>
      <x:c r="C2018"/>
      <x:c r="D2018"/>
      <x:c r="E2018"/>
      <x:c r="F2018"/>
      <x:c r="G2018" s="56"/>
      <x:c r="H2018"/>
      <x:c r="I2018"/>
      <x:c r="J2018"/>
      <x:c r="K2018"/>
      <x:c r="L2018"/>
      <x:c r="M2018"/>
      <x:c r="N2018"/>
      <x:c r="O2018"/>
      <x:c r="P2018"/>
    </x:row>
    <x:row r="2019">
      <x:c r="A2019"/>
      <x:c r="B2019"/>
      <x:c r="C2019"/>
      <x:c r="D2019"/>
      <x:c r="E2019"/>
      <x:c r="F2019"/>
      <x:c r="G2019" s="56"/>
      <x:c r="H2019"/>
      <x:c r="I2019"/>
      <x:c r="J2019"/>
      <x:c r="K2019"/>
      <x:c r="L2019"/>
      <x:c r="M2019"/>
      <x:c r="N2019"/>
      <x:c r="O2019"/>
      <x:c r="P2019"/>
    </x:row>
    <x:row r="2020">
      <x:c r="A2020"/>
      <x:c r="B2020"/>
      <x:c r="C2020"/>
      <x:c r="D2020"/>
      <x:c r="E2020"/>
      <x:c r="F2020"/>
      <x:c r="G2020" s="56"/>
      <x:c r="H2020"/>
      <x:c r="I2020"/>
      <x:c r="J2020"/>
      <x:c r="K2020"/>
      <x:c r="L2020"/>
      <x:c r="M2020"/>
      <x:c r="N2020"/>
      <x:c r="O2020"/>
      <x:c r="P2020"/>
    </x:row>
    <x:row r="2021">
      <x:c r="A2021"/>
      <x:c r="B2021"/>
      <x:c r="C2021"/>
      <x:c r="D2021"/>
      <x:c r="E2021"/>
      <x:c r="F2021"/>
      <x:c r="G2021" s="56"/>
      <x:c r="H2021"/>
      <x:c r="I2021"/>
      <x:c r="J2021"/>
      <x:c r="K2021"/>
      <x:c r="L2021"/>
      <x:c r="M2021"/>
      <x:c r="N2021"/>
      <x:c r="O2021"/>
      <x:c r="P2021"/>
    </x:row>
    <x:row r="2022">
      <x:c r="A2022"/>
      <x:c r="B2022"/>
      <x:c r="C2022"/>
      <x:c r="D2022"/>
      <x:c r="E2022"/>
      <x:c r="F2022"/>
      <x:c r="G2022" s="56"/>
      <x:c r="H2022"/>
      <x:c r="I2022"/>
      <x:c r="J2022"/>
      <x:c r="K2022"/>
      <x:c r="L2022"/>
      <x:c r="M2022"/>
      <x:c r="N2022"/>
      <x:c r="O2022"/>
      <x:c r="P2022"/>
    </x:row>
    <x:row r="2023">
      <x:c r="A2023"/>
      <x:c r="B2023"/>
      <x:c r="C2023"/>
      <x:c r="D2023"/>
      <x:c r="E2023"/>
      <x:c r="F2023"/>
      <x:c r="G2023" s="56"/>
      <x:c r="H2023"/>
      <x:c r="I2023"/>
      <x:c r="J2023"/>
      <x:c r="K2023"/>
      <x:c r="L2023"/>
      <x:c r="M2023"/>
      <x:c r="N2023"/>
      <x:c r="O2023"/>
      <x:c r="P2023"/>
    </x:row>
    <x:row r="2024">
      <x:c r="A2024"/>
      <x:c r="B2024"/>
      <x:c r="C2024"/>
      <x:c r="D2024"/>
      <x:c r="E2024"/>
      <x:c r="F2024"/>
      <x:c r="G2024" s="56"/>
      <x:c r="H2024"/>
      <x:c r="I2024"/>
      <x:c r="J2024"/>
      <x:c r="K2024"/>
      <x:c r="L2024"/>
      <x:c r="M2024"/>
      <x:c r="N2024"/>
      <x:c r="O2024"/>
      <x:c r="P2024"/>
    </x:row>
    <x:row r="2025">
      <x:c r="A2025"/>
      <x:c r="B2025"/>
      <x:c r="C2025"/>
      <x:c r="D2025"/>
      <x:c r="E2025"/>
      <x:c r="F2025"/>
      <x:c r="G2025" s="56"/>
      <x:c r="H2025"/>
      <x:c r="I2025"/>
      <x:c r="J2025"/>
      <x:c r="K2025"/>
      <x:c r="L2025"/>
      <x:c r="M2025"/>
      <x:c r="N2025"/>
      <x:c r="O2025"/>
      <x:c r="P2025"/>
    </x:row>
    <x:row r="2026">
      <x:c r="A2026"/>
      <x:c r="B2026"/>
      <x:c r="C2026"/>
      <x:c r="D2026"/>
      <x:c r="E2026"/>
      <x:c r="F2026"/>
      <x:c r="G2026" s="56"/>
      <x:c r="H2026"/>
      <x:c r="I2026"/>
      <x:c r="J2026"/>
      <x:c r="K2026"/>
      <x:c r="L2026"/>
      <x:c r="M2026"/>
      <x:c r="N2026"/>
      <x:c r="O2026"/>
      <x:c r="P2026"/>
    </x:row>
    <x:row r="2027">
      <x:c r="A2027"/>
      <x:c r="B2027"/>
      <x:c r="C2027"/>
      <x:c r="D2027"/>
      <x:c r="E2027"/>
      <x:c r="F2027"/>
      <x:c r="G2027" s="56"/>
      <x:c r="H2027"/>
      <x:c r="I2027"/>
      <x:c r="J2027"/>
      <x:c r="K2027"/>
      <x:c r="L2027"/>
      <x:c r="M2027"/>
      <x:c r="N2027"/>
      <x:c r="O2027"/>
      <x:c r="P2027"/>
    </x:row>
    <x:row r="2028">
      <x:c r="A2028"/>
      <x:c r="B2028"/>
      <x:c r="C2028"/>
      <x:c r="D2028"/>
      <x:c r="E2028"/>
      <x:c r="F2028"/>
      <x:c r="G2028" s="56"/>
      <x:c r="H2028"/>
      <x:c r="I2028"/>
      <x:c r="J2028"/>
      <x:c r="K2028"/>
      <x:c r="L2028"/>
      <x:c r="M2028"/>
      <x:c r="N2028"/>
      <x:c r="O2028"/>
      <x:c r="P2028"/>
    </x:row>
    <x:row r="2029">
      <x:c r="A2029"/>
      <x:c r="B2029"/>
      <x:c r="C2029"/>
      <x:c r="D2029"/>
      <x:c r="E2029"/>
      <x:c r="F2029"/>
      <x:c r="G2029" s="56"/>
      <x:c r="H2029"/>
      <x:c r="I2029"/>
      <x:c r="J2029"/>
      <x:c r="K2029"/>
      <x:c r="L2029"/>
      <x:c r="M2029"/>
      <x:c r="N2029"/>
      <x:c r="O2029"/>
      <x:c r="P2029"/>
    </x:row>
    <x:row r="2030">
      <x:c r="A2030"/>
      <x:c r="B2030"/>
      <x:c r="C2030"/>
      <x:c r="D2030"/>
      <x:c r="E2030"/>
      <x:c r="F2030"/>
      <x:c r="G2030" s="56"/>
      <x:c r="H2030"/>
      <x:c r="I2030"/>
      <x:c r="J2030"/>
      <x:c r="K2030"/>
      <x:c r="L2030"/>
      <x:c r="M2030"/>
      <x:c r="N2030"/>
      <x:c r="O2030"/>
      <x:c r="P2030"/>
    </x:row>
    <x:row r="2031">
      <x:c r="A2031"/>
      <x:c r="B2031"/>
      <x:c r="C2031"/>
      <x:c r="D2031"/>
      <x:c r="E2031"/>
      <x:c r="F2031"/>
      <x:c r="G2031" s="56"/>
      <x:c r="H2031"/>
      <x:c r="I2031"/>
      <x:c r="J2031"/>
      <x:c r="K2031"/>
      <x:c r="L2031"/>
      <x:c r="M2031"/>
      <x:c r="N2031"/>
      <x:c r="O2031"/>
      <x:c r="P2031"/>
    </x:row>
    <x:row r="2032">
      <x:c r="A2032"/>
      <x:c r="B2032"/>
      <x:c r="C2032"/>
      <x:c r="D2032"/>
      <x:c r="E2032"/>
      <x:c r="F2032"/>
      <x:c r="G2032" s="56"/>
      <x:c r="H2032"/>
      <x:c r="I2032"/>
      <x:c r="J2032"/>
      <x:c r="K2032"/>
      <x:c r="L2032"/>
      <x:c r="M2032"/>
      <x:c r="N2032"/>
      <x:c r="O2032"/>
      <x:c r="P2032"/>
    </x:row>
    <x:row r="2033">
      <x:c r="A2033"/>
      <x:c r="B2033"/>
      <x:c r="C2033"/>
      <x:c r="D2033"/>
      <x:c r="E2033"/>
      <x:c r="F2033"/>
      <x:c r="G2033" s="56"/>
      <x:c r="H2033"/>
      <x:c r="I2033"/>
      <x:c r="J2033"/>
      <x:c r="K2033"/>
      <x:c r="L2033"/>
      <x:c r="M2033"/>
      <x:c r="N2033"/>
      <x:c r="O2033"/>
      <x:c r="P2033"/>
    </x:row>
    <x:row r="2034">
      <x:c r="A2034"/>
      <x:c r="B2034"/>
      <x:c r="C2034"/>
      <x:c r="D2034"/>
      <x:c r="E2034"/>
      <x:c r="F2034"/>
      <x:c r="G2034" s="56"/>
      <x:c r="H2034"/>
      <x:c r="I2034"/>
      <x:c r="J2034"/>
      <x:c r="K2034"/>
      <x:c r="L2034"/>
      <x:c r="M2034"/>
      <x:c r="N2034"/>
      <x:c r="O2034"/>
      <x:c r="P2034"/>
    </x:row>
    <x:row r="2035">
      <x:c r="A2035"/>
      <x:c r="B2035"/>
      <x:c r="C2035"/>
      <x:c r="D2035"/>
      <x:c r="E2035"/>
      <x:c r="F2035"/>
      <x:c r="G2035" s="56"/>
      <x:c r="H2035"/>
      <x:c r="I2035"/>
      <x:c r="J2035"/>
      <x:c r="K2035"/>
      <x:c r="L2035"/>
      <x:c r="M2035"/>
      <x:c r="N2035"/>
      <x:c r="O2035"/>
      <x:c r="P2035"/>
    </x:row>
    <x:row r="2036">
      <x:c r="A2036"/>
      <x:c r="B2036"/>
      <x:c r="C2036"/>
      <x:c r="D2036"/>
      <x:c r="E2036"/>
      <x:c r="F2036"/>
      <x:c r="G2036" s="56"/>
      <x:c r="H2036"/>
      <x:c r="I2036"/>
      <x:c r="J2036"/>
      <x:c r="K2036"/>
      <x:c r="L2036"/>
      <x:c r="M2036"/>
      <x:c r="N2036"/>
      <x:c r="O2036"/>
      <x:c r="P2036"/>
    </x:row>
    <x:row r="2037">
      <x:c r="A2037"/>
      <x:c r="B2037"/>
      <x:c r="C2037"/>
      <x:c r="D2037"/>
      <x:c r="E2037"/>
      <x:c r="F2037"/>
      <x:c r="G2037" s="56"/>
      <x:c r="H2037"/>
      <x:c r="I2037"/>
      <x:c r="J2037"/>
      <x:c r="K2037"/>
      <x:c r="L2037"/>
      <x:c r="M2037"/>
      <x:c r="N2037"/>
      <x:c r="O2037"/>
      <x:c r="P2037"/>
    </x:row>
    <x:row r="2038">
      <x:c r="A2038"/>
      <x:c r="B2038"/>
      <x:c r="C2038"/>
      <x:c r="D2038"/>
      <x:c r="E2038"/>
      <x:c r="F2038"/>
      <x:c r="G2038" s="56"/>
      <x:c r="H2038"/>
      <x:c r="I2038"/>
      <x:c r="J2038"/>
      <x:c r="K2038"/>
      <x:c r="L2038"/>
      <x:c r="M2038"/>
      <x:c r="N2038"/>
      <x:c r="O2038"/>
      <x:c r="P2038"/>
    </x:row>
    <x:row r="2039">
      <x:c r="A2039"/>
      <x:c r="B2039"/>
      <x:c r="C2039"/>
      <x:c r="D2039"/>
      <x:c r="E2039"/>
      <x:c r="F2039"/>
      <x:c r="G2039" s="56"/>
      <x:c r="H2039"/>
      <x:c r="I2039"/>
      <x:c r="J2039"/>
      <x:c r="K2039"/>
      <x:c r="L2039"/>
      <x:c r="M2039"/>
      <x:c r="N2039"/>
      <x:c r="O2039"/>
      <x:c r="P2039"/>
    </x:row>
    <x:row r="2040">
      <x:c r="A2040"/>
      <x:c r="B2040"/>
      <x:c r="C2040"/>
      <x:c r="D2040"/>
      <x:c r="E2040"/>
      <x:c r="F2040"/>
      <x:c r="G2040" s="56"/>
      <x:c r="H2040"/>
      <x:c r="I2040"/>
      <x:c r="J2040"/>
      <x:c r="K2040"/>
      <x:c r="L2040"/>
      <x:c r="M2040"/>
      <x:c r="N2040"/>
      <x:c r="O2040"/>
      <x:c r="P2040"/>
    </x:row>
    <x:row r="2041">
      <x:c r="A2041"/>
      <x:c r="B2041"/>
      <x:c r="C2041"/>
      <x:c r="D2041"/>
      <x:c r="E2041"/>
      <x:c r="F2041"/>
      <x:c r="G2041" s="56"/>
      <x:c r="H2041"/>
      <x:c r="I2041"/>
      <x:c r="J2041"/>
      <x:c r="K2041"/>
      <x:c r="L2041"/>
      <x:c r="M2041"/>
      <x:c r="N2041"/>
      <x:c r="O2041"/>
      <x:c r="P2041"/>
    </x:row>
    <x:row r="2042">
      <x:c r="A2042"/>
      <x:c r="B2042"/>
      <x:c r="C2042"/>
      <x:c r="D2042"/>
      <x:c r="E2042"/>
      <x:c r="F2042"/>
      <x:c r="G2042" s="56"/>
      <x:c r="H2042"/>
      <x:c r="I2042"/>
      <x:c r="J2042"/>
      <x:c r="K2042"/>
      <x:c r="L2042"/>
      <x:c r="M2042"/>
      <x:c r="N2042"/>
      <x:c r="O2042"/>
      <x:c r="P2042"/>
    </x:row>
    <x:row r="2043">
      <x:c r="A2043"/>
      <x:c r="B2043"/>
      <x:c r="C2043"/>
      <x:c r="D2043"/>
      <x:c r="E2043"/>
      <x:c r="F2043"/>
      <x:c r="G2043" s="56"/>
      <x:c r="H2043"/>
      <x:c r="I2043"/>
      <x:c r="J2043"/>
      <x:c r="K2043"/>
      <x:c r="L2043"/>
      <x:c r="M2043"/>
      <x:c r="N2043"/>
      <x:c r="O2043"/>
      <x:c r="P2043"/>
    </x:row>
    <x:row r="2044">
      <x:c r="A2044"/>
      <x:c r="B2044"/>
      <x:c r="C2044"/>
      <x:c r="D2044"/>
      <x:c r="E2044"/>
      <x:c r="F2044"/>
      <x:c r="G2044" s="56"/>
      <x:c r="H2044"/>
      <x:c r="I2044"/>
      <x:c r="J2044"/>
      <x:c r="K2044"/>
      <x:c r="L2044"/>
      <x:c r="M2044"/>
      <x:c r="N2044"/>
      <x:c r="O2044"/>
      <x:c r="P2044"/>
    </x:row>
    <x:row r="2045">
      <x:c r="A2045"/>
      <x:c r="B2045"/>
      <x:c r="C2045"/>
      <x:c r="D2045"/>
      <x:c r="E2045"/>
      <x:c r="F2045"/>
      <x:c r="G2045" s="56"/>
      <x:c r="H2045"/>
      <x:c r="I2045"/>
      <x:c r="J2045"/>
      <x:c r="K2045"/>
      <x:c r="L2045"/>
      <x:c r="M2045"/>
      <x:c r="N2045"/>
      <x:c r="O2045"/>
      <x:c r="P2045"/>
    </x:row>
    <x:row r="2046">
      <x:c r="A2046"/>
      <x:c r="B2046"/>
      <x:c r="C2046"/>
      <x:c r="D2046"/>
      <x:c r="E2046"/>
      <x:c r="F2046"/>
      <x:c r="G2046" s="56"/>
      <x:c r="H2046"/>
      <x:c r="I2046"/>
      <x:c r="J2046"/>
      <x:c r="K2046"/>
      <x:c r="L2046"/>
      <x:c r="M2046"/>
      <x:c r="N2046"/>
      <x:c r="O2046"/>
      <x:c r="P2046"/>
    </x:row>
    <x:row r="2047">
      <x:c r="A2047"/>
      <x:c r="B2047"/>
      <x:c r="C2047"/>
      <x:c r="D2047"/>
      <x:c r="E2047"/>
      <x:c r="F2047"/>
      <x:c r="G2047" s="56"/>
      <x:c r="H2047"/>
      <x:c r="I2047"/>
      <x:c r="J2047"/>
      <x:c r="K2047"/>
      <x:c r="L2047"/>
      <x:c r="M2047"/>
      <x:c r="N2047"/>
      <x:c r="O2047"/>
      <x:c r="P2047"/>
    </x:row>
    <x:row r="2048">
      <x:c r="A2048"/>
      <x:c r="B2048"/>
      <x:c r="C2048"/>
      <x:c r="D2048"/>
      <x:c r="E2048"/>
      <x:c r="F2048"/>
      <x:c r="G2048" s="56"/>
      <x:c r="H2048"/>
      <x:c r="I2048"/>
      <x:c r="J2048"/>
      <x:c r="K2048"/>
      <x:c r="L2048"/>
      <x:c r="M2048"/>
      <x:c r="N2048"/>
      <x:c r="O2048"/>
      <x:c r="P2048"/>
    </x:row>
    <x:row r="2049">
      <x:c r="A2049"/>
      <x:c r="B2049"/>
      <x:c r="C2049"/>
      <x:c r="D2049"/>
      <x:c r="E2049"/>
      <x:c r="F2049"/>
      <x:c r="G2049" s="56"/>
      <x:c r="H2049"/>
      <x:c r="I2049"/>
      <x:c r="J2049"/>
      <x:c r="K2049"/>
      <x:c r="L2049"/>
      <x:c r="M2049"/>
      <x:c r="N2049"/>
      <x:c r="O2049"/>
      <x:c r="P2049"/>
    </x:row>
    <x:row r="2050">
      <x:c r="A2050"/>
      <x:c r="B2050"/>
      <x:c r="C2050"/>
      <x:c r="D2050"/>
      <x:c r="E2050"/>
      <x:c r="F2050"/>
      <x:c r="G2050" s="56"/>
      <x:c r="H2050"/>
      <x:c r="I2050"/>
      <x:c r="J2050"/>
      <x:c r="K2050"/>
      <x:c r="L2050"/>
      <x:c r="M2050"/>
      <x:c r="N2050"/>
      <x:c r="O2050"/>
      <x:c r="P2050"/>
    </x:row>
    <x:row r="2051">
      <x:c r="A2051"/>
      <x:c r="B2051"/>
      <x:c r="C2051"/>
      <x:c r="D2051"/>
      <x:c r="E2051"/>
      <x:c r="F2051"/>
      <x:c r="G2051" s="56"/>
      <x:c r="H2051"/>
      <x:c r="I2051"/>
      <x:c r="J2051"/>
      <x:c r="K2051"/>
      <x:c r="L2051"/>
      <x:c r="M2051"/>
      <x:c r="N2051"/>
      <x:c r="O2051"/>
      <x:c r="P2051"/>
    </x:row>
    <x:row r="2052">
      <x:c r="A2052"/>
      <x:c r="B2052"/>
      <x:c r="C2052"/>
      <x:c r="D2052"/>
      <x:c r="E2052"/>
      <x:c r="F2052"/>
      <x:c r="G2052" s="56"/>
      <x:c r="H2052"/>
      <x:c r="I2052"/>
      <x:c r="J2052"/>
      <x:c r="K2052"/>
      <x:c r="L2052"/>
      <x:c r="M2052"/>
      <x:c r="N2052"/>
      <x:c r="O2052"/>
      <x:c r="P2052"/>
    </x:row>
    <x:row r="2053">
      <x:c r="A2053"/>
      <x:c r="B2053"/>
      <x:c r="C2053"/>
      <x:c r="D2053"/>
      <x:c r="E2053"/>
      <x:c r="F2053"/>
      <x:c r="G2053" s="56"/>
      <x:c r="H2053"/>
      <x:c r="I2053"/>
      <x:c r="J2053"/>
      <x:c r="K2053"/>
      <x:c r="L2053"/>
      <x:c r="M2053"/>
      <x:c r="N2053"/>
      <x:c r="O2053"/>
      <x:c r="P2053"/>
    </x:row>
    <x:row r="2054">
      <x:c r="A2054"/>
      <x:c r="B2054"/>
      <x:c r="C2054"/>
      <x:c r="D2054"/>
      <x:c r="E2054"/>
      <x:c r="F2054"/>
      <x:c r="G2054" s="56"/>
      <x:c r="H2054"/>
      <x:c r="I2054"/>
      <x:c r="J2054"/>
      <x:c r="K2054"/>
      <x:c r="L2054"/>
      <x:c r="M2054"/>
      <x:c r="N2054"/>
      <x:c r="O2054"/>
      <x:c r="P2054"/>
    </x:row>
    <x:row r="2055">
      <x:c r="A2055"/>
      <x:c r="B2055"/>
      <x:c r="C2055"/>
      <x:c r="D2055"/>
      <x:c r="E2055"/>
      <x:c r="F2055"/>
      <x:c r="G2055" s="56"/>
      <x:c r="H2055"/>
      <x:c r="I2055"/>
      <x:c r="J2055"/>
      <x:c r="K2055"/>
      <x:c r="L2055"/>
      <x:c r="M2055"/>
      <x:c r="N2055"/>
      <x:c r="O2055"/>
      <x:c r="P2055"/>
    </x:row>
    <x:row r="2056">
      <x:c r="A2056"/>
      <x:c r="B2056"/>
      <x:c r="C2056"/>
      <x:c r="D2056"/>
      <x:c r="E2056"/>
      <x:c r="F2056"/>
      <x:c r="G2056" s="56"/>
      <x:c r="H2056"/>
      <x:c r="I2056"/>
      <x:c r="J2056"/>
      <x:c r="K2056"/>
      <x:c r="L2056"/>
      <x:c r="M2056"/>
      <x:c r="N2056"/>
      <x:c r="O2056"/>
      <x:c r="P2056"/>
    </x:row>
    <x:row r="2057">
      <x:c r="A2057"/>
      <x:c r="B2057"/>
      <x:c r="C2057"/>
      <x:c r="D2057"/>
      <x:c r="E2057"/>
      <x:c r="F2057"/>
      <x:c r="G2057" s="56"/>
      <x:c r="H2057"/>
      <x:c r="I2057"/>
      <x:c r="J2057"/>
      <x:c r="K2057"/>
      <x:c r="L2057"/>
      <x:c r="M2057"/>
      <x:c r="N2057"/>
      <x:c r="O2057"/>
      <x:c r="P2057"/>
    </x:row>
    <x:row r="2058">
      <x:c r="A2058"/>
      <x:c r="B2058"/>
      <x:c r="C2058"/>
      <x:c r="D2058"/>
      <x:c r="E2058"/>
      <x:c r="F2058"/>
      <x:c r="G2058" s="56"/>
      <x:c r="H2058"/>
      <x:c r="I2058"/>
      <x:c r="J2058"/>
      <x:c r="K2058"/>
      <x:c r="L2058"/>
      <x:c r="M2058"/>
      <x:c r="N2058"/>
      <x:c r="O2058"/>
      <x:c r="P2058"/>
    </x:row>
    <x:row r="2059">
      <x:c r="A2059"/>
      <x:c r="B2059"/>
      <x:c r="C2059"/>
      <x:c r="D2059"/>
      <x:c r="E2059"/>
      <x:c r="F2059"/>
      <x:c r="G2059" s="56"/>
      <x:c r="H2059"/>
      <x:c r="I2059"/>
      <x:c r="J2059"/>
      <x:c r="K2059"/>
      <x:c r="L2059"/>
      <x:c r="M2059"/>
      <x:c r="N2059"/>
      <x:c r="O2059"/>
      <x:c r="P2059"/>
    </x:row>
    <x:row r="2060">
      <x:c r="A2060"/>
      <x:c r="B2060"/>
      <x:c r="C2060"/>
      <x:c r="D2060"/>
      <x:c r="E2060"/>
      <x:c r="F2060"/>
      <x:c r="G2060" s="56"/>
      <x:c r="H2060"/>
      <x:c r="I2060"/>
      <x:c r="J2060"/>
      <x:c r="K2060"/>
      <x:c r="L2060"/>
      <x:c r="M2060"/>
      <x:c r="N2060"/>
      <x:c r="O2060"/>
      <x:c r="P2060"/>
    </x:row>
    <x:row r="2061">
      <x:c r="A2061"/>
      <x:c r="B2061"/>
      <x:c r="C2061"/>
      <x:c r="D2061"/>
      <x:c r="E2061"/>
      <x:c r="F2061"/>
      <x:c r="G2061" s="56"/>
      <x:c r="H2061"/>
      <x:c r="I2061"/>
      <x:c r="J2061"/>
      <x:c r="K2061"/>
      <x:c r="L2061"/>
      <x:c r="M2061"/>
      <x:c r="N2061"/>
      <x:c r="O2061"/>
      <x:c r="P2061"/>
    </x:row>
    <x:row r="2062">
      <x:c r="A2062"/>
      <x:c r="B2062"/>
      <x:c r="C2062"/>
      <x:c r="D2062"/>
      <x:c r="E2062"/>
      <x:c r="F2062"/>
      <x:c r="G2062" s="56"/>
      <x:c r="H2062"/>
      <x:c r="I2062"/>
      <x:c r="J2062"/>
      <x:c r="K2062"/>
      <x:c r="L2062"/>
      <x:c r="M2062"/>
      <x:c r="N2062"/>
      <x:c r="O2062"/>
      <x:c r="P2062"/>
    </x:row>
    <x:row r="2063">
      <x:c r="A2063"/>
      <x:c r="B2063"/>
      <x:c r="C2063"/>
      <x:c r="D2063"/>
      <x:c r="E2063"/>
      <x:c r="F2063"/>
      <x:c r="G2063" s="56"/>
      <x:c r="H2063"/>
      <x:c r="I2063"/>
      <x:c r="J2063"/>
      <x:c r="K2063"/>
      <x:c r="L2063"/>
      <x:c r="M2063"/>
      <x:c r="N2063"/>
      <x:c r="O2063"/>
      <x:c r="P2063"/>
    </x:row>
    <x:row r="2064">
      <x:c r="A2064"/>
      <x:c r="B2064"/>
      <x:c r="C2064"/>
      <x:c r="D2064"/>
      <x:c r="E2064"/>
      <x:c r="F2064"/>
      <x:c r="G2064" s="56"/>
      <x:c r="H2064"/>
      <x:c r="I2064"/>
      <x:c r="J2064"/>
      <x:c r="K2064"/>
      <x:c r="L2064"/>
      <x:c r="M2064"/>
      <x:c r="N2064"/>
      <x:c r="O2064"/>
      <x:c r="P2064"/>
    </x:row>
    <x:row r="2065">
      <x:c r="A2065"/>
      <x:c r="B2065"/>
      <x:c r="C2065"/>
      <x:c r="D2065"/>
      <x:c r="E2065"/>
      <x:c r="F2065"/>
      <x:c r="G2065" s="56"/>
      <x:c r="H2065"/>
      <x:c r="I2065"/>
      <x:c r="J2065"/>
      <x:c r="K2065"/>
      <x:c r="L2065"/>
      <x:c r="M2065"/>
      <x:c r="N2065"/>
      <x:c r="O2065"/>
      <x:c r="P2065"/>
    </x:row>
    <x:row r="2066">
      <x:c r="A2066"/>
      <x:c r="B2066"/>
      <x:c r="C2066"/>
      <x:c r="D2066"/>
      <x:c r="E2066"/>
      <x:c r="F2066"/>
      <x:c r="G2066" s="56"/>
      <x:c r="H2066"/>
      <x:c r="I2066"/>
      <x:c r="J2066"/>
      <x:c r="K2066"/>
      <x:c r="L2066"/>
      <x:c r="M2066"/>
      <x:c r="N2066"/>
      <x:c r="O2066"/>
      <x:c r="P2066"/>
    </x:row>
    <x:row r="2067">
      <x:c r="A2067"/>
      <x:c r="B2067"/>
      <x:c r="C2067"/>
      <x:c r="D2067"/>
      <x:c r="E2067"/>
      <x:c r="F2067"/>
      <x:c r="G2067" s="56"/>
      <x:c r="H2067"/>
      <x:c r="I2067"/>
      <x:c r="J2067"/>
      <x:c r="K2067"/>
      <x:c r="L2067"/>
      <x:c r="M2067"/>
      <x:c r="N2067"/>
      <x:c r="O2067"/>
      <x:c r="P2067"/>
    </x:row>
    <x:row r="2068">
      <x:c r="A2068"/>
      <x:c r="B2068"/>
      <x:c r="C2068"/>
      <x:c r="D2068"/>
      <x:c r="E2068"/>
      <x:c r="F2068"/>
      <x:c r="G2068" s="56"/>
      <x:c r="H2068"/>
      <x:c r="I2068"/>
      <x:c r="J2068"/>
      <x:c r="K2068"/>
      <x:c r="L2068"/>
      <x:c r="M2068"/>
      <x:c r="N2068"/>
      <x:c r="O2068"/>
      <x:c r="P2068"/>
    </x:row>
    <x:row r="2069">
      <x:c r="A2069"/>
      <x:c r="B2069"/>
      <x:c r="C2069"/>
      <x:c r="D2069"/>
      <x:c r="E2069"/>
      <x:c r="F2069"/>
      <x:c r="G2069" s="56"/>
      <x:c r="H2069"/>
      <x:c r="I2069"/>
      <x:c r="J2069"/>
      <x:c r="K2069"/>
      <x:c r="L2069"/>
      <x:c r="M2069"/>
      <x:c r="N2069"/>
      <x:c r="O2069"/>
      <x:c r="P2069"/>
    </x:row>
    <x:row r="2070">
      <x:c r="A2070"/>
      <x:c r="B2070"/>
      <x:c r="C2070"/>
      <x:c r="D2070"/>
      <x:c r="E2070"/>
      <x:c r="F2070"/>
      <x:c r="G2070" s="56"/>
      <x:c r="H2070"/>
      <x:c r="I2070"/>
      <x:c r="J2070"/>
      <x:c r="K2070"/>
      <x:c r="L2070"/>
      <x:c r="M2070"/>
      <x:c r="N2070"/>
      <x:c r="O2070"/>
      <x:c r="P2070"/>
    </x:row>
    <x:row r="2071">
      <x:c r="A2071"/>
      <x:c r="B2071"/>
      <x:c r="C2071"/>
      <x:c r="D2071"/>
      <x:c r="E2071"/>
      <x:c r="F2071"/>
      <x:c r="G2071" s="56"/>
      <x:c r="H2071"/>
      <x:c r="I2071"/>
      <x:c r="J2071"/>
      <x:c r="K2071"/>
      <x:c r="L2071"/>
      <x:c r="M2071"/>
      <x:c r="N2071"/>
      <x:c r="O2071"/>
      <x:c r="P2071"/>
    </x:row>
    <x:row r="2072">
      <x:c r="A2072"/>
      <x:c r="B2072"/>
      <x:c r="C2072"/>
      <x:c r="D2072"/>
      <x:c r="E2072"/>
      <x:c r="F2072"/>
      <x:c r="G2072" s="56"/>
      <x:c r="H2072"/>
      <x:c r="I2072"/>
      <x:c r="J2072"/>
      <x:c r="K2072"/>
      <x:c r="L2072"/>
      <x:c r="M2072"/>
      <x:c r="N2072"/>
      <x:c r="O2072"/>
      <x:c r="P2072"/>
    </x:row>
    <x:row r="2073">
      <x:c r="A2073"/>
      <x:c r="B2073"/>
      <x:c r="C2073"/>
      <x:c r="D2073"/>
      <x:c r="E2073"/>
      <x:c r="F2073"/>
      <x:c r="G2073" s="56"/>
      <x:c r="H2073"/>
      <x:c r="I2073"/>
      <x:c r="J2073"/>
      <x:c r="K2073"/>
      <x:c r="L2073"/>
      <x:c r="M2073"/>
      <x:c r="N2073"/>
      <x:c r="O2073"/>
      <x:c r="P2073"/>
    </x:row>
    <x:row r="2074">
      <x:c r="A2074"/>
      <x:c r="B2074"/>
      <x:c r="C2074"/>
      <x:c r="D2074"/>
      <x:c r="E2074"/>
      <x:c r="F2074"/>
      <x:c r="G2074" s="56"/>
      <x:c r="H2074"/>
      <x:c r="I2074"/>
      <x:c r="J2074"/>
      <x:c r="K2074"/>
      <x:c r="L2074"/>
      <x:c r="M2074"/>
      <x:c r="N2074"/>
      <x:c r="O2074"/>
      <x:c r="P2074"/>
    </x:row>
    <x:row r="2075">
      <x:c r="A2075"/>
      <x:c r="B2075"/>
      <x:c r="C2075"/>
      <x:c r="D2075"/>
      <x:c r="E2075"/>
      <x:c r="F2075"/>
      <x:c r="G2075" s="56"/>
      <x:c r="H2075"/>
      <x:c r="I2075"/>
      <x:c r="J2075"/>
      <x:c r="K2075"/>
      <x:c r="L2075"/>
      <x:c r="M2075"/>
      <x:c r="N2075"/>
      <x:c r="O2075"/>
      <x:c r="P2075"/>
    </x:row>
    <x:row r="2076">
      <x:c r="A2076"/>
      <x:c r="B2076"/>
      <x:c r="C2076"/>
      <x:c r="D2076"/>
      <x:c r="E2076"/>
      <x:c r="F2076"/>
      <x:c r="G2076" s="56"/>
      <x:c r="H2076"/>
      <x:c r="I2076"/>
      <x:c r="J2076"/>
      <x:c r="K2076"/>
      <x:c r="L2076"/>
      <x:c r="M2076"/>
      <x:c r="N2076"/>
      <x:c r="O2076"/>
      <x:c r="P2076"/>
    </x:row>
    <x:row r="2077">
      <x:c r="A2077"/>
      <x:c r="B2077"/>
      <x:c r="C2077"/>
      <x:c r="D2077"/>
      <x:c r="E2077"/>
      <x:c r="F2077"/>
      <x:c r="G2077" s="56"/>
      <x:c r="H2077"/>
      <x:c r="I2077"/>
      <x:c r="J2077"/>
      <x:c r="K2077"/>
      <x:c r="L2077"/>
      <x:c r="M2077"/>
      <x:c r="N2077"/>
      <x:c r="O2077"/>
      <x:c r="P2077"/>
    </x:row>
    <x:row r="2078">
      <x:c r="A2078"/>
      <x:c r="B2078"/>
      <x:c r="C2078"/>
      <x:c r="D2078"/>
      <x:c r="E2078"/>
      <x:c r="F2078"/>
      <x:c r="G2078" s="56"/>
      <x:c r="H2078"/>
      <x:c r="I2078"/>
      <x:c r="J2078"/>
      <x:c r="K2078"/>
      <x:c r="L2078"/>
      <x:c r="M2078"/>
      <x:c r="N2078"/>
      <x:c r="O2078"/>
      <x:c r="P2078"/>
    </x:row>
    <x:row r="2079">
      <x:c r="A2079"/>
      <x:c r="B2079"/>
      <x:c r="C2079"/>
      <x:c r="D2079"/>
      <x:c r="E2079"/>
      <x:c r="F2079"/>
      <x:c r="G2079" s="56"/>
      <x:c r="H2079"/>
      <x:c r="I2079"/>
      <x:c r="J2079"/>
      <x:c r="K2079"/>
      <x:c r="L2079"/>
      <x:c r="M2079"/>
      <x:c r="N2079"/>
      <x:c r="O2079"/>
      <x:c r="P2079"/>
    </x:row>
    <x:row r="2080">
      <x:c r="A2080"/>
      <x:c r="B2080"/>
      <x:c r="C2080"/>
      <x:c r="D2080"/>
      <x:c r="E2080"/>
      <x:c r="F2080"/>
      <x:c r="G2080" s="56"/>
      <x:c r="H2080"/>
      <x:c r="I2080"/>
      <x:c r="J2080"/>
      <x:c r="K2080"/>
      <x:c r="L2080"/>
      <x:c r="M2080"/>
      <x:c r="N2080"/>
      <x:c r="O2080"/>
      <x:c r="P2080"/>
    </x:row>
    <x:row r="2081">
      <x:c r="A2081"/>
      <x:c r="B2081"/>
      <x:c r="C2081"/>
      <x:c r="D2081"/>
      <x:c r="E2081"/>
      <x:c r="F2081"/>
      <x:c r="G2081" s="56"/>
      <x:c r="H2081"/>
      <x:c r="I2081"/>
      <x:c r="J2081"/>
      <x:c r="K2081"/>
      <x:c r="L2081"/>
      <x:c r="M2081"/>
      <x:c r="N2081"/>
      <x:c r="O2081"/>
      <x:c r="P2081"/>
    </x:row>
    <x:row r="2082">
      <x:c r="A2082"/>
      <x:c r="B2082"/>
      <x:c r="C2082"/>
      <x:c r="D2082"/>
      <x:c r="E2082"/>
      <x:c r="F2082"/>
      <x:c r="G2082" s="56"/>
      <x:c r="H2082"/>
      <x:c r="I2082"/>
      <x:c r="J2082"/>
      <x:c r="K2082"/>
      <x:c r="L2082"/>
      <x:c r="M2082"/>
      <x:c r="N2082"/>
      <x:c r="O2082"/>
      <x:c r="P2082"/>
    </x:row>
    <x:row r="2083">
      <x:c r="A2083"/>
      <x:c r="B2083"/>
      <x:c r="C2083"/>
      <x:c r="D2083"/>
      <x:c r="E2083"/>
      <x:c r="F2083"/>
      <x:c r="G2083" s="56"/>
      <x:c r="H2083"/>
      <x:c r="I2083"/>
      <x:c r="J2083"/>
      <x:c r="K2083"/>
      <x:c r="L2083"/>
      <x:c r="M2083"/>
      <x:c r="N2083"/>
      <x:c r="O2083"/>
      <x:c r="P2083"/>
    </x:row>
    <x:row r="2084">
      <x:c r="A2084"/>
      <x:c r="B2084"/>
      <x:c r="C2084"/>
      <x:c r="D2084"/>
      <x:c r="E2084"/>
      <x:c r="F2084"/>
      <x:c r="G2084" s="56"/>
      <x:c r="H2084"/>
      <x:c r="I2084"/>
      <x:c r="J2084"/>
      <x:c r="K2084"/>
      <x:c r="L2084"/>
      <x:c r="M2084"/>
      <x:c r="N2084"/>
      <x:c r="O2084"/>
      <x:c r="P2084"/>
    </x:row>
    <x:row r="2085">
      <x:c r="A2085"/>
      <x:c r="B2085"/>
      <x:c r="C2085"/>
      <x:c r="D2085"/>
      <x:c r="E2085"/>
      <x:c r="F2085"/>
      <x:c r="G2085" s="56"/>
      <x:c r="H2085"/>
      <x:c r="I2085"/>
      <x:c r="J2085"/>
      <x:c r="K2085"/>
      <x:c r="L2085"/>
      <x:c r="M2085"/>
      <x:c r="N2085"/>
      <x:c r="O2085"/>
      <x:c r="P2085"/>
    </x:row>
    <x:row r="2086">
      <x:c r="A2086"/>
      <x:c r="B2086"/>
      <x:c r="C2086"/>
      <x:c r="D2086"/>
      <x:c r="E2086"/>
      <x:c r="F2086"/>
      <x:c r="G2086" s="56"/>
      <x:c r="H2086"/>
      <x:c r="I2086"/>
      <x:c r="J2086"/>
      <x:c r="K2086"/>
      <x:c r="L2086"/>
      <x:c r="M2086"/>
      <x:c r="N2086"/>
      <x:c r="O2086"/>
      <x:c r="P2086"/>
    </x:row>
    <x:row r="2087">
      <x:c r="A2087"/>
      <x:c r="B2087"/>
      <x:c r="C2087"/>
      <x:c r="D2087"/>
      <x:c r="E2087"/>
      <x:c r="F2087"/>
      <x:c r="G2087" s="56"/>
      <x:c r="H2087"/>
      <x:c r="I2087"/>
      <x:c r="J2087"/>
      <x:c r="K2087"/>
      <x:c r="L2087"/>
      <x:c r="M2087"/>
      <x:c r="N2087"/>
      <x:c r="O2087"/>
      <x:c r="P2087"/>
    </x:row>
    <x:row r="2088">
      <x:c r="A2088"/>
      <x:c r="B2088"/>
      <x:c r="C2088"/>
      <x:c r="D2088"/>
      <x:c r="E2088"/>
      <x:c r="F2088"/>
      <x:c r="G2088" s="56"/>
      <x:c r="H2088"/>
      <x:c r="I2088"/>
      <x:c r="J2088"/>
      <x:c r="K2088"/>
      <x:c r="L2088"/>
      <x:c r="M2088"/>
      <x:c r="N2088"/>
      <x:c r="O2088"/>
      <x:c r="P2088"/>
    </x:row>
    <x:row r="2089">
      <x:c r="A2089"/>
      <x:c r="B2089"/>
      <x:c r="C2089"/>
      <x:c r="D2089"/>
      <x:c r="E2089"/>
      <x:c r="F2089"/>
      <x:c r="G2089" s="56"/>
      <x:c r="H2089"/>
      <x:c r="I2089"/>
      <x:c r="J2089"/>
      <x:c r="K2089"/>
      <x:c r="L2089"/>
      <x:c r="M2089"/>
      <x:c r="N2089"/>
      <x:c r="O2089"/>
      <x:c r="P2089"/>
    </x:row>
    <x:row r="2090">
      <x:c r="A2090"/>
      <x:c r="B2090"/>
      <x:c r="C2090"/>
      <x:c r="D2090"/>
      <x:c r="E2090"/>
      <x:c r="F2090"/>
      <x:c r="G2090" s="56"/>
      <x:c r="H2090"/>
      <x:c r="I2090"/>
      <x:c r="J2090"/>
      <x:c r="K2090"/>
      <x:c r="L2090"/>
      <x:c r="M2090"/>
      <x:c r="N2090"/>
      <x:c r="O2090"/>
      <x:c r="P2090"/>
    </x:row>
    <x:row r="2091">
      <x:c r="A2091"/>
      <x:c r="B2091"/>
      <x:c r="C2091"/>
      <x:c r="D2091"/>
      <x:c r="E2091"/>
      <x:c r="F2091"/>
      <x:c r="G2091" s="56"/>
      <x:c r="H2091"/>
      <x:c r="I2091"/>
      <x:c r="J2091"/>
      <x:c r="K2091"/>
      <x:c r="L2091"/>
      <x:c r="M2091"/>
      <x:c r="N2091"/>
      <x:c r="O2091"/>
      <x:c r="P2091"/>
    </x:row>
    <x:row r="2092">
      <x:c r="A2092"/>
      <x:c r="B2092"/>
      <x:c r="C2092"/>
      <x:c r="D2092"/>
      <x:c r="E2092"/>
      <x:c r="F2092"/>
      <x:c r="G2092" s="56"/>
      <x:c r="H2092"/>
      <x:c r="I2092"/>
      <x:c r="J2092"/>
      <x:c r="K2092"/>
      <x:c r="L2092"/>
      <x:c r="M2092"/>
      <x:c r="N2092"/>
      <x:c r="O2092"/>
      <x:c r="P2092"/>
    </x:row>
    <x:row r="2093">
      <x:c r="A2093"/>
      <x:c r="B2093"/>
      <x:c r="C2093"/>
      <x:c r="D2093"/>
      <x:c r="E2093"/>
      <x:c r="F2093"/>
      <x:c r="G2093" s="56"/>
      <x:c r="H2093"/>
      <x:c r="I2093"/>
      <x:c r="J2093"/>
      <x:c r="K2093"/>
      <x:c r="L2093"/>
      <x:c r="M2093"/>
      <x:c r="N2093"/>
      <x:c r="O2093"/>
      <x:c r="P2093"/>
    </x:row>
    <x:row r="2094">
      <x:c r="A2094"/>
      <x:c r="B2094"/>
      <x:c r="C2094"/>
      <x:c r="D2094"/>
      <x:c r="E2094"/>
      <x:c r="F2094"/>
      <x:c r="G2094" s="56"/>
      <x:c r="H2094"/>
      <x:c r="I2094"/>
      <x:c r="J2094"/>
      <x:c r="K2094"/>
      <x:c r="L2094"/>
      <x:c r="M2094"/>
      <x:c r="N2094"/>
      <x:c r="O2094"/>
      <x:c r="P2094"/>
    </x:row>
    <x:row r="2095">
      <x:c r="A2095"/>
      <x:c r="B2095"/>
      <x:c r="C2095"/>
      <x:c r="D2095"/>
      <x:c r="E2095"/>
      <x:c r="F2095"/>
      <x:c r="G2095" s="56"/>
      <x:c r="H2095"/>
      <x:c r="I2095"/>
      <x:c r="J2095"/>
      <x:c r="K2095"/>
      <x:c r="L2095"/>
      <x:c r="M2095"/>
      <x:c r="N2095"/>
      <x:c r="O2095"/>
      <x:c r="P2095"/>
    </x:row>
    <x:row r="2096">
      <x:c r="A2096"/>
      <x:c r="B2096"/>
      <x:c r="C2096"/>
      <x:c r="D2096"/>
      <x:c r="E2096"/>
      <x:c r="F2096"/>
      <x:c r="G2096" s="56"/>
      <x:c r="H2096"/>
      <x:c r="I2096"/>
      <x:c r="J2096"/>
      <x:c r="K2096"/>
      <x:c r="L2096"/>
      <x:c r="M2096"/>
      <x:c r="N2096"/>
      <x:c r="O2096"/>
      <x:c r="P2096"/>
    </x:row>
    <x:row r="2097">
      <x:c r="A2097"/>
      <x:c r="B2097"/>
      <x:c r="C2097"/>
      <x:c r="D2097"/>
      <x:c r="E2097"/>
      <x:c r="F2097"/>
      <x:c r="G2097" s="56"/>
      <x:c r="H2097"/>
      <x:c r="I2097"/>
      <x:c r="J2097"/>
      <x:c r="K2097"/>
      <x:c r="L2097"/>
      <x:c r="M2097"/>
      <x:c r="N2097"/>
      <x:c r="O2097"/>
      <x:c r="P2097"/>
    </x:row>
    <x:row r="2098">
      <x:c r="A2098"/>
      <x:c r="B2098"/>
      <x:c r="C2098"/>
      <x:c r="D2098"/>
      <x:c r="E2098"/>
      <x:c r="F2098"/>
      <x:c r="G2098" s="56"/>
      <x:c r="H2098"/>
      <x:c r="I2098"/>
      <x:c r="J2098"/>
      <x:c r="K2098"/>
      <x:c r="L2098"/>
      <x:c r="M2098"/>
      <x:c r="N2098"/>
      <x:c r="O2098"/>
      <x:c r="P2098"/>
    </x:row>
    <x:row r="2099">
      <x:c r="A2099"/>
      <x:c r="B2099"/>
      <x:c r="C2099"/>
      <x:c r="D2099"/>
      <x:c r="E2099"/>
      <x:c r="F2099"/>
      <x:c r="G2099" s="56"/>
      <x:c r="H2099"/>
      <x:c r="I2099"/>
      <x:c r="J2099"/>
      <x:c r="K2099"/>
      <x:c r="L2099"/>
      <x:c r="M2099"/>
      <x:c r="N2099"/>
      <x:c r="O2099"/>
      <x:c r="P2099"/>
    </x:row>
    <x:row r="2100">
      <x:c r="A2100"/>
      <x:c r="B2100"/>
      <x:c r="C2100"/>
      <x:c r="D2100"/>
      <x:c r="E2100"/>
      <x:c r="F2100"/>
      <x:c r="G2100" s="56"/>
      <x:c r="H2100"/>
      <x:c r="I2100"/>
      <x:c r="J2100"/>
      <x:c r="K2100"/>
      <x:c r="L2100"/>
      <x:c r="M2100"/>
      <x:c r="N2100"/>
      <x:c r="O2100"/>
      <x:c r="P2100"/>
    </x:row>
    <x:row r="2101">
      <x:c r="A2101"/>
      <x:c r="B2101"/>
      <x:c r="C2101"/>
      <x:c r="D2101"/>
      <x:c r="E2101"/>
      <x:c r="F2101"/>
      <x:c r="G2101" s="56"/>
      <x:c r="H2101"/>
      <x:c r="I2101"/>
      <x:c r="J2101"/>
      <x:c r="K2101"/>
      <x:c r="L2101"/>
      <x:c r="M2101"/>
      <x:c r="N2101"/>
      <x:c r="O2101"/>
      <x:c r="P2101"/>
    </x:row>
    <x:row r="2102">
      <x:c r="A2102"/>
      <x:c r="B2102"/>
      <x:c r="C2102"/>
      <x:c r="D2102"/>
      <x:c r="E2102"/>
      <x:c r="F2102"/>
      <x:c r="G2102" s="56"/>
      <x:c r="H2102"/>
      <x:c r="I2102"/>
      <x:c r="J2102"/>
      <x:c r="K2102"/>
      <x:c r="L2102"/>
      <x:c r="M2102"/>
      <x:c r="N2102"/>
      <x:c r="O2102"/>
      <x:c r="P2102"/>
    </x:row>
    <x:row r="2103">
      <x:c r="A2103"/>
      <x:c r="B2103"/>
      <x:c r="C2103"/>
      <x:c r="D2103"/>
      <x:c r="E2103"/>
      <x:c r="F2103"/>
      <x:c r="G2103" s="56"/>
      <x:c r="H2103"/>
      <x:c r="I2103"/>
      <x:c r="J2103"/>
      <x:c r="K2103"/>
      <x:c r="L2103"/>
      <x:c r="M2103"/>
      <x:c r="N2103"/>
      <x:c r="O2103"/>
      <x:c r="P2103"/>
    </x:row>
    <x:row r="2104">
      <x:c r="A2104"/>
      <x:c r="B2104"/>
      <x:c r="C2104"/>
      <x:c r="D2104"/>
      <x:c r="E2104"/>
      <x:c r="F2104"/>
      <x:c r="G2104" s="56"/>
      <x:c r="H2104"/>
      <x:c r="I2104"/>
      <x:c r="J2104"/>
      <x:c r="K2104"/>
      <x:c r="L2104"/>
      <x:c r="M2104"/>
      <x:c r="N2104"/>
      <x:c r="O2104"/>
      <x:c r="P2104"/>
    </x:row>
    <x:row r="2105">
      <x:c r="A2105"/>
      <x:c r="B2105"/>
      <x:c r="C2105"/>
      <x:c r="D2105"/>
      <x:c r="E2105"/>
      <x:c r="F2105"/>
      <x:c r="G2105" s="56"/>
      <x:c r="H2105"/>
      <x:c r="I2105"/>
      <x:c r="J2105"/>
      <x:c r="K2105"/>
      <x:c r="L2105"/>
      <x:c r="M2105"/>
      <x:c r="N2105"/>
      <x:c r="O2105"/>
      <x:c r="P2105"/>
    </x:row>
    <x:row r="2106">
      <x:c r="A2106"/>
      <x:c r="B2106"/>
      <x:c r="C2106"/>
      <x:c r="D2106"/>
      <x:c r="E2106"/>
      <x:c r="F2106"/>
      <x:c r="G2106" s="56"/>
      <x:c r="H2106"/>
      <x:c r="I2106"/>
      <x:c r="J2106"/>
      <x:c r="K2106"/>
      <x:c r="L2106"/>
      <x:c r="M2106"/>
      <x:c r="N2106"/>
      <x:c r="O2106"/>
      <x:c r="P2106"/>
    </x:row>
    <x:row r="2107">
      <x:c r="A2107"/>
      <x:c r="B2107"/>
      <x:c r="C2107"/>
      <x:c r="D2107"/>
      <x:c r="E2107"/>
      <x:c r="F2107"/>
      <x:c r="G2107" s="56"/>
      <x:c r="H2107"/>
      <x:c r="I2107"/>
      <x:c r="J2107"/>
      <x:c r="K2107"/>
      <x:c r="L2107"/>
      <x:c r="M2107"/>
      <x:c r="N2107"/>
      <x:c r="O2107"/>
      <x:c r="P2107"/>
    </x:row>
    <x:row r="2108">
      <x:c r="A2108"/>
      <x:c r="B2108"/>
      <x:c r="C2108"/>
      <x:c r="D2108"/>
      <x:c r="E2108"/>
      <x:c r="F2108"/>
      <x:c r="G2108" s="56"/>
      <x:c r="H2108"/>
      <x:c r="I2108"/>
      <x:c r="J2108"/>
      <x:c r="K2108"/>
      <x:c r="L2108"/>
      <x:c r="M2108"/>
      <x:c r="N2108"/>
      <x:c r="O2108"/>
      <x:c r="P2108"/>
    </x:row>
    <x:row r="2109">
      <x:c r="A2109"/>
      <x:c r="B2109"/>
      <x:c r="C2109"/>
      <x:c r="D2109"/>
      <x:c r="E2109"/>
      <x:c r="F2109"/>
      <x:c r="G2109" s="56"/>
      <x:c r="H2109"/>
      <x:c r="I2109"/>
      <x:c r="J2109"/>
      <x:c r="K2109"/>
      <x:c r="L2109"/>
      <x:c r="M2109"/>
      <x:c r="N2109"/>
      <x:c r="O2109"/>
      <x:c r="P2109"/>
    </x:row>
    <x:row r="2110">
      <x:c r="A2110"/>
      <x:c r="B2110"/>
      <x:c r="C2110"/>
      <x:c r="D2110"/>
      <x:c r="E2110"/>
      <x:c r="F2110"/>
      <x:c r="G2110" s="56"/>
      <x:c r="H2110"/>
      <x:c r="I2110"/>
      <x:c r="J2110"/>
      <x:c r="K2110"/>
      <x:c r="L2110"/>
      <x:c r="M2110"/>
      <x:c r="N2110"/>
      <x:c r="O2110"/>
      <x:c r="P2110"/>
    </x:row>
    <x:row r="2111">
      <x:c r="A2111"/>
      <x:c r="B2111"/>
      <x:c r="C2111"/>
      <x:c r="D2111"/>
      <x:c r="E2111"/>
      <x:c r="F2111"/>
      <x:c r="G2111" s="56"/>
      <x:c r="H2111"/>
      <x:c r="I2111"/>
      <x:c r="J2111"/>
      <x:c r="K2111"/>
      <x:c r="L2111"/>
      <x:c r="M2111"/>
      <x:c r="N2111"/>
      <x:c r="O2111"/>
      <x:c r="P2111"/>
    </x:row>
    <x:row r="2112">
      <x:c r="A2112"/>
      <x:c r="B2112"/>
      <x:c r="C2112"/>
      <x:c r="D2112"/>
      <x:c r="E2112"/>
      <x:c r="F2112"/>
      <x:c r="G2112" s="56"/>
      <x:c r="H2112"/>
      <x:c r="I2112"/>
      <x:c r="J2112"/>
      <x:c r="K2112"/>
      <x:c r="L2112"/>
      <x:c r="M2112"/>
      <x:c r="N2112"/>
      <x:c r="O2112"/>
      <x:c r="P2112"/>
    </x:row>
    <x:row r="2113">
      <x:c r="A2113"/>
      <x:c r="B2113"/>
      <x:c r="C2113"/>
      <x:c r="D2113"/>
      <x:c r="E2113"/>
      <x:c r="F2113"/>
      <x:c r="G2113" s="56"/>
      <x:c r="H2113"/>
      <x:c r="I2113"/>
      <x:c r="J2113"/>
      <x:c r="K2113"/>
      <x:c r="L2113"/>
      <x:c r="M2113"/>
      <x:c r="N2113"/>
      <x:c r="O2113"/>
      <x:c r="P2113"/>
    </x:row>
    <x:row r="2114">
      <x:c r="A2114"/>
      <x:c r="B2114"/>
      <x:c r="C2114"/>
      <x:c r="D2114"/>
      <x:c r="E2114"/>
      <x:c r="F2114"/>
      <x:c r="G2114" s="56"/>
      <x:c r="H2114"/>
      <x:c r="I2114"/>
      <x:c r="J2114"/>
      <x:c r="K2114"/>
      <x:c r="L2114"/>
      <x:c r="M2114"/>
      <x:c r="N2114"/>
      <x:c r="O2114"/>
      <x:c r="P2114"/>
    </x:row>
    <x:row r="2115">
      <x:c r="A2115"/>
      <x:c r="B2115"/>
      <x:c r="C2115"/>
      <x:c r="D2115"/>
      <x:c r="E2115"/>
      <x:c r="F2115"/>
      <x:c r="G2115" s="56"/>
      <x:c r="H2115"/>
      <x:c r="I2115"/>
      <x:c r="J2115"/>
      <x:c r="K2115"/>
      <x:c r="L2115"/>
      <x:c r="M2115"/>
      <x:c r="N2115"/>
      <x:c r="O2115"/>
      <x:c r="P2115"/>
    </x:row>
    <x:row r="2116">
      <x:c r="A2116"/>
      <x:c r="B2116"/>
      <x:c r="C2116"/>
      <x:c r="D2116"/>
      <x:c r="E2116"/>
      <x:c r="F2116"/>
      <x:c r="G2116" s="56"/>
      <x:c r="H2116"/>
      <x:c r="I2116"/>
      <x:c r="J2116"/>
      <x:c r="K2116"/>
      <x:c r="L2116"/>
      <x:c r="M2116"/>
      <x:c r="N2116"/>
      <x:c r="O2116"/>
      <x:c r="P2116"/>
    </x:row>
    <x:row r="2117">
      <x:c r="A2117"/>
      <x:c r="B2117"/>
      <x:c r="C2117"/>
      <x:c r="D2117"/>
      <x:c r="E2117"/>
      <x:c r="F2117"/>
      <x:c r="G2117" s="56"/>
      <x:c r="H2117"/>
      <x:c r="I2117"/>
      <x:c r="J2117"/>
      <x:c r="K2117"/>
      <x:c r="L2117"/>
      <x:c r="M2117"/>
      <x:c r="N2117"/>
      <x:c r="O2117"/>
      <x:c r="P2117"/>
    </x:row>
    <x:row r="2118">
      <x:c r="A2118"/>
      <x:c r="B2118"/>
      <x:c r="C2118"/>
      <x:c r="D2118"/>
      <x:c r="E2118"/>
      <x:c r="F2118"/>
      <x:c r="G2118" s="56"/>
      <x:c r="H2118"/>
      <x:c r="I2118"/>
      <x:c r="J2118"/>
      <x:c r="K2118"/>
      <x:c r="L2118"/>
      <x:c r="M2118"/>
      <x:c r="N2118"/>
      <x:c r="O2118"/>
      <x:c r="P2118"/>
    </x:row>
    <x:row r="2119">
      <x:c r="A2119"/>
      <x:c r="B2119"/>
      <x:c r="C2119"/>
      <x:c r="D2119"/>
      <x:c r="E2119"/>
      <x:c r="F2119"/>
      <x:c r="G2119" s="56"/>
      <x:c r="H2119"/>
      <x:c r="I2119"/>
      <x:c r="J2119"/>
      <x:c r="K2119"/>
      <x:c r="L2119"/>
      <x:c r="M2119"/>
      <x:c r="N2119"/>
      <x:c r="O2119"/>
      <x:c r="P2119"/>
    </x:row>
    <x:row r="2120">
      <x:c r="A2120"/>
      <x:c r="B2120"/>
      <x:c r="C2120"/>
      <x:c r="D2120"/>
      <x:c r="E2120"/>
      <x:c r="F2120"/>
      <x:c r="G2120" s="56"/>
      <x:c r="H2120"/>
      <x:c r="I2120"/>
      <x:c r="J2120"/>
      <x:c r="K2120"/>
      <x:c r="L2120"/>
      <x:c r="M2120"/>
      <x:c r="N2120"/>
      <x:c r="O2120"/>
      <x:c r="P2120"/>
    </x:row>
    <x:row r="2121">
      <x:c r="A2121"/>
      <x:c r="B2121"/>
      <x:c r="C2121"/>
      <x:c r="D2121"/>
      <x:c r="E2121"/>
      <x:c r="F2121"/>
      <x:c r="G2121" s="56"/>
      <x:c r="H2121"/>
      <x:c r="I2121"/>
      <x:c r="J2121"/>
      <x:c r="K2121"/>
      <x:c r="L2121"/>
      <x:c r="M2121"/>
      <x:c r="N2121"/>
      <x:c r="O2121"/>
      <x:c r="P2121"/>
    </x:row>
    <x:row r="2122">
      <x:c r="A2122"/>
      <x:c r="B2122"/>
      <x:c r="C2122"/>
      <x:c r="D2122"/>
      <x:c r="E2122"/>
      <x:c r="F2122"/>
      <x:c r="G2122" s="56"/>
      <x:c r="H2122"/>
      <x:c r="I2122"/>
      <x:c r="J2122"/>
      <x:c r="K2122"/>
      <x:c r="L2122"/>
      <x:c r="M2122"/>
      <x:c r="N2122"/>
      <x:c r="O2122"/>
      <x:c r="P2122"/>
    </x:row>
    <x:row r="2123">
      <x:c r="A2123"/>
      <x:c r="B2123"/>
      <x:c r="C2123"/>
      <x:c r="D2123"/>
      <x:c r="E2123"/>
      <x:c r="F2123"/>
      <x:c r="G2123" s="56"/>
      <x:c r="H2123"/>
      <x:c r="I2123"/>
      <x:c r="J2123"/>
      <x:c r="K2123"/>
      <x:c r="L2123"/>
      <x:c r="M2123"/>
      <x:c r="N2123"/>
      <x:c r="O2123"/>
      <x:c r="P2123"/>
    </x:row>
    <x:row r="2124">
      <x:c r="A2124"/>
      <x:c r="B2124"/>
      <x:c r="C2124"/>
      <x:c r="D2124"/>
      <x:c r="E2124"/>
      <x:c r="F2124"/>
      <x:c r="G2124" s="56"/>
      <x:c r="H2124"/>
      <x:c r="I2124"/>
      <x:c r="J2124"/>
      <x:c r="K2124"/>
      <x:c r="L2124"/>
      <x:c r="M2124"/>
      <x:c r="N2124"/>
      <x:c r="O2124"/>
      <x:c r="P2124"/>
    </x:row>
    <x:row r="2125">
      <x:c r="A2125"/>
      <x:c r="B2125"/>
      <x:c r="C2125"/>
      <x:c r="D2125"/>
      <x:c r="E2125"/>
      <x:c r="F2125"/>
      <x:c r="G2125" s="56"/>
      <x:c r="H2125"/>
      <x:c r="I2125"/>
      <x:c r="J2125"/>
      <x:c r="K2125"/>
      <x:c r="L2125"/>
      <x:c r="M2125"/>
      <x:c r="N2125"/>
      <x:c r="O2125"/>
      <x:c r="P2125"/>
    </x:row>
    <x:row r="2126">
      <x:c r="A2126"/>
      <x:c r="B2126"/>
      <x:c r="C2126"/>
      <x:c r="D2126"/>
      <x:c r="E2126"/>
      <x:c r="F2126"/>
      <x:c r="G2126" s="56"/>
      <x:c r="H2126"/>
      <x:c r="I2126"/>
      <x:c r="J2126"/>
      <x:c r="K2126"/>
      <x:c r="L2126"/>
      <x:c r="M2126"/>
      <x:c r="N2126"/>
      <x:c r="O2126"/>
      <x:c r="P2126"/>
    </x:row>
    <x:row r="2127">
      <x:c r="A2127"/>
      <x:c r="B2127"/>
      <x:c r="C2127"/>
      <x:c r="D2127"/>
      <x:c r="E2127"/>
      <x:c r="F2127"/>
      <x:c r="G2127" s="56"/>
      <x:c r="H2127"/>
      <x:c r="I2127"/>
      <x:c r="J2127"/>
      <x:c r="K2127"/>
      <x:c r="L2127"/>
      <x:c r="M2127"/>
      <x:c r="N2127"/>
      <x:c r="O2127"/>
      <x:c r="P2127"/>
    </x:row>
    <x:row r="2128">
      <x:c r="A2128"/>
      <x:c r="B2128"/>
      <x:c r="C2128"/>
      <x:c r="D2128"/>
      <x:c r="E2128"/>
      <x:c r="F2128"/>
      <x:c r="G2128" s="56"/>
      <x:c r="H2128"/>
      <x:c r="I2128"/>
      <x:c r="J2128"/>
      <x:c r="K2128"/>
      <x:c r="L2128"/>
      <x:c r="M2128"/>
      <x:c r="N2128"/>
      <x:c r="O2128"/>
      <x:c r="P2128"/>
    </x:row>
    <x:row r="2129">
      <x:c r="A2129"/>
      <x:c r="B2129"/>
      <x:c r="C2129"/>
      <x:c r="D2129"/>
      <x:c r="E2129"/>
      <x:c r="F2129"/>
      <x:c r="G2129" s="56"/>
      <x:c r="H2129"/>
      <x:c r="I2129"/>
      <x:c r="J2129"/>
      <x:c r="K2129"/>
      <x:c r="L2129"/>
      <x:c r="M2129"/>
      <x:c r="N2129"/>
      <x:c r="O2129"/>
      <x:c r="P2129"/>
    </x:row>
    <x:row r="2130">
      <x:c r="A2130"/>
      <x:c r="B2130"/>
      <x:c r="C2130"/>
      <x:c r="D2130"/>
      <x:c r="E2130"/>
      <x:c r="F2130"/>
      <x:c r="G2130" s="56"/>
      <x:c r="H2130"/>
      <x:c r="I2130"/>
      <x:c r="J2130"/>
      <x:c r="K2130"/>
      <x:c r="L2130"/>
      <x:c r="M2130"/>
      <x:c r="N2130"/>
      <x:c r="O2130"/>
      <x:c r="P2130"/>
    </x:row>
    <x:row r="2131">
      <x:c r="A2131"/>
      <x:c r="B2131"/>
      <x:c r="C2131"/>
      <x:c r="D2131"/>
      <x:c r="E2131"/>
      <x:c r="F2131"/>
      <x:c r="G2131" s="56"/>
      <x:c r="H2131"/>
      <x:c r="I2131"/>
      <x:c r="J2131"/>
      <x:c r="K2131"/>
      <x:c r="L2131"/>
      <x:c r="M2131"/>
      <x:c r="N2131"/>
      <x:c r="O2131"/>
      <x:c r="P2131"/>
    </x:row>
    <x:row r="2132">
      <x:c r="A2132"/>
      <x:c r="B2132"/>
      <x:c r="C2132"/>
      <x:c r="D2132"/>
      <x:c r="E2132"/>
      <x:c r="F2132"/>
      <x:c r="G2132" s="56"/>
      <x:c r="H2132"/>
      <x:c r="I2132"/>
      <x:c r="J2132"/>
      <x:c r="K2132"/>
      <x:c r="L2132"/>
      <x:c r="M2132"/>
      <x:c r="N2132"/>
      <x:c r="O2132"/>
      <x:c r="P2132"/>
    </x:row>
    <x:row r="2133">
      <x:c r="A2133"/>
      <x:c r="B2133"/>
      <x:c r="C2133"/>
      <x:c r="D2133"/>
      <x:c r="E2133"/>
      <x:c r="F2133"/>
      <x:c r="G2133" s="56"/>
      <x:c r="H2133"/>
      <x:c r="I2133"/>
      <x:c r="J2133"/>
      <x:c r="K2133"/>
      <x:c r="L2133"/>
      <x:c r="M2133"/>
      <x:c r="N2133"/>
      <x:c r="O2133"/>
      <x:c r="P2133"/>
    </x:row>
    <x:row r="2134">
      <x:c r="A2134"/>
      <x:c r="B2134"/>
      <x:c r="C2134"/>
      <x:c r="D2134"/>
      <x:c r="E2134"/>
      <x:c r="F2134"/>
      <x:c r="G2134" s="56"/>
      <x:c r="H2134"/>
      <x:c r="I2134"/>
      <x:c r="J2134"/>
      <x:c r="K2134"/>
      <x:c r="L2134"/>
      <x:c r="M2134"/>
      <x:c r="N2134"/>
      <x:c r="O2134"/>
      <x:c r="P2134"/>
    </x:row>
    <x:row r="2135">
      <x:c r="A2135"/>
      <x:c r="B2135"/>
      <x:c r="C2135"/>
      <x:c r="D2135"/>
      <x:c r="E2135"/>
      <x:c r="F2135"/>
      <x:c r="G2135" s="56"/>
      <x:c r="H2135"/>
      <x:c r="I2135"/>
      <x:c r="J2135"/>
      <x:c r="K2135"/>
      <x:c r="L2135"/>
      <x:c r="M2135"/>
      <x:c r="N2135"/>
      <x:c r="O2135"/>
      <x:c r="P2135"/>
    </x:row>
    <x:row r="2136">
      <x:c r="A2136"/>
      <x:c r="B2136"/>
      <x:c r="C2136"/>
      <x:c r="D2136"/>
      <x:c r="E2136"/>
      <x:c r="F2136"/>
      <x:c r="G2136" s="56"/>
      <x:c r="H2136"/>
      <x:c r="I2136"/>
      <x:c r="J2136"/>
      <x:c r="K2136"/>
      <x:c r="L2136"/>
      <x:c r="M2136"/>
      <x:c r="N2136"/>
      <x:c r="O2136"/>
      <x:c r="P2136"/>
    </x:row>
    <x:row r="2137">
      <x:c r="A2137"/>
      <x:c r="B2137"/>
      <x:c r="C2137"/>
      <x:c r="D2137"/>
      <x:c r="E2137"/>
      <x:c r="F2137"/>
      <x:c r="G2137" s="56"/>
      <x:c r="H2137"/>
      <x:c r="I2137"/>
      <x:c r="J2137"/>
      <x:c r="K2137"/>
      <x:c r="L2137"/>
      <x:c r="M2137"/>
      <x:c r="N2137"/>
      <x:c r="O2137"/>
      <x:c r="P2137"/>
    </x:row>
    <x:row r="2138">
      <x:c r="A2138"/>
      <x:c r="B2138"/>
      <x:c r="C2138"/>
      <x:c r="D2138"/>
      <x:c r="E2138"/>
      <x:c r="F2138"/>
      <x:c r="G2138" s="56"/>
      <x:c r="H2138"/>
      <x:c r="I2138"/>
      <x:c r="J2138"/>
      <x:c r="K2138"/>
      <x:c r="L2138"/>
      <x:c r="M2138"/>
      <x:c r="N2138"/>
      <x:c r="O2138"/>
      <x:c r="P2138"/>
    </x:row>
    <x:row r="2139">
      <x:c r="A2139"/>
      <x:c r="B2139"/>
      <x:c r="C2139"/>
      <x:c r="D2139"/>
      <x:c r="E2139"/>
      <x:c r="F2139"/>
      <x:c r="G2139" s="56"/>
      <x:c r="H2139"/>
      <x:c r="I2139"/>
      <x:c r="J2139"/>
      <x:c r="K2139"/>
      <x:c r="L2139"/>
      <x:c r="M2139"/>
      <x:c r="N2139"/>
      <x:c r="O2139"/>
      <x:c r="P2139"/>
    </x:row>
    <x:row r="2140">
      <x:c r="A2140"/>
      <x:c r="B2140"/>
      <x:c r="C2140"/>
      <x:c r="D2140"/>
      <x:c r="E2140"/>
      <x:c r="F2140"/>
      <x:c r="G2140" s="56"/>
      <x:c r="H2140"/>
      <x:c r="I2140"/>
      <x:c r="J2140"/>
      <x:c r="K2140"/>
      <x:c r="L2140"/>
      <x:c r="M2140"/>
      <x:c r="N2140"/>
      <x:c r="O2140"/>
      <x:c r="P2140"/>
    </x:row>
    <x:row r="2141">
      <x:c r="A2141"/>
      <x:c r="B2141"/>
      <x:c r="C2141"/>
      <x:c r="D2141"/>
      <x:c r="E2141"/>
      <x:c r="F2141"/>
      <x:c r="G2141" s="56"/>
      <x:c r="H2141"/>
      <x:c r="I2141"/>
      <x:c r="J2141"/>
      <x:c r="K2141"/>
      <x:c r="L2141"/>
      <x:c r="M2141"/>
      <x:c r="N2141"/>
      <x:c r="O2141"/>
      <x:c r="P2141"/>
    </x:row>
    <x:row r="2142">
      <x:c r="A2142"/>
      <x:c r="B2142"/>
      <x:c r="C2142"/>
      <x:c r="D2142"/>
      <x:c r="E2142"/>
      <x:c r="F2142"/>
      <x:c r="G2142" s="56"/>
      <x:c r="H2142"/>
      <x:c r="I2142"/>
      <x:c r="J2142"/>
      <x:c r="K2142"/>
      <x:c r="L2142"/>
      <x:c r="M2142"/>
      <x:c r="N2142"/>
      <x:c r="O2142"/>
      <x:c r="P2142"/>
    </x:row>
    <x:row r="2143">
      <x:c r="A2143"/>
      <x:c r="B2143"/>
      <x:c r="C2143"/>
      <x:c r="D2143"/>
      <x:c r="E2143"/>
      <x:c r="F2143"/>
      <x:c r="G2143" s="56"/>
      <x:c r="H2143"/>
      <x:c r="I2143"/>
      <x:c r="J2143"/>
      <x:c r="K2143"/>
      <x:c r="L2143"/>
      <x:c r="M2143"/>
      <x:c r="N2143"/>
      <x:c r="O2143"/>
      <x:c r="P2143"/>
    </x:row>
    <x:row r="2144">
      <x:c r="A2144"/>
      <x:c r="B2144"/>
      <x:c r="C2144"/>
      <x:c r="D2144"/>
      <x:c r="E2144"/>
      <x:c r="F2144"/>
      <x:c r="G2144" s="56"/>
      <x:c r="H2144"/>
      <x:c r="I2144"/>
      <x:c r="J2144"/>
      <x:c r="K2144"/>
      <x:c r="L2144"/>
      <x:c r="M2144"/>
      <x:c r="N2144"/>
      <x:c r="O2144"/>
      <x:c r="P2144"/>
    </x:row>
    <x:row r="2145">
      <x:c r="A2145"/>
      <x:c r="B2145"/>
      <x:c r="C2145"/>
      <x:c r="D2145"/>
      <x:c r="E2145"/>
      <x:c r="F2145"/>
      <x:c r="G2145" s="56"/>
      <x:c r="H2145"/>
      <x:c r="I2145"/>
      <x:c r="J2145"/>
      <x:c r="K2145"/>
      <x:c r="L2145"/>
      <x:c r="M2145"/>
      <x:c r="N2145"/>
      <x:c r="O2145"/>
      <x:c r="P2145"/>
    </x:row>
    <x:row r="2146">
      <x:c r="A2146"/>
      <x:c r="B2146"/>
      <x:c r="C2146"/>
      <x:c r="D2146"/>
      <x:c r="E2146"/>
      <x:c r="F2146"/>
      <x:c r="G2146" s="56"/>
      <x:c r="H2146"/>
      <x:c r="I2146"/>
      <x:c r="J2146"/>
      <x:c r="K2146"/>
      <x:c r="L2146"/>
      <x:c r="M2146"/>
      <x:c r="N2146"/>
      <x:c r="O2146"/>
      <x:c r="P2146"/>
    </x:row>
    <x:row r="2147">
      <x:c r="A2147"/>
      <x:c r="B2147"/>
      <x:c r="C2147"/>
      <x:c r="D2147"/>
      <x:c r="E2147"/>
      <x:c r="F2147"/>
      <x:c r="G2147" s="56"/>
      <x:c r="H2147"/>
      <x:c r="I2147"/>
      <x:c r="J2147"/>
      <x:c r="K2147"/>
      <x:c r="L2147"/>
      <x:c r="M2147"/>
      <x:c r="N2147"/>
      <x:c r="O2147"/>
      <x:c r="P2147"/>
    </x:row>
    <x:row r="2148">
      <x:c r="A2148"/>
      <x:c r="B2148"/>
      <x:c r="C2148"/>
      <x:c r="D2148"/>
      <x:c r="E2148"/>
      <x:c r="F2148"/>
      <x:c r="G2148" s="56"/>
      <x:c r="H2148"/>
      <x:c r="I2148"/>
      <x:c r="J2148"/>
      <x:c r="K2148"/>
      <x:c r="L2148"/>
      <x:c r="M2148"/>
      <x:c r="N2148"/>
      <x:c r="O2148"/>
      <x:c r="P2148"/>
    </x:row>
    <x:row r="2149">
      <x:c r="A2149"/>
      <x:c r="B2149"/>
      <x:c r="C2149"/>
      <x:c r="D2149"/>
      <x:c r="E2149"/>
      <x:c r="F2149"/>
      <x:c r="G2149" s="56"/>
      <x:c r="H2149"/>
      <x:c r="I2149"/>
      <x:c r="J2149"/>
      <x:c r="K2149"/>
      <x:c r="L2149"/>
      <x:c r="M2149"/>
      <x:c r="N2149"/>
      <x:c r="O2149"/>
      <x:c r="P2149"/>
    </x:row>
    <x:row r="2150">
      <x:c r="A2150"/>
      <x:c r="B2150"/>
      <x:c r="C2150"/>
      <x:c r="D2150"/>
      <x:c r="E2150"/>
      <x:c r="F2150"/>
      <x:c r="G2150" s="56"/>
      <x:c r="H2150"/>
      <x:c r="I2150"/>
      <x:c r="J2150"/>
      <x:c r="K2150"/>
      <x:c r="L2150"/>
      <x:c r="M2150"/>
      <x:c r="N2150"/>
      <x:c r="O2150"/>
      <x:c r="P2150"/>
    </x:row>
    <x:row r="2151">
      <x:c r="A2151"/>
      <x:c r="B2151"/>
      <x:c r="C2151"/>
      <x:c r="D2151"/>
      <x:c r="E2151"/>
      <x:c r="F2151"/>
      <x:c r="G2151" s="56"/>
      <x:c r="H2151"/>
      <x:c r="I2151"/>
      <x:c r="J2151"/>
      <x:c r="K2151"/>
      <x:c r="L2151"/>
      <x:c r="M2151"/>
      <x:c r="N2151"/>
      <x:c r="O2151"/>
      <x:c r="P2151"/>
    </x:row>
    <x:row r="2152">
      <x:c r="A2152"/>
      <x:c r="B2152"/>
      <x:c r="C2152"/>
      <x:c r="D2152"/>
      <x:c r="E2152"/>
      <x:c r="F2152"/>
      <x:c r="G2152" s="56"/>
      <x:c r="H2152"/>
      <x:c r="I2152"/>
      <x:c r="J2152"/>
      <x:c r="K2152"/>
      <x:c r="L2152"/>
      <x:c r="M2152"/>
      <x:c r="N2152"/>
      <x:c r="O2152"/>
      <x:c r="P2152"/>
    </x:row>
    <x:row r="2153">
      <x:c r="A2153"/>
      <x:c r="B2153"/>
      <x:c r="C2153"/>
      <x:c r="D2153"/>
      <x:c r="E2153"/>
      <x:c r="F2153"/>
      <x:c r="G2153" s="56"/>
      <x:c r="H2153"/>
      <x:c r="I2153"/>
      <x:c r="J2153"/>
      <x:c r="K2153"/>
      <x:c r="L2153"/>
      <x:c r="M2153"/>
      <x:c r="N2153"/>
      <x:c r="O2153"/>
      <x:c r="P2153"/>
    </x:row>
    <x:row r="2154">
      <x:c r="A2154"/>
      <x:c r="B2154"/>
      <x:c r="C2154"/>
      <x:c r="D2154"/>
      <x:c r="E2154"/>
      <x:c r="F2154"/>
      <x:c r="G2154" s="56"/>
      <x:c r="H2154"/>
      <x:c r="I2154"/>
      <x:c r="J2154"/>
      <x:c r="K2154"/>
      <x:c r="L2154"/>
      <x:c r="M2154"/>
      <x:c r="N2154"/>
      <x:c r="O2154"/>
      <x:c r="P2154"/>
    </x:row>
    <x:row r="2155">
      <x:c r="A2155"/>
      <x:c r="B2155"/>
      <x:c r="C2155"/>
      <x:c r="D2155"/>
      <x:c r="E2155"/>
      <x:c r="F2155"/>
      <x:c r="G2155" s="56"/>
      <x:c r="H2155"/>
      <x:c r="I2155"/>
      <x:c r="J2155"/>
      <x:c r="K2155"/>
      <x:c r="L2155"/>
      <x:c r="M2155"/>
      <x:c r="N2155"/>
      <x:c r="O2155"/>
      <x:c r="P2155"/>
    </x:row>
    <x:row r="2156">
      <x:c r="A2156"/>
      <x:c r="B2156"/>
      <x:c r="C2156"/>
      <x:c r="D2156"/>
      <x:c r="E2156"/>
      <x:c r="F2156"/>
      <x:c r="G2156" s="56"/>
      <x:c r="H2156"/>
      <x:c r="I2156"/>
      <x:c r="J2156"/>
      <x:c r="K2156"/>
      <x:c r="L2156"/>
      <x:c r="M2156"/>
      <x:c r="N2156"/>
      <x:c r="O2156"/>
      <x:c r="P2156"/>
    </x:row>
    <x:row r="2157">
      <x:c r="A2157"/>
      <x:c r="B2157"/>
      <x:c r="C2157"/>
      <x:c r="D2157"/>
      <x:c r="E2157"/>
      <x:c r="F2157"/>
      <x:c r="G2157" s="56"/>
      <x:c r="H2157"/>
      <x:c r="I2157"/>
      <x:c r="J2157"/>
      <x:c r="K2157"/>
      <x:c r="L2157"/>
      <x:c r="M2157"/>
      <x:c r="N2157"/>
      <x:c r="O2157"/>
      <x:c r="P2157"/>
    </x:row>
    <x:row r="2158">
      <x:c r="A2158"/>
      <x:c r="B2158"/>
      <x:c r="C2158"/>
      <x:c r="D2158"/>
      <x:c r="E2158"/>
      <x:c r="F2158"/>
      <x:c r="G2158" s="56"/>
      <x:c r="H2158"/>
      <x:c r="I2158"/>
      <x:c r="J2158"/>
      <x:c r="K2158"/>
      <x:c r="L2158"/>
      <x:c r="M2158"/>
      <x:c r="N2158"/>
      <x:c r="O2158"/>
      <x:c r="P2158"/>
    </x:row>
    <x:row r="2159">
      <x:c r="A2159"/>
      <x:c r="B2159"/>
      <x:c r="C2159"/>
      <x:c r="D2159"/>
      <x:c r="E2159"/>
      <x:c r="F2159"/>
      <x:c r="G2159" s="56"/>
      <x:c r="H2159"/>
      <x:c r="I2159"/>
      <x:c r="J2159"/>
      <x:c r="K2159"/>
      <x:c r="L2159"/>
      <x:c r="M2159"/>
      <x:c r="N2159"/>
      <x:c r="O2159"/>
      <x:c r="P2159"/>
    </x:row>
    <x:row r="2160">
      <x:c r="A2160"/>
      <x:c r="B2160"/>
      <x:c r="C2160"/>
      <x:c r="D2160"/>
      <x:c r="E2160"/>
      <x:c r="F2160"/>
      <x:c r="G2160" s="56"/>
      <x:c r="H2160"/>
      <x:c r="I2160"/>
      <x:c r="J2160"/>
      <x:c r="K2160"/>
      <x:c r="L2160"/>
      <x:c r="M2160"/>
      <x:c r="N2160"/>
      <x:c r="O2160"/>
      <x:c r="P2160"/>
    </x:row>
    <x:row r="2161">
      <x:c r="A2161"/>
      <x:c r="B2161"/>
      <x:c r="C2161"/>
      <x:c r="D2161"/>
      <x:c r="E2161"/>
      <x:c r="F2161"/>
      <x:c r="G2161" s="56"/>
      <x:c r="H2161"/>
      <x:c r="I2161"/>
      <x:c r="J2161"/>
      <x:c r="K2161"/>
      <x:c r="L2161"/>
      <x:c r="M2161"/>
      <x:c r="N2161"/>
      <x:c r="O2161"/>
      <x:c r="P2161"/>
    </x:row>
    <x:row r="2162">
      <x:c r="A2162"/>
      <x:c r="B2162"/>
      <x:c r="C2162"/>
      <x:c r="D2162"/>
      <x:c r="E2162"/>
      <x:c r="F2162"/>
      <x:c r="G2162" s="56"/>
      <x:c r="H2162"/>
      <x:c r="I2162"/>
      <x:c r="J2162"/>
      <x:c r="K2162"/>
      <x:c r="L2162"/>
      <x:c r="M2162"/>
      <x:c r="N2162"/>
      <x:c r="O2162"/>
      <x:c r="P2162"/>
    </x:row>
    <x:row r="2163">
      <x:c r="A2163"/>
      <x:c r="B2163"/>
      <x:c r="C2163"/>
      <x:c r="D2163"/>
      <x:c r="E2163"/>
      <x:c r="F2163"/>
      <x:c r="G2163" s="56"/>
      <x:c r="H2163"/>
      <x:c r="I2163"/>
      <x:c r="J2163"/>
      <x:c r="K2163"/>
      <x:c r="L2163"/>
      <x:c r="M2163"/>
      <x:c r="N2163"/>
      <x:c r="O2163"/>
      <x:c r="P2163"/>
    </x:row>
    <x:row r="2164">
      <x:c r="A2164"/>
      <x:c r="B2164"/>
      <x:c r="C2164"/>
      <x:c r="D2164"/>
      <x:c r="E2164"/>
      <x:c r="F2164"/>
      <x:c r="G2164" s="56"/>
      <x:c r="H2164"/>
      <x:c r="I2164"/>
      <x:c r="J2164"/>
      <x:c r="K2164"/>
      <x:c r="L2164"/>
      <x:c r="M2164"/>
      <x:c r="N2164"/>
      <x:c r="O2164"/>
      <x:c r="P2164"/>
    </x:row>
    <x:row r="2165">
      <x:c r="A2165"/>
      <x:c r="B2165"/>
      <x:c r="C2165"/>
      <x:c r="D2165"/>
      <x:c r="E2165"/>
      <x:c r="F2165"/>
      <x:c r="G2165" s="56"/>
      <x:c r="H2165"/>
      <x:c r="I2165"/>
      <x:c r="J2165"/>
      <x:c r="K2165"/>
      <x:c r="L2165"/>
      <x:c r="M2165"/>
      <x:c r="N2165"/>
      <x:c r="O2165"/>
      <x:c r="P2165"/>
    </x:row>
    <x:row r="2166">
      <x:c r="A2166"/>
      <x:c r="B2166"/>
      <x:c r="C2166"/>
      <x:c r="D2166"/>
      <x:c r="E2166"/>
      <x:c r="F2166"/>
      <x:c r="G2166" s="56"/>
      <x:c r="H2166"/>
      <x:c r="I2166"/>
      <x:c r="J2166"/>
      <x:c r="K2166"/>
      <x:c r="L2166"/>
      <x:c r="M2166"/>
      <x:c r="N2166"/>
      <x:c r="O2166"/>
      <x:c r="P2166"/>
    </x:row>
    <x:row r="2167">
      <x:c r="A2167"/>
      <x:c r="B2167"/>
      <x:c r="C2167"/>
      <x:c r="D2167"/>
      <x:c r="E2167"/>
      <x:c r="F2167"/>
      <x:c r="G2167" s="56"/>
      <x:c r="H2167"/>
      <x:c r="I2167"/>
      <x:c r="J2167"/>
      <x:c r="K2167"/>
      <x:c r="L2167"/>
      <x:c r="M2167"/>
      <x:c r="N2167"/>
      <x:c r="O2167"/>
      <x:c r="P2167"/>
    </x:row>
    <x:row r="2168">
      <x:c r="A2168"/>
      <x:c r="B2168"/>
      <x:c r="C2168"/>
      <x:c r="D2168"/>
      <x:c r="E2168"/>
      <x:c r="F2168"/>
      <x:c r="G2168" s="56"/>
      <x:c r="H2168"/>
      <x:c r="I2168"/>
      <x:c r="J2168"/>
      <x:c r="K2168"/>
      <x:c r="L2168"/>
      <x:c r="M2168"/>
      <x:c r="N2168"/>
      <x:c r="O2168"/>
      <x:c r="P2168"/>
    </x:row>
    <x:row r="2169">
      <x:c r="A2169"/>
      <x:c r="B2169"/>
      <x:c r="C2169"/>
      <x:c r="D2169"/>
      <x:c r="E2169"/>
      <x:c r="F2169"/>
      <x:c r="G2169" s="56"/>
      <x:c r="H2169"/>
      <x:c r="I2169"/>
      <x:c r="J2169"/>
      <x:c r="K2169"/>
      <x:c r="L2169"/>
      <x:c r="M2169"/>
      <x:c r="N2169"/>
      <x:c r="O2169"/>
      <x:c r="P2169"/>
    </x:row>
    <x:row r="2170">
      <x:c r="A2170"/>
      <x:c r="B2170"/>
      <x:c r="C2170"/>
      <x:c r="D2170"/>
      <x:c r="E2170"/>
      <x:c r="F2170"/>
      <x:c r="G2170" s="56"/>
      <x:c r="H2170"/>
      <x:c r="I2170"/>
      <x:c r="J2170"/>
      <x:c r="K2170"/>
      <x:c r="L2170"/>
      <x:c r="M2170"/>
      <x:c r="N2170"/>
      <x:c r="O2170"/>
      <x:c r="P2170"/>
    </x:row>
    <x:row r="2171">
      <x:c r="A2171"/>
      <x:c r="B2171"/>
      <x:c r="C2171"/>
      <x:c r="D2171"/>
      <x:c r="E2171"/>
      <x:c r="F2171"/>
      <x:c r="G2171" s="56"/>
      <x:c r="H2171"/>
      <x:c r="I2171"/>
      <x:c r="J2171"/>
      <x:c r="K2171"/>
      <x:c r="L2171"/>
      <x:c r="M2171"/>
      <x:c r="N2171"/>
      <x:c r="O2171"/>
      <x:c r="P2171"/>
    </x:row>
    <x:row r="2172">
      <x:c r="A2172"/>
      <x:c r="B2172"/>
      <x:c r="C2172"/>
      <x:c r="D2172"/>
      <x:c r="E2172"/>
      <x:c r="F2172"/>
      <x:c r="G2172" s="56"/>
      <x:c r="H2172"/>
      <x:c r="I2172"/>
      <x:c r="J2172"/>
      <x:c r="K2172"/>
      <x:c r="L2172"/>
      <x:c r="M2172"/>
      <x:c r="N2172"/>
      <x:c r="O2172"/>
      <x:c r="P2172"/>
    </x:row>
    <x:row r="2173">
      <x:c r="A2173"/>
      <x:c r="B2173"/>
      <x:c r="C2173"/>
      <x:c r="D2173"/>
      <x:c r="E2173"/>
      <x:c r="F2173"/>
      <x:c r="G2173" s="56"/>
      <x:c r="H2173"/>
      <x:c r="I2173"/>
      <x:c r="J2173"/>
      <x:c r="K2173"/>
      <x:c r="L2173"/>
      <x:c r="M2173"/>
      <x:c r="N2173"/>
      <x:c r="O2173"/>
      <x:c r="P2173"/>
    </x:row>
    <x:row r="2174">
      <x:c r="A2174"/>
      <x:c r="B2174"/>
      <x:c r="C2174"/>
      <x:c r="D2174"/>
      <x:c r="E2174"/>
      <x:c r="F2174"/>
      <x:c r="G2174" s="56"/>
      <x:c r="H2174"/>
      <x:c r="I2174"/>
      <x:c r="J2174"/>
      <x:c r="K2174"/>
      <x:c r="L2174"/>
      <x:c r="M2174"/>
      <x:c r="N2174"/>
      <x:c r="O2174"/>
      <x:c r="P2174"/>
    </x:row>
    <x:row r="2175">
      <x:c r="A2175"/>
      <x:c r="B2175"/>
      <x:c r="C2175"/>
      <x:c r="D2175"/>
      <x:c r="E2175"/>
      <x:c r="F2175"/>
      <x:c r="G2175" s="56"/>
      <x:c r="H2175"/>
      <x:c r="I2175"/>
      <x:c r="J2175"/>
      <x:c r="K2175"/>
      <x:c r="L2175"/>
      <x:c r="M2175"/>
      <x:c r="N2175"/>
      <x:c r="O2175"/>
      <x:c r="P2175"/>
    </x:row>
    <x:row r="2176">
      <x:c r="A2176"/>
      <x:c r="B2176"/>
      <x:c r="C2176"/>
      <x:c r="D2176"/>
      <x:c r="E2176"/>
      <x:c r="F2176"/>
      <x:c r="G2176" s="56"/>
      <x:c r="H2176"/>
      <x:c r="I2176"/>
      <x:c r="J2176"/>
      <x:c r="K2176"/>
      <x:c r="L2176"/>
      <x:c r="M2176"/>
      <x:c r="N2176"/>
      <x:c r="O2176"/>
      <x:c r="P2176"/>
    </x:row>
    <x:row r="2177">
      <x:c r="A2177"/>
      <x:c r="B2177"/>
      <x:c r="C2177"/>
      <x:c r="D2177"/>
      <x:c r="E2177"/>
      <x:c r="F2177"/>
      <x:c r="G2177" s="56"/>
      <x:c r="H2177"/>
      <x:c r="I2177"/>
      <x:c r="J2177"/>
      <x:c r="K2177"/>
      <x:c r="L2177"/>
      <x:c r="M2177"/>
      <x:c r="N2177"/>
      <x:c r="O2177"/>
      <x:c r="P2177"/>
    </x:row>
    <x:row r="2178">
      <x:c r="A2178"/>
      <x:c r="B2178"/>
      <x:c r="C2178"/>
      <x:c r="D2178"/>
      <x:c r="E2178"/>
      <x:c r="F2178"/>
      <x:c r="G2178" s="56"/>
      <x:c r="H2178"/>
      <x:c r="I2178"/>
      <x:c r="J2178"/>
      <x:c r="K2178"/>
      <x:c r="L2178"/>
      <x:c r="M2178"/>
      <x:c r="N2178"/>
      <x:c r="O2178"/>
      <x:c r="P2178"/>
    </x:row>
    <x:row r="2179">
      <x:c r="A2179"/>
      <x:c r="B2179"/>
      <x:c r="C2179"/>
      <x:c r="D2179"/>
      <x:c r="E2179"/>
      <x:c r="F2179"/>
      <x:c r="G2179" s="56"/>
      <x:c r="H2179"/>
      <x:c r="I2179"/>
      <x:c r="J2179"/>
      <x:c r="K2179"/>
      <x:c r="L2179"/>
      <x:c r="M2179"/>
      <x:c r="N2179"/>
      <x:c r="O2179"/>
      <x:c r="P2179"/>
    </x:row>
    <x:row r="2180">
      <x:c r="A2180"/>
      <x:c r="B2180"/>
      <x:c r="C2180"/>
      <x:c r="D2180"/>
      <x:c r="E2180"/>
      <x:c r="F2180"/>
      <x:c r="G2180" s="56"/>
      <x:c r="H2180"/>
      <x:c r="I2180"/>
      <x:c r="J2180"/>
      <x:c r="K2180"/>
      <x:c r="L2180"/>
      <x:c r="M2180"/>
      <x:c r="N2180"/>
      <x:c r="O2180"/>
      <x:c r="P2180"/>
    </x:row>
    <x:row r="2181">
      <x:c r="A2181"/>
      <x:c r="B2181"/>
      <x:c r="C2181"/>
      <x:c r="D2181"/>
      <x:c r="E2181"/>
      <x:c r="F2181"/>
      <x:c r="G2181" s="56"/>
      <x:c r="H2181"/>
      <x:c r="I2181"/>
      <x:c r="J2181"/>
      <x:c r="K2181"/>
      <x:c r="L2181"/>
      <x:c r="M2181"/>
      <x:c r="N2181"/>
      <x:c r="O2181"/>
      <x:c r="P2181"/>
    </x:row>
    <x:row r="2182">
      <x:c r="A2182"/>
      <x:c r="B2182"/>
      <x:c r="C2182"/>
      <x:c r="D2182"/>
      <x:c r="E2182"/>
      <x:c r="F2182"/>
      <x:c r="G2182" s="56"/>
      <x:c r="H2182"/>
      <x:c r="I2182"/>
      <x:c r="J2182"/>
      <x:c r="K2182"/>
      <x:c r="L2182"/>
      <x:c r="M2182"/>
      <x:c r="N2182"/>
      <x:c r="O2182"/>
      <x:c r="P2182"/>
    </x:row>
    <x:row r="2183">
      <x:c r="A2183"/>
      <x:c r="B2183"/>
      <x:c r="C2183"/>
      <x:c r="D2183"/>
      <x:c r="E2183"/>
      <x:c r="F2183"/>
      <x:c r="G2183" s="56"/>
      <x:c r="H2183"/>
      <x:c r="I2183"/>
      <x:c r="J2183"/>
      <x:c r="K2183"/>
      <x:c r="L2183"/>
      <x:c r="M2183"/>
      <x:c r="N2183"/>
      <x:c r="O2183"/>
      <x:c r="P2183"/>
    </x:row>
    <x:row r="2184">
      <x:c r="A2184"/>
      <x:c r="B2184"/>
      <x:c r="C2184"/>
      <x:c r="D2184"/>
      <x:c r="E2184"/>
      <x:c r="F2184"/>
      <x:c r="G2184" s="56"/>
      <x:c r="H2184"/>
      <x:c r="I2184"/>
      <x:c r="J2184"/>
      <x:c r="K2184"/>
      <x:c r="L2184"/>
      <x:c r="M2184"/>
      <x:c r="N2184"/>
      <x:c r="O2184"/>
      <x:c r="P2184"/>
    </x:row>
    <x:row r="2185">
      <x:c r="A2185"/>
      <x:c r="B2185"/>
      <x:c r="C2185"/>
      <x:c r="D2185"/>
      <x:c r="E2185"/>
      <x:c r="F2185"/>
      <x:c r="G2185" s="56"/>
      <x:c r="H2185"/>
      <x:c r="I2185"/>
      <x:c r="J2185"/>
      <x:c r="K2185"/>
      <x:c r="L2185"/>
      <x:c r="M2185"/>
      <x:c r="N2185"/>
      <x:c r="O2185"/>
      <x:c r="P2185"/>
    </x:row>
    <x:row r="2186">
      <x:c r="A2186"/>
      <x:c r="B2186"/>
      <x:c r="C2186"/>
      <x:c r="D2186"/>
      <x:c r="E2186"/>
      <x:c r="F2186"/>
      <x:c r="G2186" s="56"/>
      <x:c r="H2186"/>
      <x:c r="I2186"/>
      <x:c r="J2186"/>
      <x:c r="K2186"/>
      <x:c r="L2186"/>
      <x:c r="M2186"/>
      <x:c r="N2186"/>
      <x:c r="O2186"/>
      <x:c r="P2186"/>
    </x:row>
    <x:row r="2187">
      <x:c r="A2187"/>
      <x:c r="B2187"/>
      <x:c r="C2187"/>
      <x:c r="D2187"/>
      <x:c r="E2187"/>
      <x:c r="F2187"/>
      <x:c r="G2187" s="56"/>
      <x:c r="H2187"/>
      <x:c r="I2187"/>
      <x:c r="J2187"/>
      <x:c r="K2187"/>
      <x:c r="L2187"/>
      <x:c r="M2187"/>
      <x:c r="N2187"/>
      <x:c r="O2187"/>
      <x:c r="P2187"/>
    </x:row>
    <x:row r="2188">
      <x:c r="A2188"/>
      <x:c r="B2188"/>
      <x:c r="C2188"/>
      <x:c r="D2188"/>
      <x:c r="E2188"/>
      <x:c r="F2188"/>
      <x:c r="G2188" s="56"/>
      <x:c r="H2188"/>
      <x:c r="I2188"/>
      <x:c r="J2188"/>
      <x:c r="K2188"/>
      <x:c r="L2188"/>
      <x:c r="M2188"/>
      <x:c r="N2188"/>
      <x:c r="O2188"/>
      <x:c r="P2188"/>
    </x:row>
    <x:row r="2189">
      <x:c r="A2189"/>
      <x:c r="B2189"/>
      <x:c r="C2189"/>
      <x:c r="D2189"/>
      <x:c r="E2189"/>
      <x:c r="F2189"/>
      <x:c r="G2189" s="56"/>
      <x:c r="H2189"/>
      <x:c r="I2189"/>
      <x:c r="J2189"/>
      <x:c r="K2189"/>
      <x:c r="L2189"/>
      <x:c r="M2189"/>
      <x:c r="N2189"/>
      <x:c r="O2189"/>
      <x:c r="P2189"/>
    </x:row>
    <x:row r="2190">
      <x:c r="A2190"/>
      <x:c r="B2190"/>
      <x:c r="C2190"/>
      <x:c r="D2190"/>
      <x:c r="E2190"/>
      <x:c r="F2190"/>
      <x:c r="G2190" s="56"/>
      <x:c r="H2190"/>
      <x:c r="I2190"/>
      <x:c r="J2190"/>
      <x:c r="K2190"/>
      <x:c r="L2190"/>
      <x:c r="M2190"/>
      <x:c r="N2190"/>
      <x:c r="O2190"/>
      <x:c r="P2190"/>
    </x:row>
    <x:row r="2191">
      <x:c r="A2191"/>
      <x:c r="B2191"/>
      <x:c r="C2191"/>
      <x:c r="D2191"/>
      <x:c r="E2191"/>
      <x:c r="F2191"/>
      <x:c r="G2191" s="56"/>
      <x:c r="H2191"/>
      <x:c r="I2191"/>
      <x:c r="J2191"/>
      <x:c r="K2191"/>
      <x:c r="L2191"/>
      <x:c r="M2191"/>
      <x:c r="N2191"/>
      <x:c r="O2191"/>
      <x:c r="P2191"/>
    </x:row>
    <x:row r="2192">
      <x:c r="A2192"/>
      <x:c r="B2192"/>
      <x:c r="C2192"/>
      <x:c r="D2192"/>
      <x:c r="E2192"/>
      <x:c r="F2192"/>
      <x:c r="G2192" s="56"/>
      <x:c r="H2192"/>
      <x:c r="I2192"/>
      <x:c r="J2192"/>
      <x:c r="K2192"/>
      <x:c r="L2192"/>
      <x:c r="M2192"/>
      <x:c r="N2192"/>
      <x:c r="O2192"/>
      <x:c r="P2192"/>
    </x:row>
    <x:row r="2193">
      <x:c r="A2193"/>
      <x:c r="B2193"/>
      <x:c r="C2193"/>
      <x:c r="D2193"/>
      <x:c r="E2193"/>
      <x:c r="F2193"/>
      <x:c r="G2193" s="56"/>
      <x:c r="H2193"/>
      <x:c r="I2193"/>
      <x:c r="J2193"/>
      <x:c r="K2193"/>
      <x:c r="L2193"/>
      <x:c r="M2193"/>
      <x:c r="N2193"/>
      <x:c r="O2193"/>
      <x:c r="P2193"/>
    </x:row>
    <x:row r="2194">
      <x:c r="A2194"/>
      <x:c r="B2194"/>
      <x:c r="C2194"/>
      <x:c r="D2194"/>
      <x:c r="E2194"/>
      <x:c r="F2194"/>
      <x:c r="G2194" s="56"/>
      <x:c r="H2194"/>
      <x:c r="I2194"/>
      <x:c r="J2194"/>
      <x:c r="K2194"/>
      <x:c r="L2194"/>
      <x:c r="M2194"/>
      <x:c r="N2194"/>
      <x:c r="O2194"/>
      <x:c r="P2194"/>
    </x:row>
    <x:row r="2195">
      <x:c r="A2195"/>
      <x:c r="B2195"/>
      <x:c r="C2195"/>
      <x:c r="D2195"/>
      <x:c r="E2195"/>
      <x:c r="F2195"/>
      <x:c r="G2195" s="56"/>
      <x:c r="H2195"/>
      <x:c r="I2195"/>
      <x:c r="J2195"/>
      <x:c r="K2195"/>
      <x:c r="L2195"/>
      <x:c r="M2195"/>
      <x:c r="N2195"/>
      <x:c r="O2195"/>
      <x:c r="P2195"/>
    </x:row>
    <x:row r="2196">
      <x:c r="A2196"/>
      <x:c r="B2196"/>
      <x:c r="C2196"/>
      <x:c r="D2196"/>
      <x:c r="E2196"/>
      <x:c r="F2196"/>
      <x:c r="G2196" s="56"/>
      <x:c r="H2196"/>
      <x:c r="I2196"/>
      <x:c r="J2196"/>
      <x:c r="K2196"/>
      <x:c r="L2196"/>
      <x:c r="M2196"/>
      <x:c r="N2196"/>
      <x:c r="O2196"/>
      <x:c r="P2196"/>
    </x:row>
    <x:row r="2197">
      <x:c r="A2197"/>
      <x:c r="B2197"/>
      <x:c r="C2197"/>
      <x:c r="D2197"/>
      <x:c r="E2197"/>
      <x:c r="F2197"/>
      <x:c r="G2197" s="56"/>
      <x:c r="H2197"/>
      <x:c r="I2197"/>
      <x:c r="J2197"/>
      <x:c r="K2197"/>
      <x:c r="L2197"/>
      <x:c r="M2197"/>
      <x:c r="N2197"/>
      <x:c r="O2197"/>
      <x:c r="P2197"/>
    </x:row>
    <x:row r="2198">
      <x:c r="A2198"/>
      <x:c r="B2198"/>
      <x:c r="C2198"/>
      <x:c r="D2198"/>
      <x:c r="E2198"/>
      <x:c r="F2198"/>
      <x:c r="G2198" s="56"/>
      <x:c r="H2198"/>
      <x:c r="I2198"/>
      <x:c r="J2198"/>
      <x:c r="K2198"/>
      <x:c r="L2198"/>
      <x:c r="M2198"/>
      <x:c r="N2198"/>
      <x:c r="O2198"/>
      <x:c r="P2198"/>
    </x:row>
    <x:row r="2199">
      <x:c r="A2199"/>
      <x:c r="B2199"/>
      <x:c r="C2199"/>
      <x:c r="D2199"/>
      <x:c r="E2199"/>
      <x:c r="F2199"/>
      <x:c r="G2199" s="56"/>
      <x:c r="H2199"/>
      <x:c r="I2199"/>
      <x:c r="J2199"/>
      <x:c r="K2199"/>
      <x:c r="L2199"/>
      <x:c r="M2199"/>
      <x:c r="N2199"/>
      <x:c r="O2199"/>
      <x:c r="P2199"/>
    </x:row>
    <x:row r="2200">
      <x:c r="A2200"/>
      <x:c r="B2200"/>
      <x:c r="C2200"/>
      <x:c r="D2200"/>
      <x:c r="E2200"/>
      <x:c r="F2200"/>
      <x:c r="G2200" s="56"/>
      <x:c r="H2200"/>
      <x:c r="I2200"/>
      <x:c r="J2200"/>
      <x:c r="K2200"/>
      <x:c r="L2200"/>
      <x:c r="M2200"/>
      <x:c r="N2200"/>
      <x:c r="O2200"/>
      <x:c r="P2200"/>
    </x:row>
    <x:row r="2201">
      <x:c r="A2201"/>
      <x:c r="B2201"/>
      <x:c r="C2201"/>
      <x:c r="D2201"/>
      <x:c r="E2201"/>
      <x:c r="F2201"/>
      <x:c r="G2201" s="56"/>
      <x:c r="H2201"/>
      <x:c r="I2201"/>
      <x:c r="J2201"/>
      <x:c r="K2201"/>
      <x:c r="L2201"/>
      <x:c r="M2201"/>
      <x:c r="N2201"/>
      <x:c r="O2201"/>
      <x:c r="P2201"/>
    </x:row>
    <x:row r="2202">
      <x:c r="A2202"/>
      <x:c r="B2202"/>
      <x:c r="C2202"/>
      <x:c r="D2202"/>
      <x:c r="E2202"/>
      <x:c r="F2202"/>
      <x:c r="G2202" s="56"/>
      <x:c r="H2202"/>
      <x:c r="I2202"/>
      <x:c r="J2202"/>
      <x:c r="K2202"/>
      <x:c r="L2202"/>
      <x:c r="M2202"/>
      <x:c r="N2202"/>
      <x:c r="O2202"/>
      <x:c r="P2202"/>
    </x:row>
    <x:row r="2203">
      <x:c r="A2203"/>
      <x:c r="B2203"/>
      <x:c r="C2203"/>
      <x:c r="D2203"/>
      <x:c r="E2203"/>
      <x:c r="F2203"/>
      <x:c r="G2203" s="56"/>
      <x:c r="H2203"/>
      <x:c r="I2203"/>
      <x:c r="J2203"/>
      <x:c r="K2203"/>
      <x:c r="L2203"/>
      <x:c r="M2203"/>
      <x:c r="N2203"/>
      <x:c r="O2203"/>
      <x:c r="P2203"/>
    </x:row>
    <x:row r="2204">
      <x:c r="A2204"/>
      <x:c r="B2204"/>
      <x:c r="C2204"/>
      <x:c r="D2204"/>
      <x:c r="E2204"/>
      <x:c r="F2204"/>
      <x:c r="G2204" s="56"/>
      <x:c r="H2204"/>
      <x:c r="I2204"/>
      <x:c r="J2204"/>
      <x:c r="K2204"/>
      <x:c r="L2204"/>
      <x:c r="M2204"/>
      <x:c r="N2204"/>
      <x:c r="O2204"/>
      <x:c r="P2204"/>
    </x:row>
    <x:row r="2205">
      <x:c r="A2205"/>
      <x:c r="B2205"/>
      <x:c r="C2205"/>
      <x:c r="D2205"/>
      <x:c r="E2205"/>
      <x:c r="F2205"/>
      <x:c r="G2205" s="56"/>
      <x:c r="H2205"/>
      <x:c r="I2205"/>
      <x:c r="J2205"/>
      <x:c r="K2205"/>
      <x:c r="L2205"/>
      <x:c r="M2205"/>
      <x:c r="N2205"/>
      <x:c r="O2205"/>
      <x:c r="P2205"/>
    </x:row>
    <x:row r="2206">
      <x:c r="A2206"/>
      <x:c r="B2206"/>
      <x:c r="C2206"/>
      <x:c r="D2206"/>
      <x:c r="E2206"/>
      <x:c r="F2206"/>
      <x:c r="G2206" s="56"/>
      <x:c r="H2206"/>
      <x:c r="I2206"/>
      <x:c r="J2206"/>
      <x:c r="K2206"/>
      <x:c r="L2206"/>
      <x:c r="M2206"/>
      <x:c r="N2206"/>
      <x:c r="O2206"/>
      <x:c r="P2206"/>
    </x:row>
    <x:row r="2207">
      <x:c r="A2207"/>
      <x:c r="B2207"/>
      <x:c r="C2207"/>
      <x:c r="D2207"/>
      <x:c r="E2207"/>
      <x:c r="F2207"/>
      <x:c r="G2207" s="56"/>
      <x:c r="H2207"/>
      <x:c r="I2207"/>
      <x:c r="J2207"/>
      <x:c r="K2207"/>
      <x:c r="L2207"/>
      <x:c r="M2207"/>
      <x:c r="N2207"/>
      <x:c r="O2207"/>
      <x:c r="P2207"/>
    </x:row>
    <x:row r="2208">
      <x:c r="A2208"/>
      <x:c r="B2208"/>
      <x:c r="C2208"/>
      <x:c r="D2208"/>
      <x:c r="E2208"/>
      <x:c r="F2208"/>
      <x:c r="G2208" s="56"/>
      <x:c r="H2208"/>
      <x:c r="I2208"/>
      <x:c r="J2208"/>
      <x:c r="K2208"/>
      <x:c r="L2208"/>
      <x:c r="M2208"/>
      <x:c r="N2208"/>
      <x:c r="O2208"/>
      <x:c r="P2208"/>
    </x:row>
    <x:row r="2209">
      <x:c r="A2209"/>
      <x:c r="B2209"/>
      <x:c r="C2209"/>
      <x:c r="D2209"/>
      <x:c r="E2209"/>
      <x:c r="F2209"/>
      <x:c r="G2209" s="56"/>
      <x:c r="H2209"/>
      <x:c r="I2209"/>
      <x:c r="J2209"/>
      <x:c r="K2209"/>
      <x:c r="L2209"/>
      <x:c r="M2209"/>
      <x:c r="N2209"/>
      <x:c r="O2209"/>
      <x:c r="P2209"/>
    </x:row>
    <x:row r="2210">
      <x:c r="A2210"/>
      <x:c r="B2210"/>
      <x:c r="C2210"/>
      <x:c r="D2210"/>
      <x:c r="E2210"/>
      <x:c r="F2210"/>
      <x:c r="G2210" s="56"/>
      <x:c r="H2210"/>
      <x:c r="I2210"/>
      <x:c r="J2210"/>
      <x:c r="K2210"/>
      <x:c r="L2210"/>
      <x:c r="M2210"/>
      <x:c r="N2210"/>
      <x:c r="O2210"/>
      <x:c r="P2210"/>
    </x:row>
    <x:row r="2211">
      <x:c r="A2211"/>
      <x:c r="B2211"/>
      <x:c r="C2211"/>
      <x:c r="D2211"/>
      <x:c r="E2211"/>
      <x:c r="F2211"/>
      <x:c r="G2211" s="56"/>
      <x:c r="H2211"/>
      <x:c r="I2211"/>
      <x:c r="J2211"/>
      <x:c r="K2211"/>
      <x:c r="L2211"/>
      <x:c r="M2211"/>
      <x:c r="N2211"/>
      <x:c r="O2211"/>
      <x:c r="P2211"/>
    </x:row>
    <x:row r="2212">
      <x:c r="A2212"/>
      <x:c r="B2212"/>
      <x:c r="C2212"/>
      <x:c r="D2212"/>
      <x:c r="E2212"/>
      <x:c r="F2212"/>
      <x:c r="G2212" s="56"/>
      <x:c r="H2212"/>
      <x:c r="I2212"/>
      <x:c r="J2212"/>
      <x:c r="K2212"/>
      <x:c r="L2212"/>
      <x:c r="M2212"/>
      <x:c r="N2212"/>
      <x:c r="O2212"/>
      <x:c r="P2212"/>
    </x:row>
    <x:row r="2213">
      <x:c r="A2213"/>
      <x:c r="B2213"/>
      <x:c r="C2213"/>
      <x:c r="D2213"/>
      <x:c r="E2213"/>
      <x:c r="F2213"/>
      <x:c r="G2213" s="56"/>
      <x:c r="H2213"/>
      <x:c r="I2213"/>
      <x:c r="J2213"/>
      <x:c r="K2213"/>
      <x:c r="L2213"/>
      <x:c r="M2213"/>
      <x:c r="N2213"/>
      <x:c r="O2213"/>
      <x:c r="P2213"/>
    </x:row>
    <x:row r="2214">
      <x:c r="A2214"/>
      <x:c r="B2214"/>
      <x:c r="C2214"/>
      <x:c r="D2214"/>
      <x:c r="E2214"/>
      <x:c r="F2214"/>
      <x:c r="G2214" s="56"/>
      <x:c r="H2214"/>
      <x:c r="I2214"/>
      <x:c r="J2214"/>
      <x:c r="K2214"/>
      <x:c r="L2214"/>
      <x:c r="M2214"/>
      <x:c r="N2214"/>
      <x:c r="O2214"/>
      <x:c r="P2214"/>
    </x:row>
    <x:row r="2215">
      <x:c r="A2215"/>
      <x:c r="B2215"/>
      <x:c r="C2215"/>
      <x:c r="D2215"/>
      <x:c r="E2215"/>
      <x:c r="F2215"/>
      <x:c r="G2215" s="56"/>
      <x:c r="H2215"/>
      <x:c r="I2215"/>
      <x:c r="J2215"/>
      <x:c r="K2215"/>
      <x:c r="L2215"/>
      <x:c r="M2215"/>
      <x:c r="N2215"/>
      <x:c r="O2215"/>
      <x:c r="P2215"/>
    </x:row>
    <x:row r="2216">
      <x:c r="A2216"/>
      <x:c r="B2216"/>
      <x:c r="C2216"/>
      <x:c r="D2216"/>
      <x:c r="E2216"/>
      <x:c r="F2216"/>
      <x:c r="G2216" s="56"/>
      <x:c r="H2216"/>
      <x:c r="I2216"/>
      <x:c r="J2216"/>
      <x:c r="K2216"/>
      <x:c r="L2216"/>
      <x:c r="M2216"/>
      <x:c r="N2216"/>
      <x:c r="O2216"/>
      <x:c r="P2216"/>
    </x:row>
    <x:row r="2217">
      <x:c r="A2217"/>
      <x:c r="B2217"/>
      <x:c r="C2217"/>
      <x:c r="D2217"/>
      <x:c r="E2217"/>
      <x:c r="F2217"/>
      <x:c r="G2217" s="56"/>
      <x:c r="H2217"/>
      <x:c r="I2217"/>
      <x:c r="J2217"/>
      <x:c r="K2217"/>
      <x:c r="L2217"/>
      <x:c r="M2217"/>
      <x:c r="N2217"/>
      <x:c r="O2217"/>
      <x:c r="P2217"/>
    </x:row>
    <x:row r="2218">
      <x:c r="A2218"/>
      <x:c r="B2218"/>
      <x:c r="C2218"/>
      <x:c r="D2218"/>
      <x:c r="E2218"/>
      <x:c r="F2218"/>
      <x:c r="G2218" s="56"/>
      <x:c r="H2218"/>
      <x:c r="I2218"/>
      <x:c r="J2218"/>
      <x:c r="K2218"/>
      <x:c r="L2218"/>
      <x:c r="M2218"/>
      <x:c r="N2218"/>
      <x:c r="O2218"/>
      <x:c r="P2218"/>
    </x:row>
    <x:row r="2219">
      <x:c r="A2219"/>
      <x:c r="B2219"/>
      <x:c r="C2219"/>
      <x:c r="D2219"/>
      <x:c r="E2219"/>
      <x:c r="F2219"/>
      <x:c r="G2219" s="56"/>
      <x:c r="H2219"/>
      <x:c r="I2219"/>
      <x:c r="J2219"/>
      <x:c r="K2219"/>
      <x:c r="L2219"/>
      <x:c r="M2219"/>
      <x:c r="N2219"/>
      <x:c r="O2219"/>
      <x:c r="P2219"/>
    </x:row>
    <x:row r="2220">
      <x:c r="A2220"/>
      <x:c r="B2220"/>
      <x:c r="C2220"/>
      <x:c r="D2220"/>
      <x:c r="E2220"/>
      <x:c r="F2220"/>
      <x:c r="G2220" s="56"/>
      <x:c r="H2220"/>
      <x:c r="I2220"/>
      <x:c r="J2220"/>
      <x:c r="K2220"/>
      <x:c r="L2220"/>
      <x:c r="M2220"/>
      <x:c r="N2220"/>
      <x:c r="O2220"/>
      <x:c r="P2220"/>
    </x:row>
    <x:row r="2221">
      <x:c r="A2221"/>
      <x:c r="B2221"/>
      <x:c r="C2221"/>
      <x:c r="D2221"/>
      <x:c r="E2221"/>
      <x:c r="F2221"/>
      <x:c r="G2221" s="56"/>
      <x:c r="H2221"/>
      <x:c r="I2221"/>
      <x:c r="J2221"/>
      <x:c r="K2221"/>
      <x:c r="L2221"/>
      <x:c r="M2221"/>
      <x:c r="N2221"/>
      <x:c r="O2221"/>
      <x:c r="P2221"/>
    </x:row>
    <x:row r="2222">
      <x:c r="A2222"/>
      <x:c r="B2222"/>
      <x:c r="C2222"/>
      <x:c r="D2222"/>
      <x:c r="E2222"/>
      <x:c r="F2222"/>
      <x:c r="G2222" s="56"/>
      <x:c r="H2222"/>
      <x:c r="I2222"/>
      <x:c r="J2222"/>
      <x:c r="K2222"/>
      <x:c r="L2222"/>
      <x:c r="M2222"/>
      <x:c r="N2222"/>
      <x:c r="O2222"/>
      <x:c r="P2222"/>
    </x:row>
    <x:row r="2223">
      <x:c r="A2223"/>
      <x:c r="B2223"/>
      <x:c r="C2223"/>
      <x:c r="D2223"/>
      <x:c r="E2223"/>
      <x:c r="F2223"/>
      <x:c r="G2223" s="56"/>
      <x:c r="H2223"/>
      <x:c r="I2223"/>
      <x:c r="J2223"/>
      <x:c r="K2223"/>
      <x:c r="L2223"/>
      <x:c r="M2223"/>
      <x:c r="N2223"/>
      <x:c r="O2223"/>
      <x:c r="P2223"/>
    </x:row>
    <x:row r="2224">
      <x:c r="A2224"/>
      <x:c r="B2224"/>
      <x:c r="C2224"/>
      <x:c r="D2224"/>
      <x:c r="E2224"/>
      <x:c r="F2224"/>
      <x:c r="G2224" s="56"/>
      <x:c r="H2224"/>
      <x:c r="I2224"/>
      <x:c r="J2224"/>
      <x:c r="K2224"/>
      <x:c r="L2224"/>
      <x:c r="M2224"/>
      <x:c r="N2224"/>
      <x:c r="O2224"/>
      <x:c r="P2224"/>
    </x:row>
    <x:row r="2225">
      <x:c r="A2225"/>
      <x:c r="B2225"/>
      <x:c r="C2225"/>
      <x:c r="D2225"/>
      <x:c r="E2225"/>
      <x:c r="F2225"/>
      <x:c r="G2225" s="56"/>
      <x:c r="H2225"/>
      <x:c r="I2225"/>
      <x:c r="J2225"/>
      <x:c r="K2225"/>
      <x:c r="L2225"/>
      <x:c r="M2225"/>
      <x:c r="N2225"/>
      <x:c r="O2225"/>
      <x:c r="P2225"/>
    </x:row>
    <x:row r="2226">
      <x:c r="A2226"/>
      <x:c r="B2226"/>
      <x:c r="C2226"/>
      <x:c r="D2226"/>
      <x:c r="E2226"/>
      <x:c r="F2226"/>
      <x:c r="G2226" s="56"/>
      <x:c r="H2226"/>
      <x:c r="I2226"/>
      <x:c r="J2226"/>
      <x:c r="K2226"/>
      <x:c r="L2226"/>
      <x:c r="M2226"/>
      <x:c r="N2226"/>
      <x:c r="O2226"/>
      <x:c r="P2226"/>
    </x:row>
    <x:row r="2227">
      <x:c r="A2227"/>
      <x:c r="B2227"/>
      <x:c r="C2227"/>
      <x:c r="D2227"/>
      <x:c r="E2227"/>
      <x:c r="F2227"/>
      <x:c r="G2227" s="56"/>
      <x:c r="H2227"/>
      <x:c r="I2227"/>
      <x:c r="J2227"/>
      <x:c r="K2227"/>
      <x:c r="L2227"/>
      <x:c r="M2227"/>
      <x:c r="N2227"/>
      <x:c r="O2227"/>
      <x:c r="P2227"/>
    </x:row>
    <x:row r="2228">
      <x:c r="A2228"/>
      <x:c r="B2228"/>
      <x:c r="C2228"/>
      <x:c r="D2228"/>
      <x:c r="E2228"/>
      <x:c r="F2228"/>
      <x:c r="G2228" s="56"/>
      <x:c r="H2228"/>
      <x:c r="I2228"/>
      <x:c r="J2228"/>
      <x:c r="K2228"/>
      <x:c r="L2228"/>
      <x:c r="M2228"/>
      <x:c r="N2228"/>
      <x:c r="O2228"/>
      <x:c r="P2228"/>
    </x:row>
    <x:row r="2229">
      <x:c r="A2229"/>
      <x:c r="B2229"/>
      <x:c r="C2229"/>
      <x:c r="D2229"/>
      <x:c r="E2229"/>
      <x:c r="F2229"/>
      <x:c r="G2229" s="56"/>
      <x:c r="H2229"/>
      <x:c r="I2229"/>
      <x:c r="J2229"/>
      <x:c r="K2229"/>
      <x:c r="L2229"/>
      <x:c r="M2229"/>
      <x:c r="N2229"/>
      <x:c r="O2229"/>
      <x:c r="P2229"/>
    </x:row>
    <x:row r="2230">
      <x:c r="A2230"/>
      <x:c r="B2230"/>
      <x:c r="C2230"/>
      <x:c r="D2230"/>
      <x:c r="E2230"/>
      <x:c r="F2230"/>
      <x:c r="G2230" s="56"/>
      <x:c r="H2230"/>
      <x:c r="I2230"/>
      <x:c r="J2230"/>
      <x:c r="K2230"/>
      <x:c r="L2230"/>
      <x:c r="M2230"/>
      <x:c r="N2230"/>
      <x:c r="O2230"/>
      <x:c r="P2230"/>
    </x:row>
    <x:row r="2231">
      <x:c r="A2231"/>
      <x:c r="B2231"/>
      <x:c r="C2231"/>
      <x:c r="D2231"/>
      <x:c r="E2231"/>
      <x:c r="F2231"/>
      <x:c r="G2231" s="56"/>
      <x:c r="H2231"/>
      <x:c r="I2231"/>
      <x:c r="J2231"/>
      <x:c r="K2231"/>
      <x:c r="L2231"/>
      <x:c r="M2231"/>
      <x:c r="N2231"/>
      <x:c r="O2231"/>
      <x:c r="P2231"/>
    </x:row>
    <x:row r="2232">
      <x:c r="A2232"/>
      <x:c r="B2232"/>
      <x:c r="C2232"/>
      <x:c r="D2232"/>
      <x:c r="E2232"/>
      <x:c r="F2232"/>
      <x:c r="G2232" s="56"/>
      <x:c r="H2232"/>
      <x:c r="I2232"/>
      <x:c r="J2232"/>
      <x:c r="K2232"/>
      <x:c r="L2232"/>
      <x:c r="M2232"/>
      <x:c r="N2232"/>
      <x:c r="O2232"/>
      <x:c r="P2232"/>
    </x:row>
    <x:row r="2233">
      <x:c r="A2233"/>
      <x:c r="B2233"/>
      <x:c r="C2233"/>
      <x:c r="D2233"/>
      <x:c r="E2233"/>
      <x:c r="F2233"/>
      <x:c r="G2233" s="56"/>
      <x:c r="H2233"/>
      <x:c r="I2233"/>
      <x:c r="J2233"/>
      <x:c r="K2233"/>
      <x:c r="L2233"/>
      <x:c r="M2233"/>
      <x:c r="N2233"/>
      <x:c r="O2233"/>
      <x:c r="P2233"/>
    </x:row>
    <x:row r="2234">
      <x:c r="A2234"/>
      <x:c r="B2234"/>
      <x:c r="C2234"/>
      <x:c r="D2234"/>
      <x:c r="E2234"/>
      <x:c r="F2234"/>
      <x:c r="G2234" s="56"/>
      <x:c r="H2234"/>
      <x:c r="I2234"/>
      <x:c r="J2234"/>
      <x:c r="K2234"/>
      <x:c r="L2234"/>
      <x:c r="M2234"/>
      <x:c r="N2234"/>
      <x:c r="O2234"/>
      <x:c r="P2234"/>
    </x:row>
    <x:row r="2235">
      <x:c r="A2235"/>
      <x:c r="B2235"/>
      <x:c r="C2235"/>
      <x:c r="D2235"/>
      <x:c r="E2235"/>
      <x:c r="F2235"/>
      <x:c r="G2235" s="56"/>
      <x:c r="H2235"/>
      <x:c r="I2235"/>
      <x:c r="J2235"/>
      <x:c r="K2235"/>
      <x:c r="L2235"/>
      <x:c r="M2235"/>
      <x:c r="N2235"/>
      <x:c r="O2235"/>
      <x:c r="P2235"/>
    </x:row>
    <x:row r="2236">
      <x:c r="A2236"/>
      <x:c r="B2236"/>
      <x:c r="C2236"/>
      <x:c r="D2236"/>
      <x:c r="E2236"/>
      <x:c r="F2236"/>
      <x:c r="G2236" s="56"/>
      <x:c r="H2236"/>
      <x:c r="I2236"/>
      <x:c r="J2236"/>
      <x:c r="K2236"/>
      <x:c r="L2236"/>
      <x:c r="M2236"/>
      <x:c r="N2236"/>
      <x:c r="O2236"/>
      <x:c r="P2236"/>
    </x:row>
    <x:row r="2237">
      <x:c r="A2237"/>
      <x:c r="B2237"/>
      <x:c r="C2237"/>
      <x:c r="D2237"/>
      <x:c r="E2237"/>
      <x:c r="F2237"/>
      <x:c r="G2237" s="56"/>
      <x:c r="H2237"/>
      <x:c r="I2237"/>
      <x:c r="J2237"/>
      <x:c r="K2237"/>
      <x:c r="L2237"/>
      <x:c r="M2237"/>
      <x:c r="N2237"/>
      <x:c r="O2237"/>
      <x:c r="P2237"/>
    </x:row>
    <x:row r="2238">
      <x:c r="A2238"/>
      <x:c r="B2238"/>
      <x:c r="C2238"/>
      <x:c r="D2238"/>
      <x:c r="E2238"/>
      <x:c r="F2238"/>
      <x:c r="G2238" s="56"/>
      <x:c r="H2238"/>
      <x:c r="I2238"/>
      <x:c r="J2238"/>
      <x:c r="K2238"/>
      <x:c r="L2238"/>
      <x:c r="M2238"/>
      <x:c r="N2238"/>
      <x:c r="O2238"/>
      <x:c r="P2238"/>
    </x:row>
    <x:row r="2239">
      <x:c r="A2239"/>
      <x:c r="B2239"/>
      <x:c r="C2239"/>
      <x:c r="D2239"/>
      <x:c r="E2239"/>
      <x:c r="F2239"/>
      <x:c r="G2239" s="56"/>
      <x:c r="H2239"/>
      <x:c r="I2239"/>
      <x:c r="J2239"/>
      <x:c r="K2239"/>
      <x:c r="L2239"/>
      <x:c r="M2239"/>
      <x:c r="N2239"/>
      <x:c r="O2239"/>
      <x:c r="P2239"/>
    </x:row>
    <x:row r="2240">
      <x:c r="A2240"/>
      <x:c r="B2240"/>
      <x:c r="C2240"/>
      <x:c r="D2240"/>
      <x:c r="E2240"/>
      <x:c r="F2240"/>
      <x:c r="G2240" s="56"/>
      <x:c r="H2240"/>
      <x:c r="I2240"/>
      <x:c r="J2240"/>
      <x:c r="K2240"/>
      <x:c r="L2240"/>
      <x:c r="M2240"/>
      <x:c r="N2240"/>
      <x:c r="O2240"/>
      <x:c r="P2240"/>
    </x:row>
    <x:row r="2241">
      <x:c r="A2241"/>
      <x:c r="B2241"/>
      <x:c r="C2241"/>
      <x:c r="D2241"/>
      <x:c r="E2241"/>
      <x:c r="F2241"/>
      <x:c r="G2241" s="56"/>
      <x:c r="H2241"/>
      <x:c r="I2241"/>
      <x:c r="J2241"/>
      <x:c r="K2241"/>
      <x:c r="L2241"/>
      <x:c r="M2241"/>
      <x:c r="N2241"/>
      <x:c r="O2241"/>
      <x:c r="P2241"/>
    </x:row>
    <x:row r="2242">
      <x:c r="A2242"/>
      <x:c r="B2242"/>
      <x:c r="C2242"/>
      <x:c r="D2242"/>
      <x:c r="E2242"/>
      <x:c r="F2242"/>
      <x:c r="G2242" s="56"/>
      <x:c r="H2242"/>
      <x:c r="I2242"/>
      <x:c r="J2242"/>
      <x:c r="K2242"/>
      <x:c r="L2242"/>
      <x:c r="M2242"/>
      <x:c r="N2242"/>
      <x:c r="O2242"/>
      <x:c r="P2242"/>
    </x:row>
    <x:row r="2243">
      <x:c r="A2243"/>
      <x:c r="B2243"/>
      <x:c r="C2243"/>
      <x:c r="D2243"/>
      <x:c r="E2243"/>
      <x:c r="F2243"/>
      <x:c r="G2243" s="56"/>
      <x:c r="H2243"/>
      <x:c r="I2243"/>
      <x:c r="J2243"/>
      <x:c r="K2243"/>
      <x:c r="L2243"/>
      <x:c r="M2243"/>
      <x:c r="N2243"/>
      <x:c r="O2243"/>
      <x:c r="P2243"/>
    </x:row>
    <x:row r="2244">
      <x:c r="A2244"/>
      <x:c r="B2244"/>
      <x:c r="C2244"/>
      <x:c r="D2244"/>
      <x:c r="E2244"/>
      <x:c r="F2244"/>
      <x:c r="G2244" s="56"/>
      <x:c r="H2244"/>
      <x:c r="I2244"/>
      <x:c r="J2244"/>
      <x:c r="K2244"/>
      <x:c r="L2244"/>
      <x:c r="M2244"/>
      <x:c r="N2244"/>
      <x:c r="O2244"/>
      <x:c r="P2244"/>
    </x:row>
    <x:row r="2245">
      <x:c r="A2245"/>
      <x:c r="B2245"/>
      <x:c r="C2245"/>
      <x:c r="D2245"/>
      <x:c r="E2245"/>
      <x:c r="F2245"/>
      <x:c r="G2245" s="56"/>
      <x:c r="H2245"/>
      <x:c r="I2245"/>
      <x:c r="J2245"/>
      <x:c r="K2245"/>
      <x:c r="L2245"/>
      <x:c r="M2245"/>
      <x:c r="N2245"/>
      <x:c r="O2245"/>
      <x:c r="P2245"/>
    </x:row>
    <x:row r="2246">
      <x:c r="A2246"/>
      <x:c r="B2246"/>
      <x:c r="C2246"/>
      <x:c r="D2246"/>
      <x:c r="E2246"/>
      <x:c r="F2246"/>
      <x:c r="G2246" s="56"/>
      <x:c r="H2246"/>
      <x:c r="I2246"/>
      <x:c r="J2246"/>
      <x:c r="K2246"/>
      <x:c r="L2246"/>
      <x:c r="M2246"/>
      <x:c r="N2246"/>
      <x:c r="O2246"/>
      <x:c r="P2246"/>
    </x:row>
    <x:row r="2247">
      <x:c r="A2247"/>
      <x:c r="B2247"/>
      <x:c r="C2247"/>
      <x:c r="D2247"/>
      <x:c r="E2247"/>
      <x:c r="F2247"/>
      <x:c r="G2247" s="56"/>
      <x:c r="H2247"/>
      <x:c r="I2247"/>
      <x:c r="J2247"/>
      <x:c r="K2247"/>
      <x:c r="L2247"/>
      <x:c r="M2247"/>
      <x:c r="N2247"/>
      <x:c r="O2247"/>
      <x:c r="P2247"/>
    </x:row>
    <x:row r="2248">
      <x:c r="A2248"/>
      <x:c r="B2248"/>
      <x:c r="C2248"/>
      <x:c r="D2248"/>
      <x:c r="E2248"/>
      <x:c r="F2248"/>
      <x:c r="G2248" s="56"/>
      <x:c r="H2248"/>
      <x:c r="I2248"/>
      <x:c r="J2248"/>
      <x:c r="K2248"/>
      <x:c r="L2248"/>
      <x:c r="M2248"/>
      <x:c r="N2248"/>
      <x:c r="O2248"/>
      <x:c r="P2248"/>
    </x:row>
    <x:row r="2249">
      <x:c r="A2249"/>
      <x:c r="B2249"/>
      <x:c r="C2249"/>
      <x:c r="D2249"/>
      <x:c r="E2249"/>
      <x:c r="F2249"/>
      <x:c r="G2249" s="56"/>
      <x:c r="H2249"/>
      <x:c r="I2249"/>
      <x:c r="J2249"/>
      <x:c r="K2249"/>
      <x:c r="L2249"/>
      <x:c r="M2249"/>
      <x:c r="N2249"/>
      <x:c r="O2249"/>
      <x:c r="P2249"/>
    </x:row>
    <x:row r="2250">
      <x:c r="A2250"/>
      <x:c r="B2250"/>
      <x:c r="C2250"/>
      <x:c r="D2250"/>
      <x:c r="E2250"/>
      <x:c r="F2250"/>
      <x:c r="G2250" s="56"/>
      <x:c r="H2250"/>
      <x:c r="I2250"/>
      <x:c r="J2250"/>
      <x:c r="K2250"/>
      <x:c r="L2250"/>
      <x:c r="M2250"/>
      <x:c r="N2250"/>
      <x:c r="O2250"/>
      <x:c r="P2250"/>
    </x:row>
    <x:row r="2251">
      <x:c r="A2251"/>
      <x:c r="B2251"/>
      <x:c r="C2251"/>
      <x:c r="D2251"/>
      <x:c r="E2251"/>
      <x:c r="F2251"/>
      <x:c r="G2251" s="56"/>
      <x:c r="H2251"/>
      <x:c r="I2251"/>
      <x:c r="J2251"/>
      <x:c r="K2251"/>
      <x:c r="L2251"/>
      <x:c r="M2251"/>
      <x:c r="N2251"/>
      <x:c r="O2251"/>
      <x:c r="P2251"/>
    </x:row>
    <x:row r="2252">
      <x:c r="A2252"/>
      <x:c r="B2252"/>
      <x:c r="C2252"/>
      <x:c r="D2252"/>
      <x:c r="E2252"/>
      <x:c r="F2252"/>
      <x:c r="G2252" s="56"/>
      <x:c r="H2252"/>
      <x:c r="I2252"/>
      <x:c r="J2252"/>
      <x:c r="K2252"/>
      <x:c r="L2252"/>
      <x:c r="M2252"/>
      <x:c r="N2252"/>
      <x:c r="O2252"/>
      <x:c r="P2252"/>
    </x:row>
    <x:row r="2253">
      <x:c r="A2253"/>
      <x:c r="B2253"/>
      <x:c r="C2253"/>
      <x:c r="D2253"/>
      <x:c r="E2253"/>
      <x:c r="F2253"/>
      <x:c r="G2253" s="56"/>
      <x:c r="H2253"/>
      <x:c r="I2253"/>
      <x:c r="J2253"/>
      <x:c r="K2253"/>
      <x:c r="L2253"/>
      <x:c r="M2253"/>
      <x:c r="N2253"/>
      <x:c r="O2253"/>
      <x:c r="P2253"/>
    </x:row>
    <x:row r="2254">
      <x:c r="A2254"/>
      <x:c r="B2254"/>
      <x:c r="C2254"/>
      <x:c r="D2254"/>
      <x:c r="E2254"/>
      <x:c r="F2254"/>
      <x:c r="G2254" s="56"/>
      <x:c r="H2254"/>
      <x:c r="I2254"/>
      <x:c r="J2254"/>
      <x:c r="K2254"/>
      <x:c r="L2254"/>
      <x:c r="M2254"/>
      <x:c r="N2254"/>
      <x:c r="O2254"/>
      <x:c r="P2254"/>
    </x:row>
    <x:row r="2255">
      <x:c r="A2255"/>
      <x:c r="B2255"/>
      <x:c r="C2255"/>
      <x:c r="D2255"/>
      <x:c r="E2255"/>
      <x:c r="F2255"/>
      <x:c r="G2255" s="56"/>
      <x:c r="H2255"/>
      <x:c r="I2255"/>
      <x:c r="J2255"/>
      <x:c r="K2255"/>
      <x:c r="L2255"/>
      <x:c r="M2255"/>
      <x:c r="N2255"/>
      <x:c r="O2255"/>
      <x:c r="P2255"/>
    </x:row>
    <x:row r="2256">
      <x:c r="A2256"/>
      <x:c r="B2256"/>
      <x:c r="C2256"/>
      <x:c r="D2256"/>
      <x:c r="E2256"/>
      <x:c r="F2256"/>
      <x:c r="G2256" s="56"/>
      <x:c r="H2256"/>
      <x:c r="I2256"/>
      <x:c r="J2256"/>
      <x:c r="K2256"/>
      <x:c r="L2256"/>
      <x:c r="M2256"/>
      <x:c r="N2256"/>
      <x:c r="O2256"/>
      <x:c r="P2256"/>
    </x:row>
    <x:row r="2257">
      <x:c r="A2257"/>
      <x:c r="B2257"/>
      <x:c r="C2257"/>
      <x:c r="D2257"/>
      <x:c r="E2257"/>
      <x:c r="F2257"/>
      <x:c r="G2257" s="56"/>
      <x:c r="H2257"/>
      <x:c r="I2257"/>
      <x:c r="J2257"/>
      <x:c r="K2257"/>
      <x:c r="L2257"/>
      <x:c r="M2257"/>
      <x:c r="N2257"/>
      <x:c r="O2257"/>
      <x:c r="P2257"/>
    </x:row>
    <x:row r="2258">
      <x:c r="A2258"/>
      <x:c r="B2258"/>
      <x:c r="C2258"/>
      <x:c r="D2258"/>
      <x:c r="E2258"/>
      <x:c r="F2258"/>
      <x:c r="G2258" s="56"/>
      <x:c r="H2258"/>
      <x:c r="I2258"/>
      <x:c r="J2258"/>
      <x:c r="K2258"/>
      <x:c r="L2258"/>
      <x:c r="M2258"/>
      <x:c r="N2258"/>
      <x:c r="O2258"/>
      <x:c r="P2258"/>
    </x:row>
    <x:row r="2259">
      <x:c r="A2259"/>
      <x:c r="B2259"/>
      <x:c r="C2259"/>
      <x:c r="D2259"/>
      <x:c r="E2259"/>
      <x:c r="F2259"/>
      <x:c r="G2259" s="56"/>
      <x:c r="H2259"/>
      <x:c r="I2259"/>
      <x:c r="J2259"/>
      <x:c r="K2259"/>
      <x:c r="L2259"/>
      <x:c r="M2259"/>
      <x:c r="N2259"/>
      <x:c r="O2259"/>
      <x:c r="P2259"/>
    </x:row>
    <x:row r="2260">
      <x:c r="A2260"/>
      <x:c r="B2260"/>
      <x:c r="C2260"/>
      <x:c r="D2260"/>
      <x:c r="E2260"/>
      <x:c r="F2260"/>
      <x:c r="G2260" s="56"/>
      <x:c r="H2260"/>
      <x:c r="I2260"/>
      <x:c r="J2260"/>
      <x:c r="K2260"/>
      <x:c r="L2260"/>
      <x:c r="M2260"/>
      <x:c r="N2260"/>
      <x:c r="O2260"/>
      <x:c r="P2260"/>
    </x:row>
    <x:row r="2261">
      <x:c r="A2261"/>
      <x:c r="B2261"/>
      <x:c r="C2261"/>
      <x:c r="D2261"/>
      <x:c r="E2261"/>
      <x:c r="F2261"/>
      <x:c r="G2261" s="56"/>
      <x:c r="H2261"/>
      <x:c r="I2261"/>
      <x:c r="J2261"/>
      <x:c r="K2261"/>
      <x:c r="L2261"/>
      <x:c r="M2261"/>
      <x:c r="N2261"/>
      <x:c r="O2261"/>
      <x:c r="P2261"/>
    </x:row>
    <x:row r="2262">
      <x:c r="A2262"/>
      <x:c r="B2262"/>
      <x:c r="C2262"/>
      <x:c r="D2262"/>
      <x:c r="E2262"/>
      <x:c r="F2262"/>
      <x:c r="G2262" s="56"/>
      <x:c r="H2262"/>
      <x:c r="I2262"/>
      <x:c r="J2262"/>
      <x:c r="K2262"/>
      <x:c r="L2262"/>
      <x:c r="M2262"/>
      <x:c r="N2262"/>
      <x:c r="O2262"/>
      <x:c r="P2262"/>
    </x:row>
    <x:row r="2263">
      <x:c r="A2263"/>
      <x:c r="B2263"/>
      <x:c r="C2263"/>
      <x:c r="D2263"/>
      <x:c r="E2263"/>
      <x:c r="F2263"/>
      <x:c r="G2263" s="56"/>
      <x:c r="H2263"/>
      <x:c r="I2263"/>
      <x:c r="J2263"/>
      <x:c r="K2263"/>
      <x:c r="L2263"/>
      <x:c r="M2263"/>
      <x:c r="N2263"/>
      <x:c r="O2263"/>
      <x:c r="P2263"/>
    </x:row>
    <x:row r="2264">
      <x:c r="A2264"/>
      <x:c r="B2264"/>
      <x:c r="C2264"/>
      <x:c r="D2264"/>
      <x:c r="E2264"/>
      <x:c r="F2264"/>
      <x:c r="G2264" s="56"/>
      <x:c r="H2264"/>
      <x:c r="I2264"/>
      <x:c r="J2264"/>
      <x:c r="K2264"/>
      <x:c r="L2264"/>
      <x:c r="M2264"/>
      <x:c r="N2264"/>
      <x:c r="O2264"/>
      <x:c r="P2264"/>
    </x:row>
    <x:row r="2265">
      <x:c r="A2265"/>
      <x:c r="B2265"/>
      <x:c r="C2265"/>
      <x:c r="D2265"/>
      <x:c r="E2265"/>
      <x:c r="F2265"/>
      <x:c r="G2265" s="56"/>
      <x:c r="H2265"/>
      <x:c r="I2265"/>
      <x:c r="J2265"/>
      <x:c r="K2265"/>
      <x:c r="L2265"/>
      <x:c r="M2265"/>
      <x:c r="N2265"/>
      <x:c r="O2265"/>
      <x:c r="P2265"/>
    </x:row>
    <x:row r="2266">
      <x:c r="A2266"/>
      <x:c r="B2266"/>
      <x:c r="C2266"/>
      <x:c r="D2266"/>
      <x:c r="E2266"/>
      <x:c r="F2266"/>
      <x:c r="G2266" s="56"/>
      <x:c r="H2266"/>
      <x:c r="I2266"/>
      <x:c r="J2266"/>
      <x:c r="K2266"/>
      <x:c r="L2266"/>
      <x:c r="M2266"/>
      <x:c r="N2266"/>
      <x:c r="O2266"/>
      <x:c r="P2266"/>
    </x:row>
    <x:row r="2267">
      <x:c r="A2267"/>
      <x:c r="B2267"/>
      <x:c r="C2267"/>
      <x:c r="D2267"/>
      <x:c r="E2267"/>
      <x:c r="F2267"/>
      <x:c r="G2267" s="56"/>
      <x:c r="H2267"/>
      <x:c r="I2267"/>
      <x:c r="J2267"/>
      <x:c r="K2267"/>
      <x:c r="L2267"/>
      <x:c r="M2267"/>
      <x:c r="N2267"/>
      <x:c r="O2267"/>
      <x:c r="P2267"/>
    </x:row>
    <x:row r="2268">
      <x:c r="A2268"/>
      <x:c r="B2268"/>
      <x:c r="C2268"/>
      <x:c r="D2268"/>
      <x:c r="E2268"/>
      <x:c r="F2268"/>
      <x:c r="G2268" s="56"/>
      <x:c r="H2268"/>
      <x:c r="I2268"/>
      <x:c r="J2268"/>
      <x:c r="K2268"/>
      <x:c r="L2268"/>
      <x:c r="M2268"/>
      <x:c r="N2268"/>
      <x:c r="O2268"/>
      <x:c r="P2268"/>
    </x:row>
    <x:row r="2269">
      <x:c r="A2269"/>
      <x:c r="B2269"/>
      <x:c r="C2269"/>
      <x:c r="D2269"/>
      <x:c r="E2269"/>
      <x:c r="F2269"/>
      <x:c r="G2269" s="56"/>
      <x:c r="H2269"/>
      <x:c r="I2269"/>
      <x:c r="J2269"/>
      <x:c r="K2269"/>
      <x:c r="L2269"/>
      <x:c r="M2269"/>
      <x:c r="N2269"/>
      <x:c r="O2269"/>
      <x:c r="P2269"/>
    </x:row>
    <x:row r="2270">
      <x:c r="A2270"/>
      <x:c r="B2270"/>
      <x:c r="C2270"/>
      <x:c r="D2270"/>
      <x:c r="E2270"/>
      <x:c r="F2270"/>
      <x:c r="G2270" s="56"/>
      <x:c r="H2270"/>
      <x:c r="I2270"/>
      <x:c r="J2270"/>
      <x:c r="K2270"/>
      <x:c r="L2270"/>
      <x:c r="M2270"/>
      <x:c r="N2270"/>
      <x:c r="O2270"/>
      <x:c r="P2270"/>
    </x:row>
    <x:row r="2271">
      <x:c r="A2271"/>
      <x:c r="B2271"/>
      <x:c r="C2271"/>
      <x:c r="D2271"/>
      <x:c r="E2271"/>
      <x:c r="F2271"/>
      <x:c r="G2271" s="56"/>
      <x:c r="H2271"/>
      <x:c r="I2271"/>
      <x:c r="J2271"/>
      <x:c r="K2271"/>
      <x:c r="L2271"/>
      <x:c r="M2271"/>
      <x:c r="N2271"/>
      <x:c r="O2271"/>
      <x:c r="P2271"/>
    </x:row>
    <x:row r="2272">
      <x:c r="A2272"/>
      <x:c r="B2272"/>
      <x:c r="C2272"/>
      <x:c r="D2272"/>
      <x:c r="E2272"/>
      <x:c r="F2272"/>
      <x:c r="G2272" s="56"/>
      <x:c r="H2272"/>
      <x:c r="I2272"/>
      <x:c r="J2272"/>
      <x:c r="K2272"/>
      <x:c r="L2272"/>
      <x:c r="M2272"/>
      <x:c r="N2272"/>
      <x:c r="O2272"/>
      <x:c r="P2272"/>
    </x:row>
    <x:row r="2273">
      <x:c r="A2273"/>
      <x:c r="B2273"/>
      <x:c r="C2273"/>
      <x:c r="D2273"/>
      <x:c r="E2273"/>
      <x:c r="F2273"/>
      <x:c r="G2273" s="56"/>
      <x:c r="H2273"/>
      <x:c r="I2273"/>
      <x:c r="J2273"/>
      <x:c r="K2273"/>
      <x:c r="L2273"/>
      <x:c r="M2273"/>
      <x:c r="N2273"/>
      <x:c r="O2273"/>
      <x:c r="P2273"/>
    </x:row>
    <x:row r="2274">
      <x:c r="A2274"/>
      <x:c r="B2274"/>
      <x:c r="C2274"/>
      <x:c r="D2274"/>
      <x:c r="E2274"/>
      <x:c r="F2274"/>
      <x:c r="G2274" s="56"/>
      <x:c r="H2274"/>
      <x:c r="I2274"/>
      <x:c r="J2274"/>
      <x:c r="K2274"/>
      <x:c r="L2274"/>
      <x:c r="M2274"/>
      <x:c r="N2274"/>
      <x:c r="O2274"/>
      <x:c r="P2274"/>
    </x:row>
    <x:row r="2275">
      <x:c r="A2275"/>
      <x:c r="B2275"/>
      <x:c r="C2275"/>
      <x:c r="D2275"/>
      <x:c r="E2275"/>
      <x:c r="F2275"/>
      <x:c r="G2275" s="56"/>
      <x:c r="H2275"/>
      <x:c r="I2275"/>
      <x:c r="J2275"/>
      <x:c r="K2275"/>
      <x:c r="L2275"/>
      <x:c r="M2275"/>
      <x:c r="N2275"/>
      <x:c r="O2275"/>
      <x:c r="P2275"/>
    </x:row>
    <x:row r="2276">
      <x:c r="A2276"/>
      <x:c r="B2276"/>
      <x:c r="C2276"/>
      <x:c r="D2276"/>
      <x:c r="E2276"/>
      <x:c r="F2276"/>
      <x:c r="G2276" s="56"/>
      <x:c r="H2276"/>
      <x:c r="I2276"/>
      <x:c r="J2276"/>
      <x:c r="K2276"/>
      <x:c r="L2276"/>
      <x:c r="M2276"/>
      <x:c r="N2276"/>
      <x:c r="O2276"/>
      <x:c r="P2276"/>
    </x:row>
    <x:row r="2277">
      <x:c r="A2277"/>
      <x:c r="B2277"/>
      <x:c r="C2277"/>
      <x:c r="D2277"/>
      <x:c r="E2277"/>
      <x:c r="F2277"/>
      <x:c r="G2277" s="56"/>
      <x:c r="H2277"/>
      <x:c r="I2277"/>
      <x:c r="J2277"/>
      <x:c r="K2277"/>
      <x:c r="L2277"/>
      <x:c r="M2277"/>
      <x:c r="N2277"/>
      <x:c r="O2277"/>
      <x:c r="P2277"/>
    </x:row>
    <x:row r="2278">
      <x:c r="A2278"/>
      <x:c r="B2278"/>
      <x:c r="C2278"/>
      <x:c r="D2278"/>
      <x:c r="E2278"/>
      <x:c r="F2278"/>
      <x:c r="G2278" s="56"/>
      <x:c r="H2278"/>
      <x:c r="I2278"/>
      <x:c r="J2278"/>
      <x:c r="K2278"/>
      <x:c r="L2278"/>
      <x:c r="M2278"/>
      <x:c r="N2278"/>
      <x:c r="O2278"/>
      <x:c r="P2278"/>
    </x:row>
    <x:row r="2279">
      <x:c r="A2279"/>
      <x:c r="B2279"/>
      <x:c r="C2279"/>
      <x:c r="D2279"/>
      <x:c r="E2279"/>
      <x:c r="F2279"/>
      <x:c r="G2279" s="56"/>
      <x:c r="H2279"/>
      <x:c r="I2279"/>
      <x:c r="J2279"/>
      <x:c r="K2279"/>
      <x:c r="L2279"/>
      <x:c r="M2279"/>
      <x:c r="N2279"/>
      <x:c r="O2279"/>
      <x:c r="P2279"/>
    </x:row>
    <x:row r="2280">
      <x:c r="A2280"/>
      <x:c r="B2280"/>
      <x:c r="C2280"/>
      <x:c r="D2280"/>
      <x:c r="E2280"/>
      <x:c r="F2280"/>
      <x:c r="G2280" s="56"/>
      <x:c r="H2280"/>
      <x:c r="I2280"/>
      <x:c r="J2280"/>
      <x:c r="K2280"/>
      <x:c r="L2280"/>
      <x:c r="M2280"/>
      <x:c r="N2280"/>
      <x:c r="O2280"/>
      <x:c r="P2280"/>
    </x:row>
    <x:row r="2281">
      <x:c r="A2281"/>
      <x:c r="B2281"/>
      <x:c r="C2281"/>
      <x:c r="D2281"/>
      <x:c r="E2281"/>
      <x:c r="F2281"/>
      <x:c r="G2281" s="56"/>
      <x:c r="H2281"/>
      <x:c r="I2281"/>
      <x:c r="J2281"/>
      <x:c r="K2281"/>
      <x:c r="L2281"/>
      <x:c r="M2281"/>
      <x:c r="N2281"/>
      <x:c r="O2281"/>
      <x:c r="P2281"/>
    </x:row>
    <x:row r="2282">
      <x:c r="A2282"/>
      <x:c r="B2282"/>
      <x:c r="C2282"/>
      <x:c r="D2282"/>
      <x:c r="E2282"/>
      <x:c r="F2282"/>
      <x:c r="G2282" s="56"/>
      <x:c r="H2282"/>
      <x:c r="I2282"/>
      <x:c r="J2282"/>
      <x:c r="K2282"/>
      <x:c r="L2282"/>
      <x:c r="M2282"/>
      <x:c r="N2282"/>
      <x:c r="O2282"/>
      <x:c r="P2282"/>
    </x:row>
    <x:row r="2283">
      <x:c r="A2283"/>
      <x:c r="B2283"/>
      <x:c r="C2283"/>
      <x:c r="D2283"/>
      <x:c r="E2283"/>
      <x:c r="F2283"/>
      <x:c r="G2283" s="56"/>
      <x:c r="H2283"/>
      <x:c r="I2283"/>
      <x:c r="J2283"/>
      <x:c r="K2283"/>
      <x:c r="L2283"/>
      <x:c r="M2283"/>
      <x:c r="N2283"/>
      <x:c r="O2283"/>
      <x:c r="P2283"/>
    </x:row>
    <x:row r="2284">
      <x:c r="A2284"/>
      <x:c r="B2284"/>
      <x:c r="C2284"/>
      <x:c r="D2284"/>
      <x:c r="E2284"/>
      <x:c r="F2284"/>
      <x:c r="G2284" s="56"/>
      <x:c r="H2284"/>
      <x:c r="I2284"/>
      <x:c r="J2284"/>
      <x:c r="K2284"/>
      <x:c r="L2284"/>
      <x:c r="M2284"/>
      <x:c r="N2284"/>
      <x:c r="O2284"/>
      <x:c r="P2284"/>
    </x:row>
    <x:row r="2285">
      <x:c r="A2285"/>
      <x:c r="B2285"/>
      <x:c r="C2285"/>
      <x:c r="D2285"/>
      <x:c r="E2285"/>
      <x:c r="F2285"/>
      <x:c r="G2285" s="56"/>
      <x:c r="H2285"/>
      <x:c r="I2285"/>
      <x:c r="J2285"/>
      <x:c r="K2285"/>
      <x:c r="L2285"/>
      <x:c r="M2285"/>
      <x:c r="N2285"/>
      <x:c r="O2285"/>
      <x:c r="P2285"/>
    </x:row>
    <x:row r="2286">
      <x:c r="A2286"/>
      <x:c r="B2286"/>
      <x:c r="C2286"/>
      <x:c r="D2286"/>
      <x:c r="E2286"/>
      <x:c r="F2286"/>
      <x:c r="G2286" s="56"/>
      <x:c r="H2286"/>
      <x:c r="I2286"/>
      <x:c r="J2286"/>
      <x:c r="K2286"/>
      <x:c r="L2286"/>
      <x:c r="M2286"/>
      <x:c r="N2286"/>
      <x:c r="O2286"/>
      <x:c r="P2286"/>
    </x:row>
    <x:row r="2287">
      <x:c r="A2287"/>
      <x:c r="B2287"/>
      <x:c r="C2287"/>
      <x:c r="D2287"/>
      <x:c r="E2287"/>
      <x:c r="F2287"/>
      <x:c r="G2287" s="56"/>
      <x:c r="H2287"/>
      <x:c r="I2287"/>
      <x:c r="J2287"/>
      <x:c r="K2287"/>
      <x:c r="L2287"/>
      <x:c r="M2287"/>
      <x:c r="N2287"/>
      <x:c r="O2287"/>
      <x:c r="P2287"/>
    </x:row>
    <x:row r="2288">
      <x:c r="A2288"/>
      <x:c r="B2288"/>
      <x:c r="C2288"/>
      <x:c r="D2288"/>
      <x:c r="E2288"/>
      <x:c r="F2288"/>
      <x:c r="G2288" s="56"/>
      <x:c r="H2288"/>
      <x:c r="I2288"/>
      <x:c r="J2288"/>
      <x:c r="K2288"/>
      <x:c r="L2288"/>
      <x:c r="M2288"/>
      <x:c r="N2288"/>
      <x:c r="O2288"/>
      <x:c r="P2288"/>
    </x:row>
    <x:row r="2289">
      <x:c r="A2289"/>
      <x:c r="B2289"/>
      <x:c r="C2289"/>
      <x:c r="D2289"/>
      <x:c r="E2289"/>
      <x:c r="F2289"/>
      <x:c r="G2289" s="56"/>
      <x:c r="H2289"/>
      <x:c r="I2289"/>
      <x:c r="J2289"/>
      <x:c r="K2289"/>
      <x:c r="L2289"/>
      <x:c r="M2289"/>
      <x:c r="N2289"/>
      <x:c r="O2289"/>
      <x:c r="P2289"/>
    </x:row>
    <x:row r="2290">
      <x:c r="A2290"/>
      <x:c r="B2290"/>
      <x:c r="C2290"/>
      <x:c r="D2290"/>
      <x:c r="E2290"/>
      <x:c r="F2290"/>
      <x:c r="G2290" s="56"/>
      <x:c r="H2290"/>
      <x:c r="I2290"/>
      <x:c r="J2290"/>
      <x:c r="K2290"/>
      <x:c r="L2290"/>
      <x:c r="M2290"/>
      <x:c r="N2290"/>
      <x:c r="O2290"/>
      <x:c r="P2290"/>
    </x:row>
    <x:row r="2291">
      <x:c r="A2291"/>
      <x:c r="B2291"/>
      <x:c r="C2291"/>
      <x:c r="D2291"/>
      <x:c r="E2291"/>
      <x:c r="F2291"/>
      <x:c r="G2291" s="56"/>
      <x:c r="H2291"/>
      <x:c r="I2291"/>
      <x:c r="J2291"/>
      <x:c r="K2291"/>
      <x:c r="L2291"/>
      <x:c r="M2291"/>
      <x:c r="N2291"/>
      <x:c r="O2291"/>
      <x:c r="P2291"/>
    </x:row>
    <x:row r="2292">
      <x:c r="A2292"/>
      <x:c r="B2292"/>
      <x:c r="C2292"/>
      <x:c r="D2292"/>
      <x:c r="E2292"/>
      <x:c r="F2292"/>
      <x:c r="G2292" s="56"/>
      <x:c r="H2292"/>
      <x:c r="I2292"/>
      <x:c r="J2292"/>
      <x:c r="K2292"/>
      <x:c r="L2292"/>
      <x:c r="M2292"/>
      <x:c r="N2292"/>
      <x:c r="O2292"/>
      <x:c r="P2292"/>
    </x:row>
    <x:row r="2293">
      <x:c r="A2293"/>
      <x:c r="B2293"/>
      <x:c r="C2293"/>
      <x:c r="D2293"/>
      <x:c r="E2293"/>
      <x:c r="F2293"/>
      <x:c r="G2293" s="56"/>
      <x:c r="H2293"/>
      <x:c r="I2293"/>
      <x:c r="J2293"/>
      <x:c r="K2293"/>
      <x:c r="L2293"/>
      <x:c r="M2293"/>
      <x:c r="N2293"/>
      <x:c r="O2293"/>
      <x:c r="P2293"/>
    </x:row>
    <x:row r="2294">
      <x:c r="A2294"/>
      <x:c r="B2294"/>
      <x:c r="C2294"/>
      <x:c r="D2294"/>
      <x:c r="E2294"/>
      <x:c r="F2294"/>
      <x:c r="G2294" s="56"/>
      <x:c r="H2294"/>
      <x:c r="I2294"/>
      <x:c r="J2294"/>
      <x:c r="K2294"/>
      <x:c r="L2294"/>
      <x:c r="M2294"/>
      <x:c r="N2294"/>
      <x:c r="O2294"/>
      <x:c r="P2294"/>
    </x:row>
    <x:row r="2295">
      <x:c r="A2295"/>
      <x:c r="B2295"/>
      <x:c r="C2295"/>
      <x:c r="D2295"/>
      <x:c r="E2295"/>
      <x:c r="F2295"/>
      <x:c r="G2295" s="56"/>
      <x:c r="H2295"/>
      <x:c r="I2295"/>
      <x:c r="J2295"/>
      <x:c r="K2295"/>
      <x:c r="L2295"/>
      <x:c r="M2295"/>
      <x:c r="N2295"/>
      <x:c r="O2295"/>
      <x:c r="P2295"/>
    </x:row>
    <x:row r="2296">
      <x:c r="A2296"/>
      <x:c r="B2296"/>
      <x:c r="C2296"/>
      <x:c r="D2296"/>
      <x:c r="E2296"/>
      <x:c r="F2296"/>
      <x:c r="G2296" s="56"/>
      <x:c r="H2296"/>
      <x:c r="I2296"/>
      <x:c r="J2296"/>
      <x:c r="K2296"/>
      <x:c r="L2296"/>
      <x:c r="M2296"/>
      <x:c r="N2296"/>
      <x:c r="O2296"/>
      <x:c r="P2296"/>
    </x:row>
    <x:row r="2297">
      <x:c r="A2297"/>
      <x:c r="B2297"/>
      <x:c r="C2297"/>
      <x:c r="D2297"/>
      <x:c r="E2297"/>
      <x:c r="F2297"/>
      <x:c r="G2297" s="56"/>
      <x:c r="H2297"/>
      <x:c r="I2297"/>
      <x:c r="J2297"/>
      <x:c r="K2297"/>
      <x:c r="L2297"/>
      <x:c r="M2297"/>
      <x:c r="N2297"/>
      <x:c r="O2297"/>
      <x:c r="P2297"/>
    </x:row>
    <x:row r="2298">
      <x:c r="A2298"/>
      <x:c r="B2298"/>
      <x:c r="C2298"/>
      <x:c r="D2298"/>
      <x:c r="E2298"/>
      <x:c r="F2298"/>
      <x:c r="G2298" s="56"/>
      <x:c r="H2298"/>
      <x:c r="I2298"/>
      <x:c r="J2298"/>
      <x:c r="K2298"/>
      <x:c r="L2298"/>
      <x:c r="M2298"/>
      <x:c r="N2298"/>
      <x:c r="O2298"/>
      <x:c r="P2298"/>
    </x:row>
    <x:row r="2299">
      <x:c r="A2299"/>
      <x:c r="B2299"/>
      <x:c r="C2299"/>
      <x:c r="D2299"/>
      <x:c r="E2299"/>
      <x:c r="F2299"/>
      <x:c r="G2299" s="56"/>
      <x:c r="H2299"/>
      <x:c r="I2299"/>
      <x:c r="J2299"/>
      <x:c r="K2299"/>
      <x:c r="L2299"/>
      <x:c r="M2299"/>
      <x:c r="N2299"/>
      <x:c r="O2299"/>
      <x:c r="P2299"/>
    </x:row>
    <x:row r="2300">
      <x:c r="A2300"/>
      <x:c r="B2300"/>
      <x:c r="C2300"/>
      <x:c r="D2300"/>
      <x:c r="E2300"/>
      <x:c r="F2300"/>
      <x:c r="G2300" s="56"/>
      <x:c r="H2300"/>
      <x:c r="I2300"/>
      <x:c r="J2300"/>
      <x:c r="K2300"/>
      <x:c r="L2300"/>
      <x:c r="M2300"/>
      <x:c r="N2300"/>
      <x:c r="O2300"/>
      <x:c r="P2300"/>
    </x:row>
    <x:row r="2301">
      <x:c r="A2301"/>
      <x:c r="B2301"/>
      <x:c r="C2301"/>
      <x:c r="D2301"/>
      <x:c r="E2301"/>
      <x:c r="F2301"/>
      <x:c r="G2301" s="56"/>
      <x:c r="H2301"/>
      <x:c r="I2301"/>
      <x:c r="J2301"/>
      <x:c r="K2301"/>
      <x:c r="L2301"/>
      <x:c r="M2301"/>
      <x:c r="N2301"/>
      <x:c r="O2301"/>
      <x:c r="P2301"/>
    </x:row>
    <x:row r="2302">
      <x:c r="A2302"/>
      <x:c r="B2302"/>
      <x:c r="C2302"/>
      <x:c r="D2302"/>
      <x:c r="E2302"/>
      <x:c r="F2302"/>
      <x:c r="G2302" s="56"/>
      <x:c r="H2302"/>
      <x:c r="I2302"/>
      <x:c r="J2302"/>
      <x:c r="K2302"/>
      <x:c r="L2302"/>
      <x:c r="M2302"/>
      <x:c r="N2302"/>
      <x:c r="O2302"/>
      <x:c r="P2302"/>
    </x:row>
    <x:row r="2303">
      <x:c r="A2303"/>
      <x:c r="B2303"/>
      <x:c r="C2303"/>
      <x:c r="D2303"/>
      <x:c r="E2303"/>
      <x:c r="F2303"/>
      <x:c r="G2303" s="56"/>
      <x:c r="H2303"/>
      <x:c r="I2303"/>
      <x:c r="J2303"/>
      <x:c r="K2303"/>
      <x:c r="L2303"/>
      <x:c r="M2303"/>
      <x:c r="N2303"/>
      <x:c r="O2303"/>
      <x:c r="P2303"/>
    </x:row>
    <x:row r="2304">
      <x:c r="A2304"/>
      <x:c r="B2304"/>
      <x:c r="C2304"/>
      <x:c r="D2304"/>
      <x:c r="E2304"/>
      <x:c r="F2304"/>
      <x:c r="G2304" s="56"/>
      <x:c r="H2304"/>
      <x:c r="I2304"/>
      <x:c r="J2304"/>
      <x:c r="K2304"/>
      <x:c r="L2304"/>
      <x:c r="M2304"/>
      <x:c r="N2304"/>
      <x:c r="O2304"/>
      <x:c r="P2304"/>
    </x:row>
    <x:row r="2305">
      <x:c r="A2305"/>
      <x:c r="B2305"/>
      <x:c r="C2305"/>
      <x:c r="D2305"/>
      <x:c r="E2305"/>
      <x:c r="F2305"/>
      <x:c r="G2305" s="56"/>
      <x:c r="H2305"/>
      <x:c r="I2305"/>
      <x:c r="J2305"/>
      <x:c r="K2305"/>
      <x:c r="L2305"/>
      <x:c r="M2305"/>
      <x:c r="N2305"/>
      <x:c r="O2305"/>
      <x:c r="P2305"/>
    </x:row>
    <x:row r="2306">
      <x:c r="A2306"/>
      <x:c r="B2306"/>
      <x:c r="C2306"/>
      <x:c r="D2306"/>
      <x:c r="E2306"/>
      <x:c r="F2306"/>
      <x:c r="G2306" s="56"/>
      <x:c r="H2306"/>
      <x:c r="I2306"/>
      <x:c r="J2306"/>
      <x:c r="K2306"/>
      <x:c r="L2306"/>
      <x:c r="M2306"/>
      <x:c r="N2306"/>
      <x:c r="O2306"/>
      <x:c r="P2306"/>
    </x:row>
    <x:row r="2307">
      <x:c r="A2307"/>
      <x:c r="B2307"/>
      <x:c r="C2307"/>
      <x:c r="D2307"/>
      <x:c r="E2307"/>
      <x:c r="F2307"/>
      <x:c r="G2307" s="56"/>
      <x:c r="H2307"/>
      <x:c r="I2307"/>
      <x:c r="J2307"/>
      <x:c r="K2307"/>
      <x:c r="L2307"/>
      <x:c r="M2307"/>
      <x:c r="N2307"/>
      <x:c r="O2307"/>
      <x:c r="P2307"/>
    </x:row>
    <x:row r="2308">
      <x:c r="A2308"/>
      <x:c r="B2308"/>
      <x:c r="C2308"/>
      <x:c r="D2308"/>
      <x:c r="E2308"/>
      <x:c r="F2308"/>
      <x:c r="G2308" s="56"/>
      <x:c r="H2308"/>
      <x:c r="I2308"/>
      <x:c r="J2308"/>
      <x:c r="K2308"/>
      <x:c r="L2308"/>
      <x:c r="M2308"/>
      <x:c r="N2308"/>
      <x:c r="O2308"/>
      <x:c r="P2308"/>
    </x:row>
    <x:row r="2309">
      <x:c r="A2309"/>
      <x:c r="B2309"/>
      <x:c r="C2309"/>
      <x:c r="D2309"/>
      <x:c r="E2309"/>
      <x:c r="F2309"/>
      <x:c r="G2309" s="56"/>
      <x:c r="H2309"/>
      <x:c r="I2309"/>
      <x:c r="J2309"/>
      <x:c r="K2309"/>
      <x:c r="L2309"/>
      <x:c r="M2309"/>
      <x:c r="N2309"/>
      <x:c r="O2309"/>
      <x:c r="P2309"/>
    </x:row>
    <x:row r="2310">
      <x:c r="A2310"/>
      <x:c r="B2310"/>
      <x:c r="C2310"/>
      <x:c r="D2310"/>
      <x:c r="E2310"/>
      <x:c r="F2310"/>
      <x:c r="G2310" s="56"/>
      <x:c r="H2310"/>
      <x:c r="I2310"/>
      <x:c r="J2310"/>
      <x:c r="K2310"/>
      <x:c r="L2310"/>
      <x:c r="M2310"/>
      <x:c r="N2310"/>
      <x:c r="O2310"/>
      <x:c r="P2310"/>
    </x:row>
    <x:row r="2311">
      <x:c r="A2311"/>
      <x:c r="B2311"/>
      <x:c r="C2311"/>
      <x:c r="D2311"/>
      <x:c r="E2311"/>
      <x:c r="F2311"/>
      <x:c r="G2311" s="56"/>
      <x:c r="H2311"/>
      <x:c r="I2311"/>
      <x:c r="J2311"/>
      <x:c r="K2311"/>
      <x:c r="L2311"/>
      <x:c r="M2311"/>
      <x:c r="N2311"/>
      <x:c r="O2311"/>
      <x:c r="P2311"/>
    </x:row>
    <x:row r="2312">
      <x:c r="A2312"/>
      <x:c r="B2312"/>
      <x:c r="C2312"/>
      <x:c r="D2312"/>
      <x:c r="E2312"/>
      <x:c r="F2312"/>
      <x:c r="G2312" s="56"/>
      <x:c r="H2312"/>
      <x:c r="I2312"/>
      <x:c r="J2312"/>
      <x:c r="K2312"/>
      <x:c r="L2312"/>
      <x:c r="M2312"/>
      <x:c r="N2312"/>
      <x:c r="O2312"/>
      <x:c r="P2312"/>
    </x:row>
    <x:row r="2313">
      <x:c r="A2313"/>
      <x:c r="B2313"/>
      <x:c r="C2313"/>
      <x:c r="D2313"/>
      <x:c r="E2313"/>
      <x:c r="F2313"/>
      <x:c r="G2313" s="56"/>
      <x:c r="H2313"/>
      <x:c r="I2313"/>
      <x:c r="J2313"/>
      <x:c r="K2313"/>
      <x:c r="L2313"/>
      <x:c r="M2313"/>
      <x:c r="N2313"/>
      <x:c r="O2313"/>
      <x:c r="P2313"/>
    </x:row>
    <x:row r="2314">
      <x:c r="A2314"/>
      <x:c r="B2314"/>
      <x:c r="C2314"/>
      <x:c r="D2314"/>
      <x:c r="E2314"/>
      <x:c r="F2314"/>
      <x:c r="G2314" s="56"/>
      <x:c r="H2314"/>
      <x:c r="I2314"/>
      <x:c r="J2314"/>
      <x:c r="K2314"/>
      <x:c r="L2314"/>
      <x:c r="M2314"/>
      <x:c r="N2314"/>
      <x:c r="O2314"/>
      <x:c r="P2314"/>
    </x:row>
    <x:row r="2315">
      <x:c r="A2315"/>
      <x:c r="B2315"/>
      <x:c r="C2315"/>
      <x:c r="D2315"/>
      <x:c r="E2315"/>
      <x:c r="F2315"/>
      <x:c r="G2315" s="56"/>
      <x:c r="H2315"/>
      <x:c r="I2315"/>
      <x:c r="J2315"/>
      <x:c r="K2315"/>
      <x:c r="L2315"/>
      <x:c r="M2315"/>
      <x:c r="N2315"/>
      <x:c r="O2315"/>
      <x:c r="P2315"/>
    </x:row>
    <x:row r="2316">
      <x:c r="A2316"/>
      <x:c r="B2316"/>
      <x:c r="C2316"/>
      <x:c r="D2316"/>
      <x:c r="E2316"/>
      <x:c r="F2316"/>
      <x:c r="G2316" s="56"/>
      <x:c r="H2316"/>
      <x:c r="I2316"/>
      <x:c r="J2316"/>
      <x:c r="K2316"/>
      <x:c r="L2316"/>
      <x:c r="M2316"/>
      <x:c r="N2316"/>
      <x:c r="O2316"/>
      <x:c r="P2316"/>
    </x:row>
    <x:row r="2317">
      <x:c r="A2317"/>
      <x:c r="B2317"/>
      <x:c r="C2317"/>
      <x:c r="D2317"/>
      <x:c r="E2317"/>
      <x:c r="F2317"/>
      <x:c r="G2317" s="56"/>
      <x:c r="H2317"/>
      <x:c r="I2317"/>
      <x:c r="J2317"/>
      <x:c r="K2317"/>
      <x:c r="L2317"/>
      <x:c r="M2317"/>
      <x:c r="N2317"/>
      <x:c r="O2317"/>
      <x:c r="P2317"/>
    </x:row>
    <x:row r="2318">
      <x:c r="A2318"/>
      <x:c r="B2318"/>
      <x:c r="C2318"/>
      <x:c r="D2318"/>
      <x:c r="E2318"/>
      <x:c r="F2318"/>
      <x:c r="G2318" s="56"/>
      <x:c r="H2318"/>
      <x:c r="I2318"/>
      <x:c r="J2318"/>
      <x:c r="K2318"/>
      <x:c r="L2318"/>
      <x:c r="M2318"/>
      <x:c r="N2318"/>
      <x:c r="O2318"/>
      <x:c r="P2318"/>
    </x:row>
    <x:row r="2319">
      <x:c r="A2319"/>
      <x:c r="B2319"/>
      <x:c r="C2319"/>
      <x:c r="D2319"/>
      <x:c r="E2319"/>
      <x:c r="F2319"/>
      <x:c r="G2319" s="56"/>
      <x:c r="H2319"/>
      <x:c r="I2319"/>
      <x:c r="J2319"/>
      <x:c r="K2319"/>
      <x:c r="L2319"/>
      <x:c r="M2319"/>
      <x:c r="N2319"/>
      <x:c r="O2319"/>
      <x:c r="P2319"/>
    </x:row>
    <x:row r="2320">
      <x:c r="A2320"/>
      <x:c r="B2320"/>
      <x:c r="C2320"/>
      <x:c r="D2320"/>
      <x:c r="E2320"/>
      <x:c r="F2320"/>
      <x:c r="G2320" s="56"/>
      <x:c r="H2320"/>
      <x:c r="I2320"/>
      <x:c r="J2320"/>
      <x:c r="K2320"/>
      <x:c r="L2320"/>
      <x:c r="M2320"/>
      <x:c r="N2320"/>
      <x:c r="O2320"/>
      <x:c r="P2320"/>
    </x:row>
    <x:row r="2321">
      <x:c r="A2321"/>
      <x:c r="B2321"/>
      <x:c r="C2321"/>
      <x:c r="D2321"/>
      <x:c r="E2321"/>
      <x:c r="F2321"/>
      <x:c r="G2321" s="56"/>
      <x:c r="H2321"/>
      <x:c r="I2321"/>
      <x:c r="J2321"/>
      <x:c r="K2321"/>
      <x:c r="L2321"/>
      <x:c r="M2321"/>
      <x:c r="N2321"/>
      <x:c r="O2321"/>
      <x:c r="P2321"/>
    </x:row>
    <x:row r="2322">
      <x:c r="A2322"/>
      <x:c r="B2322"/>
      <x:c r="C2322"/>
      <x:c r="D2322"/>
      <x:c r="E2322"/>
      <x:c r="F2322"/>
      <x:c r="G2322" s="56"/>
      <x:c r="H2322"/>
      <x:c r="I2322"/>
      <x:c r="J2322"/>
      <x:c r="K2322"/>
      <x:c r="L2322"/>
      <x:c r="M2322"/>
      <x:c r="N2322"/>
      <x:c r="O2322"/>
      <x:c r="P2322"/>
    </x:row>
    <x:row r="2323">
      <x:c r="A2323"/>
      <x:c r="B2323"/>
      <x:c r="C2323"/>
      <x:c r="D2323"/>
      <x:c r="E2323"/>
      <x:c r="F2323"/>
      <x:c r="G2323" s="56"/>
      <x:c r="H2323"/>
      <x:c r="I2323"/>
      <x:c r="J2323"/>
      <x:c r="K2323"/>
      <x:c r="L2323"/>
      <x:c r="M2323"/>
      <x:c r="N2323"/>
      <x:c r="O2323"/>
      <x:c r="P2323"/>
    </x:row>
    <x:row r="2324">
      <x:c r="A2324"/>
      <x:c r="B2324"/>
      <x:c r="C2324"/>
      <x:c r="D2324"/>
      <x:c r="E2324"/>
      <x:c r="F2324"/>
      <x:c r="G2324" s="56"/>
      <x:c r="H2324"/>
      <x:c r="I2324"/>
      <x:c r="J2324"/>
      <x:c r="K2324"/>
      <x:c r="L2324"/>
      <x:c r="M2324"/>
      <x:c r="N2324"/>
      <x:c r="O2324"/>
      <x:c r="P2324"/>
    </x:row>
    <x:row r="2325">
      <x:c r="A2325"/>
      <x:c r="B2325"/>
      <x:c r="C2325"/>
      <x:c r="D2325"/>
      <x:c r="E2325"/>
      <x:c r="F2325"/>
      <x:c r="G2325" s="56"/>
      <x:c r="H2325"/>
      <x:c r="I2325"/>
      <x:c r="J2325"/>
      <x:c r="K2325"/>
      <x:c r="L2325"/>
      <x:c r="M2325"/>
      <x:c r="N2325"/>
      <x:c r="O2325"/>
      <x:c r="P2325"/>
    </x:row>
    <x:row r="2326">
      <x:c r="A2326"/>
      <x:c r="B2326"/>
      <x:c r="C2326"/>
      <x:c r="D2326"/>
      <x:c r="E2326"/>
      <x:c r="F2326"/>
      <x:c r="G2326" s="56"/>
      <x:c r="H2326"/>
      <x:c r="I2326"/>
      <x:c r="J2326"/>
      <x:c r="K2326"/>
      <x:c r="L2326"/>
      <x:c r="M2326"/>
      <x:c r="N2326"/>
      <x:c r="O2326"/>
      <x:c r="P2326"/>
    </x:row>
    <x:row r="2327">
      <x:c r="A2327"/>
      <x:c r="B2327"/>
      <x:c r="C2327"/>
      <x:c r="D2327"/>
      <x:c r="E2327"/>
      <x:c r="F2327"/>
      <x:c r="G2327" s="56"/>
      <x:c r="H2327"/>
      <x:c r="I2327"/>
      <x:c r="J2327"/>
      <x:c r="K2327"/>
      <x:c r="L2327"/>
      <x:c r="M2327"/>
      <x:c r="N2327"/>
      <x:c r="O2327"/>
      <x:c r="P2327"/>
    </x:row>
    <x:row r="2328">
      <x:c r="A2328"/>
      <x:c r="B2328"/>
      <x:c r="C2328"/>
      <x:c r="D2328"/>
      <x:c r="E2328"/>
      <x:c r="F2328"/>
      <x:c r="G2328" s="56"/>
      <x:c r="H2328"/>
      <x:c r="I2328"/>
      <x:c r="J2328"/>
      <x:c r="K2328"/>
      <x:c r="L2328"/>
      <x:c r="M2328"/>
      <x:c r="N2328"/>
      <x:c r="O2328"/>
      <x:c r="P2328"/>
    </x:row>
    <x:row r="2329">
      <x:c r="A2329"/>
      <x:c r="B2329"/>
      <x:c r="C2329"/>
      <x:c r="D2329"/>
      <x:c r="E2329"/>
      <x:c r="F2329"/>
      <x:c r="G2329" s="56"/>
      <x:c r="H2329"/>
      <x:c r="I2329"/>
      <x:c r="J2329"/>
      <x:c r="K2329"/>
      <x:c r="L2329"/>
      <x:c r="M2329"/>
      <x:c r="N2329"/>
      <x:c r="O2329"/>
      <x:c r="P2329"/>
    </x:row>
    <x:row r="2330">
      <x:c r="A2330"/>
      <x:c r="B2330"/>
      <x:c r="C2330"/>
      <x:c r="D2330"/>
      <x:c r="E2330"/>
      <x:c r="F2330"/>
      <x:c r="G2330" s="56"/>
      <x:c r="H2330"/>
      <x:c r="I2330"/>
      <x:c r="J2330"/>
      <x:c r="K2330"/>
      <x:c r="L2330"/>
      <x:c r="M2330"/>
      <x:c r="N2330"/>
      <x:c r="O2330"/>
      <x:c r="P2330"/>
    </x:row>
    <x:row r="2331">
      <x:c r="A2331"/>
      <x:c r="B2331"/>
      <x:c r="C2331"/>
      <x:c r="D2331"/>
      <x:c r="E2331"/>
      <x:c r="F2331"/>
      <x:c r="G2331" s="56"/>
      <x:c r="H2331"/>
      <x:c r="I2331"/>
      <x:c r="J2331"/>
      <x:c r="K2331"/>
      <x:c r="L2331"/>
      <x:c r="M2331"/>
      <x:c r="N2331"/>
      <x:c r="O2331"/>
      <x:c r="P2331"/>
    </x:row>
    <x:row r="2332">
      <x:c r="A2332"/>
      <x:c r="B2332"/>
      <x:c r="C2332"/>
      <x:c r="D2332"/>
      <x:c r="E2332"/>
      <x:c r="F2332"/>
      <x:c r="G2332" s="56"/>
      <x:c r="H2332"/>
      <x:c r="I2332"/>
      <x:c r="J2332"/>
      <x:c r="K2332"/>
      <x:c r="L2332"/>
      <x:c r="M2332"/>
      <x:c r="N2332"/>
      <x:c r="O2332"/>
      <x:c r="P2332"/>
    </x:row>
    <x:row r="2333">
      <x:c r="A2333"/>
      <x:c r="B2333"/>
      <x:c r="C2333"/>
      <x:c r="D2333"/>
      <x:c r="E2333"/>
      <x:c r="F2333"/>
      <x:c r="G2333" s="56"/>
      <x:c r="H2333"/>
      <x:c r="I2333"/>
      <x:c r="J2333"/>
      <x:c r="K2333"/>
      <x:c r="L2333"/>
      <x:c r="M2333"/>
      <x:c r="N2333"/>
      <x:c r="O2333"/>
      <x:c r="P2333"/>
    </x:row>
    <x:row r="2334">
      <x:c r="A2334"/>
      <x:c r="B2334"/>
      <x:c r="C2334"/>
      <x:c r="D2334"/>
      <x:c r="E2334"/>
      <x:c r="F2334"/>
      <x:c r="G2334" s="56"/>
      <x:c r="H2334"/>
      <x:c r="I2334"/>
      <x:c r="J2334"/>
      <x:c r="K2334"/>
      <x:c r="L2334"/>
      <x:c r="M2334"/>
      <x:c r="N2334"/>
      <x:c r="O2334"/>
      <x:c r="P2334"/>
    </x:row>
    <x:row r="2335">
      <x:c r="A2335"/>
      <x:c r="B2335"/>
      <x:c r="C2335"/>
      <x:c r="D2335"/>
      <x:c r="E2335"/>
      <x:c r="F2335"/>
      <x:c r="G2335" s="56"/>
      <x:c r="H2335"/>
      <x:c r="I2335"/>
      <x:c r="J2335"/>
      <x:c r="K2335"/>
      <x:c r="L2335"/>
      <x:c r="M2335"/>
      <x:c r="N2335"/>
      <x:c r="O2335"/>
      <x:c r="P2335"/>
    </x:row>
    <x:row r="2336">
      <x:c r="A2336"/>
      <x:c r="B2336"/>
      <x:c r="C2336"/>
      <x:c r="D2336"/>
      <x:c r="E2336"/>
      <x:c r="F2336"/>
      <x:c r="G2336" s="56"/>
      <x:c r="H2336"/>
      <x:c r="I2336"/>
      <x:c r="J2336"/>
      <x:c r="K2336"/>
      <x:c r="L2336"/>
      <x:c r="M2336"/>
      <x:c r="N2336"/>
      <x:c r="O2336"/>
      <x:c r="P2336"/>
    </x:row>
    <x:row r="2337">
      <x:c r="A2337"/>
      <x:c r="B2337"/>
      <x:c r="C2337"/>
      <x:c r="D2337"/>
      <x:c r="E2337"/>
      <x:c r="F2337"/>
      <x:c r="G2337" s="56"/>
      <x:c r="H2337"/>
      <x:c r="I2337"/>
      <x:c r="J2337"/>
      <x:c r="K2337"/>
      <x:c r="L2337"/>
      <x:c r="M2337"/>
      <x:c r="N2337"/>
      <x:c r="O2337"/>
      <x:c r="P2337"/>
    </x:row>
    <x:row r="2338">
      <x:c r="A2338"/>
      <x:c r="B2338"/>
      <x:c r="C2338"/>
      <x:c r="D2338"/>
      <x:c r="E2338"/>
      <x:c r="F2338"/>
      <x:c r="G2338" s="56"/>
      <x:c r="H2338"/>
      <x:c r="I2338"/>
      <x:c r="J2338"/>
      <x:c r="K2338"/>
      <x:c r="L2338"/>
      <x:c r="M2338"/>
      <x:c r="N2338"/>
      <x:c r="O2338"/>
      <x:c r="P2338"/>
    </x:row>
    <x:row r="2339">
      <x:c r="A2339"/>
      <x:c r="B2339"/>
      <x:c r="C2339"/>
      <x:c r="D2339"/>
      <x:c r="E2339"/>
      <x:c r="F2339"/>
      <x:c r="G2339" s="56"/>
      <x:c r="H2339"/>
      <x:c r="I2339"/>
      <x:c r="J2339"/>
      <x:c r="K2339"/>
      <x:c r="L2339"/>
      <x:c r="M2339"/>
      <x:c r="N2339"/>
      <x:c r="O2339"/>
      <x:c r="P2339"/>
    </x:row>
    <x:row r="2340">
      <x:c r="A2340"/>
      <x:c r="B2340"/>
      <x:c r="C2340"/>
      <x:c r="D2340"/>
      <x:c r="E2340"/>
      <x:c r="F2340"/>
      <x:c r="G2340" s="56"/>
      <x:c r="H2340"/>
      <x:c r="I2340"/>
      <x:c r="J2340"/>
      <x:c r="K2340"/>
      <x:c r="L2340"/>
      <x:c r="M2340"/>
      <x:c r="N2340"/>
      <x:c r="O2340"/>
      <x:c r="P2340"/>
    </x:row>
    <x:row r="2341">
      <x:c r="A2341"/>
      <x:c r="B2341"/>
      <x:c r="C2341"/>
      <x:c r="D2341"/>
      <x:c r="E2341"/>
      <x:c r="F2341"/>
      <x:c r="G2341" s="56"/>
      <x:c r="H2341"/>
      <x:c r="I2341"/>
      <x:c r="J2341"/>
      <x:c r="K2341"/>
      <x:c r="L2341"/>
      <x:c r="M2341"/>
      <x:c r="N2341"/>
      <x:c r="O2341"/>
      <x:c r="P2341"/>
    </x:row>
    <x:row r="2342">
      <x:c r="A2342"/>
      <x:c r="B2342"/>
      <x:c r="C2342"/>
      <x:c r="D2342"/>
      <x:c r="E2342"/>
      <x:c r="F2342"/>
      <x:c r="G2342" s="56"/>
      <x:c r="H2342"/>
      <x:c r="I2342"/>
      <x:c r="J2342"/>
      <x:c r="K2342"/>
      <x:c r="L2342"/>
      <x:c r="M2342"/>
      <x:c r="N2342"/>
      <x:c r="O2342"/>
      <x:c r="P2342"/>
    </x:row>
    <x:row r="2343">
      <x:c r="A2343"/>
      <x:c r="B2343"/>
      <x:c r="C2343"/>
      <x:c r="D2343"/>
      <x:c r="E2343"/>
      <x:c r="F2343"/>
      <x:c r="G2343" s="56"/>
      <x:c r="H2343"/>
      <x:c r="I2343"/>
      <x:c r="J2343"/>
      <x:c r="K2343"/>
      <x:c r="L2343"/>
      <x:c r="M2343"/>
      <x:c r="N2343"/>
      <x:c r="O2343"/>
      <x:c r="P2343"/>
    </x:row>
    <x:row r="2344">
      <x:c r="A2344"/>
      <x:c r="B2344"/>
      <x:c r="C2344"/>
      <x:c r="D2344"/>
      <x:c r="E2344"/>
      <x:c r="F2344"/>
      <x:c r="G2344" s="56"/>
      <x:c r="H2344"/>
      <x:c r="I2344"/>
      <x:c r="J2344"/>
      <x:c r="K2344"/>
      <x:c r="L2344"/>
      <x:c r="M2344"/>
      <x:c r="N2344"/>
      <x:c r="O2344"/>
      <x:c r="P2344"/>
    </x:row>
    <x:row r="2345">
      <x:c r="A2345"/>
      <x:c r="B2345"/>
      <x:c r="C2345"/>
      <x:c r="D2345"/>
      <x:c r="E2345"/>
      <x:c r="F2345"/>
      <x:c r="G2345" s="56"/>
      <x:c r="H2345"/>
      <x:c r="I2345"/>
      <x:c r="J2345"/>
      <x:c r="K2345"/>
      <x:c r="L2345"/>
      <x:c r="M2345"/>
      <x:c r="N2345"/>
      <x:c r="O2345"/>
      <x:c r="P2345"/>
    </x:row>
    <x:row r="2346">
      <x:c r="A2346"/>
      <x:c r="B2346"/>
      <x:c r="C2346"/>
      <x:c r="D2346"/>
      <x:c r="E2346"/>
      <x:c r="F2346"/>
      <x:c r="G2346" s="56"/>
      <x:c r="H2346"/>
      <x:c r="I2346"/>
      <x:c r="J2346"/>
      <x:c r="K2346"/>
      <x:c r="L2346"/>
      <x:c r="M2346"/>
      <x:c r="N2346"/>
      <x:c r="O2346"/>
      <x:c r="P2346"/>
    </x:row>
    <x:row r="2347">
      <x:c r="A2347"/>
      <x:c r="B2347"/>
      <x:c r="C2347"/>
      <x:c r="D2347"/>
      <x:c r="E2347"/>
      <x:c r="F2347"/>
      <x:c r="G2347" s="56"/>
      <x:c r="H2347"/>
      <x:c r="I2347"/>
      <x:c r="J2347"/>
      <x:c r="K2347"/>
      <x:c r="L2347"/>
      <x:c r="M2347"/>
      <x:c r="N2347"/>
      <x:c r="O2347"/>
      <x:c r="P2347"/>
    </x:row>
    <x:row r="2348">
      <x:c r="A2348"/>
      <x:c r="B2348"/>
      <x:c r="C2348"/>
      <x:c r="D2348"/>
      <x:c r="E2348"/>
      <x:c r="F2348"/>
      <x:c r="G2348" s="56"/>
      <x:c r="H2348"/>
      <x:c r="I2348"/>
      <x:c r="J2348"/>
      <x:c r="K2348"/>
      <x:c r="L2348"/>
      <x:c r="M2348"/>
      <x:c r="N2348"/>
      <x:c r="O2348"/>
      <x:c r="P2348"/>
    </x:row>
    <x:row r="2349">
      <x:c r="A2349"/>
      <x:c r="B2349"/>
      <x:c r="C2349"/>
      <x:c r="D2349"/>
      <x:c r="E2349"/>
      <x:c r="F2349"/>
      <x:c r="G2349" s="56"/>
      <x:c r="H2349"/>
      <x:c r="I2349"/>
      <x:c r="J2349"/>
      <x:c r="K2349"/>
      <x:c r="L2349"/>
      <x:c r="M2349"/>
      <x:c r="N2349"/>
      <x:c r="O2349"/>
      <x:c r="P2349"/>
    </x:row>
    <x:row r="2350">
      <x:c r="A2350"/>
      <x:c r="B2350"/>
      <x:c r="C2350"/>
      <x:c r="D2350"/>
      <x:c r="E2350"/>
      <x:c r="F2350"/>
      <x:c r="G2350" s="56"/>
      <x:c r="H2350"/>
      <x:c r="I2350"/>
      <x:c r="J2350"/>
      <x:c r="K2350"/>
      <x:c r="L2350"/>
      <x:c r="M2350"/>
      <x:c r="N2350"/>
      <x:c r="O2350"/>
      <x:c r="P2350"/>
    </x:row>
    <x:row r="2351">
      <x:c r="A2351"/>
      <x:c r="B2351"/>
      <x:c r="C2351"/>
      <x:c r="D2351"/>
      <x:c r="E2351"/>
      <x:c r="F2351"/>
      <x:c r="G2351" s="56"/>
      <x:c r="H2351"/>
      <x:c r="I2351"/>
      <x:c r="J2351"/>
      <x:c r="K2351"/>
      <x:c r="L2351"/>
      <x:c r="M2351"/>
      <x:c r="N2351"/>
      <x:c r="O2351"/>
      <x:c r="P2351"/>
    </x:row>
    <x:row r="2352">
      <x:c r="A2352"/>
      <x:c r="B2352"/>
      <x:c r="C2352"/>
      <x:c r="D2352"/>
      <x:c r="E2352"/>
      <x:c r="F2352"/>
      <x:c r="G2352" s="56"/>
      <x:c r="H2352"/>
      <x:c r="I2352"/>
      <x:c r="J2352"/>
      <x:c r="K2352"/>
      <x:c r="L2352"/>
      <x:c r="M2352"/>
      <x:c r="N2352"/>
      <x:c r="O2352"/>
      <x:c r="P2352"/>
    </x:row>
    <x:row r="2353">
      <x:c r="A2353"/>
      <x:c r="B2353"/>
      <x:c r="C2353"/>
      <x:c r="D2353"/>
      <x:c r="E2353"/>
      <x:c r="F2353"/>
      <x:c r="G2353" s="56"/>
      <x:c r="H2353"/>
      <x:c r="I2353"/>
      <x:c r="J2353"/>
      <x:c r="K2353"/>
      <x:c r="L2353"/>
      <x:c r="M2353"/>
      <x:c r="N2353"/>
      <x:c r="O2353"/>
      <x:c r="P2353"/>
    </x:row>
    <x:row r="2354">
      <x:c r="A2354"/>
      <x:c r="B2354"/>
      <x:c r="C2354"/>
      <x:c r="D2354"/>
      <x:c r="E2354"/>
      <x:c r="F2354"/>
      <x:c r="G2354" s="56"/>
      <x:c r="H2354"/>
      <x:c r="I2354"/>
      <x:c r="J2354"/>
      <x:c r="K2354"/>
      <x:c r="L2354"/>
      <x:c r="M2354"/>
      <x:c r="N2354"/>
      <x:c r="O2354"/>
      <x:c r="P2354"/>
    </x:row>
    <x:row r="2355">
      <x:c r="A2355"/>
      <x:c r="B2355"/>
      <x:c r="C2355"/>
      <x:c r="D2355"/>
      <x:c r="E2355"/>
      <x:c r="F2355"/>
      <x:c r="G2355" s="56"/>
      <x:c r="H2355"/>
      <x:c r="I2355"/>
      <x:c r="J2355"/>
      <x:c r="K2355"/>
      <x:c r="L2355"/>
      <x:c r="M2355"/>
      <x:c r="N2355"/>
      <x:c r="O2355"/>
      <x:c r="P2355"/>
    </x:row>
    <x:row r="2356">
      <x:c r="A2356"/>
      <x:c r="B2356"/>
      <x:c r="C2356"/>
      <x:c r="D2356"/>
      <x:c r="E2356"/>
      <x:c r="F2356"/>
      <x:c r="G2356" s="56"/>
      <x:c r="H2356"/>
      <x:c r="I2356"/>
      <x:c r="J2356"/>
      <x:c r="K2356"/>
      <x:c r="L2356"/>
      <x:c r="M2356"/>
      <x:c r="N2356"/>
      <x:c r="O2356"/>
      <x:c r="P2356"/>
    </x:row>
    <x:row r="2357">
      <x:c r="A2357"/>
      <x:c r="B2357"/>
      <x:c r="C2357"/>
      <x:c r="D2357"/>
      <x:c r="E2357"/>
      <x:c r="F2357"/>
      <x:c r="G2357" s="56"/>
      <x:c r="H2357"/>
      <x:c r="I2357"/>
      <x:c r="J2357"/>
      <x:c r="K2357"/>
      <x:c r="L2357"/>
      <x:c r="M2357"/>
      <x:c r="N2357"/>
      <x:c r="O2357"/>
      <x:c r="P2357"/>
    </x:row>
    <x:row r="2358">
      <x:c r="A2358"/>
      <x:c r="B2358"/>
      <x:c r="C2358"/>
      <x:c r="D2358"/>
      <x:c r="E2358"/>
      <x:c r="F2358"/>
      <x:c r="G2358" s="56"/>
      <x:c r="H2358"/>
      <x:c r="I2358"/>
      <x:c r="J2358"/>
      <x:c r="K2358"/>
      <x:c r="L2358"/>
      <x:c r="M2358"/>
      <x:c r="N2358"/>
      <x:c r="O2358"/>
      <x:c r="P2358"/>
    </x:row>
    <x:row r="2359">
      <x:c r="A2359"/>
      <x:c r="B2359"/>
      <x:c r="C2359"/>
      <x:c r="D2359"/>
      <x:c r="E2359"/>
      <x:c r="F2359"/>
      <x:c r="G2359" s="56"/>
      <x:c r="H2359"/>
      <x:c r="I2359"/>
      <x:c r="J2359"/>
      <x:c r="K2359"/>
      <x:c r="L2359"/>
      <x:c r="M2359"/>
      <x:c r="N2359"/>
      <x:c r="O2359"/>
      <x:c r="P2359"/>
    </x:row>
    <x:row r="2360">
      <x:c r="A2360"/>
      <x:c r="B2360"/>
      <x:c r="C2360"/>
      <x:c r="D2360"/>
      <x:c r="E2360"/>
      <x:c r="F2360"/>
      <x:c r="G2360" s="56"/>
      <x:c r="H2360"/>
      <x:c r="I2360"/>
      <x:c r="J2360"/>
      <x:c r="K2360"/>
      <x:c r="L2360"/>
      <x:c r="M2360"/>
      <x:c r="N2360"/>
      <x:c r="O2360"/>
      <x:c r="P2360"/>
    </x:row>
    <x:row r="2361">
      <x:c r="A2361"/>
      <x:c r="B2361"/>
      <x:c r="C2361"/>
      <x:c r="D2361"/>
      <x:c r="E2361"/>
      <x:c r="F2361"/>
      <x:c r="G2361" s="56"/>
      <x:c r="H2361"/>
      <x:c r="I2361"/>
      <x:c r="J2361"/>
      <x:c r="K2361"/>
      <x:c r="L2361"/>
      <x:c r="M2361"/>
      <x:c r="N2361"/>
      <x:c r="O2361"/>
      <x:c r="P2361"/>
    </x:row>
    <x:row r="2362">
      <x:c r="A2362"/>
      <x:c r="B2362"/>
      <x:c r="C2362"/>
      <x:c r="D2362"/>
      <x:c r="E2362"/>
      <x:c r="F2362"/>
      <x:c r="G2362" s="56"/>
      <x:c r="H2362"/>
      <x:c r="I2362"/>
      <x:c r="J2362"/>
      <x:c r="K2362"/>
      <x:c r="L2362"/>
      <x:c r="M2362"/>
      <x:c r="N2362"/>
      <x:c r="O2362"/>
      <x:c r="P2362"/>
    </x:row>
    <x:row r="2363">
      <x:c r="A2363"/>
      <x:c r="B2363"/>
      <x:c r="C2363"/>
      <x:c r="D2363"/>
      <x:c r="E2363"/>
      <x:c r="F2363"/>
      <x:c r="G2363" s="56"/>
      <x:c r="H2363"/>
      <x:c r="I2363"/>
      <x:c r="J2363"/>
      <x:c r="K2363"/>
      <x:c r="L2363"/>
      <x:c r="M2363"/>
      <x:c r="N2363"/>
      <x:c r="O2363"/>
      <x:c r="P2363"/>
    </x:row>
    <x:row r="2364">
      <x:c r="A2364"/>
      <x:c r="B2364"/>
      <x:c r="C2364"/>
      <x:c r="D2364"/>
      <x:c r="E2364"/>
      <x:c r="F2364"/>
      <x:c r="G2364" s="56"/>
      <x:c r="H2364"/>
      <x:c r="I2364"/>
      <x:c r="J2364"/>
      <x:c r="K2364"/>
      <x:c r="L2364"/>
      <x:c r="M2364"/>
      <x:c r="N2364"/>
      <x:c r="O2364"/>
      <x:c r="P2364"/>
    </x:row>
    <x:row r="2365">
      <x:c r="A2365"/>
      <x:c r="B2365"/>
      <x:c r="C2365"/>
      <x:c r="D2365"/>
      <x:c r="E2365"/>
      <x:c r="F2365"/>
      <x:c r="G2365" s="56"/>
      <x:c r="H2365"/>
      <x:c r="I2365"/>
      <x:c r="J2365"/>
      <x:c r="K2365"/>
      <x:c r="L2365"/>
      <x:c r="M2365"/>
      <x:c r="N2365"/>
      <x:c r="O2365"/>
      <x:c r="P2365"/>
    </x:row>
    <x:row r="2366">
      <x:c r="A2366"/>
      <x:c r="B2366"/>
      <x:c r="C2366"/>
      <x:c r="D2366"/>
      <x:c r="E2366"/>
      <x:c r="F2366"/>
      <x:c r="G2366" s="56"/>
      <x:c r="H2366"/>
      <x:c r="I2366"/>
      <x:c r="J2366"/>
      <x:c r="K2366"/>
      <x:c r="L2366"/>
      <x:c r="M2366"/>
      <x:c r="N2366"/>
      <x:c r="O2366"/>
      <x:c r="P2366"/>
    </x:row>
    <x:row r="2367">
      <x:c r="A2367"/>
      <x:c r="B2367"/>
      <x:c r="C2367"/>
      <x:c r="D2367"/>
      <x:c r="E2367"/>
      <x:c r="F2367"/>
      <x:c r="G2367" s="56"/>
      <x:c r="H2367"/>
      <x:c r="I2367"/>
      <x:c r="J2367"/>
      <x:c r="K2367"/>
      <x:c r="L2367"/>
      <x:c r="M2367"/>
      <x:c r="N2367"/>
      <x:c r="O2367"/>
      <x:c r="P2367"/>
    </x:row>
    <x:row r="2368">
      <x:c r="A2368"/>
      <x:c r="B2368"/>
      <x:c r="C2368"/>
      <x:c r="D2368"/>
      <x:c r="E2368"/>
      <x:c r="F2368"/>
      <x:c r="G2368" s="56"/>
      <x:c r="H2368"/>
      <x:c r="I2368"/>
      <x:c r="J2368"/>
      <x:c r="K2368"/>
      <x:c r="L2368"/>
      <x:c r="M2368"/>
      <x:c r="N2368"/>
      <x:c r="O2368"/>
      <x:c r="P2368"/>
    </x:row>
    <x:row r="2369">
      <x:c r="A2369"/>
      <x:c r="B2369"/>
      <x:c r="C2369"/>
      <x:c r="D2369"/>
      <x:c r="E2369"/>
      <x:c r="F2369"/>
      <x:c r="G2369" s="56"/>
      <x:c r="H2369"/>
      <x:c r="I2369"/>
      <x:c r="J2369"/>
      <x:c r="K2369"/>
      <x:c r="L2369"/>
      <x:c r="M2369"/>
      <x:c r="N2369"/>
      <x:c r="O2369"/>
      <x:c r="P2369"/>
    </x:row>
    <x:row r="2370">
      <x:c r="A2370"/>
      <x:c r="B2370"/>
      <x:c r="C2370"/>
      <x:c r="D2370"/>
      <x:c r="E2370"/>
      <x:c r="F2370"/>
      <x:c r="G2370" s="56"/>
      <x:c r="H2370"/>
      <x:c r="I2370"/>
      <x:c r="J2370"/>
      <x:c r="K2370"/>
      <x:c r="L2370"/>
      <x:c r="M2370"/>
      <x:c r="N2370"/>
      <x:c r="O2370"/>
      <x:c r="P2370"/>
    </x:row>
    <x:row r="2371">
      <x:c r="A2371"/>
      <x:c r="B2371"/>
      <x:c r="C2371"/>
      <x:c r="D2371"/>
      <x:c r="E2371"/>
      <x:c r="F2371"/>
      <x:c r="G2371" s="56"/>
      <x:c r="H2371"/>
      <x:c r="I2371"/>
      <x:c r="J2371"/>
      <x:c r="K2371"/>
      <x:c r="L2371"/>
      <x:c r="M2371"/>
      <x:c r="N2371"/>
      <x:c r="O2371"/>
      <x:c r="P2371"/>
    </x:row>
    <x:row r="2372">
      <x:c r="A2372"/>
      <x:c r="B2372"/>
      <x:c r="C2372"/>
      <x:c r="D2372"/>
      <x:c r="E2372"/>
      <x:c r="F2372"/>
      <x:c r="G2372" s="56"/>
      <x:c r="H2372"/>
      <x:c r="I2372"/>
      <x:c r="J2372"/>
      <x:c r="K2372"/>
      <x:c r="L2372"/>
      <x:c r="M2372"/>
      <x:c r="N2372"/>
      <x:c r="O2372"/>
      <x:c r="P2372"/>
    </x:row>
    <x:row r="2373">
      <x:c r="A2373"/>
      <x:c r="B2373"/>
      <x:c r="C2373"/>
      <x:c r="D2373"/>
      <x:c r="E2373"/>
      <x:c r="F2373"/>
      <x:c r="G2373" s="56"/>
      <x:c r="H2373"/>
      <x:c r="I2373"/>
      <x:c r="J2373"/>
      <x:c r="K2373"/>
      <x:c r="L2373"/>
      <x:c r="M2373"/>
      <x:c r="N2373"/>
      <x:c r="O2373"/>
      <x:c r="P2373"/>
    </x:row>
    <x:row r="2374">
      <x:c r="A2374"/>
      <x:c r="B2374"/>
      <x:c r="C2374"/>
      <x:c r="D2374"/>
      <x:c r="E2374"/>
      <x:c r="F2374"/>
      <x:c r="G2374" s="56"/>
      <x:c r="H2374"/>
      <x:c r="I2374"/>
      <x:c r="J2374"/>
      <x:c r="K2374"/>
      <x:c r="L2374"/>
      <x:c r="M2374"/>
      <x:c r="N2374"/>
      <x:c r="O2374"/>
      <x:c r="P2374"/>
    </x:row>
    <x:row r="2375">
      <x:c r="A2375"/>
      <x:c r="B2375"/>
      <x:c r="C2375"/>
      <x:c r="D2375"/>
      <x:c r="E2375"/>
      <x:c r="F2375"/>
      <x:c r="G2375" s="56"/>
      <x:c r="H2375"/>
      <x:c r="I2375"/>
      <x:c r="J2375"/>
      <x:c r="K2375"/>
      <x:c r="L2375"/>
      <x:c r="M2375"/>
      <x:c r="N2375"/>
      <x:c r="O2375"/>
      <x:c r="P2375"/>
    </x:row>
    <x:row r="2376">
      <x:c r="A2376"/>
      <x:c r="B2376"/>
      <x:c r="C2376"/>
      <x:c r="D2376"/>
      <x:c r="E2376"/>
      <x:c r="F2376"/>
      <x:c r="G2376" s="56"/>
      <x:c r="H2376"/>
      <x:c r="I2376"/>
      <x:c r="J2376"/>
      <x:c r="K2376"/>
      <x:c r="L2376"/>
      <x:c r="M2376"/>
      <x:c r="N2376"/>
      <x:c r="O2376"/>
      <x:c r="P2376"/>
    </x:row>
    <x:row r="2377">
      <x:c r="A2377"/>
      <x:c r="B2377"/>
      <x:c r="C2377"/>
      <x:c r="D2377"/>
      <x:c r="E2377"/>
      <x:c r="F2377"/>
      <x:c r="G2377" s="56"/>
      <x:c r="H2377"/>
      <x:c r="I2377"/>
      <x:c r="J2377"/>
      <x:c r="K2377"/>
      <x:c r="L2377"/>
      <x:c r="M2377"/>
      <x:c r="N2377"/>
      <x:c r="O2377"/>
      <x:c r="P2377"/>
    </x:row>
    <x:row r="2378">
      <x:c r="A2378"/>
      <x:c r="B2378"/>
      <x:c r="C2378"/>
      <x:c r="D2378"/>
      <x:c r="E2378"/>
      <x:c r="F2378"/>
      <x:c r="G2378" s="56"/>
      <x:c r="H2378"/>
      <x:c r="I2378"/>
      <x:c r="J2378"/>
      <x:c r="K2378"/>
      <x:c r="L2378"/>
      <x:c r="M2378"/>
      <x:c r="N2378"/>
      <x:c r="O2378"/>
      <x:c r="P2378"/>
    </x:row>
    <x:row r="2379">
      <x:c r="A2379"/>
      <x:c r="B2379"/>
      <x:c r="C2379"/>
      <x:c r="D2379"/>
      <x:c r="E2379"/>
      <x:c r="F2379"/>
      <x:c r="G2379" s="56"/>
      <x:c r="H2379"/>
      <x:c r="I2379"/>
      <x:c r="J2379"/>
      <x:c r="K2379"/>
      <x:c r="L2379"/>
      <x:c r="M2379"/>
      <x:c r="N2379"/>
      <x:c r="O2379"/>
      <x:c r="P2379"/>
    </x:row>
    <x:row r="2380">
      <x:c r="A2380"/>
      <x:c r="B2380"/>
      <x:c r="C2380"/>
      <x:c r="D2380"/>
      <x:c r="E2380"/>
      <x:c r="F2380"/>
      <x:c r="G2380" s="56"/>
      <x:c r="H2380"/>
      <x:c r="I2380"/>
      <x:c r="J2380"/>
      <x:c r="K2380"/>
      <x:c r="L2380"/>
      <x:c r="M2380"/>
      <x:c r="N2380"/>
      <x:c r="O2380"/>
      <x:c r="P2380"/>
    </x:row>
    <x:row r="2381">
      <x:c r="A2381"/>
      <x:c r="B2381"/>
      <x:c r="C2381"/>
      <x:c r="D2381"/>
      <x:c r="E2381"/>
      <x:c r="F2381"/>
      <x:c r="G2381" s="56"/>
      <x:c r="H2381"/>
      <x:c r="I2381"/>
      <x:c r="J2381"/>
      <x:c r="K2381"/>
      <x:c r="L2381"/>
      <x:c r="M2381"/>
      <x:c r="N2381"/>
      <x:c r="O2381"/>
      <x:c r="P2381"/>
    </x:row>
    <x:row r="2382">
      <x:c r="A2382"/>
      <x:c r="B2382"/>
      <x:c r="C2382"/>
      <x:c r="D2382"/>
      <x:c r="E2382"/>
      <x:c r="F2382"/>
      <x:c r="G2382" s="56"/>
      <x:c r="H2382"/>
      <x:c r="I2382"/>
      <x:c r="J2382"/>
      <x:c r="K2382"/>
      <x:c r="L2382"/>
      <x:c r="M2382"/>
      <x:c r="N2382"/>
      <x:c r="O2382"/>
      <x:c r="P2382"/>
    </x:row>
    <x:row r="2383">
      <x:c r="A2383"/>
      <x:c r="B2383"/>
      <x:c r="C2383"/>
      <x:c r="D2383"/>
      <x:c r="E2383"/>
      <x:c r="F2383"/>
      <x:c r="G2383" s="56"/>
      <x:c r="H2383"/>
      <x:c r="I2383"/>
      <x:c r="J2383"/>
      <x:c r="K2383"/>
      <x:c r="L2383"/>
      <x:c r="M2383"/>
      <x:c r="N2383"/>
      <x:c r="O2383"/>
      <x:c r="P2383"/>
    </x:row>
    <x:row r="2384">
      <x:c r="A2384"/>
      <x:c r="B2384"/>
      <x:c r="C2384"/>
      <x:c r="D2384"/>
      <x:c r="E2384"/>
      <x:c r="F2384"/>
      <x:c r="G2384" s="56"/>
      <x:c r="H2384"/>
      <x:c r="I2384"/>
      <x:c r="J2384"/>
      <x:c r="K2384"/>
      <x:c r="L2384"/>
      <x:c r="M2384"/>
      <x:c r="N2384"/>
      <x:c r="O2384"/>
      <x:c r="P2384"/>
    </x:row>
    <x:row r="2385">
      <x:c r="A2385"/>
      <x:c r="B2385"/>
      <x:c r="C2385"/>
      <x:c r="D2385"/>
      <x:c r="E2385"/>
      <x:c r="F2385"/>
      <x:c r="G2385" s="56"/>
      <x:c r="H2385"/>
      <x:c r="I2385"/>
      <x:c r="J2385"/>
      <x:c r="K2385"/>
      <x:c r="L2385"/>
      <x:c r="M2385"/>
      <x:c r="N2385"/>
      <x:c r="O2385"/>
      <x:c r="P2385"/>
    </x:row>
    <x:row r="2386">
      <x:c r="A2386"/>
      <x:c r="B2386"/>
      <x:c r="C2386"/>
      <x:c r="D2386"/>
      <x:c r="E2386"/>
      <x:c r="F2386"/>
      <x:c r="G2386" s="56"/>
      <x:c r="H2386"/>
      <x:c r="I2386"/>
      <x:c r="J2386"/>
      <x:c r="K2386"/>
      <x:c r="L2386"/>
      <x:c r="M2386"/>
      <x:c r="N2386"/>
      <x:c r="O2386"/>
      <x:c r="P2386"/>
    </x:row>
    <x:row r="2387">
      <x:c r="A2387"/>
      <x:c r="B2387"/>
      <x:c r="C2387"/>
      <x:c r="D2387"/>
      <x:c r="E2387"/>
      <x:c r="F2387"/>
      <x:c r="G2387" s="56"/>
      <x:c r="H2387"/>
      <x:c r="I2387"/>
      <x:c r="J2387"/>
      <x:c r="K2387"/>
      <x:c r="L2387"/>
      <x:c r="M2387"/>
      <x:c r="N2387"/>
      <x:c r="O2387"/>
      <x:c r="P2387"/>
    </x:row>
    <x:row r="2388">
      <x:c r="A2388"/>
      <x:c r="B2388"/>
      <x:c r="C2388"/>
      <x:c r="D2388"/>
      <x:c r="E2388"/>
      <x:c r="F2388"/>
      <x:c r="G2388" s="56"/>
      <x:c r="H2388"/>
      <x:c r="I2388"/>
      <x:c r="J2388"/>
      <x:c r="K2388"/>
      <x:c r="L2388"/>
      <x:c r="M2388"/>
      <x:c r="N2388"/>
      <x:c r="O2388"/>
      <x:c r="P2388"/>
    </x:row>
    <x:row r="2389">
      <x:c r="A2389"/>
      <x:c r="B2389"/>
      <x:c r="C2389"/>
      <x:c r="D2389"/>
      <x:c r="E2389"/>
      <x:c r="F2389"/>
      <x:c r="G2389" s="56"/>
      <x:c r="H2389"/>
      <x:c r="I2389"/>
      <x:c r="J2389"/>
      <x:c r="K2389"/>
      <x:c r="L2389"/>
      <x:c r="M2389"/>
      <x:c r="N2389"/>
      <x:c r="O2389"/>
      <x:c r="P2389"/>
    </x:row>
    <x:row r="2390">
      <x:c r="A2390"/>
      <x:c r="B2390"/>
      <x:c r="C2390"/>
      <x:c r="D2390"/>
      <x:c r="E2390"/>
      <x:c r="F2390"/>
      <x:c r="G2390" s="56"/>
      <x:c r="H2390"/>
      <x:c r="I2390"/>
      <x:c r="J2390"/>
      <x:c r="K2390"/>
      <x:c r="L2390"/>
      <x:c r="M2390"/>
      <x:c r="N2390"/>
      <x:c r="O2390"/>
      <x:c r="P2390"/>
    </x:row>
    <x:row r="2391">
      <x:c r="A2391"/>
      <x:c r="B2391"/>
      <x:c r="C2391"/>
      <x:c r="D2391"/>
      <x:c r="E2391"/>
      <x:c r="F2391"/>
      <x:c r="G2391" s="56"/>
      <x:c r="H2391"/>
      <x:c r="I2391"/>
      <x:c r="J2391"/>
      <x:c r="K2391"/>
      <x:c r="L2391"/>
      <x:c r="M2391"/>
      <x:c r="N2391"/>
      <x:c r="O2391"/>
      <x:c r="P2391"/>
    </x:row>
    <x:row r="2392">
      <x:c r="A2392"/>
      <x:c r="B2392"/>
      <x:c r="C2392"/>
      <x:c r="D2392"/>
      <x:c r="E2392"/>
      <x:c r="F2392"/>
      <x:c r="G2392" s="56"/>
      <x:c r="H2392"/>
      <x:c r="I2392"/>
      <x:c r="J2392"/>
      <x:c r="K2392"/>
      <x:c r="L2392"/>
      <x:c r="M2392"/>
      <x:c r="N2392"/>
      <x:c r="O2392"/>
      <x:c r="P2392"/>
    </x:row>
    <x:row r="2393">
      <x:c r="A2393"/>
      <x:c r="B2393"/>
      <x:c r="C2393"/>
      <x:c r="D2393"/>
      <x:c r="E2393"/>
      <x:c r="F2393"/>
      <x:c r="G2393" s="56"/>
      <x:c r="H2393"/>
      <x:c r="I2393"/>
      <x:c r="J2393"/>
      <x:c r="K2393"/>
      <x:c r="L2393"/>
      <x:c r="M2393"/>
      <x:c r="N2393"/>
      <x:c r="O2393"/>
      <x:c r="P2393"/>
    </x:row>
    <x:row r="2394">
      <x:c r="A2394"/>
      <x:c r="B2394"/>
      <x:c r="C2394"/>
      <x:c r="D2394"/>
      <x:c r="E2394"/>
      <x:c r="F2394"/>
      <x:c r="G2394" s="56"/>
      <x:c r="H2394"/>
      <x:c r="I2394"/>
      <x:c r="J2394"/>
      <x:c r="K2394"/>
      <x:c r="L2394"/>
      <x:c r="M2394"/>
      <x:c r="N2394"/>
      <x:c r="O2394"/>
      <x:c r="P2394"/>
    </x:row>
    <x:row r="2395">
      <x:c r="A2395"/>
      <x:c r="B2395"/>
      <x:c r="C2395"/>
      <x:c r="D2395"/>
      <x:c r="E2395"/>
      <x:c r="F2395"/>
      <x:c r="G2395" s="56"/>
      <x:c r="H2395"/>
      <x:c r="I2395"/>
      <x:c r="J2395"/>
      <x:c r="K2395"/>
      <x:c r="L2395"/>
      <x:c r="M2395"/>
      <x:c r="N2395"/>
      <x:c r="O2395"/>
      <x:c r="P2395"/>
    </x:row>
    <x:row r="2396">
      <x:c r="A2396"/>
      <x:c r="B2396"/>
      <x:c r="C2396"/>
      <x:c r="D2396"/>
      <x:c r="E2396"/>
      <x:c r="F2396"/>
      <x:c r="G2396" s="56"/>
      <x:c r="H2396"/>
      <x:c r="I2396"/>
      <x:c r="J2396"/>
      <x:c r="K2396"/>
      <x:c r="L2396"/>
      <x:c r="M2396"/>
      <x:c r="N2396"/>
      <x:c r="O2396"/>
      <x:c r="P2396"/>
    </x:row>
    <x:row r="2397">
      <x:c r="A2397"/>
      <x:c r="B2397"/>
      <x:c r="C2397"/>
      <x:c r="D2397"/>
      <x:c r="E2397"/>
      <x:c r="F2397"/>
      <x:c r="G2397" s="56"/>
      <x:c r="H2397"/>
      <x:c r="I2397"/>
      <x:c r="J2397"/>
      <x:c r="K2397"/>
      <x:c r="L2397"/>
      <x:c r="M2397"/>
      <x:c r="N2397"/>
      <x:c r="O2397"/>
      <x:c r="P2397"/>
    </x:row>
    <x:row r="2398">
      <x:c r="A2398"/>
      <x:c r="B2398"/>
      <x:c r="C2398"/>
      <x:c r="D2398"/>
      <x:c r="E2398"/>
      <x:c r="F2398"/>
      <x:c r="G2398" s="56"/>
      <x:c r="H2398"/>
      <x:c r="I2398"/>
      <x:c r="J2398"/>
      <x:c r="K2398"/>
      <x:c r="L2398"/>
      <x:c r="M2398"/>
      <x:c r="N2398"/>
      <x:c r="O2398"/>
      <x:c r="P2398"/>
    </x:row>
    <x:row r="2399">
      <x:c r="A2399"/>
      <x:c r="B2399"/>
      <x:c r="C2399"/>
      <x:c r="D2399"/>
      <x:c r="E2399"/>
      <x:c r="F2399"/>
      <x:c r="G2399" s="56"/>
      <x:c r="H2399"/>
      <x:c r="I2399"/>
      <x:c r="J2399"/>
      <x:c r="K2399"/>
      <x:c r="L2399"/>
      <x:c r="M2399"/>
      <x:c r="N2399"/>
      <x:c r="O2399"/>
      <x:c r="P2399"/>
    </x:row>
    <x:row r="2400">
      <x:c r="A2400"/>
      <x:c r="B2400"/>
      <x:c r="C2400"/>
      <x:c r="D2400"/>
      <x:c r="E2400"/>
      <x:c r="F2400"/>
      <x:c r="G2400" s="56"/>
      <x:c r="H2400"/>
      <x:c r="I2400"/>
      <x:c r="J2400"/>
      <x:c r="K2400"/>
      <x:c r="L2400"/>
      <x:c r="M2400"/>
      <x:c r="N2400"/>
      <x:c r="O2400"/>
      <x:c r="P2400"/>
    </x:row>
    <x:row r="2401">
      <x:c r="A2401"/>
      <x:c r="B2401"/>
      <x:c r="C2401"/>
      <x:c r="D2401"/>
      <x:c r="E2401"/>
      <x:c r="F2401"/>
      <x:c r="G2401" s="56"/>
      <x:c r="H2401"/>
      <x:c r="I2401"/>
      <x:c r="J2401"/>
      <x:c r="K2401"/>
      <x:c r="L2401"/>
      <x:c r="M2401"/>
      <x:c r="N2401"/>
      <x:c r="O2401"/>
      <x:c r="P2401"/>
    </x:row>
    <x:row r="2402">
      <x:c r="A2402"/>
      <x:c r="B2402"/>
      <x:c r="C2402"/>
      <x:c r="D2402"/>
      <x:c r="E2402"/>
      <x:c r="F2402"/>
      <x:c r="G2402" s="56"/>
      <x:c r="H2402"/>
      <x:c r="I2402"/>
      <x:c r="J2402"/>
      <x:c r="K2402"/>
      <x:c r="L2402"/>
      <x:c r="M2402"/>
      <x:c r="N2402"/>
      <x:c r="O2402"/>
      <x:c r="P2402"/>
    </x:row>
    <x:row r="2403">
      <x:c r="A2403"/>
      <x:c r="B2403"/>
      <x:c r="C2403"/>
      <x:c r="D2403"/>
      <x:c r="E2403"/>
      <x:c r="F2403"/>
      <x:c r="G2403" s="56"/>
      <x:c r="H2403"/>
      <x:c r="I2403"/>
      <x:c r="J2403"/>
      <x:c r="K2403"/>
      <x:c r="L2403"/>
      <x:c r="M2403"/>
      <x:c r="N2403"/>
      <x:c r="O2403"/>
      <x:c r="P2403"/>
    </x:row>
    <x:row r="2404">
      <x:c r="A2404"/>
      <x:c r="B2404"/>
      <x:c r="C2404"/>
      <x:c r="D2404"/>
      <x:c r="E2404"/>
      <x:c r="F2404"/>
      <x:c r="G2404" s="56"/>
      <x:c r="H2404"/>
      <x:c r="I2404"/>
      <x:c r="J2404"/>
      <x:c r="K2404"/>
      <x:c r="L2404"/>
      <x:c r="M2404"/>
      <x:c r="N2404"/>
      <x:c r="O2404"/>
      <x:c r="P2404"/>
    </x:row>
    <x:row r="2405">
      <x:c r="A2405"/>
      <x:c r="B2405"/>
      <x:c r="C2405"/>
      <x:c r="D2405"/>
      <x:c r="E2405"/>
      <x:c r="F2405"/>
      <x:c r="G2405" s="56"/>
      <x:c r="H2405"/>
      <x:c r="I2405"/>
      <x:c r="J2405"/>
      <x:c r="K2405"/>
      <x:c r="L2405"/>
      <x:c r="M2405"/>
      <x:c r="N2405"/>
      <x:c r="O2405"/>
      <x:c r="P2405"/>
    </x:row>
    <x:row r="2406">
      <x:c r="A2406"/>
      <x:c r="B2406"/>
      <x:c r="C2406"/>
      <x:c r="D2406"/>
      <x:c r="E2406"/>
      <x:c r="F2406"/>
      <x:c r="G2406" s="56"/>
      <x:c r="H2406"/>
      <x:c r="I2406"/>
      <x:c r="J2406"/>
      <x:c r="K2406"/>
      <x:c r="L2406"/>
      <x:c r="M2406"/>
      <x:c r="N2406"/>
      <x:c r="O2406"/>
      <x:c r="P2406"/>
    </x:row>
    <x:row r="2407">
      <x:c r="A2407"/>
      <x:c r="B2407"/>
      <x:c r="C2407"/>
      <x:c r="D2407"/>
      <x:c r="E2407"/>
      <x:c r="F2407"/>
      <x:c r="G2407" s="56"/>
      <x:c r="H2407"/>
      <x:c r="I2407"/>
      <x:c r="J2407"/>
      <x:c r="K2407"/>
      <x:c r="L2407"/>
      <x:c r="M2407"/>
      <x:c r="N2407"/>
      <x:c r="O2407"/>
      <x:c r="P2407"/>
    </x:row>
    <x:row r="2408">
      <x:c r="A2408"/>
      <x:c r="B2408"/>
      <x:c r="C2408"/>
      <x:c r="D2408"/>
      <x:c r="E2408"/>
      <x:c r="F2408"/>
      <x:c r="G2408" s="56"/>
      <x:c r="H2408"/>
      <x:c r="I2408"/>
      <x:c r="J2408"/>
      <x:c r="K2408"/>
      <x:c r="L2408"/>
      <x:c r="M2408"/>
      <x:c r="N2408"/>
      <x:c r="O2408"/>
      <x:c r="P2408"/>
    </x:row>
    <x:row r="2409">
      <x:c r="A2409"/>
      <x:c r="B2409"/>
      <x:c r="C2409"/>
      <x:c r="D2409"/>
      <x:c r="E2409"/>
      <x:c r="F2409"/>
      <x:c r="G2409" s="56"/>
      <x:c r="H2409"/>
      <x:c r="I2409"/>
      <x:c r="J2409"/>
      <x:c r="K2409"/>
      <x:c r="L2409"/>
      <x:c r="M2409"/>
      <x:c r="N2409"/>
      <x:c r="O2409"/>
      <x:c r="P2409"/>
    </x:row>
    <x:row r="2410">
      <x:c r="A2410"/>
      <x:c r="B2410"/>
      <x:c r="C2410"/>
      <x:c r="D2410"/>
      <x:c r="E2410"/>
      <x:c r="F2410"/>
      <x:c r="G2410" s="56"/>
      <x:c r="H2410"/>
      <x:c r="I2410"/>
      <x:c r="J2410"/>
      <x:c r="K2410"/>
      <x:c r="L2410"/>
      <x:c r="M2410"/>
      <x:c r="N2410"/>
      <x:c r="O2410"/>
      <x:c r="P2410"/>
    </x:row>
    <x:row r="2411">
      <x:c r="A2411"/>
      <x:c r="B2411"/>
      <x:c r="C2411"/>
      <x:c r="D2411"/>
      <x:c r="E2411"/>
      <x:c r="F2411"/>
      <x:c r="G2411" s="56"/>
      <x:c r="H2411"/>
      <x:c r="I2411"/>
      <x:c r="J2411"/>
      <x:c r="K2411"/>
      <x:c r="L2411"/>
      <x:c r="M2411"/>
      <x:c r="N2411"/>
      <x:c r="O2411"/>
      <x:c r="P2411"/>
    </x:row>
    <x:row r="2412">
      <x:c r="A2412"/>
      <x:c r="B2412"/>
      <x:c r="C2412"/>
      <x:c r="D2412"/>
      <x:c r="E2412"/>
      <x:c r="F2412"/>
      <x:c r="G2412" s="56"/>
      <x:c r="H2412"/>
      <x:c r="I2412"/>
      <x:c r="J2412"/>
      <x:c r="K2412"/>
      <x:c r="L2412"/>
      <x:c r="M2412"/>
      <x:c r="N2412"/>
      <x:c r="O2412"/>
      <x:c r="P2412"/>
    </x:row>
    <x:row r="2413">
      <x:c r="A2413"/>
      <x:c r="B2413"/>
      <x:c r="C2413"/>
      <x:c r="D2413"/>
      <x:c r="E2413"/>
      <x:c r="F2413"/>
      <x:c r="G2413" s="56"/>
      <x:c r="H2413"/>
      <x:c r="I2413"/>
      <x:c r="J2413"/>
      <x:c r="K2413"/>
      <x:c r="L2413"/>
      <x:c r="M2413"/>
      <x:c r="N2413"/>
      <x:c r="O2413"/>
      <x:c r="P2413"/>
    </x:row>
    <x:row r="2414">
      <x:c r="A2414"/>
      <x:c r="B2414"/>
      <x:c r="C2414"/>
      <x:c r="D2414"/>
      <x:c r="E2414"/>
      <x:c r="F2414"/>
      <x:c r="G2414" s="56"/>
      <x:c r="H2414"/>
      <x:c r="I2414"/>
      <x:c r="J2414"/>
      <x:c r="K2414"/>
      <x:c r="L2414"/>
      <x:c r="M2414"/>
      <x:c r="N2414"/>
      <x:c r="O2414"/>
      <x:c r="P2414"/>
    </x:row>
    <x:row r="2415">
      <x:c r="A2415"/>
      <x:c r="B2415"/>
      <x:c r="C2415"/>
      <x:c r="D2415"/>
      <x:c r="E2415"/>
      <x:c r="F2415"/>
      <x:c r="G2415" s="56"/>
      <x:c r="H2415"/>
      <x:c r="I2415"/>
      <x:c r="J2415"/>
      <x:c r="K2415"/>
      <x:c r="L2415"/>
      <x:c r="M2415"/>
      <x:c r="N2415"/>
      <x:c r="O2415"/>
      <x:c r="P2415"/>
    </x:row>
    <x:row r="2416">
      <x:c r="A2416"/>
      <x:c r="B2416"/>
      <x:c r="C2416"/>
      <x:c r="D2416"/>
      <x:c r="E2416"/>
      <x:c r="F2416"/>
      <x:c r="G2416" s="56"/>
      <x:c r="H2416"/>
      <x:c r="I2416"/>
      <x:c r="J2416"/>
      <x:c r="K2416"/>
      <x:c r="L2416"/>
      <x:c r="M2416"/>
      <x:c r="N2416"/>
      <x:c r="O2416"/>
      <x:c r="P2416"/>
    </x:row>
    <x:row r="2417">
      <x:c r="A2417"/>
      <x:c r="B2417"/>
      <x:c r="C2417"/>
      <x:c r="D2417"/>
      <x:c r="E2417"/>
      <x:c r="F2417"/>
      <x:c r="G2417" s="56"/>
      <x:c r="H2417"/>
      <x:c r="I2417"/>
      <x:c r="J2417"/>
      <x:c r="K2417"/>
      <x:c r="L2417"/>
      <x:c r="M2417"/>
      <x:c r="N2417"/>
      <x:c r="O2417"/>
      <x:c r="P2417"/>
    </x:row>
    <x:row r="2418">
      <x:c r="A2418"/>
      <x:c r="B2418"/>
      <x:c r="C2418"/>
      <x:c r="D2418"/>
      <x:c r="E2418"/>
      <x:c r="F2418"/>
      <x:c r="G2418" s="56"/>
      <x:c r="H2418"/>
      <x:c r="I2418"/>
      <x:c r="J2418"/>
      <x:c r="K2418"/>
      <x:c r="L2418"/>
      <x:c r="M2418"/>
      <x:c r="N2418"/>
      <x:c r="O2418"/>
      <x:c r="P2418"/>
    </x:row>
    <x:row r="2419">
      <x:c r="A2419"/>
      <x:c r="B2419"/>
      <x:c r="C2419"/>
      <x:c r="D2419"/>
      <x:c r="E2419"/>
      <x:c r="F2419"/>
      <x:c r="G2419" s="56"/>
      <x:c r="H2419"/>
      <x:c r="I2419"/>
      <x:c r="J2419"/>
      <x:c r="K2419"/>
      <x:c r="L2419"/>
      <x:c r="M2419"/>
      <x:c r="N2419"/>
      <x:c r="O2419"/>
      <x:c r="P2419"/>
    </x:row>
    <x:row r="2420">
      <x:c r="A2420"/>
      <x:c r="B2420"/>
      <x:c r="C2420"/>
      <x:c r="D2420"/>
      <x:c r="E2420"/>
      <x:c r="F2420"/>
      <x:c r="G2420" s="56"/>
      <x:c r="H2420"/>
      <x:c r="I2420"/>
      <x:c r="J2420"/>
      <x:c r="K2420"/>
      <x:c r="L2420"/>
      <x:c r="M2420"/>
      <x:c r="N2420"/>
      <x:c r="O2420"/>
      <x:c r="P2420"/>
    </x:row>
    <x:row r="2421">
      <x:c r="A2421"/>
      <x:c r="B2421"/>
      <x:c r="C2421"/>
      <x:c r="D2421"/>
      <x:c r="E2421"/>
      <x:c r="F2421"/>
      <x:c r="G2421" s="56"/>
      <x:c r="H2421"/>
      <x:c r="I2421"/>
      <x:c r="J2421"/>
      <x:c r="K2421"/>
      <x:c r="L2421"/>
      <x:c r="M2421"/>
      <x:c r="N2421"/>
      <x:c r="O2421"/>
      <x:c r="P2421"/>
    </x:row>
    <x:row r="2422">
      <x:c r="A2422"/>
      <x:c r="B2422"/>
      <x:c r="C2422"/>
      <x:c r="D2422"/>
      <x:c r="E2422"/>
      <x:c r="F2422"/>
      <x:c r="G2422" s="56"/>
      <x:c r="H2422"/>
      <x:c r="I2422"/>
      <x:c r="J2422"/>
      <x:c r="K2422"/>
      <x:c r="L2422"/>
      <x:c r="M2422"/>
      <x:c r="N2422"/>
      <x:c r="O2422"/>
      <x:c r="P2422"/>
    </x:row>
    <x:row r="2423">
      <x:c r="A2423"/>
      <x:c r="B2423"/>
      <x:c r="C2423"/>
      <x:c r="D2423"/>
      <x:c r="E2423"/>
      <x:c r="F2423"/>
      <x:c r="G2423" s="56"/>
      <x:c r="H2423"/>
      <x:c r="I2423"/>
      <x:c r="J2423"/>
      <x:c r="K2423"/>
      <x:c r="L2423"/>
      <x:c r="M2423"/>
      <x:c r="N2423"/>
      <x:c r="O2423"/>
      <x:c r="P2423"/>
    </x:row>
    <x:row r="2424">
      <x:c r="A2424"/>
      <x:c r="B2424"/>
      <x:c r="C2424"/>
      <x:c r="D2424"/>
      <x:c r="E2424"/>
      <x:c r="F2424"/>
      <x:c r="G2424" s="56"/>
      <x:c r="H2424"/>
      <x:c r="I2424"/>
      <x:c r="J2424"/>
      <x:c r="K2424"/>
      <x:c r="L2424"/>
      <x:c r="M2424"/>
      <x:c r="N2424"/>
      <x:c r="O2424"/>
      <x:c r="P2424"/>
    </x:row>
    <x:row r="2425">
      <x:c r="A2425"/>
      <x:c r="B2425"/>
      <x:c r="C2425"/>
      <x:c r="D2425"/>
      <x:c r="E2425"/>
      <x:c r="F2425"/>
      <x:c r="G2425" s="56"/>
      <x:c r="H2425"/>
      <x:c r="I2425"/>
      <x:c r="J2425"/>
      <x:c r="K2425"/>
      <x:c r="L2425"/>
      <x:c r="M2425"/>
      <x:c r="N2425"/>
      <x:c r="O2425"/>
      <x:c r="P2425"/>
    </x:row>
    <x:row r="2426">
      <x:c r="A2426"/>
      <x:c r="B2426"/>
      <x:c r="C2426"/>
      <x:c r="D2426"/>
      <x:c r="E2426"/>
      <x:c r="F2426"/>
      <x:c r="G2426" s="56"/>
      <x:c r="H2426"/>
      <x:c r="I2426"/>
      <x:c r="J2426"/>
      <x:c r="K2426"/>
      <x:c r="L2426"/>
      <x:c r="M2426"/>
      <x:c r="N2426"/>
      <x:c r="O2426"/>
      <x:c r="P2426"/>
    </x:row>
    <x:row r="2427">
      <x:c r="A2427"/>
      <x:c r="B2427"/>
      <x:c r="C2427"/>
      <x:c r="D2427"/>
      <x:c r="E2427"/>
      <x:c r="F2427"/>
      <x:c r="G2427" s="56"/>
      <x:c r="H2427"/>
      <x:c r="I2427"/>
      <x:c r="J2427"/>
      <x:c r="K2427"/>
      <x:c r="L2427"/>
      <x:c r="M2427"/>
      <x:c r="N2427"/>
      <x:c r="O2427"/>
      <x:c r="P2427"/>
    </x:row>
    <x:row r="2428">
      <x:c r="A2428"/>
      <x:c r="B2428"/>
      <x:c r="C2428"/>
      <x:c r="D2428"/>
      <x:c r="E2428"/>
      <x:c r="F2428"/>
      <x:c r="G2428" s="56"/>
      <x:c r="H2428"/>
      <x:c r="I2428"/>
      <x:c r="J2428"/>
      <x:c r="K2428"/>
      <x:c r="L2428"/>
      <x:c r="M2428"/>
      <x:c r="N2428"/>
      <x:c r="O2428"/>
      <x:c r="P2428"/>
    </x:row>
    <x:row r="2429">
      <x:c r="A2429"/>
      <x:c r="B2429"/>
      <x:c r="C2429"/>
      <x:c r="D2429"/>
      <x:c r="E2429"/>
      <x:c r="F2429"/>
      <x:c r="G2429" s="56"/>
      <x:c r="H2429"/>
      <x:c r="I2429"/>
      <x:c r="J2429"/>
      <x:c r="K2429"/>
      <x:c r="L2429"/>
      <x:c r="M2429"/>
      <x:c r="N2429"/>
      <x:c r="O2429"/>
      <x:c r="P2429"/>
    </x:row>
    <x:row r="2430">
      <x:c r="A2430"/>
      <x:c r="B2430"/>
      <x:c r="C2430"/>
      <x:c r="D2430"/>
      <x:c r="E2430"/>
      <x:c r="F2430"/>
      <x:c r="G2430" s="56"/>
      <x:c r="H2430"/>
      <x:c r="I2430"/>
      <x:c r="J2430"/>
      <x:c r="K2430"/>
      <x:c r="L2430"/>
      <x:c r="M2430"/>
      <x:c r="N2430"/>
      <x:c r="O2430"/>
      <x:c r="P2430"/>
    </x:row>
    <x:row r="2431">
      <x:c r="A2431"/>
      <x:c r="B2431"/>
      <x:c r="C2431"/>
      <x:c r="D2431"/>
      <x:c r="E2431"/>
      <x:c r="F2431"/>
      <x:c r="G2431" s="56"/>
      <x:c r="H2431"/>
      <x:c r="I2431"/>
      <x:c r="J2431"/>
      <x:c r="K2431"/>
      <x:c r="L2431"/>
      <x:c r="M2431"/>
      <x:c r="N2431"/>
      <x:c r="O2431"/>
      <x:c r="P2431"/>
    </x:row>
    <x:row r="2432">
      <x:c r="A2432"/>
      <x:c r="B2432"/>
      <x:c r="C2432"/>
      <x:c r="D2432"/>
      <x:c r="E2432"/>
      <x:c r="F2432"/>
      <x:c r="G2432" s="56"/>
      <x:c r="H2432"/>
      <x:c r="I2432"/>
      <x:c r="J2432"/>
      <x:c r="K2432"/>
      <x:c r="L2432"/>
      <x:c r="M2432"/>
      <x:c r="N2432"/>
      <x:c r="O2432"/>
      <x:c r="P2432"/>
    </x:row>
    <x:row r="2433">
      <x:c r="A2433"/>
      <x:c r="B2433"/>
      <x:c r="C2433"/>
      <x:c r="D2433"/>
      <x:c r="E2433"/>
      <x:c r="F2433"/>
      <x:c r="G2433" s="56"/>
      <x:c r="H2433"/>
      <x:c r="I2433"/>
      <x:c r="J2433"/>
      <x:c r="K2433"/>
      <x:c r="L2433"/>
      <x:c r="M2433"/>
      <x:c r="N2433"/>
      <x:c r="O2433"/>
      <x:c r="P2433"/>
    </x:row>
    <x:row r="2434">
      <x:c r="A2434"/>
      <x:c r="B2434"/>
      <x:c r="C2434"/>
      <x:c r="D2434"/>
      <x:c r="E2434"/>
      <x:c r="F2434"/>
      <x:c r="G2434" s="56"/>
      <x:c r="H2434"/>
      <x:c r="I2434"/>
      <x:c r="J2434"/>
      <x:c r="K2434"/>
      <x:c r="L2434"/>
      <x:c r="M2434"/>
      <x:c r="N2434"/>
      <x:c r="O2434"/>
      <x:c r="P2434"/>
    </x:row>
    <x:row r="2435">
      <x:c r="A2435"/>
      <x:c r="B2435"/>
      <x:c r="C2435"/>
      <x:c r="D2435"/>
      <x:c r="E2435"/>
      <x:c r="F2435"/>
      <x:c r="G2435" s="56"/>
      <x:c r="H2435"/>
      <x:c r="I2435"/>
      <x:c r="J2435"/>
      <x:c r="K2435"/>
      <x:c r="L2435"/>
      <x:c r="M2435"/>
      <x:c r="N2435"/>
      <x:c r="O2435"/>
      <x:c r="P2435"/>
    </x:row>
    <x:row r="2436">
      <x:c r="A2436"/>
      <x:c r="B2436"/>
      <x:c r="C2436"/>
      <x:c r="D2436"/>
      <x:c r="E2436"/>
      <x:c r="F2436"/>
      <x:c r="G2436" s="56"/>
      <x:c r="H2436"/>
      <x:c r="I2436"/>
      <x:c r="J2436"/>
      <x:c r="K2436"/>
      <x:c r="L2436"/>
      <x:c r="M2436"/>
      <x:c r="N2436"/>
      <x:c r="O2436"/>
      <x:c r="P2436"/>
    </x:row>
    <x:row r="2437">
      <x:c r="A2437"/>
      <x:c r="B2437"/>
      <x:c r="C2437"/>
      <x:c r="D2437"/>
      <x:c r="E2437"/>
      <x:c r="F2437"/>
      <x:c r="G2437" s="56"/>
      <x:c r="H2437"/>
      <x:c r="I2437"/>
      <x:c r="J2437"/>
      <x:c r="K2437"/>
      <x:c r="L2437"/>
      <x:c r="M2437"/>
      <x:c r="N2437"/>
      <x:c r="O2437"/>
      <x:c r="P2437"/>
    </x:row>
    <x:row r="2438">
      <x:c r="A2438"/>
      <x:c r="B2438"/>
      <x:c r="C2438"/>
      <x:c r="D2438"/>
      <x:c r="E2438"/>
      <x:c r="F2438"/>
      <x:c r="G2438" s="56"/>
      <x:c r="H2438"/>
      <x:c r="I2438"/>
      <x:c r="J2438"/>
      <x:c r="K2438"/>
      <x:c r="L2438"/>
      <x:c r="M2438"/>
      <x:c r="N2438"/>
      <x:c r="O2438"/>
      <x:c r="P2438"/>
    </x:row>
    <x:row r="2439">
      <x:c r="A2439"/>
      <x:c r="B2439"/>
      <x:c r="C2439"/>
      <x:c r="D2439"/>
      <x:c r="E2439"/>
      <x:c r="F2439"/>
      <x:c r="G2439" s="56"/>
      <x:c r="H2439"/>
      <x:c r="I2439"/>
      <x:c r="J2439"/>
      <x:c r="K2439"/>
      <x:c r="L2439"/>
      <x:c r="M2439"/>
      <x:c r="N2439"/>
      <x:c r="O2439"/>
      <x:c r="P2439"/>
    </x:row>
    <x:row r="2440">
      <x:c r="A2440"/>
      <x:c r="B2440"/>
      <x:c r="C2440"/>
      <x:c r="D2440"/>
      <x:c r="E2440"/>
      <x:c r="F2440"/>
      <x:c r="G2440" s="56"/>
      <x:c r="H2440"/>
      <x:c r="I2440"/>
      <x:c r="J2440"/>
      <x:c r="K2440"/>
      <x:c r="L2440"/>
      <x:c r="M2440"/>
      <x:c r="N2440"/>
      <x:c r="O2440"/>
      <x:c r="P2440"/>
    </x:row>
    <x:row r="2441">
      <x:c r="A2441"/>
      <x:c r="B2441"/>
      <x:c r="C2441"/>
      <x:c r="D2441"/>
      <x:c r="E2441"/>
      <x:c r="F2441"/>
      <x:c r="G2441" s="56"/>
      <x:c r="H2441"/>
      <x:c r="I2441"/>
      <x:c r="J2441"/>
      <x:c r="K2441"/>
      <x:c r="L2441"/>
      <x:c r="M2441"/>
      <x:c r="N2441"/>
      <x:c r="O2441"/>
      <x:c r="P2441"/>
    </x:row>
    <x:row r="2442">
      <x:c r="A2442"/>
      <x:c r="B2442"/>
      <x:c r="C2442"/>
      <x:c r="D2442"/>
      <x:c r="E2442"/>
      <x:c r="F2442"/>
      <x:c r="G2442" s="56"/>
      <x:c r="H2442"/>
      <x:c r="I2442"/>
      <x:c r="J2442"/>
      <x:c r="K2442"/>
      <x:c r="L2442"/>
      <x:c r="M2442"/>
      <x:c r="N2442"/>
      <x:c r="O2442"/>
      <x:c r="P2442"/>
    </x:row>
    <x:row r="2443">
      <x:c r="A2443"/>
      <x:c r="B2443"/>
      <x:c r="C2443"/>
      <x:c r="D2443"/>
      <x:c r="E2443"/>
      <x:c r="F2443"/>
      <x:c r="G2443" s="56"/>
      <x:c r="H2443"/>
      <x:c r="I2443"/>
      <x:c r="J2443"/>
      <x:c r="K2443"/>
      <x:c r="L2443"/>
      <x:c r="M2443"/>
      <x:c r="N2443"/>
      <x:c r="O2443"/>
      <x:c r="P2443"/>
    </x:row>
    <x:row r="2444">
      <x:c r="A2444"/>
      <x:c r="B2444"/>
      <x:c r="C2444"/>
      <x:c r="D2444"/>
      <x:c r="E2444"/>
      <x:c r="F2444"/>
      <x:c r="G2444" s="56"/>
      <x:c r="H2444"/>
      <x:c r="I2444"/>
      <x:c r="J2444"/>
      <x:c r="K2444"/>
      <x:c r="L2444"/>
      <x:c r="M2444"/>
      <x:c r="N2444"/>
      <x:c r="O2444"/>
      <x:c r="P2444"/>
    </x:row>
    <x:row r="2445">
      <x:c r="A2445"/>
      <x:c r="B2445"/>
      <x:c r="C2445"/>
      <x:c r="D2445"/>
      <x:c r="E2445"/>
      <x:c r="F2445"/>
      <x:c r="G2445" s="56"/>
      <x:c r="H2445"/>
      <x:c r="I2445"/>
      <x:c r="J2445"/>
      <x:c r="K2445"/>
      <x:c r="L2445"/>
      <x:c r="M2445"/>
      <x:c r="N2445"/>
      <x:c r="O2445"/>
      <x:c r="P2445"/>
    </x:row>
    <x:row r="2446">
      <x:c r="A2446"/>
      <x:c r="B2446"/>
      <x:c r="C2446"/>
      <x:c r="D2446"/>
      <x:c r="E2446"/>
      <x:c r="F2446"/>
      <x:c r="G2446" s="56"/>
      <x:c r="H2446"/>
      <x:c r="I2446"/>
      <x:c r="J2446"/>
      <x:c r="K2446"/>
      <x:c r="L2446"/>
      <x:c r="M2446"/>
      <x:c r="N2446"/>
      <x:c r="O2446"/>
      <x:c r="P2446"/>
    </x:row>
    <x:row r="2447">
      <x:c r="A2447"/>
      <x:c r="B2447"/>
      <x:c r="C2447"/>
      <x:c r="D2447"/>
      <x:c r="E2447"/>
      <x:c r="F2447"/>
      <x:c r="G2447" s="56"/>
      <x:c r="H2447"/>
      <x:c r="I2447"/>
      <x:c r="J2447"/>
      <x:c r="K2447"/>
      <x:c r="L2447"/>
      <x:c r="M2447"/>
      <x:c r="N2447"/>
      <x:c r="O2447"/>
      <x:c r="P2447"/>
    </x:row>
    <x:row r="2448">
      <x:c r="A2448"/>
      <x:c r="B2448"/>
      <x:c r="C2448"/>
      <x:c r="D2448"/>
      <x:c r="E2448"/>
      <x:c r="F2448"/>
      <x:c r="G2448" s="56"/>
      <x:c r="H2448"/>
      <x:c r="I2448"/>
      <x:c r="J2448"/>
      <x:c r="K2448"/>
      <x:c r="L2448"/>
      <x:c r="M2448"/>
      <x:c r="N2448"/>
      <x:c r="O2448"/>
      <x:c r="P2448"/>
    </x:row>
    <x:row r="2449">
      <x:c r="A2449"/>
      <x:c r="B2449"/>
      <x:c r="C2449"/>
      <x:c r="D2449"/>
      <x:c r="E2449"/>
      <x:c r="F2449"/>
      <x:c r="G2449" s="56"/>
      <x:c r="H2449"/>
      <x:c r="I2449"/>
      <x:c r="J2449"/>
      <x:c r="K2449"/>
      <x:c r="L2449"/>
      <x:c r="M2449"/>
      <x:c r="N2449"/>
      <x:c r="O2449"/>
      <x:c r="P2449"/>
    </x:row>
    <x:row r="2450">
      <x:c r="A2450"/>
      <x:c r="B2450"/>
      <x:c r="C2450"/>
      <x:c r="D2450"/>
      <x:c r="E2450"/>
      <x:c r="F2450"/>
      <x:c r="G2450" s="56"/>
      <x:c r="H2450"/>
      <x:c r="I2450"/>
      <x:c r="J2450"/>
      <x:c r="K2450"/>
      <x:c r="L2450"/>
      <x:c r="M2450"/>
      <x:c r="N2450"/>
      <x:c r="O2450"/>
      <x:c r="P2450"/>
    </x:row>
    <x:row r="2451">
      <x:c r="A2451"/>
      <x:c r="B2451"/>
      <x:c r="C2451"/>
      <x:c r="D2451"/>
      <x:c r="E2451"/>
      <x:c r="F2451"/>
      <x:c r="G2451" s="56"/>
      <x:c r="H2451"/>
      <x:c r="I2451"/>
      <x:c r="J2451"/>
      <x:c r="K2451"/>
      <x:c r="L2451"/>
      <x:c r="M2451"/>
      <x:c r="N2451"/>
      <x:c r="O2451"/>
      <x:c r="P2451"/>
    </x:row>
    <x:row r="2452">
      <x:c r="A2452"/>
      <x:c r="B2452"/>
      <x:c r="C2452"/>
      <x:c r="D2452"/>
      <x:c r="E2452"/>
      <x:c r="F2452"/>
      <x:c r="G2452" s="56"/>
      <x:c r="H2452"/>
      <x:c r="I2452"/>
      <x:c r="J2452"/>
      <x:c r="K2452"/>
      <x:c r="L2452"/>
      <x:c r="M2452"/>
      <x:c r="N2452"/>
      <x:c r="O2452"/>
      <x:c r="P2452"/>
    </x:row>
    <x:row r="2453">
      <x:c r="A2453"/>
      <x:c r="B2453"/>
      <x:c r="C2453"/>
      <x:c r="D2453"/>
      <x:c r="E2453"/>
      <x:c r="F2453"/>
      <x:c r="G2453" s="56"/>
      <x:c r="H2453"/>
      <x:c r="I2453"/>
      <x:c r="J2453"/>
      <x:c r="K2453"/>
      <x:c r="L2453"/>
      <x:c r="M2453"/>
      <x:c r="N2453"/>
      <x:c r="O2453"/>
      <x:c r="P2453"/>
    </x:row>
    <x:row r="2454">
      <x:c r="A2454"/>
      <x:c r="B2454"/>
      <x:c r="C2454"/>
      <x:c r="D2454"/>
      <x:c r="E2454"/>
      <x:c r="F2454"/>
      <x:c r="G2454" s="56"/>
      <x:c r="H2454"/>
      <x:c r="I2454"/>
      <x:c r="J2454"/>
      <x:c r="K2454"/>
      <x:c r="L2454"/>
      <x:c r="M2454"/>
      <x:c r="N2454"/>
      <x:c r="O2454"/>
      <x:c r="P2454"/>
    </x:row>
    <x:row r="2455">
      <x:c r="A2455"/>
      <x:c r="B2455"/>
      <x:c r="C2455"/>
      <x:c r="D2455"/>
      <x:c r="E2455"/>
      <x:c r="F2455"/>
      <x:c r="G2455" s="56"/>
      <x:c r="H2455"/>
      <x:c r="I2455"/>
      <x:c r="J2455"/>
      <x:c r="K2455"/>
      <x:c r="L2455"/>
      <x:c r="M2455"/>
      <x:c r="N2455"/>
      <x:c r="O2455"/>
      <x:c r="P2455"/>
    </x:row>
    <x:row r="2456">
      <x:c r="A2456"/>
      <x:c r="B2456"/>
      <x:c r="C2456"/>
      <x:c r="D2456"/>
      <x:c r="E2456"/>
      <x:c r="F2456"/>
      <x:c r="G2456" s="56"/>
      <x:c r="H2456"/>
      <x:c r="I2456"/>
      <x:c r="J2456"/>
      <x:c r="K2456"/>
      <x:c r="L2456"/>
      <x:c r="M2456"/>
      <x:c r="N2456"/>
      <x:c r="O2456"/>
      <x:c r="P2456"/>
    </x:row>
    <x:row r="2457">
      <x:c r="A2457"/>
      <x:c r="B2457"/>
      <x:c r="C2457"/>
      <x:c r="D2457"/>
      <x:c r="E2457"/>
      <x:c r="F2457"/>
      <x:c r="G2457" s="56"/>
      <x:c r="H2457"/>
      <x:c r="I2457"/>
      <x:c r="J2457"/>
      <x:c r="K2457"/>
      <x:c r="L2457"/>
      <x:c r="M2457"/>
      <x:c r="N2457"/>
      <x:c r="O2457"/>
      <x:c r="P2457"/>
    </x:row>
    <x:row r="2458">
      <x:c r="A2458"/>
      <x:c r="B2458"/>
      <x:c r="C2458"/>
      <x:c r="D2458"/>
      <x:c r="E2458"/>
      <x:c r="F2458"/>
      <x:c r="G2458" s="56"/>
      <x:c r="H2458"/>
      <x:c r="I2458"/>
      <x:c r="J2458"/>
      <x:c r="K2458"/>
      <x:c r="L2458"/>
      <x:c r="M2458"/>
      <x:c r="N2458"/>
      <x:c r="O2458"/>
      <x:c r="P2458"/>
    </x:row>
    <x:row r="2459">
      <x:c r="A2459"/>
      <x:c r="B2459"/>
      <x:c r="C2459"/>
      <x:c r="D2459"/>
      <x:c r="E2459"/>
      <x:c r="F2459"/>
      <x:c r="G2459" s="56"/>
      <x:c r="H2459"/>
      <x:c r="I2459"/>
      <x:c r="J2459"/>
      <x:c r="K2459"/>
      <x:c r="L2459"/>
      <x:c r="M2459"/>
      <x:c r="N2459"/>
      <x:c r="O2459"/>
      <x:c r="P2459"/>
    </x:row>
    <x:row r="2460">
      <x:c r="A2460"/>
      <x:c r="B2460"/>
      <x:c r="C2460"/>
      <x:c r="D2460"/>
      <x:c r="E2460"/>
      <x:c r="F2460"/>
      <x:c r="G2460" s="56"/>
      <x:c r="H2460"/>
      <x:c r="I2460"/>
      <x:c r="J2460"/>
      <x:c r="K2460"/>
      <x:c r="L2460"/>
      <x:c r="M2460"/>
      <x:c r="N2460"/>
      <x:c r="O2460"/>
      <x:c r="P2460"/>
    </x:row>
    <x:row r="2461">
      <x:c r="A2461"/>
      <x:c r="B2461"/>
      <x:c r="C2461"/>
      <x:c r="D2461"/>
      <x:c r="E2461"/>
      <x:c r="F2461"/>
      <x:c r="G2461" s="56"/>
      <x:c r="H2461"/>
      <x:c r="I2461"/>
      <x:c r="J2461"/>
      <x:c r="K2461"/>
      <x:c r="L2461"/>
      <x:c r="M2461"/>
      <x:c r="N2461"/>
      <x:c r="O2461"/>
      <x:c r="P2461"/>
    </x:row>
    <x:row r="2462">
      <x:c r="A2462"/>
      <x:c r="B2462"/>
      <x:c r="C2462"/>
      <x:c r="D2462"/>
      <x:c r="E2462"/>
      <x:c r="F2462"/>
      <x:c r="G2462" s="56"/>
      <x:c r="H2462"/>
      <x:c r="I2462"/>
      <x:c r="J2462"/>
      <x:c r="K2462"/>
      <x:c r="L2462"/>
      <x:c r="M2462"/>
      <x:c r="N2462"/>
      <x:c r="O2462"/>
      <x:c r="P2462"/>
    </x:row>
    <x:row r="2463">
      <x:c r="A2463"/>
      <x:c r="B2463"/>
      <x:c r="C2463"/>
      <x:c r="D2463"/>
      <x:c r="E2463"/>
      <x:c r="F2463"/>
      <x:c r="G2463" s="56"/>
      <x:c r="H2463"/>
      <x:c r="I2463"/>
      <x:c r="J2463"/>
      <x:c r="K2463"/>
      <x:c r="L2463"/>
      <x:c r="M2463"/>
      <x:c r="N2463"/>
      <x:c r="O2463"/>
      <x:c r="P2463"/>
    </x:row>
    <x:row r="2464">
      <x:c r="A2464"/>
      <x:c r="B2464"/>
      <x:c r="C2464"/>
      <x:c r="D2464"/>
      <x:c r="E2464"/>
      <x:c r="F2464"/>
      <x:c r="G2464" s="56"/>
      <x:c r="H2464"/>
      <x:c r="I2464"/>
      <x:c r="J2464"/>
      <x:c r="K2464"/>
      <x:c r="L2464"/>
      <x:c r="M2464"/>
      <x:c r="N2464"/>
      <x:c r="O2464"/>
      <x:c r="P2464"/>
    </x:row>
    <x:row r="2465">
      <x:c r="A2465"/>
      <x:c r="B2465"/>
      <x:c r="C2465"/>
      <x:c r="D2465"/>
      <x:c r="E2465"/>
      <x:c r="F2465"/>
      <x:c r="G2465" s="56"/>
      <x:c r="H2465"/>
      <x:c r="I2465"/>
      <x:c r="J2465"/>
      <x:c r="K2465"/>
      <x:c r="L2465"/>
      <x:c r="M2465"/>
      <x:c r="N2465"/>
      <x:c r="O2465"/>
      <x:c r="P2465"/>
    </x:row>
    <x:row r="2466">
      <x:c r="A2466"/>
      <x:c r="B2466"/>
      <x:c r="C2466"/>
      <x:c r="D2466"/>
      <x:c r="E2466"/>
      <x:c r="F2466"/>
      <x:c r="G2466" s="56"/>
      <x:c r="H2466"/>
      <x:c r="I2466"/>
      <x:c r="J2466"/>
      <x:c r="K2466"/>
      <x:c r="L2466"/>
      <x:c r="M2466"/>
      <x:c r="N2466"/>
      <x:c r="O2466"/>
      <x:c r="P2466"/>
    </x:row>
    <x:row r="2467">
      <x:c r="A2467"/>
      <x:c r="B2467"/>
      <x:c r="C2467"/>
      <x:c r="D2467"/>
      <x:c r="E2467"/>
      <x:c r="F2467"/>
      <x:c r="G2467" s="56"/>
      <x:c r="H2467"/>
      <x:c r="I2467"/>
      <x:c r="J2467"/>
      <x:c r="K2467"/>
      <x:c r="L2467"/>
      <x:c r="M2467"/>
      <x:c r="N2467"/>
      <x:c r="O2467"/>
      <x:c r="P2467"/>
    </x:row>
    <x:row r="2468">
      <x:c r="A2468"/>
      <x:c r="B2468"/>
      <x:c r="C2468"/>
      <x:c r="D2468"/>
      <x:c r="E2468"/>
      <x:c r="F2468"/>
      <x:c r="G2468" s="56"/>
      <x:c r="H2468"/>
      <x:c r="I2468"/>
      <x:c r="J2468"/>
      <x:c r="K2468"/>
      <x:c r="L2468"/>
      <x:c r="M2468"/>
      <x:c r="N2468"/>
      <x:c r="O2468"/>
      <x:c r="P2468"/>
    </x:row>
    <x:row r="2469">
      <x:c r="A2469"/>
      <x:c r="B2469"/>
      <x:c r="C2469"/>
      <x:c r="D2469"/>
      <x:c r="E2469"/>
      <x:c r="F2469"/>
      <x:c r="G2469" s="56"/>
      <x:c r="H2469"/>
      <x:c r="I2469"/>
      <x:c r="J2469"/>
      <x:c r="K2469"/>
      <x:c r="L2469"/>
      <x:c r="M2469"/>
      <x:c r="N2469"/>
      <x:c r="O2469"/>
      <x:c r="P2469"/>
    </x:row>
    <x:row r="2470">
      <x:c r="A2470"/>
      <x:c r="B2470"/>
      <x:c r="C2470"/>
      <x:c r="D2470"/>
      <x:c r="E2470"/>
      <x:c r="F2470"/>
      <x:c r="G2470" s="56"/>
      <x:c r="H2470"/>
      <x:c r="I2470"/>
      <x:c r="J2470"/>
      <x:c r="K2470"/>
      <x:c r="L2470"/>
      <x:c r="M2470"/>
      <x:c r="N2470"/>
      <x:c r="O2470"/>
      <x:c r="P2470"/>
    </x:row>
    <x:row r="2471">
      <x:c r="A2471"/>
      <x:c r="B2471"/>
      <x:c r="C2471"/>
      <x:c r="D2471"/>
      <x:c r="E2471"/>
      <x:c r="F2471"/>
      <x:c r="G2471" s="56"/>
      <x:c r="H2471"/>
      <x:c r="I2471"/>
      <x:c r="J2471"/>
      <x:c r="K2471"/>
      <x:c r="L2471"/>
      <x:c r="M2471"/>
      <x:c r="N2471"/>
      <x:c r="O2471"/>
      <x:c r="P2471"/>
    </x:row>
    <x:row r="2472">
      <x:c r="A2472"/>
      <x:c r="B2472"/>
      <x:c r="C2472"/>
      <x:c r="D2472"/>
      <x:c r="E2472"/>
      <x:c r="F2472"/>
      <x:c r="G2472" s="56"/>
      <x:c r="H2472"/>
      <x:c r="I2472"/>
      <x:c r="J2472"/>
      <x:c r="K2472"/>
      <x:c r="L2472"/>
      <x:c r="M2472"/>
      <x:c r="N2472"/>
      <x:c r="O2472"/>
      <x:c r="P2472"/>
    </x:row>
    <x:row r="2473">
      <x:c r="A2473"/>
      <x:c r="B2473"/>
      <x:c r="C2473"/>
      <x:c r="D2473"/>
      <x:c r="E2473"/>
      <x:c r="F2473"/>
      <x:c r="G2473" s="56"/>
      <x:c r="H2473"/>
      <x:c r="I2473"/>
      <x:c r="J2473"/>
      <x:c r="K2473"/>
      <x:c r="L2473"/>
      <x:c r="M2473"/>
      <x:c r="N2473"/>
      <x:c r="O2473"/>
      <x:c r="P2473"/>
    </x:row>
    <x:row r="2474">
      <x:c r="A2474"/>
      <x:c r="B2474"/>
      <x:c r="C2474"/>
      <x:c r="D2474"/>
      <x:c r="E2474"/>
      <x:c r="F2474"/>
      <x:c r="G2474" s="56"/>
      <x:c r="H2474"/>
      <x:c r="I2474"/>
      <x:c r="J2474"/>
      <x:c r="K2474"/>
      <x:c r="L2474"/>
      <x:c r="M2474"/>
      <x:c r="N2474"/>
      <x:c r="O2474"/>
      <x:c r="P2474"/>
    </x:row>
    <x:row r="2475">
      <x:c r="A2475"/>
      <x:c r="B2475"/>
      <x:c r="C2475"/>
      <x:c r="D2475"/>
      <x:c r="E2475"/>
      <x:c r="F2475"/>
      <x:c r="G2475" s="56"/>
      <x:c r="H2475"/>
      <x:c r="I2475"/>
      <x:c r="J2475"/>
      <x:c r="K2475"/>
      <x:c r="L2475"/>
      <x:c r="M2475"/>
      <x:c r="N2475"/>
      <x:c r="O2475"/>
      <x:c r="P2475"/>
    </x:row>
    <x:row r="2476">
      <x:c r="A2476"/>
      <x:c r="B2476"/>
      <x:c r="C2476"/>
      <x:c r="D2476"/>
      <x:c r="E2476"/>
      <x:c r="F2476"/>
      <x:c r="G2476" s="56"/>
      <x:c r="H2476"/>
      <x:c r="I2476"/>
      <x:c r="J2476"/>
      <x:c r="K2476"/>
      <x:c r="L2476"/>
      <x:c r="M2476"/>
      <x:c r="N2476"/>
      <x:c r="O2476"/>
      <x:c r="P2476"/>
    </x:row>
    <x:row r="2477">
      <x:c r="A2477"/>
      <x:c r="B2477"/>
      <x:c r="C2477"/>
      <x:c r="D2477"/>
      <x:c r="E2477"/>
      <x:c r="F2477"/>
      <x:c r="G2477" s="56"/>
      <x:c r="H2477"/>
      <x:c r="I2477"/>
      <x:c r="J2477"/>
      <x:c r="K2477"/>
      <x:c r="L2477"/>
      <x:c r="M2477"/>
      <x:c r="N2477"/>
      <x:c r="O2477"/>
      <x:c r="P2477"/>
    </x:row>
    <x:row r="2478">
      <x:c r="A2478"/>
      <x:c r="B2478"/>
      <x:c r="C2478"/>
      <x:c r="D2478"/>
      <x:c r="E2478"/>
      <x:c r="F2478"/>
      <x:c r="G2478" s="56"/>
      <x:c r="H2478"/>
      <x:c r="I2478"/>
      <x:c r="J2478"/>
      <x:c r="K2478"/>
      <x:c r="L2478"/>
      <x:c r="M2478"/>
      <x:c r="N2478"/>
      <x:c r="O2478"/>
      <x:c r="P2478"/>
    </x:row>
    <x:row r="2479">
      <x:c r="A2479"/>
      <x:c r="B2479"/>
      <x:c r="C2479"/>
      <x:c r="D2479"/>
      <x:c r="E2479"/>
      <x:c r="F2479"/>
      <x:c r="G2479" s="56"/>
      <x:c r="H2479"/>
      <x:c r="I2479"/>
      <x:c r="J2479"/>
      <x:c r="K2479"/>
      <x:c r="L2479"/>
      <x:c r="M2479"/>
      <x:c r="N2479"/>
      <x:c r="O2479"/>
      <x:c r="P2479"/>
    </x:row>
    <x:row r="2480">
      <x:c r="A2480"/>
      <x:c r="B2480"/>
      <x:c r="C2480"/>
      <x:c r="D2480"/>
      <x:c r="E2480"/>
      <x:c r="F2480"/>
      <x:c r="G2480" s="56"/>
      <x:c r="H2480"/>
      <x:c r="I2480"/>
      <x:c r="J2480"/>
      <x:c r="K2480"/>
      <x:c r="L2480"/>
      <x:c r="M2480"/>
      <x:c r="N2480"/>
      <x:c r="O2480"/>
      <x:c r="P2480"/>
    </x:row>
    <x:row r="2481">
      <x:c r="A2481"/>
      <x:c r="B2481"/>
      <x:c r="C2481"/>
      <x:c r="D2481"/>
      <x:c r="E2481"/>
      <x:c r="F2481"/>
      <x:c r="G2481" s="56"/>
      <x:c r="H2481"/>
      <x:c r="I2481"/>
      <x:c r="J2481"/>
      <x:c r="K2481"/>
      <x:c r="L2481"/>
      <x:c r="M2481"/>
      <x:c r="N2481"/>
      <x:c r="O2481"/>
      <x:c r="P2481"/>
    </x:row>
    <x:row r="2482">
      <x:c r="A2482"/>
      <x:c r="B2482"/>
      <x:c r="C2482"/>
      <x:c r="D2482"/>
      <x:c r="E2482"/>
      <x:c r="F2482"/>
      <x:c r="G2482" s="56"/>
      <x:c r="H2482"/>
      <x:c r="I2482"/>
      <x:c r="J2482"/>
      <x:c r="K2482"/>
      <x:c r="L2482"/>
      <x:c r="M2482"/>
      <x:c r="N2482"/>
      <x:c r="O2482"/>
      <x:c r="P2482"/>
    </x:row>
    <x:row r="2483">
      <x:c r="A2483"/>
      <x:c r="B2483"/>
      <x:c r="C2483"/>
      <x:c r="D2483"/>
      <x:c r="E2483"/>
      <x:c r="F2483"/>
      <x:c r="G2483" s="56"/>
      <x:c r="H2483"/>
      <x:c r="I2483"/>
      <x:c r="J2483"/>
      <x:c r="K2483"/>
      <x:c r="L2483"/>
      <x:c r="M2483"/>
      <x:c r="N2483"/>
      <x:c r="O2483"/>
      <x:c r="P2483"/>
    </x:row>
    <x:row r="2484">
      <x:c r="A2484"/>
      <x:c r="B2484"/>
      <x:c r="C2484"/>
      <x:c r="D2484"/>
      <x:c r="E2484"/>
      <x:c r="F2484"/>
      <x:c r="G2484" s="56"/>
      <x:c r="H2484"/>
      <x:c r="I2484"/>
      <x:c r="J2484"/>
      <x:c r="K2484"/>
      <x:c r="L2484"/>
      <x:c r="M2484"/>
      <x:c r="N2484"/>
      <x:c r="O2484"/>
      <x:c r="P2484"/>
    </x:row>
    <x:row r="2485">
      <x:c r="A2485"/>
      <x:c r="B2485"/>
      <x:c r="C2485"/>
      <x:c r="D2485"/>
      <x:c r="E2485"/>
      <x:c r="F2485"/>
      <x:c r="G2485" s="56"/>
      <x:c r="H2485"/>
      <x:c r="I2485"/>
      <x:c r="J2485"/>
      <x:c r="K2485"/>
      <x:c r="L2485"/>
      <x:c r="M2485"/>
      <x:c r="N2485"/>
      <x:c r="O2485"/>
      <x:c r="P2485"/>
    </x:row>
    <x:row r="2486">
      <x:c r="A2486"/>
      <x:c r="B2486"/>
      <x:c r="C2486"/>
      <x:c r="D2486"/>
      <x:c r="E2486"/>
      <x:c r="F2486"/>
      <x:c r="G2486" s="56"/>
      <x:c r="H2486"/>
      <x:c r="I2486"/>
      <x:c r="J2486"/>
      <x:c r="K2486"/>
      <x:c r="L2486"/>
      <x:c r="M2486"/>
      <x:c r="N2486"/>
      <x:c r="O2486"/>
      <x:c r="P2486"/>
    </x:row>
    <x:row r="2487">
      <x:c r="A2487"/>
      <x:c r="B2487"/>
      <x:c r="C2487"/>
      <x:c r="D2487"/>
      <x:c r="E2487"/>
      <x:c r="F2487"/>
      <x:c r="G2487" s="56"/>
      <x:c r="H2487"/>
      <x:c r="I2487"/>
      <x:c r="J2487"/>
      <x:c r="K2487"/>
      <x:c r="L2487"/>
      <x:c r="M2487"/>
      <x:c r="N2487"/>
      <x:c r="O2487"/>
      <x:c r="P2487"/>
    </x:row>
    <x:row r="2488">
      <x:c r="A2488"/>
      <x:c r="B2488"/>
      <x:c r="C2488"/>
      <x:c r="D2488"/>
      <x:c r="E2488"/>
      <x:c r="F2488"/>
      <x:c r="G2488" s="56"/>
      <x:c r="H2488"/>
      <x:c r="I2488"/>
      <x:c r="J2488"/>
      <x:c r="K2488"/>
      <x:c r="L2488"/>
      <x:c r="M2488"/>
      <x:c r="N2488"/>
      <x:c r="O2488"/>
      <x:c r="P2488"/>
    </x:row>
    <x:row r="2489">
      <x:c r="A2489"/>
      <x:c r="B2489"/>
      <x:c r="C2489"/>
      <x:c r="D2489"/>
      <x:c r="E2489"/>
      <x:c r="F2489"/>
      <x:c r="G2489" s="56"/>
      <x:c r="H2489"/>
      <x:c r="I2489"/>
      <x:c r="J2489"/>
      <x:c r="K2489"/>
      <x:c r="L2489"/>
      <x:c r="M2489"/>
      <x:c r="N2489"/>
      <x:c r="O2489"/>
      <x:c r="P2489"/>
    </x:row>
    <x:row r="2490">
      <x:c r="A2490"/>
      <x:c r="B2490"/>
      <x:c r="C2490"/>
      <x:c r="D2490"/>
      <x:c r="E2490"/>
      <x:c r="F2490"/>
      <x:c r="G2490" s="56"/>
      <x:c r="H2490"/>
      <x:c r="I2490"/>
      <x:c r="J2490"/>
      <x:c r="K2490"/>
      <x:c r="L2490"/>
      <x:c r="M2490"/>
      <x:c r="N2490"/>
      <x:c r="O2490"/>
      <x:c r="P2490"/>
    </x:row>
    <x:row r="2491">
      <x:c r="A2491"/>
      <x:c r="B2491"/>
      <x:c r="C2491"/>
      <x:c r="D2491"/>
      <x:c r="E2491"/>
      <x:c r="F2491"/>
      <x:c r="G2491" s="56"/>
      <x:c r="H2491"/>
      <x:c r="I2491"/>
      <x:c r="J2491"/>
      <x:c r="K2491"/>
      <x:c r="L2491"/>
      <x:c r="M2491"/>
      <x:c r="N2491"/>
      <x:c r="O2491"/>
      <x:c r="P2491"/>
    </x:row>
    <x:row r="2492">
      <x:c r="A2492"/>
      <x:c r="B2492"/>
      <x:c r="C2492"/>
      <x:c r="D2492"/>
      <x:c r="E2492"/>
      <x:c r="F2492"/>
      <x:c r="G2492" s="56"/>
      <x:c r="H2492"/>
      <x:c r="I2492"/>
      <x:c r="J2492"/>
      <x:c r="K2492"/>
      <x:c r="L2492"/>
      <x:c r="M2492"/>
      <x:c r="N2492"/>
      <x:c r="O2492"/>
      <x:c r="P2492"/>
    </x:row>
    <x:row r="2493">
      <x:c r="A2493"/>
      <x:c r="B2493"/>
      <x:c r="C2493"/>
      <x:c r="D2493"/>
      <x:c r="E2493"/>
      <x:c r="F2493"/>
      <x:c r="G2493" s="56"/>
      <x:c r="H2493"/>
      <x:c r="I2493"/>
      <x:c r="J2493"/>
      <x:c r="K2493"/>
      <x:c r="L2493"/>
      <x:c r="M2493"/>
      <x:c r="N2493"/>
      <x:c r="O2493"/>
      <x:c r="P2493"/>
    </x:row>
    <x:row r="2494">
      <x:c r="A2494"/>
      <x:c r="B2494"/>
      <x:c r="C2494"/>
      <x:c r="D2494"/>
      <x:c r="E2494"/>
      <x:c r="F2494"/>
      <x:c r="G2494" s="56"/>
      <x:c r="H2494"/>
      <x:c r="I2494"/>
      <x:c r="J2494"/>
      <x:c r="K2494"/>
      <x:c r="L2494"/>
      <x:c r="M2494"/>
      <x:c r="N2494"/>
      <x:c r="O2494"/>
      <x:c r="P2494"/>
    </x:row>
    <x:row r="2495">
      <x:c r="A2495"/>
      <x:c r="B2495"/>
      <x:c r="C2495"/>
      <x:c r="D2495"/>
      <x:c r="E2495"/>
      <x:c r="F2495"/>
      <x:c r="G2495" s="56"/>
      <x:c r="H2495"/>
      <x:c r="I2495"/>
      <x:c r="J2495"/>
      <x:c r="K2495"/>
      <x:c r="L2495"/>
      <x:c r="M2495"/>
      <x:c r="N2495"/>
      <x:c r="O2495"/>
      <x:c r="P2495"/>
    </x:row>
    <x:row r="2496">
      <x:c r="A2496"/>
      <x:c r="B2496"/>
      <x:c r="C2496"/>
      <x:c r="D2496"/>
      <x:c r="E2496"/>
      <x:c r="F2496"/>
      <x:c r="G2496" s="56"/>
      <x:c r="H2496"/>
      <x:c r="I2496"/>
      <x:c r="J2496"/>
      <x:c r="K2496"/>
      <x:c r="L2496"/>
      <x:c r="M2496"/>
      <x:c r="N2496"/>
      <x:c r="O2496"/>
      <x:c r="P2496"/>
    </x:row>
    <x:row r="2497">
      <x:c r="A2497"/>
      <x:c r="B2497"/>
      <x:c r="C2497"/>
      <x:c r="D2497"/>
      <x:c r="E2497"/>
      <x:c r="F2497"/>
      <x:c r="G2497" s="56"/>
      <x:c r="H2497"/>
      <x:c r="I2497"/>
      <x:c r="J2497"/>
      <x:c r="K2497"/>
      <x:c r="L2497"/>
      <x:c r="M2497"/>
      <x:c r="N2497"/>
      <x:c r="O2497"/>
      <x:c r="P2497"/>
    </x:row>
    <x:row r="2498">
      <x:c r="A2498"/>
      <x:c r="B2498"/>
      <x:c r="C2498"/>
      <x:c r="D2498"/>
      <x:c r="E2498"/>
      <x:c r="F2498"/>
      <x:c r="G2498" s="56"/>
      <x:c r="H2498"/>
      <x:c r="I2498"/>
      <x:c r="J2498"/>
      <x:c r="K2498"/>
      <x:c r="L2498"/>
      <x:c r="M2498"/>
      <x:c r="N2498"/>
      <x:c r="O2498"/>
      <x:c r="P2498"/>
    </x:row>
    <x:row r="2499">
      <x:c r="A2499"/>
      <x:c r="B2499"/>
      <x:c r="C2499"/>
      <x:c r="D2499"/>
      <x:c r="E2499"/>
      <x:c r="F2499"/>
      <x:c r="G2499" s="56"/>
      <x:c r="H2499"/>
      <x:c r="I2499"/>
      <x:c r="J2499"/>
      <x:c r="K2499"/>
      <x:c r="L2499"/>
      <x:c r="M2499"/>
      <x:c r="N2499"/>
      <x:c r="O2499"/>
      <x:c r="P2499"/>
    </x:row>
    <x:row r="2500">
      <x:c r="A2500"/>
      <x:c r="B2500"/>
      <x:c r="C2500"/>
      <x:c r="D2500"/>
      <x:c r="E2500"/>
      <x:c r="F2500"/>
      <x:c r="G2500" s="56"/>
      <x:c r="H2500"/>
      <x:c r="I2500"/>
      <x:c r="J2500"/>
      <x:c r="K2500"/>
      <x:c r="L2500"/>
      <x:c r="M2500"/>
      <x:c r="N2500"/>
      <x:c r="O2500"/>
      <x:c r="P2500"/>
    </x:row>
    <x:row r="2501">
      <x:c r="A2501"/>
      <x:c r="B2501"/>
      <x:c r="C2501"/>
      <x:c r="D2501"/>
      <x:c r="E2501"/>
      <x:c r="F2501"/>
      <x:c r="G2501" s="56"/>
      <x:c r="H2501"/>
      <x:c r="I2501"/>
      <x:c r="J2501"/>
      <x:c r="K2501"/>
      <x:c r="L2501"/>
      <x:c r="M2501"/>
      <x:c r="N2501"/>
      <x:c r="O2501"/>
      <x:c r="P2501"/>
    </x:row>
    <x:row r="2502">
      <x:c r="A2502"/>
      <x:c r="B2502"/>
      <x:c r="C2502"/>
      <x:c r="D2502"/>
      <x:c r="E2502"/>
      <x:c r="F2502"/>
      <x:c r="G2502" s="56"/>
      <x:c r="H2502"/>
      <x:c r="I2502"/>
      <x:c r="J2502"/>
      <x:c r="K2502"/>
      <x:c r="L2502"/>
      <x:c r="M2502"/>
      <x:c r="N2502"/>
      <x:c r="O2502"/>
      <x:c r="P2502"/>
    </x:row>
    <x:row r="2503">
      <x:c r="A2503"/>
      <x:c r="B2503"/>
      <x:c r="C2503"/>
      <x:c r="D2503"/>
      <x:c r="E2503"/>
      <x:c r="F2503"/>
      <x:c r="G2503" s="56"/>
      <x:c r="H2503"/>
      <x:c r="I2503"/>
      <x:c r="J2503"/>
      <x:c r="K2503"/>
      <x:c r="L2503"/>
      <x:c r="M2503"/>
      <x:c r="N2503"/>
      <x:c r="O2503"/>
      <x:c r="P2503"/>
    </x:row>
    <x:row r="2504">
      <x:c r="A2504"/>
      <x:c r="B2504"/>
      <x:c r="C2504"/>
      <x:c r="D2504"/>
      <x:c r="E2504"/>
      <x:c r="F2504"/>
      <x:c r="G2504" s="56"/>
      <x:c r="H2504"/>
      <x:c r="I2504"/>
      <x:c r="J2504"/>
      <x:c r="K2504"/>
      <x:c r="L2504"/>
      <x:c r="M2504"/>
      <x:c r="N2504"/>
      <x:c r="O2504"/>
      <x:c r="P2504"/>
    </x:row>
    <x:row r="2505">
      <x:c r="A2505"/>
      <x:c r="B2505"/>
      <x:c r="C2505"/>
      <x:c r="D2505"/>
      <x:c r="E2505"/>
      <x:c r="F2505"/>
      <x:c r="G2505" s="56"/>
      <x:c r="H2505"/>
      <x:c r="I2505"/>
      <x:c r="J2505"/>
      <x:c r="K2505"/>
      <x:c r="L2505"/>
      <x:c r="M2505"/>
      <x:c r="N2505"/>
      <x:c r="O2505"/>
      <x:c r="P2505"/>
    </x:row>
    <x:row r="2506">
      <x:c r="A2506"/>
      <x:c r="B2506"/>
      <x:c r="C2506"/>
      <x:c r="D2506"/>
      <x:c r="E2506"/>
      <x:c r="F2506"/>
      <x:c r="G2506" s="56"/>
      <x:c r="H2506"/>
      <x:c r="I2506"/>
      <x:c r="J2506"/>
      <x:c r="K2506"/>
      <x:c r="L2506"/>
      <x:c r="M2506"/>
      <x:c r="N2506"/>
      <x:c r="O2506"/>
      <x:c r="P2506"/>
    </x:row>
    <x:row r="2507">
      <x:c r="A2507"/>
      <x:c r="B2507"/>
      <x:c r="C2507"/>
      <x:c r="D2507"/>
      <x:c r="E2507"/>
      <x:c r="F2507"/>
      <x:c r="G2507" s="56"/>
      <x:c r="H2507"/>
      <x:c r="I2507"/>
      <x:c r="J2507"/>
      <x:c r="K2507"/>
      <x:c r="L2507"/>
      <x:c r="M2507"/>
      <x:c r="N2507"/>
      <x:c r="O2507"/>
      <x:c r="P2507"/>
    </x:row>
    <x:row r="2508">
      <x:c r="A2508"/>
      <x:c r="B2508"/>
      <x:c r="C2508"/>
      <x:c r="D2508"/>
      <x:c r="E2508"/>
      <x:c r="F2508"/>
      <x:c r="G2508" s="56"/>
      <x:c r="H2508"/>
      <x:c r="I2508"/>
      <x:c r="J2508"/>
      <x:c r="K2508"/>
      <x:c r="L2508"/>
      <x:c r="M2508"/>
      <x:c r="N2508"/>
      <x:c r="O2508"/>
      <x:c r="P2508"/>
    </x:row>
    <x:row r="2509">
      <x:c r="A2509"/>
      <x:c r="B2509"/>
      <x:c r="C2509"/>
      <x:c r="D2509"/>
      <x:c r="E2509"/>
      <x:c r="F2509"/>
      <x:c r="G2509" s="56"/>
      <x:c r="H2509"/>
      <x:c r="I2509"/>
      <x:c r="J2509"/>
      <x:c r="K2509"/>
      <x:c r="L2509"/>
      <x:c r="M2509"/>
      <x:c r="N2509"/>
      <x:c r="O2509"/>
      <x:c r="P2509"/>
    </x:row>
    <x:row r="2510">
      <x:c r="A2510"/>
      <x:c r="B2510"/>
      <x:c r="C2510"/>
      <x:c r="D2510"/>
      <x:c r="E2510"/>
      <x:c r="F2510"/>
      <x:c r="G2510" s="56"/>
      <x:c r="H2510"/>
      <x:c r="I2510"/>
      <x:c r="J2510"/>
      <x:c r="K2510"/>
      <x:c r="L2510"/>
      <x:c r="M2510"/>
      <x:c r="N2510"/>
      <x:c r="O2510"/>
      <x:c r="P2510"/>
    </x:row>
    <x:row r="2511">
      <x:c r="A2511"/>
      <x:c r="B2511"/>
      <x:c r="C2511"/>
      <x:c r="D2511"/>
      <x:c r="E2511"/>
      <x:c r="F2511"/>
      <x:c r="G2511" s="56"/>
      <x:c r="H2511"/>
      <x:c r="I2511"/>
      <x:c r="J2511"/>
      <x:c r="K2511"/>
      <x:c r="L2511"/>
      <x:c r="M2511"/>
      <x:c r="N2511"/>
      <x:c r="O2511"/>
      <x:c r="P2511"/>
    </x:row>
    <x:row r="2512">
      <x:c r="A2512"/>
      <x:c r="B2512"/>
      <x:c r="C2512"/>
      <x:c r="D2512"/>
      <x:c r="E2512"/>
      <x:c r="F2512"/>
      <x:c r="G2512" s="56"/>
      <x:c r="H2512"/>
      <x:c r="I2512"/>
      <x:c r="J2512"/>
      <x:c r="K2512"/>
      <x:c r="L2512"/>
      <x:c r="M2512"/>
      <x:c r="N2512"/>
      <x:c r="O2512"/>
      <x:c r="P2512"/>
    </x:row>
    <x:row r="2513">
      <x:c r="A2513"/>
      <x:c r="B2513"/>
      <x:c r="C2513"/>
      <x:c r="D2513"/>
      <x:c r="E2513"/>
      <x:c r="F2513"/>
      <x:c r="G2513" s="56"/>
      <x:c r="H2513"/>
      <x:c r="I2513"/>
      <x:c r="J2513"/>
      <x:c r="K2513"/>
      <x:c r="L2513"/>
      <x:c r="M2513"/>
      <x:c r="N2513"/>
      <x:c r="O2513"/>
      <x:c r="P2513"/>
    </x:row>
    <x:row r="2514">
      <x:c r="A2514"/>
      <x:c r="B2514"/>
      <x:c r="C2514"/>
      <x:c r="D2514"/>
      <x:c r="E2514"/>
      <x:c r="F2514"/>
      <x:c r="G2514" s="56"/>
      <x:c r="H2514"/>
      <x:c r="I2514"/>
      <x:c r="J2514"/>
      <x:c r="K2514"/>
      <x:c r="L2514"/>
      <x:c r="M2514"/>
      <x:c r="N2514"/>
      <x:c r="O2514"/>
      <x:c r="P2514"/>
    </x:row>
    <x:row r="2515">
      <x:c r="A2515"/>
      <x:c r="B2515"/>
      <x:c r="C2515"/>
      <x:c r="D2515"/>
      <x:c r="E2515"/>
      <x:c r="F2515"/>
      <x:c r="G2515" s="56"/>
      <x:c r="H2515"/>
      <x:c r="I2515"/>
      <x:c r="J2515"/>
      <x:c r="K2515"/>
      <x:c r="L2515"/>
      <x:c r="M2515"/>
      <x:c r="N2515"/>
      <x:c r="O2515"/>
      <x:c r="P2515"/>
    </x:row>
    <x:row r="2516">
      <x:c r="A2516"/>
      <x:c r="B2516"/>
      <x:c r="C2516"/>
      <x:c r="D2516"/>
      <x:c r="E2516"/>
      <x:c r="F2516"/>
      <x:c r="G2516" s="56"/>
      <x:c r="H2516"/>
      <x:c r="I2516"/>
      <x:c r="J2516"/>
      <x:c r="K2516"/>
      <x:c r="L2516"/>
      <x:c r="M2516"/>
      <x:c r="N2516"/>
      <x:c r="O2516"/>
      <x:c r="P2516"/>
    </x:row>
    <x:row r="2517">
      <x:c r="A2517"/>
      <x:c r="B2517"/>
      <x:c r="C2517"/>
      <x:c r="D2517"/>
      <x:c r="E2517"/>
      <x:c r="F2517"/>
      <x:c r="G2517" s="56"/>
      <x:c r="H2517"/>
      <x:c r="I2517"/>
      <x:c r="J2517"/>
      <x:c r="K2517"/>
      <x:c r="L2517"/>
      <x:c r="M2517"/>
      <x:c r="N2517"/>
      <x:c r="O2517"/>
      <x:c r="P2517"/>
    </x:row>
    <x:row r="2518">
      <x:c r="A2518"/>
      <x:c r="B2518"/>
      <x:c r="C2518"/>
      <x:c r="D2518"/>
      <x:c r="E2518"/>
      <x:c r="F2518"/>
      <x:c r="G2518" s="56"/>
      <x:c r="H2518"/>
      <x:c r="I2518"/>
      <x:c r="J2518"/>
      <x:c r="K2518"/>
      <x:c r="L2518"/>
      <x:c r="M2518"/>
      <x:c r="N2518"/>
      <x:c r="O2518"/>
      <x:c r="P2518"/>
    </x:row>
    <x:row r="2519">
      <x:c r="A2519"/>
      <x:c r="B2519"/>
      <x:c r="C2519"/>
      <x:c r="D2519"/>
      <x:c r="E2519"/>
      <x:c r="F2519"/>
      <x:c r="G2519" s="56"/>
      <x:c r="H2519"/>
      <x:c r="I2519"/>
      <x:c r="J2519"/>
      <x:c r="K2519"/>
      <x:c r="L2519"/>
      <x:c r="M2519"/>
      <x:c r="N2519"/>
      <x:c r="O2519"/>
      <x:c r="P2519"/>
    </x:row>
    <x:row r="2520">
      <x:c r="A2520"/>
      <x:c r="B2520"/>
      <x:c r="C2520"/>
      <x:c r="D2520"/>
      <x:c r="E2520"/>
      <x:c r="F2520"/>
      <x:c r="G2520" s="56"/>
      <x:c r="H2520"/>
      <x:c r="I2520"/>
      <x:c r="J2520"/>
      <x:c r="K2520"/>
      <x:c r="L2520"/>
      <x:c r="M2520"/>
      <x:c r="N2520"/>
      <x:c r="O2520"/>
      <x:c r="P2520"/>
    </x:row>
    <x:row r="2521">
      <x:c r="A2521"/>
      <x:c r="B2521"/>
      <x:c r="C2521"/>
      <x:c r="D2521"/>
      <x:c r="E2521"/>
      <x:c r="F2521"/>
      <x:c r="G2521" s="56"/>
      <x:c r="H2521"/>
      <x:c r="I2521"/>
      <x:c r="J2521"/>
      <x:c r="K2521"/>
      <x:c r="L2521"/>
      <x:c r="M2521"/>
      <x:c r="N2521"/>
      <x:c r="O2521"/>
      <x:c r="P2521"/>
    </x:row>
    <x:row r="2522">
      <x:c r="A2522"/>
      <x:c r="B2522"/>
      <x:c r="C2522"/>
      <x:c r="D2522"/>
      <x:c r="E2522"/>
      <x:c r="F2522"/>
      <x:c r="G2522" s="56"/>
      <x:c r="H2522"/>
      <x:c r="I2522"/>
      <x:c r="J2522"/>
      <x:c r="K2522"/>
      <x:c r="L2522"/>
      <x:c r="M2522"/>
      <x:c r="N2522"/>
      <x:c r="O2522"/>
      <x:c r="P2522"/>
    </x:row>
    <x:row r="2523">
      <x:c r="A2523"/>
      <x:c r="B2523"/>
      <x:c r="C2523"/>
      <x:c r="D2523"/>
      <x:c r="E2523"/>
      <x:c r="F2523"/>
      <x:c r="G2523" s="56"/>
      <x:c r="H2523"/>
      <x:c r="I2523"/>
      <x:c r="J2523"/>
      <x:c r="K2523"/>
      <x:c r="L2523"/>
      <x:c r="M2523"/>
      <x:c r="N2523"/>
      <x:c r="O2523"/>
      <x:c r="P2523"/>
    </x:row>
    <x:row r="2524">
      <x:c r="A2524"/>
      <x:c r="B2524"/>
      <x:c r="C2524"/>
      <x:c r="D2524"/>
      <x:c r="E2524"/>
      <x:c r="F2524"/>
      <x:c r="G2524" s="56"/>
      <x:c r="H2524"/>
      <x:c r="I2524"/>
      <x:c r="J2524"/>
      <x:c r="K2524"/>
      <x:c r="L2524"/>
      <x:c r="M2524"/>
      <x:c r="N2524"/>
      <x:c r="O2524"/>
      <x:c r="P2524"/>
    </x:row>
    <x:row r="2525">
      <x:c r="A2525"/>
      <x:c r="B2525"/>
      <x:c r="C2525"/>
      <x:c r="D2525"/>
      <x:c r="E2525"/>
      <x:c r="F2525"/>
      <x:c r="G2525" s="56"/>
      <x:c r="H2525"/>
      <x:c r="I2525"/>
      <x:c r="J2525"/>
      <x:c r="K2525"/>
      <x:c r="L2525"/>
      <x:c r="M2525"/>
      <x:c r="N2525"/>
      <x:c r="O2525"/>
      <x:c r="P2525"/>
    </x:row>
    <x:row r="2526">
      <x:c r="A2526"/>
      <x:c r="B2526"/>
      <x:c r="C2526"/>
      <x:c r="D2526"/>
      <x:c r="E2526"/>
      <x:c r="F2526"/>
      <x:c r="G2526" s="56"/>
      <x:c r="H2526"/>
      <x:c r="I2526"/>
      <x:c r="J2526"/>
      <x:c r="K2526"/>
      <x:c r="L2526"/>
      <x:c r="M2526"/>
      <x:c r="N2526"/>
      <x:c r="O2526"/>
      <x:c r="P2526"/>
    </x:row>
    <x:row r="2527">
      <x:c r="A2527"/>
      <x:c r="B2527"/>
      <x:c r="C2527"/>
      <x:c r="D2527"/>
      <x:c r="E2527"/>
      <x:c r="F2527"/>
      <x:c r="G2527" s="56"/>
      <x:c r="H2527"/>
      <x:c r="I2527"/>
      <x:c r="J2527"/>
      <x:c r="K2527"/>
      <x:c r="L2527"/>
      <x:c r="M2527"/>
      <x:c r="N2527"/>
      <x:c r="O2527"/>
      <x:c r="P2527"/>
    </x:row>
    <x:row r="2528">
      <x:c r="A2528"/>
      <x:c r="B2528"/>
      <x:c r="C2528"/>
      <x:c r="D2528"/>
      <x:c r="E2528"/>
      <x:c r="F2528"/>
      <x:c r="G2528" s="56"/>
      <x:c r="H2528"/>
      <x:c r="I2528"/>
      <x:c r="J2528"/>
      <x:c r="K2528"/>
      <x:c r="L2528"/>
      <x:c r="M2528"/>
      <x:c r="N2528"/>
      <x:c r="O2528"/>
      <x:c r="P2528"/>
    </x:row>
    <x:row r="2529">
      <x:c r="A2529"/>
      <x:c r="B2529"/>
      <x:c r="C2529"/>
      <x:c r="D2529"/>
      <x:c r="E2529"/>
      <x:c r="F2529"/>
      <x:c r="G2529" s="56"/>
      <x:c r="H2529"/>
      <x:c r="I2529"/>
      <x:c r="J2529"/>
      <x:c r="K2529"/>
      <x:c r="L2529"/>
      <x:c r="M2529"/>
      <x:c r="N2529"/>
      <x:c r="O2529"/>
      <x:c r="P2529"/>
    </x:row>
    <x:row r="2530">
      <x:c r="A2530"/>
      <x:c r="B2530"/>
      <x:c r="C2530"/>
      <x:c r="D2530"/>
      <x:c r="E2530"/>
      <x:c r="F2530"/>
      <x:c r="G2530" s="56"/>
      <x:c r="H2530"/>
      <x:c r="I2530"/>
      <x:c r="J2530"/>
      <x:c r="K2530"/>
      <x:c r="L2530"/>
      <x:c r="M2530"/>
      <x:c r="N2530"/>
      <x:c r="O2530"/>
      <x:c r="P2530"/>
    </x:row>
    <x:row r="2531">
      <x:c r="A2531"/>
      <x:c r="B2531"/>
      <x:c r="C2531"/>
      <x:c r="D2531"/>
      <x:c r="E2531"/>
      <x:c r="F2531"/>
      <x:c r="G2531" s="56"/>
      <x:c r="H2531"/>
      <x:c r="I2531"/>
      <x:c r="J2531"/>
      <x:c r="K2531"/>
      <x:c r="L2531"/>
      <x:c r="M2531"/>
      <x:c r="N2531"/>
      <x:c r="O2531"/>
      <x:c r="P2531"/>
    </x:row>
    <x:row r="2532">
      <x:c r="A2532"/>
      <x:c r="B2532"/>
      <x:c r="C2532"/>
      <x:c r="D2532"/>
      <x:c r="E2532"/>
      <x:c r="F2532"/>
      <x:c r="G2532" s="56"/>
      <x:c r="H2532"/>
      <x:c r="I2532"/>
      <x:c r="J2532"/>
      <x:c r="K2532"/>
      <x:c r="L2532"/>
      <x:c r="M2532"/>
      <x:c r="N2532"/>
      <x:c r="O2532"/>
      <x:c r="P2532"/>
    </x:row>
    <x:row r="2533">
      <x:c r="A2533"/>
      <x:c r="B2533"/>
      <x:c r="C2533"/>
      <x:c r="D2533"/>
      <x:c r="E2533"/>
      <x:c r="F2533"/>
      <x:c r="G2533" s="56"/>
      <x:c r="H2533"/>
      <x:c r="I2533"/>
      <x:c r="J2533"/>
      <x:c r="K2533"/>
      <x:c r="L2533"/>
      <x:c r="M2533"/>
      <x:c r="N2533"/>
      <x:c r="O2533"/>
      <x:c r="P2533"/>
    </x:row>
    <x:row r="2534">
      <x:c r="A2534"/>
      <x:c r="B2534"/>
      <x:c r="C2534"/>
      <x:c r="D2534"/>
      <x:c r="E2534"/>
      <x:c r="F2534"/>
      <x:c r="G2534" s="56"/>
      <x:c r="H2534"/>
      <x:c r="I2534"/>
      <x:c r="J2534"/>
      <x:c r="K2534"/>
      <x:c r="L2534"/>
      <x:c r="M2534"/>
      <x:c r="N2534"/>
      <x:c r="O2534"/>
      <x:c r="P2534"/>
    </x:row>
    <x:row r="2535">
      <x:c r="A2535"/>
      <x:c r="B2535"/>
      <x:c r="C2535"/>
      <x:c r="D2535"/>
      <x:c r="E2535"/>
      <x:c r="F2535"/>
      <x:c r="G2535" s="56"/>
      <x:c r="H2535"/>
      <x:c r="I2535"/>
      <x:c r="J2535"/>
      <x:c r="K2535"/>
      <x:c r="L2535"/>
      <x:c r="M2535"/>
      <x:c r="N2535"/>
      <x:c r="O2535"/>
      <x:c r="P2535"/>
    </x:row>
    <x:row r="2536">
      <x:c r="A2536"/>
      <x:c r="B2536"/>
      <x:c r="C2536"/>
      <x:c r="D2536"/>
      <x:c r="E2536"/>
      <x:c r="F2536"/>
      <x:c r="G2536" s="56"/>
      <x:c r="H2536"/>
      <x:c r="I2536"/>
      <x:c r="J2536"/>
      <x:c r="K2536"/>
      <x:c r="L2536"/>
      <x:c r="M2536"/>
      <x:c r="N2536"/>
      <x:c r="O2536"/>
      <x:c r="P2536"/>
    </x:row>
    <x:row r="2537">
      <x:c r="A2537"/>
      <x:c r="B2537"/>
      <x:c r="C2537"/>
      <x:c r="D2537"/>
      <x:c r="E2537"/>
      <x:c r="F2537"/>
      <x:c r="G2537" s="56"/>
      <x:c r="H2537"/>
      <x:c r="I2537"/>
      <x:c r="J2537"/>
      <x:c r="K2537"/>
      <x:c r="L2537"/>
      <x:c r="M2537"/>
      <x:c r="N2537"/>
      <x:c r="O2537"/>
      <x:c r="P2537"/>
    </x:row>
    <x:row r="2538">
      <x:c r="A2538"/>
      <x:c r="B2538"/>
      <x:c r="C2538"/>
      <x:c r="D2538"/>
      <x:c r="E2538"/>
      <x:c r="F2538"/>
      <x:c r="G2538" s="56"/>
      <x:c r="H2538"/>
      <x:c r="I2538"/>
      <x:c r="J2538"/>
      <x:c r="K2538"/>
      <x:c r="L2538"/>
      <x:c r="M2538"/>
      <x:c r="N2538"/>
      <x:c r="O2538"/>
      <x:c r="P2538"/>
    </x:row>
    <x:row r="2539">
      <x:c r="A2539"/>
      <x:c r="B2539"/>
      <x:c r="C2539"/>
      <x:c r="D2539"/>
      <x:c r="E2539"/>
      <x:c r="F2539"/>
      <x:c r="G2539" s="56"/>
      <x:c r="H2539"/>
      <x:c r="I2539"/>
      <x:c r="J2539"/>
      <x:c r="K2539"/>
      <x:c r="L2539"/>
      <x:c r="M2539"/>
      <x:c r="N2539"/>
      <x:c r="O2539"/>
      <x:c r="P2539"/>
    </x:row>
    <x:row r="2540">
      <x:c r="A2540"/>
      <x:c r="B2540"/>
      <x:c r="C2540"/>
      <x:c r="D2540"/>
      <x:c r="E2540"/>
      <x:c r="F2540"/>
      <x:c r="G2540" s="56"/>
      <x:c r="H2540"/>
      <x:c r="I2540"/>
      <x:c r="J2540"/>
      <x:c r="K2540"/>
      <x:c r="L2540"/>
      <x:c r="M2540"/>
      <x:c r="N2540"/>
      <x:c r="O2540"/>
      <x:c r="P2540"/>
    </x:row>
    <x:row r="2541">
      <x:c r="A2541"/>
      <x:c r="B2541"/>
      <x:c r="C2541"/>
      <x:c r="D2541"/>
      <x:c r="E2541"/>
      <x:c r="F2541"/>
      <x:c r="G2541" s="56"/>
      <x:c r="H2541"/>
      <x:c r="I2541"/>
      <x:c r="J2541"/>
      <x:c r="K2541"/>
      <x:c r="L2541"/>
      <x:c r="M2541"/>
      <x:c r="N2541"/>
      <x:c r="O2541"/>
      <x:c r="P2541"/>
    </x:row>
    <x:row r="2542">
      <x:c r="A2542"/>
      <x:c r="B2542"/>
      <x:c r="C2542"/>
      <x:c r="D2542"/>
      <x:c r="E2542"/>
      <x:c r="F2542"/>
      <x:c r="G2542" s="56"/>
      <x:c r="H2542"/>
      <x:c r="I2542"/>
      <x:c r="J2542"/>
      <x:c r="K2542"/>
      <x:c r="L2542"/>
      <x:c r="M2542"/>
      <x:c r="N2542"/>
      <x:c r="O2542"/>
      <x:c r="P2542"/>
    </x:row>
    <x:row r="2543">
      <x:c r="A2543"/>
      <x:c r="B2543"/>
      <x:c r="C2543"/>
      <x:c r="D2543"/>
      <x:c r="E2543"/>
      <x:c r="F2543"/>
      <x:c r="G2543" s="56"/>
      <x:c r="H2543"/>
      <x:c r="I2543"/>
      <x:c r="J2543"/>
      <x:c r="K2543"/>
      <x:c r="L2543"/>
      <x:c r="M2543"/>
      <x:c r="N2543"/>
      <x:c r="O2543"/>
      <x:c r="P2543"/>
    </x:row>
    <x:row r="2544">
      <x:c r="A2544"/>
      <x:c r="B2544"/>
      <x:c r="C2544"/>
      <x:c r="D2544"/>
      <x:c r="E2544"/>
      <x:c r="F2544"/>
      <x:c r="G2544" s="56"/>
      <x:c r="H2544"/>
      <x:c r="I2544"/>
      <x:c r="J2544"/>
      <x:c r="K2544"/>
      <x:c r="L2544"/>
      <x:c r="M2544"/>
      <x:c r="N2544"/>
      <x:c r="O2544"/>
      <x:c r="P2544"/>
    </x:row>
    <x:row r="2545">
      <x:c r="A2545"/>
      <x:c r="B2545"/>
      <x:c r="C2545"/>
      <x:c r="D2545"/>
      <x:c r="E2545"/>
      <x:c r="F2545"/>
      <x:c r="G2545" s="56"/>
      <x:c r="H2545"/>
      <x:c r="I2545"/>
      <x:c r="J2545"/>
      <x:c r="K2545"/>
      <x:c r="L2545"/>
      <x:c r="M2545"/>
      <x:c r="N2545"/>
      <x:c r="O2545"/>
      <x:c r="P2545"/>
    </x:row>
    <x:row r="2546">
      <x:c r="A2546"/>
      <x:c r="B2546"/>
      <x:c r="C2546"/>
      <x:c r="D2546"/>
      <x:c r="E2546"/>
      <x:c r="F2546"/>
      <x:c r="G2546" s="56"/>
      <x:c r="H2546"/>
      <x:c r="I2546"/>
      <x:c r="J2546"/>
      <x:c r="K2546"/>
      <x:c r="L2546"/>
      <x:c r="M2546"/>
      <x:c r="N2546"/>
      <x:c r="O2546"/>
      <x:c r="P2546"/>
    </x:row>
    <x:row r="2547">
      <x:c r="A2547"/>
      <x:c r="B2547"/>
      <x:c r="C2547"/>
      <x:c r="D2547"/>
      <x:c r="E2547"/>
      <x:c r="F2547"/>
      <x:c r="G2547" s="56"/>
      <x:c r="H2547"/>
      <x:c r="I2547"/>
      <x:c r="J2547"/>
      <x:c r="K2547"/>
      <x:c r="L2547"/>
      <x:c r="M2547"/>
      <x:c r="N2547"/>
      <x:c r="O2547"/>
      <x:c r="P2547"/>
    </x:row>
    <x:row r="2548">
      <x:c r="A2548"/>
      <x:c r="B2548"/>
      <x:c r="C2548"/>
      <x:c r="D2548"/>
      <x:c r="E2548"/>
      <x:c r="F2548"/>
      <x:c r="G2548" s="56"/>
      <x:c r="H2548"/>
      <x:c r="I2548"/>
      <x:c r="J2548"/>
      <x:c r="K2548"/>
      <x:c r="L2548"/>
      <x:c r="M2548"/>
      <x:c r="N2548"/>
      <x:c r="O2548"/>
      <x:c r="P2548"/>
    </x:row>
    <x:row r="2549">
      <x:c r="A2549"/>
      <x:c r="B2549"/>
      <x:c r="C2549"/>
      <x:c r="D2549"/>
      <x:c r="E2549"/>
      <x:c r="F2549"/>
      <x:c r="G2549" s="56"/>
      <x:c r="H2549"/>
      <x:c r="I2549"/>
      <x:c r="J2549"/>
      <x:c r="K2549"/>
      <x:c r="L2549"/>
      <x:c r="M2549"/>
      <x:c r="N2549"/>
      <x:c r="O2549"/>
      <x:c r="P2549"/>
    </x:row>
    <x:row r="2550">
      <x:c r="A2550"/>
      <x:c r="B2550"/>
      <x:c r="C2550"/>
      <x:c r="D2550"/>
      <x:c r="E2550"/>
      <x:c r="F2550"/>
      <x:c r="G2550" s="56"/>
      <x:c r="H2550"/>
      <x:c r="I2550"/>
      <x:c r="J2550"/>
      <x:c r="K2550"/>
      <x:c r="L2550"/>
      <x:c r="M2550"/>
      <x:c r="N2550"/>
      <x:c r="O2550"/>
      <x:c r="P2550"/>
    </x:row>
    <x:row r="2551">
      <x:c r="A2551"/>
      <x:c r="B2551"/>
      <x:c r="C2551"/>
      <x:c r="D2551"/>
      <x:c r="E2551"/>
      <x:c r="F2551"/>
      <x:c r="G2551" s="56"/>
      <x:c r="H2551"/>
      <x:c r="I2551"/>
      <x:c r="J2551"/>
      <x:c r="K2551"/>
      <x:c r="L2551"/>
      <x:c r="M2551"/>
      <x:c r="N2551"/>
      <x:c r="O2551"/>
      <x:c r="P2551"/>
    </x:row>
    <x:row r="2552">
      <x:c r="A2552"/>
      <x:c r="B2552"/>
      <x:c r="C2552"/>
      <x:c r="D2552"/>
      <x:c r="E2552"/>
      <x:c r="F2552"/>
      <x:c r="G2552" s="56"/>
      <x:c r="H2552"/>
      <x:c r="I2552"/>
      <x:c r="J2552"/>
      <x:c r="K2552"/>
      <x:c r="L2552"/>
      <x:c r="M2552"/>
      <x:c r="N2552"/>
      <x:c r="O2552"/>
      <x:c r="P2552"/>
    </x:row>
    <x:row r="2553">
      <x:c r="A2553"/>
      <x:c r="B2553"/>
      <x:c r="C2553"/>
      <x:c r="D2553"/>
      <x:c r="E2553"/>
      <x:c r="F2553"/>
      <x:c r="G2553" s="56"/>
      <x:c r="H2553"/>
      <x:c r="I2553"/>
      <x:c r="J2553"/>
      <x:c r="K2553"/>
      <x:c r="L2553"/>
      <x:c r="M2553"/>
      <x:c r="N2553"/>
      <x:c r="O2553"/>
      <x:c r="P2553"/>
    </x:row>
    <x:row r="2554">
      <x:c r="A2554"/>
      <x:c r="B2554"/>
      <x:c r="C2554"/>
      <x:c r="D2554"/>
      <x:c r="E2554"/>
      <x:c r="F2554"/>
      <x:c r="G2554" s="56"/>
      <x:c r="H2554"/>
      <x:c r="I2554"/>
      <x:c r="J2554"/>
      <x:c r="K2554"/>
      <x:c r="L2554"/>
      <x:c r="M2554"/>
      <x:c r="N2554"/>
      <x:c r="O2554"/>
      <x:c r="P2554"/>
    </x:row>
    <x:row r="2555">
      <x:c r="A2555"/>
      <x:c r="B2555"/>
      <x:c r="C2555"/>
      <x:c r="D2555"/>
      <x:c r="E2555"/>
      <x:c r="F2555"/>
      <x:c r="G2555" s="56"/>
      <x:c r="H2555"/>
      <x:c r="I2555"/>
      <x:c r="J2555"/>
      <x:c r="K2555"/>
      <x:c r="L2555"/>
      <x:c r="M2555"/>
      <x:c r="N2555"/>
      <x:c r="O2555"/>
      <x:c r="P2555"/>
    </x:row>
    <x:row r="2556">
      <x:c r="A2556"/>
      <x:c r="B2556"/>
      <x:c r="C2556"/>
      <x:c r="D2556"/>
      <x:c r="E2556"/>
      <x:c r="F2556"/>
      <x:c r="G2556" s="56"/>
      <x:c r="H2556"/>
      <x:c r="I2556"/>
      <x:c r="J2556"/>
      <x:c r="K2556"/>
      <x:c r="L2556"/>
      <x:c r="M2556"/>
      <x:c r="N2556"/>
      <x:c r="O2556"/>
      <x:c r="P2556"/>
    </x:row>
    <x:row r="2557">
      <x:c r="A2557"/>
      <x:c r="B2557"/>
      <x:c r="C2557"/>
      <x:c r="D2557"/>
      <x:c r="E2557"/>
      <x:c r="F2557"/>
      <x:c r="G2557" s="56"/>
      <x:c r="H2557"/>
      <x:c r="I2557"/>
      <x:c r="J2557"/>
      <x:c r="K2557"/>
      <x:c r="L2557"/>
      <x:c r="M2557"/>
      <x:c r="N2557"/>
      <x:c r="O2557"/>
      <x:c r="P2557"/>
    </x:row>
    <x:row r="2558">
      <x:c r="A2558"/>
      <x:c r="B2558"/>
      <x:c r="C2558"/>
      <x:c r="D2558"/>
      <x:c r="E2558"/>
      <x:c r="F2558"/>
      <x:c r="G2558" s="56"/>
      <x:c r="H2558"/>
      <x:c r="I2558"/>
      <x:c r="J2558"/>
      <x:c r="K2558"/>
      <x:c r="L2558"/>
      <x:c r="M2558"/>
      <x:c r="N2558"/>
      <x:c r="O2558"/>
      <x:c r="P2558"/>
    </x:row>
    <x:row r="2559">
      <x:c r="A2559"/>
      <x:c r="B2559"/>
      <x:c r="C2559"/>
      <x:c r="D2559"/>
      <x:c r="E2559"/>
      <x:c r="F2559"/>
      <x:c r="G2559" s="56"/>
      <x:c r="H2559"/>
      <x:c r="I2559"/>
      <x:c r="J2559"/>
      <x:c r="K2559"/>
      <x:c r="L2559"/>
      <x:c r="M2559"/>
      <x:c r="N2559"/>
      <x:c r="O2559"/>
      <x:c r="P2559"/>
    </x:row>
    <x:row r="2560">
      <x:c r="A2560"/>
      <x:c r="B2560"/>
      <x:c r="C2560"/>
      <x:c r="D2560"/>
      <x:c r="E2560"/>
      <x:c r="F2560"/>
      <x:c r="G2560" s="56"/>
      <x:c r="H2560"/>
      <x:c r="I2560"/>
      <x:c r="J2560"/>
      <x:c r="K2560"/>
      <x:c r="L2560"/>
      <x:c r="M2560"/>
      <x:c r="N2560"/>
      <x:c r="O2560"/>
      <x:c r="P2560"/>
    </x:row>
    <x:row r="2561">
      <x:c r="A2561"/>
      <x:c r="B2561"/>
      <x:c r="C2561"/>
      <x:c r="D2561"/>
      <x:c r="E2561"/>
      <x:c r="F2561"/>
      <x:c r="G2561" s="56"/>
      <x:c r="H2561"/>
      <x:c r="I2561"/>
      <x:c r="J2561"/>
      <x:c r="K2561"/>
      <x:c r="L2561"/>
      <x:c r="M2561"/>
      <x:c r="N2561"/>
      <x:c r="O2561"/>
      <x:c r="P2561"/>
    </x:row>
    <x:row r="2562">
      <x:c r="A2562"/>
      <x:c r="B2562"/>
      <x:c r="C2562"/>
      <x:c r="D2562"/>
      <x:c r="E2562"/>
      <x:c r="F2562"/>
      <x:c r="G2562" s="56"/>
      <x:c r="H2562"/>
      <x:c r="I2562"/>
      <x:c r="J2562"/>
      <x:c r="K2562"/>
      <x:c r="L2562"/>
      <x:c r="M2562"/>
      <x:c r="N2562"/>
      <x:c r="O2562"/>
      <x:c r="P2562"/>
    </x:row>
    <x:row r="2563">
      <x:c r="A2563"/>
      <x:c r="B2563"/>
      <x:c r="C2563"/>
      <x:c r="D2563"/>
      <x:c r="E2563"/>
      <x:c r="F2563"/>
      <x:c r="G2563" s="56"/>
      <x:c r="H2563"/>
      <x:c r="I2563"/>
      <x:c r="J2563"/>
      <x:c r="K2563"/>
      <x:c r="L2563"/>
      <x:c r="M2563"/>
      <x:c r="N2563"/>
      <x:c r="O2563"/>
      <x:c r="P2563"/>
    </x:row>
    <x:row r="2564">
      <x:c r="A2564"/>
      <x:c r="B2564"/>
      <x:c r="C2564"/>
      <x:c r="D2564"/>
      <x:c r="E2564"/>
      <x:c r="F2564"/>
      <x:c r="G2564" s="56"/>
      <x:c r="H2564"/>
      <x:c r="I2564"/>
      <x:c r="J2564"/>
      <x:c r="K2564"/>
      <x:c r="L2564"/>
      <x:c r="M2564"/>
      <x:c r="N2564"/>
      <x:c r="O2564"/>
      <x:c r="P2564"/>
    </x:row>
    <x:row r="2565">
      <x:c r="A2565"/>
      <x:c r="B2565"/>
      <x:c r="C2565"/>
      <x:c r="D2565"/>
      <x:c r="E2565"/>
      <x:c r="F2565"/>
      <x:c r="G2565" s="56"/>
      <x:c r="H2565"/>
      <x:c r="I2565"/>
      <x:c r="J2565"/>
      <x:c r="K2565"/>
      <x:c r="L2565"/>
      <x:c r="M2565"/>
      <x:c r="N2565"/>
      <x:c r="O2565"/>
      <x:c r="P2565"/>
    </x:row>
    <x:row r="2566">
      <x:c r="A2566"/>
      <x:c r="B2566"/>
      <x:c r="C2566"/>
      <x:c r="D2566"/>
      <x:c r="E2566"/>
      <x:c r="F2566"/>
      <x:c r="G2566" s="56"/>
      <x:c r="H2566"/>
      <x:c r="I2566"/>
      <x:c r="J2566"/>
      <x:c r="K2566"/>
      <x:c r="L2566"/>
      <x:c r="M2566"/>
      <x:c r="N2566"/>
      <x:c r="O2566"/>
      <x:c r="P2566"/>
    </x:row>
    <x:row r="2567">
      <x:c r="A2567"/>
      <x:c r="B2567"/>
      <x:c r="C2567"/>
      <x:c r="D2567"/>
      <x:c r="E2567"/>
      <x:c r="F2567"/>
      <x:c r="G2567" s="56"/>
      <x:c r="H2567"/>
      <x:c r="I2567"/>
      <x:c r="J2567"/>
      <x:c r="K2567"/>
      <x:c r="L2567"/>
      <x:c r="M2567"/>
      <x:c r="N2567"/>
      <x:c r="O2567"/>
      <x:c r="P2567"/>
    </x:row>
    <x:row r="2568">
      <x:c r="A2568"/>
      <x:c r="B2568"/>
      <x:c r="C2568"/>
      <x:c r="D2568"/>
      <x:c r="E2568"/>
      <x:c r="F2568"/>
      <x:c r="G2568" s="56"/>
      <x:c r="H2568"/>
      <x:c r="I2568"/>
      <x:c r="J2568"/>
      <x:c r="K2568"/>
      <x:c r="L2568"/>
      <x:c r="M2568"/>
      <x:c r="N2568"/>
      <x:c r="O2568"/>
      <x:c r="P2568"/>
    </x:row>
    <x:row r="2569">
      <x:c r="A2569"/>
      <x:c r="B2569"/>
      <x:c r="C2569"/>
      <x:c r="D2569"/>
      <x:c r="E2569"/>
      <x:c r="F2569"/>
      <x:c r="G2569" s="56"/>
      <x:c r="H2569"/>
      <x:c r="I2569"/>
      <x:c r="J2569"/>
      <x:c r="K2569"/>
      <x:c r="L2569"/>
      <x:c r="M2569"/>
      <x:c r="N2569"/>
      <x:c r="O2569"/>
      <x:c r="P2569"/>
    </x:row>
    <x:row r="2570">
      <x:c r="A2570"/>
      <x:c r="B2570"/>
      <x:c r="C2570"/>
      <x:c r="D2570"/>
      <x:c r="E2570"/>
      <x:c r="F2570"/>
      <x:c r="G2570" s="56"/>
      <x:c r="H2570"/>
      <x:c r="I2570"/>
      <x:c r="J2570"/>
      <x:c r="K2570"/>
      <x:c r="L2570"/>
      <x:c r="M2570"/>
      <x:c r="N2570"/>
      <x:c r="O2570"/>
      <x:c r="P2570"/>
    </x:row>
    <x:row r="2571">
      <x:c r="A2571"/>
      <x:c r="B2571"/>
      <x:c r="C2571"/>
      <x:c r="D2571"/>
      <x:c r="E2571"/>
      <x:c r="F2571"/>
      <x:c r="G2571" s="56"/>
      <x:c r="H2571"/>
      <x:c r="I2571"/>
      <x:c r="J2571"/>
      <x:c r="K2571"/>
      <x:c r="L2571"/>
      <x:c r="M2571"/>
      <x:c r="N2571"/>
      <x:c r="O2571"/>
      <x:c r="P2571"/>
    </x:row>
    <x:row r="2572">
      <x:c r="A2572"/>
      <x:c r="B2572"/>
      <x:c r="C2572"/>
      <x:c r="D2572"/>
      <x:c r="E2572"/>
      <x:c r="F2572"/>
      <x:c r="G2572" s="56"/>
      <x:c r="H2572"/>
      <x:c r="I2572"/>
      <x:c r="J2572"/>
      <x:c r="K2572"/>
      <x:c r="L2572"/>
      <x:c r="M2572"/>
      <x:c r="N2572"/>
      <x:c r="O2572"/>
      <x:c r="P2572"/>
    </x:row>
    <x:row r="2573">
      <x:c r="A2573"/>
      <x:c r="B2573"/>
      <x:c r="C2573"/>
      <x:c r="D2573"/>
      <x:c r="E2573"/>
      <x:c r="F2573"/>
      <x:c r="G2573" s="56"/>
      <x:c r="H2573"/>
      <x:c r="I2573"/>
      <x:c r="J2573"/>
      <x:c r="K2573"/>
      <x:c r="L2573"/>
      <x:c r="M2573"/>
      <x:c r="N2573"/>
      <x:c r="O2573"/>
      <x:c r="P2573"/>
    </x:row>
    <x:row r="2574">
      <x:c r="A2574"/>
      <x:c r="B2574"/>
      <x:c r="C2574"/>
      <x:c r="D2574"/>
      <x:c r="E2574"/>
      <x:c r="F2574"/>
      <x:c r="G2574" s="56"/>
      <x:c r="H2574"/>
      <x:c r="I2574"/>
      <x:c r="J2574"/>
      <x:c r="K2574"/>
      <x:c r="L2574"/>
      <x:c r="M2574"/>
      <x:c r="N2574"/>
      <x:c r="O2574"/>
      <x:c r="P2574"/>
    </x:row>
    <x:row r="2575">
      <x:c r="A2575"/>
      <x:c r="B2575"/>
      <x:c r="C2575"/>
      <x:c r="D2575"/>
      <x:c r="E2575"/>
      <x:c r="F2575"/>
      <x:c r="G2575" s="56"/>
      <x:c r="H2575"/>
      <x:c r="I2575"/>
      <x:c r="J2575"/>
      <x:c r="K2575"/>
      <x:c r="L2575"/>
      <x:c r="M2575"/>
      <x:c r="N2575"/>
      <x:c r="O2575"/>
      <x:c r="P2575"/>
    </x:row>
    <x:row r="2576">
      <x:c r="A2576"/>
      <x:c r="B2576"/>
      <x:c r="C2576"/>
      <x:c r="D2576"/>
      <x:c r="E2576"/>
      <x:c r="F2576"/>
      <x:c r="G2576" s="56"/>
      <x:c r="H2576"/>
      <x:c r="I2576"/>
      <x:c r="J2576"/>
      <x:c r="K2576"/>
      <x:c r="L2576"/>
      <x:c r="M2576"/>
      <x:c r="N2576"/>
      <x:c r="O2576"/>
      <x:c r="P2576"/>
    </x:row>
    <x:row r="2577">
      <x:c r="A2577"/>
      <x:c r="B2577"/>
      <x:c r="C2577"/>
      <x:c r="D2577"/>
      <x:c r="E2577"/>
      <x:c r="F2577"/>
      <x:c r="G2577" s="56"/>
      <x:c r="H2577"/>
      <x:c r="I2577"/>
      <x:c r="J2577"/>
      <x:c r="K2577"/>
      <x:c r="L2577"/>
      <x:c r="M2577"/>
      <x:c r="N2577"/>
      <x:c r="O2577"/>
      <x:c r="P2577"/>
    </x:row>
    <x:row r="2578">
      <x:c r="A2578"/>
      <x:c r="B2578"/>
      <x:c r="C2578"/>
      <x:c r="D2578"/>
      <x:c r="E2578"/>
      <x:c r="F2578"/>
      <x:c r="G2578" s="56"/>
      <x:c r="H2578"/>
      <x:c r="I2578"/>
      <x:c r="J2578"/>
      <x:c r="K2578"/>
      <x:c r="L2578"/>
      <x:c r="M2578"/>
      <x:c r="N2578"/>
      <x:c r="O2578"/>
      <x:c r="P2578"/>
    </x:row>
    <x:row r="2579">
      <x:c r="A2579"/>
      <x:c r="B2579"/>
      <x:c r="C2579"/>
      <x:c r="D2579"/>
      <x:c r="E2579"/>
      <x:c r="F2579"/>
      <x:c r="G2579" s="56"/>
      <x:c r="H2579"/>
      <x:c r="I2579"/>
      <x:c r="J2579"/>
      <x:c r="K2579"/>
      <x:c r="L2579"/>
      <x:c r="M2579"/>
      <x:c r="N2579"/>
      <x:c r="O2579"/>
      <x:c r="P2579"/>
    </x:row>
    <x:row r="2580">
      <x:c r="A2580"/>
      <x:c r="B2580"/>
      <x:c r="C2580"/>
      <x:c r="D2580"/>
      <x:c r="E2580"/>
      <x:c r="F2580"/>
      <x:c r="G2580" s="56"/>
      <x:c r="H2580"/>
      <x:c r="I2580"/>
      <x:c r="J2580"/>
      <x:c r="K2580"/>
      <x:c r="L2580"/>
      <x:c r="M2580"/>
      <x:c r="N2580"/>
      <x:c r="O2580"/>
      <x:c r="P2580"/>
    </x:row>
    <x:row r="2581">
      <x:c r="A2581"/>
      <x:c r="B2581"/>
      <x:c r="C2581"/>
      <x:c r="D2581"/>
      <x:c r="E2581"/>
      <x:c r="F2581"/>
      <x:c r="G2581" s="56"/>
      <x:c r="H2581"/>
      <x:c r="I2581"/>
      <x:c r="J2581"/>
      <x:c r="K2581"/>
      <x:c r="L2581"/>
      <x:c r="M2581"/>
      <x:c r="N2581"/>
      <x:c r="O2581"/>
      <x:c r="P2581"/>
    </x:row>
    <x:row r="2582">
      <x:c r="A2582"/>
      <x:c r="B2582"/>
      <x:c r="C2582"/>
      <x:c r="D2582"/>
      <x:c r="E2582"/>
      <x:c r="F2582"/>
      <x:c r="G2582" s="56"/>
      <x:c r="H2582"/>
      <x:c r="I2582"/>
      <x:c r="J2582"/>
      <x:c r="K2582"/>
      <x:c r="L2582"/>
      <x:c r="M2582"/>
      <x:c r="N2582"/>
      <x:c r="O2582"/>
      <x:c r="P2582"/>
    </x:row>
    <x:row r="2583">
      <x:c r="A2583"/>
      <x:c r="B2583"/>
      <x:c r="C2583"/>
      <x:c r="D2583"/>
      <x:c r="E2583"/>
      <x:c r="F2583"/>
      <x:c r="G2583" s="56"/>
      <x:c r="H2583"/>
      <x:c r="I2583"/>
      <x:c r="J2583"/>
      <x:c r="K2583"/>
      <x:c r="L2583"/>
      <x:c r="M2583"/>
      <x:c r="N2583"/>
      <x:c r="O2583"/>
      <x:c r="P2583"/>
    </x:row>
    <x:row r="2584">
      <x:c r="A2584"/>
      <x:c r="B2584"/>
      <x:c r="C2584"/>
      <x:c r="D2584"/>
      <x:c r="E2584"/>
      <x:c r="F2584"/>
      <x:c r="G2584" s="56"/>
      <x:c r="H2584"/>
      <x:c r="I2584"/>
      <x:c r="J2584"/>
      <x:c r="K2584"/>
      <x:c r="L2584"/>
      <x:c r="M2584"/>
      <x:c r="N2584"/>
      <x:c r="O2584"/>
      <x:c r="P2584"/>
    </x:row>
    <x:row r="2585">
      <x:c r="A2585"/>
      <x:c r="B2585"/>
      <x:c r="C2585"/>
      <x:c r="D2585"/>
      <x:c r="E2585"/>
      <x:c r="F2585"/>
      <x:c r="G2585" s="56"/>
      <x:c r="H2585"/>
      <x:c r="I2585"/>
      <x:c r="J2585"/>
      <x:c r="K2585"/>
      <x:c r="L2585"/>
      <x:c r="M2585"/>
      <x:c r="N2585"/>
      <x:c r="O2585"/>
      <x:c r="P2585"/>
    </x:row>
    <x:row r="2586">
      <x:c r="A2586"/>
      <x:c r="B2586"/>
      <x:c r="C2586"/>
      <x:c r="D2586"/>
      <x:c r="E2586"/>
      <x:c r="F2586"/>
      <x:c r="G2586" s="56"/>
      <x:c r="H2586"/>
      <x:c r="I2586"/>
      <x:c r="J2586"/>
      <x:c r="K2586"/>
      <x:c r="L2586"/>
      <x:c r="M2586"/>
      <x:c r="N2586"/>
      <x:c r="O2586"/>
      <x:c r="P2586"/>
    </x:row>
    <x:row r="2587">
      <x:c r="A2587"/>
      <x:c r="B2587"/>
      <x:c r="C2587"/>
      <x:c r="D2587"/>
      <x:c r="E2587"/>
      <x:c r="F2587"/>
      <x:c r="G2587" s="56"/>
      <x:c r="H2587"/>
      <x:c r="I2587"/>
      <x:c r="J2587"/>
      <x:c r="K2587"/>
      <x:c r="L2587"/>
      <x:c r="M2587"/>
      <x:c r="N2587"/>
      <x:c r="O2587"/>
      <x:c r="P2587"/>
    </x:row>
    <x:row r="2588">
      <x:c r="A2588"/>
      <x:c r="B2588"/>
      <x:c r="C2588"/>
      <x:c r="D2588"/>
      <x:c r="E2588"/>
      <x:c r="F2588"/>
      <x:c r="G2588" s="56"/>
      <x:c r="H2588"/>
      <x:c r="I2588"/>
      <x:c r="J2588"/>
      <x:c r="K2588"/>
      <x:c r="L2588"/>
      <x:c r="M2588"/>
      <x:c r="N2588"/>
      <x:c r="O2588"/>
      <x:c r="P2588"/>
    </x:row>
    <x:row r="2589">
      <x:c r="A2589"/>
      <x:c r="B2589"/>
      <x:c r="C2589"/>
      <x:c r="D2589"/>
      <x:c r="E2589"/>
      <x:c r="F2589"/>
      <x:c r="G2589" s="56"/>
      <x:c r="H2589"/>
      <x:c r="I2589"/>
      <x:c r="J2589"/>
      <x:c r="K2589"/>
      <x:c r="L2589"/>
      <x:c r="M2589"/>
      <x:c r="N2589"/>
      <x:c r="O2589"/>
      <x:c r="P2589"/>
    </x:row>
    <x:row r="2590">
      <x:c r="A2590"/>
      <x:c r="B2590"/>
      <x:c r="C2590"/>
      <x:c r="D2590"/>
      <x:c r="E2590"/>
      <x:c r="F2590"/>
      <x:c r="G2590" s="56"/>
      <x:c r="H2590"/>
      <x:c r="I2590"/>
      <x:c r="J2590"/>
      <x:c r="K2590"/>
      <x:c r="L2590"/>
      <x:c r="M2590"/>
      <x:c r="N2590"/>
      <x:c r="O2590"/>
      <x:c r="P2590"/>
    </x:row>
    <x:row r="2591">
      <x:c r="A2591"/>
      <x:c r="B2591"/>
      <x:c r="C2591"/>
      <x:c r="D2591"/>
      <x:c r="E2591"/>
      <x:c r="F2591"/>
      <x:c r="G2591" s="56"/>
      <x:c r="H2591"/>
      <x:c r="I2591"/>
      <x:c r="J2591"/>
      <x:c r="K2591"/>
      <x:c r="L2591"/>
      <x:c r="M2591"/>
      <x:c r="N2591"/>
      <x:c r="O2591"/>
      <x:c r="P2591"/>
    </x:row>
    <x:row r="2592">
      <x:c r="A2592"/>
      <x:c r="B2592"/>
      <x:c r="C2592"/>
      <x:c r="D2592"/>
      <x:c r="E2592"/>
      <x:c r="F2592"/>
      <x:c r="G2592" s="56"/>
      <x:c r="H2592"/>
      <x:c r="I2592"/>
      <x:c r="J2592"/>
      <x:c r="K2592"/>
      <x:c r="L2592"/>
      <x:c r="M2592"/>
      <x:c r="N2592"/>
      <x:c r="O2592"/>
      <x:c r="P2592"/>
    </x:row>
    <x:row r="2593">
      <x:c r="A2593"/>
      <x:c r="B2593"/>
      <x:c r="C2593"/>
      <x:c r="D2593"/>
      <x:c r="E2593"/>
      <x:c r="F2593"/>
      <x:c r="G2593" s="56"/>
      <x:c r="H2593"/>
      <x:c r="I2593"/>
      <x:c r="J2593"/>
      <x:c r="K2593"/>
      <x:c r="L2593"/>
      <x:c r="M2593"/>
      <x:c r="N2593"/>
      <x:c r="O2593"/>
      <x:c r="P2593"/>
    </x:row>
    <x:row r="2594">
      <x:c r="A2594"/>
      <x:c r="B2594"/>
      <x:c r="C2594"/>
      <x:c r="D2594"/>
      <x:c r="E2594"/>
      <x:c r="F2594"/>
      <x:c r="G2594" s="56"/>
      <x:c r="H2594"/>
      <x:c r="I2594"/>
      <x:c r="J2594"/>
      <x:c r="K2594"/>
      <x:c r="L2594"/>
      <x:c r="M2594"/>
      <x:c r="N2594"/>
      <x:c r="O2594"/>
      <x:c r="P2594"/>
    </x:row>
    <x:row r="2595">
      <x:c r="A2595"/>
      <x:c r="B2595"/>
      <x:c r="C2595"/>
      <x:c r="D2595"/>
      <x:c r="E2595"/>
      <x:c r="F2595"/>
      <x:c r="G2595" s="56"/>
      <x:c r="H2595"/>
      <x:c r="I2595"/>
      <x:c r="J2595"/>
      <x:c r="K2595"/>
      <x:c r="L2595"/>
      <x:c r="M2595"/>
      <x:c r="N2595"/>
      <x:c r="O2595"/>
      <x:c r="P2595"/>
    </x:row>
    <x:row r="2596">
      <x:c r="A2596"/>
      <x:c r="B2596"/>
      <x:c r="C2596"/>
      <x:c r="D2596"/>
      <x:c r="E2596"/>
      <x:c r="F2596"/>
      <x:c r="G2596" s="56"/>
      <x:c r="H2596"/>
      <x:c r="I2596"/>
      <x:c r="J2596"/>
      <x:c r="K2596"/>
      <x:c r="L2596"/>
      <x:c r="M2596"/>
      <x:c r="N2596"/>
      <x:c r="O2596"/>
      <x:c r="P2596"/>
    </x:row>
    <x:row r="2597">
      <x:c r="A2597"/>
      <x:c r="B2597"/>
      <x:c r="C2597"/>
      <x:c r="D2597"/>
      <x:c r="E2597"/>
      <x:c r="F2597"/>
      <x:c r="G2597" s="56"/>
      <x:c r="H2597"/>
      <x:c r="I2597"/>
      <x:c r="J2597"/>
      <x:c r="K2597"/>
      <x:c r="L2597"/>
      <x:c r="M2597"/>
      <x:c r="N2597"/>
      <x:c r="O2597"/>
      <x:c r="P2597"/>
    </x:row>
    <x:row r="2598">
      <x:c r="A2598"/>
      <x:c r="B2598"/>
      <x:c r="C2598"/>
      <x:c r="D2598"/>
      <x:c r="E2598"/>
      <x:c r="F2598"/>
      <x:c r="G2598" s="56"/>
      <x:c r="H2598"/>
      <x:c r="I2598"/>
      <x:c r="J2598"/>
      <x:c r="K2598"/>
      <x:c r="L2598"/>
      <x:c r="M2598"/>
      <x:c r="N2598"/>
      <x:c r="O2598"/>
      <x:c r="P2598"/>
    </x:row>
    <x:row r="2599">
      <x:c r="A2599"/>
      <x:c r="B2599"/>
      <x:c r="C2599"/>
      <x:c r="D2599"/>
      <x:c r="E2599"/>
      <x:c r="F2599"/>
      <x:c r="G2599" s="56"/>
      <x:c r="H2599"/>
      <x:c r="I2599"/>
      <x:c r="J2599"/>
      <x:c r="K2599"/>
      <x:c r="L2599"/>
      <x:c r="M2599"/>
      <x:c r="N2599"/>
      <x:c r="O2599"/>
      <x:c r="P2599"/>
    </x:row>
    <x:row r="2600">
      <x:c r="A2600"/>
      <x:c r="B2600"/>
      <x:c r="C2600"/>
      <x:c r="D2600"/>
      <x:c r="E2600"/>
      <x:c r="F2600"/>
      <x:c r="G2600" s="56"/>
      <x:c r="H2600"/>
      <x:c r="I2600"/>
      <x:c r="J2600"/>
      <x:c r="K2600"/>
      <x:c r="L2600"/>
      <x:c r="M2600"/>
      <x:c r="N2600"/>
      <x:c r="O2600"/>
      <x:c r="P2600"/>
    </x:row>
    <x:row r="2601">
      <x:c r="A2601"/>
      <x:c r="B2601"/>
      <x:c r="C2601"/>
      <x:c r="D2601"/>
      <x:c r="E2601"/>
      <x:c r="F2601"/>
      <x:c r="G2601" s="56"/>
      <x:c r="H2601"/>
      <x:c r="I2601"/>
      <x:c r="J2601"/>
      <x:c r="K2601"/>
      <x:c r="L2601"/>
      <x:c r="M2601"/>
      <x:c r="N2601"/>
      <x:c r="O2601"/>
      <x:c r="P2601"/>
    </x:row>
    <x:row r="2602">
      <x:c r="A2602"/>
      <x:c r="B2602"/>
      <x:c r="C2602"/>
      <x:c r="D2602"/>
      <x:c r="E2602"/>
      <x:c r="F2602"/>
      <x:c r="G2602" s="56"/>
      <x:c r="H2602"/>
      <x:c r="I2602"/>
      <x:c r="J2602"/>
      <x:c r="K2602"/>
      <x:c r="L2602"/>
      <x:c r="M2602"/>
      <x:c r="N2602"/>
      <x:c r="O2602"/>
      <x:c r="P2602"/>
    </x:row>
    <x:row r="2603">
      <x:c r="A2603"/>
      <x:c r="B2603"/>
      <x:c r="C2603"/>
      <x:c r="D2603"/>
      <x:c r="E2603"/>
      <x:c r="F2603"/>
      <x:c r="G2603" s="56"/>
      <x:c r="H2603"/>
      <x:c r="I2603"/>
      <x:c r="J2603"/>
      <x:c r="K2603"/>
      <x:c r="L2603"/>
      <x:c r="M2603"/>
      <x:c r="N2603"/>
      <x:c r="O2603"/>
      <x:c r="P2603"/>
    </x:row>
    <x:row r="2604">
      <x:c r="A2604"/>
      <x:c r="B2604"/>
      <x:c r="C2604"/>
      <x:c r="D2604"/>
      <x:c r="E2604"/>
      <x:c r="F2604"/>
      <x:c r="G2604" s="56"/>
      <x:c r="H2604"/>
      <x:c r="I2604"/>
      <x:c r="J2604"/>
      <x:c r="K2604"/>
      <x:c r="L2604"/>
      <x:c r="M2604"/>
      <x:c r="N2604"/>
      <x:c r="O2604"/>
      <x:c r="P2604"/>
    </x:row>
    <x:row r="2605">
      <x:c r="A2605"/>
      <x:c r="B2605"/>
      <x:c r="C2605"/>
      <x:c r="D2605"/>
      <x:c r="E2605"/>
      <x:c r="F2605"/>
      <x:c r="G2605" s="56"/>
      <x:c r="H2605"/>
      <x:c r="I2605"/>
      <x:c r="J2605"/>
      <x:c r="K2605"/>
      <x:c r="L2605"/>
      <x:c r="M2605"/>
      <x:c r="N2605"/>
      <x:c r="O2605"/>
      <x:c r="P2605"/>
    </x:row>
    <x:row r="2606">
      <x:c r="A2606"/>
      <x:c r="B2606"/>
      <x:c r="C2606"/>
      <x:c r="D2606"/>
      <x:c r="E2606"/>
      <x:c r="F2606"/>
      <x:c r="G2606" s="56"/>
      <x:c r="H2606"/>
      <x:c r="I2606"/>
      <x:c r="J2606"/>
      <x:c r="K2606"/>
      <x:c r="L2606"/>
      <x:c r="M2606"/>
      <x:c r="N2606"/>
      <x:c r="O2606"/>
      <x:c r="P2606"/>
    </x:row>
    <x:row r="2607">
      <x:c r="A2607"/>
      <x:c r="B2607"/>
      <x:c r="C2607"/>
      <x:c r="D2607"/>
      <x:c r="E2607"/>
      <x:c r="F2607"/>
      <x:c r="G2607" s="56"/>
      <x:c r="H2607"/>
      <x:c r="I2607"/>
      <x:c r="J2607"/>
      <x:c r="K2607"/>
      <x:c r="L2607"/>
      <x:c r="M2607"/>
      <x:c r="N2607"/>
      <x:c r="O2607"/>
      <x:c r="P2607"/>
    </x:row>
    <x:row r="2608">
      <x:c r="A2608"/>
      <x:c r="B2608"/>
      <x:c r="C2608"/>
      <x:c r="D2608"/>
      <x:c r="E2608"/>
      <x:c r="F2608"/>
      <x:c r="G2608" s="56"/>
      <x:c r="H2608"/>
      <x:c r="I2608"/>
      <x:c r="J2608"/>
      <x:c r="K2608"/>
      <x:c r="L2608"/>
      <x:c r="M2608"/>
      <x:c r="N2608"/>
      <x:c r="O2608"/>
      <x:c r="P2608"/>
    </x:row>
    <x:row r="2609">
      <x:c r="A2609"/>
      <x:c r="B2609"/>
      <x:c r="C2609"/>
      <x:c r="D2609"/>
      <x:c r="E2609"/>
      <x:c r="F2609"/>
      <x:c r="G2609" s="56"/>
      <x:c r="H2609"/>
      <x:c r="I2609"/>
      <x:c r="J2609"/>
      <x:c r="K2609"/>
      <x:c r="L2609"/>
      <x:c r="M2609"/>
      <x:c r="N2609"/>
      <x:c r="O2609"/>
      <x:c r="P2609"/>
    </x:row>
    <x:row r="2610">
      <x:c r="A2610"/>
      <x:c r="B2610"/>
      <x:c r="C2610"/>
      <x:c r="D2610"/>
      <x:c r="E2610"/>
      <x:c r="F2610"/>
      <x:c r="G2610" s="56"/>
      <x:c r="H2610"/>
      <x:c r="I2610"/>
      <x:c r="J2610"/>
      <x:c r="K2610"/>
      <x:c r="L2610"/>
      <x:c r="M2610"/>
      <x:c r="N2610"/>
      <x:c r="O2610"/>
      <x:c r="P2610"/>
    </x:row>
    <x:row r="2611">
      <x:c r="A2611"/>
      <x:c r="B2611"/>
      <x:c r="C2611"/>
      <x:c r="D2611"/>
      <x:c r="E2611"/>
      <x:c r="F2611"/>
      <x:c r="G2611" s="56"/>
      <x:c r="H2611"/>
      <x:c r="I2611"/>
      <x:c r="J2611"/>
      <x:c r="K2611"/>
      <x:c r="L2611"/>
      <x:c r="M2611"/>
      <x:c r="N2611"/>
      <x:c r="O2611"/>
      <x:c r="P2611"/>
    </x:row>
    <x:row r="2612">
      <x:c r="A2612"/>
      <x:c r="B2612"/>
      <x:c r="C2612"/>
      <x:c r="D2612"/>
      <x:c r="E2612"/>
      <x:c r="F2612"/>
      <x:c r="G2612" s="56"/>
      <x:c r="H2612"/>
      <x:c r="I2612"/>
      <x:c r="J2612"/>
      <x:c r="K2612"/>
      <x:c r="L2612"/>
      <x:c r="M2612"/>
      <x:c r="N2612"/>
      <x:c r="O2612"/>
      <x:c r="P2612"/>
    </x:row>
    <x:row r="2613">
      <x:c r="A2613"/>
      <x:c r="B2613"/>
      <x:c r="C2613"/>
      <x:c r="D2613"/>
      <x:c r="E2613"/>
      <x:c r="F2613"/>
      <x:c r="G2613" s="56"/>
      <x:c r="H2613"/>
      <x:c r="I2613"/>
      <x:c r="J2613"/>
      <x:c r="K2613"/>
      <x:c r="L2613"/>
      <x:c r="M2613"/>
      <x:c r="N2613"/>
      <x:c r="O2613"/>
      <x:c r="P2613"/>
    </x:row>
    <x:row r="2614">
      <x:c r="A2614"/>
      <x:c r="B2614"/>
      <x:c r="C2614"/>
      <x:c r="D2614"/>
      <x:c r="E2614"/>
      <x:c r="F2614"/>
      <x:c r="G2614" s="56"/>
      <x:c r="H2614"/>
      <x:c r="I2614"/>
      <x:c r="J2614"/>
      <x:c r="K2614"/>
      <x:c r="L2614"/>
      <x:c r="M2614"/>
      <x:c r="N2614"/>
      <x:c r="O2614"/>
      <x:c r="P2614"/>
    </x:row>
    <x:row r="2615">
      <x:c r="A2615"/>
      <x:c r="B2615"/>
      <x:c r="C2615"/>
      <x:c r="D2615"/>
      <x:c r="E2615"/>
      <x:c r="F2615"/>
      <x:c r="G2615" s="56"/>
      <x:c r="H2615"/>
      <x:c r="I2615"/>
      <x:c r="J2615"/>
      <x:c r="K2615"/>
      <x:c r="L2615"/>
      <x:c r="M2615"/>
      <x:c r="N2615"/>
      <x:c r="O2615"/>
      <x:c r="P2615"/>
    </x:row>
    <x:row r="2616">
      <x:c r="A2616"/>
      <x:c r="B2616"/>
      <x:c r="C2616"/>
      <x:c r="D2616"/>
      <x:c r="E2616"/>
      <x:c r="F2616"/>
      <x:c r="G2616" s="56"/>
      <x:c r="H2616"/>
      <x:c r="I2616"/>
      <x:c r="J2616"/>
      <x:c r="K2616"/>
      <x:c r="L2616"/>
      <x:c r="M2616"/>
      <x:c r="N2616"/>
      <x:c r="O2616"/>
      <x:c r="P2616"/>
    </x:row>
    <x:row r="2617">
      <x:c r="A2617"/>
      <x:c r="B2617"/>
      <x:c r="C2617"/>
      <x:c r="D2617"/>
      <x:c r="E2617"/>
      <x:c r="F2617"/>
      <x:c r="G2617" s="56"/>
      <x:c r="H2617"/>
      <x:c r="I2617"/>
      <x:c r="J2617"/>
      <x:c r="K2617"/>
      <x:c r="L2617"/>
      <x:c r="M2617"/>
      <x:c r="N2617"/>
      <x:c r="O2617"/>
      <x:c r="P2617"/>
    </x:row>
    <x:row r="2618">
      <x:c r="A2618"/>
      <x:c r="B2618"/>
      <x:c r="C2618"/>
      <x:c r="D2618"/>
      <x:c r="E2618"/>
      <x:c r="F2618"/>
      <x:c r="G2618" s="56"/>
      <x:c r="H2618"/>
      <x:c r="I2618"/>
      <x:c r="J2618"/>
      <x:c r="K2618"/>
      <x:c r="L2618"/>
      <x:c r="M2618"/>
      <x:c r="N2618"/>
      <x:c r="O2618"/>
      <x:c r="P2618"/>
    </x:row>
    <x:row r="2619">
      <x:c r="A2619"/>
      <x:c r="B2619"/>
      <x:c r="C2619"/>
      <x:c r="D2619"/>
      <x:c r="E2619"/>
      <x:c r="F2619"/>
      <x:c r="G2619" s="56"/>
      <x:c r="H2619"/>
      <x:c r="I2619"/>
      <x:c r="J2619"/>
      <x:c r="K2619"/>
      <x:c r="L2619"/>
      <x:c r="M2619"/>
      <x:c r="N2619"/>
      <x:c r="O2619"/>
      <x:c r="P2619"/>
    </x:row>
    <x:row r="2620">
      <x:c r="A2620"/>
      <x:c r="B2620"/>
      <x:c r="C2620"/>
      <x:c r="D2620"/>
      <x:c r="E2620"/>
      <x:c r="F2620"/>
      <x:c r="G2620" s="56"/>
      <x:c r="H2620"/>
      <x:c r="I2620"/>
      <x:c r="J2620"/>
      <x:c r="K2620"/>
      <x:c r="L2620"/>
      <x:c r="M2620"/>
      <x:c r="N2620"/>
      <x:c r="O2620"/>
      <x:c r="P2620"/>
    </x:row>
    <x:row r="2621">
      <x:c r="A2621"/>
      <x:c r="B2621"/>
      <x:c r="C2621"/>
      <x:c r="D2621"/>
      <x:c r="E2621"/>
      <x:c r="F2621"/>
      <x:c r="G2621" s="56"/>
      <x:c r="H2621"/>
      <x:c r="I2621"/>
      <x:c r="J2621"/>
      <x:c r="K2621"/>
      <x:c r="L2621"/>
      <x:c r="M2621"/>
      <x:c r="N2621"/>
      <x:c r="O2621"/>
      <x:c r="P2621"/>
    </x:row>
    <x:row r="2622">
      <x:c r="A2622"/>
      <x:c r="B2622"/>
      <x:c r="C2622"/>
      <x:c r="D2622"/>
      <x:c r="E2622"/>
      <x:c r="F2622"/>
      <x:c r="G2622" s="56"/>
      <x:c r="H2622"/>
      <x:c r="I2622"/>
      <x:c r="J2622"/>
      <x:c r="K2622"/>
      <x:c r="L2622"/>
      <x:c r="M2622"/>
      <x:c r="N2622"/>
      <x:c r="O2622"/>
      <x:c r="P2622"/>
    </x:row>
    <x:row r="2623">
      <x:c r="A2623"/>
      <x:c r="B2623"/>
      <x:c r="C2623"/>
      <x:c r="D2623"/>
      <x:c r="E2623"/>
      <x:c r="F2623"/>
      <x:c r="G2623" s="56"/>
      <x:c r="H2623"/>
      <x:c r="I2623"/>
      <x:c r="J2623"/>
      <x:c r="K2623"/>
      <x:c r="L2623"/>
      <x:c r="M2623"/>
      <x:c r="N2623"/>
      <x:c r="O2623"/>
      <x:c r="P2623"/>
    </x:row>
    <x:row r="2624">
      <x:c r="A2624"/>
      <x:c r="B2624"/>
      <x:c r="C2624"/>
      <x:c r="D2624"/>
      <x:c r="E2624"/>
      <x:c r="F2624"/>
      <x:c r="G2624" s="56"/>
      <x:c r="H2624"/>
      <x:c r="I2624"/>
      <x:c r="J2624"/>
      <x:c r="K2624"/>
      <x:c r="L2624"/>
      <x:c r="M2624"/>
      <x:c r="N2624"/>
      <x:c r="O2624"/>
      <x:c r="P2624"/>
    </x:row>
    <x:row r="2625">
      <x:c r="A2625"/>
      <x:c r="B2625"/>
      <x:c r="C2625"/>
      <x:c r="D2625"/>
      <x:c r="E2625"/>
      <x:c r="F2625"/>
      <x:c r="G2625" s="56"/>
      <x:c r="H2625"/>
      <x:c r="I2625"/>
      <x:c r="J2625"/>
      <x:c r="K2625"/>
      <x:c r="L2625"/>
      <x:c r="M2625"/>
      <x:c r="N2625"/>
      <x:c r="O2625"/>
      <x:c r="P2625"/>
    </x:row>
    <x:row r="2626">
      <x:c r="A2626"/>
      <x:c r="B2626"/>
      <x:c r="C2626"/>
      <x:c r="D2626"/>
      <x:c r="E2626"/>
      <x:c r="F2626"/>
      <x:c r="G2626" s="56"/>
      <x:c r="H2626"/>
      <x:c r="I2626"/>
      <x:c r="J2626"/>
      <x:c r="K2626"/>
      <x:c r="L2626"/>
      <x:c r="M2626"/>
      <x:c r="N2626"/>
      <x:c r="O2626"/>
      <x:c r="P2626"/>
    </x:row>
    <x:row r="2627">
      <x:c r="A2627"/>
      <x:c r="B2627"/>
      <x:c r="C2627"/>
      <x:c r="D2627"/>
      <x:c r="E2627"/>
      <x:c r="F2627"/>
      <x:c r="G2627" s="56"/>
      <x:c r="H2627"/>
      <x:c r="I2627"/>
      <x:c r="J2627"/>
      <x:c r="K2627"/>
      <x:c r="L2627"/>
      <x:c r="M2627"/>
      <x:c r="N2627"/>
      <x:c r="O2627"/>
      <x:c r="P2627"/>
    </x:row>
    <x:row r="2628">
      <x:c r="A2628"/>
      <x:c r="B2628"/>
      <x:c r="C2628"/>
      <x:c r="D2628"/>
      <x:c r="E2628"/>
      <x:c r="F2628"/>
      <x:c r="G2628" s="56"/>
      <x:c r="H2628"/>
      <x:c r="I2628"/>
      <x:c r="J2628"/>
      <x:c r="K2628"/>
      <x:c r="L2628"/>
      <x:c r="M2628"/>
      <x:c r="N2628"/>
      <x:c r="O2628"/>
      <x:c r="P2628"/>
    </x:row>
    <x:row r="2629">
      <x:c r="A2629"/>
      <x:c r="B2629"/>
      <x:c r="C2629"/>
      <x:c r="D2629"/>
      <x:c r="E2629"/>
      <x:c r="F2629"/>
      <x:c r="G2629" s="56"/>
      <x:c r="H2629"/>
      <x:c r="I2629"/>
      <x:c r="J2629"/>
      <x:c r="K2629"/>
      <x:c r="L2629"/>
      <x:c r="M2629"/>
      <x:c r="N2629"/>
      <x:c r="O2629"/>
      <x:c r="P2629"/>
    </x:row>
    <x:row r="2630">
      <x:c r="A2630"/>
      <x:c r="B2630"/>
      <x:c r="C2630"/>
      <x:c r="D2630"/>
      <x:c r="E2630"/>
      <x:c r="F2630"/>
      <x:c r="G2630" s="56"/>
      <x:c r="H2630"/>
      <x:c r="I2630"/>
      <x:c r="J2630"/>
      <x:c r="K2630"/>
      <x:c r="L2630"/>
      <x:c r="M2630"/>
      <x:c r="N2630"/>
      <x:c r="O2630"/>
      <x:c r="P2630"/>
    </x:row>
    <x:row r="2631">
      <x:c r="A2631"/>
      <x:c r="B2631"/>
      <x:c r="C2631"/>
      <x:c r="D2631"/>
      <x:c r="E2631"/>
      <x:c r="F2631"/>
      <x:c r="G2631" s="56"/>
      <x:c r="H2631"/>
      <x:c r="I2631"/>
      <x:c r="J2631"/>
      <x:c r="K2631"/>
      <x:c r="L2631"/>
      <x:c r="M2631"/>
      <x:c r="N2631"/>
      <x:c r="O2631"/>
      <x:c r="P2631"/>
    </x:row>
    <x:row r="2632">
      <x:c r="A2632"/>
      <x:c r="B2632"/>
      <x:c r="C2632"/>
      <x:c r="D2632"/>
      <x:c r="E2632"/>
      <x:c r="F2632"/>
      <x:c r="G2632" s="56"/>
      <x:c r="H2632"/>
      <x:c r="I2632"/>
      <x:c r="J2632"/>
      <x:c r="K2632"/>
      <x:c r="L2632"/>
      <x:c r="M2632"/>
      <x:c r="N2632"/>
      <x:c r="O2632"/>
      <x:c r="P2632"/>
    </x:row>
    <x:row r="2633">
      <x:c r="A2633"/>
      <x:c r="B2633"/>
      <x:c r="C2633"/>
      <x:c r="D2633"/>
      <x:c r="E2633"/>
      <x:c r="F2633"/>
      <x:c r="G2633" s="56"/>
      <x:c r="H2633"/>
      <x:c r="I2633"/>
      <x:c r="J2633"/>
      <x:c r="K2633"/>
      <x:c r="L2633"/>
      <x:c r="M2633"/>
      <x:c r="N2633"/>
      <x:c r="O2633"/>
      <x:c r="P2633"/>
    </x:row>
    <x:row r="2634">
      <x:c r="A2634"/>
      <x:c r="B2634"/>
      <x:c r="C2634"/>
      <x:c r="D2634"/>
      <x:c r="E2634"/>
      <x:c r="F2634"/>
      <x:c r="G2634" s="56"/>
      <x:c r="H2634"/>
      <x:c r="I2634"/>
      <x:c r="J2634"/>
      <x:c r="K2634"/>
      <x:c r="L2634"/>
      <x:c r="M2634"/>
      <x:c r="N2634"/>
      <x:c r="O2634"/>
      <x:c r="P2634"/>
    </x:row>
    <x:row r="2635">
      <x:c r="A2635"/>
      <x:c r="B2635"/>
      <x:c r="C2635"/>
      <x:c r="D2635"/>
      <x:c r="E2635"/>
      <x:c r="F2635"/>
      <x:c r="G2635" s="56"/>
      <x:c r="H2635"/>
      <x:c r="I2635"/>
      <x:c r="J2635"/>
      <x:c r="K2635"/>
      <x:c r="L2635"/>
      <x:c r="M2635"/>
      <x:c r="N2635"/>
      <x:c r="O2635"/>
      <x:c r="P2635"/>
    </x:row>
    <x:row r="2636">
      <x:c r="A2636"/>
      <x:c r="B2636"/>
      <x:c r="C2636"/>
      <x:c r="D2636"/>
      <x:c r="E2636"/>
      <x:c r="F2636"/>
      <x:c r="G2636" s="56"/>
      <x:c r="H2636"/>
      <x:c r="I2636"/>
      <x:c r="J2636"/>
      <x:c r="K2636"/>
      <x:c r="L2636"/>
      <x:c r="M2636"/>
      <x:c r="N2636"/>
      <x:c r="O2636"/>
      <x:c r="P2636"/>
    </x:row>
    <x:row r="2637">
      <x:c r="A2637"/>
      <x:c r="B2637"/>
      <x:c r="C2637"/>
      <x:c r="D2637"/>
      <x:c r="E2637"/>
      <x:c r="F2637"/>
      <x:c r="G2637" s="56"/>
      <x:c r="H2637"/>
      <x:c r="I2637"/>
      <x:c r="J2637"/>
      <x:c r="K2637"/>
      <x:c r="L2637"/>
      <x:c r="M2637"/>
      <x:c r="N2637"/>
      <x:c r="O2637"/>
      <x:c r="P2637"/>
    </x:row>
    <x:row r="2638">
      <x:c r="A2638"/>
      <x:c r="B2638"/>
      <x:c r="C2638"/>
      <x:c r="D2638"/>
      <x:c r="E2638"/>
      <x:c r="F2638"/>
      <x:c r="G2638" s="56"/>
      <x:c r="H2638"/>
      <x:c r="I2638"/>
      <x:c r="J2638"/>
      <x:c r="K2638"/>
      <x:c r="L2638"/>
      <x:c r="M2638"/>
      <x:c r="N2638"/>
      <x:c r="O2638"/>
      <x:c r="P2638"/>
    </x:row>
    <x:row r="2639">
      <x:c r="A2639"/>
      <x:c r="B2639"/>
      <x:c r="C2639"/>
      <x:c r="D2639"/>
      <x:c r="E2639"/>
      <x:c r="F2639"/>
      <x:c r="G2639" s="56"/>
      <x:c r="H2639"/>
      <x:c r="I2639"/>
      <x:c r="J2639"/>
      <x:c r="K2639"/>
      <x:c r="L2639"/>
      <x:c r="M2639"/>
      <x:c r="N2639"/>
      <x:c r="O2639"/>
      <x:c r="P2639"/>
    </x:row>
    <x:row r="2640">
      <x:c r="A2640"/>
      <x:c r="B2640"/>
      <x:c r="C2640"/>
      <x:c r="D2640"/>
      <x:c r="E2640"/>
      <x:c r="F2640"/>
      <x:c r="G2640" s="56"/>
      <x:c r="H2640"/>
      <x:c r="I2640"/>
      <x:c r="J2640"/>
      <x:c r="K2640"/>
      <x:c r="L2640"/>
      <x:c r="M2640"/>
      <x:c r="N2640"/>
      <x:c r="O2640"/>
      <x:c r="P2640"/>
    </x:row>
    <x:row r="2641">
      <x:c r="A2641"/>
      <x:c r="B2641"/>
      <x:c r="C2641"/>
      <x:c r="D2641"/>
      <x:c r="E2641"/>
      <x:c r="F2641"/>
      <x:c r="G2641" s="56"/>
      <x:c r="H2641"/>
      <x:c r="I2641"/>
      <x:c r="J2641"/>
      <x:c r="K2641"/>
      <x:c r="L2641"/>
      <x:c r="M2641"/>
      <x:c r="N2641"/>
      <x:c r="O2641"/>
      <x:c r="P2641"/>
    </x:row>
    <x:row r="2642">
      <x:c r="A2642"/>
      <x:c r="B2642"/>
      <x:c r="C2642"/>
      <x:c r="D2642"/>
      <x:c r="E2642"/>
      <x:c r="F2642"/>
      <x:c r="G2642" s="56"/>
      <x:c r="H2642"/>
      <x:c r="I2642"/>
      <x:c r="J2642"/>
      <x:c r="K2642"/>
      <x:c r="L2642"/>
      <x:c r="M2642"/>
      <x:c r="N2642"/>
      <x:c r="O2642"/>
      <x:c r="P2642"/>
    </x:row>
    <x:row r="2643">
      <x:c r="A2643"/>
      <x:c r="B2643"/>
      <x:c r="C2643"/>
      <x:c r="D2643"/>
      <x:c r="E2643"/>
      <x:c r="F2643"/>
      <x:c r="G2643" s="56"/>
      <x:c r="H2643"/>
      <x:c r="I2643"/>
      <x:c r="J2643"/>
      <x:c r="K2643"/>
      <x:c r="L2643"/>
      <x:c r="M2643"/>
      <x:c r="N2643"/>
      <x:c r="O2643"/>
      <x:c r="P2643"/>
    </x:row>
    <x:row r="2644">
      <x:c r="A2644"/>
      <x:c r="B2644"/>
      <x:c r="C2644"/>
      <x:c r="D2644"/>
      <x:c r="E2644"/>
      <x:c r="F2644"/>
      <x:c r="G2644" s="56"/>
      <x:c r="H2644"/>
      <x:c r="I2644"/>
      <x:c r="J2644"/>
      <x:c r="K2644"/>
      <x:c r="L2644"/>
      <x:c r="M2644"/>
      <x:c r="N2644"/>
      <x:c r="O2644"/>
      <x:c r="P2644"/>
    </x:row>
    <x:row r="2645">
      <x:c r="A2645"/>
      <x:c r="B2645"/>
      <x:c r="C2645"/>
      <x:c r="D2645"/>
      <x:c r="E2645"/>
      <x:c r="F2645"/>
      <x:c r="G2645" s="56"/>
      <x:c r="H2645"/>
      <x:c r="I2645"/>
      <x:c r="J2645"/>
      <x:c r="K2645"/>
      <x:c r="L2645"/>
      <x:c r="M2645"/>
      <x:c r="N2645"/>
      <x:c r="O2645"/>
      <x:c r="P2645"/>
    </x:row>
    <x:row r="2646">
      <x:c r="A2646"/>
      <x:c r="B2646"/>
      <x:c r="C2646"/>
      <x:c r="D2646"/>
      <x:c r="E2646"/>
      <x:c r="F2646"/>
      <x:c r="G2646" s="56"/>
      <x:c r="H2646"/>
      <x:c r="I2646"/>
      <x:c r="J2646"/>
      <x:c r="K2646"/>
      <x:c r="L2646"/>
      <x:c r="M2646"/>
      <x:c r="N2646"/>
      <x:c r="O2646"/>
      <x:c r="P2646"/>
    </x:row>
    <x:row r="2647">
      <x:c r="A2647"/>
      <x:c r="B2647"/>
      <x:c r="C2647"/>
      <x:c r="D2647"/>
      <x:c r="E2647"/>
      <x:c r="F2647"/>
      <x:c r="G2647" s="56"/>
      <x:c r="H2647"/>
      <x:c r="I2647"/>
      <x:c r="J2647"/>
      <x:c r="K2647"/>
      <x:c r="L2647"/>
      <x:c r="M2647"/>
      <x:c r="N2647"/>
      <x:c r="O2647"/>
      <x:c r="P2647"/>
    </x:row>
    <x:row r="2648">
      <x:c r="A2648"/>
      <x:c r="B2648"/>
      <x:c r="C2648"/>
      <x:c r="D2648"/>
      <x:c r="E2648"/>
      <x:c r="F2648"/>
      <x:c r="G2648" s="56"/>
      <x:c r="H2648"/>
      <x:c r="I2648"/>
      <x:c r="J2648"/>
      <x:c r="K2648"/>
      <x:c r="L2648"/>
      <x:c r="M2648"/>
      <x:c r="N2648"/>
      <x:c r="O2648"/>
      <x:c r="P2648"/>
    </x:row>
    <x:row r="2649">
      <x:c r="A2649"/>
      <x:c r="B2649"/>
      <x:c r="C2649"/>
      <x:c r="D2649"/>
      <x:c r="E2649"/>
      <x:c r="F2649"/>
      <x:c r="G2649" s="56"/>
      <x:c r="H2649"/>
      <x:c r="I2649"/>
      <x:c r="J2649"/>
      <x:c r="K2649"/>
      <x:c r="L2649"/>
      <x:c r="M2649"/>
      <x:c r="N2649"/>
      <x:c r="O2649"/>
      <x:c r="P2649"/>
    </x:row>
    <x:row r="2650">
      <x:c r="A2650"/>
      <x:c r="B2650"/>
      <x:c r="C2650"/>
      <x:c r="D2650"/>
      <x:c r="E2650"/>
      <x:c r="F2650"/>
      <x:c r="G2650" s="56"/>
      <x:c r="H2650"/>
      <x:c r="I2650"/>
      <x:c r="J2650"/>
      <x:c r="K2650"/>
      <x:c r="L2650"/>
      <x:c r="M2650"/>
      <x:c r="N2650"/>
      <x:c r="O2650"/>
      <x:c r="P2650"/>
    </x:row>
    <x:row r="2651">
      <x:c r="A2651"/>
      <x:c r="B2651"/>
      <x:c r="C2651"/>
      <x:c r="D2651"/>
      <x:c r="E2651"/>
      <x:c r="F2651"/>
      <x:c r="G2651" s="56"/>
      <x:c r="H2651"/>
      <x:c r="I2651"/>
      <x:c r="J2651"/>
      <x:c r="K2651"/>
      <x:c r="L2651"/>
      <x:c r="M2651"/>
      <x:c r="N2651"/>
      <x:c r="O2651"/>
      <x:c r="P2651"/>
    </x:row>
    <x:row r="2652">
      <x:c r="A2652"/>
      <x:c r="B2652"/>
      <x:c r="C2652"/>
      <x:c r="D2652"/>
      <x:c r="E2652"/>
      <x:c r="F2652"/>
      <x:c r="G2652" s="56"/>
      <x:c r="H2652"/>
      <x:c r="I2652"/>
      <x:c r="J2652"/>
      <x:c r="K2652"/>
      <x:c r="L2652"/>
      <x:c r="M2652"/>
      <x:c r="N2652"/>
      <x:c r="O2652"/>
      <x:c r="P2652"/>
    </x:row>
    <x:row r="2653">
      <x:c r="A2653"/>
      <x:c r="B2653"/>
      <x:c r="C2653"/>
      <x:c r="D2653"/>
      <x:c r="E2653"/>
      <x:c r="F2653"/>
      <x:c r="G2653" s="56"/>
      <x:c r="H2653"/>
      <x:c r="I2653"/>
      <x:c r="J2653"/>
      <x:c r="K2653"/>
      <x:c r="L2653"/>
      <x:c r="M2653"/>
      <x:c r="N2653"/>
      <x:c r="O2653"/>
      <x:c r="P2653"/>
    </x:row>
    <x:row r="2654">
      <x:c r="A2654"/>
      <x:c r="B2654"/>
      <x:c r="C2654"/>
      <x:c r="D2654"/>
      <x:c r="E2654"/>
      <x:c r="F2654"/>
      <x:c r="G2654" s="56"/>
      <x:c r="H2654"/>
      <x:c r="I2654"/>
      <x:c r="J2654"/>
      <x:c r="K2654"/>
      <x:c r="L2654"/>
      <x:c r="M2654"/>
      <x:c r="N2654"/>
      <x:c r="O2654"/>
      <x:c r="P2654"/>
    </x:row>
    <x:row r="2655">
      <x:c r="A2655"/>
      <x:c r="B2655"/>
      <x:c r="C2655"/>
      <x:c r="D2655"/>
      <x:c r="E2655"/>
      <x:c r="F2655"/>
      <x:c r="G2655" s="56"/>
      <x:c r="H2655"/>
      <x:c r="I2655"/>
      <x:c r="J2655"/>
      <x:c r="K2655"/>
      <x:c r="L2655"/>
      <x:c r="M2655"/>
      <x:c r="N2655"/>
      <x:c r="O2655"/>
      <x:c r="P2655"/>
    </x:row>
    <x:row r="2656">
      <x:c r="A2656"/>
      <x:c r="B2656"/>
      <x:c r="C2656"/>
      <x:c r="D2656"/>
      <x:c r="E2656"/>
      <x:c r="F2656"/>
      <x:c r="G2656" s="56"/>
      <x:c r="H2656"/>
      <x:c r="I2656"/>
      <x:c r="J2656"/>
      <x:c r="K2656"/>
      <x:c r="L2656"/>
      <x:c r="M2656"/>
      <x:c r="N2656"/>
      <x:c r="O2656"/>
      <x:c r="P2656"/>
    </x:row>
    <x:row r="2657">
      <x:c r="A2657"/>
      <x:c r="B2657"/>
      <x:c r="C2657"/>
      <x:c r="D2657"/>
      <x:c r="E2657"/>
      <x:c r="F2657"/>
      <x:c r="G2657" s="56"/>
      <x:c r="H2657"/>
      <x:c r="I2657"/>
      <x:c r="J2657"/>
      <x:c r="K2657"/>
      <x:c r="L2657"/>
      <x:c r="M2657"/>
      <x:c r="N2657"/>
      <x:c r="O2657"/>
      <x:c r="P2657"/>
    </x:row>
    <x:row r="2658">
      <x:c r="A2658"/>
      <x:c r="B2658"/>
      <x:c r="C2658"/>
      <x:c r="D2658"/>
      <x:c r="E2658"/>
      <x:c r="F2658"/>
      <x:c r="G2658" s="56"/>
      <x:c r="H2658"/>
      <x:c r="I2658"/>
      <x:c r="J2658"/>
      <x:c r="K2658"/>
      <x:c r="L2658"/>
      <x:c r="M2658"/>
      <x:c r="N2658"/>
      <x:c r="O2658"/>
      <x:c r="P2658"/>
    </x:row>
    <x:row r="2659">
      <x:c r="A2659"/>
      <x:c r="B2659"/>
      <x:c r="C2659"/>
      <x:c r="D2659"/>
      <x:c r="E2659"/>
      <x:c r="F2659"/>
      <x:c r="G2659" s="56"/>
      <x:c r="H2659"/>
      <x:c r="I2659"/>
      <x:c r="J2659"/>
      <x:c r="K2659"/>
      <x:c r="L2659"/>
      <x:c r="M2659"/>
      <x:c r="N2659"/>
      <x:c r="O2659"/>
      <x:c r="P2659"/>
    </x:row>
    <x:row r="2660">
      <x:c r="A2660"/>
      <x:c r="B2660"/>
      <x:c r="C2660"/>
      <x:c r="D2660"/>
      <x:c r="E2660"/>
      <x:c r="F2660"/>
      <x:c r="G2660" s="56"/>
      <x:c r="H2660"/>
      <x:c r="I2660"/>
      <x:c r="J2660"/>
      <x:c r="K2660"/>
      <x:c r="L2660"/>
      <x:c r="M2660"/>
      <x:c r="N2660"/>
      <x:c r="O2660"/>
      <x:c r="P2660"/>
    </x:row>
    <x:row r="2661">
      <x:c r="A2661"/>
      <x:c r="B2661"/>
      <x:c r="C2661"/>
      <x:c r="D2661"/>
      <x:c r="E2661"/>
      <x:c r="F2661"/>
      <x:c r="G2661" s="56"/>
      <x:c r="H2661"/>
      <x:c r="I2661"/>
      <x:c r="J2661"/>
      <x:c r="K2661"/>
      <x:c r="L2661"/>
      <x:c r="M2661"/>
      <x:c r="N2661"/>
      <x:c r="O2661"/>
      <x:c r="P2661"/>
    </x:row>
    <x:row r="2662">
      <x:c r="A2662"/>
      <x:c r="B2662"/>
      <x:c r="C2662"/>
      <x:c r="D2662"/>
      <x:c r="E2662"/>
      <x:c r="F2662"/>
      <x:c r="G2662" s="56"/>
      <x:c r="H2662"/>
      <x:c r="I2662"/>
      <x:c r="J2662"/>
      <x:c r="K2662"/>
      <x:c r="L2662"/>
      <x:c r="M2662"/>
      <x:c r="N2662"/>
      <x:c r="O2662"/>
      <x:c r="P2662"/>
    </x:row>
    <x:row r="2663">
      <x:c r="A2663"/>
      <x:c r="B2663"/>
      <x:c r="C2663"/>
      <x:c r="D2663"/>
      <x:c r="E2663"/>
      <x:c r="F2663"/>
      <x:c r="G2663" s="56"/>
      <x:c r="H2663"/>
      <x:c r="I2663"/>
      <x:c r="J2663"/>
      <x:c r="K2663"/>
      <x:c r="L2663"/>
      <x:c r="M2663"/>
      <x:c r="N2663"/>
      <x:c r="O2663"/>
      <x:c r="P2663"/>
    </x:row>
    <x:row r="2664">
      <x:c r="A2664"/>
      <x:c r="B2664"/>
      <x:c r="C2664"/>
      <x:c r="D2664"/>
      <x:c r="E2664"/>
      <x:c r="F2664"/>
      <x:c r="G2664" s="56"/>
      <x:c r="H2664"/>
      <x:c r="I2664"/>
      <x:c r="J2664"/>
      <x:c r="K2664"/>
      <x:c r="L2664"/>
      <x:c r="M2664"/>
      <x:c r="N2664"/>
      <x:c r="O2664"/>
      <x:c r="P2664"/>
    </x:row>
    <x:row r="2665">
      <x:c r="A2665"/>
      <x:c r="B2665"/>
      <x:c r="C2665"/>
      <x:c r="D2665"/>
      <x:c r="E2665"/>
      <x:c r="F2665"/>
      <x:c r="G2665" s="56"/>
      <x:c r="H2665"/>
      <x:c r="I2665"/>
      <x:c r="J2665"/>
      <x:c r="K2665"/>
      <x:c r="L2665"/>
      <x:c r="M2665"/>
      <x:c r="N2665"/>
      <x:c r="O2665"/>
      <x:c r="P2665"/>
    </x:row>
    <x:row r="2666">
      <x:c r="A2666"/>
      <x:c r="B2666"/>
      <x:c r="C2666"/>
      <x:c r="D2666"/>
      <x:c r="E2666"/>
      <x:c r="F2666"/>
      <x:c r="G2666" s="56"/>
      <x:c r="H2666"/>
      <x:c r="I2666"/>
      <x:c r="J2666"/>
      <x:c r="K2666"/>
      <x:c r="L2666"/>
      <x:c r="M2666"/>
      <x:c r="N2666"/>
      <x:c r="O2666"/>
      <x:c r="P2666"/>
    </x:row>
    <x:row r="2667">
      <x:c r="A2667"/>
      <x:c r="B2667"/>
      <x:c r="C2667"/>
      <x:c r="D2667"/>
      <x:c r="E2667"/>
      <x:c r="F2667"/>
      <x:c r="G2667" s="56"/>
      <x:c r="H2667"/>
      <x:c r="I2667"/>
      <x:c r="J2667"/>
      <x:c r="K2667"/>
      <x:c r="L2667"/>
      <x:c r="M2667"/>
      <x:c r="N2667"/>
      <x:c r="O2667"/>
      <x:c r="P2667"/>
    </x:row>
    <x:row r="2668">
      <x:c r="A2668"/>
      <x:c r="B2668"/>
      <x:c r="C2668"/>
      <x:c r="D2668"/>
      <x:c r="E2668"/>
      <x:c r="F2668"/>
      <x:c r="G2668" s="56"/>
      <x:c r="H2668"/>
      <x:c r="I2668"/>
      <x:c r="J2668"/>
      <x:c r="K2668"/>
      <x:c r="L2668"/>
      <x:c r="M2668"/>
      <x:c r="N2668"/>
      <x:c r="O2668"/>
      <x:c r="P2668"/>
    </x:row>
    <x:row r="2669">
      <x:c r="A2669"/>
      <x:c r="B2669"/>
      <x:c r="C2669"/>
      <x:c r="D2669"/>
      <x:c r="E2669"/>
      <x:c r="F2669"/>
      <x:c r="G2669" s="56"/>
      <x:c r="H2669"/>
      <x:c r="I2669"/>
      <x:c r="J2669"/>
      <x:c r="K2669"/>
      <x:c r="L2669"/>
      <x:c r="M2669"/>
      <x:c r="N2669"/>
      <x:c r="O2669"/>
      <x:c r="P2669"/>
    </x:row>
    <x:row r="2670">
      <x:c r="A2670"/>
      <x:c r="B2670"/>
      <x:c r="C2670"/>
      <x:c r="D2670"/>
      <x:c r="E2670"/>
      <x:c r="F2670"/>
      <x:c r="G2670" s="56"/>
      <x:c r="H2670"/>
      <x:c r="I2670"/>
      <x:c r="J2670"/>
      <x:c r="K2670"/>
      <x:c r="L2670"/>
      <x:c r="M2670"/>
      <x:c r="N2670"/>
      <x:c r="O2670"/>
      <x:c r="P2670"/>
    </x:row>
    <x:row r="2671">
      <x:c r="A2671"/>
      <x:c r="B2671"/>
      <x:c r="C2671"/>
      <x:c r="D2671"/>
      <x:c r="E2671"/>
      <x:c r="F2671"/>
      <x:c r="G2671" s="56"/>
      <x:c r="H2671"/>
      <x:c r="I2671"/>
      <x:c r="J2671"/>
      <x:c r="K2671"/>
      <x:c r="L2671"/>
      <x:c r="M2671"/>
      <x:c r="N2671"/>
      <x:c r="O2671"/>
      <x:c r="P2671"/>
    </x:row>
    <x:row r="2672">
      <x:c r="A2672"/>
      <x:c r="B2672"/>
      <x:c r="C2672"/>
      <x:c r="D2672"/>
      <x:c r="E2672"/>
      <x:c r="F2672"/>
      <x:c r="G2672" s="56"/>
      <x:c r="H2672"/>
      <x:c r="I2672"/>
      <x:c r="J2672"/>
      <x:c r="K2672"/>
      <x:c r="L2672"/>
      <x:c r="M2672"/>
      <x:c r="N2672"/>
      <x:c r="O2672"/>
      <x:c r="P2672"/>
    </x:row>
    <x:row r="2673">
      <x:c r="A2673"/>
      <x:c r="B2673"/>
      <x:c r="C2673"/>
      <x:c r="D2673"/>
      <x:c r="E2673"/>
      <x:c r="F2673"/>
      <x:c r="G2673" s="56"/>
      <x:c r="H2673"/>
      <x:c r="I2673"/>
      <x:c r="J2673"/>
      <x:c r="K2673"/>
      <x:c r="L2673"/>
      <x:c r="M2673"/>
      <x:c r="N2673"/>
      <x:c r="O2673"/>
      <x:c r="P2673"/>
    </x:row>
    <x:row r="2674">
      <x:c r="A2674"/>
      <x:c r="B2674"/>
      <x:c r="C2674"/>
      <x:c r="D2674"/>
      <x:c r="E2674"/>
      <x:c r="F2674"/>
      <x:c r="G2674" s="56"/>
      <x:c r="H2674"/>
      <x:c r="I2674"/>
      <x:c r="J2674"/>
      <x:c r="K2674"/>
      <x:c r="L2674"/>
      <x:c r="M2674"/>
      <x:c r="N2674"/>
      <x:c r="O2674"/>
      <x:c r="P2674"/>
    </x:row>
    <x:row r="2675">
      <x:c r="A2675"/>
      <x:c r="B2675"/>
      <x:c r="C2675"/>
      <x:c r="D2675"/>
      <x:c r="E2675"/>
      <x:c r="F2675"/>
      <x:c r="G2675" s="56"/>
      <x:c r="H2675"/>
      <x:c r="I2675"/>
      <x:c r="J2675"/>
      <x:c r="K2675"/>
      <x:c r="L2675"/>
      <x:c r="M2675"/>
      <x:c r="N2675"/>
      <x:c r="O2675"/>
      <x:c r="P2675"/>
    </x:row>
    <x:row r="2676">
      <x:c r="A2676"/>
      <x:c r="B2676"/>
      <x:c r="C2676"/>
      <x:c r="D2676"/>
      <x:c r="E2676"/>
      <x:c r="F2676"/>
      <x:c r="G2676" s="56"/>
      <x:c r="H2676"/>
      <x:c r="I2676"/>
      <x:c r="J2676"/>
      <x:c r="K2676"/>
      <x:c r="L2676"/>
      <x:c r="M2676"/>
      <x:c r="N2676"/>
      <x:c r="O2676"/>
      <x:c r="P2676"/>
    </x:row>
    <x:row r="2677">
      <x:c r="A2677"/>
      <x:c r="B2677"/>
      <x:c r="C2677"/>
      <x:c r="D2677"/>
      <x:c r="E2677"/>
      <x:c r="F2677"/>
      <x:c r="G2677" s="56"/>
      <x:c r="H2677"/>
      <x:c r="I2677"/>
      <x:c r="J2677"/>
      <x:c r="K2677"/>
      <x:c r="L2677"/>
      <x:c r="M2677"/>
      <x:c r="N2677"/>
      <x:c r="O2677"/>
      <x:c r="P2677"/>
    </x:row>
    <x:row r="2678">
      <x:c r="A2678"/>
      <x:c r="B2678"/>
      <x:c r="C2678"/>
      <x:c r="D2678"/>
      <x:c r="E2678"/>
      <x:c r="F2678"/>
      <x:c r="G2678" s="56"/>
      <x:c r="H2678"/>
      <x:c r="I2678"/>
      <x:c r="J2678"/>
      <x:c r="K2678"/>
      <x:c r="L2678"/>
      <x:c r="M2678"/>
      <x:c r="N2678"/>
      <x:c r="O2678"/>
      <x:c r="P2678"/>
    </x:row>
    <x:row r="2679">
      <x:c r="A2679"/>
      <x:c r="B2679"/>
      <x:c r="C2679"/>
      <x:c r="D2679"/>
      <x:c r="E2679"/>
      <x:c r="F2679"/>
      <x:c r="G2679" s="56"/>
      <x:c r="H2679"/>
      <x:c r="I2679"/>
      <x:c r="J2679"/>
      <x:c r="K2679"/>
      <x:c r="L2679"/>
      <x:c r="M2679"/>
      <x:c r="N2679"/>
      <x:c r="O2679"/>
      <x:c r="P2679"/>
    </x:row>
    <x:row r="2680">
      <x:c r="A2680"/>
      <x:c r="B2680"/>
      <x:c r="C2680"/>
      <x:c r="D2680"/>
      <x:c r="E2680"/>
      <x:c r="F2680"/>
      <x:c r="G2680" s="56"/>
      <x:c r="H2680"/>
      <x:c r="I2680"/>
      <x:c r="J2680"/>
      <x:c r="K2680"/>
      <x:c r="L2680"/>
      <x:c r="M2680"/>
      <x:c r="N2680"/>
      <x:c r="O2680"/>
      <x:c r="P2680"/>
    </x:row>
    <x:row r="2681">
      <x:c r="A2681"/>
      <x:c r="B2681"/>
      <x:c r="C2681"/>
      <x:c r="D2681"/>
      <x:c r="E2681"/>
      <x:c r="F2681"/>
      <x:c r="G2681" s="56"/>
      <x:c r="H2681"/>
      <x:c r="I2681"/>
      <x:c r="J2681"/>
      <x:c r="K2681"/>
      <x:c r="L2681"/>
      <x:c r="M2681"/>
      <x:c r="N2681"/>
      <x:c r="O2681"/>
      <x:c r="P2681"/>
    </x:row>
    <x:row r="2682">
      <x:c r="A2682"/>
      <x:c r="B2682"/>
      <x:c r="C2682"/>
      <x:c r="D2682"/>
      <x:c r="E2682"/>
      <x:c r="F2682"/>
      <x:c r="G2682" s="56"/>
      <x:c r="H2682"/>
      <x:c r="I2682"/>
      <x:c r="J2682"/>
      <x:c r="K2682"/>
      <x:c r="L2682"/>
      <x:c r="M2682"/>
      <x:c r="N2682"/>
      <x:c r="O2682"/>
      <x:c r="P2682"/>
    </x:row>
    <x:row r="2683">
      <x:c r="A2683"/>
      <x:c r="B2683"/>
      <x:c r="C2683"/>
      <x:c r="D2683"/>
      <x:c r="E2683"/>
      <x:c r="F2683"/>
      <x:c r="G2683" s="56"/>
      <x:c r="H2683"/>
      <x:c r="I2683"/>
      <x:c r="J2683"/>
      <x:c r="K2683"/>
      <x:c r="L2683"/>
      <x:c r="M2683"/>
      <x:c r="N2683"/>
      <x:c r="O2683"/>
      <x:c r="P2683"/>
    </x:row>
    <x:row r="2684">
      <x:c r="A2684"/>
      <x:c r="B2684"/>
      <x:c r="C2684"/>
      <x:c r="D2684"/>
      <x:c r="E2684"/>
      <x:c r="F2684"/>
      <x:c r="G2684" s="56"/>
      <x:c r="H2684"/>
      <x:c r="I2684"/>
      <x:c r="J2684"/>
      <x:c r="K2684"/>
      <x:c r="L2684"/>
      <x:c r="M2684"/>
      <x:c r="N2684"/>
      <x:c r="O2684"/>
      <x:c r="P2684"/>
    </x:row>
    <x:row r="2685">
      <x:c r="A2685"/>
      <x:c r="B2685"/>
      <x:c r="C2685"/>
      <x:c r="D2685"/>
      <x:c r="E2685"/>
      <x:c r="F2685"/>
      <x:c r="G2685" s="56"/>
      <x:c r="H2685"/>
      <x:c r="I2685"/>
      <x:c r="J2685"/>
      <x:c r="K2685"/>
      <x:c r="L2685"/>
      <x:c r="M2685"/>
      <x:c r="N2685"/>
      <x:c r="O2685"/>
      <x:c r="P2685"/>
    </x:row>
    <x:row r="2686">
      <x:c r="A2686"/>
      <x:c r="B2686"/>
      <x:c r="C2686"/>
      <x:c r="D2686"/>
      <x:c r="E2686"/>
      <x:c r="F2686"/>
      <x:c r="G2686" s="56"/>
      <x:c r="H2686"/>
      <x:c r="I2686"/>
      <x:c r="J2686"/>
      <x:c r="K2686"/>
      <x:c r="L2686"/>
      <x:c r="M2686"/>
      <x:c r="N2686"/>
      <x:c r="O2686"/>
      <x:c r="P2686"/>
    </x:row>
    <x:row r="2687">
      <x:c r="A2687"/>
      <x:c r="B2687"/>
      <x:c r="C2687"/>
      <x:c r="D2687"/>
      <x:c r="E2687"/>
      <x:c r="F2687"/>
      <x:c r="G2687" s="56"/>
      <x:c r="H2687"/>
      <x:c r="I2687"/>
      <x:c r="J2687"/>
      <x:c r="K2687"/>
      <x:c r="L2687"/>
      <x:c r="M2687"/>
      <x:c r="N2687"/>
      <x:c r="O2687"/>
      <x:c r="P2687"/>
    </x:row>
    <x:row r="2688">
      <x:c r="A2688"/>
      <x:c r="B2688"/>
      <x:c r="C2688"/>
      <x:c r="D2688"/>
      <x:c r="E2688"/>
      <x:c r="F2688"/>
      <x:c r="G2688" s="56"/>
      <x:c r="H2688"/>
      <x:c r="I2688"/>
      <x:c r="J2688"/>
      <x:c r="K2688"/>
      <x:c r="L2688"/>
      <x:c r="M2688"/>
      <x:c r="N2688"/>
      <x:c r="O2688"/>
      <x:c r="P2688"/>
    </x:row>
    <x:row r="2689">
      <x:c r="A2689"/>
      <x:c r="B2689"/>
      <x:c r="C2689"/>
      <x:c r="D2689"/>
      <x:c r="E2689"/>
      <x:c r="F2689"/>
      <x:c r="G2689" s="56"/>
      <x:c r="H2689"/>
      <x:c r="I2689"/>
      <x:c r="J2689"/>
      <x:c r="K2689"/>
      <x:c r="L2689"/>
      <x:c r="M2689"/>
      <x:c r="N2689"/>
      <x:c r="O2689"/>
      <x:c r="P2689"/>
    </x:row>
    <x:row r="2690">
      <x:c r="A2690"/>
      <x:c r="B2690"/>
      <x:c r="C2690"/>
      <x:c r="D2690"/>
      <x:c r="E2690"/>
      <x:c r="F2690"/>
      <x:c r="G2690" s="56"/>
      <x:c r="H2690"/>
      <x:c r="I2690"/>
      <x:c r="J2690"/>
      <x:c r="K2690"/>
      <x:c r="L2690"/>
      <x:c r="M2690"/>
      <x:c r="N2690"/>
      <x:c r="O2690"/>
      <x:c r="P2690"/>
    </x:row>
    <x:row r="2691">
      <x:c r="A2691"/>
      <x:c r="B2691"/>
      <x:c r="C2691"/>
      <x:c r="D2691"/>
      <x:c r="E2691"/>
      <x:c r="F2691"/>
      <x:c r="G2691" s="56"/>
      <x:c r="H2691"/>
      <x:c r="I2691"/>
      <x:c r="J2691"/>
      <x:c r="K2691"/>
      <x:c r="L2691"/>
      <x:c r="M2691"/>
      <x:c r="N2691"/>
      <x:c r="O2691"/>
      <x:c r="P2691"/>
    </x:row>
    <x:row r="2692">
      <x:c r="A2692"/>
      <x:c r="B2692"/>
      <x:c r="C2692"/>
      <x:c r="D2692"/>
      <x:c r="E2692"/>
      <x:c r="F2692"/>
      <x:c r="G2692" s="56"/>
      <x:c r="H2692"/>
      <x:c r="I2692"/>
      <x:c r="J2692"/>
      <x:c r="K2692"/>
      <x:c r="L2692"/>
      <x:c r="M2692"/>
      <x:c r="N2692"/>
      <x:c r="O2692"/>
      <x:c r="P2692"/>
    </x:row>
    <x:row r="2693">
      <x:c r="A2693"/>
      <x:c r="B2693"/>
      <x:c r="C2693"/>
      <x:c r="D2693"/>
      <x:c r="E2693"/>
      <x:c r="F2693"/>
      <x:c r="G2693" s="56"/>
      <x:c r="H2693"/>
      <x:c r="I2693"/>
      <x:c r="J2693"/>
      <x:c r="K2693"/>
      <x:c r="L2693"/>
      <x:c r="M2693"/>
      <x:c r="N2693"/>
      <x:c r="O2693"/>
      <x:c r="P2693"/>
    </x:row>
    <x:row r="2694">
      <x:c r="A2694"/>
      <x:c r="B2694"/>
      <x:c r="C2694"/>
      <x:c r="D2694"/>
      <x:c r="E2694"/>
      <x:c r="F2694"/>
      <x:c r="G2694" s="56"/>
      <x:c r="H2694"/>
      <x:c r="I2694"/>
      <x:c r="J2694"/>
      <x:c r="K2694"/>
      <x:c r="L2694"/>
      <x:c r="M2694"/>
      <x:c r="N2694"/>
      <x:c r="O2694"/>
      <x:c r="P2694"/>
    </x:row>
    <x:row r="2695">
      <x:c r="A2695"/>
      <x:c r="B2695"/>
      <x:c r="C2695"/>
      <x:c r="D2695"/>
      <x:c r="E2695"/>
      <x:c r="F2695"/>
      <x:c r="G2695" s="56"/>
      <x:c r="H2695"/>
      <x:c r="I2695"/>
      <x:c r="J2695"/>
      <x:c r="K2695"/>
      <x:c r="L2695"/>
      <x:c r="M2695"/>
      <x:c r="N2695"/>
      <x:c r="O2695"/>
      <x:c r="P2695"/>
    </x:row>
    <x:row r="2696">
      <x:c r="A2696"/>
      <x:c r="B2696"/>
      <x:c r="C2696"/>
      <x:c r="D2696"/>
      <x:c r="E2696"/>
      <x:c r="F2696"/>
      <x:c r="G2696" s="56"/>
      <x:c r="H2696"/>
      <x:c r="I2696"/>
      <x:c r="J2696"/>
      <x:c r="K2696"/>
      <x:c r="L2696"/>
      <x:c r="M2696"/>
      <x:c r="N2696"/>
      <x:c r="O2696"/>
      <x:c r="P2696"/>
    </x:row>
    <x:row r="2697">
      <x:c r="A2697"/>
      <x:c r="B2697"/>
      <x:c r="C2697"/>
      <x:c r="D2697"/>
      <x:c r="E2697"/>
      <x:c r="F2697"/>
      <x:c r="G2697" s="56"/>
      <x:c r="H2697"/>
      <x:c r="I2697"/>
      <x:c r="J2697"/>
      <x:c r="K2697"/>
      <x:c r="L2697"/>
      <x:c r="M2697"/>
      <x:c r="N2697"/>
      <x:c r="O2697"/>
      <x:c r="P2697"/>
    </x:row>
    <x:row r="2698">
      <x:c r="A2698"/>
      <x:c r="B2698"/>
      <x:c r="C2698"/>
      <x:c r="D2698"/>
      <x:c r="E2698"/>
      <x:c r="F2698"/>
      <x:c r="G2698" s="56"/>
      <x:c r="H2698"/>
      <x:c r="I2698"/>
      <x:c r="J2698"/>
      <x:c r="K2698"/>
      <x:c r="L2698"/>
      <x:c r="M2698"/>
      <x:c r="N2698"/>
      <x:c r="O2698"/>
      <x:c r="P2698"/>
    </x:row>
    <x:row r="2699">
      <x:c r="A2699"/>
      <x:c r="B2699"/>
      <x:c r="C2699"/>
      <x:c r="D2699"/>
      <x:c r="E2699"/>
      <x:c r="F2699"/>
      <x:c r="G2699" s="56"/>
      <x:c r="H2699"/>
      <x:c r="I2699"/>
      <x:c r="J2699"/>
      <x:c r="K2699"/>
      <x:c r="L2699"/>
      <x:c r="M2699"/>
      <x:c r="N2699"/>
      <x:c r="O2699"/>
      <x:c r="P2699"/>
    </x:row>
    <x:row r="2700">
      <x:c r="A2700"/>
      <x:c r="B2700"/>
      <x:c r="C2700"/>
      <x:c r="D2700"/>
      <x:c r="E2700"/>
      <x:c r="F2700"/>
      <x:c r="G2700" s="56"/>
      <x:c r="H2700"/>
      <x:c r="I2700"/>
      <x:c r="J2700"/>
      <x:c r="K2700"/>
      <x:c r="L2700"/>
      <x:c r="M2700"/>
      <x:c r="N2700"/>
      <x:c r="O2700"/>
      <x:c r="P2700"/>
    </x:row>
    <x:row r="2701">
      <x:c r="A2701"/>
      <x:c r="B2701"/>
      <x:c r="C2701"/>
      <x:c r="D2701"/>
      <x:c r="E2701"/>
      <x:c r="F2701"/>
      <x:c r="G2701" s="56"/>
      <x:c r="H2701"/>
      <x:c r="I2701"/>
      <x:c r="J2701"/>
      <x:c r="K2701"/>
      <x:c r="L2701"/>
      <x:c r="M2701"/>
      <x:c r="N2701"/>
      <x:c r="O2701"/>
      <x:c r="P2701"/>
    </x:row>
    <x:row r="2702">
      <x:c r="A2702"/>
      <x:c r="B2702"/>
      <x:c r="C2702"/>
      <x:c r="D2702"/>
      <x:c r="E2702"/>
      <x:c r="F2702"/>
      <x:c r="G2702" s="56"/>
      <x:c r="H2702"/>
      <x:c r="I2702"/>
      <x:c r="J2702"/>
      <x:c r="K2702"/>
      <x:c r="L2702"/>
      <x:c r="M2702"/>
      <x:c r="N2702"/>
      <x:c r="O2702"/>
      <x:c r="P2702"/>
    </x:row>
    <x:row r="2703">
      <x:c r="A2703"/>
      <x:c r="B2703"/>
      <x:c r="C2703"/>
      <x:c r="D2703"/>
      <x:c r="E2703"/>
      <x:c r="F2703"/>
      <x:c r="G2703" s="56"/>
      <x:c r="H2703"/>
      <x:c r="I2703"/>
      <x:c r="J2703"/>
      <x:c r="K2703"/>
      <x:c r="L2703"/>
      <x:c r="M2703"/>
      <x:c r="N2703"/>
      <x:c r="O2703"/>
      <x:c r="P2703"/>
    </x:row>
    <x:row r="2704">
      <x:c r="A2704"/>
      <x:c r="B2704"/>
      <x:c r="C2704"/>
      <x:c r="D2704"/>
      <x:c r="E2704"/>
      <x:c r="F2704"/>
      <x:c r="G2704" s="56"/>
      <x:c r="H2704"/>
      <x:c r="I2704"/>
      <x:c r="J2704"/>
      <x:c r="K2704"/>
      <x:c r="L2704"/>
      <x:c r="M2704"/>
      <x:c r="N2704"/>
      <x:c r="O2704"/>
      <x:c r="P2704"/>
    </x:row>
    <x:row r="2705">
      <x:c r="A2705"/>
      <x:c r="B2705"/>
      <x:c r="C2705"/>
      <x:c r="D2705"/>
      <x:c r="E2705"/>
      <x:c r="F2705"/>
      <x:c r="G2705" s="56"/>
      <x:c r="H2705"/>
      <x:c r="I2705"/>
      <x:c r="J2705"/>
      <x:c r="K2705"/>
      <x:c r="L2705"/>
      <x:c r="M2705"/>
      <x:c r="N2705"/>
      <x:c r="O2705"/>
      <x:c r="P2705"/>
    </x:row>
    <x:row r="2706">
      <x:c r="A2706"/>
      <x:c r="B2706"/>
      <x:c r="C2706"/>
      <x:c r="D2706"/>
      <x:c r="E2706"/>
      <x:c r="F2706"/>
      <x:c r="G2706" s="56"/>
      <x:c r="H2706"/>
      <x:c r="I2706"/>
      <x:c r="J2706"/>
      <x:c r="K2706"/>
      <x:c r="L2706"/>
      <x:c r="M2706"/>
      <x:c r="N2706"/>
      <x:c r="O2706"/>
      <x:c r="P2706"/>
    </x:row>
    <x:row r="2707">
      <x:c r="A2707"/>
      <x:c r="B2707"/>
      <x:c r="C2707"/>
      <x:c r="D2707"/>
      <x:c r="E2707"/>
      <x:c r="F2707"/>
      <x:c r="G2707" s="56"/>
      <x:c r="H2707"/>
      <x:c r="I2707"/>
      <x:c r="J2707"/>
      <x:c r="K2707"/>
      <x:c r="L2707"/>
      <x:c r="M2707"/>
      <x:c r="N2707"/>
      <x:c r="O2707"/>
      <x:c r="P2707"/>
    </x:row>
    <x:row r="2708">
      <x:c r="A2708"/>
      <x:c r="B2708"/>
      <x:c r="C2708"/>
      <x:c r="D2708"/>
      <x:c r="E2708"/>
      <x:c r="F2708"/>
      <x:c r="G2708" s="56"/>
      <x:c r="H2708"/>
      <x:c r="I2708"/>
      <x:c r="J2708"/>
      <x:c r="K2708"/>
      <x:c r="L2708"/>
      <x:c r="M2708"/>
      <x:c r="N2708"/>
      <x:c r="O2708"/>
      <x:c r="P2708"/>
    </x:row>
    <x:row r="2709">
      <x:c r="A2709"/>
      <x:c r="B2709"/>
      <x:c r="C2709"/>
      <x:c r="D2709"/>
      <x:c r="E2709"/>
      <x:c r="F2709"/>
      <x:c r="G2709" s="56"/>
      <x:c r="H2709"/>
      <x:c r="I2709"/>
      <x:c r="J2709"/>
      <x:c r="K2709"/>
      <x:c r="L2709"/>
      <x:c r="M2709"/>
      <x:c r="N2709"/>
      <x:c r="O2709"/>
      <x:c r="P2709"/>
    </x:row>
    <x:row r="2710">
      <x:c r="A2710"/>
      <x:c r="B2710"/>
      <x:c r="C2710"/>
      <x:c r="D2710"/>
      <x:c r="E2710"/>
      <x:c r="F2710"/>
      <x:c r="G2710" s="56"/>
      <x:c r="H2710"/>
      <x:c r="I2710"/>
      <x:c r="J2710"/>
      <x:c r="K2710"/>
      <x:c r="L2710"/>
      <x:c r="M2710"/>
      <x:c r="N2710"/>
      <x:c r="O2710"/>
      <x:c r="P2710"/>
    </x:row>
    <x:row r="2711">
      <x:c r="A2711"/>
      <x:c r="B2711"/>
      <x:c r="C2711"/>
      <x:c r="D2711"/>
      <x:c r="E2711"/>
      <x:c r="F2711"/>
      <x:c r="G2711" s="56"/>
      <x:c r="H2711"/>
      <x:c r="I2711"/>
      <x:c r="J2711"/>
      <x:c r="K2711"/>
      <x:c r="L2711"/>
      <x:c r="M2711"/>
      <x:c r="N2711"/>
      <x:c r="O2711"/>
      <x:c r="P2711"/>
    </x:row>
    <x:row r="2712">
      <x:c r="A2712"/>
      <x:c r="B2712"/>
      <x:c r="C2712"/>
      <x:c r="D2712"/>
      <x:c r="E2712"/>
      <x:c r="F2712"/>
      <x:c r="G2712" s="56"/>
      <x:c r="H2712"/>
      <x:c r="I2712"/>
      <x:c r="J2712"/>
      <x:c r="K2712"/>
      <x:c r="L2712"/>
      <x:c r="M2712"/>
      <x:c r="N2712"/>
      <x:c r="O2712"/>
      <x:c r="P2712"/>
    </x:row>
    <x:row r="2713">
      <x:c r="A2713"/>
      <x:c r="B2713"/>
      <x:c r="C2713"/>
      <x:c r="D2713"/>
      <x:c r="E2713"/>
      <x:c r="F2713"/>
      <x:c r="G2713" s="56"/>
      <x:c r="H2713"/>
      <x:c r="I2713"/>
      <x:c r="J2713"/>
      <x:c r="K2713"/>
      <x:c r="L2713"/>
      <x:c r="M2713"/>
      <x:c r="N2713"/>
      <x:c r="O2713"/>
      <x:c r="P2713"/>
    </x:row>
    <x:row r="2714">
      <x:c r="A2714"/>
      <x:c r="B2714"/>
      <x:c r="C2714"/>
      <x:c r="D2714"/>
      <x:c r="E2714"/>
      <x:c r="F2714"/>
      <x:c r="G2714" s="56"/>
      <x:c r="H2714"/>
      <x:c r="I2714"/>
      <x:c r="J2714"/>
      <x:c r="K2714"/>
      <x:c r="L2714"/>
      <x:c r="M2714"/>
      <x:c r="N2714"/>
      <x:c r="O2714"/>
      <x:c r="P2714"/>
    </x:row>
    <x:row r="2715">
      <x:c r="A2715"/>
      <x:c r="B2715"/>
      <x:c r="C2715"/>
      <x:c r="D2715"/>
      <x:c r="E2715"/>
      <x:c r="F2715"/>
      <x:c r="G2715" s="56"/>
      <x:c r="H2715"/>
      <x:c r="I2715"/>
      <x:c r="J2715"/>
      <x:c r="K2715"/>
      <x:c r="L2715"/>
      <x:c r="M2715"/>
      <x:c r="N2715"/>
      <x:c r="O2715"/>
      <x:c r="P2715"/>
    </x:row>
    <x:row r="2716">
      <x:c r="A2716"/>
      <x:c r="B2716"/>
      <x:c r="C2716"/>
      <x:c r="D2716"/>
      <x:c r="E2716"/>
      <x:c r="F2716"/>
      <x:c r="G2716" s="56"/>
      <x:c r="H2716"/>
      <x:c r="I2716"/>
      <x:c r="J2716"/>
      <x:c r="K2716"/>
      <x:c r="L2716"/>
      <x:c r="M2716"/>
      <x:c r="N2716"/>
      <x:c r="O2716"/>
      <x:c r="P2716"/>
    </x:row>
    <x:row r="2717">
      <x:c r="A2717"/>
      <x:c r="B2717"/>
      <x:c r="C2717"/>
      <x:c r="D2717"/>
      <x:c r="E2717"/>
      <x:c r="F2717"/>
      <x:c r="G2717" s="56"/>
      <x:c r="H2717"/>
      <x:c r="I2717"/>
      <x:c r="J2717"/>
      <x:c r="K2717"/>
      <x:c r="L2717"/>
      <x:c r="M2717"/>
      <x:c r="N2717"/>
      <x:c r="O2717"/>
      <x:c r="P2717"/>
    </x:row>
    <x:row r="2718">
      <x:c r="A2718"/>
      <x:c r="B2718"/>
      <x:c r="C2718"/>
      <x:c r="D2718"/>
      <x:c r="E2718"/>
      <x:c r="F2718"/>
      <x:c r="G2718" s="56"/>
      <x:c r="H2718"/>
      <x:c r="I2718"/>
      <x:c r="J2718"/>
      <x:c r="K2718"/>
      <x:c r="L2718"/>
      <x:c r="M2718"/>
      <x:c r="N2718"/>
      <x:c r="O2718"/>
      <x:c r="P2718"/>
    </x:row>
    <x:row r="2719">
      <x:c r="A2719"/>
      <x:c r="B2719"/>
      <x:c r="C2719"/>
      <x:c r="D2719"/>
      <x:c r="E2719"/>
      <x:c r="F2719"/>
      <x:c r="G2719" s="56"/>
      <x:c r="H2719"/>
      <x:c r="I2719"/>
      <x:c r="J2719"/>
      <x:c r="K2719"/>
      <x:c r="L2719"/>
      <x:c r="M2719"/>
      <x:c r="N2719"/>
      <x:c r="O2719"/>
      <x:c r="P2719"/>
    </x:row>
    <x:row r="2720">
      <x:c r="A2720"/>
      <x:c r="B2720"/>
      <x:c r="C2720"/>
      <x:c r="D2720"/>
      <x:c r="E2720"/>
      <x:c r="F2720"/>
      <x:c r="G2720" s="56"/>
      <x:c r="H2720"/>
      <x:c r="I2720"/>
      <x:c r="J2720"/>
      <x:c r="K2720"/>
      <x:c r="L2720"/>
      <x:c r="M2720"/>
      <x:c r="N2720"/>
      <x:c r="O2720"/>
      <x:c r="P2720"/>
    </x:row>
    <x:row r="2721">
      <x:c r="A2721"/>
      <x:c r="B2721"/>
      <x:c r="C2721"/>
      <x:c r="D2721"/>
      <x:c r="E2721"/>
      <x:c r="F2721"/>
      <x:c r="G2721" s="56"/>
      <x:c r="H2721"/>
      <x:c r="I2721"/>
      <x:c r="J2721"/>
      <x:c r="K2721"/>
      <x:c r="L2721"/>
      <x:c r="M2721"/>
      <x:c r="N2721"/>
      <x:c r="O2721"/>
      <x:c r="P2721"/>
    </x:row>
    <x:row r="2722">
      <x:c r="A2722"/>
      <x:c r="B2722"/>
      <x:c r="C2722"/>
      <x:c r="D2722"/>
      <x:c r="E2722"/>
      <x:c r="F2722"/>
      <x:c r="G2722" s="56"/>
      <x:c r="H2722"/>
      <x:c r="I2722"/>
      <x:c r="J2722"/>
      <x:c r="K2722"/>
      <x:c r="L2722"/>
      <x:c r="M2722"/>
      <x:c r="N2722"/>
      <x:c r="O2722"/>
      <x:c r="P2722"/>
    </x:row>
    <x:row r="2723">
      <x:c r="A2723"/>
      <x:c r="B2723"/>
      <x:c r="C2723"/>
      <x:c r="D2723"/>
      <x:c r="E2723"/>
      <x:c r="F2723"/>
      <x:c r="G2723" s="56"/>
      <x:c r="H2723"/>
      <x:c r="I2723"/>
      <x:c r="J2723"/>
      <x:c r="K2723"/>
      <x:c r="L2723"/>
      <x:c r="M2723"/>
      <x:c r="N2723"/>
      <x:c r="O2723"/>
      <x:c r="P2723"/>
    </x:row>
    <x:row r="2724">
      <x:c r="A2724"/>
      <x:c r="B2724"/>
      <x:c r="C2724"/>
      <x:c r="D2724"/>
      <x:c r="E2724"/>
      <x:c r="F2724"/>
      <x:c r="G2724" s="56"/>
      <x:c r="H2724"/>
      <x:c r="I2724"/>
      <x:c r="J2724"/>
      <x:c r="K2724"/>
      <x:c r="L2724"/>
      <x:c r="M2724"/>
      <x:c r="N2724"/>
      <x:c r="O2724"/>
      <x:c r="P2724"/>
    </x:row>
    <x:row r="2725">
      <x:c r="A2725"/>
      <x:c r="B2725"/>
      <x:c r="C2725"/>
      <x:c r="D2725"/>
      <x:c r="E2725"/>
      <x:c r="F2725"/>
      <x:c r="G2725" s="56"/>
      <x:c r="H2725"/>
      <x:c r="I2725"/>
      <x:c r="J2725"/>
      <x:c r="K2725"/>
      <x:c r="L2725"/>
      <x:c r="M2725"/>
      <x:c r="N2725"/>
      <x:c r="O2725"/>
      <x:c r="P2725"/>
    </x:row>
    <x:row r="2726">
      <x:c r="A2726"/>
      <x:c r="B2726"/>
      <x:c r="C2726"/>
      <x:c r="D2726"/>
      <x:c r="E2726"/>
      <x:c r="F2726"/>
      <x:c r="G2726" s="56"/>
      <x:c r="H2726"/>
      <x:c r="I2726"/>
      <x:c r="J2726"/>
      <x:c r="K2726"/>
      <x:c r="L2726"/>
      <x:c r="M2726"/>
      <x:c r="N2726"/>
      <x:c r="O2726"/>
      <x:c r="P2726"/>
    </x:row>
    <x:row r="2727">
      <x:c r="A2727"/>
      <x:c r="B2727"/>
      <x:c r="C2727"/>
      <x:c r="D2727"/>
      <x:c r="E2727"/>
      <x:c r="F2727"/>
      <x:c r="G2727" s="56"/>
      <x:c r="H2727"/>
      <x:c r="I2727"/>
      <x:c r="J2727"/>
      <x:c r="K2727"/>
      <x:c r="L2727"/>
      <x:c r="M2727"/>
      <x:c r="N2727"/>
      <x:c r="O2727"/>
      <x:c r="P2727"/>
    </x:row>
    <x:row r="2728">
      <x:c r="A2728"/>
      <x:c r="B2728"/>
      <x:c r="C2728"/>
      <x:c r="D2728"/>
      <x:c r="E2728"/>
      <x:c r="F2728"/>
      <x:c r="G2728" s="56"/>
      <x:c r="H2728"/>
      <x:c r="I2728"/>
      <x:c r="J2728"/>
      <x:c r="K2728"/>
      <x:c r="L2728"/>
      <x:c r="M2728"/>
      <x:c r="N2728"/>
      <x:c r="O2728"/>
      <x:c r="P2728"/>
    </x:row>
    <x:row r="2729">
      <x:c r="A2729"/>
      <x:c r="B2729"/>
      <x:c r="C2729"/>
      <x:c r="D2729"/>
      <x:c r="E2729"/>
      <x:c r="F2729"/>
      <x:c r="G2729" s="56"/>
      <x:c r="H2729"/>
      <x:c r="I2729"/>
      <x:c r="J2729"/>
      <x:c r="K2729"/>
      <x:c r="L2729"/>
      <x:c r="M2729"/>
      <x:c r="N2729"/>
      <x:c r="O2729"/>
      <x:c r="P2729"/>
    </x:row>
    <x:row r="2730">
      <x:c r="A2730"/>
      <x:c r="B2730"/>
      <x:c r="C2730"/>
      <x:c r="D2730"/>
      <x:c r="E2730"/>
      <x:c r="F2730"/>
      <x:c r="G2730" s="56"/>
      <x:c r="H2730"/>
      <x:c r="I2730"/>
      <x:c r="J2730"/>
      <x:c r="K2730"/>
      <x:c r="L2730"/>
      <x:c r="M2730"/>
      <x:c r="N2730"/>
      <x:c r="O2730"/>
      <x:c r="P2730"/>
    </x:row>
    <x:row r="2731">
      <x:c r="A2731"/>
      <x:c r="B2731"/>
      <x:c r="C2731"/>
      <x:c r="D2731"/>
      <x:c r="E2731"/>
      <x:c r="F2731"/>
      <x:c r="G2731" s="56"/>
      <x:c r="H2731"/>
      <x:c r="I2731"/>
      <x:c r="J2731"/>
      <x:c r="K2731"/>
      <x:c r="L2731"/>
      <x:c r="M2731"/>
      <x:c r="N2731"/>
      <x:c r="O2731"/>
      <x:c r="P2731"/>
    </x:row>
    <x:row r="2732">
      <x:c r="A2732"/>
      <x:c r="B2732"/>
      <x:c r="C2732"/>
      <x:c r="D2732"/>
      <x:c r="E2732"/>
      <x:c r="F2732"/>
      <x:c r="G2732" s="56"/>
      <x:c r="H2732"/>
      <x:c r="I2732"/>
      <x:c r="J2732"/>
      <x:c r="K2732"/>
      <x:c r="L2732"/>
      <x:c r="M2732"/>
      <x:c r="N2732"/>
      <x:c r="O2732"/>
      <x:c r="P2732"/>
    </x:row>
    <x:row r="2733">
      <x:c r="A2733"/>
      <x:c r="B2733"/>
      <x:c r="C2733"/>
      <x:c r="D2733"/>
      <x:c r="E2733"/>
      <x:c r="F2733"/>
      <x:c r="G2733" s="56"/>
      <x:c r="H2733"/>
      <x:c r="I2733"/>
      <x:c r="J2733"/>
      <x:c r="K2733"/>
      <x:c r="L2733"/>
      <x:c r="M2733"/>
      <x:c r="N2733"/>
      <x:c r="O2733"/>
      <x:c r="P2733"/>
    </x:row>
    <x:row r="2734">
      <x:c r="A2734"/>
      <x:c r="B2734"/>
      <x:c r="C2734"/>
      <x:c r="D2734"/>
      <x:c r="E2734"/>
      <x:c r="F2734"/>
      <x:c r="G2734" s="56"/>
      <x:c r="H2734"/>
      <x:c r="I2734"/>
      <x:c r="J2734"/>
      <x:c r="K2734"/>
      <x:c r="L2734"/>
      <x:c r="M2734"/>
      <x:c r="N2734"/>
      <x:c r="O2734"/>
      <x:c r="P2734"/>
    </x:row>
    <x:row r="2735">
      <x:c r="A2735"/>
      <x:c r="B2735"/>
      <x:c r="C2735"/>
      <x:c r="D2735"/>
      <x:c r="E2735"/>
      <x:c r="F2735"/>
      <x:c r="G2735" s="56"/>
      <x:c r="H2735"/>
      <x:c r="I2735"/>
      <x:c r="J2735"/>
      <x:c r="K2735"/>
      <x:c r="L2735"/>
      <x:c r="M2735"/>
      <x:c r="N2735"/>
      <x:c r="O2735"/>
      <x:c r="P2735"/>
    </x:row>
    <x:row r="2736">
      <x:c r="A2736"/>
      <x:c r="B2736"/>
      <x:c r="C2736"/>
      <x:c r="D2736"/>
      <x:c r="E2736"/>
      <x:c r="F2736"/>
      <x:c r="G2736" s="56"/>
      <x:c r="H2736"/>
      <x:c r="I2736"/>
      <x:c r="J2736"/>
      <x:c r="K2736"/>
      <x:c r="L2736"/>
      <x:c r="M2736"/>
      <x:c r="N2736"/>
      <x:c r="O2736"/>
      <x:c r="P2736"/>
    </x:row>
    <x:row r="2737">
      <x:c r="A2737"/>
      <x:c r="B2737"/>
      <x:c r="C2737"/>
      <x:c r="D2737"/>
      <x:c r="E2737"/>
      <x:c r="F2737"/>
      <x:c r="G2737" s="56"/>
      <x:c r="H2737"/>
      <x:c r="I2737"/>
      <x:c r="J2737"/>
      <x:c r="K2737"/>
      <x:c r="L2737"/>
      <x:c r="M2737"/>
      <x:c r="N2737"/>
      <x:c r="O2737"/>
      <x:c r="P2737"/>
    </x:row>
    <x:row r="2738">
      <x:c r="A2738"/>
      <x:c r="B2738"/>
      <x:c r="C2738"/>
      <x:c r="D2738"/>
      <x:c r="E2738"/>
      <x:c r="F2738"/>
      <x:c r="G2738" s="56"/>
      <x:c r="H2738"/>
      <x:c r="I2738"/>
      <x:c r="J2738"/>
      <x:c r="K2738"/>
      <x:c r="L2738"/>
      <x:c r="M2738"/>
      <x:c r="N2738"/>
      <x:c r="O2738"/>
      <x:c r="P2738"/>
    </x:row>
    <x:row r="2739">
      <x:c r="A2739"/>
      <x:c r="B2739"/>
      <x:c r="C2739"/>
      <x:c r="D2739"/>
      <x:c r="E2739"/>
      <x:c r="F2739"/>
      <x:c r="G2739" s="56"/>
      <x:c r="H2739"/>
      <x:c r="I2739"/>
      <x:c r="J2739"/>
      <x:c r="K2739"/>
      <x:c r="L2739"/>
      <x:c r="M2739"/>
      <x:c r="N2739"/>
      <x:c r="O2739"/>
      <x:c r="P2739"/>
    </x:row>
    <x:row r="2740">
      <x:c r="A2740"/>
      <x:c r="B2740"/>
      <x:c r="C2740"/>
      <x:c r="D2740"/>
      <x:c r="E2740"/>
      <x:c r="F2740"/>
      <x:c r="G2740" s="56"/>
      <x:c r="H2740"/>
      <x:c r="I2740"/>
      <x:c r="J2740"/>
      <x:c r="K2740"/>
      <x:c r="L2740"/>
      <x:c r="M2740"/>
      <x:c r="N2740"/>
      <x:c r="O2740"/>
      <x:c r="P2740"/>
    </x:row>
    <x:row r="2741">
      <x:c r="A2741"/>
      <x:c r="B2741"/>
      <x:c r="C2741"/>
      <x:c r="D2741"/>
      <x:c r="E2741"/>
      <x:c r="F2741"/>
      <x:c r="G2741" s="56"/>
      <x:c r="H2741"/>
      <x:c r="I2741"/>
      <x:c r="J2741"/>
      <x:c r="K2741"/>
      <x:c r="L2741"/>
      <x:c r="M2741"/>
      <x:c r="N2741"/>
      <x:c r="O2741"/>
      <x:c r="P2741"/>
    </x:row>
    <x:row r="2742">
      <x:c r="A2742"/>
      <x:c r="B2742"/>
      <x:c r="C2742"/>
      <x:c r="D2742"/>
      <x:c r="E2742"/>
      <x:c r="F2742"/>
      <x:c r="G2742" s="56"/>
      <x:c r="H2742"/>
      <x:c r="I2742"/>
      <x:c r="J2742"/>
      <x:c r="K2742"/>
      <x:c r="L2742"/>
      <x:c r="M2742"/>
      <x:c r="N2742"/>
      <x:c r="O2742"/>
      <x:c r="P2742"/>
    </x:row>
    <x:row r="2743">
      <x:c r="A2743"/>
      <x:c r="B2743"/>
      <x:c r="C2743"/>
      <x:c r="D2743"/>
      <x:c r="E2743"/>
      <x:c r="F2743"/>
      <x:c r="G2743" s="56"/>
      <x:c r="H2743"/>
      <x:c r="I2743"/>
      <x:c r="J2743"/>
      <x:c r="K2743"/>
      <x:c r="L2743"/>
      <x:c r="M2743"/>
      <x:c r="N2743"/>
      <x:c r="O2743"/>
      <x:c r="P2743"/>
    </x:row>
    <x:row r="2744">
      <x:c r="A2744"/>
      <x:c r="B2744"/>
      <x:c r="C2744"/>
      <x:c r="D2744"/>
      <x:c r="E2744"/>
      <x:c r="F2744"/>
      <x:c r="G2744" s="56"/>
      <x:c r="H2744"/>
      <x:c r="I2744"/>
      <x:c r="J2744"/>
      <x:c r="K2744"/>
      <x:c r="L2744"/>
      <x:c r="M2744"/>
      <x:c r="N2744"/>
      <x:c r="O2744"/>
      <x:c r="P2744"/>
    </x:row>
    <x:row r="2745">
      <x:c r="A2745"/>
      <x:c r="B2745"/>
      <x:c r="C2745"/>
      <x:c r="D2745"/>
      <x:c r="E2745"/>
      <x:c r="F2745"/>
      <x:c r="G2745" s="56"/>
      <x:c r="H2745"/>
      <x:c r="I2745"/>
      <x:c r="J2745"/>
      <x:c r="K2745"/>
      <x:c r="L2745"/>
      <x:c r="M2745"/>
      <x:c r="N2745"/>
      <x:c r="O2745"/>
      <x:c r="P2745"/>
    </x:row>
    <x:row r="2746">
      <x:c r="A2746"/>
      <x:c r="B2746"/>
      <x:c r="C2746"/>
      <x:c r="D2746"/>
      <x:c r="E2746"/>
      <x:c r="F2746"/>
      <x:c r="G2746" s="56"/>
      <x:c r="H2746"/>
      <x:c r="I2746"/>
      <x:c r="J2746"/>
      <x:c r="K2746"/>
      <x:c r="L2746"/>
      <x:c r="M2746"/>
      <x:c r="N2746"/>
      <x:c r="O2746"/>
      <x:c r="P2746"/>
    </x:row>
    <x:row r="2747">
      <x:c r="A2747"/>
      <x:c r="B2747"/>
      <x:c r="C2747"/>
      <x:c r="D2747"/>
      <x:c r="E2747"/>
      <x:c r="F2747"/>
      <x:c r="G2747" s="56"/>
      <x:c r="H2747"/>
      <x:c r="I2747"/>
      <x:c r="J2747"/>
      <x:c r="K2747"/>
      <x:c r="L2747"/>
      <x:c r="M2747"/>
      <x:c r="N2747"/>
      <x:c r="O2747"/>
      <x:c r="P2747"/>
    </x:row>
    <x:row r="2748">
      <x:c r="A2748"/>
      <x:c r="B2748"/>
      <x:c r="C2748"/>
      <x:c r="D2748"/>
      <x:c r="E2748"/>
      <x:c r="F2748"/>
      <x:c r="G2748" s="56"/>
      <x:c r="H2748"/>
      <x:c r="I2748"/>
      <x:c r="J2748"/>
      <x:c r="K2748"/>
      <x:c r="L2748"/>
      <x:c r="M2748"/>
      <x:c r="N2748"/>
      <x:c r="O2748"/>
      <x:c r="P2748"/>
    </x:row>
    <x:row r="2749">
      <x:c r="A2749"/>
      <x:c r="B2749"/>
      <x:c r="C2749"/>
      <x:c r="D2749"/>
      <x:c r="E2749"/>
      <x:c r="F2749"/>
      <x:c r="G2749" s="56"/>
      <x:c r="H2749"/>
      <x:c r="I2749"/>
      <x:c r="J2749"/>
      <x:c r="K2749"/>
      <x:c r="L2749"/>
      <x:c r="M2749"/>
      <x:c r="N2749"/>
      <x:c r="O2749"/>
      <x:c r="P2749"/>
    </x:row>
    <x:row r="2750">
      <x:c r="A2750"/>
      <x:c r="B2750"/>
      <x:c r="C2750"/>
      <x:c r="D2750"/>
      <x:c r="E2750"/>
      <x:c r="F2750"/>
      <x:c r="G2750" s="56"/>
      <x:c r="H2750"/>
      <x:c r="I2750"/>
      <x:c r="J2750"/>
      <x:c r="K2750"/>
      <x:c r="L2750"/>
      <x:c r="M2750"/>
      <x:c r="N2750"/>
      <x:c r="O2750"/>
      <x:c r="P2750"/>
    </x:row>
    <x:row r="2751">
      <x:c r="A2751"/>
      <x:c r="B2751"/>
      <x:c r="C2751"/>
      <x:c r="D2751"/>
      <x:c r="E2751"/>
      <x:c r="F2751"/>
      <x:c r="G2751" s="56"/>
      <x:c r="H2751"/>
      <x:c r="I2751"/>
      <x:c r="J2751"/>
      <x:c r="K2751"/>
      <x:c r="L2751"/>
      <x:c r="M2751"/>
      <x:c r="N2751"/>
      <x:c r="O2751"/>
      <x:c r="P2751"/>
    </x:row>
    <x:row r="2752">
      <x:c r="A2752"/>
      <x:c r="B2752"/>
      <x:c r="C2752"/>
      <x:c r="D2752"/>
      <x:c r="E2752"/>
      <x:c r="F2752"/>
      <x:c r="G2752" s="56"/>
      <x:c r="H2752"/>
      <x:c r="I2752"/>
      <x:c r="J2752"/>
      <x:c r="K2752"/>
      <x:c r="L2752"/>
      <x:c r="M2752"/>
      <x:c r="N2752"/>
      <x:c r="O2752"/>
      <x:c r="P2752"/>
    </x:row>
    <x:row r="2753">
      <x:c r="A2753"/>
      <x:c r="B2753"/>
      <x:c r="C2753"/>
      <x:c r="D2753"/>
      <x:c r="E2753"/>
      <x:c r="F2753"/>
      <x:c r="G2753" s="56"/>
      <x:c r="H2753"/>
      <x:c r="I2753"/>
      <x:c r="J2753"/>
      <x:c r="K2753"/>
      <x:c r="L2753"/>
      <x:c r="M2753"/>
      <x:c r="N2753"/>
      <x:c r="O2753"/>
      <x:c r="P2753"/>
    </x:row>
    <x:row r="2754">
      <x:c r="A2754"/>
      <x:c r="B2754"/>
      <x:c r="C2754"/>
      <x:c r="D2754"/>
      <x:c r="E2754"/>
      <x:c r="F2754"/>
      <x:c r="G2754" s="56"/>
      <x:c r="H2754"/>
      <x:c r="I2754"/>
      <x:c r="J2754"/>
      <x:c r="K2754"/>
      <x:c r="L2754"/>
      <x:c r="M2754"/>
      <x:c r="N2754"/>
      <x:c r="O2754"/>
      <x:c r="P2754"/>
    </x:row>
    <x:row r="2755">
      <x:c r="A2755"/>
      <x:c r="B2755"/>
      <x:c r="C2755"/>
      <x:c r="D2755"/>
      <x:c r="E2755"/>
      <x:c r="F2755"/>
      <x:c r="G2755" s="56"/>
      <x:c r="H2755"/>
      <x:c r="I2755"/>
      <x:c r="J2755"/>
      <x:c r="K2755"/>
      <x:c r="L2755"/>
      <x:c r="M2755"/>
      <x:c r="N2755"/>
      <x:c r="O2755"/>
      <x:c r="P2755"/>
    </x:row>
    <x:row r="2756">
      <x:c r="A2756"/>
      <x:c r="B2756"/>
      <x:c r="C2756"/>
      <x:c r="D2756"/>
      <x:c r="E2756"/>
      <x:c r="F2756"/>
      <x:c r="G2756" s="56"/>
      <x:c r="H2756"/>
      <x:c r="I2756"/>
      <x:c r="J2756"/>
      <x:c r="K2756"/>
      <x:c r="L2756"/>
      <x:c r="M2756"/>
      <x:c r="N2756"/>
      <x:c r="O2756"/>
      <x:c r="P2756"/>
    </x:row>
    <x:row r="2757">
      <x:c r="A2757"/>
      <x:c r="B2757"/>
      <x:c r="C2757"/>
      <x:c r="D2757"/>
      <x:c r="E2757"/>
      <x:c r="F2757"/>
      <x:c r="G2757" s="56"/>
      <x:c r="H2757"/>
      <x:c r="I2757"/>
      <x:c r="J2757"/>
      <x:c r="K2757"/>
      <x:c r="L2757"/>
      <x:c r="M2757"/>
      <x:c r="N2757"/>
      <x:c r="O2757"/>
      <x:c r="P2757"/>
    </x:row>
    <x:row r="2758">
      <x:c r="A2758"/>
      <x:c r="B2758"/>
      <x:c r="C2758"/>
      <x:c r="D2758"/>
      <x:c r="E2758"/>
      <x:c r="F2758"/>
      <x:c r="G2758" s="56"/>
      <x:c r="H2758"/>
      <x:c r="I2758"/>
      <x:c r="J2758"/>
      <x:c r="K2758"/>
      <x:c r="L2758"/>
      <x:c r="M2758"/>
      <x:c r="N2758"/>
      <x:c r="O2758"/>
      <x:c r="P2758"/>
    </x:row>
    <x:row r="2759">
      <x:c r="A2759"/>
      <x:c r="B2759"/>
      <x:c r="C2759"/>
      <x:c r="D2759"/>
      <x:c r="E2759"/>
      <x:c r="F2759"/>
      <x:c r="G2759" s="56"/>
      <x:c r="H2759"/>
      <x:c r="I2759"/>
      <x:c r="J2759"/>
      <x:c r="K2759"/>
      <x:c r="L2759"/>
      <x:c r="M2759"/>
      <x:c r="N2759"/>
      <x:c r="O2759"/>
      <x:c r="P2759"/>
    </x:row>
    <x:row r="2760">
      <x:c r="A2760"/>
      <x:c r="B2760"/>
      <x:c r="C2760"/>
      <x:c r="D2760"/>
      <x:c r="E2760"/>
      <x:c r="F2760"/>
      <x:c r="G2760" s="56"/>
      <x:c r="H2760"/>
      <x:c r="I2760"/>
      <x:c r="J2760"/>
      <x:c r="K2760"/>
      <x:c r="L2760"/>
      <x:c r="M2760"/>
      <x:c r="N2760"/>
      <x:c r="O2760"/>
      <x:c r="P2760"/>
    </x:row>
    <x:row r="2761">
      <x:c r="A2761"/>
      <x:c r="B2761"/>
      <x:c r="C2761"/>
      <x:c r="D2761"/>
      <x:c r="E2761"/>
      <x:c r="F2761"/>
      <x:c r="G2761" s="56"/>
      <x:c r="H2761"/>
      <x:c r="I2761"/>
      <x:c r="J2761"/>
      <x:c r="K2761"/>
      <x:c r="L2761"/>
      <x:c r="M2761"/>
      <x:c r="N2761"/>
      <x:c r="O2761"/>
      <x:c r="P2761"/>
    </x:row>
    <x:row r="2762">
      <x:c r="A2762"/>
      <x:c r="B2762"/>
      <x:c r="C2762"/>
      <x:c r="D2762"/>
      <x:c r="E2762"/>
      <x:c r="F2762"/>
      <x:c r="G2762" s="56"/>
      <x:c r="H2762"/>
      <x:c r="I2762"/>
      <x:c r="J2762"/>
      <x:c r="K2762"/>
      <x:c r="L2762"/>
      <x:c r="M2762"/>
      <x:c r="N2762"/>
      <x:c r="O2762"/>
      <x:c r="P2762"/>
    </x:row>
    <x:row r="2763">
      <x:c r="A2763"/>
      <x:c r="B2763"/>
      <x:c r="C2763"/>
      <x:c r="D2763"/>
      <x:c r="E2763"/>
      <x:c r="F2763"/>
      <x:c r="G2763" s="56"/>
      <x:c r="H2763"/>
      <x:c r="I2763"/>
      <x:c r="J2763"/>
      <x:c r="K2763"/>
      <x:c r="L2763"/>
      <x:c r="M2763"/>
      <x:c r="N2763"/>
      <x:c r="O2763"/>
      <x:c r="P2763"/>
    </x:row>
    <x:row r="2764">
      <x:c r="A2764"/>
      <x:c r="B2764"/>
      <x:c r="C2764"/>
      <x:c r="D2764"/>
      <x:c r="E2764"/>
      <x:c r="F2764"/>
      <x:c r="G2764" s="56"/>
      <x:c r="H2764"/>
      <x:c r="I2764"/>
      <x:c r="J2764"/>
      <x:c r="K2764"/>
      <x:c r="L2764"/>
      <x:c r="M2764"/>
      <x:c r="N2764"/>
      <x:c r="O2764"/>
      <x:c r="P2764"/>
    </x:row>
    <x:row r="2765">
      <x:c r="A2765"/>
      <x:c r="B2765"/>
      <x:c r="C2765"/>
      <x:c r="D2765"/>
      <x:c r="E2765"/>
      <x:c r="F2765"/>
      <x:c r="G2765" s="56"/>
      <x:c r="H2765"/>
      <x:c r="I2765"/>
      <x:c r="J2765"/>
      <x:c r="K2765"/>
      <x:c r="L2765"/>
      <x:c r="M2765"/>
      <x:c r="N2765"/>
      <x:c r="O2765"/>
      <x:c r="P2765"/>
    </x:row>
    <x:row r="2766">
      <x:c r="A2766"/>
      <x:c r="B2766"/>
      <x:c r="C2766"/>
      <x:c r="D2766"/>
      <x:c r="E2766"/>
      <x:c r="F2766"/>
      <x:c r="G2766" s="56"/>
      <x:c r="H2766"/>
      <x:c r="I2766"/>
      <x:c r="J2766"/>
      <x:c r="K2766"/>
      <x:c r="L2766"/>
      <x:c r="M2766"/>
      <x:c r="N2766"/>
      <x:c r="O2766"/>
      <x:c r="P2766"/>
    </x:row>
    <x:row r="2767">
      <x:c r="A2767"/>
      <x:c r="B2767"/>
      <x:c r="C2767"/>
      <x:c r="D2767"/>
      <x:c r="E2767"/>
      <x:c r="F2767"/>
      <x:c r="G2767" s="56"/>
      <x:c r="H2767"/>
      <x:c r="I2767"/>
      <x:c r="J2767"/>
      <x:c r="K2767"/>
      <x:c r="L2767"/>
      <x:c r="M2767"/>
      <x:c r="N2767"/>
      <x:c r="O2767"/>
      <x:c r="P2767"/>
    </x:row>
    <x:row r="2768">
      <x:c r="A2768"/>
      <x:c r="B2768"/>
      <x:c r="C2768"/>
      <x:c r="D2768"/>
      <x:c r="E2768"/>
      <x:c r="F2768"/>
      <x:c r="G2768" s="56"/>
      <x:c r="H2768"/>
      <x:c r="I2768"/>
      <x:c r="J2768"/>
      <x:c r="K2768"/>
      <x:c r="L2768"/>
      <x:c r="M2768"/>
      <x:c r="N2768"/>
      <x:c r="O2768"/>
      <x:c r="P2768"/>
    </x:row>
    <x:row r="2769">
      <x:c r="A2769"/>
      <x:c r="B2769"/>
      <x:c r="C2769"/>
      <x:c r="D2769"/>
      <x:c r="E2769"/>
      <x:c r="F2769"/>
      <x:c r="G2769" s="56"/>
      <x:c r="H2769"/>
      <x:c r="I2769"/>
      <x:c r="J2769"/>
      <x:c r="K2769"/>
      <x:c r="L2769"/>
      <x:c r="M2769"/>
      <x:c r="N2769"/>
      <x:c r="O2769"/>
      <x:c r="P2769"/>
    </x:row>
    <x:row r="2770">
      <x:c r="A2770"/>
      <x:c r="B2770"/>
      <x:c r="C2770"/>
      <x:c r="D2770"/>
      <x:c r="E2770"/>
      <x:c r="F2770"/>
      <x:c r="G2770" s="56"/>
      <x:c r="H2770"/>
      <x:c r="I2770"/>
      <x:c r="J2770"/>
      <x:c r="K2770"/>
      <x:c r="L2770"/>
      <x:c r="M2770"/>
      <x:c r="N2770"/>
      <x:c r="O2770"/>
      <x:c r="P2770"/>
    </x:row>
    <x:row r="2771">
      <x:c r="A2771"/>
      <x:c r="B2771"/>
      <x:c r="C2771"/>
      <x:c r="D2771"/>
      <x:c r="E2771"/>
      <x:c r="F2771"/>
      <x:c r="G2771" s="56"/>
      <x:c r="H2771"/>
      <x:c r="I2771"/>
      <x:c r="J2771"/>
      <x:c r="K2771"/>
      <x:c r="L2771"/>
      <x:c r="M2771"/>
      <x:c r="N2771"/>
      <x:c r="O2771"/>
      <x:c r="P2771"/>
    </x:row>
    <x:row r="2772">
      <x:c r="A2772"/>
      <x:c r="B2772"/>
      <x:c r="C2772"/>
      <x:c r="D2772"/>
      <x:c r="E2772"/>
      <x:c r="F2772"/>
      <x:c r="G2772" s="56"/>
      <x:c r="H2772"/>
      <x:c r="I2772"/>
      <x:c r="J2772"/>
      <x:c r="K2772"/>
      <x:c r="L2772"/>
      <x:c r="M2772"/>
      <x:c r="N2772"/>
      <x:c r="O2772"/>
      <x:c r="P2772"/>
    </x:row>
    <x:row r="2773">
      <x:c r="A2773"/>
      <x:c r="B2773"/>
      <x:c r="C2773"/>
      <x:c r="D2773"/>
      <x:c r="E2773"/>
      <x:c r="F2773"/>
      <x:c r="G2773" s="56"/>
      <x:c r="H2773"/>
      <x:c r="I2773"/>
      <x:c r="J2773"/>
      <x:c r="K2773"/>
      <x:c r="L2773"/>
      <x:c r="M2773"/>
      <x:c r="N2773"/>
      <x:c r="O2773"/>
      <x:c r="P2773"/>
    </x:row>
    <x:row r="2774">
      <x:c r="A2774"/>
      <x:c r="B2774"/>
      <x:c r="C2774"/>
      <x:c r="D2774"/>
      <x:c r="E2774"/>
      <x:c r="F2774"/>
      <x:c r="G2774" s="56"/>
      <x:c r="H2774"/>
      <x:c r="I2774"/>
      <x:c r="J2774"/>
      <x:c r="K2774"/>
      <x:c r="L2774"/>
      <x:c r="M2774"/>
      <x:c r="N2774"/>
      <x:c r="O2774"/>
      <x:c r="P2774"/>
    </x:row>
    <x:row r="2775">
      <x:c r="A2775"/>
      <x:c r="B2775"/>
      <x:c r="C2775"/>
      <x:c r="D2775"/>
      <x:c r="E2775"/>
      <x:c r="F2775"/>
      <x:c r="G2775" s="56"/>
      <x:c r="H2775"/>
      <x:c r="I2775"/>
      <x:c r="J2775"/>
      <x:c r="K2775"/>
      <x:c r="L2775"/>
      <x:c r="M2775"/>
      <x:c r="N2775"/>
      <x:c r="O2775"/>
      <x:c r="P2775"/>
    </x:row>
    <x:row r="2776">
      <x:c r="A2776"/>
      <x:c r="B2776"/>
      <x:c r="C2776"/>
      <x:c r="D2776"/>
      <x:c r="E2776"/>
      <x:c r="F2776"/>
      <x:c r="G2776" s="56"/>
      <x:c r="H2776"/>
      <x:c r="I2776"/>
      <x:c r="J2776"/>
      <x:c r="K2776"/>
      <x:c r="L2776"/>
      <x:c r="M2776"/>
      <x:c r="N2776"/>
      <x:c r="O2776"/>
      <x:c r="P2776"/>
    </x:row>
    <x:row r="2777">
      <x:c r="A2777"/>
      <x:c r="B2777"/>
      <x:c r="C2777"/>
      <x:c r="D2777"/>
      <x:c r="E2777"/>
      <x:c r="F2777"/>
      <x:c r="G2777" s="56"/>
      <x:c r="H2777"/>
      <x:c r="I2777"/>
      <x:c r="J2777"/>
      <x:c r="K2777"/>
      <x:c r="L2777"/>
      <x:c r="M2777"/>
      <x:c r="N2777"/>
      <x:c r="O2777"/>
      <x:c r="P2777"/>
    </x:row>
    <x:row r="2778">
      <x:c r="A2778"/>
      <x:c r="B2778"/>
      <x:c r="C2778"/>
      <x:c r="D2778"/>
      <x:c r="E2778"/>
      <x:c r="F2778"/>
      <x:c r="G2778" s="56"/>
      <x:c r="H2778"/>
      <x:c r="I2778"/>
      <x:c r="J2778"/>
      <x:c r="K2778"/>
      <x:c r="L2778"/>
      <x:c r="M2778"/>
      <x:c r="N2778"/>
      <x:c r="O2778"/>
      <x:c r="P2778"/>
    </x:row>
    <x:row r="2779">
      <x:c r="A2779"/>
      <x:c r="B2779"/>
      <x:c r="C2779"/>
      <x:c r="D2779"/>
      <x:c r="E2779"/>
      <x:c r="F2779"/>
      <x:c r="G2779" s="56"/>
      <x:c r="H2779"/>
      <x:c r="I2779"/>
      <x:c r="J2779"/>
      <x:c r="K2779"/>
      <x:c r="L2779"/>
      <x:c r="M2779"/>
      <x:c r="N2779"/>
      <x:c r="O2779"/>
      <x:c r="P2779"/>
    </x:row>
    <x:row r="2780">
      <x:c r="A2780"/>
      <x:c r="B2780"/>
      <x:c r="C2780"/>
      <x:c r="D2780"/>
      <x:c r="E2780"/>
      <x:c r="F2780"/>
      <x:c r="G2780" s="56"/>
      <x:c r="H2780"/>
      <x:c r="I2780"/>
      <x:c r="J2780"/>
      <x:c r="K2780"/>
      <x:c r="L2780"/>
      <x:c r="M2780"/>
      <x:c r="N2780"/>
      <x:c r="O2780"/>
      <x:c r="P2780"/>
    </x:row>
    <x:row r="2781">
      <x:c r="A2781"/>
      <x:c r="B2781"/>
      <x:c r="C2781"/>
      <x:c r="D2781"/>
      <x:c r="E2781"/>
      <x:c r="F2781"/>
      <x:c r="G2781" s="56"/>
      <x:c r="H2781"/>
      <x:c r="I2781"/>
      <x:c r="J2781"/>
      <x:c r="K2781"/>
      <x:c r="L2781"/>
      <x:c r="M2781"/>
      <x:c r="N2781"/>
      <x:c r="O2781"/>
      <x:c r="P2781"/>
    </x:row>
    <x:row r="2782">
      <x:c r="A2782"/>
      <x:c r="B2782"/>
      <x:c r="C2782"/>
      <x:c r="D2782"/>
      <x:c r="E2782"/>
      <x:c r="F2782"/>
      <x:c r="G2782" s="56"/>
      <x:c r="H2782"/>
      <x:c r="I2782"/>
      <x:c r="J2782"/>
      <x:c r="K2782"/>
      <x:c r="L2782"/>
      <x:c r="M2782"/>
      <x:c r="N2782"/>
      <x:c r="O2782"/>
      <x:c r="P2782"/>
    </x:row>
    <x:row r="2783">
      <x:c r="A2783"/>
      <x:c r="B2783"/>
      <x:c r="C2783"/>
      <x:c r="D2783"/>
      <x:c r="E2783"/>
      <x:c r="F2783"/>
      <x:c r="G2783" s="56"/>
      <x:c r="H2783"/>
      <x:c r="I2783"/>
      <x:c r="J2783"/>
      <x:c r="K2783"/>
      <x:c r="L2783"/>
      <x:c r="M2783"/>
      <x:c r="N2783"/>
      <x:c r="O2783"/>
      <x:c r="P2783"/>
    </x:row>
    <x:row r="2784">
      <x:c r="A2784"/>
      <x:c r="B2784"/>
      <x:c r="C2784"/>
      <x:c r="D2784"/>
      <x:c r="E2784"/>
      <x:c r="F2784"/>
      <x:c r="G2784" s="56"/>
      <x:c r="H2784"/>
      <x:c r="I2784"/>
      <x:c r="J2784"/>
      <x:c r="K2784"/>
      <x:c r="L2784"/>
      <x:c r="M2784"/>
      <x:c r="N2784"/>
      <x:c r="O2784"/>
      <x:c r="P2784"/>
    </x:row>
    <x:row r="2785">
      <x:c r="A2785"/>
      <x:c r="B2785"/>
      <x:c r="C2785"/>
      <x:c r="D2785"/>
      <x:c r="E2785"/>
      <x:c r="F2785"/>
      <x:c r="G2785" s="56"/>
      <x:c r="H2785"/>
      <x:c r="I2785"/>
      <x:c r="J2785"/>
      <x:c r="K2785"/>
      <x:c r="L2785"/>
      <x:c r="M2785"/>
      <x:c r="N2785"/>
      <x:c r="O2785"/>
      <x:c r="P2785"/>
    </x:row>
    <x:row r="2786">
      <x:c r="A2786"/>
      <x:c r="B2786"/>
      <x:c r="C2786"/>
      <x:c r="D2786"/>
      <x:c r="E2786"/>
      <x:c r="F2786"/>
      <x:c r="G2786" s="56"/>
      <x:c r="H2786"/>
      <x:c r="I2786"/>
      <x:c r="J2786"/>
      <x:c r="K2786"/>
      <x:c r="L2786"/>
      <x:c r="M2786"/>
      <x:c r="N2786"/>
      <x:c r="O2786"/>
      <x:c r="P2786"/>
    </x:row>
    <x:row r="2787">
      <x:c r="A2787"/>
      <x:c r="B2787"/>
      <x:c r="C2787"/>
      <x:c r="D2787"/>
      <x:c r="E2787"/>
      <x:c r="F2787"/>
      <x:c r="G2787" s="56"/>
      <x:c r="H2787"/>
      <x:c r="I2787"/>
      <x:c r="J2787"/>
      <x:c r="K2787"/>
      <x:c r="L2787"/>
      <x:c r="M2787"/>
      <x:c r="N2787"/>
      <x:c r="O2787"/>
      <x:c r="P2787"/>
    </x:row>
    <x:row r="2788">
      <x:c r="A2788"/>
      <x:c r="B2788"/>
      <x:c r="C2788"/>
      <x:c r="D2788"/>
      <x:c r="E2788"/>
      <x:c r="F2788"/>
      <x:c r="G2788" s="56"/>
      <x:c r="H2788"/>
      <x:c r="I2788"/>
      <x:c r="J2788"/>
      <x:c r="K2788"/>
      <x:c r="L2788"/>
      <x:c r="M2788"/>
      <x:c r="N2788"/>
      <x:c r="O2788"/>
      <x:c r="P2788"/>
    </x:row>
    <x:row r="2789">
      <x:c r="A2789"/>
      <x:c r="B2789"/>
      <x:c r="C2789"/>
      <x:c r="D2789"/>
      <x:c r="E2789"/>
      <x:c r="F2789"/>
      <x:c r="G2789" s="56"/>
      <x:c r="H2789"/>
      <x:c r="I2789"/>
      <x:c r="J2789"/>
      <x:c r="K2789"/>
      <x:c r="L2789"/>
      <x:c r="M2789"/>
      <x:c r="N2789"/>
      <x:c r="O2789"/>
      <x:c r="P2789"/>
    </x:row>
    <x:row r="2790">
      <x:c r="A2790"/>
      <x:c r="B2790"/>
      <x:c r="C2790"/>
      <x:c r="D2790"/>
      <x:c r="E2790"/>
      <x:c r="F2790"/>
      <x:c r="G2790" s="56"/>
      <x:c r="H2790"/>
      <x:c r="I2790"/>
      <x:c r="J2790"/>
      <x:c r="K2790"/>
      <x:c r="L2790"/>
      <x:c r="M2790"/>
      <x:c r="N2790"/>
      <x:c r="O2790"/>
      <x:c r="P2790"/>
    </x:row>
    <x:row r="2791">
      <x:c r="A2791"/>
      <x:c r="B2791"/>
      <x:c r="C2791"/>
      <x:c r="D2791"/>
      <x:c r="E2791"/>
      <x:c r="F2791"/>
      <x:c r="G2791" s="56"/>
      <x:c r="H2791"/>
      <x:c r="I2791"/>
      <x:c r="J2791"/>
      <x:c r="K2791"/>
      <x:c r="L2791"/>
      <x:c r="M2791"/>
      <x:c r="N2791"/>
      <x:c r="O2791"/>
      <x:c r="P2791"/>
    </x:row>
    <x:row r="2792">
      <x:c r="A2792"/>
      <x:c r="B2792"/>
      <x:c r="C2792"/>
      <x:c r="D2792"/>
      <x:c r="E2792"/>
      <x:c r="F2792"/>
      <x:c r="G2792" s="56"/>
      <x:c r="H2792"/>
      <x:c r="I2792"/>
      <x:c r="J2792"/>
      <x:c r="K2792"/>
      <x:c r="L2792"/>
      <x:c r="M2792"/>
      <x:c r="N2792"/>
      <x:c r="O2792"/>
      <x:c r="P2792"/>
    </x:row>
    <x:row r="2793">
      <x:c r="A2793"/>
      <x:c r="B2793"/>
      <x:c r="C2793"/>
      <x:c r="D2793"/>
      <x:c r="E2793"/>
      <x:c r="F2793"/>
      <x:c r="G2793" s="56"/>
      <x:c r="H2793"/>
      <x:c r="I2793"/>
      <x:c r="J2793"/>
      <x:c r="K2793"/>
      <x:c r="L2793"/>
      <x:c r="M2793"/>
      <x:c r="N2793"/>
      <x:c r="O2793"/>
      <x:c r="P2793"/>
    </x:row>
    <x:row r="2794">
      <x:c r="A2794"/>
      <x:c r="B2794"/>
      <x:c r="C2794"/>
      <x:c r="D2794"/>
      <x:c r="E2794"/>
      <x:c r="F2794"/>
      <x:c r="G2794" s="56"/>
      <x:c r="H2794"/>
      <x:c r="I2794"/>
      <x:c r="J2794"/>
      <x:c r="K2794"/>
      <x:c r="L2794"/>
      <x:c r="M2794"/>
      <x:c r="N2794"/>
      <x:c r="O2794"/>
      <x:c r="P2794"/>
    </x:row>
    <x:row r="2795">
      <x:c r="A2795"/>
      <x:c r="B2795"/>
      <x:c r="C2795"/>
      <x:c r="D2795"/>
      <x:c r="E2795"/>
      <x:c r="F2795"/>
      <x:c r="G2795" s="56"/>
      <x:c r="H2795"/>
      <x:c r="I2795"/>
      <x:c r="J2795"/>
      <x:c r="K2795"/>
      <x:c r="L2795"/>
      <x:c r="M2795"/>
      <x:c r="N2795"/>
      <x:c r="O2795"/>
      <x:c r="P2795"/>
    </x:row>
    <x:row r="2796">
      <x:c r="A2796"/>
      <x:c r="B2796"/>
      <x:c r="C2796"/>
      <x:c r="D2796"/>
      <x:c r="E2796"/>
      <x:c r="F2796"/>
      <x:c r="G2796" s="56"/>
      <x:c r="H2796"/>
      <x:c r="I2796"/>
      <x:c r="J2796"/>
      <x:c r="K2796"/>
      <x:c r="L2796"/>
      <x:c r="M2796"/>
      <x:c r="N2796"/>
      <x:c r="O2796"/>
      <x:c r="P2796"/>
    </x:row>
    <x:row r="2797">
      <x:c r="A2797"/>
      <x:c r="B2797"/>
      <x:c r="C2797"/>
      <x:c r="D2797"/>
      <x:c r="E2797"/>
      <x:c r="F2797"/>
      <x:c r="G2797" s="56"/>
      <x:c r="H2797"/>
      <x:c r="I2797"/>
      <x:c r="J2797"/>
      <x:c r="K2797"/>
      <x:c r="L2797"/>
      <x:c r="M2797"/>
      <x:c r="N2797"/>
      <x:c r="O2797"/>
      <x:c r="P2797"/>
    </x:row>
    <x:row r="2798">
      <x:c r="A2798"/>
      <x:c r="B2798"/>
      <x:c r="C2798"/>
      <x:c r="D2798"/>
      <x:c r="E2798"/>
      <x:c r="F2798"/>
      <x:c r="G2798" s="56"/>
      <x:c r="H2798"/>
      <x:c r="I2798"/>
      <x:c r="J2798"/>
      <x:c r="K2798"/>
      <x:c r="L2798"/>
      <x:c r="M2798"/>
      <x:c r="N2798"/>
      <x:c r="O2798"/>
      <x:c r="P2798"/>
    </x:row>
    <x:row r="2799">
      <x:c r="A2799"/>
      <x:c r="B2799"/>
      <x:c r="C2799"/>
      <x:c r="D2799"/>
      <x:c r="E2799"/>
      <x:c r="F2799"/>
      <x:c r="G2799" s="56"/>
      <x:c r="H2799"/>
      <x:c r="I2799"/>
      <x:c r="J2799"/>
      <x:c r="K2799"/>
      <x:c r="L2799"/>
      <x:c r="M2799"/>
      <x:c r="N2799"/>
      <x:c r="O2799"/>
      <x:c r="P2799"/>
    </x:row>
    <x:row r="2800">
      <x:c r="A2800"/>
      <x:c r="B2800"/>
      <x:c r="C2800"/>
      <x:c r="D2800"/>
      <x:c r="E2800"/>
      <x:c r="F2800"/>
      <x:c r="G2800" s="56"/>
      <x:c r="H2800"/>
      <x:c r="I2800"/>
      <x:c r="J2800"/>
      <x:c r="K2800"/>
      <x:c r="L2800"/>
      <x:c r="M2800"/>
      <x:c r="N2800"/>
      <x:c r="O2800"/>
      <x:c r="P2800"/>
    </x:row>
    <x:row r="2801">
      <x:c r="A2801"/>
      <x:c r="B2801"/>
      <x:c r="C2801"/>
      <x:c r="D2801"/>
      <x:c r="E2801"/>
      <x:c r="F2801"/>
      <x:c r="G2801" s="56"/>
      <x:c r="H2801"/>
      <x:c r="I2801"/>
      <x:c r="J2801"/>
      <x:c r="K2801"/>
      <x:c r="L2801"/>
      <x:c r="M2801"/>
      <x:c r="N2801"/>
      <x:c r="O2801"/>
      <x:c r="P2801"/>
    </x:row>
    <x:row r="2802">
      <x:c r="A2802"/>
      <x:c r="B2802"/>
      <x:c r="C2802"/>
      <x:c r="D2802"/>
      <x:c r="E2802"/>
      <x:c r="F2802"/>
      <x:c r="G2802" s="56"/>
      <x:c r="H2802"/>
      <x:c r="I2802"/>
      <x:c r="J2802"/>
      <x:c r="K2802"/>
      <x:c r="L2802"/>
      <x:c r="M2802"/>
      <x:c r="N2802"/>
      <x:c r="O2802"/>
      <x:c r="P2802"/>
    </x:row>
    <x:row r="2803">
      <x:c r="A2803"/>
      <x:c r="B2803"/>
      <x:c r="C2803"/>
      <x:c r="D2803"/>
      <x:c r="E2803"/>
      <x:c r="F2803"/>
      <x:c r="G2803" s="56"/>
      <x:c r="H2803"/>
      <x:c r="I2803"/>
      <x:c r="J2803"/>
      <x:c r="K2803"/>
      <x:c r="L2803"/>
      <x:c r="M2803"/>
      <x:c r="N2803"/>
      <x:c r="O2803"/>
      <x:c r="P2803"/>
    </x:row>
    <x:row r="2804">
      <x:c r="A2804"/>
      <x:c r="B2804"/>
      <x:c r="C2804"/>
      <x:c r="D2804"/>
      <x:c r="E2804"/>
      <x:c r="F2804"/>
      <x:c r="G2804" s="56"/>
      <x:c r="H2804"/>
      <x:c r="I2804"/>
      <x:c r="J2804"/>
      <x:c r="K2804"/>
      <x:c r="L2804"/>
      <x:c r="M2804"/>
      <x:c r="N2804"/>
      <x:c r="O2804"/>
      <x:c r="P2804"/>
    </x:row>
    <x:row r="2805">
      <x:c r="A2805"/>
      <x:c r="B2805"/>
      <x:c r="C2805"/>
      <x:c r="D2805"/>
      <x:c r="E2805"/>
      <x:c r="F2805"/>
      <x:c r="G2805" s="56"/>
      <x:c r="H2805"/>
      <x:c r="I2805"/>
      <x:c r="J2805"/>
      <x:c r="K2805"/>
      <x:c r="L2805"/>
      <x:c r="M2805"/>
      <x:c r="N2805"/>
      <x:c r="O2805"/>
      <x:c r="P2805"/>
    </x:row>
    <x:row r="2806">
      <x:c r="A2806"/>
      <x:c r="B2806"/>
      <x:c r="C2806"/>
      <x:c r="D2806"/>
      <x:c r="E2806"/>
      <x:c r="F2806"/>
      <x:c r="G2806" s="56"/>
      <x:c r="H2806"/>
      <x:c r="I2806"/>
      <x:c r="J2806"/>
      <x:c r="K2806"/>
      <x:c r="L2806"/>
      <x:c r="M2806"/>
      <x:c r="N2806"/>
      <x:c r="O2806"/>
      <x:c r="P2806"/>
    </x:row>
    <x:row r="2807">
      <x:c r="A2807"/>
      <x:c r="B2807"/>
      <x:c r="C2807"/>
      <x:c r="D2807"/>
      <x:c r="E2807"/>
      <x:c r="F2807"/>
      <x:c r="G2807" s="56"/>
      <x:c r="H2807"/>
      <x:c r="I2807"/>
      <x:c r="J2807"/>
      <x:c r="K2807"/>
      <x:c r="L2807"/>
      <x:c r="M2807"/>
      <x:c r="N2807"/>
      <x:c r="O2807"/>
      <x:c r="P2807"/>
    </x:row>
    <x:row r="2808">
      <x:c r="A2808"/>
      <x:c r="B2808"/>
      <x:c r="C2808"/>
      <x:c r="D2808"/>
      <x:c r="E2808"/>
      <x:c r="F2808"/>
      <x:c r="G2808" s="56"/>
      <x:c r="H2808"/>
      <x:c r="I2808"/>
      <x:c r="J2808"/>
      <x:c r="K2808"/>
      <x:c r="L2808"/>
      <x:c r="M2808"/>
      <x:c r="N2808"/>
      <x:c r="O2808"/>
      <x:c r="P2808"/>
    </x:row>
    <x:row r="2809">
      <x:c r="A2809"/>
      <x:c r="B2809"/>
      <x:c r="C2809"/>
      <x:c r="D2809"/>
      <x:c r="E2809"/>
      <x:c r="F2809"/>
      <x:c r="G2809" s="56"/>
      <x:c r="H2809"/>
      <x:c r="I2809"/>
      <x:c r="J2809"/>
      <x:c r="K2809"/>
      <x:c r="L2809"/>
      <x:c r="M2809"/>
      <x:c r="N2809"/>
      <x:c r="O2809"/>
      <x:c r="P2809"/>
    </x:row>
    <x:row r="2810">
      <x:c r="A2810"/>
      <x:c r="B2810"/>
      <x:c r="C2810"/>
      <x:c r="D2810"/>
      <x:c r="E2810"/>
      <x:c r="F2810"/>
      <x:c r="G2810" s="56"/>
      <x:c r="H2810"/>
      <x:c r="I2810"/>
      <x:c r="J2810"/>
      <x:c r="K2810"/>
      <x:c r="L2810"/>
      <x:c r="M2810"/>
      <x:c r="N2810"/>
      <x:c r="O2810"/>
      <x:c r="P2810"/>
    </x:row>
    <x:row r="2811">
      <x:c r="A2811"/>
      <x:c r="B2811"/>
      <x:c r="C2811"/>
      <x:c r="D2811"/>
      <x:c r="E2811"/>
      <x:c r="F2811"/>
      <x:c r="G2811" s="56"/>
      <x:c r="H2811"/>
      <x:c r="I2811"/>
      <x:c r="J2811"/>
      <x:c r="K2811"/>
      <x:c r="L2811"/>
      <x:c r="M2811"/>
      <x:c r="N2811"/>
      <x:c r="O2811"/>
      <x:c r="P2811"/>
    </x:row>
    <x:row r="2812">
      <x:c r="A2812"/>
      <x:c r="B2812"/>
      <x:c r="C2812"/>
      <x:c r="D2812"/>
      <x:c r="E2812"/>
      <x:c r="F2812"/>
      <x:c r="G2812" s="56"/>
      <x:c r="H2812"/>
      <x:c r="I2812"/>
      <x:c r="J2812"/>
      <x:c r="K2812"/>
      <x:c r="L2812"/>
      <x:c r="M2812"/>
      <x:c r="N2812"/>
      <x:c r="O2812"/>
      <x:c r="P2812"/>
    </x:row>
    <x:row r="2813">
      <x:c r="A2813"/>
      <x:c r="B2813"/>
      <x:c r="C2813"/>
      <x:c r="D2813"/>
      <x:c r="E2813"/>
      <x:c r="F2813"/>
      <x:c r="G2813" s="56"/>
      <x:c r="H2813"/>
      <x:c r="I2813"/>
      <x:c r="J2813"/>
      <x:c r="K2813"/>
      <x:c r="L2813"/>
      <x:c r="M2813"/>
      <x:c r="N2813"/>
      <x:c r="O2813"/>
      <x:c r="P2813"/>
    </x:row>
    <x:row r="2814">
      <x:c r="A2814"/>
      <x:c r="B2814"/>
      <x:c r="C2814"/>
      <x:c r="D2814"/>
      <x:c r="E2814"/>
      <x:c r="F2814"/>
      <x:c r="G2814" s="56"/>
      <x:c r="H2814"/>
      <x:c r="I2814"/>
      <x:c r="J2814"/>
      <x:c r="K2814"/>
      <x:c r="L2814"/>
      <x:c r="M2814"/>
      <x:c r="N2814"/>
      <x:c r="O2814"/>
      <x:c r="P2814"/>
    </x:row>
    <x:row r="2815">
      <x:c r="A2815"/>
      <x:c r="B2815"/>
      <x:c r="C2815"/>
      <x:c r="D2815"/>
      <x:c r="E2815"/>
      <x:c r="F2815"/>
      <x:c r="G2815" s="56"/>
      <x:c r="H2815"/>
      <x:c r="I2815"/>
      <x:c r="J2815"/>
      <x:c r="K2815"/>
      <x:c r="L2815"/>
      <x:c r="M2815"/>
      <x:c r="N2815"/>
      <x:c r="O2815"/>
      <x:c r="P2815"/>
    </x:row>
    <x:row r="2816">
      <x:c r="A2816"/>
      <x:c r="B2816"/>
      <x:c r="C2816"/>
      <x:c r="D2816"/>
      <x:c r="E2816"/>
      <x:c r="F2816"/>
      <x:c r="G2816" s="56"/>
      <x:c r="H2816"/>
      <x:c r="I2816"/>
      <x:c r="J2816"/>
      <x:c r="K2816"/>
      <x:c r="L2816"/>
      <x:c r="M2816"/>
      <x:c r="N2816"/>
      <x:c r="O2816"/>
      <x:c r="P2816"/>
    </x:row>
    <x:row r="2817">
      <x:c r="A2817"/>
      <x:c r="B2817"/>
      <x:c r="C2817"/>
      <x:c r="D2817"/>
      <x:c r="E2817"/>
      <x:c r="F2817"/>
      <x:c r="G2817" s="56"/>
      <x:c r="H2817"/>
      <x:c r="I2817"/>
      <x:c r="J2817"/>
      <x:c r="K2817"/>
      <x:c r="L2817"/>
      <x:c r="M2817"/>
      <x:c r="N2817"/>
      <x:c r="O2817"/>
      <x:c r="P2817"/>
    </x:row>
    <x:row r="2818">
      <x:c r="A2818"/>
      <x:c r="B2818"/>
      <x:c r="C2818"/>
      <x:c r="D2818"/>
      <x:c r="E2818"/>
      <x:c r="F2818"/>
      <x:c r="G2818" s="56"/>
      <x:c r="H2818"/>
      <x:c r="I2818"/>
      <x:c r="J2818"/>
      <x:c r="K2818"/>
      <x:c r="L2818"/>
      <x:c r="M2818"/>
      <x:c r="N2818"/>
      <x:c r="O2818"/>
      <x:c r="P2818"/>
    </x:row>
    <x:row r="2819">
      <x:c r="A2819"/>
      <x:c r="B2819"/>
      <x:c r="C2819"/>
      <x:c r="D2819"/>
      <x:c r="E2819"/>
      <x:c r="F2819"/>
      <x:c r="G2819" s="56"/>
      <x:c r="H2819"/>
      <x:c r="I2819"/>
      <x:c r="J2819"/>
      <x:c r="K2819"/>
      <x:c r="L2819"/>
      <x:c r="M2819"/>
      <x:c r="N2819"/>
      <x:c r="O2819"/>
      <x:c r="P2819"/>
    </x:row>
    <x:row r="2820">
      <x:c r="A2820"/>
      <x:c r="B2820"/>
      <x:c r="C2820"/>
      <x:c r="D2820"/>
      <x:c r="E2820"/>
      <x:c r="F2820"/>
      <x:c r="G2820" s="56"/>
      <x:c r="H2820"/>
      <x:c r="I2820"/>
      <x:c r="J2820"/>
      <x:c r="K2820"/>
      <x:c r="L2820"/>
      <x:c r="M2820"/>
      <x:c r="N2820"/>
      <x:c r="O2820"/>
      <x:c r="P2820"/>
    </x:row>
    <x:row r="2821">
      <x:c r="A2821"/>
      <x:c r="B2821"/>
      <x:c r="C2821"/>
      <x:c r="D2821"/>
      <x:c r="E2821"/>
      <x:c r="F2821"/>
      <x:c r="G2821" s="56"/>
      <x:c r="H2821"/>
      <x:c r="I2821"/>
      <x:c r="J2821"/>
      <x:c r="K2821"/>
      <x:c r="L2821"/>
      <x:c r="M2821"/>
      <x:c r="N2821"/>
      <x:c r="O2821"/>
      <x:c r="P2821"/>
    </x:row>
    <x:row r="2822">
      <x:c r="A2822"/>
      <x:c r="B2822"/>
      <x:c r="C2822"/>
      <x:c r="D2822"/>
      <x:c r="E2822"/>
      <x:c r="F2822"/>
      <x:c r="G2822" s="56"/>
      <x:c r="H2822"/>
      <x:c r="I2822"/>
      <x:c r="J2822"/>
      <x:c r="K2822"/>
      <x:c r="L2822"/>
      <x:c r="M2822"/>
      <x:c r="N2822"/>
      <x:c r="O2822"/>
      <x:c r="P2822"/>
    </x:row>
    <x:row r="2823">
      <x:c r="A2823"/>
      <x:c r="B2823"/>
      <x:c r="C2823"/>
      <x:c r="D2823"/>
      <x:c r="E2823"/>
      <x:c r="F2823"/>
      <x:c r="G2823" s="56"/>
      <x:c r="H2823"/>
      <x:c r="I2823"/>
      <x:c r="J2823"/>
      <x:c r="K2823"/>
      <x:c r="L2823"/>
      <x:c r="M2823"/>
      <x:c r="N2823"/>
      <x:c r="O2823"/>
      <x:c r="P2823"/>
    </x:row>
    <x:row r="2824">
      <x:c r="A2824"/>
      <x:c r="B2824"/>
      <x:c r="C2824"/>
      <x:c r="D2824"/>
      <x:c r="E2824"/>
      <x:c r="F2824"/>
      <x:c r="G2824" s="56"/>
      <x:c r="H2824"/>
      <x:c r="I2824"/>
      <x:c r="J2824"/>
      <x:c r="K2824"/>
      <x:c r="L2824"/>
      <x:c r="M2824"/>
      <x:c r="N2824"/>
      <x:c r="O2824"/>
      <x:c r="P2824"/>
    </x:row>
    <x:row r="2825">
      <x:c r="A2825"/>
      <x:c r="B2825"/>
      <x:c r="C2825"/>
      <x:c r="D2825"/>
      <x:c r="E2825"/>
      <x:c r="F2825"/>
      <x:c r="G2825" s="56"/>
      <x:c r="H2825"/>
      <x:c r="I2825"/>
      <x:c r="J2825"/>
      <x:c r="K2825"/>
      <x:c r="L2825"/>
      <x:c r="M2825"/>
      <x:c r="N2825"/>
      <x:c r="O2825"/>
      <x:c r="P2825"/>
    </x:row>
    <x:row r="2826">
      <x:c r="A2826"/>
      <x:c r="B2826"/>
      <x:c r="C2826"/>
      <x:c r="D2826"/>
      <x:c r="E2826"/>
      <x:c r="F2826"/>
      <x:c r="G2826" s="56"/>
      <x:c r="H2826"/>
      <x:c r="I2826"/>
      <x:c r="J2826"/>
      <x:c r="K2826"/>
      <x:c r="L2826"/>
      <x:c r="M2826"/>
      <x:c r="N2826"/>
      <x:c r="O2826"/>
      <x:c r="P2826"/>
    </x:row>
    <x:row r="2827">
      <x:c r="A2827"/>
      <x:c r="B2827"/>
      <x:c r="C2827"/>
      <x:c r="D2827"/>
      <x:c r="E2827"/>
      <x:c r="F2827"/>
      <x:c r="G2827" s="56"/>
      <x:c r="H2827"/>
      <x:c r="I2827"/>
      <x:c r="J2827"/>
      <x:c r="K2827"/>
      <x:c r="L2827"/>
      <x:c r="M2827"/>
      <x:c r="N2827"/>
      <x:c r="O2827"/>
      <x:c r="P2827"/>
    </x:row>
    <x:row r="2828">
      <x:c r="A2828"/>
      <x:c r="B2828"/>
      <x:c r="C2828"/>
      <x:c r="D2828"/>
      <x:c r="E2828"/>
      <x:c r="F2828"/>
      <x:c r="G2828" s="56"/>
      <x:c r="H2828"/>
      <x:c r="I2828"/>
      <x:c r="J2828"/>
      <x:c r="K2828"/>
      <x:c r="L2828"/>
      <x:c r="M2828"/>
      <x:c r="N2828"/>
      <x:c r="O2828"/>
      <x:c r="P2828"/>
    </x:row>
    <x:row r="2829">
      <x:c r="A2829"/>
      <x:c r="B2829"/>
      <x:c r="C2829"/>
      <x:c r="D2829"/>
      <x:c r="E2829"/>
      <x:c r="F2829"/>
      <x:c r="G2829" s="56"/>
      <x:c r="H2829"/>
      <x:c r="I2829"/>
      <x:c r="J2829"/>
      <x:c r="K2829"/>
      <x:c r="L2829"/>
      <x:c r="M2829"/>
      <x:c r="N2829"/>
      <x:c r="O2829"/>
      <x:c r="P2829"/>
    </x:row>
    <x:row r="2830">
      <x:c r="A2830"/>
      <x:c r="B2830"/>
      <x:c r="C2830"/>
      <x:c r="D2830"/>
      <x:c r="E2830"/>
      <x:c r="F2830"/>
      <x:c r="G2830" s="56"/>
      <x:c r="H2830"/>
      <x:c r="I2830"/>
      <x:c r="J2830"/>
      <x:c r="K2830"/>
      <x:c r="L2830"/>
      <x:c r="M2830"/>
      <x:c r="N2830"/>
      <x:c r="O2830"/>
      <x:c r="P2830"/>
    </x:row>
    <x:row r="2831">
      <x:c r="A2831"/>
      <x:c r="B2831"/>
      <x:c r="C2831"/>
      <x:c r="D2831"/>
      <x:c r="E2831"/>
      <x:c r="F2831"/>
      <x:c r="G2831" s="56"/>
      <x:c r="H2831"/>
      <x:c r="I2831"/>
      <x:c r="J2831"/>
      <x:c r="K2831"/>
      <x:c r="L2831"/>
      <x:c r="M2831"/>
      <x:c r="N2831"/>
      <x:c r="O2831"/>
      <x:c r="P2831"/>
    </x:row>
    <x:row r="2832">
      <x:c r="A2832"/>
      <x:c r="B2832"/>
      <x:c r="C2832"/>
      <x:c r="D2832"/>
      <x:c r="E2832"/>
      <x:c r="F2832"/>
      <x:c r="G2832" s="56"/>
      <x:c r="H2832"/>
      <x:c r="I2832"/>
      <x:c r="J2832"/>
      <x:c r="K2832"/>
      <x:c r="L2832"/>
      <x:c r="M2832"/>
      <x:c r="N2832"/>
      <x:c r="O2832"/>
      <x:c r="P2832"/>
    </x:row>
    <x:row r="2833">
      <x:c r="A2833"/>
      <x:c r="B2833"/>
      <x:c r="C2833"/>
      <x:c r="D2833"/>
      <x:c r="E2833"/>
      <x:c r="F2833"/>
      <x:c r="G2833" s="56"/>
      <x:c r="H2833"/>
      <x:c r="I2833"/>
      <x:c r="J2833"/>
      <x:c r="K2833"/>
      <x:c r="L2833"/>
      <x:c r="M2833"/>
      <x:c r="N2833"/>
      <x:c r="O2833"/>
      <x:c r="P2833"/>
    </x:row>
    <x:row r="2834">
      <x:c r="A2834"/>
      <x:c r="B2834"/>
      <x:c r="C2834"/>
      <x:c r="D2834"/>
      <x:c r="E2834"/>
      <x:c r="F2834"/>
      <x:c r="G2834" s="56"/>
      <x:c r="H2834"/>
      <x:c r="I2834"/>
      <x:c r="J2834"/>
      <x:c r="K2834"/>
      <x:c r="L2834"/>
      <x:c r="M2834"/>
      <x:c r="N2834"/>
      <x:c r="O2834"/>
      <x:c r="P2834"/>
    </x:row>
    <x:row r="2835">
      <x:c r="A2835"/>
      <x:c r="B2835"/>
      <x:c r="C2835"/>
      <x:c r="D2835"/>
      <x:c r="E2835"/>
      <x:c r="F2835"/>
      <x:c r="G2835" s="56"/>
      <x:c r="H2835"/>
      <x:c r="I2835"/>
      <x:c r="J2835"/>
      <x:c r="K2835"/>
      <x:c r="L2835"/>
      <x:c r="M2835"/>
      <x:c r="N2835"/>
      <x:c r="O2835"/>
      <x:c r="P2835"/>
    </x:row>
    <x:row r="2836">
      <x:c r="A2836"/>
      <x:c r="B2836"/>
      <x:c r="C2836"/>
      <x:c r="D2836"/>
      <x:c r="E2836"/>
      <x:c r="F2836"/>
      <x:c r="G2836" s="56"/>
      <x:c r="H2836"/>
      <x:c r="I2836"/>
      <x:c r="J2836"/>
      <x:c r="K2836"/>
      <x:c r="L2836"/>
      <x:c r="M2836"/>
      <x:c r="N2836"/>
      <x:c r="O2836"/>
      <x:c r="P2836"/>
    </x:row>
    <x:row r="2837">
      <x:c r="A2837"/>
      <x:c r="B2837"/>
      <x:c r="C2837"/>
      <x:c r="D2837"/>
      <x:c r="E2837"/>
      <x:c r="F2837"/>
      <x:c r="G2837" s="56"/>
      <x:c r="H2837"/>
      <x:c r="I2837"/>
      <x:c r="J2837"/>
      <x:c r="K2837"/>
      <x:c r="L2837"/>
      <x:c r="M2837"/>
      <x:c r="N2837"/>
      <x:c r="O2837"/>
      <x:c r="P2837"/>
    </x:row>
    <x:row r="2838">
      <x:c r="A2838"/>
      <x:c r="B2838"/>
      <x:c r="C2838"/>
      <x:c r="D2838"/>
      <x:c r="E2838"/>
      <x:c r="F2838"/>
      <x:c r="G2838" s="56"/>
      <x:c r="H2838"/>
      <x:c r="I2838"/>
      <x:c r="J2838"/>
      <x:c r="K2838"/>
      <x:c r="L2838"/>
      <x:c r="M2838"/>
      <x:c r="N2838"/>
      <x:c r="O2838"/>
      <x:c r="P2838"/>
    </x:row>
    <x:row r="2839">
      <x:c r="A2839"/>
      <x:c r="B2839"/>
      <x:c r="C2839"/>
      <x:c r="D2839"/>
      <x:c r="E2839"/>
      <x:c r="F2839"/>
      <x:c r="G2839" s="56"/>
      <x:c r="H2839"/>
      <x:c r="I2839"/>
      <x:c r="J2839"/>
      <x:c r="K2839"/>
      <x:c r="L2839"/>
      <x:c r="M2839"/>
      <x:c r="N2839"/>
      <x:c r="O2839"/>
      <x:c r="P2839"/>
    </x:row>
    <x:row r="2840">
      <x:c r="A2840"/>
      <x:c r="B2840"/>
      <x:c r="C2840"/>
      <x:c r="D2840"/>
      <x:c r="E2840"/>
      <x:c r="F2840"/>
      <x:c r="G2840" s="56"/>
      <x:c r="H2840"/>
      <x:c r="I2840"/>
      <x:c r="J2840"/>
      <x:c r="K2840"/>
      <x:c r="L2840"/>
      <x:c r="M2840"/>
      <x:c r="N2840"/>
      <x:c r="O2840"/>
      <x:c r="P2840"/>
    </x:row>
    <x:row r="2841">
      <x:c r="A2841"/>
      <x:c r="B2841"/>
      <x:c r="C2841"/>
      <x:c r="D2841"/>
      <x:c r="E2841"/>
      <x:c r="F2841"/>
      <x:c r="G2841" s="56"/>
      <x:c r="H2841"/>
      <x:c r="I2841"/>
      <x:c r="J2841"/>
      <x:c r="K2841"/>
      <x:c r="L2841"/>
      <x:c r="M2841"/>
      <x:c r="N2841"/>
      <x:c r="O2841"/>
      <x:c r="P2841"/>
    </x:row>
    <x:row r="2842">
      <x:c r="A2842"/>
      <x:c r="B2842"/>
      <x:c r="C2842"/>
      <x:c r="D2842"/>
      <x:c r="E2842"/>
      <x:c r="F2842"/>
      <x:c r="G2842" s="56"/>
      <x:c r="H2842"/>
      <x:c r="I2842"/>
      <x:c r="J2842"/>
      <x:c r="K2842"/>
      <x:c r="L2842"/>
      <x:c r="M2842"/>
      <x:c r="N2842"/>
      <x:c r="O2842"/>
      <x:c r="P2842"/>
    </x:row>
    <x:row r="2843">
      <x:c r="A2843"/>
      <x:c r="B2843"/>
      <x:c r="C2843"/>
      <x:c r="D2843"/>
      <x:c r="E2843"/>
      <x:c r="F2843"/>
      <x:c r="G2843" s="56"/>
      <x:c r="H2843"/>
      <x:c r="I2843"/>
      <x:c r="J2843"/>
      <x:c r="K2843"/>
      <x:c r="L2843"/>
      <x:c r="M2843"/>
      <x:c r="N2843"/>
      <x:c r="O2843"/>
      <x:c r="P2843"/>
    </x:row>
    <x:row r="2844">
      <x:c r="A2844"/>
      <x:c r="B2844"/>
      <x:c r="C2844"/>
      <x:c r="D2844"/>
      <x:c r="E2844"/>
      <x:c r="F2844"/>
      <x:c r="G2844" s="56"/>
      <x:c r="H2844"/>
      <x:c r="I2844"/>
      <x:c r="J2844"/>
      <x:c r="K2844"/>
      <x:c r="L2844"/>
      <x:c r="M2844"/>
      <x:c r="N2844"/>
      <x:c r="O2844"/>
      <x:c r="P2844"/>
    </x:row>
    <x:row r="2845">
      <x:c r="A2845"/>
      <x:c r="B2845"/>
      <x:c r="C2845"/>
      <x:c r="D2845"/>
      <x:c r="E2845"/>
      <x:c r="F2845"/>
      <x:c r="G2845" s="56"/>
      <x:c r="H2845"/>
      <x:c r="I2845"/>
      <x:c r="J2845"/>
      <x:c r="K2845"/>
      <x:c r="L2845"/>
      <x:c r="M2845"/>
      <x:c r="N2845"/>
      <x:c r="O2845"/>
      <x:c r="P2845"/>
    </x:row>
    <x:row r="2846">
      <x:c r="A2846"/>
      <x:c r="B2846"/>
      <x:c r="C2846"/>
      <x:c r="D2846"/>
      <x:c r="E2846"/>
      <x:c r="F2846"/>
      <x:c r="G2846" s="56"/>
      <x:c r="H2846"/>
      <x:c r="I2846"/>
      <x:c r="J2846"/>
      <x:c r="K2846"/>
      <x:c r="L2846"/>
      <x:c r="M2846"/>
      <x:c r="N2846"/>
      <x:c r="O2846"/>
      <x:c r="P2846"/>
    </x:row>
    <x:row r="2847">
      <x:c r="A2847"/>
      <x:c r="B2847"/>
      <x:c r="C2847"/>
      <x:c r="D2847"/>
      <x:c r="E2847"/>
      <x:c r="F2847"/>
      <x:c r="G2847" s="56"/>
      <x:c r="H2847"/>
      <x:c r="I2847"/>
      <x:c r="J2847"/>
      <x:c r="K2847"/>
      <x:c r="L2847"/>
      <x:c r="M2847"/>
      <x:c r="N2847"/>
      <x:c r="O2847"/>
      <x:c r="P2847"/>
    </x:row>
    <x:row r="2848">
      <x:c r="A2848"/>
      <x:c r="B2848"/>
      <x:c r="C2848"/>
      <x:c r="D2848"/>
      <x:c r="E2848"/>
      <x:c r="F2848"/>
      <x:c r="G2848" s="56"/>
      <x:c r="H2848"/>
      <x:c r="I2848"/>
      <x:c r="J2848"/>
      <x:c r="K2848"/>
      <x:c r="L2848"/>
      <x:c r="M2848"/>
      <x:c r="N2848"/>
      <x:c r="O2848"/>
      <x:c r="P2848"/>
    </x:row>
    <x:row r="2849">
      <x:c r="A2849"/>
      <x:c r="B2849"/>
      <x:c r="C2849"/>
      <x:c r="D2849"/>
      <x:c r="E2849"/>
      <x:c r="F2849"/>
      <x:c r="G2849" s="56"/>
      <x:c r="H2849"/>
      <x:c r="I2849"/>
      <x:c r="J2849"/>
      <x:c r="K2849"/>
      <x:c r="L2849"/>
      <x:c r="M2849"/>
      <x:c r="N2849"/>
      <x:c r="O2849"/>
      <x:c r="P2849"/>
    </x:row>
    <x:row r="2850">
      <x:c r="A2850"/>
      <x:c r="B2850"/>
      <x:c r="C2850"/>
      <x:c r="D2850"/>
      <x:c r="E2850"/>
      <x:c r="F2850"/>
      <x:c r="G2850" s="56"/>
      <x:c r="H2850"/>
      <x:c r="I2850"/>
      <x:c r="J2850"/>
      <x:c r="K2850"/>
      <x:c r="L2850"/>
      <x:c r="M2850"/>
      <x:c r="N2850"/>
      <x:c r="O2850"/>
      <x:c r="P2850"/>
    </x:row>
    <x:row r="2851">
      <x:c r="A2851"/>
      <x:c r="B2851"/>
      <x:c r="C2851"/>
      <x:c r="D2851"/>
      <x:c r="E2851"/>
      <x:c r="F2851"/>
      <x:c r="G2851" s="56"/>
      <x:c r="H2851"/>
      <x:c r="I2851"/>
      <x:c r="J2851"/>
      <x:c r="K2851"/>
      <x:c r="L2851"/>
      <x:c r="M2851"/>
      <x:c r="N2851"/>
      <x:c r="O2851"/>
      <x:c r="P2851"/>
    </x:row>
    <x:row r="2852">
      <x:c r="A2852"/>
      <x:c r="B2852"/>
      <x:c r="C2852"/>
      <x:c r="D2852"/>
      <x:c r="E2852"/>
      <x:c r="F2852"/>
      <x:c r="G2852" s="56"/>
      <x:c r="H2852"/>
      <x:c r="I2852"/>
      <x:c r="J2852"/>
      <x:c r="K2852"/>
      <x:c r="L2852"/>
      <x:c r="M2852"/>
      <x:c r="N2852"/>
      <x:c r="O2852"/>
      <x:c r="P2852"/>
    </x:row>
    <x:row r="2853">
      <x:c r="A2853"/>
      <x:c r="B2853"/>
      <x:c r="C2853"/>
      <x:c r="D2853"/>
      <x:c r="E2853"/>
      <x:c r="F2853"/>
      <x:c r="G2853" s="56"/>
      <x:c r="H2853"/>
      <x:c r="I2853"/>
      <x:c r="J2853"/>
      <x:c r="K2853"/>
      <x:c r="L2853"/>
      <x:c r="M2853"/>
      <x:c r="N2853"/>
      <x:c r="O2853"/>
      <x:c r="P2853"/>
    </x:row>
    <x:row r="2854">
      <x:c r="A2854"/>
      <x:c r="B2854"/>
      <x:c r="C2854"/>
      <x:c r="D2854"/>
      <x:c r="E2854"/>
      <x:c r="F2854"/>
      <x:c r="G2854" s="56"/>
      <x:c r="H2854"/>
      <x:c r="I2854"/>
      <x:c r="J2854"/>
      <x:c r="K2854"/>
      <x:c r="L2854"/>
      <x:c r="M2854"/>
      <x:c r="N2854"/>
      <x:c r="O2854"/>
      <x:c r="P2854"/>
    </x:row>
    <x:row r="2855">
      <x:c r="A2855"/>
      <x:c r="B2855"/>
      <x:c r="C2855"/>
      <x:c r="D2855"/>
      <x:c r="E2855"/>
      <x:c r="F2855"/>
      <x:c r="G2855" s="56"/>
      <x:c r="H2855"/>
      <x:c r="I2855"/>
      <x:c r="J2855"/>
      <x:c r="K2855"/>
      <x:c r="L2855"/>
      <x:c r="M2855"/>
      <x:c r="N2855"/>
      <x:c r="O2855"/>
      <x:c r="P2855"/>
    </x:row>
    <x:row r="2856">
      <x:c r="A2856"/>
      <x:c r="B2856"/>
      <x:c r="C2856"/>
      <x:c r="D2856"/>
      <x:c r="E2856"/>
      <x:c r="F2856"/>
      <x:c r="G2856" s="56"/>
      <x:c r="H2856"/>
      <x:c r="I2856"/>
      <x:c r="J2856"/>
      <x:c r="K2856"/>
      <x:c r="L2856"/>
      <x:c r="M2856"/>
      <x:c r="N2856"/>
      <x:c r="O2856"/>
      <x:c r="P2856"/>
    </x:row>
    <x:row r="2857">
      <x:c r="A2857"/>
      <x:c r="B2857"/>
      <x:c r="C2857"/>
      <x:c r="D2857"/>
      <x:c r="E2857"/>
      <x:c r="F2857"/>
      <x:c r="G2857" s="56"/>
      <x:c r="H2857"/>
      <x:c r="I2857"/>
      <x:c r="J2857"/>
      <x:c r="K2857"/>
      <x:c r="L2857"/>
      <x:c r="M2857"/>
      <x:c r="N2857"/>
      <x:c r="O2857"/>
      <x:c r="P2857"/>
    </x:row>
    <x:row r="2858">
      <x:c r="A2858"/>
      <x:c r="B2858"/>
      <x:c r="C2858"/>
      <x:c r="D2858"/>
      <x:c r="E2858"/>
      <x:c r="F2858"/>
      <x:c r="G2858" s="56"/>
      <x:c r="H2858"/>
      <x:c r="I2858"/>
      <x:c r="J2858"/>
      <x:c r="K2858"/>
      <x:c r="L2858"/>
      <x:c r="M2858"/>
      <x:c r="N2858"/>
      <x:c r="O2858"/>
      <x:c r="P2858"/>
    </x:row>
    <x:row r="2859">
      <x:c r="A2859"/>
      <x:c r="B2859"/>
      <x:c r="C2859"/>
      <x:c r="D2859"/>
      <x:c r="E2859"/>
      <x:c r="F2859"/>
      <x:c r="G2859" s="56"/>
      <x:c r="H2859"/>
      <x:c r="I2859"/>
      <x:c r="J2859"/>
      <x:c r="K2859"/>
      <x:c r="L2859"/>
      <x:c r="M2859"/>
      <x:c r="N2859"/>
      <x:c r="O2859"/>
      <x:c r="P2859"/>
    </x:row>
    <x:row r="2860">
      <x:c r="A2860"/>
      <x:c r="B2860"/>
      <x:c r="C2860"/>
      <x:c r="D2860"/>
      <x:c r="E2860"/>
      <x:c r="F2860"/>
      <x:c r="G2860" s="56"/>
      <x:c r="H2860"/>
      <x:c r="I2860"/>
      <x:c r="J2860"/>
      <x:c r="K2860"/>
      <x:c r="L2860"/>
      <x:c r="M2860"/>
      <x:c r="N2860"/>
      <x:c r="O2860"/>
      <x:c r="P2860"/>
    </x:row>
    <x:row r="2861">
      <x:c r="A2861"/>
      <x:c r="B2861"/>
      <x:c r="C2861"/>
      <x:c r="D2861"/>
      <x:c r="E2861"/>
      <x:c r="F2861"/>
      <x:c r="G2861" s="56"/>
      <x:c r="H2861"/>
      <x:c r="I2861"/>
      <x:c r="J2861"/>
      <x:c r="K2861"/>
      <x:c r="L2861"/>
      <x:c r="M2861"/>
      <x:c r="N2861"/>
      <x:c r="O2861"/>
      <x:c r="P2861"/>
    </x:row>
    <x:row r="2862">
      <x:c r="A2862"/>
      <x:c r="B2862"/>
      <x:c r="C2862"/>
      <x:c r="D2862"/>
      <x:c r="E2862"/>
      <x:c r="F2862"/>
      <x:c r="G2862" s="56"/>
      <x:c r="H2862"/>
      <x:c r="I2862"/>
      <x:c r="J2862"/>
      <x:c r="K2862"/>
      <x:c r="L2862"/>
      <x:c r="M2862"/>
      <x:c r="N2862"/>
      <x:c r="O2862"/>
      <x:c r="P2862"/>
    </x:row>
    <x:row r="2863">
      <x:c r="A2863"/>
      <x:c r="B2863"/>
      <x:c r="C2863"/>
      <x:c r="D2863"/>
      <x:c r="E2863"/>
      <x:c r="F2863"/>
      <x:c r="G2863" s="56"/>
      <x:c r="H2863"/>
      <x:c r="I2863"/>
      <x:c r="J2863"/>
      <x:c r="K2863"/>
      <x:c r="L2863"/>
      <x:c r="M2863"/>
      <x:c r="N2863"/>
      <x:c r="O2863"/>
      <x:c r="P2863"/>
    </x:row>
    <x:row r="2864">
      <x:c r="A2864"/>
      <x:c r="B2864"/>
      <x:c r="C2864"/>
      <x:c r="D2864"/>
      <x:c r="E2864"/>
      <x:c r="F2864"/>
      <x:c r="G2864" s="56"/>
      <x:c r="H2864"/>
      <x:c r="I2864"/>
      <x:c r="J2864"/>
      <x:c r="K2864"/>
      <x:c r="L2864"/>
      <x:c r="M2864"/>
      <x:c r="N2864"/>
      <x:c r="O2864"/>
      <x:c r="P2864"/>
    </x:row>
    <x:row r="2865">
      <x:c r="A2865"/>
      <x:c r="B2865"/>
      <x:c r="C2865"/>
      <x:c r="D2865"/>
      <x:c r="E2865"/>
      <x:c r="F2865"/>
      <x:c r="G2865" s="56"/>
      <x:c r="H2865"/>
      <x:c r="I2865"/>
      <x:c r="J2865"/>
      <x:c r="K2865"/>
      <x:c r="L2865"/>
      <x:c r="M2865"/>
      <x:c r="N2865"/>
      <x:c r="O2865"/>
      <x:c r="P2865"/>
    </x:row>
    <x:row r="2866">
      <x:c r="A2866"/>
      <x:c r="B2866"/>
      <x:c r="C2866"/>
      <x:c r="D2866"/>
      <x:c r="E2866"/>
      <x:c r="F2866"/>
      <x:c r="G2866" s="56"/>
      <x:c r="H2866"/>
      <x:c r="I2866"/>
      <x:c r="J2866"/>
      <x:c r="K2866"/>
      <x:c r="L2866"/>
      <x:c r="M2866"/>
      <x:c r="N2866"/>
      <x:c r="O2866"/>
      <x:c r="P2866"/>
    </x:row>
    <x:row r="2867">
      <x:c r="A2867"/>
      <x:c r="B2867"/>
      <x:c r="C2867"/>
      <x:c r="D2867"/>
      <x:c r="E2867"/>
      <x:c r="F2867"/>
      <x:c r="G2867" s="56"/>
      <x:c r="H2867"/>
      <x:c r="I2867"/>
      <x:c r="J2867"/>
      <x:c r="K2867"/>
      <x:c r="L2867"/>
      <x:c r="M2867"/>
      <x:c r="N2867"/>
      <x:c r="O2867"/>
      <x:c r="P2867"/>
    </x:row>
    <x:row r="2868">
      <x:c r="A2868"/>
      <x:c r="B2868"/>
      <x:c r="C2868"/>
      <x:c r="D2868"/>
      <x:c r="E2868"/>
      <x:c r="F2868"/>
      <x:c r="G2868" s="56"/>
      <x:c r="H2868"/>
      <x:c r="I2868"/>
      <x:c r="J2868"/>
      <x:c r="K2868"/>
      <x:c r="L2868"/>
      <x:c r="M2868"/>
      <x:c r="N2868"/>
      <x:c r="O2868"/>
      <x:c r="P2868"/>
    </x:row>
    <x:row r="2869">
      <x:c r="A2869"/>
      <x:c r="B2869"/>
      <x:c r="C2869"/>
      <x:c r="D2869"/>
      <x:c r="E2869"/>
      <x:c r="F2869"/>
      <x:c r="G2869" s="56"/>
      <x:c r="H2869"/>
      <x:c r="I2869"/>
      <x:c r="J2869"/>
      <x:c r="K2869"/>
      <x:c r="L2869"/>
      <x:c r="M2869"/>
      <x:c r="N2869"/>
      <x:c r="O2869"/>
      <x:c r="P2869"/>
    </x:row>
    <x:row r="2870">
      <x:c r="A2870"/>
      <x:c r="B2870"/>
      <x:c r="C2870"/>
      <x:c r="D2870"/>
      <x:c r="E2870"/>
      <x:c r="F2870"/>
      <x:c r="G2870" s="56"/>
      <x:c r="H2870"/>
      <x:c r="I2870"/>
      <x:c r="J2870"/>
      <x:c r="K2870"/>
      <x:c r="L2870"/>
      <x:c r="M2870"/>
      <x:c r="N2870"/>
      <x:c r="O2870"/>
      <x:c r="P2870"/>
    </x:row>
    <x:row r="2871">
      <x:c r="A2871"/>
      <x:c r="B2871"/>
      <x:c r="C2871"/>
      <x:c r="D2871"/>
      <x:c r="E2871"/>
      <x:c r="F2871"/>
      <x:c r="G2871" s="56"/>
      <x:c r="H2871"/>
      <x:c r="I2871"/>
      <x:c r="J2871"/>
      <x:c r="K2871"/>
      <x:c r="L2871"/>
      <x:c r="M2871"/>
      <x:c r="N2871"/>
      <x:c r="O2871"/>
      <x:c r="P2871"/>
    </x:row>
    <x:row r="2872">
      <x:c r="A2872"/>
      <x:c r="B2872"/>
      <x:c r="C2872"/>
      <x:c r="D2872"/>
      <x:c r="E2872"/>
      <x:c r="F2872"/>
      <x:c r="G2872" s="56"/>
      <x:c r="H2872"/>
      <x:c r="I2872"/>
      <x:c r="J2872"/>
      <x:c r="K2872"/>
      <x:c r="L2872"/>
      <x:c r="M2872"/>
      <x:c r="N2872"/>
      <x:c r="O2872"/>
      <x:c r="P2872"/>
    </x:row>
    <x:row r="2873">
      <x:c r="A2873"/>
      <x:c r="B2873"/>
      <x:c r="C2873"/>
      <x:c r="D2873"/>
      <x:c r="E2873"/>
      <x:c r="F2873"/>
      <x:c r="G2873" s="56"/>
      <x:c r="H2873"/>
      <x:c r="I2873"/>
      <x:c r="J2873"/>
      <x:c r="K2873"/>
      <x:c r="L2873"/>
      <x:c r="M2873"/>
      <x:c r="N2873"/>
      <x:c r="O2873"/>
      <x:c r="P2873"/>
    </x:row>
    <x:row r="2874">
      <x:c r="A2874"/>
      <x:c r="B2874"/>
      <x:c r="C2874"/>
      <x:c r="D2874"/>
      <x:c r="E2874"/>
      <x:c r="F2874"/>
      <x:c r="G2874" s="56"/>
      <x:c r="H2874"/>
      <x:c r="I2874"/>
      <x:c r="J2874"/>
      <x:c r="K2874"/>
      <x:c r="L2874"/>
      <x:c r="M2874"/>
      <x:c r="N2874"/>
      <x:c r="O2874"/>
      <x:c r="P2874"/>
    </x:row>
    <x:row r="2875">
      <x:c r="A2875"/>
      <x:c r="B2875"/>
      <x:c r="C2875"/>
      <x:c r="D2875"/>
      <x:c r="E2875"/>
      <x:c r="F2875"/>
      <x:c r="G2875" s="56"/>
      <x:c r="H2875"/>
      <x:c r="I2875"/>
      <x:c r="J2875"/>
      <x:c r="K2875"/>
      <x:c r="L2875"/>
      <x:c r="M2875"/>
      <x:c r="N2875"/>
      <x:c r="O2875"/>
      <x:c r="P2875"/>
    </x:row>
    <x:row r="2876">
      <x:c r="A2876"/>
      <x:c r="B2876"/>
      <x:c r="C2876"/>
      <x:c r="D2876"/>
      <x:c r="E2876"/>
      <x:c r="F2876"/>
      <x:c r="G2876" s="56"/>
      <x:c r="H2876"/>
      <x:c r="I2876"/>
      <x:c r="J2876"/>
      <x:c r="K2876"/>
      <x:c r="L2876"/>
      <x:c r="M2876"/>
      <x:c r="N2876"/>
      <x:c r="O2876"/>
      <x:c r="P2876"/>
    </x:row>
    <x:row r="2877">
      <x:c r="A2877"/>
      <x:c r="B2877"/>
      <x:c r="C2877"/>
      <x:c r="D2877"/>
      <x:c r="E2877"/>
      <x:c r="F2877"/>
      <x:c r="G2877" s="56"/>
      <x:c r="H2877"/>
      <x:c r="I2877"/>
      <x:c r="J2877"/>
      <x:c r="K2877"/>
      <x:c r="L2877"/>
      <x:c r="M2877"/>
      <x:c r="N2877"/>
      <x:c r="O2877"/>
      <x:c r="P2877"/>
    </x:row>
    <x:row r="2878">
      <x:c r="A2878"/>
      <x:c r="B2878"/>
      <x:c r="C2878"/>
      <x:c r="D2878"/>
      <x:c r="E2878"/>
      <x:c r="F2878"/>
      <x:c r="G2878" s="56"/>
      <x:c r="H2878"/>
      <x:c r="I2878"/>
      <x:c r="J2878"/>
      <x:c r="K2878"/>
      <x:c r="L2878"/>
      <x:c r="M2878"/>
      <x:c r="N2878"/>
      <x:c r="O2878"/>
      <x:c r="P2878"/>
    </x:row>
    <x:row r="2879">
      <x:c r="A2879"/>
      <x:c r="B2879"/>
      <x:c r="C2879"/>
      <x:c r="D2879"/>
      <x:c r="E2879"/>
      <x:c r="F2879"/>
      <x:c r="G2879" s="56"/>
      <x:c r="H2879"/>
      <x:c r="I2879"/>
      <x:c r="J2879"/>
      <x:c r="K2879"/>
      <x:c r="L2879"/>
      <x:c r="M2879"/>
      <x:c r="N2879"/>
      <x:c r="O2879"/>
      <x:c r="P2879"/>
    </x:row>
    <x:row r="2880">
      <x:c r="A2880"/>
      <x:c r="B2880"/>
      <x:c r="C2880"/>
      <x:c r="D2880"/>
      <x:c r="E2880"/>
      <x:c r="F2880"/>
      <x:c r="G2880" s="56"/>
      <x:c r="H2880"/>
      <x:c r="I2880"/>
      <x:c r="J2880"/>
      <x:c r="K2880"/>
      <x:c r="L2880"/>
      <x:c r="M2880"/>
      <x:c r="N2880"/>
      <x:c r="O2880"/>
      <x:c r="P2880"/>
    </x:row>
    <x:row r="2881">
      <x:c r="A2881"/>
      <x:c r="B2881"/>
      <x:c r="C2881"/>
      <x:c r="D2881"/>
      <x:c r="E2881"/>
      <x:c r="F2881"/>
      <x:c r="G2881" s="56"/>
      <x:c r="H2881"/>
      <x:c r="I2881"/>
      <x:c r="J2881"/>
      <x:c r="K2881"/>
      <x:c r="L2881"/>
      <x:c r="M2881"/>
      <x:c r="N2881"/>
      <x:c r="O2881"/>
      <x:c r="P2881"/>
    </x:row>
    <x:row r="2882">
      <x:c r="A2882"/>
      <x:c r="B2882"/>
      <x:c r="C2882"/>
      <x:c r="D2882"/>
      <x:c r="E2882"/>
      <x:c r="F2882"/>
      <x:c r="G2882" s="56"/>
      <x:c r="H2882"/>
      <x:c r="I2882"/>
      <x:c r="J2882"/>
      <x:c r="K2882"/>
      <x:c r="L2882"/>
      <x:c r="M2882"/>
      <x:c r="N2882"/>
      <x:c r="O2882"/>
      <x:c r="P2882"/>
    </x:row>
    <x:row r="2883">
      <x:c r="A2883"/>
      <x:c r="B2883"/>
      <x:c r="C2883"/>
      <x:c r="D2883"/>
      <x:c r="E2883"/>
      <x:c r="F2883"/>
      <x:c r="G2883" s="56"/>
      <x:c r="H2883"/>
      <x:c r="I2883"/>
      <x:c r="J2883"/>
      <x:c r="K2883"/>
      <x:c r="L2883"/>
      <x:c r="M2883"/>
      <x:c r="N2883"/>
      <x:c r="O2883"/>
      <x:c r="P2883"/>
    </x:row>
    <x:row r="2884">
      <x:c r="A2884"/>
      <x:c r="B2884"/>
      <x:c r="C2884"/>
      <x:c r="D2884"/>
      <x:c r="E2884"/>
      <x:c r="F2884"/>
      <x:c r="G2884" s="56"/>
      <x:c r="H2884"/>
      <x:c r="I2884"/>
      <x:c r="J2884"/>
      <x:c r="K2884"/>
      <x:c r="L2884"/>
      <x:c r="M2884"/>
      <x:c r="N2884"/>
      <x:c r="O2884"/>
      <x:c r="P2884"/>
    </x:row>
    <x:row r="2885">
      <x:c r="A2885"/>
      <x:c r="B2885"/>
      <x:c r="C2885"/>
      <x:c r="D2885"/>
      <x:c r="E2885"/>
      <x:c r="F2885"/>
      <x:c r="G2885" s="56"/>
      <x:c r="H2885"/>
      <x:c r="I2885"/>
      <x:c r="J2885"/>
      <x:c r="K2885"/>
      <x:c r="L2885"/>
      <x:c r="M2885"/>
      <x:c r="N2885"/>
      <x:c r="O2885"/>
      <x:c r="P2885"/>
    </x:row>
    <x:row r="2886">
      <x:c r="A2886"/>
      <x:c r="B2886"/>
      <x:c r="C2886"/>
      <x:c r="D2886"/>
      <x:c r="E2886"/>
      <x:c r="F2886"/>
      <x:c r="G2886" s="56"/>
      <x:c r="H2886"/>
      <x:c r="I2886"/>
      <x:c r="J2886"/>
      <x:c r="K2886"/>
      <x:c r="L2886"/>
      <x:c r="M2886"/>
      <x:c r="N2886"/>
      <x:c r="O2886"/>
      <x:c r="P2886"/>
    </x:row>
    <x:row r="2887">
      <x:c r="A2887"/>
      <x:c r="B2887"/>
      <x:c r="C2887"/>
      <x:c r="D2887"/>
      <x:c r="E2887"/>
      <x:c r="F2887"/>
      <x:c r="G2887" s="56"/>
      <x:c r="H2887"/>
      <x:c r="I2887"/>
      <x:c r="J2887"/>
      <x:c r="K2887"/>
      <x:c r="L2887"/>
      <x:c r="M2887"/>
      <x:c r="N2887"/>
      <x:c r="O2887"/>
      <x:c r="P2887"/>
    </x:row>
    <x:row r="2888">
      <x:c r="A2888"/>
      <x:c r="B2888"/>
      <x:c r="C2888"/>
      <x:c r="D2888"/>
      <x:c r="E2888"/>
      <x:c r="F2888"/>
      <x:c r="G2888" s="56"/>
      <x:c r="H2888"/>
      <x:c r="I2888"/>
      <x:c r="J2888"/>
      <x:c r="K2888"/>
      <x:c r="L2888"/>
      <x:c r="M2888"/>
      <x:c r="N2888"/>
      <x:c r="O2888"/>
      <x:c r="P2888"/>
    </x:row>
    <x:row r="2889">
      <x:c r="A2889"/>
      <x:c r="B2889"/>
      <x:c r="C2889"/>
      <x:c r="D2889"/>
      <x:c r="E2889"/>
      <x:c r="F2889"/>
      <x:c r="G2889" s="56"/>
      <x:c r="H2889"/>
      <x:c r="I2889"/>
      <x:c r="J2889"/>
      <x:c r="K2889"/>
      <x:c r="L2889"/>
      <x:c r="M2889"/>
      <x:c r="N2889"/>
      <x:c r="O2889"/>
      <x:c r="P2889"/>
    </x:row>
    <x:row r="2890">
      <x:c r="A2890"/>
      <x:c r="B2890"/>
      <x:c r="C2890"/>
      <x:c r="D2890"/>
      <x:c r="E2890"/>
      <x:c r="F2890"/>
      <x:c r="G2890" s="56"/>
      <x:c r="H2890"/>
      <x:c r="I2890"/>
      <x:c r="J2890"/>
      <x:c r="K2890"/>
      <x:c r="L2890"/>
      <x:c r="M2890"/>
      <x:c r="N2890"/>
      <x:c r="O2890"/>
      <x:c r="P2890"/>
    </x:row>
    <x:row r="2891">
      <x:c r="A2891"/>
      <x:c r="B2891"/>
      <x:c r="C2891"/>
      <x:c r="D2891"/>
      <x:c r="E2891"/>
      <x:c r="F2891"/>
      <x:c r="G2891" s="56"/>
      <x:c r="H2891"/>
      <x:c r="I2891"/>
      <x:c r="J2891"/>
      <x:c r="K2891"/>
      <x:c r="L2891"/>
      <x:c r="M2891"/>
      <x:c r="N2891"/>
      <x:c r="O2891"/>
      <x:c r="P2891"/>
    </x:row>
    <x:row r="2892">
      <x:c r="A2892"/>
      <x:c r="B2892"/>
      <x:c r="C2892"/>
      <x:c r="D2892"/>
      <x:c r="E2892"/>
      <x:c r="F2892"/>
      <x:c r="G2892" s="56"/>
      <x:c r="H2892"/>
      <x:c r="I2892"/>
      <x:c r="J2892"/>
      <x:c r="K2892"/>
      <x:c r="L2892"/>
      <x:c r="M2892"/>
      <x:c r="N2892"/>
      <x:c r="O2892"/>
      <x:c r="P2892"/>
    </x:row>
    <x:row r="2893">
      <x:c r="A2893"/>
      <x:c r="B2893"/>
      <x:c r="C2893"/>
      <x:c r="D2893"/>
      <x:c r="E2893"/>
      <x:c r="F2893"/>
      <x:c r="G2893" s="56"/>
      <x:c r="H2893"/>
      <x:c r="I2893"/>
      <x:c r="J2893"/>
      <x:c r="K2893"/>
      <x:c r="L2893"/>
      <x:c r="M2893"/>
      <x:c r="N2893"/>
      <x:c r="O2893"/>
      <x:c r="P2893"/>
    </x:row>
    <x:row r="2894">
      <x:c r="A2894"/>
      <x:c r="B2894"/>
      <x:c r="C2894"/>
      <x:c r="D2894"/>
      <x:c r="E2894"/>
      <x:c r="F2894"/>
      <x:c r="G2894" s="56"/>
      <x:c r="H2894"/>
      <x:c r="I2894"/>
      <x:c r="J2894"/>
      <x:c r="K2894"/>
      <x:c r="L2894"/>
      <x:c r="M2894"/>
      <x:c r="N2894"/>
      <x:c r="O2894"/>
      <x:c r="P2894"/>
    </x:row>
    <x:row r="2895">
      <x:c r="A2895"/>
      <x:c r="B2895"/>
      <x:c r="C2895"/>
      <x:c r="D2895"/>
      <x:c r="E2895"/>
      <x:c r="F2895"/>
      <x:c r="G2895" s="56"/>
      <x:c r="H2895"/>
      <x:c r="I2895"/>
      <x:c r="J2895"/>
      <x:c r="K2895"/>
      <x:c r="L2895"/>
      <x:c r="M2895"/>
      <x:c r="N2895"/>
      <x:c r="O2895"/>
      <x:c r="P2895"/>
    </x:row>
    <x:row r="2896">
      <x:c r="A2896"/>
      <x:c r="B2896"/>
      <x:c r="C2896"/>
      <x:c r="D2896"/>
      <x:c r="E2896"/>
      <x:c r="F2896"/>
      <x:c r="G2896" s="56"/>
      <x:c r="H2896"/>
      <x:c r="I2896"/>
      <x:c r="J2896"/>
      <x:c r="K2896"/>
      <x:c r="L2896"/>
      <x:c r="M2896"/>
      <x:c r="N2896"/>
      <x:c r="O2896"/>
      <x:c r="P2896"/>
    </x:row>
    <x:row r="2897">
      <x:c r="A2897"/>
      <x:c r="B2897"/>
      <x:c r="C2897"/>
      <x:c r="D2897"/>
      <x:c r="E2897"/>
      <x:c r="F2897"/>
      <x:c r="G2897" s="56"/>
      <x:c r="H2897"/>
      <x:c r="I2897"/>
      <x:c r="J2897"/>
      <x:c r="K2897"/>
      <x:c r="L2897"/>
      <x:c r="M2897"/>
      <x:c r="N2897"/>
      <x:c r="O2897"/>
      <x:c r="P2897"/>
    </x:row>
    <x:row r="2898">
      <x:c r="A2898"/>
      <x:c r="B2898"/>
      <x:c r="C2898"/>
      <x:c r="D2898"/>
      <x:c r="E2898"/>
      <x:c r="F2898"/>
      <x:c r="G2898" s="56"/>
      <x:c r="H2898"/>
      <x:c r="I2898"/>
      <x:c r="J2898"/>
      <x:c r="K2898"/>
      <x:c r="L2898"/>
      <x:c r="M2898"/>
      <x:c r="N2898"/>
      <x:c r="O2898"/>
      <x:c r="P2898"/>
    </x:row>
    <x:row r="2899">
      <x:c r="A2899"/>
      <x:c r="B2899"/>
      <x:c r="C2899"/>
      <x:c r="D2899"/>
      <x:c r="E2899"/>
      <x:c r="F2899"/>
      <x:c r="G2899" s="56"/>
      <x:c r="H2899"/>
      <x:c r="I2899"/>
      <x:c r="J2899"/>
      <x:c r="K2899"/>
      <x:c r="L2899"/>
      <x:c r="M2899"/>
      <x:c r="N2899"/>
      <x:c r="O2899"/>
      <x:c r="P2899"/>
    </x:row>
    <x:row r="2900">
      <x:c r="A2900"/>
      <x:c r="B2900"/>
      <x:c r="C2900"/>
      <x:c r="D2900"/>
      <x:c r="E2900"/>
      <x:c r="F2900"/>
      <x:c r="G2900" s="56"/>
      <x:c r="H2900"/>
      <x:c r="I2900"/>
      <x:c r="J2900"/>
      <x:c r="K2900"/>
      <x:c r="L2900"/>
      <x:c r="M2900"/>
      <x:c r="N2900"/>
      <x:c r="O2900"/>
      <x:c r="P2900"/>
    </x:row>
    <x:row r="2901">
      <x:c r="A2901"/>
      <x:c r="B2901"/>
      <x:c r="C2901"/>
      <x:c r="D2901"/>
      <x:c r="E2901"/>
      <x:c r="F2901"/>
      <x:c r="G2901" s="56"/>
      <x:c r="H2901"/>
      <x:c r="I2901"/>
      <x:c r="J2901"/>
      <x:c r="K2901"/>
      <x:c r="L2901"/>
      <x:c r="M2901"/>
      <x:c r="N2901"/>
      <x:c r="O2901"/>
      <x:c r="P2901"/>
    </x:row>
    <x:row r="2902">
      <x:c r="A2902"/>
      <x:c r="B2902"/>
      <x:c r="C2902"/>
      <x:c r="D2902"/>
      <x:c r="E2902"/>
      <x:c r="F2902"/>
      <x:c r="G2902" s="56"/>
      <x:c r="H2902"/>
      <x:c r="I2902"/>
      <x:c r="J2902"/>
      <x:c r="K2902"/>
      <x:c r="L2902"/>
      <x:c r="M2902"/>
      <x:c r="N2902"/>
      <x:c r="O2902"/>
      <x:c r="P2902"/>
    </x:row>
    <x:row r="2903">
      <x:c r="A2903"/>
      <x:c r="B2903"/>
      <x:c r="C2903"/>
      <x:c r="D2903"/>
      <x:c r="E2903"/>
      <x:c r="F2903"/>
      <x:c r="G2903" s="56"/>
      <x:c r="H2903"/>
      <x:c r="I2903"/>
      <x:c r="J2903"/>
      <x:c r="K2903"/>
      <x:c r="L2903"/>
      <x:c r="M2903"/>
      <x:c r="N2903"/>
      <x:c r="O2903"/>
      <x:c r="P2903"/>
    </x:row>
    <x:row r="2904">
      <x:c r="A2904"/>
      <x:c r="B2904"/>
      <x:c r="C2904"/>
      <x:c r="D2904"/>
      <x:c r="E2904"/>
      <x:c r="F2904"/>
      <x:c r="G2904" s="56"/>
      <x:c r="H2904"/>
      <x:c r="I2904"/>
      <x:c r="J2904"/>
      <x:c r="K2904"/>
      <x:c r="L2904"/>
      <x:c r="M2904"/>
      <x:c r="N2904"/>
      <x:c r="O2904"/>
      <x:c r="P2904"/>
    </x:row>
    <x:row r="2905">
      <x:c r="A2905"/>
      <x:c r="B2905"/>
      <x:c r="C2905"/>
      <x:c r="D2905"/>
      <x:c r="E2905"/>
      <x:c r="F2905"/>
      <x:c r="G2905" s="56"/>
      <x:c r="H2905"/>
      <x:c r="I2905"/>
      <x:c r="J2905"/>
      <x:c r="K2905"/>
      <x:c r="L2905"/>
      <x:c r="M2905"/>
      <x:c r="N2905"/>
      <x:c r="O2905"/>
      <x:c r="P2905"/>
    </x:row>
    <x:row r="2906">
      <x:c r="A2906"/>
      <x:c r="B2906"/>
      <x:c r="C2906"/>
      <x:c r="D2906"/>
      <x:c r="E2906"/>
      <x:c r="F2906"/>
      <x:c r="G2906" s="56"/>
      <x:c r="H2906"/>
      <x:c r="I2906"/>
      <x:c r="J2906"/>
      <x:c r="K2906"/>
      <x:c r="L2906"/>
      <x:c r="M2906"/>
      <x:c r="N2906"/>
      <x:c r="O2906"/>
      <x:c r="P2906"/>
    </x:row>
    <x:row r="2907">
      <x:c r="A2907"/>
      <x:c r="B2907"/>
      <x:c r="C2907"/>
      <x:c r="D2907"/>
      <x:c r="E2907"/>
      <x:c r="F2907"/>
      <x:c r="G2907" s="56"/>
      <x:c r="H2907"/>
      <x:c r="I2907"/>
      <x:c r="J2907"/>
      <x:c r="K2907"/>
      <x:c r="L2907"/>
      <x:c r="M2907"/>
      <x:c r="N2907"/>
      <x:c r="O2907"/>
      <x:c r="P2907"/>
    </x:row>
    <x:row r="2908">
      <x:c r="A2908"/>
      <x:c r="B2908"/>
      <x:c r="C2908"/>
      <x:c r="D2908"/>
      <x:c r="E2908"/>
      <x:c r="F2908"/>
      <x:c r="G2908" s="56"/>
      <x:c r="H2908"/>
      <x:c r="I2908"/>
      <x:c r="J2908"/>
      <x:c r="K2908"/>
      <x:c r="L2908"/>
      <x:c r="M2908"/>
      <x:c r="N2908"/>
      <x:c r="O2908"/>
      <x:c r="P2908"/>
    </x:row>
    <x:row r="2909">
      <x:c r="A2909"/>
      <x:c r="B2909"/>
      <x:c r="C2909"/>
      <x:c r="D2909"/>
      <x:c r="E2909"/>
      <x:c r="F2909"/>
      <x:c r="G2909" s="56"/>
      <x:c r="H2909"/>
      <x:c r="I2909"/>
      <x:c r="J2909"/>
      <x:c r="K2909"/>
      <x:c r="L2909"/>
      <x:c r="M2909"/>
      <x:c r="N2909"/>
      <x:c r="O2909"/>
      <x:c r="P2909"/>
    </x:row>
    <x:row r="2910">
      <x:c r="A2910"/>
      <x:c r="B2910"/>
      <x:c r="C2910"/>
      <x:c r="D2910"/>
      <x:c r="E2910"/>
      <x:c r="F2910"/>
      <x:c r="G2910" s="56"/>
      <x:c r="H2910"/>
      <x:c r="I2910"/>
      <x:c r="J2910"/>
      <x:c r="K2910"/>
      <x:c r="L2910"/>
      <x:c r="M2910"/>
      <x:c r="N2910"/>
      <x:c r="O2910"/>
      <x:c r="P2910"/>
    </x:row>
    <x:row r="2911">
      <x:c r="A2911"/>
      <x:c r="B2911"/>
      <x:c r="C2911"/>
      <x:c r="D2911"/>
      <x:c r="E2911"/>
      <x:c r="F2911"/>
      <x:c r="G2911" s="56"/>
      <x:c r="H2911"/>
      <x:c r="I2911"/>
      <x:c r="J2911"/>
      <x:c r="K2911"/>
      <x:c r="L2911"/>
      <x:c r="M2911"/>
      <x:c r="N2911"/>
      <x:c r="O2911"/>
      <x:c r="P2911"/>
    </x:row>
    <x:row r="2912">
      <x:c r="A2912"/>
      <x:c r="B2912"/>
      <x:c r="C2912"/>
      <x:c r="D2912"/>
      <x:c r="E2912"/>
      <x:c r="F2912"/>
      <x:c r="G2912" s="56"/>
      <x:c r="H2912"/>
      <x:c r="I2912"/>
      <x:c r="J2912"/>
      <x:c r="K2912"/>
      <x:c r="L2912"/>
      <x:c r="M2912"/>
      <x:c r="N2912"/>
      <x:c r="O2912"/>
      <x:c r="P2912"/>
    </x:row>
    <x:row r="2913">
      <x:c r="A2913"/>
      <x:c r="B2913"/>
      <x:c r="C2913"/>
      <x:c r="D2913"/>
      <x:c r="E2913"/>
      <x:c r="F2913"/>
      <x:c r="G2913" s="56"/>
      <x:c r="H2913"/>
      <x:c r="I2913"/>
      <x:c r="J2913"/>
      <x:c r="K2913"/>
      <x:c r="L2913"/>
      <x:c r="M2913"/>
      <x:c r="N2913"/>
      <x:c r="O2913"/>
      <x:c r="P2913"/>
    </x:row>
    <x:row r="2914">
      <x:c r="A2914"/>
      <x:c r="B2914"/>
      <x:c r="C2914"/>
      <x:c r="D2914"/>
      <x:c r="E2914"/>
      <x:c r="F2914"/>
      <x:c r="G2914" s="56"/>
      <x:c r="H2914"/>
      <x:c r="I2914"/>
      <x:c r="J2914"/>
      <x:c r="K2914"/>
      <x:c r="L2914"/>
      <x:c r="M2914"/>
      <x:c r="N2914"/>
      <x:c r="O2914"/>
      <x:c r="P2914"/>
    </x:row>
    <x:row r="2915">
      <x:c r="A2915"/>
      <x:c r="B2915"/>
      <x:c r="C2915"/>
      <x:c r="D2915"/>
      <x:c r="E2915"/>
      <x:c r="F2915"/>
      <x:c r="G2915" s="56"/>
      <x:c r="H2915"/>
      <x:c r="I2915"/>
      <x:c r="J2915"/>
      <x:c r="K2915"/>
      <x:c r="L2915"/>
      <x:c r="M2915"/>
      <x:c r="N2915"/>
      <x:c r="O2915"/>
      <x:c r="P2915"/>
    </x:row>
    <x:row r="2916">
      <x:c r="A2916"/>
      <x:c r="B2916"/>
      <x:c r="C2916"/>
      <x:c r="D2916"/>
      <x:c r="E2916"/>
      <x:c r="F2916"/>
      <x:c r="G2916" s="56"/>
      <x:c r="H2916"/>
      <x:c r="I2916"/>
      <x:c r="J2916"/>
      <x:c r="K2916"/>
      <x:c r="L2916"/>
      <x:c r="M2916"/>
      <x:c r="N2916"/>
      <x:c r="O2916"/>
      <x:c r="P2916"/>
    </x:row>
    <x:row r="2917">
      <x:c r="A2917"/>
      <x:c r="B2917"/>
      <x:c r="C2917"/>
      <x:c r="D2917"/>
      <x:c r="E2917"/>
      <x:c r="F2917"/>
      <x:c r="G2917" s="56"/>
      <x:c r="H2917"/>
      <x:c r="I2917"/>
      <x:c r="J2917"/>
      <x:c r="K2917"/>
      <x:c r="L2917"/>
      <x:c r="M2917"/>
      <x:c r="N2917"/>
      <x:c r="O2917"/>
      <x:c r="P2917"/>
    </x:row>
    <x:row r="2918">
      <x:c r="A2918"/>
      <x:c r="B2918"/>
      <x:c r="C2918"/>
      <x:c r="D2918"/>
      <x:c r="E2918"/>
      <x:c r="F2918"/>
      <x:c r="G2918" s="56"/>
      <x:c r="H2918"/>
      <x:c r="I2918"/>
      <x:c r="J2918"/>
      <x:c r="K2918"/>
      <x:c r="L2918"/>
      <x:c r="M2918"/>
      <x:c r="N2918"/>
      <x:c r="O2918"/>
      <x:c r="P2918"/>
    </x:row>
    <x:row r="2919">
      <x:c r="A2919"/>
      <x:c r="B2919"/>
      <x:c r="C2919"/>
      <x:c r="D2919"/>
      <x:c r="E2919"/>
      <x:c r="F2919"/>
      <x:c r="G2919" s="56"/>
      <x:c r="H2919"/>
      <x:c r="I2919"/>
      <x:c r="J2919"/>
      <x:c r="K2919"/>
      <x:c r="L2919"/>
      <x:c r="M2919"/>
      <x:c r="N2919"/>
      <x:c r="O2919"/>
      <x:c r="P2919"/>
    </x:row>
    <x:row r="2920">
      <x:c r="A2920"/>
      <x:c r="B2920"/>
      <x:c r="C2920"/>
      <x:c r="D2920"/>
      <x:c r="E2920"/>
      <x:c r="F2920"/>
      <x:c r="G2920" s="56"/>
      <x:c r="H2920"/>
      <x:c r="I2920"/>
      <x:c r="J2920"/>
      <x:c r="K2920"/>
      <x:c r="L2920"/>
      <x:c r="M2920"/>
      <x:c r="N2920"/>
      <x:c r="O2920"/>
      <x:c r="P2920"/>
    </x:row>
    <x:row r="2921">
      <x:c r="A2921"/>
      <x:c r="B2921"/>
      <x:c r="C2921"/>
      <x:c r="D2921"/>
      <x:c r="E2921"/>
      <x:c r="F2921"/>
      <x:c r="G2921" s="56"/>
      <x:c r="H2921"/>
      <x:c r="I2921"/>
      <x:c r="J2921"/>
      <x:c r="K2921"/>
      <x:c r="L2921"/>
      <x:c r="M2921"/>
      <x:c r="N2921"/>
      <x:c r="O2921"/>
      <x:c r="P2921"/>
    </x:row>
    <x:row r="2922">
      <x:c r="A2922"/>
      <x:c r="B2922"/>
      <x:c r="C2922"/>
      <x:c r="D2922"/>
      <x:c r="E2922"/>
      <x:c r="F2922"/>
      <x:c r="G2922" s="56"/>
      <x:c r="H2922"/>
      <x:c r="I2922"/>
      <x:c r="J2922"/>
      <x:c r="K2922"/>
      <x:c r="L2922"/>
      <x:c r="M2922"/>
      <x:c r="N2922"/>
      <x:c r="O2922"/>
      <x:c r="P2922"/>
    </x:row>
    <x:row r="2923">
      <x:c r="A2923"/>
      <x:c r="B2923"/>
      <x:c r="C2923"/>
      <x:c r="D2923"/>
      <x:c r="E2923"/>
      <x:c r="F2923"/>
      <x:c r="G2923" s="56"/>
      <x:c r="H2923"/>
      <x:c r="I2923"/>
      <x:c r="J2923"/>
      <x:c r="K2923"/>
      <x:c r="L2923"/>
      <x:c r="M2923"/>
      <x:c r="N2923"/>
      <x:c r="O2923"/>
      <x:c r="P2923"/>
    </x:row>
    <x:row r="2924">
      <x:c r="A2924"/>
      <x:c r="B2924"/>
      <x:c r="C2924"/>
      <x:c r="D2924"/>
      <x:c r="E2924"/>
      <x:c r="F2924"/>
      <x:c r="G2924" s="56"/>
      <x:c r="H2924"/>
      <x:c r="I2924"/>
      <x:c r="J2924"/>
      <x:c r="K2924"/>
      <x:c r="L2924"/>
      <x:c r="M2924"/>
      <x:c r="N2924"/>
      <x:c r="O2924"/>
      <x:c r="P2924"/>
    </x:row>
    <x:row r="2925">
      <x:c r="A2925"/>
      <x:c r="B2925"/>
      <x:c r="C2925"/>
      <x:c r="D2925"/>
      <x:c r="E2925"/>
      <x:c r="F2925"/>
      <x:c r="G2925" s="56"/>
      <x:c r="H2925"/>
      <x:c r="I2925"/>
      <x:c r="J2925"/>
      <x:c r="K2925"/>
      <x:c r="L2925"/>
      <x:c r="M2925"/>
      <x:c r="N2925"/>
      <x:c r="O2925"/>
      <x:c r="P2925"/>
    </x:row>
    <x:row r="2926">
      <x:c r="A2926"/>
      <x:c r="B2926"/>
      <x:c r="C2926"/>
      <x:c r="D2926"/>
      <x:c r="E2926"/>
      <x:c r="F2926"/>
      <x:c r="G2926" s="56"/>
      <x:c r="H2926"/>
      <x:c r="I2926"/>
      <x:c r="J2926"/>
      <x:c r="K2926"/>
      <x:c r="L2926"/>
      <x:c r="M2926"/>
      <x:c r="N2926"/>
      <x:c r="O2926"/>
      <x:c r="P2926"/>
    </x:row>
    <x:row r="2927">
      <x:c r="A2927"/>
      <x:c r="B2927"/>
      <x:c r="C2927"/>
      <x:c r="D2927"/>
      <x:c r="E2927"/>
      <x:c r="F2927"/>
      <x:c r="G2927" s="56"/>
      <x:c r="H2927"/>
      <x:c r="I2927"/>
      <x:c r="J2927"/>
      <x:c r="K2927"/>
      <x:c r="L2927"/>
      <x:c r="M2927"/>
      <x:c r="N2927"/>
      <x:c r="O2927"/>
      <x:c r="P2927"/>
    </x:row>
    <x:row r="2928">
      <x:c r="A2928"/>
      <x:c r="B2928"/>
      <x:c r="C2928"/>
      <x:c r="D2928"/>
      <x:c r="E2928"/>
      <x:c r="F2928"/>
      <x:c r="G2928" s="56"/>
      <x:c r="H2928"/>
      <x:c r="I2928"/>
      <x:c r="J2928"/>
      <x:c r="K2928"/>
      <x:c r="L2928"/>
      <x:c r="M2928"/>
      <x:c r="N2928"/>
      <x:c r="O2928"/>
      <x:c r="P2928"/>
    </x:row>
    <x:row r="2929">
      <x:c r="A2929"/>
      <x:c r="B2929"/>
      <x:c r="C2929"/>
      <x:c r="D2929"/>
      <x:c r="E2929"/>
      <x:c r="F2929"/>
      <x:c r="G2929" s="56"/>
      <x:c r="H2929"/>
      <x:c r="I2929"/>
      <x:c r="J2929"/>
      <x:c r="K2929"/>
      <x:c r="L2929"/>
      <x:c r="M2929"/>
      <x:c r="N2929"/>
      <x:c r="O2929"/>
      <x:c r="P2929"/>
    </x:row>
    <x:row r="2930">
      <x:c r="A2930"/>
      <x:c r="B2930"/>
      <x:c r="C2930"/>
      <x:c r="D2930"/>
      <x:c r="E2930"/>
      <x:c r="F2930"/>
      <x:c r="G2930" s="56"/>
      <x:c r="H2930"/>
      <x:c r="I2930"/>
      <x:c r="J2930"/>
      <x:c r="K2930"/>
      <x:c r="L2930"/>
      <x:c r="M2930"/>
      <x:c r="N2930"/>
      <x:c r="O2930"/>
      <x:c r="P2930"/>
    </x:row>
    <x:row r="2931">
      <x:c r="A2931"/>
      <x:c r="B2931"/>
      <x:c r="C2931"/>
      <x:c r="D2931"/>
      <x:c r="E2931"/>
      <x:c r="F2931"/>
      <x:c r="G2931" s="56"/>
      <x:c r="H2931"/>
      <x:c r="I2931"/>
      <x:c r="J2931"/>
      <x:c r="K2931"/>
      <x:c r="L2931"/>
      <x:c r="M2931"/>
      <x:c r="N2931"/>
      <x:c r="O2931"/>
      <x:c r="P2931"/>
    </x:row>
    <x:row r="2932">
      <x:c r="A2932"/>
      <x:c r="B2932"/>
      <x:c r="C2932"/>
      <x:c r="D2932"/>
      <x:c r="E2932"/>
      <x:c r="F2932"/>
      <x:c r="G2932" s="56"/>
      <x:c r="H2932"/>
      <x:c r="I2932"/>
      <x:c r="J2932"/>
      <x:c r="K2932"/>
      <x:c r="L2932"/>
      <x:c r="M2932"/>
      <x:c r="N2932"/>
      <x:c r="O2932"/>
      <x:c r="P2932"/>
    </x:row>
    <x:row r="2933">
      <x:c r="A2933"/>
      <x:c r="B2933"/>
      <x:c r="C2933"/>
      <x:c r="D2933"/>
      <x:c r="E2933"/>
      <x:c r="F2933"/>
      <x:c r="G2933" s="56"/>
      <x:c r="H2933"/>
      <x:c r="I2933"/>
      <x:c r="J2933"/>
      <x:c r="K2933"/>
      <x:c r="L2933"/>
      <x:c r="M2933"/>
      <x:c r="N2933"/>
      <x:c r="O2933"/>
      <x:c r="P2933"/>
    </x:row>
    <x:row r="2934">
      <x:c r="A2934"/>
      <x:c r="B2934"/>
      <x:c r="C2934"/>
      <x:c r="D2934"/>
      <x:c r="E2934"/>
      <x:c r="F2934"/>
      <x:c r="G2934" s="56"/>
      <x:c r="H2934"/>
      <x:c r="I2934"/>
      <x:c r="J2934"/>
      <x:c r="K2934"/>
      <x:c r="L2934"/>
      <x:c r="M2934"/>
      <x:c r="N2934"/>
      <x:c r="O2934"/>
      <x:c r="P2934"/>
    </x:row>
    <x:row r="2935">
      <x:c r="A2935"/>
      <x:c r="B2935"/>
      <x:c r="C2935"/>
      <x:c r="D2935"/>
      <x:c r="E2935"/>
      <x:c r="F2935"/>
      <x:c r="G2935" s="56"/>
      <x:c r="H2935"/>
      <x:c r="I2935"/>
      <x:c r="J2935"/>
      <x:c r="K2935"/>
      <x:c r="L2935"/>
      <x:c r="M2935"/>
      <x:c r="N2935"/>
      <x:c r="O2935"/>
      <x:c r="P2935"/>
    </x:row>
    <x:row r="2936">
      <x:c r="A2936"/>
      <x:c r="B2936"/>
      <x:c r="C2936"/>
      <x:c r="D2936"/>
      <x:c r="E2936"/>
      <x:c r="F2936"/>
      <x:c r="G2936" s="56"/>
      <x:c r="H2936"/>
      <x:c r="I2936"/>
      <x:c r="J2936"/>
      <x:c r="K2936"/>
      <x:c r="L2936"/>
      <x:c r="M2936"/>
      <x:c r="N2936"/>
      <x:c r="O2936"/>
      <x:c r="P2936"/>
    </x:row>
    <x:row r="2937">
      <x:c r="A2937"/>
      <x:c r="B2937"/>
      <x:c r="C2937"/>
      <x:c r="D2937"/>
      <x:c r="E2937"/>
      <x:c r="F2937"/>
      <x:c r="G2937" s="56"/>
      <x:c r="H2937"/>
      <x:c r="I2937"/>
      <x:c r="J2937"/>
      <x:c r="K2937"/>
      <x:c r="L2937"/>
      <x:c r="M2937"/>
      <x:c r="N2937"/>
      <x:c r="O2937"/>
      <x:c r="P2937"/>
    </x:row>
    <x:row r="2938">
      <x:c r="A2938"/>
      <x:c r="B2938"/>
      <x:c r="C2938"/>
      <x:c r="D2938"/>
      <x:c r="E2938"/>
      <x:c r="F2938"/>
      <x:c r="G2938" s="56"/>
      <x:c r="H2938"/>
      <x:c r="I2938"/>
      <x:c r="J2938"/>
      <x:c r="K2938"/>
      <x:c r="L2938"/>
      <x:c r="M2938"/>
      <x:c r="N2938"/>
      <x:c r="O2938"/>
      <x:c r="P2938"/>
    </x:row>
    <x:row r="2939">
      <x:c r="A2939"/>
      <x:c r="B2939"/>
      <x:c r="C2939"/>
      <x:c r="D2939"/>
      <x:c r="E2939"/>
      <x:c r="F2939"/>
      <x:c r="G2939" s="56"/>
      <x:c r="H2939"/>
      <x:c r="I2939"/>
      <x:c r="J2939"/>
      <x:c r="K2939"/>
      <x:c r="L2939"/>
      <x:c r="M2939"/>
      <x:c r="N2939"/>
      <x:c r="O2939"/>
      <x:c r="P2939"/>
    </x:row>
    <x:row r="2940">
      <x:c r="A2940"/>
      <x:c r="B2940"/>
      <x:c r="C2940"/>
      <x:c r="D2940"/>
      <x:c r="E2940"/>
      <x:c r="F2940"/>
      <x:c r="G2940" s="56"/>
      <x:c r="H2940"/>
      <x:c r="I2940"/>
      <x:c r="J2940"/>
      <x:c r="K2940"/>
      <x:c r="L2940"/>
      <x:c r="M2940"/>
      <x:c r="N2940"/>
      <x:c r="O2940"/>
      <x:c r="P2940"/>
    </x:row>
    <x:row r="2941">
      <x:c r="A2941"/>
      <x:c r="B2941"/>
      <x:c r="C2941"/>
      <x:c r="D2941"/>
      <x:c r="E2941"/>
      <x:c r="F2941"/>
      <x:c r="G2941" s="56"/>
      <x:c r="H2941"/>
      <x:c r="I2941"/>
      <x:c r="J2941"/>
      <x:c r="K2941"/>
      <x:c r="L2941"/>
      <x:c r="M2941"/>
      <x:c r="N2941"/>
      <x:c r="O2941"/>
      <x:c r="P2941"/>
    </x:row>
    <x:row r="2942">
      <x:c r="A2942"/>
      <x:c r="B2942"/>
      <x:c r="C2942"/>
      <x:c r="D2942"/>
      <x:c r="E2942"/>
      <x:c r="F2942"/>
      <x:c r="G2942" s="56"/>
      <x:c r="H2942"/>
      <x:c r="I2942"/>
      <x:c r="J2942"/>
      <x:c r="K2942"/>
      <x:c r="L2942"/>
      <x:c r="M2942"/>
      <x:c r="N2942"/>
      <x:c r="O2942"/>
      <x:c r="P2942"/>
    </x:row>
    <x:row r="2943">
      <x:c r="A2943"/>
      <x:c r="B2943"/>
      <x:c r="C2943"/>
      <x:c r="D2943"/>
      <x:c r="E2943"/>
      <x:c r="F2943"/>
      <x:c r="G2943" s="56"/>
      <x:c r="H2943"/>
      <x:c r="I2943"/>
      <x:c r="J2943"/>
      <x:c r="K2943"/>
      <x:c r="L2943"/>
      <x:c r="M2943"/>
      <x:c r="N2943"/>
      <x:c r="O2943"/>
      <x:c r="P2943"/>
    </x:row>
    <x:row r="2944">
      <x:c r="A2944"/>
      <x:c r="B2944"/>
      <x:c r="C2944"/>
      <x:c r="D2944"/>
      <x:c r="E2944"/>
      <x:c r="F2944"/>
      <x:c r="G2944" s="56"/>
      <x:c r="H2944"/>
      <x:c r="I2944"/>
      <x:c r="J2944"/>
      <x:c r="K2944"/>
      <x:c r="L2944"/>
      <x:c r="M2944"/>
      <x:c r="N2944"/>
      <x:c r="O2944"/>
      <x:c r="P2944"/>
    </x:row>
    <x:row r="2945">
      <x:c r="A2945"/>
      <x:c r="B2945"/>
      <x:c r="C2945"/>
      <x:c r="D2945"/>
      <x:c r="E2945"/>
      <x:c r="F2945"/>
      <x:c r="G2945" s="56"/>
      <x:c r="H2945"/>
      <x:c r="I2945"/>
      <x:c r="J2945"/>
      <x:c r="K2945"/>
      <x:c r="L2945"/>
      <x:c r="M2945"/>
      <x:c r="N2945"/>
      <x:c r="O2945"/>
      <x:c r="P2945"/>
    </x:row>
    <x:row r="2946">
      <x:c r="A2946"/>
      <x:c r="B2946"/>
      <x:c r="C2946"/>
      <x:c r="D2946"/>
      <x:c r="E2946"/>
      <x:c r="F2946"/>
      <x:c r="G2946" s="56"/>
      <x:c r="H2946"/>
      <x:c r="I2946"/>
      <x:c r="J2946"/>
      <x:c r="K2946"/>
      <x:c r="L2946"/>
      <x:c r="M2946"/>
      <x:c r="N2946"/>
      <x:c r="O2946"/>
      <x:c r="P2946"/>
    </x:row>
    <x:row r="2947">
      <x:c r="A2947"/>
      <x:c r="B2947"/>
      <x:c r="C2947"/>
      <x:c r="D2947"/>
      <x:c r="E2947"/>
      <x:c r="F2947"/>
      <x:c r="G2947" s="56"/>
      <x:c r="H2947"/>
      <x:c r="I2947"/>
      <x:c r="J2947"/>
      <x:c r="K2947"/>
      <x:c r="L2947"/>
      <x:c r="M2947"/>
      <x:c r="N2947"/>
      <x:c r="O2947"/>
      <x:c r="P2947"/>
    </x:row>
    <x:row r="2948">
      <x:c r="A2948"/>
      <x:c r="B2948"/>
      <x:c r="C2948"/>
      <x:c r="D2948"/>
      <x:c r="E2948"/>
      <x:c r="F2948"/>
      <x:c r="G2948" s="56"/>
      <x:c r="H2948"/>
      <x:c r="I2948"/>
      <x:c r="J2948"/>
      <x:c r="K2948"/>
      <x:c r="L2948"/>
      <x:c r="M2948"/>
      <x:c r="N2948"/>
      <x:c r="O2948"/>
      <x:c r="P2948"/>
    </x:row>
    <x:row r="2949">
      <x:c r="A2949"/>
      <x:c r="B2949"/>
      <x:c r="C2949"/>
      <x:c r="D2949"/>
      <x:c r="E2949"/>
      <x:c r="F2949"/>
      <x:c r="G2949" s="56"/>
      <x:c r="H2949"/>
      <x:c r="I2949"/>
      <x:c r="J2949"/>
      <x:c r="K2949"/>
      <x:c r="L2949"/>
      <x:c r="M2949"/>
      <x:c r="N2949"/>
      <x:c r="O2949"/>
      <x:c r="P2949"/>
    </x:row>
    <x:row r="2950">
      <x:c r="A2950"/>
      <x:c r="B2950"/>
      <x:c r="C2950"/>
      <x:c r="D2950"/>
      <x:c r="E2950"/>
      <x:c r="F2950"/>
      <x:c r="G2950" s="56"/>
      <x:c r="H2950"/>
      <x:c r="I2950"/>
      <x:c r="J2950"/>
      <x:c r="K2950"/>
      <x:c r="L2950"/>
      <x:c r="M2950"/>
      <x:c r="N2950"/>
      <x:c r="O2950"/>
      <x:c r="P2950"/>
    </x:row>
    <x:row r="2951">
      <x:c r="A2951"/>
      <x:c r="B2951"/>
      <x:c r="C2951"/>
      <x:c r="D2951"/>
      <x:c r="E2951"/>
      <x:c r="F2951"/>
      <x:c r="G2951" s="56"/>
      <x:c r="H2951"/>
      <x:c r="I2951"/>
      <x:c r="J2951"/>
      <x:c r="K2951"/>
      <x:c r="L2951"/>
      <x:c r="M2951"/>
      <x:c r="N2951"/>
      <x:c r="O2951"/>
      <x:c r="P2951"/>
    </x:row>
    <x:row r="2952">
      <x:c r="A2952"/>
      <x:c r="B2952"/>
      <x:c r="C2952"/>
      <x:c r="D2952"/>
      <x:c r="E2952"/>
      <x:c r="F2952"/>
      <x:c r="G2952" s="56"/>
      <x:c r="H2952"/>
      <x:c r="I2952"/>
      <x:c r="J2952"/>
      <x:c r="K2952"/>
      <x:c r="L2952"/>
      <x:c r="M2952"/>
      <x:c r="N2952"/>
      <x:c r="O2952"/>
      <x:c r="P2952"/>
    </x:row>
    <x:row r="2953">
      <x:c r="A2953"/>
      <x:c r="B2953"/>
      <x:c r="C2953"/>
      <x:c r="D2953"/>
      <x:c r="E2953"/>
      <x:c r="F2953"/>
      <x:c r="G2953" s="56"/>
      <x:c r="H2953"/>
      <x:c r="I2953"/>
      <x:c r="J2953"/>
      <x:c r="K2953"/>
      <x:c r="L2953"/>
      <x:c r="M2953"/>
      <x:c r="N2953"/>
      <x:c r="O2953"/>
      <x:c r="P2953"/>
    </x:row>
    <x:row r="2954">
      <x:c r="A2954"/>
      <x:c r="B2954"/>
      <x:c r="C2954"/>
      <x:c r="D2954"/>
      <x:c r="E2954"/>
      <x:c r="F2954"/>
      <x:c r="G2954" s="56"/>
      <x:c r="H2954"/>
      <x:c r="I2954"/>
      <x:c r="J2954"/>
      <x:c r="K2954"/>
      <x:c r="L2954"/>
      <x:c r="M2954"/>
      <x:c r="N2954"/>
      <x:c r="O2954"/>
      <x:c r="P2954"/>
    </x:row>
    <x:row r="2955">
      <x:c r="A2955"/>
      <x:c r="B2955"/>
      <x:c r="C2955"/>
      <x:c r="D2955"/>
      <x:c r="E2955"/>
      <x:c r="F2955"/>
      <x:c r="G2955" s="56"/>
      <x:c r="H2955"/>
      <x:c r="I2955"/>
      <x:c r="J2955"/>
      <x:c r="K2955"/>
      <x:c r="L2955"/>
      <x:c r="M2955"/>
      <x:c r="N2955"/>
      <x:c r="O2955"/>
      <x:c r="P2955"/>
    </x:row>
    <x:row r="2956">
      <x:c r="A2956"/>
      <x:c r="B2956"/>
      <x:c r="C2956"/>
      <x:c r="D2956"/>
      <x:c r="E2956"/>
      <x:c r="F2956"/>
      <x:c r="G2956" s="56"/>
      <x:c r="H2956"/>
      <x:c r="I2956"/>
      <x:c r="J2956"/>
      <x:c r="K2956"/>
      <x:c r="L2956"/>
      <x:c r="M2956"/>
      <x:c r="N2956"/>
      <x:c r="O2956"/>
      <x:c r="P2956"/>
    </x:row>
    <x:row r="2957">
      <x:c r="A2957"/>
      <x:c r="B2957"/>
      <x:c r="C2957"/>
      <x:c r="D2957"/>
      <x:c r="E2957"/>
      <x:c r="F2957"/>
      <x:c r="G2957" s="56"/>
      <x:c r="H2957"/>
      <x:c r="I2957"/>
      <x:c r="J2957"/>
      <x:c r="K2957"/>
      <x:c r="L2957"/>
      <x:c r="M2957"/>
      <x:c r="N2957"/>
      <x:c r="O2957"/>
      <x:c r="P2957"/>
    </x:row>
    <x:row r="2958">
      <x:c r="A2958"/>
      <x:c r="B2958"/>
      <x:c r="C2958"/>
      <x:c r="D2958"/>
      <x:c r="E2958"/>
      <x:c r="F2958"/>
      <x:c r="G2958" s="56"/>
      <x:c r="H2958"/>
      <x:c r="I2958"/>
      <x:c r="J2958"/>
      <x:c r="K2958"/>
      <x:c r="L2958"/>
      <x:c r="M2958"/>
      <x:c r="N2958"/>
      <x:c r="O2958"/>
      <x:c r="P2958"/>
    </x:row>
    <x:row r="2959">
      <x:c r="A2959"/>
      <x:c r="B2959"/>
      <x:c r="C2959"/>
      <x:c r="D2959"/>
      <x:c r="E2959"/>
      <x:c r="F2959"/>
      <x:c r="G2959" s="56"/>
      <x:c r="H2959"/>
      <x:c r="I2959"/>
      <x:c r="J2959"/>
      <x:c r="K2959"/>
      <x:c r="L2959"/>
      <x:c r="M2959"/>
      <x:c r="N2959"/>
      <x:c r="O2959"/>
      <x:c r="P2959"/>
    </x:row>
    <x:row r="2960">
      <x:c r="A2960"/>
      <x:c r="B2960"/>
      <x:c r="C2960"/>
      <x:c r="D2960"/>
      <x:c r="E2960"/>
      <x:c r="F2960"/>
      <x:c r="G2960" s="56"/>
      <x:c r="H2960"/>
      <x:c r="I2960"/>
      <x:c r="J2960"/>
      <x:c r="K2960"/>
      <x:c r="L2960"/>
      <x:c r="M2960"/>
      <x:c r="N2960"/>
      <x:c r="O2960"/>
      <x:c r="P2960"/>
    </x:row>
    <x:row r="2961">
      <x:c r="A2961"/>
      <x:c r="B2961"/>
      <x:c r="C2961"/>
      <x:c r="D2961"/>
      <x:c r="E2961"/>
      <x:c r="F2961"/>
      <x:c r="G2961" s="56"/>
      <x:c r="H2961"/>
      <x:c r="I2961"/>
      <x:c r="J2961"/>
      <x:c r="K2961"/>
      <x:c r="L2961"/>
      <x:c r="M2961"/>
      <x:c r="N2961"/>
      <x:c r="O2961"/>
      <x:c r="P2961"/>
    </x:row>
    <x:row r="2962">
      <x:c r="A2962"/>
      <x:c r="B2962"/>
      <x:c r="C2962"/>
      <x:c r="D2962"/>
      <x:c r="E2962"/>
      <x:c r="F2962"/>
      <x:c r="G2962" s="56"/>
      <x:c r="H2962"/>
      <x:c r="I2962"/>
      <x:c r="J2962"/>
      <x:c r="K2962"/>
      <x:c r="L2962"/>
      <x:c r="M2962"/>
      <x:c r="N2962"/>
      <x:c r="O2962"/>
      <x:c r="P2962"/>
    </x:row>
    <x:row r="2963">
      <x:c r="A2963"/>
      <x:c r="B2963"/>
      <x:c r="C2963"/>
      <x:c r="D2963"/>
      <x:c r="E2963"/>
      <x:c r="F2963"/>
      <x:c r="G2963" s="56"/>
      <x:c r="H2963"/>
      <x:c r="I2963"/>
      <x:c r="J2963"/>
      <x:c r="K2963"/>
      <x:c r="L2963"/>
      <x:c r="M2963"/>
      <x:c r="N2963"/>
      <x:c r="O2963"/>
      <x:c r="P2963"/>
    </x:row>
    <x:row r="2964">
      <x:c r="A2964"/>
      <x:c r="B2964"/>
      <x:c r="C2964"/>
      <x:c r="D2964"/>
      <x:c r="E2964"/>
      <x:c r="F2964"/>
      <x:c r="G2964" s="56"/>
      <x:c r="H2964"/>
      <x:c r="I2964"/>
      <x:c r="J2964"/>
      <x:c r="K2964"/>
      <x:c r="L2964"/>
      <x:c r="M2964"/>
      <x:c r="N2964"/>
      <x:c r="O2964"/>
      <x:c r="P2964"/>
    </x:row>
    <x:row r="2965">
      <x:c r="A2965"/>
      <x:c r="B2965"/>
      <x:c r="C2965"/>
      <x:c r="D2965"/>
      <x:c r="E2965"/>
      <x:c r="F2965"/>
      <x:c r="G2965" s="56"/>
      <x:c r="H2965"/>
      <x:c r="I2965"/>
      <x:c r="J2965"/>
      <x:c r="K2965"/>
      <x:c r="L2965"/>
      <x:c r="M2965"/>
      <x:c r="N2965"/>
      <x:c r="O2965"/>
      <x:c r="P2965"/>
    </x:row>
    <x:row r="2966">
      <x:c r="A2966"/>
      <x:c r="B2966"/>
      <x:c r="C2966"/>
      <x:c r="D2966"/>
      <x:c r="E2966"/>
      <x:c r="F2966"/>
      <x:c r="G2966" s="56"/>
      <x:c r="H2966"/>
      <x:c r="I2966"/>
      <x:c r="J2966"/>
      <x:c r="K2966"/>
      <x:c r="L2966"/>
      <x:c r="M2966"/>
      <x:c r="N2966"/>
      <x:c r="O2966"/>
      <x:c r="P2966"/>
    </x:row>
    <x:row r="2967">
      <x:c r="A2967"/>
      <x:c r="B2967"/>
      <x:c r="C2967"/>
      <x:c r="D2967"/>
      <x:c r="E2967"/>
      <x:c r="F2967"/>
      <x:c r="G2967" s="56"/>
      <x:c r="H2967"/>
      <x:c r="I2967"/>
      <x:c r="J2967"/>
      <x:c r="K2967"/>
      <x:c r="L2967"/>
      <x:c r="M2967"/>
      <x:c r="N2967"/>
      <x:c r="O2967"/>
      <x:c r="P2967"/>
    </x:row>
    <x:row r="2968">
      <x:c r="A2968"/>
      <x:c r="B2968"/>
      <x:c r="C2968"/>
      <x:c r="D2968"/>
      <x:c r="E2968"/>
      <x:c r="F2968"/>
      <x:c r="G2968" s="56"/>
      <x:c r="H2968"/>
      <x:c r="I2968"/>
      <x:c r="J2968"/>
      <x:c r="K2968"/>
      <x:c r="L2968"/>
      <x:c r="M2968"/>
      <x:c r="N2968"/>
      <x:c r="O2968"/>
      <x:c r="P2968"/>
    </x:row>
    <x:row r="2969">
      <x:c r="A2969"/>
      <x:c r="B2969"/>
      <x:c r="C2969"/>
      <x:c r="D2969"/>
      <x:c r="E2969"/>
      <x:c r="F2969"/>
      <x:c r="G2969" s="56"/>
      <x:c r="H2969"/>
      <x:c r="I2969"/>
      <x:c r="J2969"/>
      <x:c r="K2969"/>
      <x:c r="L2969"/>
      <x:c r="M2969"/>
      <x:c r="N2969"/>
      <x:c r="O2969"/>
      <x:c r="P2969"/>
    </x:row>
    <x:row r="2970">
      <x:c r="A2970"/>
      <x:c r="B2970"/>
      <x:c r="C2970"/>
      <x:c r="D2970"/>
      <x:c r="E2970"/>
      <x:c r="F2970"/>
      <x:c r="G2970" s="56"/>
      <x:c r="H2970"/>
      <x:c r="I2970"/>
      <x:c r="J2970"/>
      <x:c r="K2970"/>
      <x:c r="L2970"/>
      <x:c r="M2970"/>
      <x:c r="N2970"/>
      <x:c r="O2970"/>
      <x:c r="P2970"/>
    </x:row>
    <x:row r="2971">
      <x:c r="A2971"/>
      <x:c r="B2971"/>
      <x:c r="C2971"/>
      <x:c r="D2971"/>
      <x:c r="E2971"/>
      <x:c r="F2971"/>
      <x:c r="G2971" s="56"/>
      <x:c r="H2971"/>
      <x:c r="I2971"/>
      <x:c r="J2971"/>
      <x:c r="K2971"/>
      <x:c r="L2971"/>
      <x:c r="M2971"/>
      <x:c r="N2971"/>
      <x:c r="O2971"/>
      <x:c r="P2971"/>
    </x:row>
    <x:row r="2972">
      <x:c r="A2972"/>
      <x:c r="B2972"/>
      <x:c r="C2972"/>
      <x:c r="D2972"/>
      <x:c r="E2972"/>
      <x:c r="F2972"/>
      <x:c r="G2972" s="56"/>
      <x:c r="H2972"/>
      <x:c r="I2972"/>
      <x:c r="J2972"/>
      <x:c r="K2972"/>
      <x:c r="L2972"/>
      <x:c r="M2972"/>
      <x:c r="N2972"/>
      <x:c r="O2972"/>
      <x:c r="P2972"/>
    </x:row>
    <x:row r="2973">
      <x:c r="A2973"/>
      <x:c r="B2973"/>
      <x:c r="C2973"/>
      <x:c r="D2973"/>
      <x:c r="E2973"/>
      <x:c r="F2973"/>
      <x:c r="G2973" s="56"/>
      <x:c r="H2973"/>
      <x:c r="I2973"/>
      <x:c r="J2973"/>
      <x:c r="K2973"/>
      <x:c r="L2973"/>
      <x:c r="M2973"/>
      <x:c r="N2973"/>
      <x:c r="O2973"/>
      <x:c r="P2973"/>
    </x:row>
    <x:row r="2974">
      <x:c r="A2974"/>
      <x:c r="B2974"/>
      <x:c r="C2974"/>
      <x:c r="D2974"/>
      <x:c r="E2974"/>
      <x:c r="F2974"/>
      <x:c r="G2974" s="56"/>
      <x:c r="H2974"/>
      <x:c r="I2974"/>
      <x:c r="J2974"/>
      <x:c r="K2974"/>
      <x:c r="L2974"/>
      <x:c r="M2974"/>
      <x:c r="N2974"/>
      <x:c r="O2974"/>
      <x:c r="P2974"/>
    </x:row>
    <x:row r="2975">
      <x:c r="A2975"/>
      <x:c r="B2975"/>
      <x:c r="C2975"/>
      <x:c r="D2975"/>
      <x:c r="E2975"/>
      <x:c r="F2975"/>
      <x:c r="G2975" s="56"/>
      <x:c r="H2975"/>
      <x:c r="I2975"/>
      <x:c r="J2975"/>
      <x:c r="K2975"/>
      <x:c r="L2975"/>
      <x:c r="M2975"/>
      <x:c r="N2975"/>
      <x:c r="O2975"/>
      <x:c r="P2975"/>
    </x:row>
    <x:row r="2976">
      <x:c r="A2976"/>
      <x:c r="B2976"/>
      <x:c r="C2976"/>
      <x:c r="D2976"/>
      <x:c r="E2976"/>
      <x:c r="F2976"/>
      <x:c r="G2976" s="56"/>
      <x:c r="H2976"/>
      <x:c r="I2976"/>
      <x:c r="J2976"/>
      <x:c r="K2976"/>
      <x:c r="L2976"/>
      <x:c r="M2976"/>
      <x:c r="N2976"/>
      <x:c r="O2976"/>
      <x:c r="P2976"/>
    </x:row>
    <x:row r="2977">
      <x:c r="A2977"/>
      <x:c r="B2977"/>
      <x:c r="C2977"/>
      <x:c r="D2977"/>
      <x:c r="E2977"/>
      <x:c r="F2977"/>
      <x:c r="G2977" s="56"/>
      <x:c r="H2977"/>
      <x:c r="I2977"/>
      <x:c r="J2977"/>
      <x:c r="K2977"/>
      <x:c r="L2977"/>
      <x:c r="M2977"/>
      <x:c r="N2977"/>
      <x:c r="O2977"/>
      <x:c r="P2977"/>
    </x:row>
    <x:row r="2978">
      <x:c r="A2978"/>
      <x:c r="B2978"/>
      <x:c r="C2978"/>
      <x:c r="D2978"/>
      <x:c r="E2978"/>
      <x:c r="F2978"/>
      <x:c r="G2978" s="56"/>
      <x:c r="H2978"/>
      <x:c r="I2978"/>
      <x:c r="J2978"/>
      <x:c r="K2978"/>
      <x:c r="L2978"/>
      <x:c r="M2978"/>
      <x:c r="N2978"/>
      <x:c r="O2978"/>
      <x:c r="P2978"/>
    </x:row>
    <x:row r="2979">
      <x:c r="A2979"/>
      <x:c r="B2979"/>
      <x:c r="C2979"/>
      <x:c r="D2979"/>
      <x:c r="E2979"/>
      <x:c r="F2979"/>
      <x:c r="G2979" s="56"/>
      <x:c r="H2979"/>
      <x:c r="I2979"/>
      <x:c r="J2979"/>
      <x:c r="K2979"/>
      <x:c r="L2979"/>
      <x:c r="M2979"/>
      <x:c r="N2979"/>
      <x:c r="O2979"/>
      <x:c r="P2979"/>
    </x:row>
    <x:row r="2980">
      <x:c r="A2980"/>
      <x:c r="B2980"/>
      <x:c r="C2980"/>
      <x:c r="D2980"/>
      <x:c r="E2980"/>
      <x:c r="F2980"/>
      <x:c r="G2980" s="56"/>
      <x:c r="H2980"/>
      <x:c r="I2980"/>
      <x:c r="J2980"/>
      <x:c r="K2980"/>
      <x:c r="L2980"/>
      <x:c r="M2980"/>
      <x:c r="N2980"/>
      <x:c r="O2980"/>
      <x:c r="P2980"/>
    </x:row>
    <x:row r="2981">
      <x:c r="A2981"/>
      <x:c r="B2981"/>
      <x:c r="C2981"/>
      <x:c r="D2981"/>
      <x:c r="E2981"/>
      <x:c r="F2981"/>
      <x:c r="G2981" s="56"/>
      <x:c r="H2981"/>
      <x:c r="I2981"/>
      <x:c r="J2981"/>
      <x:c r="K2981"/>
      <x:c r="L2981"/>
      <x:c r="M2981"/>
      <x:c r="N2981"/>
      <x:c r="O2981"/>
      <x:c r="P2981"/>
    </x:row>
    <x:row r="2982">
      <x:c r="A2982"/>
      <x:c r="B2982"/>
      <x:c r="C2982"/>
      <x:c r="D2982"/>
      <x:c r="E2982"/>
      <x:c r="F2982"/>
      <x:c r="G2982" s="56"/>
      <x:c r="H2982"/>
      <x:c r="I2982"/>
      <x:c r="J2982"/>
      <x:c r="K2982"/>
      <x:c r="L2982"/>
      <x:c r="M2982"/>
      <x:c r="N2982"/>
      <x:c r="O2982"/>
      <x:c r="P2982"/>
    </x:row>
    <x:row r="2983">
      <x:c r="A2983"/>
      <x:c r="B2983"/>
      <x:c r="C2983"/>
      <x:c r="D2983"/>
      <x:c r="E2983"/>
      <x:c r="F2983"/>
      <x:c r="G2983" s="56"/>
      <x:c r="H2983"/>
      <x:c r="I2983"/>
      <x:c r="J2983"/>
      <x:c r="K2983"/>
      <x:c r="L2983"/>
      <x:c r="M2983"/>
      <x:c r="N2983"/>
      <x:c r="O2983"/>
      <x:c r="P2983"/>
    </x:row>
    <x:row r="2984">
      <x:c r="A2984"/>
      <x:c r="B2984"/>
      <x:c r="C2984"/>
      <x:c r="D2984"/>
      <x:c r="E2984"/>
      <x:c r="F2984"/>
      <x:c r="G2984" s="56"/>
      <x:c r="H2984"/>
      <x:c r="I2984"/>
      <x:c r="J2984"/>
      <x:c r="K2984"/>
      <x:c r="L2984"/>
      <x:c r="M2984"/>
      <x:c r="N2984"/>
      <x:c r="O2984"/>
      <x:c r="P2984"/>
    </x:row>
    <x:row r="2985">
      <x:c r="A2985"/>
      <x:c r="B2985"/>
      <x:c r="C2985"/>
      <x:c r="D2985"/>
      <x:c r="E2985"/>
      <x:c r="F2985"/>
      <x:c r="G2985" s="56"/>
      <x:c r="H2985"/>
      <x:c r="I2985"/>
      <x:c r="J2985"/>
      <x:c r="K2985"/>
      <x:c r="L2985"/>
      <x:c r="M2985"/>
      <x:c r="N2985"/>
      <x:c r="O2985"/>
      <x:c r="P2985"/>
    </x:row>
    <x:row r="2986">
      <x:c r="A2986"/>
      <x:c r="B2986"/>
      <x:c r="C2986"/>
      <x:c r="D2986"/>
      <x:c r="E2986"/>
      <x:c r="F2986"/>
      <x:c r="G2986" s="56"/>
      <x:c r="H2986"/>
      <x:c r="I2986"/>
      <x:c r="J2986"/>
      <x:c r="K2986"/>
      <x:c r="L2986"/>
      <x:c r="M2986"/>
      <x:c r="N2986"/>
      <x:c r="O2986"/>
      <x:c r="P2986"/>
    </x:row>
    <x:row r="2987">
      <x:c r="A2987"/>
      <x:c r="B2987"/>
      <x:c r="C2987"/>
      <x:c r="D2987"/>
      <x:c r="E2987"/>
      <x:c r="F2987"/>
      <x:c r="G2987" s="56"/>
      <x:c r="H2987"/>
      <x:c r="I2987"/>
      <x:c r="J2987"/>
      <x:c r="K2987"/>
      <x:c r="L2987"/>
      <x:c r="M2987"/>
      <x:c r="N2987"/>
      <x:c r="O2987"/>
      <x:c r="P2987"/>
    </x:row>
    <x:row r="2988">
      <x:c r="A2988"/>
      <x:c r="B2988"/>
      <x:c r="C2988"/>
      <x:c r="D2988"/>
      <x:c r="E2988"/>
      <x:c r="F2988"/>
      <x:c r="G2988" s="56"/>
      <x:c r="H2988"/>
      <x:c r="I2988"/>
      <x:c r="J2988"/>
      <x:c r="K2988"/>
      <x:c r="L2988"/>
      <x:c r="M2988"/>
      <x:c r="N2988"/>
      <x:c r="O2988"/>
      <x:c r="P2988"/>
    </x:row>
    <x:row r="2989">
      <x:c r="A2989"/>
      <x:c r="B2989"/>
      <x:c r="C2989"/>
      <x:c r="D2989"/>
      <x:c r="E2989"/>
      <x:c r="F2989"/>
      <x:c r="G2989" s="56"/>
      <x:c r="H2989"/>
      <x:c r="I2989"/>
      <x:c r="J2989"/>
      <x:c r="K2989"/>
      <x:c r="L2989"/>
      <x:c r="M2989"/>
      <x:c r="N2989"/>
      <x:c r="O2989"/>
      <x:c r="P2989"/>
    </x:row>
    <x:row r="2990">
      <x:c r="A2990"/>
      <x:c r="B2990"/>
      <x:c r="C2990"/>
      <x:c r="D2990"/>
      <x:c r="E2990"/>
      <x:c r="F2990"/>
      <x:c r="G2990" s="56"/>
      <x:c r="H2990"/>
      <x:c r="I2990"/>
      <x:c r="J2990"/>
      <x:c r="K2990"/>
      <x:c r="L2990"/>
      <x:c r="M2990"/>
      <x:c r="N2990"/>
      <x:c r="O2990"/>
      <x:c r="P2990"/>
    </x:row>
    <x:row r="2991">
      <x:c r="A2991"/>
      <x:c r="B2991"/>
      <x:c r="C2991"/>
      <x:c r="D2991"/>
      <x:c r="E2991"/>
      <x:c r="F2991"/>
      <x:c r="G2991" s="56"/>
      <x:c r="H2991"/>
      <x:c r="I2991"/>
      <x:c r="J2991"/>
      <x:c r="K2991"/>
      <x:c r="L2991"/>
      <x:c r="M2991"/>
      <x:c r="N2991"/>
      <x:c r="O2991"/>
      <x:c r="P2991"/>
    </x:row>
    <x:row r="2992">
      <x:c r="A2992"/>
      <x:c r="B2992"/>
      <x:c r="C2992"/>
      <x:c r="D2992"/>
      <x:c r="E2992"/>
      <x:c r="F2992"/>
      <x:c r="G2992" s="56"/>
      <x:c r="H2992"/>
      <x:c r="I2992"/>
      <x:c r="J2992"/>
      <x:c r="K2992"/>
      <x:c r="L2992"/>
      <x:c r="M2992"/>
      <x:c r="N2992"/>
      <x:c r="O2992"/>
      <x:c r="P2992"/>
    </x:row>
    <x:row r="2993">
      <x:c r="A2993"/>
      <x:c r="B2993"/>
      <x:c r="C2993"/>
      <x:c r="D2993"/>
      <x:c r="E2993"/>
      <x:c r="F2993"/>
      <x:c r="G2993" s="56"/>
      <x:c r="H2993"/>
      <x:c r="I2993"/>
      <x:c r="J2993"/>
      <x:c r="K2993"/>
      <x:c r="L2993"/>
      <x:c r="M2993"/>
      <x:c r="N2993"/>
      <x:c r="O2993"/>
      <x:c r="P2993"/>
    </x:row>
    <x:row r="2994">
      <x:c r="A2994"/>
      <x:c r="B2994"/>
      <x:c r="C2994"/>
      <x:c r="D2994"/>
      <x:c r="E2994"/>
      <x:c r="F2994"/>
      <x:c r="G2994" s="56"/>
      <x:c r="H2994"/>
      <x:c r="I2994"/>
      <x:c r="J2994"/>
      <x:c r="K2994"/>
      <x:c r="L2994"/>
      <x:c r="M2994"/>
      <x:c r="N2994"/>
      <x:c r="O2994"/>
      <x:c r="P2994"/>
    </x:row>
    <x:row r="2995">
      <x:c r="A2995"/>
      <x:c r="B2995"/>
      <x:c r="C2995"/>
      <x:c r="D2995"/>
      <x:c r="E2995"/>
      <x:c r="F2995"/>
      <x:c r="G2995" s="56"/>
      <x:c r="H2995"/>
      <x:c r="I2995"/>
      <x:c r="J2995"/>
      <x:c r="K2995"/>
      <x:c r="L2995"/>
      <x:c r="M2995"/>
      <x:c r="N2995"/>
      <x:c r="O2995"/>
      <x:c r="P2995"/>
    </x:row>
    <x:row r="2996">
      <x:c r="A2996"/>
      <x:c r="B2996"/>
      <x:c r="C2996"/>
      <x:c r="D2996"/>
      <x:c r="E2996"/>
      <x:c r="F2996"/>
      <x:c r="G2996" s="56"/>
      <x:c r="H2996"/>
      <x:c r="I2996"/>
      <x:c r="J2996"/>
      <x:c r="K2996"/>
      <x:c r="L2996"/>
      <x:c r="M2996"/>
      <x:c r="N2996"/>
      <x:c r="O2996"/>
      <x:c r="P2996"/>
    </x:row>
    <x:row r="2997">
      <x:c r="A2997"/>
      <x:c r="B2997"/>
      <x:c r="C2997"/>
      <x:c r="D2997"/>
      <x:c r="E2997"/>
      <x:c r="F2997"/>
      <x:c r="G2997" s="56"/>
      <x:c r="H2997"/>
      <x:c r="I2997"/>
      <x:c r="J2997"/>
      <x:c r="K2997"/>
      <x:c r="L2997"/>
      <x:c r="M2997"/>
      <x:c r="N2997"/>
      <x:c r="O2997"/>
      <x:c r="P2997"/>
    </x:row>
    <x:row r="2998">
      <x:c r="A2998"/>
      <x:c r="B2998"/>
      <x:c r="C2998"/>
      <x:c r="D2998"/>
      <x:c r="E2998"/>
      <x:c r="F2998"/>
      <x:c r="G2998" s="56"/>
      <x:c r="H2998"/>
      <x:c r="I2998"/>
      <x:c r="J2998"/>
      <x:c r="K2998"/>
      <x:c r="L2998"/>
      <x:c r="M2998"/>
      <x:c r="N2998"/>
      <x:c r="O2998"/>
      <x:c r="P2998"/>
    </x:row>
    <x:row r="2999">
      <x:c r="A2999"/>
      <x:c r="B2999"/>
      <x:c r="C2999"/>
      <x:c r="D2999"/>
      <x:c r="E2999"/>
      <x:c r="F2999"/>
      <x:c r="G2999" s="56"/>
      <x:c r="H2999"/>
      <x:c r="I2999"/>
      <x:c r="J2999"/>
      <x:c r="K2999"/>
      <x:c r="L2999"/>
      <x:c r="M2999"/>
      <x:c r="N2999"/>
      <x:c r="O2999"/>
      <x:c r="P2999"/>
    </x:row>
    <x:row r="3000">
      <x:c r="A3000"/>
      <x:c r="B3000"/>
      <x:c r="C3000"/>
      <x:c r="D3000"/>
      <x:c r="E3000"/>
      <x:c r="F3000"/>
      <x:c r="G3000" s="56"/>
      <x:c r="H3000"/>
      <x:c r="I3000"/>
      <x:c r="J3000"/>
      <x:c r="K3000"/>
      <x:c r="L3000"/>
      <x:c r="M3000"/>
      <x:c r="N3000"/>
      <x:c r="O3000"/>
      <x:c r="P3000"/>
    </x:row>
    <x:row r="3001">
      <x:c r="A3001"/>
      <x:c r="B3001"/>
      <x:c r="C3001"/>
      <x:c r="D3001"/>
      <x:c r="E3001"/>
      <x:c r="F3001"/>
      <x:c r="G3001" s="56"/>
      <x:c r="H3001"/>
      <x:c r="I3001"/>
      <x:c r="J3001"/>
      <x:c r="K3001"/>
      <x:c r="L3001"/>
      <x:c r="M3001"/>
      <x:c r="N3001"/>
      <x:c r="O3001"/>
      <x:c r="P3001"/>
    </x:row>
    <x:row r="3002">
      <x:c r="A3002"/>
      <x:c r="B3002"/>
      <x:c r="C3002"/>
      <x:c r="D3002"/>
      <x:c r="E3002"/>
      <x:c r="F3002"/>
      <x:c r="G3002" s="56"/>
      <x:c r="H3002"/>
      <x:c r="I3002"/>
      <x:c r="J3002"/>
      <x:c r="K3002"/>
      <x:c r="L3002"/>
      <x:c r="M3002"/>
      <x:c r="N3002"/>
      <x:c r="O3002"/>
      <x:c r="P3002"/>
    </x:row>
    <x:row r="3003">
      <x:c r="A3003"/>
      <x:c r="B3003"/>
      <x:c r="C3003"/>
      <x:c r="D3003"/>
      <x:c r="E3003"/>
      <x:c r="F3003"/>
      <x:c r="G3003" s="56"/>
      <x:c r="H3003"/>
      <x:c r="I3003"/>
      <x:c r="J3003"/>
      <x:c r="K3003"/>
      <x:c r="L3003"/>
      <x:c r="M3003"/>
      <x:c r="N3003"/>
      <x:c r="O3003"/>
      <x:c r="P3003"/>
    </x:row>
    <x:row r="3004">
      <x:c r="A3004"/>
      <x:c r="B3004"/>
      <x:c r="C3004"/>
      <x:c r="D3004"/>
      <x:c r="E3004"/>
      <x:c r="F3004"/>
      <x:c r="G3004" s="56"/>
      <x:c r="H3004"/>
      <x:c r="I3004"/>
      <x:c r="J3004"/>
      <x:c r="K3004"/>
      <x:c r="L3004"/>
      <x:c r="M3004"/>
      <x:c r="N3004"/>
      <x:c r="O3004"/>
      <x:c r="P3004"/>
    </x:row>
    <x:row r="3005">
      <x:c r="A3005"/>
      <x:c r="B3005"/>
      <x:c r="C3005"/>
      <x:c r="D3005"/>
      <x:c r="E3005"/>
      <x:c r="F3005"/>
      <x:c r="G3005" s="56"/>
      <x:c r="H3005"/>
      <x:c r="I3005"/>
      <x:c r="J3005"/>
      <x:c r="K3005"/>
      <x:c r="L3005"/>
      <x:c r="M3005"/>
      <x:c r="N3005"/>
      <x:c r="O3005"/>
      <x:c r="P3005"/>
    </x:row>
    <x:row r="3006">
      <x:c r="A3006"/>
      <x:c r="B3006"/>
      <x:c r="C3006"/>
      <x:c r="D3006"/>
      <x:c r="E3006"/>
      <x:c r="F3006"/>
      <x:c r="G3006" s="56"/>
      <x:c r="H3006"/>
      <x:c r="I3006"/>
      <x:c r="J3006"/>
      <x:c r="K3006"/>
      <x:c r="L3006"/>
      <x:c r="M3006"/>
      <x:c r="N3006"/>
      <x:c r="O3006"/>
      <x:c r="P3006"/>
    </x:row>
    <x:row r="3007">
      <x:c r="A3007"/>
      <x:c r="B3007"/>
      <x:c r="C3007"/>
      <x:c r="D3007"/>
      <x:c r="E3007"/>
      <x:c r="F3007"/>
      <x:c r="G3007" s="56"/>
      <x:c r="H3007"/>
      <x:c r="I3007"/>
      <x:c r="J3007"/>
      <x:c r="K3007"/>
      <x:c r="L3007"/>
      <x:c r="M3007"/>
      <x:c r="N3007"/>
      <x:c r="O3007"/>
      <x:c r="P3007"/>
    </x:row>
    <x:row r="3008">
      <x:c r="A3008"/>
      <x:c r="B3008"/>
      <x:c r="C3008"/>
      <x:c r="D3008"/>
      <x:c r="E3008"/>
      <x:c r="F3008"/>
      <x:c r="G3008" s="56"/>
      <x:c r="H3008"/>
      <x:c r="I3008"/>
      <x:c r="J3008"/>
      <x:c r="K3008"/>
      <x:c r="L3008"/>
      <x:c r="M3008"/>
      <x:c r="N3008"/>
      <x:c r="O3008"/>
      <x:c r="P3008"/>
    </x:row>
    <x:row r="3009">
      <x:c r="A3009"/>
      <x:c r="B3009"/>
      <x:c r="C3009"/>
      <x:c r="D3009"/>
      <x:c r="E3009"/>
      <x:c r="F3009"/>
      <x:c r="G3009" s="56"/>
      <x:c r="H3009"/>
      <x:c r="I3009"/>
      <x:c r="J3009"/>
      <x:c r="K3009"/>
      <x:c r="L3009"/>
      <x:c r="M3009"/>
      <x:c r="N3009"/>
      <x:c r="O3009"/>
      <x:c r="P3009"/>
    </x:row>
    <x:row r="3010">
      <x:c r="A3010"/>
      <x:c r="B3010"/>
      <x:c r="C3010"/>
      <x:c r="D3010"/>
      <x:c r="E3010"/>
      <x:c r="F3010"/>
      <x:c r="G3010" s="56"/>
      <x:c r="H3010"/>
      <x:c r="I3010"/>
      <x:c r="J3010"/>
      <x:c r="K3010"/>
      <x:c r="L3010"/>
      <x:c r="M3010"/>
      <x:c r="N3010"/>
      <x:c r="O3010"/>
      <x:c r="P3010"/>
    </x:row>
    <x:row r="3011">
      <x:c r="A3011"/>
      <x:c r="B3011"/>
      <x:c r="C3011"/>
      <x:c r="D3011"/>
      <x:c r="E3011"/>
      <x:c r="F3011"/>
      <x:c r="G3011" s="56"/>
      <x:c r="H3011"/>
      <x:c r="I3011"/>
      <x:c r="J3011"/>
      <x:c r="K3011"/>
      <x:c r="L3011"/>
      <x:c r="M3011"/>
      <x:c r="N3011"/>
      <x:c r="O3011"/>
      <x:c r="P3011"/>
    </x:row>
    <x:row r="3012">
      <x:c r="A3012"/>
      <x:c r="B3012"/>
      <x:c r="C3012"/>
      <x:c r="D3012"/>
      <x:c r="E3012"/>
      <x:c r="F3012"/>
      <x:c r="G3012" s="56"/>
      <x:c r="H3012"/>
      <x:c r="I3012"/>
      <x:c r="J3012"/>
      <x:c r="K3012"/>
      <x:c r="L3012"/>
      <x:c r="M3012"/>
      <x:c r="N3012"/>
      <x:c r="O3012"/>
      <x:c r="P3012"/>
    </x:row>
    <x:row r="3013">
      <x:c r="A3013"/>
      <x:c r="B3013"/>
      <x:c r="C3013"/>
      <x:c r="D3013"/>
      <x:c r="E3013"/>
      <x:c r="F3013"/>
      <x:c r="G3013" s="56"/>
      <x:c r="H3013"/>
      <x:c r="I3013"/>
      <x:c r="J3013"/>
      <x:c r="K3013"/>
      <x:c r="L3013"/>
      <x:c r="M3013"/>
      <x:c r="N3013"/>
      <x:c r="O3013"/>
      <x:c r="P3013"/>
    </x:row>
    <x:row r="3014">
      <x:c r="A3014"/>
      <x:c r="B3014"/>
      <x:c r="C3014"/>
      <x:c r="D3014"/>
      <x:c r="E3014"/>
      <x:c r="F3014"/>
      <x:c r="G3014" s="56"/>
      <x:c r="H3014"/>
      <x:c r="I3014"/>
      <x:c r="J3014"/>
      <x:c r="K3014"/>
      <x:c r="L3014"/>
      <x:c r="M3014"/>
      <x:c r="N3014"/>
      <x:c r="O3014"/>
      <x:c r="P3014"/>
    </x:row>
    <x:row r="3015">
      <x:c r="A3015"/>
      <x:c r="B3015"/>
      <x:c r="C3015"/>
      <x:c r="D3015"/>
      <x:c r="E3015"/>
      <x:c r="F3015"/>
      <x:c r="G3015" s="56"/>
      <x:c r="H3015"/>
      <x:c r="I3015"/>
      <x:c r="J3015"/>
      <x:c r="K3015"/>
      <x:c r="L3015"/>
      <x:c r="M3015"/>
      <x:c r="N3015"/>
      <x:c r="O3015"/>
      <x:c r="P3015"/>
    </x:row>
    <x:row r="3016">
      <x:c r="A3016"/>
      <x:c r="B3016"/>
      <x:c r="C3016"/>
      <x:c r="D3016"/>
      <x:c r="E3016"/>
      <x:c r="F3016"/>
      <x:c r="G3016" s="56"/>
      <x:c r="H3016"/>
      <x:c r="I3016"/>
      <x:c r="J3016"/>
      <x:c r="K3016"/>
      <x:c r="L3016"/>
      <x:c r="M3016"/>
      <x:c r="N3016"/>
      <x:c r="O3016"/>
      <x:c r="P3016"/>
    </x:row>
    <x:row r="3017">
      <x:c r="A3017"/>
      <x:c r="B3017"/>
      <x:c r="C3017"/>
      <x:c r="D3017"/>
      <x:c r="E3017"/>
      <x:c r="F3017"/>
      <x:c r="G3017" s="56"/>
      <x:c r="H3017"/>
      <x:c r="I3017"/>
      <x:c r="J3017"/>
      <x:c r="K3017"/>
      <x:c r="L3017"/>
      <x:c r="M3017"/>
      <x:c r="N3017"/>
      <x:c r="O3017"/>
      <x:c r="P3017"/>
    </x:row>
    <x:row r="3018">
      <x:c r="A3018"/>
      <x:c r="B3018"/>
      <x:c r="C3018"/>
      <x:c r="D3018"/>
      <x:c r="E3018"/>
      <x:c r="F3018"/>
      <x:c r="G3018" s="56"/>
      <x:c r="H3018"/>
      <x:c r="I3018"/>
      <x:c r="J3018"/>
      <x:c r="K3018"/>
      <x:c r="L3018"/>
      <x:c r="M3018"/>
      <x:c r="N3018"/>
      <x:c r="O3018"/>
      <x:c r="P3018"/>
    </x:row>
    <x:row r="3019">
      <x:c r="A3019"/>
      <x:c r="B3019"/>
      <x:c r="C3019"/>
      <x:c r="D3019"/>
      <x:c r="E3019"/>
      <x:c r="F3019"/>
      <x:c r="G3019" s="56"/>
      <x:c r="H3019"/>
      <x:c r="I3019"/>
      <x:c r="J3019"/>
      <x:c r="K3019"/>
      <x:c r="L3019"/>
      <x:c r="M3019"/>
      <x:c r="N3019"/>
      <x:c r="O3019"/>
      <x:c r="P3019"/>
    </x:row>
    <x:row r="3020">
      <x:c r="A3020"/>
      <x:c r="B3020"/>
      <x:c r="C3020"/>
      <x:c r="D3020"/>
      <x:c r="E3020"/>
      <x:c r="F3020"/>
      <x:c r="G3020" s="56"/>
      <x:c r="H3020"/>
      <x:c r="I3020"/>
      <x:c r="J3020"/>
      <x:c r="K3020"/>
      <x:c r="L3020"/>
      <x:c r="M3020"/>
      <x:c r="N3020"/>
      <x:c r="O3020"/>
      <x:c r="P3020"/>
    </x:row>
    <x:row r="3021">
      <x:c r="A3021"/>
      <x:c r="B3021"/>
      <x:c r="C3021"/>
      <x:c r="D3021"/>
      <x:c r="E3021"/>
      <x:c r="F3021"/>
      <x:c r="G3021" s="56"/>
      <x:c r="H3021"/>
      <x:c r="I3021"/>
      <x:c r="J3021"/>
      <x:c r="K3021"/>
      <x:c r="L3021"/>
      <x:c r="M3021"/>
      <x:c r="N3021"/>
      <x:c r="O3021"/>
      <x:c r="P3021"/>
    </x:row>
    <x:row r="3022">
      <x:c r="A3022"/>
      <x:c r="B3022"/>
      <x:c r="C3022"/>
      <x:c r="D3022"/>
      <x:c r="E3022"/>
      <x:c r="F3022"/>
      <x:c r="G3022" s="56"/>
      <x:c r="H3022"/>
      <x:c r="I3022"/>
      <x:c r="J3022"/>
      <x:c r="K3022"/>
      <x:c r="L3022"/>
      <x:c r="M3022"/>
      <x:c r="N3022"/>
      <x:c r="O3022"/>
      <x:c r="P3022"/>
    </x:row>
    <x:row r="3023">
      <x:c r="A3023"/>
      <x:c r="B3023"/>
      <x:c r="C3023"/>
      <x:c r="D3023"/>
      <x:c r="E3023"/>
      <x:c r="F3023"/>
      <x:c r="G3023" s="56"/>
      <x:c r="H3023"/>
      <x:c r="I3023"/>
      <x:c r="J3023"/>
      <x:c r="K3023"/>
      <x:c r="L3023"/>
      <x:c r="M3023"/>
      <x:c r="N3023"/>
      <x:c r="O3023"/>
      <x:c r="P3023"/>
    </x:row>
    <x:row r="3024">
      <x:c r="A3024"/>
      <x:c r="B3024"/>
      <x:c r="C3024"/>
      <x:c r="D3024"/>
      <x:c r="E3024"/>
      <x:c r="F3024"/>
      <x:c r="G3024" s="56"/>
      <x:c r="H3024"/>
      <x:c r="I3024"/>
      <x:c r="J3024"/>
      <x:c r="K3024"/>
      <x:c r="L3024"/>
      <x:c r="M3024"/>
      <x:c r="N3024"/>
      <x:c r="O3024"/>
      <x:c r="P3024"/>
    </x:row>
    <x:row r="3025">
      <x:c r="A3025"/>
      <x:c r="B3025"/>
      <x:c r="C3025"/>
      <x:c r="D3025"/>
      <x:c r="E3025"/>
      <x:c r="F3025"/>
      <x:c r="G3025" s="56"/>
      <x:c r="H3025"/>
      <x:c r="I3025"/>
      <x:c r="J3025"/>
      <x:c r="K3025"/>
      <x:c r="L3025"/>
      <x:c r="M3025"/>
      <x:c r="N3025"/>
      <x:c r="O3025"/>
      <x:c r="P3025"/>
    </x:row>
    <x:row r="3026">
      <x:c r="A3026"/>
      <x:c r="B3026"/>
      <x:c r="C3026"/>
      <x:c r="D3026"/>
      <x:c r="E3026"/>
      <x:c r="F3026"/>
      <x:c r="G3026" s="56"/>
      <x:c r="H3026"/>
      <x:c r="I3026"/>
      <x:c r="J3026"/>
      <x:c r="K3026"/>
      <x:c r="L3026"/>
      <x:c r="M3026"/>
      <x:c r="N3026"/>
      <x:c r="O3026"/>
      <x:c r="P3026"/>
    </x:row>
    <x:row r="3027">
      <x:c r="A3027"/>
      <x:c r="B3027"/>
      <x:c r="C3027"/>
      <x:c r="D3027"/>
      <x:c r="E3027"/>
      <x:c r="F3027"/>
      <x:c r="G3027" s="56"/>
      <x:c r="H3027"/>
      <x:c r="I3027"/>
      <x:c r="J3027"/>
      <x:c r="K3027"/>
      <x:c r="L3027"/>
      <x:c r="M3027"/>
      <x:c r="N3027"/>
      <x:c r="O3027"/>
      <x:c r="P3027"/>
    </x:row>
    <x:row r="3028">
      <x:c r="A3028"/>
      <x:c r="B3028"/>
      <x:c r="C3028"/>
      <x:c r="D3028"/>
      <x:c r="E3028"/>
      <x:c r="F3028"/>
      <x:c r="G3028" s="56"/>
      <x:c r="H3028"/>
      <x:c r="I3028"/>
      <x:c r="J3028"/>
      <x:c r="K3028"/>
      <x:c r="L3028"/>
      <x:c r="M3028"/>
      <x:c r="N3028"/>
      <x:c r="O3028"/>
      <x:c r="P3028"/>
    </x:row>
    <x:row r="3029">
      <x:c r="A3029"/>
      <x:c r="B3029"/>
      <x:c r="C3029"/>
      <x:c r="D3029"/>
      <x:c r="E3029"/>
      <x:c r="F3029"/>
      <x:c r="G3029" s="56"/>
      <x:c r="H3029"/>
      <x:c r="I3029"/>
      <x:c r="J3029"/>
      <x:c r="K3029"/>
      <x:c r="L3029"/>
      <x:c r="M3029"/>
      <x:c r="N3029"/>
      <x:c r="O3029"/>
      <x:c r="P3029"/>
    </x:row>
    <x:row r="3030">
      <x:c r="A3030"/>
      <x:c r="B3030"/>
      <x:c r="C3030"/>
      <x:c r="D3030"/>
      <x:c r="E3030"/>
      <x:c r="F3030"/>
      <x:c r="G3030" s="56"/>
      <x:c r="H3030"/>
      <x:c r="I3030"/>
      <x:c r="J3030"/>
      <x:c r="K3030"/>
      <x:c r="L3030"/>
      <x:c r="M3030"/>
      <x:c r="N3030"/>
      <x:c r="O3030"/>
      <x:c r="P3030"/>
    </x:row>
    <x:row r="3031">
      <x:c r="A3031"/>
      <x:c r="B3031"/>
      <x:c r="C3031"/>
      <x:c r="D3031"/>
      <x:c r="E3031"/>
      <x:c r="F3031"/>
      <x:c r="G3031" s="56"/>
      <x:c r="H3031"/>
      <x:c r="I3031"/>
      <x:c r="J3031"/>
      <x:c r="K3031"/>
      <x:c r="L3031"/>
      <x:c r="M3031"/>
      <x:c r="N3031"/>
      <x:c r="O3031"/>
      <x:c r="P3031"/>
    </x:row>
    <x:row r="3032">
      <x:c r="A3032"/>
      <x:c r="B3032"/>
      <x:c r="C3032"/>
      <x:c r="D3032"/>
      <x:c r="E3032"/>
      <x:c r="F3032"/>
      <x:c r="G3032" s="56"/>
      <x:c r="H3032"/>
      <x:c r="I3032"/>
      <x:c r="J3032"/>
      <x:c r="K3032"/>
      <x:c r="L3032"/>
      <x:c r="M3032"/>
      <x:c r="N3032"/>
      <x:c r="O3032"/>
      <x:c r="P3032"/>
    </x:row>
    <x:row r="3033">
      <x:c r="A3033"/>
      <x:c r="B3033"/>
      <x:c r="C3033"/>
      <x:c r="D3033"/>
      <x:c r="E3033"/>
      <x:c r="F3033"/>
      <x:c r="G3033" s="56"/>
      <x:c r="H3033"/>
      <x:c r="I3033"/>
      <x:c r="J3033"/>
      <x:c r="K3033"/>
      <x:c r="L3033"/>
      <x:c r="M3033"/>
      <x:c r="N3033"/>
      <x:c r="O3033"/>
      <x:c r="P3033"/>
    </x:row>
    <x:row r="3034">
      <x:c r="A3034"/>
      <x:c r="B3034"/>
      <x:c r="C3034"/>
      <x:c r="D3034"/>
      <x:c r="E3034"/>
      <x:c r="F3034"/>
      <x:c r="G3034" s="56"/>
      <x:c r="H3034"/>
      <x:c r="I3034"/>
      <x:c r="J3034"/>
      <x:c r="K3034"/>
      <x:c r="L3034"/>
      <x:c r="M3034"/>
      <x:c r="N3034"/>
      <x:c r="O3034"/>
      <x:c r="P3034"/>
    </x:row>
    <x:row r="3035">
      <x:c r="A3035"/>
      <x:c r="B3035"/>
      <x:c r="C3035"/>
      <x:c r="D3035"/>
      <x:c r="E3035"/>
      <x:c r="F3035"/>
      <x:c r="G3035" s="56"/>
      <x:c r="H3035"/>
      <x:c r="I3035"/>
      <x:c r="J3035"/>
      <x:c r="K3035"/>
      <x:c r="L3035"/>
      <x:c r="M3035"/>
      <x:c r="N3035"/>
      <x:c r="O3035"/>
      <x:c r="P3035"/>
    </x:row>
    <x:row r="3036">
      <x:c r="A3036"/>
      <x:c r="B3036"/>
      <x:c r="C3036"/>
      <x:c r="D3036"/>
      <x:c r="E3036"/>
      <x:c r="F3036"/>
      <x:c r="G3036" s="56"/>
      <x:c r="H3036"/>
      <x:c r="I3036"/>
      <x:c r="J3036"/>
      <x:c r="K3036"/>
      <x:c r="L3036"/>
      <x:c r="M3036"/>
      <x:c r="N3036"/>
      <x:c r="O3036"/>
      <x:c r="P3036"/>
    </x:row>
    <x:row r="3037">
      <x:c r="A3037"/>
      <x:c r="B3037"/>
      <x:c r="C3037"/>
      <x:c r="D3037"/>
      <x:c r="E3037"/>
      <x:c r="F3037"/>
      <x:c r="G3037" s="56"/>
      <x:c r="H3037"/>
      <x:c r="I3037"/>
      <x:c r="J3037"/>
      <x:c r="K3037"/>
      <x:c r="L3037"/>
      <x:c r="M3037"/>
      <x:c r="N3037"/>
      <x:c r="O3037"/>
      <x:c r="P3037"/>
    </x:row>
    <x:row r="3038">
      <x:c r="A3038"/>
      <x:c r="B3038"/>
      <x:c r="C3038"/>
      <x:c r="D3038"/>
      <x:c r="E3038"/>
      <x:c r="F3038"/>
      <x:c r="G3038" s="56"/>
      <x:c r="H3038"/>
      <x:c r="I3038"/>
      <x:c r="J3038"/>
      <x:c r="K3038"/>
      <x:c r="L3038"/>
      <x:c r="M3038"/>
      <x:c r="N3038"/>
      <x:c r="O3038"/>
      <x:c r="P3038"/>
    </x:row>
    <x:row r="3039">
      <x:c r="A3039"/>
      <x:c r="B3039"/>
      <x:c r="C3039"/>
      <x:c r="D3039"/>
      <x:c r="E3039"/>
      <x:c r="F3039"/>
      <x:c r="G3039" s="56"/>
      <x:c r="H3039"/>
      <x:c r="I3039"/>
      <x:c r="J3039"/>
      <x:c r="K3039"/>
      <x:c r="L3039"/>
      <x:c r="M3039"/>
      <x:c r="N3039"/>
      <x:c r="O3039"/>
      <x:c r="P3039"/>
    </x:row>
    <x:row r="3040">
      <x:c r="A3040"/>
      <x:c r="B3040"/>
      <x:c r="C3040"/>
      <x:c r="D3040"/>
      <x:c r="E3040"/>
      <x:c r="F3040"/>
      <x:c r="G3040" s="56"/>
      <x:c r="H3040"/>
      <x:c r="I3040"/>
      <x:c r="J3040"/>
      <x:c r="K3040"/>
      <x:c r="L3040"/>
      <x:c r="M3040"/>
      <x:c r="N3040"/>
      <x:c r="O3040"/>
      <x:c r="P3040"/>
    </x:row>
    <x:row r="3041">
      <x:c r="A3041"/>
      <x:c r="B3041"/>
      <x:c r="C3041"/>
      <x:c r="D3041"/>
      <x:c r="E3041"/>
      <x:c r="F3041"/>
      <x:c r="G3041" s="56"/>
      <x:c r="H3041"/>
      <x:c r="I3041"/>
      <x:c r="J3041"/>
      <x:c r="K3041"/>
      <x:c r="L3041"/>
      <x:c r="M3041"/>
      <x:c r="N3041"/>
      <x:c r="O3041"/>
      <x:c r="P3041"/>
    </x:row>
    <x:row r="3042">
      <x:c r="A3042"/>
      <x:c r="B3042"/>
      <x:c r="C3042"/>
      <x:c r="D3042"/>
      <x:c r="E3042"/>
      <x:c r="F3042"/>
      <x:c r="G3042" s="56"/>
      <x:c r="H3042"/>
      <x:c r="I3042"/>
      <x:c r="J3042"/>
      <x:c r="K3042"/>
      <x:c r="L3042"/>
      <x:c r="M3042"/>
      <x:c r="N3042"/>
      <x:c r="O3042"/>
      <x:c r="P3042"/>
    </x:row>
    <x:row r="3043">
      <x:c r="A3043"/>
      <x:c r="B3043"/>
      <x:c r="C3043"/>
      <x:c r="D3043"/>
      <x:c r="E3043"/>
      <x:c r="F3043"/>
      <x:c r="G3043" s="56"/>
      <x:c r="H3043"/>
      <x:c r="I3043"/>
      <x:c r="J3043"/>
      <x:c r="K3043"/>
      <x:c r="L3043"/>
      <x:c r="M3043"/>
      <x:c r="N3043"/>
      <x:c r="O3043"/>
      <x:c r="P3043"/>
    </x:row>
    <x:row r="3044">
      <x:c r="A3044"/>
      <x:c r="B3044"/>
      <x:c r="C3044"/>
      <x:c r="D3044"/>
      <x:c r="E3044"/>
      <x:c r="F3044"/>
      <x:c r="G3044" s="56"/>
      <x:c r="H3044"/>
      <x:c r="I3044"/>
      <x:c r="J3044"/>
      <x:c r="K3044"/>
      <x:c r="L3044"/>
      <x:c r="M3044"/>
      <x:c r="N3044"/>
      <x:c r="O3044"/>
      <x:c r="P3044"/>
    </x:row>
    <x:row r="3045">
      <x:c r="A3045"/>
      <x:c r="B3045"/>
      <x:c r="C3045"/>
      <x:c r="D3045"/>
      <x:c r="E3045"/>
      <x:c r="F3045"/>
      <x:c r="G3045" s="56"/>
      <x:c r="H3045"/>
      <x:c r="I3045"/>
      <x:c r="J3045"/>
      <x:c r="K3045"/>
      <x:c r="L3045"/>
      <x:c r="M3045"/>
      <x:c r="N3045"/>
      <x:c r="O3045"/>
      <x:c r="P3045"/>
    </x:row>
    <x:row r="3046">
      <x:c r="A3046"/>
      <x:c r="B3046"/>
      <x:c r="C3046"/>
      <x:c r="D3046"/>
      <x:c r="E3046"/>
      <x:c r="F3046"/>
      <x:c r="G3046" s="56"/>
      <x:c r="H3046"/>
      <x:c r="I3046"/>
      <x:c r="J3046"/>
      <x:c r="K3046"/>
      <x:c r="L3046"/>
      <x:c r="M3046"/>
      <x:c r="N3046"/>
      <x:c r="O3046"/>
      <x:c r="P3046"/>
    </x:row>
    <x:row r="3047">
      <x:c r="A3047"/>
      <x:c r="B3047"/>
      <x:c r="C3047"/>
      <x:c r="D3047"/>
      <x:c r="E3047"/>
      <x:c r="F3047"/>
      <x:c r="G3047" s="56"/>
      <x:c r="H3047"/>
      <x:c r="I3047"/>
      <x:c r="J3047"/>
      <x:c r="K3047"/>
      <x:c r="L3047"/>
      <x:c r="M3047"/>
      <x:c r="N3047"/>
      <x:c r="O3047"/>
      <x:c r="P3047"/>
    </x:row>
    <x:row r="3048">
      <x:c r="A3048"/>
      <x:c r="B3048"/>
      <x:c r="C3048"/>
      <x:c r="D3048"/>
      <x:c r="E3048"/>
      <x:c r="F3048"/>
      <x:c r="G3048" s="56"/>
      <x:c r="H3048"/>
      <x:c r="I3048"/>
      <x:c r="J3048"/>
      <x:c r="K3048"/>
      <x:c r="L3048"/>
      <x:c r="M3048"/>
      <x:c r="N3048"/>
      <x:c r="O3048"/>
      <x:c r="P3048"/>
    </x:row>
    <x:row r="3049">
      <x:c r="A3049"/>
      <x:c r="B3049"/>
      <x:c r="C3049"/>
      <x:c r="D3049"/>
      <x:c r="E3049"/>
      <x:c r="F3049"/>
      <x:c r="G3049" s="56"/>
      <x:c r="H3049"/>
      <x:c r="I3049"/>
      <x:c r="J3049"/>
      <x:c r="K3049"/>
      <x:c r="L3049"/>
      <x:c r="M3049"/>
      <x:c r="N3049"/>
      <x:c r="O3049"/>
      <x:c r="P3049"/>
    </x:row>
    <x:row r="3050">
      <x:c r="A3050"/>
      <x:c r="B3050"/>
      <x:c r="C3050"/>
      <x:c r="D3050"/>
      <x:c r="E3050"/>
      <x:c r="F3050"/>
      <x:c r="G3050" s="56"/>
      <x:c r="H3050"/>
      <x:c r="I3050"/>
      <x:c r="J3050"/>
      <x:c r="K3050"/>
      <x:c r="L3050"/>
      <x:c r="M3050"/>
      <x:c r="N3050"/>
      <x:c r="O3050"/>
      <x:c r="P3050"/>
    </x:row>
    <x:row r="3051">
      <x:c r="A3051"/>
      <x:c r="B3051"/>
      <x:c r="C3051"/>
      <x:c r="D3051"/>
      <x:c r="E3051"/>
      <x:c r="F3051"/>
      <x:c r="G3051" s="56"/>
      <x:c r="H3051"/>
      <x:c r="I3051"/>
      <x:c r="J3051"/>
      <x:c r="K3051"/>
      <x:c r="L3051"/>
      <x:c r="M3051"/>
      <x:c r="N3051"/>
      <x:c r="O3051"/>
      <x:c r="P3051"/>
    </x:row>
    <x:row r="3052">
      <x:c r="A3052"/>
      <x:c r="B3052"/>
      <x:c r="C3052"/>
      <x:c r="D3052"/>
      <x:c r="E3052"/>
      <x:c r="F3052"/>
      <x:c r="G3052" s="56"/>
      <x:c r="H3052"/>
      <x:c r="I3052"/>
      <x:c r="J3052"/>
      <x:c r="K3052"/>
      <x:c r="L3052"/>
      <x:c r="M3052"/>
      <x:c r="N3052"/>
      <x:c r="O3052"/>
      <x:c r="P3052"/>
    </x:row>
    <x:row r="3053">
      <x:c r="A3053"/>
      <x:c r="B3053"/>
      <x:c r="C3053"/>
      <x:c r="D3053"/>
      <x:c r="E3053"/>
      <x:c r="F3053"/>
      <x:c r="G3053" s="56"/>
      <x:c r="H3053"/>
      <x:c r="I3053"/>
      <x:c r="J3053"/>
      <x:c r="K3053"/>
      <x:c r="L3053"/>
      <x:c r="M3053"/>
      <x:c r="N3053"/>
      <x:c r="O3053"/>
      <x:c r="P3053"/>
    </x:row>
    <x:row r="3054">
      <x:c r="A3054"/>
      <x:c r="B3054"/>
      <x:c r="C3054"/>
      <x:c r="D3054"/>
      <x:c r="E3054"/>
      <x:c r="F3054"/>
      <x:c r="G3054" s="56"/>
      <x:c r="H3054"/>
      <x:c r="I3054"/>
      <x:c r="J3054"/>
      <x:c r="K3054"/>
      <x:c r="L3054"/>
      <x:c r="M3054"/>
      <x:c r="N3054"/>
      <x:c r="O3054"/>
      <x:c r="P3054"/>
    </x:row>
    <x:row r="3055">
      <x:c r="A3055"/>
      <x:c r="B3055"/>
      <x:c r="C3055"/>
      <x:c r="D3055"/>
      <x:c r="E3055"/>
      <x:c r="F3055"/>
      <x:c r="G3055" s="56"/>
      <x:c r="H3055"/>
      <x:c r="I3055"/>
      <x:c r="J3055"/>
      <x:c r="K3055"/>
      <x:c r="L3055"/>
      <x:c r="M3055"/>
      <x:c r="N3055"/>
      <x:c r="O3055"/>
      <x:c r="P3055"/>
    </x:row>
    <x:row r="3056">
      <x:c r="A3056"/>
      <x:c r="B3056"/>
      <x:c r="C3056"/>
      <x:c r="D3056"/>
      <x:c r="E3056"/>
      <x:c r="F3056"/>
      <x:c r="G3056" s="56"/>
      <x:c r="H3056"/>
      <x:c r="I3056"/>
      <x:c r="J3056"/>
      <x:c r="K3056"/>
      <x:c r="L3056"/>
      <x:c r="M3056"/>
      <x:c r="N3056"/>
      <x:c r="O3056"/>
      <x:c r="P3056"/>
    </x:row>
    <x:row r="3057">
      <x:c r="A3057"/>
      <x:c r="B3057"/>
      <x:c r="C3057"/>
      <x:c r="D3057"/>
      <x:c r="E3057"/>
      <x:c r="F3057"/>
      <x:c r="G3057" s="56"/>
      <x:c r="H3057"/>
      <x:c r="I3057"/>
      <x:c r="J3057"/>
      <x:c r="K3057"/>
      <x:c r="L3057"/>
      <x:c r="M3057"/>
      <x:c r="N3057"/>
      <x:c r="O3057"/>
      <x:c r="P3057"/>
    </x:row>
    <x:row r="3058">
      <x:c r="A3058"/>
      <x:c r="B3058"/>
      <x:c r="C3058"/>
      <x:c r="D3058"/>
      <x:c r="E3058"/>
      <x:c r="F3058"/>
      <x:c r="G3058" s="56"/>
      <x:c r="H3058"/>
      <x:c r="I3058"/>
      <x:c r="J3058"/>
      <x:c r="K3058"/>
      <x:c r="L3058"/>
      <x:c r="M3058"/>
      <x:c r="N3058"/>
      <x:c r="O3058"/>
      <x:c r="P3058"/>
    </x:row>
    <x:row r="3059">
      <x:c r="A3059"/>
      <x:c r="B3059"/>
      <x:c r="C3059"/>
      <x:c r="D3059"/>
      <x:c r="E3059"/>
      <x:c r="F3059"/>
      <x:c r="G3059" s="56"/>
      <x:c r="H3059"/>
      <x:c r="I3059"/>
      <x:c r="J3059"/>
      <x:c r="K3059"/>
      <x:c r="L3059"/>
      <x:c r="M3059"/>
      <x:c r="N3059"/>
      <x:c r="O3059"/>
      <x:c r="P3059"/>
    </x:row>
    <x:row r="3060">
      <x:c r="A3060"/>
      <x:c r="B3060"/>
      <x:c r="C3060"/>
      <x:c r="D3060"/>
      <x:c r="E3060"/>
      <x:c r="F3060"/>
      <x:c r="G3060" s="56"/>
      <x:c r="H3060"/>
      <x:c r="I3060"/>
      <x:c r="J3060"/>
      <x:c r="K3060"/>
      <x:c r="L3060"/>
      <x:c r="M3060"/>
      <x:c r="N3060"/>
      <x:c r="O3060"/>
      <x:c r="P3060"/>
    </x:row>
    <x:row r="3061">
      <x:c r="A3061"/>
      <x:c r="B3061"/>
      <x:c r="C3061"/>
      <x:c r="D3061"/>
      <x:c r="E3061"/>
      <x:c r="F3061"/>
      <x:c r="G3061" s="56"/>
      <x:c r="H3061"/>
      <x:c r="I3061"/>
      <x:c r="J3061"/>
      <x:c r="K3061"/>
      <x:c r="L3061"/>
      <x:c r="M3061"/>
      <x:c r="N3061"/>
      <x:c r="O3061"/>
      <x:c r="P3061"/>
    </x:row>
    <x:row r="3062">
      <x:c r="A3062"/>
      <x:c r="B3062"/>
      <x:c r="C3062"/>
      <x:c r="D3062"/>
      <x:c r="E3062"/>
      <x:c r="F3062"/>
      <x:c r="G3062" s="56"/>
      <x:c r="H3062"/>
      <x:c r="I3062"/>
      <x:c r="J3062"/>
      <x:c r="K3062"/>
      <x:c r="L3062"/>
      <x:c r="M3062"/>
      <x:c r="N3062"/>
      <x:c r="O3062"/>
      <x:c r="P3062"/>
    </x:row>
    <x:row r="3063">
      <x:c r="A3063"/>
      <x:c r="B3063"/>
      <x:c r="C3063"/>
      <x:c r="D3063"/>
      <x:c r="E3063"/>
      <x:c r="F3063"/>
      <x:c r="G3063" s="56"/>
      <x:c r="H3063"/>
      <x:c r="I3063"/>
      <x:c r="J3063"/>
      <x:c r="K3063"/>
      <x:c r="L3063"/>
      <x:c r="M3063"/>
      <x:c r="N3063"/>
      <x:c r="O3063"/>
      <x:c r="P3063"/>
    </x:row>
    <x:row r="3064">
      <x:c r="A3064"/>
      <x:c r="B3064"/>
      <x:c r="C3064"/>
      <x:c r="D3064"/>
      <x:c r="E3064"/>
      <x:c r="F3064"/>
      <x:c r="G3064" s="56"/>
      <x:c r="H3064"/>
      <x:c r="I3064"/>
      <x:c r="J3064"/>
      <x:c r="K3064"/>
      <x:c r="L3064"/>
      <x:c r="M3064"/>
      <x:c r="N3064"/>
      <x:c r="O3064"/>
      <x:c r="P3064"/>
    </x:row>
    <x:row r="3065">
      <x:c r="A3065"/>
      <x:c r="B3065"/>
      <x:c r="C3065"/>
      <x:c r="D3065"/>
      <x:c r="E3065"/>
      <x:c r="F3065"/>
      <x:c r="G3065" s="56"/>
      <x:c r="H3065"/>
      <x:c r="I3065"/>
      <x:c r="J3065"/>
      <x:c r="K3065"/>
      <x:c r="L3065"/>
      <x:c r="M3065"/>
      <x:c r="N3065"/>
      <x:c r="O3065"/>
      <x:c r="P3065"/>
    </x:row>
    <x:row r="3066">
      <x:c r="A3066"/>
      <x:c r="B3066"/>
      <x:c r="C3066"/>
      <x:c r="D3066"/>
      <x:c r="E3066"/>
      <x:c r="F3066"/>
      <x:c r="G3066" s="56"/>
      <x:c r="H3066"/>
      <x:c r="I3066"/>
      <x:c r="J3066"/>
      <x:c r="K3066"/>
      <x:c r="L3066"/>
      <x:c r="M3066"/>
      <x:c r="N3066"/>
      <x:c r="O3066"/>
      <x:c r="P3066"/>
    </x:row>
    <x:row r="3067">
      <x:c r="A3067"/>
      <x:c r="B3067"/>
      <x:c r="C3067"/>
      <x:c r="D3067"/>
      <x:c r="E3067"/>
      <x:c r="F3067"/>
      <x:c r="G3067" s="56"/>
      <x:c r="H3067"/>
      <x:c r="I3067"/>
      <x:c r="J3067"/>
      <x:c r="K3067"/>
      <x:c r="L3067"/>
      <x:c r="M3067"/>
      <x:c r="N3067"/>
      <x:c r="O3067"/>
      <x:c r="P3067"/>
    </x:row>
    <x:row r="3068">
      <x:c r="A3068"/>
      <x:c r="B3068"/>
      <x:c r="C3068"/>
      <x:c r="D3068"/>
      <x:c r="E3068"/>
      <x:c r="F3068"/>
      <x:c r="G3068" s="56"/>
      <x:c r="H3068"/>
      <x:c r="I3068"/>
      <x:c r="J3068"/>
      <x:c r="K3068"/>
      <x:c r="L3068"/>
      <x:c r="M3068"/>
      <x:c r="N3068"/>
      <x:c r="O3068"/>
      <x:c r="P3068"/>
    </x:row>
    <x:row r="3069">
      <x:c r="A3069"/>
      <x:c r="B3069"/>
      <x:c r="C3069"/>
      <x:c r="D3069"/>
      <x:c r="E3069"/>
      <x:c r="F3069"/>
      <x:c r="G3069" s="56"/>
      <x:c r="H3069"/>
      <x:c r="I3069"/>
      <x:c r="J3069"/>
      <x:c r="K3069"/>
      <x:c r="L3069"/>
      <x:c r="M3069"/>
      <x:c r="N3069"/>
      <x:c r="O3069"/>
      <x:c r="P3069"/>
    </x:row>
    <x:row r="3070">
      <x:c r="A3070"/>
      <x:c r="B3070"/>
      <x:c r="C3070"/>
      <x:c r="D3070"/>
      <x:c r="E3070"/>
      <x:c r="F3070"/>
      <x:c r="G3070" s="56"/>
      <x:c r="H3070"/>
      <x:c r="I3070"/>
      <x:c r="J3070"/>
      <x:c r="K3070"/>
      <x:c r="L3070"/>
      <x:c r="M3070"/>
      <x:c r="N3070"/>
      <x:c r="O3070"/>
      <x:c r="P3070"/>
    </x:row>
    <x:row r="3071">
      <x:c r="A3071"/>
      <x:c r="B3071"/>
      <x:c r="C3071"/>
      <x:c r="D3071"/>
      <x:c r="E3071"/>
      <x:c r="F3071"/>
      <x:c r="G3071" s="56"/>
      <x:c r="H3071"/>
      <x:c r="I3071"/>
      <x:c r="J3071"/>
      <x:c r="K3071"/>
      <x:c r="L3071"/>
      <x:c r="M3071"/>
      <x:c r="N3071"/>
      <x:c r="O3071"/>
      <x:c r="P3071"/>
    </x:row>
    <x:row r="3072">
      <x:c r="A3072"/>
      <x:c r="B3072"/>
      <x:c r="C3072"/>
      <x:c r="D3072"/>
      <x:c r="E3072"/>
      <x:c r="F3072"/>
      <x:c r="G3072" s="56"/>
      <x:c r="H3072"/>
      <x:c r="I3072"/>
      <x:c r="J3072"/>
      <x:c r="K3072"/>
      <x:c r="L3072"/>
      <x:c r="M3072"/>
      <x:c r="N3072"/>
      <x:c r="O3072"/>
      <x:c r="P3072"/>
    </x:row>
    <x:row r="3073">
      <x:c r="A3073"/>
      <x:c r="B3073"/>
      <x:c r="C3073"/>
      <x:c r="D3073"/>
      <x:c r="E3073"/>
      <x:c r="F3073"/>
      <x:c r="G3073" s="56"/>
      <x:c r="H3073"/>
      <x:c r="I3073"/>
      <x:c r="J3073"/>
      <x:c r="K3073"/>
      <x:c r="L3073"/>
      <x:c r="M3073"/>
      <x:c r="N3073"/>
      <x:c r="O3073"/>
      <x:c r="P3073"/>
    </x:row>
    <x:row r="3074">
      <x:c r="A3074"/>
      <x:c r="B3074"/>
      <x:c r="C3074"/>
      <x:c r="D3074"/>
      <x:c r="E3074"/>
      <x:c r="F3074"/>
      <x:c r="G3074" s="56"/>
      <x:c r="H3074"/>
      <x:c r="I3074"/>
      <x:c r="J3074"/>
      <x:c r="K3074"/>
      <x:c r="L3074"/>
      <x:c r="M3074"/>
      <x:c r="N3074"/>
      <x:c r="O3074"/>
      <x:c r="P3074"/>
    </x:row>
    <x:row r="3075">
      <x:c r="A3075"/>
      <x:c r="B3075"/>
      <x:c r="C3075"/>
      <x:c r="D3075"/>
      <x:c r="E3075"/>
      <x:c r="F3075"/>
      <x:c r="G3075" s="56"/>
      <x:c r="H3075"/>
      <x:c r="I3075"/>
      <x:c r="J3075"/>
      <x:c r="K3075"/>
      <x:c r="L3075"/>
      <x:c r="M3075"/>
      <x:c r="N3075"/>
      <x:c r="O3075"/>
      <x:c r="P3075"/>
    </x:row>
    <x:row r="3076">
      <x:c r="A3076"/>
      <x:c r="B3076"/>
      <x:c r="C3076"/>
      <x:c r="D3076"/>
      <x:c r="E3076"/>
      <x:c r="F3076"/>
      <x:c r="G3076" s="56"/>
      <x:c r="H3076"/>
      <x:c r="I3076"/>
      <x:c r="J3076"/>
      <x:c r="K3076"/>
      <x:c r="L3076"/>
      <x:c r="M3076"/>
      <x:c r="N3076"/>
      <x:c r="O3076"/>
      <x:c r="P3076"/>
    </x:row>
    <x:row r="3077">
      <x:c r="A3077"/>
      <x:c r="B3077"/>
      <x:c r="C3077"/>
      <x:c r="D3077"/>
      <x:c r="E3077"/>
      <x:c r="F3077"/>
      <x:c r="G3077" s="56"/>
      <x:c r="H3077"/>
      <x:c r="I3077"/>
      <x:c r="J3077"/>
      <x:c r="K3077"/>
      <x:c r="L3077"/>
      <x:c r="M3077"/>
      <x:c r="N3077"/>
      <x:c r="O3077"/>
      <x:c r="P3077"/>
    </x:row>
    <x:row r="3078">
      <x:c r="A3078"/>
      <x:c r="B3078"/>
      <x:c r="C3078"/>
      <x:c r="D3078"/>
      <x:c r="E3078"/>
      <x:c r="F3078"/>
      <x:c r="G3078" s="56"/>
      <x:c r="H3078"/>
      <x:c r="I3078"/>
      <x:c r="J3078"/>
      <x:c r="K3078"/>
      <x:c r="L3078"/>
      <x:c r="M3078"/>
      <x:c r="N3078"/>
      <x:c r="O3078"/>
      <x:c r="P3078"/>
    </x:row>
    <x:row r="3079">
      <x:c r="A3079"/>
      <x:c r="B3079"/>
      <x:c r="C3079"/>
      <x:c r="D3079"/>
      <x:c r="E3079"/>
      <x:c r="F3079"/>
      <x:c r="G3079" s="56"/>
      <x:c r="H3079"/>
      <x:c r="I3079"/>
      <x:c r="J3079"/>
      <x:c r="K3079"/>
      <x:c r="L3079"/>
      <x:c r="M3079"/>
      <x:c r="N3079"/>
      <x:c r="O3079"/>
      <x:c r="P3079"/>
    </x:row>
    <x:row r="3080">
      <x:c r="A3080"/>
      <x:c r="B3080"/>
      <x:c r="C3080"/>
      <x:c r="D3080"/>
      <x:c r="E3080"/>
      <x:c r="F3080"/>
      <x:c r="G3080" s="56"/>
      <x:c r="H3080"/>
      <x:c r="I3080"/>
      <x:c r="J3080"/>
      <x:c r="K3080"/>
      <x:c r="L3080"/>
      <x:c r="M3080"/>
      <x:c r="N3080"/>
      <x:c r="O3080"/>
      <x:c r="P3080"/>
    </x:row>
    <x:row r="3081">
      <x:c r="A3081"/>
      <x:c r="B3081"/>
      <x:c r="C3081"/>
      <x:c r="D3081"/>
      <x:c r="E3081"/>
      <x:c r="F3081"/>
      <x:c r="G3081" s="56"/>
      <x:c r="H3081"/>
      <x:c r="I3081"/>
      <x:c r="J3081"/>
      <x:c r="K3081"/>
      <x:c r="L3081"/>
      <x:c r="M3081"/>
      <x:c r="N3081"/>
      <x:c r="O3081"/>
      <x:c r="P3081"/>
    </x:row>
    <x:row r="3082">
      <x:c r="A3082"/>
      <x:c r="B3082"/>
      <x:c r="C3082"/>
      <x:c r="D3082"/>
      <x:c r="E3082"/>
      <x:c r="F3082"/>
      <x:c r="G3082" s="56"/>
      <x:c r="H3082"/>
      <x:c r="I3082"/>
      <x:c r="J3082"/>
      <x:c r="K3082"/>
      <x:c r="L3082"/>
      <x:c r="M3082"/>
      <x:c r="N3082"/>
      <x:c r="O3082"/>
      <x:c r="P3082"/>
    </x:row>
    <x:row r="3083">
      <x:c r="A3083"/>
      <x:c r="B3083"/>
      <x:c r="C3083"/>
      <x:c r="D3083"/>
      <x:c r="E3083"/>
      <x:c r="F3083"/>
      <x:c r="G3083" s="56"/>
      <x:c r="H3083"/>
      <x:c r="I3083"/>
      <x:c r="J3083"/>
      <x:c r="K3083"/>
      <x:c r="L3083"/>
      <x:c r="M3083"/>
      <x:c r="N3083"/>
      <x:c r="O3083"/>
      <x:c r="P3083"/>
    </x:row>
    <x:row r="3084">
      <x:c r="A3084"/>
      <x:c r="B3084"/>
      <x:c r="C3084"/>
      <x:c r="D3084"/>
      <x:c r="E3084"/>
      <x:c r="F3084"/>
      <x:c r="G3084" s="56"/>
      <x:c r="H3084"/>
      <x:c r="I3084"/>
      <x:c r="J3084"/>
      <x:c r="K3084"/>
      <x:c r="L3084"/>
      <x:c r="M3084"/>
      <x:c r="N3084"/>
      <x:c r="O3084"/>
      <x:c r="P3084"/>
    </x:row>
    <x:row r="3085">
      <x:c r="A3085"/>
      <x:c r="B3085"/>
      <x:c r="C3085"/>
      <x:c r="D3085"/>
      <x:c r="E3085"/>
      <x:c r="F3085"/>
      <x:c r="G3085" s="56"/>
      <x:c r="H3085"/>
      <x:c r="I3085"/>
      <x:c r="J3085"/>
      <x:c r="K3085"/>
      <x:c r="L3085"/>
      <x:c r="M3085"/>
      <x:c r="N3085"/>
      <x:c r="O3085"/>
      <x:c r="P3085"/>
    </x:row>
    <x:row r="3086">
      <x:c r="A3086"/>
      <x:c r="B3086"/>
      <x:c r="C3086"/>
      <x:c r="D3086"/>
      <x:c r="E3086"/>
      <x:c r="F3086"/>
      <x:c r="G3086" s="56"/>
      <x:c r="H3086"/>
      <x:c r="I3086"/>
      <x:c r="J3086"/>
      <x:c r="K3086"/>
      <x:c r="L3086"/>
      <x:c r="M3086"/>
      <x:c r="N3086"/>
      <x:c r="O3086"/>
      <x:c r="P3086"/>
    </x:row>
    <x:row r="3087">
      <x:c r="A3087"/>
      <x:c r="B3087"/>
      <x:c r="C3087"/>
      <x:c r="D3087"/>
      <x:c r="E3087"/>
      <x:c r="F3087"/>
      <x:c r="G3087" s="56"/>
      <x:c r="H3087"/>
      <x:c r="I3087"/>
      <x:c r="J3087"/>
      <x:c r="K3087"/>
      <x:c r="L3087"/>
      <x:c r="M3087"/>
      <x:c r="N3087"/>
      <x:c r="O3087"/>
      <x:c r="P3087"/>
    </x:row>
    <x:row r="3088">
      <x:c r="A3088"/>
      <x:c r="B3088"/>
      <x:c r="C3088"/>
      <x:c r="D3088"/>
      <x:c r="E3088"/>
      <x:c r="F3088"/>
      <x:c r="G3088" s="56"/>
      <x:c r="H3088"/>
      <x:c r="I3088"/>
      <x:c r="J3088"/>
      <x:c r="K3088"/>
      <x:c r="L3088"/>
      <x:c r="M3088"/>
      <x:c r="N3088"/>
      <x:c r="O3088"/>
      <x:c r="P3088"/>
    </x:row>
    <x:row r="3089">
      <x:c r="A3089"/>
      <x:c r="B3089"/>
      <x:c r="C3089"/>
      <x:c r="D3089"/>
      <x:c r="E3089"/>
      <x:c r="F3089"/>
      <x:c r="G3089" s="56"/>
      <x:c r="H3089"/>
      <x:c r="I3089"/>
      <x:c r="J3089"/>
      <x:c r="K3089"/>
      <x:c r="L3089"/>
      <x:c r="M3089"/>
      <x:c r="N3089"/>
      <x:c r="O3089"/>
      <x:c r="P3089"/>
    </x:row>
    <x:row r="3090">
      <x:c r="A3090"/>
      <x:c r="B3090"/>
      <x:c r="C3090"/>
      <x:c r="D3090"/>
      <x:c r="E3090"/>
      <x:c r="F3090"/>
      <x:c r="G3090" s="56"/>
      <x:c r="H3090"/>
      <x:c r="I3090"/>
      <x:c r="J3090"/>
      <x:c r="K3090"/>
      <x:c r="L3090"/>
      <x:c r="M3090"/>
      <x:c r="N3090"/>
      <x:c r="O3090"/>
      <x:c r="P3090"/>
    </x:row>
    <x:row r="3091">
      <x:c r="A3091"/>
      <x:c r="B3091"/>
      <x:c r="C3091"/>
      <x:c r="D3091"/>
      <x:c r="E3091"/>
      <x:c r="F3091"/>
      <x:c r="G3091" s="56"/>
      <x:c r="H3091"/>
      <x:c r="I3091"/>
      <x:c r="J3091"/>
      <x:c r="K3091"/>
      <x:c r="L3091"/>
      <x:c r="M3091"/>
      <x:c r="N3091"/>
      <x:c r="O3091"/>
      <x:c r="P3091"/>
    </x:row>
    <x:row r="3092">
      <x:c r="A3092"/>
      <x:c r="B3092"/>
      <x:c r="C3092"/>
      <x:c r="D3092"/>
      <x:c r="E3092"/>
      <x:c r="F3092"/>
      <x:c r="G3092" s="56"/>
      <x:c r="H3092"/>
      <x:c r="I3092"/>
      <x:c r="J3092"/>
      <x:c r="K3092"/>
      <x:c r="L3092"/>
      <x:c r="M3092"/>
      <x:c r="N3092"/>
      <x:c r="O3092"/>
      <x:c r="P3092"/>
    </x:row>
    <x:row r="3093">
      <x:c r="A3093"/>
      <x:c r="B3093"/>
      <x:c r="C3093"/>
      <x:c r="D3093"/>
      <x:c r="E3093"/>
      <x:c r="F3093"/>
      <x:c r="G3093" s="56"/>
      <x:c r="H3093"/>
      <x:c r="I3093"/>
      <x:c r="J3093"/>
      <x:c r="K3093"/>
      <x:c r="L3093"/>
      <x:c r="M3093"/>
      <x:c r="N3093"/>
      <x:c r="O3093"/>
      <x:c r="P3093"/>
    </x:row>
    <x:row r="3094">
      <x:c r="A3094"/>
      <x:c r="B3094"/>
      <x:c r="C3094"/>
      <x:c r="D3094"/>
      <x:c r="E3094"/>
      <x:c r="F3094"/>
      <x:c r="G3094" s="56"/>
      <x:c r="H3094"/>
      <x:c r="I3094"/>
      <x:c r="J3094"/>
      <x:c r="K3094"/>
      <x:c r="L3094"/>
      <x:c r="M3094"/>
      <x:c r="N3094"/>
      <x:c r="O3094"/>
      <x:c r="P3094"/>
    </x:row>
    <x:row r="3095">
      <x:c r="A3095"/>
      <x:c r="B3095"/>
      <x:c r="C3095"/>
      <x:c r="D3095"/>
      <x:c r="E3095"/>
      <x:c r="F3095"/>
      <x:c r="G3095" s="56"/>
      <x:c r="H3095"/>
      <x:c r="I3095"/>
      <x:c r="J3095"/>
      <x:c r="K3095"/>
      <x:c r="L3095"/>
      <x:c r="M3095"/>
      <x:c r="N3095"/>
      <x:c r="O3095"/>
      <x:c r="P3095"/>
    </x:row>
    <x:row r="3096">
      <x:c r="A3096"/>
      <x:c r="B3096"/>
      <x:c r="C3096"/>
      <x:c r="D3096"/>
      <x:c r="E3096"/>
      <x:c r="F3096"/>
      <x:c r="G3096" s="56"/>
      <x:c r="H3096"/>
      <x:c r="I3096"/>
      <x:c r="J3096"/>
      <x:c r="K3096"/>
      <x:c r="L3096"/>
      <x:c r="M3096"/>
      <x:c r="N3096"/>
      <x:c r="O3096"/>
      <x:c r="P3096"/>
    </x:row>
    <x:row r="3097">
      <x:c r="A3097"/>
      <x:c r="B3097"/>
      <x:c r="C3097"/>
      <x:c r="D3097"/>
      <x:c r="E3097"/>
      <x:c r="F3097"/>
      <x:c r="G3097" s="56"/>
      <x:c r="H3097"/>
      <x:c r="I3097"/>
      <x:c r="J3097"/>
      <x:c r="K3097"/>
      <x:c r="L3097"/>
      <x:c r="M3097"/>
      <x:c r="N3097"/>
      <x:c r="O3097"/>
      <x:c r="P3097"/>
    </x:row>
    <x:row r="3098">
      <x:c r="A3098"/>
      <x:c r="B3098"/>
      <x:c r="C3098"/>
      <x:c r="D3098"/>
      <x:c r="E3098"/>
      <x:c r="F3098"/>
      <x:c r="G3098" s="56"/>
      <x:c r="H3098"/>
      <x:c r="I3098"/>
      <x:c r="J3098"/>
      <x:c r="K3098"/>
      <x:c r="L3098"/>
      <x:c r="M3098"/>
      <x:c r="N3098"/>
      <x:c r="O3098"/>
      <x:c r="P3098"/>
    </x:row>
    <x:row r="3099">
      <x:c r="A3099"/>
      <x:c r="B3099"/>
      <x:c r="C3099"/>
      <x:c r="D3099"/>
      <x:c r="E3099"/>
      <x:c r="F3099"/>
      <x:c r="G3099" s="56"/>
      <x:c r="H3099"/>
      <x:c r="I3099"/>
      <x:c r="J3099"/>
      <x:c r="K3099"/>
      <x:c r="L3099"/>
      <x:c r="M3099"/>
      <x:c r="N3099"/>
      <x:c r="O3099"/>
      <x:c r="P3099"/>
    </x:row>
    <x:row r="3100">
      <x:c r="A3100"/>
      <x:c r="B3100"/>
      <x:c r="C3100"/>
      <x:c r="D3100"/>
      <x:c r="E3100"/>
      <x:c r="F3100"/>
      <x:c r="G3100" s="56"/>
      <x:c r="H3100"/>
      <x:c r="I3100"/>
      <x:c r="J3100"/>
      <x:c r="K3100"/>
      <x:c r="L3100"/>
      <x:c r="M3100"/>
      <x:c r="N3100"/>
      <x:c r="O3100"/>
      <x:c r="P3100"/>
    </x:row>
    <x:row r="3101">
      <x:c r="A3101"/>
      <x:c r="B3101"/>
      <x:c r="C3101"/>
      <x:c r="D3101"/>
      <x:c r="E3101"/>
      <x:c r="F3101"/>
      <x:c r="G3101" s="56"/>
      <x:c r="H3101"/>
      <x:c r="I3101"/>
      <x:c r="J3101"/>
      <x:c r="K3101"/>
      <x:c r="L3101"/>
      <x:c r="M3101"/>
      <x:c r="N3101"/>
      <x:c r="O3101"/>
      <x:c r="P3101"/>
    </x:row>
    <x:row r="3102">
      <x:c r="A3102"/>
      <x:c r="B3102"/>
      <x:c r="C3102"/>
      <x:c r="D3102"/>
      <x:c r="E3102"/>
      <x:c r="F3102"/>
      <x:c r="G3102" s="56"/>
      <x:c r="H3102"/>
      <x:c r="I3102"/>
      <x:c r="J3102"/>
      <x:c r="K3102"/>
      <x:c r="L3102"/>
      <x:c r="M3102"/>
      <x:c r="N3102"/>
      <x:c r="O3102"/>
      <x:c r="P3102"/>
    </x:row>
    <x:row r="3103">
      <x:c r="A3103"/>
      <x:c r="B3103"/>
      <x:c r="C3103"/>
      <x:c r="D3103"/>
      <x:c r="E3103"/>
      <x:c r="F3103"/>
      <x:c r="G3103" s="56"/>
      <x:c r="H3103"/>
      <x:c r="I3103"/>
      <x:c r="J3103"/>
      <x:c r="K3103"/>
      <x:c r="L3103"/>
      <x:c r="M3103"/>
      <x:c r="N3103"/>
      <x:c r="O3103"/>
      <x:c r="P3103"/>
    </x:row>
    <x:row r="3104">
      <x:c r="A3104"/>
      <x:c r="B3104"/>
      <x:c r="C3104"/>
      <x:c r="D3104"/>
      <x:c r="E3104"/>
      <x:c r="F3104"/>
      <x:c r="G3104" s="56"/>
      <x:c r="H3104"/>
      <x:c r="I3104"/>
      <x:c r="J3104"/>
      <x:c r="K3104"/>
      <x:c r="L3104"/>
      <x:c r="M3104"/>
      <x:c r="N3104"/>
      <x:c r="O3104"/>
      <x:c r="P3104"/>
    </x:row>
    <x:row r="3105">
      <x:c r="A3105"/>
      <x:c r="B3105"/>
      <x:c r="C3105"/>
      <x:c r="D3105"/>
      <x:c r="E3105"/>
      <x:c r="F3105"/>
      <x:c r="G3105" s="56"/>
      <x:c r="H3105"/>
      <x:c r="I3105"/>
      <x:c r="J3105"/>
      <x:c r="K3105"/>
      <x:c r="L3105"/>
      <x:c r="M3105"/>
      <x:c r="N3105"/>
      <x:c r="O3105"/>
      <x:c r="P3105"/>
    </x:row>
    <x:row r="3106">
      <x:c r="A3106"/>
      <x:c r="B3106"/>
      <x:c r="C3106"/>
      <x:c r="D3106"/>
      <x:c r="E3106"/>
      <x:c r="F3106"/>
      <x:c r="G3106" s="56"/>
      <x:c r="H3106"/>
      <x:c r="I3106"/>
      <x:c r="J3106"/>
      <x:c r="K3106"/>
      <x:c r="L3106"/>
      <x:c r="M3106"/>
      <x:c r="N3106"/>
      <x:c r="O3106"/>
      <x:c r="P3106"/>
    </x:row>
    <x:row r="3107">
      <x:c r="A3107"/>
      <x:c r="B3107"/>
      <x:c r="C3107"/>
      <x:c r="D3107"/>
      <x:c r="E3107"/>
      <x:c r="F3107"/>
      <x:c r="G3107" s="56"/>
      <x:c r="H3107"/>
      <x:c r="I3107"/>
      <x:c r="J3107"/>
      <x:c r="K3107"/>
      <x:c r="L3107"/>
      <x:c r="M3107"/>
      <x:c r="N3107"/>
      <x:c r="O3107"/>
      <x:c r="P3107"/>
    </x:row>
    <x:row r="3108">
      <x:c r="A3108"/>
      <x:c r="B3108"/>
      <x:c r="C3108"/>
      <x:c r="D3108"/>
      <x:c r="E3108"/>
      <x:c r="F3108"/>
      <x:c r="G3108" s="56"/>
      <x:c r="H3108"/>
      <x:c r="I3108"/>
      <x:c r="J3108"/>
      <x:c r="K3108"/>
      <x:c r="L3108"/>
      <x:c r="M3108"/>
      <x:c r="N3108"/>
      <x:c r="O3108"/>
      <x:c r="P3108"/>
    </x:row>
    <x:row r="3109">
      <x:c r="A3109"/>
      <x:c r="B3109"/>
      <x:c r="C3109"/>
      <x:c r="D3109"/>
      <x:c r="E3109"/>
      <x:c r="F3109"/>
      <x:c r="G3109" s="56"/>
      <x:c r="H3109"/>
      <x:c r="I3109"/>
      <x:c r="J3109"/>
      <x:c r="K3109"/>
      <x:c r="L3109"/>
      <x:c r="M3109"/>
      <x:c r="N3109"/>
      <x:c r="O3109"/>
      <x:c r="P3109"/>
    </x:row>
    <x:row r="3110">
      <x:c r="A3110"/>
      <x:c r="B3110"/>
      <x:c r="C3110"/>
      <x:c r="D3110"/>
      <x:c r="E3110"/>
      <x:c r="F3110"/>
      <x:c r="G3110" s="56"/>
      <x:c r="H3110"/>
      <x:c r="I3110"/>
      <x:c r="J3110"/>
      <x:c r="K3110"/>
      <x:c r="L3110"/>
      <x:c r="M3110"/>
      <x:c r="N3110"/>
      <x:c r="O3110"/>
      <x:c r="P3110"/>
    </x:row>
    <x:row r="3111">
      <x:c r="A3111"/>
      <x:c r="B3111"/>
      <x:c r="C3111"/>
      <x:c r="D3111"/>
      <x:c r="E3111"/>
      <x:c r="F3111"/>
      <x:c r="G3111" s="56"/>
      <x:c r="H3111"/>
      <x:c r="I3111"/>
      <x:c r="J3111"/>
      <x:c r="K3111"/>
      <x:c r="L3111"/>
      <x:c r="M3111"/>
      <x:c r="N3111"/>
      <x:c r="O3111"/>
      <x:c r="P3111"/>
    </x:row>
    <x:row r="3112">
      <x:c r="A3112"/>
      <x:c r="B3112"/>
      <x:c r="C3112"/>
      <x:c r="D3112"/>
      <x:c r="E3112"/>
      <x:c r="F3112"/>
      <x:c r="G3112" s="56"/>
      <x:c r="H3112"/>
      <x:c r="I3112"/>
      <x:c r="J3112"/>
      <x:c r="K3112"/>
      <x:c r="L3112"/>
      <x:c r="M3112"/>
      <x:c r="N3112"/>
      <x:c r="O3112"/>
      <x:c r="P3112"/>
    </x:row>
    <x:row r="3113">
      <x:c r="A3113"/>
      <x:c r="B3113"/>
      <x:c r="C3113"/>
      <x:c r="D3113"/>
      <x:c r="E3113"/>
      <x:c r="F3113"/>
      <x:c r="G3113" s="56"/>
      <x:c r="H3113"/>
      <x:c r="I3113"/>
      <x:c r="J3113"/>
      <x:c r="K3113"/>
      <x:c r="L3113"/>
      <x:c r="M3113"/>
      <x:c r="N3113"/>
      <x:c r="O3113"/>
      <x:c r="P3113"/>
    </x:row>
    <x:row r="3114">
      <x:c r="A3114"/>
      <x:c r="B3114"/>
      <x:c r="C3114"/>
      <x:c r="D3114"/>
      <x:c r="E3114"/>
      <x:c r="F3114"/>
      <x:c r="G3114" s="56"/>
      <x:c r="H3114"/>
      <x:c r="I3114"/>
      <x:c r="J3114"/>
      <x:c r="K3114"/>
      <x:c r="L3114"/>
      <x:c r="M3114"/>
      <x:c r="N3114"/>
      <x:c r="O3114"/>
      <x:c r="P3114"/>
    </x:row>
    <x:row r="3115">
      <x:c r="A3115"/>
      <x:c r="B3115"/>
      <x:c r="C3115"/>
      <x:c r="D3115"/>
      <x:c r="E3115"/>
      <x:c r="F3115"/>
      <x:c r="G3115" s="56"/>
      <x:c r="H3115"/>
      <x:c r="I3115"/>
      <x:c r="J3115"/>
      <x:c r="K3115"/>
      <x:c r="L3115"/>
      <x:c r="M3115"/>
      <x:c r="N3115"/>
      <x:c r="O3115"/>
      <x:c r="P3115"/>
    </x:row>
    <x:row r="3116">
      <x:c r="A3116"/>
      <x:c r="B3116"/>
      <x:c r="C3116"/>
      <x:c r="D3116"/>
      <x:c r="E3116"/>
      <x:c r="F3116"/>
      <x:c r="G3116" s="56"/>
      <x:c r="H3116"/>
      <x:c r="I3116"/>
      <x:c r="J3116"/>
      <x:c r="K3116"/>
      <x:c r="L3116"/>
      <x:c r="M3116"/>
      <x:c r="N3116"/>
      <x:c r="O3116"/>
      <x:c r="P3116"/>
    </x:row>
    <x:row r="3117">
      <x:c r="A3117"/>
      <x:c r="B3117"/>
      <x:c r="C3117"/>
      <x:c r="D3117"/>
      <x:c r="E3117"/>
      <x:c r="F3117"/>
      <x:c r="G3117" s="56"/>
      <x:c r="H3117"/>
      <x:c r="I3117"/>
      <x:c r="J3117"/>
      <x:c r="K3117"/>
      <x:c r="L3117"/>
      <x:c r="M3117"/>
      <x:c r="N3117"/>
      <x:c r="O3117"/>
      <x:c r="P3117"/>
    </x:row>
    <x:row r="3118">
      <x:c r="A3118"/>
      <x:c r="B3118"/>
      <x:c r="C3118"/>
      <x:c r="D3118"/>
      <x:c r="E3118"/>
      <x:c r="F3118"/>
      <x:c r="G3118" s="56"/>
      <x:c r="H3118"/>
      <x:c r="I3118"/>
      <x:c r="J3118"/>
      <x:c r="K3118"/>
      <x:c r="L3118"/>
      <x:c r="M3118"/>
      <x:c r="N3118"/>
      <x:c r="O3118"/>
      <x:c r="P3118"/>
    </x:row>
    <x:row r="3119">
      <x:c r="A3119"/>
      <x:c r="B3119"/>
      <x:c r="C3119"/>
      <x:c r="D3119"/>
      <x:c r="E3119"/>
      <x:c r="F3119"/>
      <x:c r="G3119" s="56"/>
      <x:c r="H3119"/>
      <x:c r="I3119"/>
      <x:c r="J3119"/>
      <x:c r="K3119"/>
      <x:c r="L3119"/>
      <x:c r="M3119"/>
      <x:c r="N3119"/>
      <x:c r="O3119"/>
      <x:c r="P3119"/>
    </x:row>
    <x:row r="3120">
      <x:c r="A3120"/>
      <x:c r="B3120"/>
      <x:c r="C3120"/>
      <x:c r="D3120"/>
      <x:c r="E3120"/>
      <x:c r="F3120"/>
      <x:c r="G3120" s="56"/>
      <x:c r="H3120"/>
      <x:c r="I3120"/>
      <x:c r="J3120"/>
      <x:c r="K3120"/>
      <x:c r="L3120"/>
      <x:c r="M3120"/>
      <x:c r="N3120"/>
      <x:c r="O3120"/>
      <x:c r="P3120"/>
    </x:row>
    <x:row r="3121">
      <x:c r="A3121"/>
      <x:c r="B3121"/>
      <x:c r="C3121"/>
      <x:c r="D3121"/>
      <x:c r="E3121"/>
      <x:c r="F3121"/>
      <x:c r="G3121" s="56"/>
      <x:c r="H3121"/>
      <x:c r="I3121"/>
      <x:c r="J3121"/>
      <x:c r="K3121"/>
      <x:c r="L3121"/>
      <x:c r="M3121"/>
      <x:c r="N3121"/>
      <x:c r="O3121"/>
      <x:c r="P3121"/>
    </x:row>
    <x:row r="3122">
      <x:c r="A3122"/>
      <x:c r="B3122"/>
      <x:c r="C3122"/>
      <x:c r="D3122"/>
      <x:c r="E3122"/>
      <x:c r="F3122"/>
      <x:c r="G3122" s="56"/>
      <x:c r="H3122"/>
      <x:c r="I3122"/>
      <x:c r="J3122"/>
      <x:c r="K3122"/>
      <x:c r="L3122"/>
      <x:c r="M3122"/>
      <x:c r="N3122"/>
      <x:c r="O3122"/>
      <x:c r="P3122"/>
    </x:row>
    <x:row r="3123">
      <x:c r="A3123"/>
      <x:c r="B3123"/>
      <x:c r="C3123"/>
      <x:c r="D3123"/>
      <x:c r="E3123"/>
      <x:c r="F3123"/>
      <x:c r="G3123" s="56"/>
      <x:c r="H3123"/>
      <x:c r="I3123"/>
      <x:c r="J3123"/>
      <x:c r="K3123"/>
      <x:c r="L3123"/>
      <x:c r="M3123"/>
      <x:c r="N3123"/>
      <x:c r="O3123"/>
      <x:c r="P3123"/>
    </x:row>
    <x:row r="3124">
      <x:c r="A3124"/>
      <x:c r="B3124"/>
      <x:c r="C3124"/>
      <x:c r="D3124"/>
      <x:c r="E3124"/>
      <x:c r="F3124"/>
      <x:c r="G3124" s="56"/>
      <x:c r="H3124"/>
      <x:c r="I3124"/>
      <x:c r="J3124"/>
      <x:c r="K3124"/>
      <x:c r="L3124"/>
      <x:c r="M3124"/>
      <x:c r="N3124"/>
      <x:c r="O3124"/>
      <x:c r="P3124"/>
    </x:row>
    <x:row r="3125">
      <x:c r="A3125"/>
      <x:c r="B3125"/>
      <x:c r="C3125"/>
      <x:c r="D3125"/>
      <x:c r="E3125"/>
      <x:c r="F3125"/>
      <x:c r="G3125" s="56"/>
      <x:c r="H3125"/>
      <x:c r="I3125"/>
      <x:c r="J3125"/>
      <x:c r="K3125"/>
      <x:c r="L3125"/>
      <x:c r="M3125"/>
      <x:c r="N3125"/>
      <x:c r="O3125"/>
      <x:c r="P3125"/>
    </x:row>
    <x:row r="3126">
      <x:c r="A3126"/>
      <x:c r="B3126"/>
      <x:c r="C3126"/>
      <x:c r="D3126"/>
      <x:c r="E3126"/>
      <x:c r="F3126"/>
      <x:c r="G3126" s="56"/>
      <x:c r="H3126"/>
      <x:c r="I3126"/>
      <x:c r="J3126"/>
      <x:c r="K3126"/>
      <x:c r="L3126"/>
      <x:c r="M3126"/>
      <x:c r="N3126"/>
      <x:c r="O3126"/>
      <x:c r="P3126"/>
    </x:row>
    <x:row r="3127">
      <x:c r="A3127"/>
      <x:c r="B3127"/>
      <x:c r="C3127"/>
      <x:c r="D3127"/>
      <x:c r="E3127"/>
      <x:c r="F3127"/>
      <x:c r="G3127" s="56"/>
      <x:c r="H3127"/>
      <x:c r="I3127"/>
      <x:c r="J3127"/>
      <x:c r="K3127"/>
      <x:c r="L3127"/>
      <x:c r="M3127"/>
      <x:c r="N3127"/>
      <x:c r="O3127"/>
      <x:c r="P3127"/>
    </x:row>
    <x:row r="3128">
      <x:c r="A3128"/>
      <x:c r="B3128"/>
      <x:c r="C3128"/>
      <x:c r="D3128"/>
      <x:c r="E3128"/>
      <x:c r="F3128"/>
      <x:c r="G3128" s="56"/>
      <x:c r="H3128"/>
      <x:c r="I3128"/>
      <x:c r="J3128"/>
      <x:c r="K3128"/>
      <x:c r="L3128"/>
      <x:c r="M3128"/>
      <x:c r="N3128"/>
      <x:c r="O3128"/>
      <x:c r="P3128"/>
    </x:row>
    <x:row r="3129">
      <x:c r="A3129"/>
      <x:c r="B3129"/>
      <x:c r="C3129"/>
      <x:c r="D3129"/>
      <x:c r="E3129"/>
      <x:c r="F3129"/>
      <x:c r="G3129" s="56"/>
      <x:c r="H3129"/>
      <x:c r="I3129"/>
      <x:c r="J3129"/>
      <x:c r="K3129"/>
      <x:c r="L3129"/>
      <x:c r="M3129"/>
      <x:c r="N3129"/>
      <x:c r="O3129"/>
      <x:c r="P3129"/>
    </x:row>
    <x:row r="3130">
      <x:c r="A3130"/>
      <x:c r="B3130"/>
      <x:c r="C3130"/>
      <x:c r="D3130"/>
      <x:c r="E3130"/>
      <x:c r="F3130"/>
      <x:c r="G3130" s="56"/>
      <x:c r="H3130"/>
      <x:c r="I3130"/>
      <x:c r="J3130"/>
      <x:c r="K3130"/>
      <x:c r="L3130"/>
      <x:c r="M3130"/>
      <x:c r="N3130"/>
      <x:c r="O3130"/>
      <x:c r="P3130"/>
    </x:row>
    <x:row r="3131">
      <x:c r="A3131"/>
      <x:c r="B3131"/>
      <x:c r="C3131"/>
      <x:c r="D3131"/>
      <x:c r="E3131"/>
      <x:c r="F3131"/>
      <x:c r="G3131" s="56"/>
      <x:c r="H3131"/>
      <x:c r="I3131"/>
      <x:c r="J3131"/>
      <x:c r="K3131"/>
      <x:c r="L3131"/>
      <x:c r="M3131"/>
      <x:c r="N3131"/>
      <x:c r="O3131"/>
      <x:c r="P3131"/>
    </x:row>
    <x:row r="3132">
      <x:c r="A3132"/>
      <x:c r="B3132"/>
      <x:c r="C3132"/>
      <x:c r="D3132"/>
      <x:c r="E3132"/>
      <x:c r="F3132"/>
      <x:c r="G3132" s="56"/>
      <x:c r="H3132"/>
      <x:c r="I3132"/>
      <x:c r="J3132"/>
      <x:c r="K3132"/>
      <x:c r="L3132"/>
      <x:c r="M3132"/>
      <x:c r="N3132"/>
      <x:c r="O3132"/>
      <x:c r="P3132"/>
    </x:row>
    <x:row r="3133">
      <x:c r="A3133"/>
      <x:c r="B3133"/>
      <x:c r="C3133"/>
      <x:c r="D3133"/>
      <x:c r="E3133"/>
      <x:c r="F3133"/>
      <x:c r="G3133" s="56"/>
      <x:c r="H3133"/>
      <x:c r="I3133"/>
      <x:c r="J3133"/>
      <x:c r="K3133"/>
      <x:c r="L3133"/>
      <x:c r="M3133"/>
      <x:c r="N3133"/>
      <x:c r="O3133"/>
      <x:c r="P3133"/>
    </x:row>
    <x:row r="3134">
      <x:c r="A3134"/>
      <x:c r="B3134"/>
      <x:c r="C3134"/>
      <x:c r="D3134"/>
      <x:c r="E3134"/>
      <x:c r="F3134"/>
      <x:c r="G3134" s="56"/>
      <x:c r="H3134"/>
      <x:c r="I3134"/>
      <x:c r="J3134"/>
      <x:c r="K3134"/>
      <x:c r="L3134"/>
      <x:c r="M3134"/>
      <x:c r="N3134"/>
      <x:c r="O3134"/>
      <x:c r="P3134"/>
    </x:row>
    <x:row r="3135">
      <x:c r="A3135"/>
      <x:c r="B3135"/>
      <x:c r="C3135"/>
      <x:c r="D3135"/>
      <x:c r="E3135"/>
      <x:c r="F3135"/>
      <x:c r="G3135" s="56"/>
      <x:c r="H3135"/>
      <x:c r="I3135"/>
      <x:c r="J3135"/>
      <x:c r="K3135"/>
      <x:c r="L3135"/>
      <x:c r="M3135"/>
      <x:c r="N3135"/>
      <x:c r="O3135"/>
      <x:c r="P3135"/>
    </x:row>
    <x:row r="3136">
      <x:c r="A3136"/>
      <x:c r="B3136"/>
      <x:c r="C3136"/>
      <x:c r="D3136"/>
      <x:c r="E3136"/>
      <x:c r="F3136"/>
      <x:c r="G3136" s="56"/>
      <x:c r="H3136"/>
      <x:c r="I3136"/>
      <x:c r="J3136"/>
      <x:c r="K3136"/>
      <x:c r="L3136"/>
      <x:c r="M3136"/>
      <x:c r="N3136"/>
      <x:c r="O3136"/>
      <x:c r="P3136"/>
    </x:row>
    <x:row r="3137">
      <x:c r="A3137"/>
      <x:c r="B3137"/>
      <x:c r="C3137"/>
      <x:c r="D3137"/>
      <x:c r="E3137"/>
      <x:c r="F3137"/>
      <x:c r="G3137" s="56"/>
      <x:c r="H3137"/>
      <x:c r="I3137"/>
      <x:c r="J3137"/>
      <x:c r="K3137"/>
      <x:c r="L3137"/>
      <x:c r="M3137"/>
      <x:c r="N3137"/>
      <x:c r="O3137"/>
      <x:c r="P3137"/>
    </x:row>
    <x:row r="3138">
      <x:c r="A3138"/>
      <x:c r="B3138"/>
      <x:c r="C3138"/>
      <x:c r="D3138"/>
      <x:c r="E3138"/>
      <x:c r="F3138"/>
      <x:c r="G3138" s="56"/>
      <x:c r="H3138"/>
      <x:c r="I3138"/>
      <x:c r="J3138"/>
      <x:c r="K3138"/>
      <x:c r="L3138"/>
      <x:c r="M3138"/>
      <x:c r="N3138"/>
      <x:c r="O3138"/>
      <x:c r="P3138"/>
    </x:row>
    <x:row r="3139">
      <x:c r="A3139"/>
      <x:c r="B3139"/>
      <x:c r="C3139"/>
      <x:c r="D3139"/>
      <x:c r="E3139"/>
      <x:c r="F3139"/>
      <x:c r="G3139" s="56"/>
      <x:c r="H3139"/>
      <x:c r="I3139"/>
      <x:c r="J3139"/>
      <x:c r="K3139"/>
      <x:c r="L3139"/>
      <x:c r="M3139"/>
      <x:c r="N3139"/>
      <x:c r="O3139"/>
      <x:c r="P3139"/>
    </x:row>
    <x:row r="3140">
      <x:c r="A3140"/>
      <x:c r="B3140"/>
      <x:c r="C3140"/>
      <x:c r="D3140"/>
      <x:c r="E3140"/>
      <x:c r="F3140"/>
      <x:c r="G3140" s="56"/>
      <x:c r="H3140"/>
      <x:c r="I3140"/>
      <x:c r="J3140"/>
      <x:c r="K3140"/>
      <x:c r="L3140"/>
      <x:c r="M3140"/>
      <x:c r="N3140"/>
      <x:c r="O3140"/>
      <x:c r="P3140"/>
    </x:row>
    <x:row r="3141">
      <x:c r="A3141"/>
      <x:c r="B3141"/>
      <x:c r="C3141"/>
      <x:c r="D3141"/>
      <x:c r="E3141"/>
      <x:c r="F3141"/>
      <x:c r="G3141" s="56"/>
      <x:c r="H3141"/>
      <x:c r="I3141"/>
      <x:c r="J3141"/>
      <x:c r="K3141"/>
      <x:c r="L3141"/>
      <x:c r="M3141"/>
      <x:c r="N3141"/>
      <x:c r="O3141"/>
      <x:c r="P3141"/>
    </x:row>
    <x:row r="3142">
      <x:c r="A3142"/>
      <x:c r="B3142"/>
      <x:c r="C3142"/>
      <x:c r="D3142"/>
      <x:c r="E3142"/>
      <x:c r="F3142"/>
      <x:c r="G3142" s="56"/>
      <x:c r="H3142"/>
      <x:c r="I3142"/>
      <x:c r="J3142"/>
      <x:c r="K3142"/>
      <x:c r="L3142"/>
      <x:c r="M3142"/>
      <x:c r="N3142"/>
      <x:c r="O3142"/>
      <x:c r="P3142"/>
    </x:row>
    <x:row r="3143">
      <x:c r="A3143"/>
      <x:c r="B3143"/>
      <x:c r="C3143"/>
      <x:c r="D3143"/>
      <x:c r="E3143"/>
      <x:c r="F3143"/>
      <x:c r="G3143" s="56"/>
      <x:c r="H3143"/>
      <x:c r="I3143"/>
      <x:c r="J3143"/>
      <x:c r="K3143"/>
      <x:c r="L3143"/>
      <x:c r="M3143"/>
      <x:c r="N3143"/>
      <x:c r="O3143"/>
      <x:c r="P3143"/>
    </x:row>
    <x:row r="3144">
      <x:c r="A3144"/>
      <x:c r="B3144"/>
      <x:c r="C3144"/>
      <x:c r="D3144"/>
      <x:c r="E3144"/>
      <x:c r="F3144"/>
      <x:c r="G3144" s="56"/>
      <x:c r="H3144"/>
      <x:c r="I3144"/>
      <x:c r="J3144"/>
      <x:c r="K3144"/>
      <x:c r="L3144"/>
      <x:c r="M3144"/>
      <x:c r="N3144"/>
      <x:c r="O3144"/>
      <x:c r="P3144"/>
    </x:row>
    <x:row r="3145">
      <x:c r="A3145"/>
      <x:c r="B3145"/>
      <x:c r="C3145"/>
      <x:c r="D3145"/>
      <x:c r="E3145"/>
      <x:c r="F3145"/>
      <x:c r="G3145" s="56"/>
      <x:c r="H3145"/>
      <x:c r="I3145"/>
      <x:c r="J3145"/>
      <x:c r="K3145"/>
      <x:c r="L3145"/>
      <x:c r="M3145"/>
      <x:c r="N3145"/>
      <x:c r="O3145"/>
      <x:c r="P3145"/>
    </x:row>
    <x:row r="3146">
      <x:c r="A3146"/>
      <x:c r="B3146"/>
      <x:c r="C3146"/>
      <x:c r="D3146"/>
      <x:c r="E3146"/>
      <x:c r="F3146"/>
      <x:c r="G3146" s="56"/>
      <x:c r="H3146"/>
      <x:c r="I3146"/>
      <x:c r="J3146"/>
      <x:c r="K3146"/>
      <x:c r="L3146"/>
      <x:c r="M3146"/>
      <x:c r="N3146"/>
      <x:c r="O3146"/>
      <x:c r="P3146"/>
    </x:row>
    <x:row r="3147">
      <x:c r="A3147"/>
      <x:c r="B3147"/>
      <x:c r="C3147"/>
      <x:c r="D3147"/>
      <x:c r="E3147"/>
      <x:c r="F3147"/>
      <x:c r="G3147" s="56"/>
      <x:c r="H3147"/>
      <x:c r="I3147"/>
      <x:c r="J3147"/>
      <x:c r="K3147"/>
      <x:c r="L3147"/>
      <x:c r="M3147"/>
      <x:c r="N3147"/>
      <x:c r="O3147"/>
      <x:c r="P3147"/>
    </x:row>
    <x:row r="3148">
      <x:c r="A3148"/>
      <x:c r="B3148"/>
      <x:c r="C3148"/>
      <x:c r="D3148"/>
      <x:c r="E3148"/>
      <x:c r="F3148"/>
      <x:c r="G3148" s="56"/>
      <x:c r="H3148"/>
      <x:c r="I3148"/>
      <x:c r="J3148"/>
      <x:c r="K3148"/>
      <x:c r="L3148"/>
      <x:c r="M3148"/>
      <x:c r="N3148"/>
      <x:c r="O3148"/>
      <x:c r="P3148"/>
    </x:row>
    <x:row r="3149">
      <x:c r="A3149"/>
      <x:c r="B3149"/>
      <x:c r="C3149"/>
      <x:c r="D3149"/>
      <x:c r="E3149"/>
      <x:c r="F3149"/>
      <x:c r="G3149" s="56"/>
      <x:c r="H3149"/>
      <x:c r="I3149"/>
      <x:c r="J3149"/>
      <x:c r="K3149"/>
      <x:c r="L3149"/>
      <x:c r="M3149"/>
      <x:c r="N3149"/>
      <x:c r="O3149"/>
      <x:c r="P3149"/>
    </x:row>
    <x:row r="3150">
      <x:c r="A3150"/>
      <x:c r="B3150"/>
      <x:c r="C3150"/>
      <x:c r="D3150"/>
      <x:c r="E3150"/>
      <x:c r="F3150"/>
      <x:c r="G3150" s="56"/>
      <x:c r="H3150"/>
      <x:c r="I3150"/>
      <x:c r="J3150"/>
      <x:c r="K3150"/>
      <x:c r="L3150"/>
      <x:c r="M3150"/>
      <x:c r="N3150"/>
      <x:c r="O3150"/>
      <x:c r="P3150"/>
    </x:row>
    <x:row r="3151">
      <x:c r="A3151"/>
      <x:c r="B3151"/>
      <x:c r="C3151"/>
      <x:c r="D3151"/>
      <x:c r="E3151"/>
      <x:c r="F3151"/>
      <x:c r="G3151" s="56"/>
      <x:c r="H3151"/>
      <x:c r="I3151"/>
      <x:c r="J3151"/>
      <x:c r="K3151"/>
      <x:c r="L3151"/>
      <x:c r="M3151"/>
      <x:c r="N3151"/>
      <x:c r="O3151"/>
      <x:c r="P3151"/>
    </x:row>
    <x:row r="3152">
      <x:c r="A3152"/>
      <x:c r="B3152"/>
      <x:c r="C3152"/>
      <x:c r="D3152"/>
      <x:c r="E3152"/>
      <x:c r="F3152"/>
      <x:c r="G3152" s="56"/>
      <x:c r="H3152"/>
      <x:c r="I3152"/>
      <x:c r="J3152"/>
      <x:c r="K3152"/>
      <x:c r="L3152"/>
      <x:c r="M3152"/>
      <x:c r="N3152"/>
      <x:c r="O3152"/>
      <x:c r="P3152"/>
    </x:row>
    <x:row r="3153">
      <x:c r="A3153"/>
      <x:c r="B3153"/>
      <x:c r="C3153"/>
      <x:c r="D3153"/>
      <x:c r="E3153"/>
      <x:c r="F3153"/>
      <x:c r="G3153" s="56"/>
      <x:c r="H3153"/>
      <x:c r="I3153"/>
      <x:c r="J3153"/>
      <x:c r="K3153"/>
      <x:c r="L3153"/>
      <x:c r="M3153"/>
      <x:c r="N3153"/>
      <x:c r="O3153"/>
      <x:c r="P3153"/>
    </x:row>
    <x:row r="3154">
      <x:c r="A3154"/>
      <x:c r="B3154"/>
      <x:c r="C3154"/>
      <x:c r="D3154"/>
      <x:c r="E3154"/>
      <x:c r="F3154"/>
      <x:c r="G3154" s="56"/>
      <x:c r="H3154"/>
      <x:c r="I3154"/>
      <x:c r="J3154"/>
      <x:c r="K3154"/>
      <x:c r="L3154"/>
      <x:c r="M3154"/>
      <x:c r="N3154"/>
      <x:c r="O3154"/>
      <x:c r="P3154"/>
    </x:row>
    <x:row r="3155">
      <x:c r="A3155"/>
      <x:c r="B3155"/>
      <x:c r="C3155"/>
      <x:c r="D3155"/>
      <x:c r="E3155"/>
      <x:c r="F3155"/>
      <x:c r="G3155" s="56"/>
      <x:c r="H3155"/>
      <x:c r="I3155"/>
      <x:c r="J3155"/>
      <x:c r="K3155"/>
      <x:c r="L3155"/>
      <x:c r="M3155"/>
      <x:c r="N3155"/>
      <x:c r="O3155"/>
      <x:c r="P3155"/>
    </x:row>
    <x:row r="3156">
      <x:c r="A3156"/>
      <x:c r="B3156"/>
      <x:c r="C3156"/>
      <x:c r="D3156"/>
      <x:c r="E3156"/>
      <x:c r="F3156"/>
      <x:c r="G3156" s="56"/>
      <x:c r="H3156"/>
      <x:c r="I3156"/>
      <x:c r="J3156"/>
      <x:c r="K3156"/>
      <x:c r="L3156"/>
      <x:c r="M3156"/>
      <x:c r="N3156"/>
      <x:c r="O3156"/>
      <x:c r="P3156"/>
    </x:row>
    <x:row r="3157">
      <x:c r="A3157"/>
      <x:c r="B3157"/>
      <x:c r="C3157"/>
      <x:c r="D3157"/>
      <x:c r="E3157"/>
      <x:c r="F3157"/>
      <x:c r="G3157" s="56"/>
      <x:c r="H3157"/>
      <x:c r="I3157"/>
      <x:c r="J3157"/>
      <x:c r="K3157"/>
      <x:c r="L3157"/>
      <x:c r="M3157"/>
      <x:c r="N3157"/>
      <x:c r="O3157"/>
      <x:c r="P3157"/>
    </x:row>
    <x:row r="3158">
      <x:c r="A3158"/>
      <x:c r="B3158"/>
      <x:c r="C3158"/>
      <x:c r="D3158"/>
      <x:c r="E3158"/>
      <x:c r="F3158"/>
      <x:c r="G3158" s="56"/>
      <x:c r="H3158"/>
      <x:c r="I3158"/>
      <x:c r="J3158"/>
      <x:c r="K3158"/>
      <x:c r="L3158"/>
      <x:c r="M3158"/>
      <x:c r="N3158"/>
      <x:c r="O3158"/>
      <x:c r="P3158"/>
    </x:row>
    <x:row r="3159">
      <x:c r="A3159"/>
      <x:c r="B3159"/>
      <x:c r="C3159"/>
      <x:c r="D3159"/>
      <x:c r="E3159"/>
      <x:c r="F3159"/>
      <x:c r="G3159" s="56"/>
      <x:c r="H3159"/>
      <x:c r="I3159"/>
      <x:c r="J3159"/>
      <x:c r="K3159"/>
      <x:c r="L3159"/>
      <x:c r="M3159"/>
      <x:c r="N3159"/>
      <x:c r="O3159"/>
      <x:c r="P3159"/>
    </x:row>
    <x:row r="3160">
      <x:c r="A3160"/>
      <x:c r="B3160"/>
      <x:c r="C3160"/>
      <x:c r="D3160"/>
      <x:c r="E3160"/>
      <x:c r="F3160"/>
      <x:c r="G3160" s="56"/>
      <x:c r="H3160"/>
      <x:c r="I3160"/>
      <x:c r="J3160"/>
      <x:c r="K3160"/>
      <x:c r="L3160"/>
      <x:c r="M3160"/>
      <x:c r="N3160"/>
      <x:c r="O3160"/>
      <x:c r="P3160"/>
    </x:row>
    <x:row r="3161">
      <x:c r="A3161"/>
      <x:c r="B3161"/>
      <x:c r="C3161"/>
      <x:c r="D3161"/>
      <x:c r="E3161"/>
      <x:c r="F3161"/>
      <x:c r="G3161" s="56"/>
      <x:c r="H3161"/>
      <x:c r="I3161"/>
      <x:c r="J3161"/>
      <x:c r="K3161"/>
      <x:c r="L3161"/>
      <x:c r="M3161"/>
      <x:c r="N3161"/>
      <x:c r="O3161"/>
      <x:c r="P3161"/>
    </x:row>
    <x:row r="3162">
      <x:c r="A3162"/>
      <x:c r="B3162"/>
      <x:c r="C3162"/>
      <x:c r="D3162"/>
      <x:c r="E3162"/>
      <x:c r="F3162"/>
      <x:c r="G3162" s="56"/>
      <x:c r="H3162"/>
      <x:c r="I3162"/>
      <x:c r="J3162"/>
      <x:c r="K3162"/>
      <x:c r="L3162"/>
      <x:c r="M3162"/>
      <x:c r="N3162"/>
      <x:c r="O3162"/>
      <x:c r="P3162"/>
    </x:row>
    <x:row r="3163">
      <x:c r="A3163"/>
      <x:c r="B3163"/>
      <x:c r="C3163"/>
      <x:c r="D3163"/>
      <x:c r="E3163"/>
      <x:c r="F3163"/>
      <x:c r="G3163" s="56"/>
      <x:c r="H3163"/>
      <x:c r="I3163"/>
      <x:c r="J3163"/>
      <x:c r="K3163"/>
      <x:c r="L3163"/>
      <x:c r="M3163"/>
      <x:c r="N3163"/>
      <x:c r="O3163"/>
      <x:c r="P3163"/>
    </x:row>
    <x:row r="3164">
      <x:c r="A3164"/>
      <x:c r="B3164"/>
      <x:c r="C3164"/>
      <x:c r="D3164"/>
      <x:c r="E3164"/>
      <x:c r="F3164"/>
      <x:c r="G3164" s="56"/>
      <x:c r="H3164"/>
      <x:c r="I3164"/>
      <x:c r="J3164"/>
      <x:c r="K3164"/>
      <x:c r="L3164"/>
      <x:c r="M3164"/>
      <x:c r="N3164"/>
      <x:c r="O3164"/>
      <x:c r="P3164"/>
    </x:row>
    <x:row r="3165">
      <x:c r="A3165"/>
      <x:c r="B3165"/>
      <x:c r="C3165"/>
      <x:c r="D3165"/>
      <x:c r="E3165"/>
      <x:c r="F3165"/>
      <x:c r="G3165" s="56"/>
      <x:c r="H3165"/>
      <x:c r="I3165"/>
      <x:c r="J3165"/>
      <x:c r="K3165"/>
      <x:c r="L3165"/>
      <x:c r="M3165"/>
      <x:c r="N3165"/>
      <x:c r="O3165"/>
      <x:c r="P3165"/>
    </x:row>
    <x:row r="3166">
      <x:c r="A3166"/>
      <x:c r="B3166"/>
      <x:c r="C3166"/>
      <x:c r="D3166"/>
      <x:c r="E3166"/>
      <x:c r="F3166"/>
      <x:c r="G3166" s="56"/>
      <x:c r="H3166"/>
      <x:c r="I3166"/>
      <x:c r="J3166"/>
      <x:c r="K3166"/>
      <x:c r="L3166"/>
      <x:c r="M3166"/>
      <x:c r="N3166"/>
      <x:c r="O3166"/>
      <x:c r="P3166"/>
    </x:row>
    <x:row r="3167">
      <x:c r="A3167"/>
      <x:c r="B3167"/>
      <x:c r="C3167"/>
      <x:c r="D3167"/>
      <x:c r="E3167"/>
      <x:c r="F3167"/>
      <x:c r="G3167" s="56"/>
      <x:c r="H3167"/>
      <x:c r="I3167"/>
      <x:c r="J3167"/>
      <x:c r="K3167"/>
      <x:c r="L3167"/>
      <x:c r="M3167"/>
      <x:c r="N3167"/>
      <x:c r="O3167"/>
      <x:c r="P3167"/>
    </x:row>
    <x:row r="3168">
      <x:c r="A3168"/>
      <x:c r="B3168"/>
      <x:c r="C3168"/>
      <x:c r="D3168"/>
      <x:c r="E3168"/>
      <x:c r="F3168"/>
      <x:c r="G3168" s="56"/>
      <x:c r="H3168"/>
      <x:c r="I3168"/>
      <x:c r="J3168"/>
      <x:c r="K3168"/>
      <x:c r="L3168"/>
      <x:c r="M3168"/>
      <x:c r="N3168"/>
      <x:c r="O3168"/>
      <x:c r="P3168"/>
    </x:row>
    <x:row r="3169">
      <x:c r="A3169"/>
      <x:c r="B3169"/>
      <x:c r="C3169"/>
      <x:c r="D3169"/>
      <x:c r="E3169"/>
      <x:c r="F3169"/>
      <x:c r="G3169" s="56"/>
      <x:c r="H3169"/>
      <x:c r="I3169"/>
      <x:c r="J3169"/>
      <x:c r="K3169"/>
      <x:c r="L3169"/>
      <x:c r="M3169"/>
      <x:c r="N3169"/>
      <x:c r="O3169"/>
      <x:c r="P3169"/>
    </x:row>
    <x:row r="3170">
      <x:c r="A3170"/>
      <x:c r="B3170"/>
      <x:c r="C3170"/>
      <x:c r="D3170"/>
      <x:c r="E3170"/>
      <x:c r="F3170"/>
      <x:c r="G3170" s="56"/>
      <x:c r="H3170"/>
      <x:c r="I3170"/>
      <x:c r="J3170"/>
      <x:c r="K3170"/>
      <x:c r="L3170"/>
      <x:c r="M3170"/>
      <x:c r="N3170"/>
      <x:c r="O3170"/>
      <x:c r="P3170"/>
    </x:row>
    <x:row r="3171">
      <x:c r="A3171"/>
      <x:c r="B3171"/>
      <x:c r="C3171"/>
      <x:c r="D3171"/>
      <x:c r="E3171"/>
      <x:c r="F3171"/>
      <x:c r="G3171" s="56"/>
      <x:c r="H3171"/>
      <x:c r="I3171"/>
      <x:c r="J3171"/>
      <x:c r="K3171"/>
      <x:c r="L3171"/>
      <x:c r="M3171"/>
      <x:c r="N3171"/>
      <x:c r="O3171"/>
      <x:c r="P3171"/>
    </x:row>
    <x:row r="3172">
      <x:c r="A3172"/>
      <x:c r="B3172"/>
      <x:c r="C3172"/>
      <x:c r="D3172"/>
      <x:c r="E3172"/>
      <x:c r="F3172"/>
      <x:c r="G3172" s="56"/>
      <x:c r="H3172"/>
      <x:c r="I3172"/>
      <x:c r="J3172"/>
      <x:c r="K3172"/>
      <x:c r="L3172"/>
      <x:c r="M3172"/>
      <x:c r="N3172"/>
      <x:c r="O3172"/>
      <x:c r="P3172"/>
    </x:row>
    <x:row r="3173">
      <x:c r="A3173"/>
      <x:c r="B3173"/>
      <x:c r="C3173"/>
      <x:c r="D3173"/>
      <x:c r="E3173"/>
      <x:c r="F3173"/>
      <x:c r="G3173" s="56"/>
      <x:c r="H3173"/>
      <x:c r="I3173"/>
      <x:c r="J3173"/>
      <x:c r="K3173"/>
      <x:c r="L3173"/>
      <x:c r="M3173"/>
      <x:c r="N3173"/>
      <x:c r="O3173"/>
      <x:c r="P3173"/>
    </x:row>
    <x:row r="3174">
      <x:c r="A3174"/>
      <x:c r="B3174"/>
      <x:c r="C3174"/>
      <x:c r="D3174"/>
      <x:c r="E3174"/>
      <x:c r="F3174"/>
      <x:c r="G3174" s="56"/>
      <x:c r="H3174"/>
      <x:c r="I3174"/>
      <x:c r="J3174"/>
      <x:c r="K3174"/>
      <x:c r="L3174"/>
      <x:c r="M3174"/>
      <x:c r="N3174"/>
      <x:c r="O3174"/>
      <x:c r="P3174"/>
    </x:row>
    <x:row r="3175">
      <x:c r="A3175"/>
      <x:c r="B3175"/>
      <x:c r="C3175"/>
      <x:c r="D3175"/>
      <x:c r="E3175"/>
      <x:c r="F3175"/>
      <x:c r="G3175" s="56"/>
      <x:c r="H3175"/>
      <x:c r="I3175"/>
      <x:c r="J3175"/>
      <x:c r="K3175"/>
      <x:c r="L3175"/>
      <x:c r="M3175"/>
      <x:c r="N3175"/>
      <x:c r="O3175"/>
      <x:c r="P3175"/>
    </x:row>
    <x:row r="3176">
      <x:c r="A3176"/>
      <x:c r="B3176"/>
      <x:c r="C3176"/>
      <x:c r="D3176"/>
      <x:c r="E3176"/>
      <x:c r="F3176"/>
      <x:c r="G3176" s="56"/>
      <x:c r="H3176"/>
      <x:c r="I3176"/>
      <x:c r="J3176"/>
      <x:c r="K3176"/>
      <x:c r="L3176"/>
      <x:c r="M3176"/>
      <x:c r="N3176"/>
      <x:c r="O3176"/>
      <x:c r="P3176"/>
    </x:row>
    <x:row r="3177">
      <x:c r="A3177"/>
      <x:c r="B3177"/>
      <x:c r="C3177"/>
      <x:c r="D3177"/>
      <x:c r="E3177"/>
      <x:c r="F3177"/>
      <x:c r="G3177" s="56"/>
      <x:c r="H3177"/>
      <x:c r="I3177"/>
      <x:c r="J3177"/>
      <x:c r="K3177"/>
      <x:c r="L3177"/>
      <x:c r="M3177"/>
      <x:c r="N3177"/>
      <x:c r="O3177"/>
      <x:c r="P3177"/>
    </x:row>
    <x:row r="3178">
      <x:c r="A3178"/>
      <x:c r="B3178"/>
      <x:c r="C3178"/>
      <x:c r="D3178"/>
      <x:c r="E3178"/>
      <x:c r="F3178"/>
      <x:c r="G3178" s="56"/>
      <x:c r="H3178"/>
      <x:c r="I3178"/>
      <x:c r="J3178"/>
      <x:c r="K3178"/>
      <x:c r="L3178"/>
      <x:c r="M3178"/>
      <x:c r="N3178"/>
      <x:c r="O3178"/>
      <x:c r="P3178"/>
    </x:row>
    <x:row r="3179">
      <x:c r="A3179"/>
      <x:c r="B3179"/>
      <x:c r="C3179"/>
      <x:c r="D3179"/>
      <x:c r="E3179"/>
      <x:c r="F3179"/>
      <x:c r="G3179" s="56"/>
      <x:c r="H3179"/>
      <x:c r="I3179"/>
      <x:c r="J3179"/>
      <x:c r="K3179"/>
      <x:c r="L3179"/>
      <x:c r="M3179"/>
      <x:c r="N3179"/>
      <x:c r="O3179"/>
      <x:c r="P3179"/>
    </x:row>
    <x:row r="3180">
      <x:c r="A3180"/>
      <x:c r="B3180"/>
      <x:c r="C3180"/>
      <x:c r="D3180"/>
      <x:c r="E3180"/>
      <x:c r="F3180"/>
      <x:c r="G3180" s="56"/>
      <x:c r="H3180"/>
      <x:c r="I3180"/>
      <x:c r="J3180"/>
      <x:c r="K3180"/>
      <x:c r="L3180"/>
      <x:c r="M3180"/>
      <x:c r="N3180"/>
      <x:c r="O3180"/>
      <x:c r="P3180"/>
    </x:row>
    <x:row r="3181">
      <x:c r="A3181"/>
      <x:c r="B3181"/>
      <x:c r="C3181"/>
      <x:c r="D3181"/>
      <x:c r="E3181"/>
      <x:c r="F3181"/>
      <x:c r="G3181" s="56"/>
      <x:c r="H3181"/>
      <x:c r="I3181"/>
      <x:c r="J3181"/>
      <x:c r="K3181"/>
      <x:c r="L3181"/>
      <x:c r="M3181"/>
      <x:c r="N3181"/>
      <x:c r="O3181"/>
      <x:c r="P3181"/>
    </x:row>
    <x:row r="3182">
      <x:c r="A3182"/>
      <x:c r="B3182"/>
      <x:c r="C3182"/>
      <x:c r="D3182"/>
      <x:c r="E3182"/>
      <x:c r="F3182"/>
      <x:c r="G3182" s="56"/>
      <x:c r="H3182"/>
      <x:c r="I3182"/>
      <x:c r="J3182"/>
      <x:c r="K3182"/>
      <x:c r="L3182"/>
      <x:c r="M3182"/>
      <x:c r="N3182"/>
      <x:c r="O3182"/>
      <x:c r="P3182"/>
    </x:row>
    <x:row r="3183">
      <x:c r="A3183"/>
      <x:c r="B3183"/>
      <x:c r="C3183"/>
      <x:c r="D3183"/>
      <x:c r="E3183"/>
      <x:c r="F3183"/>
      <x:c r="G3183" s="56"/>
      <x:c r="H3183"/>
      <x:c r="I3183"/>
      <x:c r="J3183"/>
      <x:c r="K3183"/>
      <x:c r="L3183"/>
      <x:c r="M3183"/>
      <x:c r="N3183"/>
      <x:c r="O3183"/>
      <x:c r="P3183"/>
    </x:row>
    <x:row r="3184">
      <x:c r="A3184"/>
      <x:c r="B3184"/>
      <x:c r="C3184"/>
      <x:c r="D3184"/>
      <x:c r="E3184"/>
      <x:c r="F3184"/>
      <x:c r="G3184" s="56"/>
      <x:c r="H3184"/>
      <x:c r="I3184"/>
      <x:c r="J3184"/>
      <x:c r="K3184"/>
      <x:c r="L3184"/>
      <x:c r="M3184"/>
      <x:c r="N3184"/>
      <x:c r="O3184"/>
      <x:c r="P3184"/>
    </x:row>
    <x:row r="3185">
      <x:c r="A3185"/>
      <x:c r="B3185"/>
      <x:c r="C3185"/>
      <x:c r="D3185"/>
      <x:c r="E3185"/>
      <x:c r="F3185"/>
      <x:c r="G3185" s="56"/>
      <x:c r="H3185"/>
      <x:c r="I3185"/>
      <x:c r="J3185"/>
      <x:c r="K3185"/>
      <x:c r="L3185"/>
      <x:c r="M3185"/>
      <x:c r="N3185"/>
      <x:c r="O3185"/>
      <x:c r="P3185"/>
    </x:row>
    <x:row r="3186">
      <x:c r="A3186"/>
      <x:c r="B3186"/>
      <x:c r="C3186"/>
      <x:c r="D3186"/>
      <x:c r="E3186"/>
      <x:c r="F3186"/>
      <x:c r="G3186" s="56"/>
      <x:c r="H3186"/>
      <x:c r="I3186"/>
      <x:c r="J3186"/>
      <x:c r="K3186"/>
      <x:c r="L3186"/>
      <x:c r="M3186"/>
      <x:c r="N3186"/>
      <x:c r="O3186"/>
      <x:c r="P3186"/>
    </x:row>
    <x:row r="3187">
      <x:c r="A3187"/>
      <x:c r="B3187"/>
      <x:c r="C3187"/>
      <x:c r="D3187"/>
      <x:c r="E3187"/>
      <x:c r="F3187"/>
      <x:c r="G3187" s="56"/>
      <x:c r="H3187"/>
      <x:c r="I3187"/>
      <x:c r="J3187"/>
      <x:c r="K3187"/>
      <x:c r="L3187"/>
      <x:c r="M3187"/>
      <x:c r="N3187"/>
      <x:c r="O3187"/>
      <x:c r="P3187"/>
    </x:row>
    <x:row r="3188">
      <x:c r="A3188"/>
      <x:c r="B3188"/>
      <x:c r="C3188"/>
      <x:c r="D3188"/>
      <x:c r="E3188"/>
      <x:c r="F3188"/>
      <x:c r="G3188" s="56"/>
      <x:c r="H3188"/>
      <x:c r="I3188"/>
      <x:c r="J3188"/>
      <x:c r="K3188"/>
      <x:c r="L3188"/>
      <x:c r="M3188"/>
      <x:c r="N3188"/>
      <x:c r="O3188"/>
      <x:c r="P3188"/>
    </x:row>
    <x:row r="3189">
      <x:c r="A3189"/>
      <x:c r="B3189"/>
      <x:c r="C3189"/>
      <x:c r="D3189"/>
      <x:c r="E3189"/>
      <x:c r="F3189"/>
      <x:c r="G3189" s="56"/>
      <x:c r="H3189"/>
      <x:c r="I3189"/>
      <x:c r="J3189"/>
      <x:c r="K3189"/>
      <x:c r="L3189"/>
      <x:c r="M3189"/>
      <x:c r="N3189"/>
      <x:c r="O3189"/>
      <x:c r="P3189"/>
    </x:row>
    <x:row r="3190">
      <x:c r="A3190"/>
      <x:c r="B3190"/>
      <x:c r="C3190"/>
      <x:c r="D3190"/>
      <x:c r="E3190"/>
      <x:c r="F3190"/>
      <x:c r="G3190" s="56"/>
      <x:c r="H3190"/>
      <x:c r="I3190"/>
      <x:c r="J3190"/>
      <x:c r="K3190"/>
      <x:c r="L3190"/>
      <x:c r="M3190"/>
      <x:c r="N3190"/>
      <x:c r="O3190"/>
      <x:c r="P3190"/>
    </x:row>
    <x:row r="3191">
      <x:c r="A3191"/>
      <x:c r="B3191"/>
      <x:c r="C3191"/>
      <x:c r="D3191"/>
      <x:c r="E3191"/>
      <x:c r="F3191"/>
      <x:c r="G3191" s="56"/>
      <x:c r="H3191"/>
      <x:c r="I3191"/>
      <x:c r="J3191"/>
      <x:c r="K3191"/>
      <x:c r="L3191"/>
      <x:c r="M3191"/>
      <x:c r="N3191"/>
      <x:c r="O3191"/>
      <x:c r="P3191"/>
    </x:row>
    <x:row r="3192">
      <x:c r="A3192"/>
      <x:c r="B3192"/>
      <x:c r="C3192"/>
      <x:c r="D3192"/>
      <x:c r="E3192"/>
      <x:c r="F3192"/>
      <x:c r="G3192" s="56"/>
      <x:c r="H3192"/>
      <x:c r="I3192"/>
      <x:c r="J3192"/>
      <x:c r="K3192"/>
      <x:c r="L3192"/>
      <x:c r="M3192"/>
      <x:c r="N3192"/>
      <x:c r="O3192"/>
      <x:c r="P3192"/>
    </x:row>
    <x:row r="3193">
      <x:c r="A3193"/>
      <x:c r="B3193"/>
      <x:c r="C3193"/>
      <x:c r="D3193"/>
      <x:c r="E3193"/>
      <x:c r="F3193"/>
      <x:c r="G3193" s="56"/>
      <x:c r="H3193"/>
      <x:c r="I3193"/>
      <x:c r="J3193"/>
      <x:c r="K3193"/>
      <x:c r="L3193"/>
      <x:c r="M3193"/>
      <x:c r="N3193"/>
      <x:c r="O3193"/>
      <x:c r="P3193"/>
    </x:row>
    <x:row r="3194">
      <x:c r="A3194"/>
      <x:c r="B3194"/>
      <x:c r="C3194"/>
      <x:c r="D3194"/>
      <x:c r="E3194"/>
      <x:c r="F3194"/>
      <x:c r="G3194" s="56"/>
      <x:c r="H3194"/>
      <x:c r="I3194"/>
      <x:c r="J3194"/>
      <x:c r="K3194"/>
      <x:c r="L3194"/>
      <x:c r="M3194"/>
      <x:c r="N3194"/>
      <x:c r="O3194"/>
      <x:c r="P3194"/>
    </x:row>
    <x:row r="3195">
      <x:c r="A3195"/>
      <x:c r="B3195"/>
      <x:c r="C3195"/>
      <x:c r="D3195"/>
      <x:c r="E3195"/>
      <x:c r="F3195"/>
      <x:c r="G3195" s="56"/>
      <x:c r="H3195"/>
      <x:c r="I3195"/>
      <x:c r="J3195"/>
      <x:c r="K3195"/>
      <x:c r="L3195"/>
      <x:c r="M3195"/>
      <x:c r="N3195"/>
      <x:c r="O3195"/>
      <x:c r="P3195"/>
    </x:row>
    <x:row r="3196">
      <x:c r="A3196"/>
      <x:c r="B3196"/>
      <x:c r="C3196"/>
      <x:c r="D3196"/>
      <x:c r="E3196"/>
      <x:c r="F3196"/>
      <x:c r="G3196" s="56"/>
      <x:c r="H3196"/>
      <x:c r="I3196"/>
      <x:c r="J3196"/>
      <x:c r="K3196"/>
      <x:c r="L3196"/>
      <x:c r="M3196"/>
      <x:c r="N3196"/>
      <x:c r="O3196"/>
      <x:c r="P3196"/>
    </x:row>
    <x:row r="3197">
      <x:c r="A3197"/>
      <x:c r="B3197"/>
      <x:c r="C3197"/>
      <x:c r="D3197"/>
      <x:c r="E3197"/>
      <x:c r="F3197"/>
      <x:c r="G3197" s="56"/>
      <x:c r="H3197"/>
      <x:c r="I3197"/>
      <x:c r="J3197"/>
      <x:c r="K3197"/>
      <x:c r="L3197"/>
      <x:c r="M3197"/>
      <x:c r="N3197"/>
      <x:c r="O3197"/>
      <x:c r="P3197"/>
    </x:row>
    <x:row r="3198">
      <x:c r="A3198"/>
      <x:c r="B3198"/>
      <x:c r="C3198"/>
      <x:c r="D3198"/>
      <x:c r="E3198"/>
      <x:c r="F3198"/>
      <x:c r="G3198" s="56"/>
      <x:c r="H3198"/>
      <x:c r="I3198"/>
      <x:c r="J3198"/>
      <x:c r="K3198"/>
      <x:c r="L3198"/>
      <x:c r="M3198"/>
      <x:c r="N3198"/>
      <x:c r="O3198"/>
      <x:c r="P3198"/>
    </x:row>
    <x:row r="3199">
      <x:c r="A3199"/>
      <x:c r="B3199"/>
      <x:c r="C3199"/>
      <x:c r="D3199"/>
      <x:c r="E3199"/>
      <x:c r="F3199"/>
      <x:c r="G3199" s="56"/>
      <x:c r="H3199"/>
      <x:c r="I3199"/>
      <x:c r="J3199"/>
      <x:c r="K3199"/>
      <x:c r="L3199"/>
      <x:c r="M3199"/>
      <x:c r="N3199"/>
      <x:c r="O3199"/>
      <x:c r="P3199"/>
    </x:row>
    <x:row r="3200">
      <x:c r="A3200"/>
      <x:c r="B3200"/>
      <x:c r="C3200"/>
      <x:c r="D3200"/>
      <x:c r="E3200"/>
      <x:c r="F3200"/>
      <x:c r="G3200" s="56"/>
      <x:c r="H3200"/>
      <x:c r="I3200"/>
      <x:c r="J3200"/>
      <x:c r="K3200"/>
      <x:c r="L3200"/>
      <x:c r="M3200"/>
      <x:c r="N3200"/>
      <x:c r="O3200"/>
      <x:c r="P3200"/>
    </x:row>
    <x:row r="3201">
      <x:c r="A3201"/>
      <x:c r="B3201"/>
      <x:c r="C3201"/>
      <x:c r="D3201"/>
      <x:c r="E3201"/>
      <x:c r="F3201"/>
      <x:c r="G3201" s="56"/>
      <x:c r="H3201"/>
      <x:c r="I3201"/>
      <x:c r="J3201"/>
      <x:c r="K3201"/>
      <x:c r="L3201"/>
      <x:c r="M3201"/>
      <x:c r="N3201"/>
      <x:c r="O3201"/>
      <x:c r="P3201"/>
    </x:row>
    <x:row r="3202">
      <x:c r="A3202"/>
      <x:c r="B3202"/>
      <x:c r="C3202"/>
      <x:c r="D3202"/>
      <x:c r="E3202"/>
      <x:c r="F3202"/>
      <x:c r="G3202" s="56"/>
      <x:c r="H3202"/>
      <x:c r="I3202"/>
      <x:c r="J3202"/>
      <x:c r="K3202"/>
      <x:c r="L3202"/>
      <x:c r="M3202"/>
      <x:c r="N3202"/>
      <x:c r="O3202"/>
      <x:c r="P3202"/>
    </x:row>
    <x:row r="3203">
      <x:c r="A3203"/>
      <x:c r="B3203"/>
      <x:c r="C3203"/>
      <x:c r="D3203"/>
      <x:c r="E3203"/>
      <x:c r="F3203"/>
      <x:c r="G3203" s="56"/>
      <x:c r="H3203"/>
      <x:c r="I3203"/>
      <x:c r="J3203"/>
      <x:c r="K3203"/>
      <x:c r="L3203"/>
      <x:c r="M3203"/>
      <x:c r="N3203"/>
      <x:c r="O3203"/>
      <x:c r="P3203"/>
    </x:row>
    <x:row r="3204">
      <x:c r="A3204"/>
      <x:c r="B3204"/>
      <x:c r="C3204"/>
      <x:c r="D3204"/>
      <x:c r="E3204"/>
      <x:c r="F3204"/>
      <x:c r="G3204" s="56"/>
      <x:c r="H3204"/>
      <x:c r="I3204"/>
      <x:c r="J3204"/>
      <x:c r="K3204"/>
      <x:c r="L3204"/>
      <x:c r="M3204"/>
      <x:c r="N3204"/>
      <x:c r="O3204"/>
      <x:c r="P3204"/>
    </x:row>
    <x:row r="3205">
      <x:c r="A3205"/>
      <x:c r="B3205"/>
      <x:c r="C3205"/>
      <x:c r="D3205"/>
      <x:c r="E3205"/>
      <x:c r="F3205"/>
      <x:c r="G3205" s="56"/>
      <x:c r="H3205"/>
      <x:c r="I3205"/>
      <x:c r="J3205"/>
      <x:c r="K3205"/>
      <x:c r="L3205"/>
      <x:c r="M3205"/>
      <x:c r="N3205"/>
      <x:c r="O3205"/>
      <x:c r="P3205"/>
    </x:row>
    <x:row r="3206">
      <x:c r="A3206"/>
      <x:c r="B3206"/>
      <x:c r="C3206"/>
      <x:c r="D3206"/>
      <x:c r="E3206"/>
      <x:c r="F3206"/>
      <x:c r="G3206" s="56"/>
      <x:c r="H3206"/>
      <x:c r="I3206"/>
      <x:c r="J3206"/>
      <x:c r="K3206"/>
      <x:c r="L3206"/>
      <x:c r="M3206"/>
      <x:c r="N3206"/>
      <x:c r="O3206"/>
      <x:c r="P3206"/>
    </x:row>
    <x:row r="3207">
      <x:c r="A3207"/>
      <x:c r="B3207"/>
      <x:c r="C3207"/>
      <x:c r="D3207"/>
      <x:c r="E3207"/>
      <x:c r="F3207"/>
      <x:c r="G3207" s="56"/>
      <x:c r="H3207"/>
      <x:c r="I3207"/>
      <x:c r="J3207"/>
      <x:c r="K3207"/>
      <x:c r="L3207"/>
      <x:c r="M3207"/>
      <x:c r="N3207"/>
      <x:c r="O3207"/>
      <x:c r="P3207"/>
    </x:row>
    <x:row r="3208">
      <x:c r="A3208"/>
      <x:c r="B3208"/>
      <x:c r="C3208"/>
      <x:c r="D3208"/>
      <x:c r="E3208"/>
      <x:c r="F3208"/>
      <x:c r="G3208" s="56"/>
      <x:c r="H3208"/>
      <x:c r="I3208"/>
      <x:c r="J3208"/>
      <x:c r="K3208"/>
      <x:c r="L3208"/>
      <x:c r="M3208"/>
      <x:c r="N3208"/>
      <x:c r="O3208"/>
      <x:c r="P3208"/>
    </x:row>
    <x:row r="3209">
      <x:c r="A3209"/>
      <x:c r="B3209"/>
      <x:c r="C3209"/>
      <x:c r="D3209"/>
      <x:c r="E3209"/>
      <x:c r="F3209"/>
      <x:c r="G3209" s="56"/>
      <x:c r="H3209"/>
      <x:c r="I3209"/>
      <x:c r="J3209"/>
      <x:c r="K3209"/>
      <x:c r="L3209"/>
      <x:c r="M3209"/>
      <x:c r="N3209"/>
      <x:c r="O3209"/>
      <x:c r="P3209"/>
    </x:row>
    <x:row r="3210">
      <x:c r="A3210"/>
      <x:c r="B3210"/>
      <x:c r="C3210"/>
      <x:c r="D3210"/>
      <x:c r="E3210"/>
      <x:c r="F3210"/>
      <x:c r="G3210" s="56"/>
      <x:c r="H3210"/>
      <x:c r="I3210"/>
      <x:c r="J3210"/>
      <x:c r="K3210"/>
      <x:c r="L3210"/>
      <x:c r="M3210"/>
      <x:c r="N3210"/>
      <x:c r="O3210"/>
      <x:c r="P3210"/>
    </x:row>
    <x:row r="3211">
      <x:c r="A3211"/>
      <x:c r="B3211"/>
      <x:c r="C3211"/>
      <x:c r="D3211"/>
      <x:c r="E3211"/>
      <x:c r="F3211"/>
      <x:c r="G3211" s="56"/>
      <x:c r="H3211"/>
      <x:c r="I3211"/>
      <x:c r="J3211"/>
      <x:c r="K3211"/>
      <x:c r="L3211"/>
      <x:c r="M3211"/>
      <x:c r="N3211"/>
      <x:c r="O3211"/>
      <x:c r="P3211"/>
    </x:row>
    <x:row r="3212">
      <x:c r="A3212"/>
      <x:c r="B3212"/>
      <x:c r="C3212"/>
      <x:c r="D3212"/>
      <x:c r="E3212"/>
      <x:c r="F3212"/>
      <x:c r="G3212" s="56"/>
      <x:c r="H3212"/>
      <x:c r="I3212"/>
      <x:c r="J3212"/>
      <x:c r="K3212"/>
      <x:c r="L3212"/>
      <x:c r="M3212"/>
      <x:c r="N3212"/>
      <x:c r="O3212"/>
      <x:c r="P3212"/>
    </x:row>
    <x:row r="3213">
      <x:c r="A3213"/>
      <x:c r="B3213"/>
      <x:c r="C3213"/>
      <x:c r="D3213"/>
      <x:c r="E3213"/>
      <x:c r="F3213"/>
      <x:c r="G3213" s="56"/>
      <x:c r="H3213"/>
      <x:c r="I3213"/>
      <x:c r="J3213"/>
      <x:c r="K3213"/>
      <x:c r="L3213"/>
      <x:c r="M3213"/>
      <x:c r="N3213"/>
      <x:c r="O3213"/>
      <x:c r="P3213"/>
    </x:row>
    <x:row r="3214">
      <x:c r="A3214"/>
      <x:c r="B3214"/>
      <x:c r="C3214"/>
      <x:c r="D3214"/>
      <x:c r="E3214"/>
      <x:c r="F3214"/>
      <x:c r="G3214" s="56"/>
      <x:c r="H3214"/>
      <x:c r="I3214"/>
      <x:c r="J3214"/>
      <x:c r="K3214"/>
      <x:c r="L3214"/>
      <x:c r="M3214"/>
      <x:c r="N3214"/>
      <x:c r="O3214"/>
      <x:c r="P3214"/>
    </x:row>
    <x:row r="3215">
      <x:c r="A3215"/>
      <x:c r="B3215"/>
      <x:c r="C3215"/>
      <x:c r="D3215"/>
      <x:c r="E3215"/>
      <x:c r="F3215"/>
      <x:c r="G3215" s="56"/>
      <x:c r="H3215"/>
      <x:c r="I3215"/>
      <x:c r="J3215"/>
      <x:c r="K3215"/>
      <x:c r="L3215"/>
      <x:c r="M3215"/>
      <x:c r="N3215"/>
      <x:c r="O3215"/>
      <x:c r="P3215"/>
    </x:row>
    <x:row r="3216">
      <x:c r="A3216"/>
      <x:c r="B3216"/>
      <x:c r="C3216"/>
      <x:c r="D3216"/>
      <x:c r="E3216"/>
      <x:c r="F3216"/>
      <x:c r="G3216" s="56"/>
      <x:c r="H3216"/>
      <x:c r="I3216"/>
      <x:c r="J3216"/>
      <x:c r="K3216"/>
      <x:c r="L3216"/>
      <x:c r="M3216"/>
      <x:c r="N3216"/>
      <x:c r="O3216"/>
      <x:c r="P3216"/>
    </x:row>
    <x:row r="3217">
      <x:c r="A3217"/>
      <x:c r="B3217"/>
      <x:c r="C3217"/>
      <x:c r="D3217"/>
      <x:c r="E3217"/>
      <x:c r="F3217"/>
      <x:c r="G3217" s="56"/>
      <x:c r="H3217"/>
      <x:c r="I3217"/>
      <x:c r="J3217"/>
      <x:c r="K3217"/>
      <x:c r="L3217"/>
      <x:c r="M3217"/>
      <x:c r="N3217"/>
      <x:c r="O3217"/>
      <x:c r="P3217"/>
    </x:row>
    <x:row r="3218">
      <x:c r="A3218"/>
      <x:c r="B3218"/>
      <x:c r="C3218"/>
      <x:c r="D3218"/>
      <x:c r="E3218"/>
      <x:c r="F3218"/>
      <x:c r="G3218" s="56"/>
      <x:c r="H3218"/>
      <x:c r="I3218"/>
      <x:c r="J3218"/>
      <x:c r="K3218"/>
      <x:c r="L3218"/>
      <x:c r="M3218"/>
      <x:c r="N3218"/>
      <x:c r="O3218"/>
      <x:c r="P3218"/>
    </x:row>
    <x:row r="3219">
      <x:c r="A3219"/>
      <x:c r="B3219"/>
      <x:c r="C3219"/>
      <x:c r="D3219"/>
      <x:c r="E3219"/>
      <x:c r="F3219"/>
      <x:c r="G3219" s="56"/>
      <x:c r="H3219"/>
      <x:c r="I3219"/>
      <x:c r="J3219"/>
      <x:c r="K3219"/>
      <x:c r="L3219"/>
      <x:c r="M3219"/>
      <x:c r="N3219"/>
      <x:c r="O3219"/>
      <x:c r="P3219"/>
    </x:row>
    <x:row r="3220">
      <x:c r="A3220"/>
      <x:c r="B3220"/>
      <x:c r="C3220"/>
      <x:c r="D3220"/>
      <x:c r="E3220"/>
      <x:c r="F3220"/>
      <x:c r="G3220" s="56"/>
      <x:c r="H3220"/>
      <x:c r="I3220"/>
      <x:c r="J3220"/>
      <x:c r="K3220"/>
      <x:c r="L3220"/>
      <x:c r="M3220"/>
      <x:c r="N3220"/>
      <x:c r="O3220"/>
      <x:c r="P3220"/>
    </x:row>
    <x:row r="3221">
      <x:c r="A3221"/>
      <x:c r="B3221"/>
      <x:c r="C3221"/>
      <x:c r="D3221"/>
      <x:c r="E3221"/>
      <x:c r="F3221"/>
      <x:c r="G3221" s="56"/>
      <x:c r="H3221"/>
      <x:c r="I3221"/>
      <x:c r="J3221"/>
      <x:c r="K3221"/>
      <x:c r="L3221"/>
      <x:c r="M3221"/>
      <x:c r="N3221"/>
      <x:c r="O3221"/>
      <x:c r="P3221"/>
    </x:row>
    <x:row r="3222">
      <x:c r="A3222"/>
      <x:c r="B3222"/>
      <x:c r="C3222"/>
      <x:c r="D3222"/>
      <x:c r="E3222"/>
      <x:c r="F3222"/>
      <x:c r="G3222" s="56"/>
      <x:c r="H3222"/>
      <x:c r="I3222"/>
      <x:c r="J3222"/>
      <x:c r="K3222"/>
      <x:c r="L3222"/>
      <x:c r="M3222"/>
      <x:c r="N3222"/>
      <x:c r="O3222"/>
      <x:c r="P3222"/>
    </x:row>
    <x:row r="3223">
      <x:c r="A3223"/>
      <x:c r="B3223"/>
      <x:c r="C3223"/>
      <x:c r="D3223"/>
      <x:c r="E3223"/>
      <x:c r="F3223"/>
      <x:c r="G3223" s="56"/>
      <x:c r="H3223"/>
      <x:c r="I3223"/>
      <x:c r="J3223"/>
      <x:c r="K3223"/>
      <x:c r="L3223"/>
      <x:c r="M3223"/>
      <x:c r="N3223"/>
      <x:c r="O3223"/>
      <x:c r="P3223"/>
    </x:row>
    <x:row r="3224">
      <x:c r="A3224"/>
      <x:c r="B3224"/>
      <x:c r="C3224"/>
      <x:c r="D3224"/>
      <x:c r="E3224"/>
      <x:c r="F3224"/>
      <x:c r="G3224" s="56"/>
      <x:c r="H3224"/>
      <x:c r="I3224"/>
      <x:c r="J3224"/>
      <x:c r="K3224"/>
      <x:c r="L3224"/>
      <x:c r="M3224"/>
      <x:c r="N3224"/>
      <x:c r="O3224"/>
      <x:c r="P3224"/>
    </x:row>
    <x:row r="3225">
      <x:c r="A3225"/>
      <x:c r="B3225"/>
      <x:c r="C3225"/>
      <x:c r="D3225"/>
      <x:c r="E3225"/>
      <x:c r="F3225"/>
      <x:c r="G3225" s="56"/>
      <x:c r="H3225"/>
      <x:c r="I3225"/>
      <x:c r="J3225"/>
      <x:c r="K3225"/>
      <x:c r="L3225"/>
      <x:c r="M3225"/>
      <x:c r="N3225"/>
      <x:c r="O3225"/>
      <x:c r="P3225"/>
    </x:row>
    <x:row r="3226">
      <x:c r="A3226"/>
      <x:c r="B3226"/>
      <x:c r="C3226"/>
      <x:c r="D3226"/>
      <x:c r="E3226"/>
      <x:c r="F3226"/>
      <x:c r="G3226" s="56"/>
      <x:c r="H3226"/>
      <x:c r="I3226"/>
      <x:c r="J3226"/>
      <x:c r="K3226"/>
      <x:c r="L3226"/>
      <x:c r="M3226"/>
      <x:c r="N3226"/>
      <x:c r="O3226"/>
      <x:c r="P3226"/>
    </x:row>
    <x:row r="3227">
      <x:c r="A3227"/>
      <x:c r="B3227"/>
      <x:c r="C3227"/>
      <x:c r="D3227"/>
      <x:c r="E3227"/>
      <x:c r="F3227"/>
      <x:c r="G3227" s="56"/>
      <x:c r="H3227"/>
      <x:c r="I3227"/>
      <x:c r="J3227"/>
      <x:c r="K3227"/>
      <x:c r="L3227"/>
      <x:c r="M3227"/>
      <x:c r="N3227"/>
      <x:c r="O3227"/>
      <x:c r="P3227"/>
    </x:row>
    <x:row r="3228">
      <x:c r="A3228"/>
      <x:c r="B3228"/>
      <x:c r="C3228"/>
      <x:c r="D3228"/>
      <x:c r="E3228"/>
      <x:c r="F3228"/>
      <x:c r="G3228" s="56"/>
      <x:c r="H3228"/>
      <x:c r="I3228"/>
      <x:c r="J3228"/>
      <x:c r="K3228"/>
      <x:c r="L3228"/>
      <x:c r="M3228"/>
      <x:c r="N3228"/>
      <x:c r="O3228"/>
      <x:c r="P3228"/>
    </x:row>
    <x:row r="3229">
      <x:c r="A3229"/>
      <x:c r="B3229"/>
      <x:c r="C3229"/>
      <x:c r="D3229"/>
      <x:c r="E3229"/>
      <x:c r="F3229"/>
      <x:c r="G3229" s="56"/>
      <x:c r="H3229"/>
      <x:c r="I3229"/>
      <x:c r="J3229"/>
      <x:c r="K3229"/>
      <x:c r="L3229"/>
      <x:c r="M3229"/>
      <x:c r="N3229"/>
      <x:c r="O3229"/>
      <x:c r="P3229"/>
    </x:row>
    <x:row r="3230">
      <x:c r="A3230"/>
      <x:c r="B3230"/>
      <x:c r="C3230"/>
      <x:c r="D3230"/>
      <x:c r="E3230"/>
      <x:c r="F3230"/>
      <x:c r="G3230" s="56"/>
      <x:c r="H3230"/>
      <x:c r="I3230"/>
      <x:c r="J3230"/>
      <x:c r="K3230"/>
      <x:c r="L3230"/>
      <x:c r="M3230"/>
      <x:c r="N3230"/>
      <x:c r="O3230"/>
      <x:c r="P3230"/>
    </x:row>
    <x:row r="3231">
      <x:c r="A3231"/>
      <x:c r="B3231"/>
      <x:c r="C3231"/>
      <x:c r="D3231"/>
      <x:c r="E3231"/>
      <x:c r="F3231"/>
      <x:c r="G3231" s="56"/>
      <x:c r="H3231"/>
      <x:c r="I3231"/>
      <x:c r="J3231"/>
      <x:c r="K3231"/>
      <x:c r="L3231"/>
      <x:c r="M3231"/>
      <x:c r="N3231"/>
      <x:c r="O3231"/>
      <x:c r="P3231"/>
    </x:row>
    <x:row r="3232">
      <x:c r="A3232"/>
      <x:c r="B3232"/>
      <x:c r="C3232"/>
      <x:c r="D3232"/>
      <x:c r="E3232"/>
      <x:c r="F3232"/>
      <x:c r="G3232" s="56"/>
      <x:c r="H3232"/>
      <x:c r="I3232"/>
      <x:c r="J3232"/>
      <x:c r="K3232"/>
      <x:c r="L3232"/>
      <x:c r="M3232"/>
      <x:c r="N3232"/>
      <x:c r="O3232"/>
      <x:c r="P3232"/>
    </x:row>
    <x:row r="3233">
      <x:c r="A3233"/>
      <x:c r="B3233"/>
      <x:c r="C3233"/>
      <x:c r="D3233"/>
      <x:c r="E3233"/>
      <x:c r="F3233"/>
      <x:c r="G3233" s="56"/>
      <x:c r="H3233"/>
      <x:c r="I3233"/>
      <x:c r="J3233"/>
      <x:c r="K3233"/>
      <x:c r="L3233"/>
      <x:c r="M3233"/>
      <x:c r="N3233"/>
      <x:c r="O3233"/>
      <x:c r="P3233"/>
    </x:row>
    <x:row r="3234">
      <x:c r="A3234"/>
      <x:c r="B3234"/>
      <x:c r="C3234"/>
      <x:c r="D3234"/>
      <x:c r="E3234"/>
      <x:c r="F3234"/>
      <x:c r="G3234" s="56"/>
      <x:c r="H3234"/>
      <x:c r="I3234"/>
      <x:c r="J3234"/>
      <x:c r="K3234"/>
      <x:c r="L3234"/>
      <x:c r="M3234"/>
      <x:c r="N3234"/>
      <x:c r="O3234"/>
      <x:c r="P3234"/>
    </x:row>
    <x:row r="3235">
      <x:c r="A3235"/>
      <x:c r="B3235"/>
      <x:c r="C3235"/>
      <x:c r="D3235"/>
      <x:c r="E3235"/>
      <x:c r="F3235"/>
      <x:c r="G3235" s="56"/>
      <x:c r="H3235"/>
      <x:c r="I3235"/>
      <x:c r="J3235"/>
      <x:c r="K3235"/>
      <x:c r="L3235"/>
      <x:c r="M3235"/>
      <x:c r="N3235"/>
      <x:c r="O3235"/>
      <x:c r="P3235"/>
    </x:row>
    <x:row r="3236">
      <x:c r="A3236"/>
      <x:c r="B3236"/>
      <x:c r="C3236"/>
      <x:c r="D3236"/>
      <x:c r="E3236"/>
      <x:c r="F3236"/>
      <x:c r="G3236" s="56"/>
      <x:c r="H3236"/>
      <x:c r="I3236"/>
      <x:c r="J3236"/>
      <x:c r="K3236"/>
      <x:c r="L3236"/>
      <x:c r="M3236"/>
      <x:c r="N3236"/>
      <x:c r="O3236"/>
      <x:c r="P3236"/>
    </x:row>
    <x:row r="3237">
      <x:c r="A3237"/>
      <x:c r="B3237"/>
      <x:c r="C3237"/>
      <x:c r="D3237"/>
      <x:c r="E3237"/>
      <x:c r="F3237"/>
      <x:c r="G3237" s="56"/>
      <x:c r="H3237"/>
      <x:c r="I3237"/>
      <x:c r="J3237"/>
      <x:c r="K3237"/>
      <x:c r="L3237"/>
      <x:c r="M3237"/>
      <x:c r="N3237"/>
      <x:c r="O3237"/>
      <x:c r="P3237"/>
    </x:row>
    <x:row r="3238">
      <x:c r="A3238"/>
      <x:c r="B3238"/>
      <x:c r="C3238"/>
      <x:c r="D3238"/>
      <x:c r="E3238"/>
      <x:c r="F3238"/>
      <x:c r="G3238" s="56"/>
      <x:c r="H3238"/>
      <x:c r="I3238"/>
      <x:c r="J3238"/>
      <x:c r="K3238"/>
      <x:c r="L3238"/>
      <x:c r="M3238"/>
      <x:c r="N3238"/>
      <x:c r="O3238"/>
      <x:c r="P3238"/>
    </x:row>
    <x:row r="3239">
      <x:c r="A3239"/>
      <x:c r="B3239"/>
      <x:c r="C3239"/>
      <x:c r="D3239"/>
      <x:c r="E3239"/>
      <x:c r="F3239"/>
      <x:c r="G3239" s="56"/>
      <x:c r="H3239"/>
      <x:c r="I3239"/>
      <x:c r="J3239"/>
      <x:c r="K3239"/>
      <x:c r="L3239"/>
      <x:c r="M3239"/>
      <x:c r="N3239"/>
      <x:c r="O3239"/>
      <x:c r="P3239"/>
    </x:row>
    <x:row r="3240">
      <x:c r="A3240"/>
      <x:c r="B3240"/>
      <x:c r="C3240"/>
      <x:c r="D3240"/>
      <x:c r="E3240"/>
      <x:c r="F3240"/>
      <x:c r="G3240" s="56"/>
      <x:c r="H3240"/>
      <x:c r="I3240"/>
      <x:c r="J3240"/>
      <x:c r="K3240"/>
      <x:c r="L3240"/>
      <x:c r="M3240"/>
      <x:c r="N3240"/>
      <x:c r="O3240"/>
      <x:c r="P3240"/>
    </x:row>
    <x:row r="3241">
      <x:c r="A3241"/>
      <x:c r="B3241"/>
      <x:c r="C3241"/>
      <x:c r="D3241"/>
      <x:c r="E3241"/>
      <x:c r="F3241"/>
      <x:c r="G3241" s="56"/>
      <x:c r="H3241"/>
      <x:c r="I3241"/>
      <x:c r="J3241"/>
      <x:c r="K3241"/>
      <x:c r="L3241"/>
      <x:c r="M3241"/>
      <x:c r="N3241"/>
      <x:c r="O3241"/>
      <x:c r="P3241"/>
    </x:row>
    <x:row r="3242">
      <x:c r="A3242"/>
      <x:c r="B3242"/>
      <x:c r="C3242"/>
      <x:c r="D3242"/>
      <x:c r="E3242"/>
      <x:c r="F3242"/>
      <x:c r="G3242" s="56"/>
      <x:c r="H3242"/>
      <x:c r="I3242"/>
      <x:c r="J3242"/>
      <x:c r="K3242"/>
      <x:c r="L3242"/>
      <x:c r="M3242"/>
      <x:c r="N3242"/>
      <x:c r="O3242"/>
      <x:c r="P3242"/>
    </x:row>
    <x:row r="3243">
      <x:c r="A3243"/>
      <x:c r="B3243"/>
      <x:c r="C3243"/>
      <x:c r="D3243"/>
      <x:c r="E3243"/>
      <x:c r="F3243"/>
      <x:c r="G3243" s="56"/>
      <x:c r="H3243"/>
      <x:c r="I3243"/>
      <x:c r="J3243"/>
      <x:c r="K3243"/>
      <x:c r="L3243"/>
      <x:c r="M3243"/>
      <x:c r="N3243"/>
      <x:c r="O3243"/>
      <x:c r="P3243"/>
    </x:row>
    <x:row r="3244">
      <x:c r="A3244"/>
      <x:c r="B3244"/>
      <x:c r="C3244"/>
      <x:c r="D3244"/>
      <x:c r="E3244"/>
      <x:c r="F3244"/>
      <x:c r="G3244" s="56"/>
      <x:c r="H3244"/>
      <x:c r="I3244"/>
      <x:c r="J3244"/>
      <x:c r="K3244"/>
      <x:c r="L3244"/>
      <x:c r="M3244"/>
      <x:c r="N3244"/>
      <x:c r="O3244"/>
      <x:c r="P3244"/>
    </x:row>
    <x:row r="3245">
      <x:c r="A3245"/>
      <x:c r="B3245"/>
      <x:c r="C3245"/>
      <x:c r="D3245"/>
      <x:c r="E3245"/>
      <x:c r="F3245"/>
      <x:c r="G3245" s="56"/>
      <x:c r="H3245"/>
      <x:c r="I3245"/>
      <x:c r="J3245"/>
      <x:c r="K3245"/>
      <x:c r="L3245"/>
      <x:c r="M3245"/>
      <x:c r="N3245"/>
      <x:c r="O3245"/>
      <x:c r="P3245"/>
    </x:row>
    <x:row r="3246">
      <x:c r="A3246"/>
      <x:c r="B3246"/>
      <x:c r="C3246"/>
      <x:c r="D3246"/>
      <x:c r="E3246"/>
      <x:c r="F3246"/>
      <x:c r="G3246" s="56"/>
      <x:c r="H3246"/>
      <x:c r="I3246"/>
      <x:c r="J3246"/>
      <x:c r="K3246"/>
      <x:c r="L3246"/>
      <x:c r="M3246"/>
      <x:c r="N3246"/>
      <x:c r="O3246"/>
      <x:c r="P3246"/>
    </x:row>
    <x:row r="3247">
      <x:c r="A3247"/>
      <x:c r="B3247"/>
      <x:c r="C3247"/>
      <x:c r="D3247"/>
      <x:c r="E3247"/>
      <x:c r="F3247"/>
      <x:c r="G3247" s="56"/>
      <x:c r="H3247"/>
      <x:c r="I3247"/>
      <x:c r="J3247"/>
      <x:c r="K3247"/>
      <x:c r="L3247"/>
      <x:c r="M3247"/>
      <x:c r="N3247"/>
      <x:c r="O3247"/>
      <x:c r="P3247"/>
    </x:row>
    <x:row r="3248">
      <x:c r="A3248"/>
      <x:c r="B3248"/>
      <x:c r="C3248"/>
      <x:c r="D3248"/>
      <x:c r="E3248"/>
      <x:c r="F3248"/>
      <x:c r="G3248" s="56"/>
      <x:c r="H3248"/>
      <x:c r="I3248"/>
      <x:c r="J3248"/>
      <x:c r="K3248"/>
      <x:c r="L3248"/>
      <x:c r="M3248"/>
      <x:c r="N3248"/>
      <x:c r="O3248"/>
      <x:c r="P3248"/>
    </x:row>
    <x:row r="3249">
      <x:c r="A3249"/>
      <x:c r="B3249"/>
      <x:c r="C3249"/>
      <x:c r="D3249"/>
      <x:c r="E3249"/>
      <x:c r="F3249"/>
      <x:c r="G3249" s="56"/>
      <x:c r="H3249"/>
      <x:c r="I3249"/>
      <x:c r="J3249"/>
      <x:c r="K3249"/>
      <x:c r="L3249"/>
      <x:c r="M3249"/>
      <x:c r="N3249"/>
      <x:c r="O3249"/>
      <x:c r="P3249"/>
    </x:row>
    <x:row r="3250">
      <x:c r="A3250"/>
      <x:c r="B3250"/>
      <x:c r="C3250"/>
      <x:c r="D3250"/>
      <x:c r="E3250"/>
      <x:c r="F3250"/>
      <x:c r="G3250" s="56"/>
      <x:c r="H3250"/>
      <x:c r="I3250"/>
      <x:c r="J3250"/>
      <x:c r="K3250"/>
      <x:c r="L3250"/>
      <x:c r="M3250"/>
      <x:c r="N3250"/>
      <x:c r="O3250"/>
      <x:c r="P3250"/>
    </x:row>
    <x:row r="3251">
      <x:c r="A3251"/>
      <x:c r="B3251"/>
      <x:c r="C3251"/>
      <x:c r="D3251"/>
      <x:c r="E3251"/>
      <x:c r="F3251"/>
      <x:c r="G3251" s="56"/>
      <x:c r="H3251"/>
      <x:c r="I3251"/>
      <x:c r="J3251"/>
      <x:c r="K3251"/>
      <x:c r="L3251"/>
      <x:c r="M3251"/>
      <x:c r="N3251"/>
      <x:c r="O3251"/>
      <x:c r="P3251"/>
    </x:row>
    <x:row r="3252">
      <x:c r="A3252"/>
      <x:c r="B3252"/>
      <x:c r="C3252"/>
      <x:c r="D3252"/>
      <x:c r="E3252"/>
      <x:c r="F3252"/>
      <x:c r="G3252" s="56"/>
      <x:c r="H3252"/>
      <x:c r="I3252"/>
      <x:c r="J3252"/>
      <x:c r="K3252"/>
      <x:c r="L3252"/>
      <x:c r="M3252"/>
      <x:c r="N3252"/>
      <x:c r="O3252"/>
      <x:c r="P3252"/>
    </x:row>
    <x:row r="3253">
      <x:c r="A3253"/>
      <x:c r="B3253"/>
      <x:c r="C3253"/>
      <x:c r="D3253"/>
      <x:c r="E3253"/>
      <x:c r="F3253"/>
      <x:c r="G3253" s="56"/>
      <x:c r="H3253"/>
      <x:c r="I3253"/>
      <x:c r="J3253"/>
      <x:c r="K3253"/>
      <x:c r="L3253"/>
      <x:c r="M3253"/>
      <x:c r="N3253"/>
      <x:c r="O3253"/>
      <x:c r="P3253"/>
    </x:row>
    <x:row r="3254">
      <x:c r="A3254"/>
      <x:c r="B3254"/>
      <x:c r="C3254"/>
      <x:c r="D3254"/>
      <x:c r="E3254"/>
      <x:c r="F3254"/>
      <x:c r="G3254" s="56"/>
      <x:c r="H3254"/>
      <x:c r="I3254"/>
      <x:c r="J3254"/>
      <x:c r="K3254"/>
      <x:c r="L3254"/>
      <x:c r="M3254"/>
      <x:c r="N3254"/>
      <x:c r="O3254"/>
      <x:c r="P3254"/>
    </x:row>
    <x:row r="3255">
      <x:c r="A3255"/>
      <x:c r="B3255"/>
      <x:c r="C3255"/>
      <x:c r="D3255"/>
      <x:c r="E3255"/>
      <x:c r="F3255"/>
      <x:c r="G3255" s="56"/>
      <x:c r="H3255"/>
      <x:c r="I3255"/>
      <x:c r="J3255"/>
      <x:c r="K3255"/>
      <x:c r="L3255"/>
      <x:c r="M3255"/>
      <x:c r="N3255"/>
      <x:c r="O3255"/>
      <x:c r="P3255"/>
    </x:row>
    <x:row r="3256">
      <x:c r="A3256"/>
      <x:c r="B3256"/>
      <x:c r="C3256"/>
      <x:c r="D3256"/>
      <x:c r="E3256"/>
      <x:c r="F3256"/>
      <x:c r="G3256" s="56"/>
      <x:c r="H3256"/>
      <x:c r="I3256"/>
      <x:c r="J3256"/>
      <x:c r="K3256"/>
      <x:c r="L3256"/>
      <x:c r="M3256"/>
      <x:c r="N3256"/>
      <x:c r="O3256"/>
      <x:c r="P3256"/>
    </x:row>
    <x:row r="3257">
      <x:c r="A3257"/>
      <x:c r="B3257"/>
      <x:c r="C3257"/>
      <x:c r="D3257"/>
      <x:c r="E3257"/>
      <x:c r="F3257"/>
      <x:c r="G3257" s="56"/>
      <x:c r="H3257"/>
      <x:c r="I3257"/>
      <x:c r="J3257"/>
      <x:c r="K3257"/>
      <x:c r="L3257"/>
      <x:c r="M3257"/>
      <x:c r="N3257"/>
      <x:c r="O3257"/>
      <x:c r="P3257"/>
    </x:row>
    <x:row r="3258">
      <x:c r="A3258"/>
      <x:c r="B3258"/>
      <x:c r="C3258"/>
      <x:c r="D3258"/>
      <x:c r="E3258"/>
      <x:c r="F3258"/>
      <x:c r="G3258" s="56"/>
      <x:c r="H3258"/>
      <x:c r="I3258"/>
      <x:c r="J3258"/>
      <x:c r="K3258"/>
      <x:c r="L3258"/>
      <x:c r="M3258"/>
      <x:c r="N3258"/>
      <x:c r="O3258"/>
      <x:c r="P3258"/>
    </x:row>
    <x:row r="3259">
      <x:c r="A3259"/>
      <x:c r="B3259"/>
      <x:c r="C3259"/>
      <x:c r="D3259"/>
      <x:c r="E3259"/>
      <x:c r="F3259"/>
      <x:c r="G3259" s="56"/>
      <x:c r="H3259"/>
      <x:c r="I3259"/>
      <x:c r="J3259"/>
      <x:c r="K3259"/>
      <x:c r="L3259"/>
      <x:c r="M3259"/>
      <x:c r="N3259"/>
      <x:c r="O3259"/>
      <x:c r="P3259"/>
    </x:row>
    <x:row r="3260">
      <x:c r="A3260"/>
      <x:c r="B3260"/>
      <x:c r="C3260"/>
      <x:c r="D3260"/>
      <x:c r="E3260"/>
      <x:c r="F3260"/>
      <x:c r="G3260" s="56"/>
      <x:c r="H3260"/>
      <x:c r="I3260"/>
      <x:c r="J3260"/>
      <x:c r="K3260"/>
      <x:c r="L3260"/>
      <x:c r="M3260"/>
      <x:c r="N3260"/>
      <x:c r="O3260"/>
      <x:c r="P3260"/>
    </x:row>
    <x:row r="3261">
      <x:c r="A3261"/>
      <x:c r="B3261"/>
      <x:c r="C3261"/>
      <x:c r="D3261"/>
      <x:c r="E3261"/>
      <x:c r="F3261"/>
      <x:c r="G3261" s="56"/>
      <x:c r="H3261"/>
      <x:c r="I3261"/>
      <x:c r="J3261"/>
      <x:c r="K3261"/>
      <x:c r="L3261"/>
      <x:c r="M3261"/>
      <x:c r="N3261"/>
      <x:c r="O3261"/>
      <x:c r="P3261"/>
    </x:row>
    <x:row r="3262">
      <x:c r="A3262"/>
      <x:c r="B3262"/>
      <x:c r="C3262"/>
      <x:c r="D3262"/>
      <x:c r="E3262"/>
      <x:c r="F3262"/>
      <x:c r="G3262" s="56"/>
      <x:c r="H3262"/>
      <x:c r="I3262"/>
      <x:c r="J3262"/>
      <x:c r="K3262"/>
      <x:c r="L3262"/>
      <x:c r="M3262"/>
      <x:c r="N3262"/>
      <x:c r="O3262"/>
      <x:c r="P3262"/>
    </x:row>
    <x:row r="3263">
      <x:c r="A3263"/>
      <x:c r="B3263"/>
      <x:c r="C3263"/>
      <x:c r="D3263"/>
      <x:c r="E3263"/>
      <x:c r="F3263"/>
      <x:c r="G3263" s="56"/>
      <x:c r="H3263"/>
      <x:c r="I3263"/>
      <x:c r="J3263"/>
      <x:c r="K3263"/>
      <x:c r="L3263"/>
      <x:c r="M3263"/>
      <x:c r="N3263"/>
      <x:c r="O3263"/>
      <x:c r="P3263"/>
    </x:row>
    <x:row r="3264">
      <x:c r="A3264"/>
      <x:c r="B3264"/>
      <x:c r="C3264"/>
      <x:c r="D3264"/>
      <x:c r="E3264"/>
      <x:c r="F3264"/>
      <x:c r="G3264" s="56"/>
      <x:c r="H3264"/>
      <x:c r="I3264"/>
      <x:c r="J3264"/>
      <x:c r="K3264"/>
      <x:c r="L3264"/>
      <x:c r="M3264"/>
      <x:c r="N3264"/>
      <x:c r="O3264"/>
      <x:c r="P3264"/>
    </x:row>
    <x:row r="3265">
      <x:c r="A3265"/>
      <x:c r="B3265"/>
      <x:c r="C3265"/>
      <x:c r="D3265"/>
      <x:c r="E3265"/>
      <x:c r="F3265"/>
      <x:c r="G3265" s="56"/>
      <x:c r="H3265"/>
      <x:c r="I3265"/>
      <x:c r="J3265"/>
      <x:c r="K3265"/>
      <x:c r="L3265"/>
      <x:c r="M3265"/>
      <x:c r="N3265"/>
      <x:c r="O3265"/>
      <x:c r="P3265"/>
    </x:row>
    <x:row r="3266">
      <x:c r="A3266"/>
      <x:c r="B3266"/>
      <x:c r="C3266"/>
      <x:c r="D3266"/>
      <x:c r="E3266"/>
      <x:c r="F3266"/>
      <x:c r="G3266" s="56"/>
      <x:c r="H3266"/>
      <x:c r="I3266"/>
      <x:c r="J3266"/>
      <x:c r="K3266"/>
      <x:c r="L3266"/>
      <x:c r="M3266"/>
      <x:c r="N3266"/>
      <x:c r="O3266"/>
      <x:c r="P3266"/>
    </x:row>
    <x:row r="3267">
      <x:c r="A3267"/>
      <x:c r="B3267"/>
      <x:c r="C3267"/>
      <x:c r="D3267"/>
      <x:c r="E3267"/>
      <x:c r="F3267"/>
      <x:c r="G3267" s="56"/>
      <x:c r="H3267"/>
      <x:c r="I3267"/>
      <x:c r="J3267"/>
      <x:c r="K3267"/>
      <x:c r="L3267"/>
      <x:c r="M3267"/>
      <x:c r="N3267"/>
      <x:c r="O3267"/>
      <x:c r="P3267"/>
    </x:row>
    <x:row r="3268">
      <x:c r="A3268"/>
      <x:c r="B3268"/>
      <x:c r="C3268"/>
      <x:c r="D3268"/>
      <x:c r="E3268"/>
      <x:c r="F3268"/>
      <x:c r="G3268" s="56"/>
      <x:c r="H3268"/>
      <x:c r="I3268"/>
      <x:c r="J3268"/>
      <x:c r="K3268"/>
      <x:c r="L3268"/>
      <x:c r="M3268"/>
      <x:c r="N3268"/>
      <x:c r="O3268"/>
      <x:c r="P3268"/>
    </x:row>
    <x:row r="3269">
      <x:c r="A3269"/>
      <x:c r="B3269"/>
      <x:c r="C3269"/>
      <x:c r="D3269"/>
      <x:c r="E3269"/>
      <x:c r="F3269"/>
      <x:c r="G3269" s="56"/>
      <x:c r="H3269"/>
      <x:c r="I3269"/>
      <x:c r="J3269"/>
      <x:c r="K3269"/>
      <x:c r="L3269"/>
      <x:c r="M3269"/>
      <x:c r="N3269"/>
      <x:c r="O3269"/>
      <x:c r="P3269"/>
    </x:row>
    <x:row r="3270">
      <x:c r="A3270"/>
      <x:c r="B3270"/>
      <x:c r="C3270"/>
      <x:c r="D3270"/>
      <x:c r="E3270"/>
      <x:c r="F3270"/>
      <x:c r="G3270" s="56"/>
      <x:c r="H3270"/>
      <x:c r="I3270"/>
      <x:c r="J3270"/>
      <x:c r="K3270"/>
      <x:c r="L3270"/>
      <x:c r="M3270"/>
      <x:c r="N3270"/>
      <x:c r="O3270"/>
      <x:c r="P3270"/>
    </x:row>
    <x:row r="3271">
      <x:c r="A3271"/>
      <x:c r="B3271"/>
      <x:c r="C3271"/>
      <x:c r="D3271"/>
      <x:c r="E3271"/>
      <x:c r="F3271"/>
      <x:c r="G3271" s="56"/>
      <x:c r="H3271"/>
      <x:c r="I3271"/>
      <x:c r="J3271"/>
      <x:c r="K3271"/>
      <x:c r="L3271"/>
      <x:c r="M3271"/>
      <x:c r="N3271"/>
      <x:c r="O3271"/>
      <x:c r="P3271"/>
    </x:row>
    <x:row r="3272">
      <x:c r="A3272"/>
      <x:c r="B3272"/>
      <x:c r="C3272"/>
      <x:c r="D3272"/>
      <x:c r="E3272"/>
      <x:c r="F3272"/>
      <x:c r="G3272" s="56"/>
      <x:c r="H3272"/>
      <x:c r="I3272"/>
      <x:c r="J3272"/>
      <x:c r="K3272"/>
      <x:c r="L3272"/>
      <x:c r="M3272"/>
      <x:c r="N3272"/>
      <x:c r="O3272"/>
      <x:c r="P3272"/>
    </x:row>
    <x:row r="3273">
      <x:c r="A3273"/>
      <x:c r="B3273"/>
      <x:c r="C3273"/>
      <x:c r="D3273"/>
      <x:c r="E3273"/>
      <x:c r="F3273"/>
      <x:c r="G3273" s="56"/>
      <x:c r="H3273"/>
      <x:c r="I3273"/>
      <x:c r="J3273"/>
      <x:c r="K3273"/>
      <x:c r="L3273"/>
      <x:c r="M3273"/>
      <x:c r="N3273"/>
      <x:c r="O3273"/>
      <x:c r="P3273"/>
    </x:row>
    <x:row r="3274">
      <x:c r="A3274"/>
      <x:c r="B3274"/>
      <x:c r="C3274"/>
      <x:c r="D3274"/>
      <x:c r="E3274"/>
      <x:c r="F3274"/>
      <x:c r="G3274" s="56"/>
      <x:c r="H3274"/>
      <x:c r="I3274"/>
      <x:c r="J3274"/>
      <x:c r="K3274"/>
      <x:c r="L3274"/>
      <x:c r="M3274"/>
      <x:c r="N3274"/>
      <x:c r="O3274"/>
      <x:c r="P3274"/>
    </x:row>
    <x:row r="3275">
      <x:c r="A3275"/>
      <x:c r="B3275"/>
      <x:c r="C3275"/>
      <x:c r="D3275"/>
      <x:c r="E3275"/>
      <x:c r="F3275"/>
      <x:c r="G3275" s="56"/>
      <x:c r="H3275"/>
      <x:c r="I3275"/>
      <x:c r="J3275"/>
      <x:c r="K3275"/>
      <x:c r="L3275"/>
      <x:c r="M3275"/>
      <x:c r="N3275"/>
      <x:c r="O3275"/>
      <x:c r="P3275"/>
    </x:row>
    <x:row r="3276">
      <x:c r="A3276"/>
      <x:c r="B3276"/>
      <x:c r="C3276"/>
      <x:c r="D3276"/>
      <x:c r="E3276"/>
      <x:c r="F3276"/>
      <x:c r="G3276" s="56"/>
      <x:c r="H3276"/>
      <x:c r="I3276"/>
      <x:c r="J3276"/>
      <x:c r="K3276"/>
      <x:c r="L3276"/>
      <x:c r="M3276"/>
      <x:c r="N3276"/>
      <x:c r="O3276"/>
      <x:c r="P3276"/>
    </x:row>
    <x:row r="3277">
      <x:c r="A3277"/>
      <x:c r="B3277"/>
      <x:c r="C3277"/>
      <x:c r="D3277"/>
      <x:c r="E3277"/>
      <x:c r="F3277"/>
      <x:c r="G3277" s="56"/>
      <x:c r="H3277"/>
      <x:c r="I3277"/>
      <x:c r="J3277"/>
      <x:c r="K3277"/>
      <x:c r="L3277"/>
      <x:c r="M3277"/>
      <x:c r="N3277"/>
      <x:c r="O3277"/>
      <x:c r="P3277"/>
    </x:row>
    <x:row r="3278">
      <x:c r="A3278"/>
      <x:c r="B3278"/>
      <x:c r="C3278"/>
      <x:c r="D3278"/>
      <x:c r="E3278"/>
      <x:c r="F3278"/>
      <x:c r="G3278" s="56"/>
      <x:c r="H3278"/>
      <x:c r="I3278"/>
      <x:c r="J3278"/>
      <x:c r="K3278"/>
      <x:c r="L3278"/>
      <x:c r="M3278"/>
      <x:c r="N3278"/>
      <x:c r="O3278"/>
      <x:c r="P3278"/>
    </x:row>
    <x:row r="3279">
      <x:c r="A3279"/>
      <x:c r="B3279"/>
      <x:c r="C3279"/>
      <x:c r="D3279"/>
      <x:c r="E3279"/>
      <x:c r="F3279"/>
      <x:c r="G3279" s="56"/>
      <x:c r="H3279"/>
      <x:c r="I3279"/>
      <x:c r="J3279"/>
      <x:c r="K3279"/>
      <x:c r="L3279"/>
      <x:c r="M3279"/>
      <x:c r="N3279"/>
      <x:c r="O3279"/>
      <x:c r="P3279"/>
    </x:row>
    <x:row r="3280">
      <x:c r="A3280"/>
      <x:c r="B3280"/>
      <x:c r="C3280"/>
      <x:c r="D3280"/>
      <x:c r="E3280"/>
      <x:c r="F3280"/>
      <x:c r="G3280" s="56"/>
      <x:c r="H3280"/>
      <x:c r="I3280"/>
      <x:c r="J3280"/>
      <x:c r="K3280"/>
      <x:c r="L3280"/>
      <x:c r="M3280"/>
      <x:c r="N3280"/>
      <x:c r="O3280"/>
      <x:c r="P3280"/>
    </x:row>
    <x:row r="3281">
      <x:c r="A3281"/>
      <x:c r="B3281"/>
      <x:c r="C3281"/>
      <x:c r="D3281"/>
      <x:c r="E3281"/>
      <x:c r="F3281"/>
      <x:c r="G3281" s="56"/>
      <x:c r="H3281"/>
      <x:c r="I3281"/>
      <x:c r="J3281"/>
      <x:c r="K3281"/>
      <x:c r="L3281"/>
      <x:c r="M3281"/>
      <x:c r="N3281"/>
      <x:c r="O3281"/>
      <x:c r="P3281"/>
    </x:row>
    <x:row r="3282">
      <x:c r="A3282"/>
      <x:c r="B3282"/>
      <x:c r="C3282"/>
      <x:c r="D3282"/>
      <x:c r="E3282"/>
      <x:c r="F3282"/>
      <x:c r="G3282" s="56"/>
      <x:c r="H3282"/>
      <x:c r="I3282"/>
      <x:c r="J3282"/>
      <x:c r="K3282"/>
      <x:c r="L3282"/>
      <x:c r="M3282"/>
      <x:c r="N3282"/>
      <x:c r="O3282"/>
      <x:c r="P3282"/>
    </x:row>
    <x:row r="3283">
      <x:c r="A3283"/>
      <x:c r="B3283"/>
      <x:c r="C3283"/>
      <x:c r="D3283"/>
      <x:c r="E3283"/>
      <x:c r="F3283"/>
      <x:c r="G3283" s="56"/>
      <x:c r="H3283"/>
      <x:c r="I3283"/>
      <x:c r="J3283"/>
      <x:c r="K3283"/>
      <x:c r="L3283"/>
      <x:c r="M3283"/>
      <x:c r="N3283"/>
      <x:c r="O3283"/>
      <x:c r="P3283"/>
    </x:row>
    <x:row r="3284">
      <x:c r="A3284"/>
      <x:c r="B3284"/>
      <x:c r="C3284"/>
      <x:c r="D3284"/>
      <x:c r="E3284"/>
      <x:c r="F3284"/>
      <x:c r="G3284" s="56"/>
      <x:c r="H3284"/>
      <x:c r="I3284"/>
      <x:c r="J3284"/>
      <x:c r="K3284"/>
      <x:c r="L3284"/>
      <x:c r="M3284"/>
      <x:c r="N3284"/>
      <x:c r="O3284"/>
      <x:c r="P3284"/>
    </x:row>
    <x:row r="3285">
      <x:c r="A3285"/>
      <x:c r="B3285"/>
      <x:c r="C3285"/>
      <x:c r="D3285"/>
      <x:c r="E3285"/>
      <x:c r="F3285"/>
      <x:c r="G3285" s="56"/>
      <x:c r="H3285"/>
      <x:c r="I3285"/>
      <x:c r="J3285"/>
      <x:c r="K3285"/>
      <x:c r="L3285"/>
      <x:c r="M3285"/>
      <x:c r="N3285"/>
      <x:c r="O3285"/>
      <x:c r="P3285"/>
    </x:row>
    <x:row r="3286">
      <x:c r="A3286"/>
      <x:c r="B3286"/>
      <x:c r="C3286"/>
      <x:c r="D3286"/>
      <x:c r="E3286"/>
      <x:c r="F3286"/>
      <x:c r="G3286" s="56"/>
      <x:c r="H3286"/>
      <x:c r="I3286"/>
      <x:c r="J3286"/>
      <x:c r="K3286"/>
      <x:c r="L3286"/>
      <x:c r="M3286"/>
      <x:c r="N3286"/>
      <x:c r="O3286"/>
      <x:c r="P3286"/>
    </x:row>
    <x:row r="3287">
      <x:c r="A3287"/>
      <x:c r="B3287"/>
      <x:c r="C3287"/>
      <x:c r="D3287"/>
      <x:c r="E3287"/>
      <x:c r="F3287"/>
      <x:c r="G3287" s="56"/>
      <x:c r="H3287"/>
      <x:c r="I3287"/>
      <x:c r="J3287"/>
      <x:c r="K3287"/>
      <x:c r="L3287"/>
      <x:c r="M3287"/>
      <x:c r="N3287"/>
      <x:c r="O3287"/>
      <x:c r="P3287"/>
    </x:row>
    <x:row r="3288">
      <x:c r="A3288"/>
      <x:c r="B3288"/>
      <x:c r="C3288"/>
      <x:c r="D3288"/>
      <x:c r="E3288"/>
      <x:c r="F3288"/>
      <x:c r="G3288" s="56"/>
      <x:c r="H3288"/>
      <x:c r="I3288"/>
      <x:c r="J3288"/>
      <x:c r="K3288"/>
      <x:c r="L3288"/>
      <x:c r="M3288"/>
      <x:c r="N3288"/>
      <x:c r="O3288"/>
      <x:c r="P3288"/>
    </x:row>
    <x:row r="3289">
      <x:c r="A3289"/>
      <x:c r="B3289"/>
      <x:c r="C3289"/>
      <x:c r="D3289"/>
      <x:c r="E3289"/>
      <x:c r="F3289"/>
      <x:c r="G3289" s="56"/>
      <x:c r="H3289"/>
      <x:c r="I3289"/>
      <x:c r="J3289"/>
      <x:c r="K3289"/>
      <x:c r="L3289"/>
      <x:c r="M3289"/>
      <x:c r="N3289"/>
      <x:c r="O3289"/>
      <x:c r="P3289"/>
    </x:row>
    <x:row r="3290">
      <x:c r="A3290"/>
      <x:c r="B3290"/>
      <x:c r="C3290"/>
      <x:c r="D3290"/>
      <x:c r="E3290"/>
      <x:c r="F3290"/>
      <x:c r="G3290" s="56"/>
      <x:c r="H3290"/>
      <x:c r="I3290"/>
      <x:c r="J3290"/>
      <x:c r="K3290"/>
      <x:c r="L3290"/>
      <x:c r="M3290"/>
      <x:c r="N3290"/>
      <x:c r="O3290"/>
      <x:c r="P3290"/>
    </x:row>
    <x:row r="3291">
      <x:c r="A3291"/>
      <x:c r="B3291"/>
      <x:c r="C3291"/>
      <x:c r="D3291"/>
      <x:c r="E3291"/>
      <x:c r="F3291"/>
      <x:c r="G3291" s="56"/>
      <x:c r="H3291"/>
      <x:c r="I3291"/>
      <x:c r="J3291"/>
      <x:c r="K3291"/>
      <x:c r="L3291"/>
      <x:c r="M3291"/>
      <x:c r="N3291"/>
      <x:c r="O3291"/>
      <x:c r="P3291"/>
    </x:row>
    <x:row r="3292">
      <x:c r="A3292"/>
      <x:c r="B3292"/>
      <x:c r="C3292"/>
      <x:c r="D3292"/>
      <x:c r="E3292"/>
      <x:c r="F3292"/>
      <x:c r="G3292" s="56"/>
      <x:c r="H3292"/>
      <x:c r="I3292"/>
      <x:c r="J3292"/>
      <x:c r="K3292"/>
      <x:c r="L3292"/>
      <x:c r="M3292"/>
      <x:c r="N3292"/>
      <x:c r="O3292"/>
      <x:c r="P3292"/>
    </x:row>
    <x:row r="3293">
      <x:c r="A3293"/>
      <x:c r="B3293"/>
      <x:c r="C3293"/>
      <x:c r="D3293"/>
      <x:c r="E3293"/>
      <x:c r="F3293"/>
      <x:c r="G3293" s="56"/>
      <x:c r="H3293"/>
      <x:c r="I3293"/>
      <x:c r="J3293"/>
      <x:c r="K3293"/>
      <x:c r="L3293"/>
      <x:c r="M3293"/>
      <x:c r="N3293"/>
      <x:c r="O3293"/>
      <x:c r="P3293"/>
    </x:row>
    <x:row r="3294">
      <x:c r="A3294"/>
      <x:c r="B3294"/>
      <x:c r="C3294"/>
      <x:c r="D3294"/>
      <x:c r="E3294"/>
      <x:c r="F3294"/>
      <x:c r="G3294" s="56"/>
      <x:c r="H3294"/>
      <x:c r="I3294"/>
      <x:c r="J3294"/>
      <x:c r="K3294"/>
      <x:c r="L3294"/>
      <x:c r="M3294"/>
      <x:c r="N3294"/>
      <x:c r="O3294"/>
      <x:c r="P3294"/>
    </x:row>
    <x:row r="3295">
      <x:c r="A3295"/>
      <x:c r="B3295"/>
      <x:c r="C3295"/>
      <x:c r="D3295"/>
      <x:c r="E3295"/>
      <x:c r="F3295"/>
      <x:c r="G3295" s="56"/>
      <x:c r="H3295"/>
      <x:c r="I3295"/>
      <x:c r="J3295"/>
      <x:c r="K3295"/>
      <x:c r="L3295"/>
      <x:c r="M3295"/>
      <x:c r="N3295"/>
      <x:c r="O3295"/>
      <x:c r="P3295"/>
    </x:row>
    <x:row r="3296">
      <x:c r="A3296"/>
      <x:c r="B3296"/>
      <x:c r="C3296"/>
      <x:c r="D3296"/>
      <x:c r="E3296"/>
      <x:c r="F3296"/>
      <x:c r="G3296" s="56"/>
      <x:c r="H3296"/>
      <x:c r="I3296"/>
      <x:c r="J3296"/>
      <x:c r="K3296"/>
      <x:c r="L3296"/>
      <x:c r="M3296"/>
      <x:c r="N3296"/>
      <x:c r="O3296"/>
      <x:c r="P3296"/>
    </x:row>
    <x:row r="3297">
      <x:c r="A3297"/>
      <x:c r="B3297"/>
      <x:c r="C3297"/>
      <x:c r="D3297"/>
      <x:c r="E3297"/>
      <x:c r="F3297"/>
      <x:c r="G3297" s="56"/>
      <x:c r="H3297"/>
      <x:c r="I3297"/>
      <x:c r="J3297"/>
      <x:c r="K3297"/>
      <x:c r="L3297"/>
      <x:c r="M3297"/>
      <x:c r="N3297"/>
      <x:c r="O3297"/>
      <x:c r="P3297"/>
    </x:row>
    <x:row r="3298">
      <x:c r="A3298"/>
      <x:c r="B3298"/>
      <x:c r="C3298"/>
      <x:c r="D3298"/>
      <x:c r="E3298"/>
      <x:c r="F3298"/>
      <x:c r="G3298" s="56"/>
      <x:c r="H3298"/>
      <x:c r="I3298"/>
      <x:c r="J3298"/>
      <x:c r="K3298"/>
      <x:c r="L3298"/>
      <x:c r="M3298"/>
      <x:c r="N3298"/>
      <x:c r="O3298"/>
      <x:c r="P3298"/>
    </x:row>
    <x:row r="3299">
      <x:c r="A3299"/>
      <x:c r="B3299"/>
      <x:c r="C3299"/>
      <x:c r="D3299"/>
      <x:c r="E3299"/>
      <x:c r="F3299"/>
      <x:c r="G3299" s="56"/>
      <x:c r="H3299"/>
      <x:c r="I3299"/>
      <x:c r="J3299"/>
      <x:c r="K3299"/>
      <x:c r="L3299"/>
      <x:c r="M3299"/>
      <x:c r="N3299"/>
      <x:c r="O3299"/>
      <x:c r="P3299"/>
    </x:row>
    <x:row r="3300">
      <x:c r="A3300"/>
      <x:c r="B3300"/>
      <x:c r="C3300"/>
      <x:c r="D3300"/>
      <x:c r="E3300"/>
      <x:c r="F3300"/>
      <x:c r="G3300" s="56"/>
      <x:c r="H3300"/>
      <x:c r="I3300"/>
      <x:c r="J3300"/>
      <x:c r="K3300"/>
      <x:c r="L3300"/>
      <x:c r="M3300"/>
      <x:c r="N3300"/>
      <x:c r="O3300"/>
      <x:c r="P3300"/>
    </x:row>
    <x:row r="3301">
      <x:c r="A3301"/>
      <x:c r="B3301"/>
      <x:c r="C3301"/>
      <x:c r="D3301"/>
      <x:c r="E3301"/>
      <x:c r="F3301"/>
      <x:c r="G3301" s="56"/>
      <x:c r="H3301"/>
      <x:c r="I3301"/>
      <x:c r="J3301"/>
      <x:c r="K3301"/>
      <x:c r="L3301"/>
      <x:c r="M3301"/>
      <x:c r="N3301"/>
      <x:c r="O3301"/>
      <x:c r="P3301"/>
    </x:row>
    <x:row r="3302">
      <x:c r="A3302"/>
      <x:c r="B3302"/>
      <x:c r="C3302"/>
      <x:c r="D3302"/>
      <x:c r="E3302"/>
      <x:c r="F3302"/>
      <x:c r="G3302" s="56"/>
      <x:c r="H3302"/>
      <x:c r="I3302"/>
      <x:c r="J3302"/>
      <x:c r="K3302"/>
      <x:c r="L3302"/>
      <x:c r="M3302"/>
      <x:c r="N3302"/>
      <x:c r="O3302"/>
      <x:c r="P3302"/>
    </x:row>
    <x:row r="3303">
      <x:c r="A3303"/>
      <x:c r="B3303"/>
      <x:c r="C3303"/>
      <x:c r="D3303"/>
      <x:c r="E3303"/>
      <x:c r="F3303"/>
      <x:c r="G3303" s="56"/>
      <x:c r="H3303"/>
      <x:c r="I3303"/>
      <x:c r="J3303"/>
      <x:c r="K3303"/>
      <x:c r="L3303"/>
      <x:c r="M3303"/>
      <x:c r="N3303"/>
      <x:c r="O3303"/>
      <x:c r="P3303"/>
    </x:row>
    <x:row r="3304">
      <x:c r="A3304"/>
      <x:c r="B3304"/>
      <x:c r="C3304"/>
      <x:c r="D3304"/>
      <x:c r="E3304"/>
      <x:c r="F3304"/>
      <x:c r="G3304" s="56"/>
      <x:c r="H3304"/>
      <x:c r="I3304"/>
      <x:c r="J3304"/>
      <x:c r="K3304"/>
      <x:c r="L3304"/>
      <x:c r="M3304"/>
      <x:c r="N3304"/>
      <x:c r="O3304"/>
      <x:c r="P3304"/>
    </x:row>
    <x:row r="3305">
      <x:c r="A3305"/>
      <x:c r="B3305"/>
      <x:c r="C3305"/>
      <x:c r="D3305"/>
      <x:c r="E3305"/>
      <x:c r="F3305"/>
      <x:c r="G3305" s="56"/>
      <x:c r="H3305"/>
      <x:c r="I3305"/>
      <x:c r="J3305"/>
      <x:c r="K3305"/>
      <x:c r="L3305"/>
      <x:c r="M3305"/>
      <x:c r="N3305"/>
      <x:c r="O3305"/>
      <x:c r="P3305"/>
    </x:row>
    <x:row r="3306">
      <x:c r="A3306"/>
      <x:c r="B3306"/>
      <x:c r="C3306"/>
      <x:c r="D3306"/>
      <x:c r="E3306"/>
      <x:c r="F3306"/>
      <x:c r="G3306" s="56"/>
      <x:c r="H3306"/>
      <x:c r="I3306"/>
      <x:c r="J3306"/>
      <x:c r="K3306"/>
      <x:c r="L3306"/>
      <x:c r="M3306"/>
      <x:c r="N3306"/>
      <x:c r="O3306"/>
      <x:c r="P3306"/>
    </x:row>
    <x:row r="3307">
      <x:c r="A3307"/>
      <x:c r="B3307"/>
      <x:c r="C3307"/>
      <x:c r="D3307"/>
      <x:c r="E3307"/>
      <x:c r="F3307"/>
      <x:c r="G3307" s="56"/>
      <x:c r="H3307"/>
      <x:c r="I3307"/>
      <x:c r="J3307"/>
      <x:c r="K3307"/>
      <x:c r="L3307"/>
      <x:c r="M3307"/>
      <x:c r="N3307"/>
      <x:c r="O3307"/>
      <x:c r="P3307"/>
    </x:row>
    <x:row r="3308">
      <x:c r="A3308"/>
      <x:c r="B3308"/>
      <x:c r="C3308"/>
      <x:c r="D3308"/>
      <x:c r="E3308"/>
      <x:c r="F3308"/>
      <x:c r="G3308" s="56"/>
      <x:c r="H3308"/>
      <x:c r="I3308"/>
      <x:c r="J3308"/>
      <x:c r="K3308"/>
      <x:c r="L3308"/>
      <x:c r="M3308"/>
      <x:c r="N3308"/>
      <x:c r="O3308"/>
      <x:c r="P3308"/>
    </x:row>
    <x:row r="3309">
      <x:c r="A3309"/>
      <x:c r="B3309"/>
      <x:c r="C3309"/>
      <x:c r="D3309"/>
      <x:c r="E3309"/>
      <x:c r="F3309"/>
      <x:c r="G3309" s="56"/>
      <x:c r="H3309"/>
      <x:c r="I3309"/>
      <x:c r="J3309"/>
      <x:c r="K3309"/>
      <x:c r="L3309"/>
      <x:c r="M3309"/>
      <x:c r="N3309"/>
      <x:c r="O3309"/>
      <x:c r="P3309"/>
    </x:row>
    <x:row r="3310">
      <x:c r="A3310"/>
      <x:c r="B3310"/>
      <x:c r="C3310"/>
      <x:c r="D3310"/>
      <x:c r="E3310"/>
      <x:c r="F3310"/>
      <x:c r="G3310" s="56"/>
      <x:c r="H3310"/>
      <x:c r="I3310"/>
      <x:c r="J3310"/>
      <x:c r="K3310"/>
      <x:c r="L3310"/>
      <x:c r="M3310"/>
      <x:c r="N3310"/>
      <x:c r="O3310"/>
      <x:c r="P3310"/>
    </x:row>
    <x:row r="3311">
      <x:c r="A3311"/>
      <x:c r="B3311"/>
      <x:c r="C3311"/>
      <x:c r="D3311"/>
      <x:c r="E3311"/>
      <x:c r="F3311"/>
      <x:c r="G3311" s="56"/>
      <x:c r="H3311"/>
      <x:c r="I3311"/>
      <x:c r="J3311"/>
      <x:c r="K3311"/>
      <x:c r="L3311"/>
      <x:c r="M3311"/>
      <x:c r="N3311"/>
      <x:c r="O3311"/>
      <x:c r="P3311"/>
    </x:row>
    <x:row r="3312">
      <x:c r="A3312"/>
      <x:c r="B3312"/>
      <x:c r="C3312"/>
      <x:c r="D3312"/>
      <x:c r="E3312"/>
      <x:c r="F3312"/>
      <x:c r="G3312" s="56"/>
      <x:c r="H3312"/>
      <x:c r="I3312"/>
      <x:c r="J3312"/>
      <x:c r="K3312"/>
      <x:c r="L3312"/>
      <x:c r="M3312"/>
      <x:c r="N3312"/>
      <x:c r="O3312"/>
      <x:c r="P3312"/>
    </x:row>
    <x:row r="3313">
      <x:c r="A3313"/>
      <x:c r="B3313"/>
      <x:c r="C3313"/>
      <x:c r="D3313"/>
      <x:c r="E3313"/>
      <x:c r="F3313"/>
      <x:c r="G3313" s="56"/>
      <x:c r="H3313"/>
      <x:c r="I3313"/>
      <x:c r="J3313"/>
      <x:c r="K3313"/>
      <x:c r="L3313"/>
      <x:c r="M3313"/>
      <x:c r="N3313"/>
      <x:c r="O3313"/>
      <x:c r="P3313"/>
    </x:row>
    <x:row r="3314">
      <x:c r="A3314"/>
      <x:c r="B3314"/>
      <x:c r="C3314"/>
      <x:c r="D3314"/>
      <x:c r="E3314"/>
      <x:c r="F3314"/>
      <x:c r="G3314" s="56"/>
      <x:c r="H3314"/>
      <x:c r="I3314"/>
      <x:c r="J3314"/>
      <x:c r="K3314"/>
      <x:c r="L3314"/>
      <x:c r="M3314"/>
      <x:c r="N3314"/>
      <x:c r="O3314"/>
      <x:c r="P3314"/>
    </x:row>
    <x:row r="3315">
      <x:c r="A3315"/>
      <x:c r="B3315"/>
      <x:c r="C3315"/>
      <x:c r="D3315"/>
      <x:c r="E3315"/>
      <x:c r="F3315"/>
      <x:c r="G3315" s="56"/>
      <x:c r="H3315"/>
      <x:c r="I3315"/>
      <x:c r="J3315"/>
      <x:c r="K3315"/>
      <x:c r="L3315"/>
      <x:c r="M3315"/>
      <x:c r="N3315"/>
      <x:c r="O3315"/>
      <x:c r="P3315"/>
    </x:row>
    <x:row r="3316">
      <x:c r="A3316"/>
      <x:c r="B3316"/>
      <x:c r="C3316"/>
      <x:c r="D3316"/>
      <x:c r="E3316"/>
      <x:c r="F3316"/>
      <x:c r="G3316" s="56"/>
      <x:c r="H3316"/>
      <x:c r="I3316"/>
      <x:c r="J3316"/>
      <x:c r="K3316"/>
      <x:c r="L3316"/>
      <x:c r="M3316"/>
      <x:c r="N3316"/>
      <x:c r="O3316"/>
      <x:c r="P3316"/>
    </x:row>
    <x:row r="3317">
      <x:c r="A3317"/>
      <x:c r="B3317"/>
      <x:c r="C3317"/>
      <x:c r="D3317"/>
      <x:c r="E3317"/>
      <x:c r="F3317"/>
      <x:c r="G3317" s="56"/>
      <x:c r="H3317"/>
      <x:c r="I3317"/>
      <x:c r="J3317"/>
      <x:c r="K3317"/>
      <x:c r="L3317"/>
      <x:c r="M3317"/>
      <x:c r="N3317"/>
      <x:c r="O3317"/>
      <x:c r="P3317"/>
    </x:row>
    <x:row r="3318">
      <x:c r="A3318"/>
      <x:c r="B3318"/>
      <x:c r="C3318"/>
      <x:c r="D3318"/>
      <x:c r="E3318"/>
      <x:c r="F3318"/>
      <x:c r="G3318" s="56"/>
      <x:c r="H3318"/>
      <x:c r="I3318"/>
      <x:c r="J3318"/>
      <x:c r="K3318"/>
      <x:c r="L3318"/>
      <x:c r="M3318"/>
      <x:c r="N3318"/>
      <x:c r="O3318"/>
      <x:c r="P3318"/>
    </x:row>
    <x:row r="3319">
      <x:c r="A3319"/>
      <x:c r="B3319"/>
      <x:c r="C3319"/>
      <x:c r="D3319"/>
      <x:c r="E3319"/>
      <x:c r="F3319"/>
      <x:c r="G3319" s="56"/>
      <x:c r="H3319"/>
      <x:c r="I3319"/>
      <x:c r="J3319"/>
      <x:c r="K3319"/>
      <x:c r="L3319"/>
      <x:c r="M3319"/>
      <x:c r="N3319"/>
      <x:c r="O3319"/>
      <x:c r="P3319"/>
    </x:row>
    <x:row r="3320">
      <x:c r="A3320"/>
      <x:c r="B3320"/>
      <x:c r="C3320"/>
      <x:c r="D3320"/>
      <x:c r="E3320"/>
      <x:c r="F3320"/>
      <x:c r="G3320" s="56"/>
      <x:c r="H3320"/>
      <x:c r="I3320"/>
      <x:c r="J3320"/>
      <x:c r="K3320"/>
      <x:c r="L3320"/>
      <x:c r="M3320"/>
      <x:c r="N3320"/>
      <x:c r="O3320"/>
      <x:c r="P3320"/>
    </x:row>
    <x:row r="3321">
      <x:c r="A3321"/>
      <x:c r="B3321"/>
      <x:c r="C3321"/>
      <x:c r="D3321"/>
      <x:c r="E3321"/>
      <x:c r="F3321"/>
      <x:c r="G3321" s="56"/>
      <x:c r="H3321"/>
      <x:c r="I3321"/>
      <x:c r="J3321"/>
      <x:c r="K3321"/>
      <x:c r="L3321"/>
      <x:c r="M3321"/>
      <x:c r="N3321"/>
      <x:c r="O3321"/>
      <x:c r="P3321"/>
    </x:row>
    <x:row r="3322">
      <x:c r="A3322"/>
      <x:c r="B3322"/>
      <x:c r="C3322"/>
      <x:c r="D3322"/>
      <x:c r="E3322"/>
      <x:c r="F3322"/>
      <x:c r="G3322" s="56"/>
      <x:c r="H3322"/>
      <x:c r="I3322"/>
      <x:c r="J3322"/>
      <x:c r="K3322"/>
      <x:c r="L3322"/>
      <x:c r="M3322"/>
      <x:c r="N3322"/>
      <x:c r="O3322"/>
      <x:c r="P3322"/>
    </x:row>
    <x:row r="3323">
      <x:c r="A3323"/>
      <x:c r="B3323"/>
      <x:c r="C3323"/>
      <x:c r="D3323"/>
      <x:c r="E3323"/>
      <x:c r="F3323"/>
      <x:c r="G3323" s="56"/>
      <x:c r="H3323"/>
      <x:c r="I3323"/>
      <x:c r="J3323"/>
      <x:c r="K3323"/>
      <x:c r="L3323"/>
      <x:c r="M3323"/>
      <x:c r="N3323"/>
      <x:c r="O3323"/>
      <x:c r="P3323"/>
    </x:row>
    <x:row r="3324">
      <x:c r="A3324"/>
      <x:c r="B3324"/>
      <x:c r="C3324"/>
      <x:c r="D3324"/>
      <x:c r="E3324"/>
      <x:c r="F3324"/>
      <x:c r="G3324" s="56"/>
      <x:c r="H3324"/>
      <x:c r="I3324"/>
      <x:c r="J3324"/>
      <x:c r="K3324"/>
      <x:c r="L3324"/>
      <x:c r="M3324"/>
      <x:c r="N3324"/>
      <x:c r="O3324"/>
      <x:c r="P3324"/>
    </x:row>
    <x:row r="3325">
      <x:c r="A3325"/>
      <x:c r="B3325"/>
      <x:c r="C3325"/>
      <x:c r="D3325"/>
      <x:c r="E3325"/>
      <x:c r="F3325"/>
      <x:c r="G3325" s="56"/>
      <x:c r="H3325"/>
      <x:c r="I3325"/>
      <x:c r="J3325"/>
      <x:c r="K3325"/>
      <x:c r="L3325"/>
      <x:c r="M3325"/>
      <x:c r="N3325"/>
      <x:c r="O3325"/>
      <x:c r="P3325"/>
    </x:row>
    <x:row r="3326">
      <x:c r="A3326"/>
      <x:c r="B3326"/>
      <x:c r="C3326"/>
      <x:c r="D3326"/>
      <x:c r="E3326"/>
      <x:c r="F3326"/>
      <x:c r="G3326" s="56"/>
      <x:c r="H3326"/>
      <x:c r="I3326"/>
      <x:c r="J3326"/>
      <x:c r="K3326"/>
      <x:c r="L3326"/>
      <x:c r="M3326"/>
      <x:c r="N3326"/>
      <x:c r="O3326"/>
      <x:c r="P3326"/>
    </x:row>
    <x:row r="3327">
      <x:c r="A3327"/>
      <x:c r="B3327"/>
      <x:c r="C3327"/>
      <x:c r="D3327"/>
      <x:c r="E3327"/>
      <x:c r="F3327"/>
      <x:c r="G3327" s="56"/>
      <x:c r="H3327"/>
      <x:c r="I3327"/>
      <x:c r="J3327"/>
      <x:c r="K3327"/>
      <x:c r="L3327"/>
      <x:c r="M3327"/>
      <x:c r="N3327"/>
      <x:c r="O3327"/>
      <x:c r="P3327"/>
    </x:row>
    <x:row r="3328">
      <x:c r="A3328"/>
      <x:c r="B3328"/>
      <x:c r="C3328"/>
      <x:c r="D3328"/>
      <x:c r="E3328"/>
      <x:c r="F3328"/>
      <x:c r="G3328" s="56"/>
      <x:c r="H3328"/>
      <x:c r="I3328"/>
      <x:c r="J3328"/>
      <x:c r="K3328"/>
      <x:c r="L3328"/>
      <x:c r="M3328"/>
      <x:c r="N3328"/>
      <x:c r="O3328"/>
      <x:c r="P3328"/>
    </x:row>
    <x:row r="3329">
      <x:c r="A3329"/>
      <x:c r="B3329"/>
      <x:c r="C3329"/>
      <x:c r="D3329"/>
      <x:c r="E3329"/>
      <x:c r="F3329"/>
      <x:c r="G3329" s="56"/>
      <x:c r="H3329"/>
      <x:c r="I3329"/>
      <x:c r="J3329"/>
      <x:c r="K3329"/>
      <x:c r="L3329"/>
      <x:c r="M3329"/>
      <x:c r="N3329"/>
      <x:c r="O3329"/>
      <x:c r="P3329"/>
    </x:row>
    <x:row r="3330">
      <x:c r="A3330"/>
      <x:c r="B3330"/>
      <x:c r="C3330"/>
      <x:c r="D3330"/>
      <x:c r="E3330"/>
      <x:c r="F3330"/>
      <x:c r="G3330" s="56"/>
      <x:c r="H3330"/>
      <x:c r="I3330"/>
      <x:c r="J3330"/>
      <x:c r="K3330"/>
      <x:c r="L3330"/>
      <x:c r="M3330"/>
      <x:c r="N3330"/>
      <x:c r="O3330"/>
      <x:c r="P3330"/>
    </x:row>
    <x:row r="3331">
      <x:c r="A3331"/>
      <x:c r="B3331"/>
      <x:c r="C3331"/>
      <x:c r="D3331"/>
      <x:c r="E3331"/>
      <x:c r="F3331"/>
      <x:c r="G3331" s="56"/>
      <x:c r="H3331"/>
      <x:c r="I3331"/>
      <x:c r="J3331"/>
      <x:c r="K3331"/>
      <x:c r="L3331"/>
      <x:c r="M3331"/>
      <x:c r="N3331"/>
      <x:c r="O3331"/>
      <x:c r="P3331"/>
    </x:row>
    <x:row r="3332">
      <x:c r="A3332"/>
      <x:c r="B3332"/>
      <x:c r="C3332"/>
      <x:c r="D3332"/>
      <x:c r="E3332"/>
      <x:c r="F3332"/>
      <x:c r="G3332" s="56"/>
      <x:c r="H3332"/>
      <x:c r="I3332"/>
      <x:c r="J3332"/>
      <x:c r="K3332"/>
      <x:c r="L3332"/>
      <x:c r="M3332"/>
      <x:c r="N3332"/>
      <x:c r="O3332"/>
      <x:c r="P3332"/>
    </x:row>
    <x:row r="3333">
      <x:c r="A3333"/>
      <x:c r="B3333"/>
      <x:c r="C3333"/>
      <x:c r="D3333"/>
      <x:c r="E3333"/>
      <x:c r="F3333"/>
      <x:c r="G3333" s="56"/>
      <x:c r="H3333"/>
      <x:c r="I3333"/>
      <x:c r="J3333"/>
      <x:c r="K3333"/>
      <x:c r="L3333"/>
      <x:c r="M3333"/>
      <x:c r="N3333"/>
      <x:c r="O3333"/>
      <x:c r="P3333"/>
    </x:row>
    <x:row r="3334">
      <x:c r="A3334"/>
      <x:c r="B3334"/>
      <x:c r="C3334"/>
      <x:c r="D3334"/>
      <x:c r="E3334"/>
      <x:c r="F3334"/>
      <x:c r="G3334" s="56"/>
      <x:c r="H3334"/>
      <x:c r="I3334"/>
      <x:c r="J3334"/>
      <x:c r="K3334"/>
      <x:c r="L3334"/>
      <x:c r="M3334"/>
      <x:c r="N3334"/>
      <x:c r="O3334"/>
      <x:c r="P3334"/>
    </x:row>
    <x:row r="3335">
      <x:c r="A3335"/>
      <x:c r="B3335"/>
      <x:c r="C3335"/>
      <x:c r="D3335"/>
      <x:c r="E3335"/>
      <x:c r="F3335"/>
      <x:c r="G3335" s="56"/>
      <x:c r="H3335"/>
      <x:c r="I3335"/>
      <x:c r="J3335"/>
      <x:c r="K3335"/>
      <x:c r="L3335"/>
      <x:c r="M3335"/>
      <x:c r="N3335"/>
      <x:c r="O3335"/>
      <x:c r="P3335"/>
    </x:row>
    <x:row r="3336">
      <x:c r="A3336"/>
      <x:c r="B3336"/>
      <x:c r="C3336"/>
      <x:c r="D3336"/>
      <x:c r="E3336"/>
      <x:c r="F3336"/>
      <x:c r="G3336" s="56"/>
      <x:c r="H3336"/>
      <x:c r="I3336"/>
      <x:c r="J3336"/>
      <x:c r="K3336"/>
      <x:c r="L3336"/>
      <x:c r="M3336"/>
      <x:c r="N3336"/>
      <x:c r="O3336"/>
      <x:c r="P3336"/>
    </x:row>
    <x:row r="3337">
      <x:c r="A3337"/>
      <x:c r="B3337"/>
      <x:c r="C3337"/>
      <x:c r="D3337"/>
      <x:c r="E3337"/>
      <x:c r="F3337"/>
      <x:c r="G3337" s="56"/>
      <x:c r="H3337"/>
      <x:c r="I3337"/>
      <x:c r="J3337"/>
      <x:c r="K3337"/>
      <x:c r="L3337"/>
      <x:c r="M3337"/>
      <x:c r="N3337"/>
      <x:c r="O3337"/>
      <x:c r="P3337"/>
    </x:row>
    <x:row r="3338">
      <x:c r="A3338"/>
      <x:c r="B3338"/>
      <x:c r="C3338"/>
      <x:c r="D3338"/>
      <x:c r="E3338"/>
      <x:c r="F3338"/>
      <x:c r="G3338" s="56"/>
      <x:c r="H3338"/>
      <x:c r="I3338"/>
      <x:c r="J3338"/>
      <x:c r="K3338"/>
      <x:c r="L3338"/>
      <x:c r="M3338"/>
      <x:c r="N3338"/>
      <x:c r="O3338"/>
      <x:c r="P3338"/>
    </x:row>
    <x:row r="3339">
      <x:c r="A3339"/>
      <x:c r="B3339"/>
      <x:c r="C3339"/>
      <x:c r="D3339"/>
      <x:c r="E3339"/>
      <x:c r="F3339"/>
      <x:c r="G3339" s="56"/>
      <x:c r="H3339"/>
      <x:c r="I3339"/>
      <x:c r="J3339"/>
      <x:c r="K3339"/>
      <x:c r="L3339"/>
      <x:c r="M3339"/>
      <x:c r="N3339"/>
      <x:c r="O3339"/>
      <x:c r="P3339"/>
    </x:row>
    <x:row r="3340">
      <x:c r="A3340"/>
      <x:c r="B3340"/>
      <x:c r="C3340"/>
      <x:c r="D3340"/>
      <x:c r="E3340"/>
      <x:c r="F3340"/>
      <x:c r="G3340" s="56"/>
      <x:c r="H3340"/>
      <x:c r="I3340"/>
      <x:c r="J3340"/>
      <x:c r="K3340"/>
      <x:c r="L3340"/>
      <x:c r="M3340"/>
      <x:c r="N3340"/>
      <x:c r="O3340"/>
      <x:c r="P3340"/>
    </x:row>
    <x:row r="3341">
      <x:c r="A3341"/>
      <x:c r="B3341"/>
      <x:c r="C3341"/>
      <x:c r="D3341"/>
      <x:c r="E3341"/>
      <x:c r="F3341"/>
      <x:c r="G3341" s="56"/>
      <x:c r="H3341"/>
      <x:c r="I3341"/>
      <x:c r="J3341"/>
      <x:c r="K3341"/>
      <x:c r="L3341"/>
      <x:c r="M3341"/>
      <x:c r="N3341"/>
      <x:c r="O3341"/>
      <x:c r="P3341"/>
    </x:row>
    <x:row r="3342">
      <x:c r="A3342"/>
      <x:c r="B3342"/>
      <x:c r="C3342"/>
      <x:c r="D3342"/>
      <x:c r="E3342"/>
      <x:c r="F3342"/>
      <x:c r="G3342" s="56"/>
      <x:c r="H3342"/>
      <x:c r="I3342"/>
      <x:c r="J3342"/>
      <x:c r="K3342"/>
      <x:c r="L3342"/>
      <x:c r="M3342"/>
      <x:c r="N3342"/>
      <x:c r="O3342"/>
      <x:c r="P3342"/>
    </x:row>
    <x:row r="3343">
      <x:c r="A3343"/>
      <x:c r="B3343"/>
      <x:c r="C3343"/>
      <x:c r="D3343"/>
      <x:c r="E3343"/>
      <x:c r="F3343"/>
      <x:c r="G3343" s="56"/>
      <x:c r="H3343"/>
      <x:c r="I3343"/>
      <x:c r="J3343"/>
      <x:c r="K3343"/>
      <x:c r="L3343"/>
      <x:c r="M3343"/>
      <x:c r="N3343"/>
      <x:c r="O3343"/>
      <x:c r="P3343"/>
    </x:row>
    <x:row r="3344">
      <x:c r="A3344"/>
      <x:c r="B3344"/>
      <x:c r="C3344"/>
      <x:c r="D3344"/>
      <x:c r="E3344"/>
      <x:c r="F3344"/>
      <x:c r="G3344" s="56"/>
      <x:c r="H3344"/>
      <x:c r="I3344"/>
      <x:c r="J3344"/>
      <x:c r="K3344"/>
      <x:c r="L3344"/>
      <x:c r="M3344"/>
      <x:c r="N3344"/>
      <x:c r="O3344"/>
      <x:c r="P3344"/>
    </x:row>
    <x:row r="3345">
      <x:c r="A3345"/>
      <x:c r="B3345"/>
      <x:c r="C3345"/>
      <x:c r="D3345"/>
      <x:c r="E3345"/>
      <x:c r="F3345"/>
      <x:c r="G3345" s="56"/>
      <x:c r="H3345"/>
      <x:c r="I3345"/>
      <x:c r="J3345"/>
      <x:c r="K3345"/>
      <x:c r="L3345"/>
      <x:c r="M3345"/>
      <x:c r="N3345"/>
      <x:c r="O3345"/>
      <x:c r="P3345"/>
    </x:row>
    <x:row r="3346">
      <x:c r="A3346"/>
      <x:c r="B3346"/>
      <x:c r="C3346"/>
      <x:c r="D3346"/>
      <x:c r="E3346"/>
      <x:c r="F3346"/>
      <x:c r="G3346" s="56"/>
      <x:c r="H3346"/>
      <x:c r="I3346"/>
      <x:c r="J3346"/>
      <x:c r="K3346"/>
      <x:c r="L3346"/>
      <x:c r="M3346"/>
      <x:c r="N3346"/>
      <x:c r="O3346"/>
      <x:c r="P3346"/>
    </x:row>
    <x:row r="3347">
      <x:c r="A3347"/>
      <x:c r="B3347"/>
      <x:c r="C3347"/>
      <x:c r="D3347"/>
      <x:c r="E3347"/>
      <x:c r="F3347"/>
      <x:c r="G3347" s="56"/>
      <x:c r="H3347"/>
      <x:c r="I3347"/>
      <x:c r="J3347"/>
      <x:c r="K3347"/>
      <x:c r="L3347"/>
      <x:c r="M3347"/>
      <x:c r="N3347"/>
      <x:c r="O3347"/>
      <x:c r="P3347"/>
    </x:row>
    <x:row r="3348">
      <x:c r="A3348"/>
      <x:c r="B3348"/>
      <x:c r="C3348"/>
      <x:c r="D3348"/>
      <x:c r="E3348"/>
      <x:c r="F3348"/>
      <x:c r="G3348" s="56"/>
      <x:c r="H3348"/>
      <x:c r="I3348"/>
      <x:c r="J3348"/>
      <x:c r="K3348"/>
      <x:c r="L3348"/>
      <x:c r="M3348"/>
      <x:c r="N3348"/>
      <x:c r="O3348"/>
      <x:c r="P3348"/>
    </x:row>
    <x:row r="3349">
      <x:c r="A3349"/>
      <x:c r="B3349"/>
      <x:c r="C3349"/>
      <x:c r="D3349"/>
      <x:c r="E3349"/>
      <x:c r="F3349"/>
      <x:c r="G3349" s="56"/>
      <x:c r="H3349"/>
      <x:c r="I3349"/>
      <x:c r="J3349"/>
      <x:c r="K3349"/>
      <x:c r="L3349"/>
      <x:c r="M3349"/>
      <x:c r="N3349"/>
      <x:c r="O3349"/>
      <x:c r="P3349"/>
    </x:row>
    <x:row r="3350">
      <x:c r="A3350"/>
      <x:c r="B3350"/>
      <x:c r="C3350"/>
      <x:c r="D3350"/>
      <x:c r="E3350"/>
      <x:c r="F3350"/>
      <x:c r="G3350" s="56"/>
      <x:c r="H3350"/>
      <x:c r="I3350"/>
      <x:c r="J3350"/>
      <x:c r="K3350"/>
      <x:c r="L3350"/>
      <x:c r="M3350"/>
      <x:c r="N3350"/>
      <x:c r="O3350"/>
      <x:c r="P3350"/>
    </x:row>
    <x:row r="3351">
      <x:c r="A3351"/>
      <x:c r="B3351"/>
      <x:c r="C3351"/>
      <x:c r="D3351"/>
      <x:c r="E3351"/>
      <x:c r="F3351"/>
      <x:c r="G3351" s="56"/>
      <x:c r="H3351"/>
      <x:c r="I3351"/>
      <x:c r="J3351"/>
      <x:c r="K3351"/>
      <x:c r="L3351"/>
      <x:c r="M3351"/>
      <x:c r="N3351"/>
      <x:c r="O3351"/>
      <x:c r="P3351"/>
    </x:row>
    <x:row r="3352">
      <x:c r="A3352"/>
      <x:c r="B3352"/>
      <x:c r="C3352"/>
      <x:c r="D3352"/>
      <x:c r="E3352"/>
      <x:c r="F3352"/>
      <x:c r="G3352" s="56"/>
      <x:c r="H3352"/>
      <x:c r="I3352"/>
      <x:c r="J3352"/>
      <x:c r="K3352"/>
      <x:c r="L3352"/>
      <x:c r="M3352"/>
      <x:c r="N3352"/>
      <x:c r="O3352"/>
      <x:c r="P3352"/>
    </x:row>
    <x:row r="3353">
      <x:c r="A3353"/>
      <x:c r="B3353"/>
      <x:c r="C3353"/>
      <x:c r="D3353"/>
      <x:c r="E3353"/>
      <x:c r="F3353"/>
      <x:c r="G3353" s="56"/>
      <x:c r="H3353"/>
      <x:c r="I3353"/>
      <x:c r="J3353"/>
      <x:c r="K3353"/>
      <x:c r="L3353"/>
      <x:c r="M3353"/>
      <x:c r="N3353"/>
      <x:c r="O3353"/>
      <x:c r="P3353"/>
    </x:row>
    <x:row r="3354">
      <x:c r="A3354"/>
      <x:c r="B3354"/>
      <x:c r="C3354"/>
      <x:c r="D3354"/>
      <x:c r="E3354"/>
      <x:c r="F3354"/>
      <x:c r="G3354" s="56"/>
      <x:c r="H3354"/>
      <x:c r="I3354"/>
      <x:c r="J3354"/>
      <x:c r="K3354"/>
      <x:c r="L3354"/>
      <x:c r="M3354"/>
      <x:c r="N3354"/>
      <x:c r="O3354"/>
      <x:c r="P3354"/>
    </x:row>
    <x:row r="3355">
      <x:c r="A3355"/>
      <x:c r="B3355"/>
      <x:c r="C3355"/>
      <x:c r="D3355"/>
      <x:c r="E3355"/>
      <x:c r="F3355"/>
      <x:c r="G3355" s="56"/>
      <x:c r="H3355"/>
      <x:c r="I3355"/>
      <x:c r="J3355"/>
      <x:c r="K3355"/>
      <x:c r="L3355"/>
      <x:c r="M3355"/>
      <x:c r="N3355"/>
      <x:c r="O3355"/>
      <x:c r="P3355"/>
    </x:row>
    <x:row r="3356">
      <x:c r="A3356"/>
      <x:c r="B3356"/>
      <x:c r="C3356"/>
      <x:c r="D3356"/>
      <x:c r="E3356"/>
      <x:c r="F3356"/>
      <x:c r="G3356" s="56"/>
      <x:c r="H3356"/>
      <x:c r="I3356"/>
      <x:c r="J3356"/>
      <x:c r="K3356"/>
      <x:c r="L3356"/>
      <x:c r="M3356"/>
      <x:c r="N3356"/>
      <x:c r="O3356"/>
      <x:c r="P3356"/>
    </x:row>
    <x:row r="3357">
      <x:c r="A3357"/>
      <x:c r="B3357"/>
      <x:c r="C3357"/>
      <x:c r="D3357"/>
      <x:c r="E3357"/>
      <x:c r="F3357"/>
      <x:c r="G3357" s="56"/>
      <x:c r="H3357"/>
      <x:c r="I3357"/>
      <x:c r="J3357"/>
      <x:c r="K3357"/>
      <x:c r="L3357"/>
      <x:c r="M3357"/>
      <x:c r="N3357"/>
      <x:c r="O3357"/>
      <x:c r="P3357"/>
    </x:row>
    <x:row r="3358">
      <x:c r="A3358"/>
      <x:c r="B3358"/>
      <x:c r="C3358"/>
      <x:c r="D3358"/>
      <x:c r="E3358"/>
      <x:c r="F3358"/>
      <x:c r="G3358" s="56"/>
      <x:c r="H3358"/>
      <x:c r="I3358"/>
      <x:c r="J3358"/>
      <x:c r="K3358"/>
      <x:c r="L3358"/>
      <x:c r="M3358"/>
      <x:c r="N3358"/>
      <x:c r="O3358"/>
      <x:c r="P3358"/>
    </x:row>
    <x:row r="3359">
      <x:c r="A3359"/>
      <x:c r="B3359"/>
      <x:c r="C3359"/>
      <x:c r="D3359"/>
      <x:c r="E3359"/>
      <x:c r="F3359"/>
      <x:c r="G3359" s="56"/>
      <x:c r="H3359"/>
      <x:c r="I3359"/>
      <x:c r="J3359"/>
      <x:c r="K3359"/>
      <x:c r="L3359"/>
      <x:c r="M3359"/>
      <x:c r="N3359"/>
      <x:c r="O3359"/>
      <x:c r="P3359"/>
    </x:row>
    <x:row r="3360">
      <x:c r="A3360"/>
      <x:c r="B3360"/>
      <x:c r="C3360"/>
      <x:c r="D3360"/>
      <x:c r="E3360"/>
      <x:c r="F3360"/>
      <x:c r="G3360" s="56"/>
      <x:c r="H3360"/>
      <x:c r="I3360"/>
      <x:c r="J3360"/>
      <x:c r="K3360"/>
      <x:c r="L3360"/>
      <x:c r="M3360"/>
      <x:c r="N3360"/>
      <x:c r="O3360"/>
      <x:c r="P3360"/>
    </x:row>
    <x:row r="3361">
      <x:c r="A3361"/>
      <x:c r="B3361"/>
      <x:c r="C3361"/>
      <x:c r="D3361"/>
      <x:c r="E3361"/>
      <x:c r="F3361"/>
      <x:c r="G3361" s="56"/>
      <x:c r="H3361"/>
      <x:c r="I3361"/>
      <x:c r="J3361"/>
      <x:c r="K3361"/>
      <x:c r="L3361"/>
      <x:c r="M3361"/>
      <x:c r="N3361"/>
      <x:c r="O3361"/>
      <x:c r="P3361"/>
    </x:row>
    <x:row r="3362">
      <x:c r="A3362"/>
      <x:c r="B3362"/>
      <x:c r="C3362"/>
      <x:c r="D3362"/>
      <x:c r="E3362"/>
      <x:c r="F3362"/>
      <x:c r="G3362" s="56"/>
      <x:c r="H3362"/>
      <x:c r="I3362"/>
      <x:c r="J3362"/>
      <x:c r="K3362"/>
      <x:c r="L3362"/>
      <x:c r="M3362"/>
      <x:c r="N3362"/>
      <x:c r="O3362"/>
      <x:c r="P3362"/>
    </x:row>
    <x:row r="3363">
      <x:c r="A3363"/>
      <x:c r="B3363"/>
      <x:c r="C3363"/>
      <x:c r="D3363"/>
      <x:c r="E3363"/>
      <x:c r="F3363"/>
      <x:c r="G3363" s="56"/>
      <x:c r="H3363"/>
      <x:c r="I3363"/>
      <x:c r="J3363"/>
      <x:c r="K3363"/>
      <x:c r="L3363"/>
      <x:c r="M3363"/>
      <x:c r="N3363"/>
      <x:c r="O3363"/>
      <x:c r="P3363"/>
    </x:row>
    <x:row r="3364">
      <x:c r="A3364"/>
      <x:c r="B3364"/>
      <x:c r="C3364"/>
      <x:c r="D3364"/>
      <x:c r="E3364"/>
      <x:c r="F3364"/>
      <x:c r="G3364" s="56"/>
      <x:c r="H3364"/>
      <x:c r="I3364"/>
      <x:c r="J3364"/>
      <x:c r="K3364"/>
      <x:c r="L3364"/>
      <x:c r="M3364"/>
      <x:c r="N3364"/>
      <x:c r="O3364"/>
      <x:c r="P3364"/>
    </x:row>
    <x:row r="3365">
      <x:c r="A3365"/>
      <x:c r="B3365"/>
      <x:c r="C3365"/>
      <x:c r="D3365"/>
      <x:c r="E3365"/>
      <x:c r="F3365"/>
      <x:c r="G3365" s="56"/>
      <x:c r="H3365"/>
      <x:c r="I3365"/>
      <x:c r="J3365"/>
      <x:c r="K3365"/>
      <x:c r="L3365"/>
      <x:c r="M3365"/>
      <x:c r="N3365"/>
      <x:c r="O3365"/>
      <x:c r="P3365"/>
    </x:row>
    <x:row r="3366">
      <x:c r="A3366"/>
      <x:c r="B3366"/>
      <x:c r="C3366"/>
      <x:c r="D3366"/>
      <x:c r="E3366"/>
      <x:c r="F3366"/>
      <x:c r="G3366" s="56"/>
      <x:c r="H3366"/>
      <x:c r="I3366"/>
      <x:c r="J3366"/>
      <x:c r="K3366"/>
      <x:c r="L3366"/>
      <x:c r="M3366"/>
      <x:c r="N3366"/>
      <x:c r="O3366"/>
      <x:c r="P3366"/>
    </x:row>
    <x:row r="3367">
      <x:c r="A3367"/>
      <x:c r="B3367"/>
      <x:c r="C3367"/>
      <x:c r="D3367"/>
      <x:c r="E3367"/>
      <x:c r="F3367"/>
      <x:c r="G3367" s="56"/>
      <x:c r="H3367"/>
      <x:c r="I3367"/>
      <x:c r="J3367"/>
      <x:c r="K3367"/>
      <x:c r="L3367"/>
      <x:c r="M3367"/>
      <x:c r="N3367"/>
      <x:c r="O3367"/>
      <x:c r="P3367"/>
    </x:row>
    <x:row r="3368">
      <x:c r="A3368"/>
      <x:c r="B3368"/>
      <x:c r="C3368"/>
      <x:c r="D3368"/>
      <x:c r="E3368"/>
      <x:c r="F3368"/>
      <x:c r="G3368" s="56"/>
      <x:c r="H3368"/>
      <x:c r="I3368"/>
      <x:c r="J3368"/>
      <x:c r="K3368"/>
      <x:c r="L3368"/>
      <x:c r="M3368"/>
      <x:c r="N3368"/>
      <x:c r="O3368"/>
      <x:c r="P3368"/>
    </x:row>
    <x:row r="3369">
      <x:c r="A3369"/>
      <x:c r="B3369"/>
      <x:c r="C3369"/>
      <x:c r="D3369"/>
      <x:c r="E3369"/>
      <x:c r="F3369"/>
      <x:c r="G3369" s="56"/>
      <x:c r="H3369"/>
      <x:c r="I3369"/>
      <x:c r="J3369"/>
      <x:c r="K3369"/>
      <x:c r="L3369"/>
      <x:c r="M3369"/>
      <x:c r="N3369"/>
      <x:c r="O3369"/>
      <x:c r="P3369"/>
    </x:row>
    <x:row r="3370">
      <x:c r="A3370"/>
      <x:c r="B3370"/>
      <x:c r="C3370"/>
      <x:c r="D3370"/>
      <x:c r="E3370"/>
      <x:c r="F3370"/>
      <x:c r="G3370" s="56"/>
      <x:c r="H3370"/>
      <x:c r="I3370"/>
      <x:c r="J3370"/>
      <x:c r="K3370"/>
      <x:c r="L3370"/>
      <x:c r="M3370"/>
      <x:c r="N3370"/>
      <x:c r="O3370"/>
      <x:c r="P3370"/>
    </x:row>
    <x:row r="3371">
      <x:c r="A3371"/>
      <x:c r="B3371"/>
      <x:c r="C3371"/>
      <x:c r="D3371"/>
      <x:c r="E3371"/>
      <x:c r="F3371"/>
      <x:c r="G3371" s="56"/>
      <x:c r="H3371"/>
      <x:c r="I3371"/>
      <x:c r="J3371"/>
      <x:c r="K3371"/>
      <x:c r="L3371"/>
      <x:c r="M3371"/>
      <x:c r="N3371"/>
      <x:c r="O3371"/>
      <x:c r="P3371"/>
    </x:row>
    <x:row r="3372">
      <x:c r="A3372"/>
      <x:c r="B3372"/>
      <x:c r="C3372"/>
      <x:c r="D3372"/>
      <x:c r="E3372"/>
      <x:c r="F3372"/>
      <x:c r="G3372" s="56"/>
      <x:c r="H3372"/>
      <x:c r="I3372"/>
      <x:c r="J3372"/>
      <x:c r="K3372"/>
      <x:c r="L3372"/>
      <x:c r="M3372"/>
      <x:c r="N3372"/>
      <x:c r="O3372"/>
      <x:c r="P3372"/>
    </x:row>
    <x:row r="3373">
      <x:c r="A3373"/>
      <x:c r="B3373"/>
      <x:c r="C3373"/>
      <x:c r="D3373"/>
      <x:c r="E3373"/>
      <x:c r="F3373"/>
      <x:c r="G3373" s="56"/>
      <x:c r="H3373"/>
      <x:c r="I3373"/>
      <x:c r="J3373"/>
      <x:c r="K3373"/>
      <x:c r="L3373"/>
      <x:c r="M3373"/>
      <x:c r="N3373"/>
      <x:c r="O3373"/>
      <x:c r="P3373"/>
    </x:row>
    <x:row r="3374">
      <x:c r="A3374"/>
      <x:c r="B3374"/>
      <x:c r="C3374"/>
      <x:c r="D3374"/>
      <x:c r="E3374"/>
      <x:c r="F3374"/>
      <x:c r="G3374" s="56"/>
      <x:c r="H3374"/>
      <x:c r="I3374"/>
      <x:c r="J3374"/>
      <x:c r="K3374"/>
      <x:c r="L3374"/>
      <x:c r="M3374"/>
      <x:c r="N3374"/>
      <x:c r="O3374"/>
      <x:c r="P3374"/>
    </x:row>
    <x:row r="3375">
      <x:c r="A3375"/>
      <x:c r="B3375"/>
      <x:c r="C3375"/>
      <x:c r="D3375"/>
      <x:c r="E3375"/>
      <x:c r="F3375"/>
      <x:c r="G3375" s="56"/>
      <x:c r="H3375"/>
      <x:c r="I3375"/>
      <x:c r="J3375"/>
      <x:c r="K3375"/>
      <x:c r="L3375"/>
      <x:c r="M3375"/>
      <x:c r="N3375"/>
      <x:c r="O3375"/>
      <x:c r="P3375"/>
    </x:row>
    <x:row r="3376">
      <x:c r="A3376"/>
      <x:c r="B3376"/>
      <x:c r="C3376"/>
      <x:c r="D3376"/>
      <x:c r="E3376"/>
      <x:c r="F3376"/>
      <x:c r="G3376" s="56"/>
      <x:c r="H3376"/>
      <x:c r="I3376"/>
      <x:c r="J3376"/>
      <x:c r="K3376"/>
      <x:c r="L3376"/>
      <x:c r="M3376"/>
      <x:c r="N3376"/>
      <x:c r="O3376"/>
      <x:c r="P3376"/>
    </x:row>
    <x:row r="3377">
      <x:c r="A3377"/>
      <x:c r="B3377"/>
      <x:c r="C3377"/>
      <x:c r="D3377"/>
      <x:c r="E3377"/>
      <x:c r="F3377"/>
      <x:c r="G3377" s="56"/>
      <x:c r="H3377"/>
      <x:c r="I3377"/>
      <x:c r="J3377"/>
      <x:c r="K3377"/>
      <x:c r="L3377"/>
      <x:c r="M3377"/>
      <x:c r="N3377"/>
      <x:c r="O3377"/>
      <x:c r="P3377"/>
    </x:row>
    <x:row r="3378">
      <x:c r="A3378"/>
      <x:c r="B3378"/>
      <x:c r="C3378"/>
      <x:c r="D3378"/>
      <x:c r="E3378"/>
      <x:c r="F3378"/>
      <x:c r="G3378" s="56"/>
      <x:c r="H3378"/>
      <x:c r="I3378"/>
      <x:c r="J3378"/>
      <x:c r="K3378"/>
      <x:c r="L3378"/>
      <x:c r="M3378"/>
      <x:c r="N3378"/>
      <x:c r="O3378"/>
      <x:c r="P3378"/>
    </x:row>
    <x:row r="3379">
      <x:c r="A3379"/>
      <x:c r="B3379"/>
      <x:c r="C3379"/>
      <x:c r="D3379"/>
      <x:c r="E3379"/>
      <x:c r="F3379"/>
      <x:c r="G3379" s="56"/>
      <x:c r="H3379"/>
      <x:c r="I3379"/>
      <x:c r="J3379"/>
      <x:c r="K3379"/>
      <x:c r="L3379"/>
      <x:c r="M3379"/>
      <x:c r="N3379"/>
      <x:c r="O3379"/>
      <x:c r="P3379"/>
    </x:row>
    <x:row r="3380">
      <x:c r="A3380"/>
      <x:c r="B3380"/>
      <x:c r="C3380"/>
      <x:c r="D3380"/>
      <x:c r="E3380"/>
      <x:c r="F3380"/>
      <x:c r="G3380" s="56"/>
      <x:c r="H3380"/>
      <x:c r="I3380"/>
      <x:c r="J3380"/>
      <x:c r="K3380"/>
      <x:c r="L3380"/>
      <x:c r="M3380"/>
      <x:c r="N3380"/>
      <x:c r="O3380"/>
      <x:c r="P3380"/>
    </x:row>
    <x:row r="3381">
      <x:c r="A3381"/>
      <x:c r="B3381"/>
      <x:c r="C3381"/>
      <x:c r="D3381"/>
      <x:c r="E3381"/>
      <x:c r="F3381"/>
      <x:c r="G3381" s="56"/>
      <x:c r="H3381"/>
      <x:c r="I3381"/>
      <x:c r="J3381"/>
      <x:c r="K3381"/>
      <x:c r="L3381"/>
      <x:c r="M3381"/>
      <x:c r="N3381"/>
      <x:c r="O3381"/>
      <x:c r="P3381"/>
    </x:row>
    <x:row r="3382">
      <x:c r="A3382"/>
      <x:c r="B3382"/>
      <x:c r="C3382"/>
      <x:c r="D3382"/>
      <x:c r="E3382"/>
      <x:c r="F3382"/>
      <x:c r="G3382" s="56"/>
      <x:c r="H3382"/>
      <x:c r="I3382"/>
      <x:c r="J3382"/>
      <x:c r="K3382"/>
      <x:c r="L3382"/>
      <x:c r="M3382"/>
      <x:c r="N3382"/>
      <x:c r="O3382"/>
      <x:c r="P3382"/>
    </x:row>
    <x:row r="3383">
      <x:c r="A3383"/>
      <x:c r="B3383"/>
      <x:c r="C3383"/>
      <x:c r="D3383"/>
      <x:c r="E3383"/>
      <x:c r="F3383"/>
      <x:c r="G3383" s="56"/>
      <x:c r="H3383"/>
      <x:c r="I3383"/>
      <x:c r="J3383"/>
      <x:c r="K3383"/>
      <x:c r="L3383"/>
      <x:c r="M3383"/>
      <x:c r="N3383"/>
      <x:c r="O3383"/>
      <x:c r="P3383"/>
    </x:row>
    <x:row r="3384">
      <x:c r="A3384"/>
      <x:c r="B3384"/>
      <x:c r="C3384"/>
      <x:c r="D3384"/>
      <x:c r="E3384"/>
      <x:c r="F3384"/>
      <x:c r="G3384" s="56"/>
      <x:c r="H3384"/>
      <x:c r="I3384"/>
      <x:c r="J3384"/>
      <x:c r="K3384"/>
      <x:c r="L3384"/>
      <x:c r="M3384"/>
      <x:c r="N3384"/>
      <x:c r="O3384"/>
      <x:c r="P3384"/>
    </x:row>
    <x:row r="3385">
      <x:c r="A3385"/>
      <x:c r="B3385"/>
      <x:c r="C3385"/>
      <x:c r="D3385"/>
      <x:c r="E3385"/>
      <x:c r="F3385"/>
      <x:c r="G3385" s="56"/>
      <x:c r="H3385"/>
      <x:c r="I3385"/>
      <x:c r="J3385"/>
      <x:c r="K3385"/>
      <x:c r="L3385"/>
      <x:c r="M3385"/>
      <x:c r="N3385"/>
      <x:c r="O3385"/>
      <x:c r="P3385"/>
    </x:row>
    <x:row r="3386">
      <x:c r="A3386"/>
      <x:c r="B3386"/>
      <x:c r="C3386"/>
      <x:c r="D3386"/>
      <x:c r="E3386"/>
      <x:c r="F3386"/>
      <x:c r="G3386" s="56"/>
      <x:c r="H3386"/>
      <x:c r="I3386"/>
      <x:c r="J3386"/>
      <x:c r="K3386"/>
      <x:c r="L3386"/>
      <x:c r="M3386"/>
      <x:c r="N3386"/>
      <x:c r="O3386"/>
      <x:c r="P3386"/>
    </x:row>
    <x:row r="3387">
      <x:c r="A3387"/>
      <x:c r="B3387"/>
      <x:c r="C3387"/>
      <x:c r="D3387"/>
      <x:c r="E3387"/>
      <x:c r="F3387"/>
      <x:c r="G3387" s="56"/>
      <x:c r="H3387"/>
      <x:c r="I3387"/>
      <x:c r="J3387"/>
      <x:c r="K3387"/>
      <x:c r="L3387"/>
      <x:c r="M3387"/>
      <x:c r="N3387"/>
      <x:c r="O3387"/>
      <x:c r="P3387"/>
    </x:row>
    <x:row r="3388">
      <x:c r="A3388"/>
      <x:c r="B3388"/>
      <x:c r="C3388"/>
      <x:c r="D3388"/>
      <x:c r="E3388"/>
      <x:c r="F3388"/>
      <x:c r="G3388" s="56"/>
      <x:c r="H3388"/>
      <x:c r="I3388"/>
      <x:c r="J3388"/>
      <x:c r="K3388"/>
      <x:c r="L3388"/>
      <x:c r="M3388"/>
      <x:c r="N3388"/>
      <x:c r="O3388"/>
      <x:c r="P3388"/>
    </x:row>
    <x:row r="3389">
      <x:c r="A3389"/>
      <x:c r="B3389"/>
      <x:c r="C3389"/>
      <x:c r="D3389"/>
      <x:c r="E3389"/>
      <x:c r="F3389"/>
      <x:c r="G3389" s="56"/>
      <x:c r="H3389"/>
      <x:c r="I3389"/>
      <x:c r="J3389"/>
      <x:c r="K3389"/>
      <x:c r="L3389"/>
      <x:c r="M3389"/>
      <x:c r="N3389"/>
      <x:c r="O3389"/>
      <x:c r="P3389"/>
    </x:row>
    <x:row r="3390">
      <x:c r="A3390"/>
      <x:c r="B3390"/>
      <x:c r="C3390"/>
      <x:c r="D3390"/>
      <x:c r="E3390"/>
      <x:c r="F3390"/>
      <x:c r="G3390" s="56"/>
      <x:c r="H3390"/>
      <x:c r="I3390"/>
      <x:c r="J3390"/>
      <x:c r="K3390"/>
      <x:c r="L3390"/>
      <x:c r="M3390"/>
      <x:c r="N3390"/>
      <x:c r="O3390"/>
      <x:c r="P3390"/>
    </x:row>
    <x:row r="3391">
      <x:c r="A3391"/>
      <x:c r="B3391"/>
      <x:c r="C3391"/>
      <x:c r="D3391"/>
      <x:c r="E3391"/>
      <x:c r="F3391"/>
      <x:c r="G3391" s="56"/>
      <x:c r="H3391"/>
      <x:c r="I3391"/>
      <x:c r="J3391"/>
      <x:c r="K3391"/>
      <x:c r="L3391"/>
      <x:c r="M3391"/>
      <x:c r="N3391"/>
      <x:c r="O3391"/>
      <x:c r="P3391"/>
    </x:row>
    <x:row r="3392">
      <x:c r="A3392"/>
      <x:c r="B3392"/>
      <x:c r="C3392"/>
      <x:c r="D3392"/>
      <x:c r="E3392"/>
      <x:c r="F3392"/>
      <x:c r="G3392" s="56"/>
      <x:c r="H3392"/>
      <x:c r="I3392"/>
      <x:c r="J3392"/>
      <x:c r="K3392"/>
      <x:c r="L3392"/>
      <x:c r="M3392"/>
      <x:c r="N3392"/>
      <x:c r="O3392"/>
      <x:c r="P3392"/>
    </x:row>
    <x:row r="3393">
      <x:c r="A3393"/>
      <x:c r="B3393"/>
      <x:c r="C3393"/>
      <x:c r="D3393"/>
      <x:c r="E3393"/>
      <x:c r="F3393"/>
      <x:c r="G3393" s="56"/>
      <x:c r="H3393"/>
      <x:c r="I3393"/>
      <x:c r="J3393"/>
      <x:c r="K3393"/>
      <x:c r="L3393"/>
      <x:c r="M3393"/>
      <x:c r="N3393"/>
      <x:c r="O3393"/>
      <x:c r="P3393"/>
    </x:row>
    <x:row r="3394">
      <x:c r="A3394"/>
      <x:c r="B3394"/>
      <x:c r="C3394"/>
      <x:c r="D3394"/>
      <x:c r="E3394"/>
      <x:c r="F3394"/>
      <x:c r="G3394" s="56"/>
      <x:c r="H3394"/>
      <x:c r="I3394"/>
      <x:c r="J3394"/>
      <x:c r="K3394"/>
      <x:c r="L3394"/>
      <x:c r="M3394"/>
      <x:c r="N3394"/>
      <x:c r="O3394"/>
      <x:c r="P3394"/>
    </x:row>
    <x:row r="3395">
      <x:c r="A3395"/>
      <x:c r="B3395"/>
      <x:c r="C3395"/>
      <x:c r="D3395"/>
      <x:c r="E3395"/>
      <x:c r="F3395"/>
      <x:c r="G3395" s="56"/>
      <x:c r="H3395"/>
      <x:c r="I3395"/>
      <x:c r="J3395"/>
      <x:c r="K3395"/>
      <x:c r="L3395"/>
      <x:c r="M3395"/>
      <x:c r="N3395"/>
      <x:c r="O3395"/>
      <x:c r="P3395"/>
    </x:row>
    <x:row r="3396">
      <x:c r="A3396"/>
      <x:c r="B3396"/>
      <x:c r="C3396"/>
      <x:c r="D3396"/>
      <x:c r="E3396"/>
      <x:c r="F3396"/>
      <x:c r="G3396" s="56"/>
      <x:c r="H3396"/>
      <x:c r="I3396"/>
      <x:c r="J3396"/>
      <x:c r="K3396"/>
      <x:c r="L3396"/>
      <x:c r="M3396"/>
      <x:c r="N3396"/>
      <x:c r="O3396"/>
      <x:c r="P3396"/>
    </x:row>
    <x:row r="3397">
      <x:c r="A3397"/>
      <x:c r="B3397"/>
      <x:c r="C3397"/>
      <x:c r="D3397"/>
      <x:c r="E3397"/>
      <x:c r="F3397"/>
      <x:c r="G3397" s="56"/>
      <x:c r="H3397"/>
      <x:c r="I3397"/>
      <x:c r="J3397"/>
      <x:c r="K3397"/>
      <x:c r="L3397"/>
      <x:c r="M3397"/>
      <x:c r="N3397"/>
      <x:c r="O3397"/>
      <x:c r="P3397"/>
    </x:row>
    <x:row r="3398">
      <x:c r="A3398"/>
      <x:c r="B3398"/>
      <x:c r="C3398"/>
      <x:c r="D3398"/>
      <x:c r="E3398"/>
      <x:c r="F3398"/>
      <x:c r="G3398" s="56"/>
      <x:c r="H3398"/>
      <x:c r="I3398"/>
      <x:c r="J3398"/>
      <x:c r="K3398"/>
      <x:c r="L3398"/>
      <x:c r="M3398"/>
      <x:c r="N3398"/>
      <x:c r="O3398"/>
      <x:c r="P3398"/>
    </x:row>
    <x:row r="3399">
      <x:c r="A3399"/>
      <x:c r="B3399"/>
      <x:c r="C3399"/>
      <x:c r="D3399"/>
      <x:c r="E3399"/>
      <x:c r="F3399"/>
      <x:c r="G3399" s="56"/>
      <x:c r="H3399"/>
      <x:c r="I3399"/>
      <x:c r="J3399"/>
      <x:c r="K3399"/>
      <x:c r="L3399"/>
      <x:c r="M3399"/>
      <x:c r="N3399"/>
      <x:c r="O3399"/>
      <x:c r="P3399"/>
    </x:row>
    <x:row r="3400">
      <x:c r="A3400"/>
      <x:c r="B3400"/>
      <x:c r="C3400"/>
      <x:c r="D3400"/>
      <x:c r="E3400"/>
      <x:c r="F3400"/>
      <x:c r="G3400" s="56"/>
      <x:c r="H3400"/>
      <x:c r="I3400"/>
      <x:c r="J3400"/>
      <x:c r="K3400"/>
      <x:c r="L3400"/>
      <x:c r="M3400"/>
      <x:c r="N3400"/>
      <x:c r="O3400"/>
      <x:c r="P3400"/>
    </x:row>
    <x:row r="3401">
      <x:c r="A3401"/>
      <x:c r="B3401"/>
      <x:c r="C3401"/>
      <x:c r="D3401"/>
      <x:c r="E3401"/>
      <x:c r="F3401"/>
      <x:c r="G3401" s="56"/>
      <x:c r="H3401"/>
      <x:c r="I3401"/>
      <x:c r="J3401"/>
      <x:c r="K3401"/>
      <x:c r="L3401"/>
      <x:c r="M3401"/>
      <x:c r="N3401"/>
      <x:c r="O3401"/>
      <x:c r="P3401"/>
    </x:row>
    <x:row r="3402">
      <x:c r="A3402"/>
      <x:c r="B3402"/>
      <x:c r="C3402"/>
      <x:c r="D3402"/>
      <x:c r="E3402"/>
      <x:c r="F3402"/>
      <x:c r="G3402" s="56"/>
      <x:c r="H3402"/>
      <x:c r="I3402"/>
      <x:c r="J3402"/>
      <x:c r="K3402"/>
      <x:c r="L3402"/>
      <x:c r="M3402"/>
      <x:c r="N3402"/>
      <x:c r="O3402"/>
      <x:c r="P3402"/>
    </x:row>
    <x:row r="3403">
      <x:c r="A3403"/>
      <x:c r="B3403"/>
      <x:c r="C3403"/>
      <x:c r="D3403"/>
      <x:c r="E3403"/>
      <x:c r="F3403"/>
      <x:c r="G3403" s="56"/>
      <x:c r="H3403"/>
      <x:c r="I3403"/>
      <x:c r="J3403"/>
      <x:c r="K3403"/>
      <x:c r="L3403"/>
      <x:c r="M3403"/>
      <x:c r="N3403"/>
      <x:c r="O3403"/>
      <x:c r="P3403"/>
    </x:row>
    <x:row r="3404">
      <x:c r="A3404"/>
      <x:c r="B3404"/>
      <x:c r="C3404"/>
      <x:c r="D3404"/>
      <x:c r="E3404"/>
      <x:c r="F3404"/>
      <x:c r="G3404" s="56"/>
      <x:c r="H3404"/>
      <x:c r="I3404"/>
      <x:c r="J3404"/>
      <x:c r="K3404"/>
      <x:c r="L3404"/>
      <x:c r="M3404"/>
      <x:c r="N3404"/>
      <x:c r="O3404"/>
      <x:c r="P3404"/>
    </x:row>
    <x:row r="3405">
      <x:c r="A3405"/>
      <x:c r="B3405"/>
      <x:c r="C3405"/>
      <x:c r="D3405"/>
      <x:c r="E3405"/>
      <x:c r="F3405"/>
      <x:c r="G3405" s="56"/>
      <x:c r="H3405"/>
      <x:c r="I3405"/>
      <x:c r="J3405"/>
      <x:c r="K3405"/>
      <x:c r="L3405"/>
      <x:c r="M3405"/>
      <x:c r="N3405"/>
      <x:c r="O3405"/>
      <x:c r="P3405"/>
    </x:row>
    <x:row r="3406">
      <x:c r="A3406"/>
      <x:c r="B3406"/>
      <x:c r="C3406"/>
      <x:c r="D3406"/>
      <x:c r="E3406"/>
      <x:c r="F3406"/>
      <x:c r="G3406" s="56"/>
      <x:c r="H3406"/>
      <x:c r="I3406"/>
      <x:c r="J3406"/>
      <x:c r="K3406"/>
      <x:c r="L3406"/>
      <x:c r="M3406"/>
      <x:c r="N3406"/>
      <x:c r="O3406"/>
      <x:c r="P3406"/>
    </x:row>
    <x:row r="3407">
      <x:c r="A3407"/>
      <x:c r="B3407"/>
      <x:c r="C3407"/>
      <x:c r="D3407"/>
      <x:c r="E3407"/>
      <x:c r="F3407"/>
      <x:c r="G3407" s="56"/>
      <x:c r="H3407"/>
      <x:c r="I3407"/>
      <x:c r="J3407"/>
      <x:c r="K3407"/>
      <x:c r="L3407"/>
      <x:c r="M3407"/>
      <x:c r="N3407"/>
      <x:c r="O3407"/>
      <x:c r="P3407"/>
    </x:row>
    <x:row r="3408">
      <x:c r="A3408"/>
      <x:c r="B3408"/>
      <x:c r="C3408"/>
      <x:c r="D3408"/>
      <x:c r="E3408"/>
      <x:c r="F3408"/>
      <x:c r="G3408" s="56"/>
      <x:c r="H3408"/>
      <x:c r="I3408"/>
      <x:c r="J3408"/>
      <x:c r="K3408"/>
      <x:c r="L3408"/>
      <x:c r="M3408"/>
      <x:c r="N3408"/>
      <x:c r="O3408"/>
      <x:c r="P3408"/>
    </x:row>
    <x:row r="3409">
      <x:c r="A3409"/>
      <x:c r="B3409"/>
      <x:c r="C3409"/>
      <x:c r="D3409"/>
      <x:c r="E3409"/>
      <x:c r="F3409"/>
      <x:c r="G3409" s="56"/>
      <x:c r="H3409"/>
      <x:c r="I3409"/>
      <x:c r="J3409"/>
      <x:c r="K3409"/>
      <x:c r="L3409"/>
      <x:c r="M3409"/>
      <x:c r="N3409"/>
      <x:c r="O3409"/>
      <x:c r="P3409"/>
    </x:row>
    <x:row r="3410">
      <x:c r="A3410"/>
      <x:c r="B3410"/>
      <x:c r="C3410"/>
      <x:c r="D3410"/>
      <x:c r="E3410"/>
      <x:c r="F3410"/>
      <x:c r="G3410" s="56"/>
      <x:c r="H3410"/>
      <x:c r="I3410"/>
      <x:c r="J3410"/>
      <x:c r="K3410"/>
      <x:c r="L3410"/>
      <x:c r="M3410"/>
      <x:c r="N3410"/>
      <x:c r="O3410"/>
      <x:c r="P3410"/>
    </x:row>
    <x:row r="3411">
      <x:c r="A3411"/>
      <x:c r="B3411"/>
      <x:c r="C3411"/>
      <x:c r="D3411"/>
      <x:c r="E3411"/>
      <x:c r="F3411"/>
      <x:c r="G3411" s="56"/>
      <x:c r="H3411"/>
      <x:c r="I3411"/>
      <x:c r="J3411"/>
      <x:c r="K3411"/>
      <x:c r="L3411"/>
      <x:c r="M3411"/>
      <x:c r="N3411"/>
      <x:c r="O3411"/>
      <x:c r="P3411"/>
    </x:row>
    <x:row r="3412">
      <x:c r="A3412"/>
      <x:c r="B3412"/>
      <x:c r="C3412"/>
      <x:c r="D3412"/>
      <x:c r="E3412"/>
      <x:c r="F3412"/>
      <x:c r="G3412" s="56"/>
      <x:c r="H3412"/>
      <x:c r="I3412"/>
      <x:c r="J3412"/>
      <x:c r="K3412"/>
      <x:c r="L3412"/>
      <x:c r="M3412"/>
      <x:c r="N3412"/>
      <x:c r="O3412"/>
      <x:c r="P3412"/>
    </x:row>
    <x:row r="3413">
      <x:c r="A3413"/>
      <x:c r="B3413"/>
      <x:c r="C3413"/>
      <x:c r="D3413"/>
      <x:c r="E3413"/>
      <x:c r="F3413"/>
      <x:c r="G3413" s="56"/>
      <x:c r="H3413"/>
      <x:c r="I3413"/>
      <x:c r="J3413"/>
      <x:c r="K3413"/>
      <x:c r="L3413"/>
      <x:c r="M3413"/>
      <x:c r="N3413"/>
      <x:c r="O3413"/>
      <x:c r="P3413"/>
    </x:row>
    <x:row r="3414">
      <x:c r="A3414"/>
      <x:c r="B3414"/>
      <x:c r="C3414"/>
      <x:c r="D3414"/>
      <x:c r="E3414"/>
      <x:c r="F3414"/>
      <x:c r="G3414" s="56"/>
      <x:c r="H3414"/>
      <x:c r="I3414"/>
      <x:c r="J3414"/>
      <x:c r="K3414"/>
      <x:c r="L3414"/>
      <x:c r="M3414"/>
      <x:c r="N3414"/>
      <x:c r="O3414"/>
      <x:c r="P3414"/>
    </x:row>
    <x:row r="3415">
      <x:c r="A3415"/>
      <x:c r="B3415"/>
      <x:c r="C3415"/>
      <x:c r="D3415"/>
      <x:c r="E3415"/>
      <x:c r="F3415"/>
      <x:c r="G3415" s="56"/>
      <x:c r="H3415"/>
      <x:c r="I3415"/>
      <x:c r="J3415"/>
      <x:c r="K3415"/>
      <x:c r="L3415"/>
      <x:c r="M3415"/>
      <x:c r="N3415"/>
      <x:c r="O3415"/>
      <x:c r="P3415"/>
    </x:row>
    <x:row r="3416">
      <x:c r="A3416"/>
      <x:c r="B3416"/>
      <x:c r="C3416"/>
      <x:c r="D3416"/>
      <x:c r="E3416"/>
      <x:c r="F3416"/>
      <x:c r="G3416" s="56"/>
      <x:c r="H3416"/>
      <x:c r="I3416"/>
      <x:c r="J3416"/>
      <x:c r="K3416"/>
      <x:c r="L3416"/>
      <x:c r="M3416"/>
      <x:c r="N3416"/>
      <x:c r="O3416"/>
      <x:c r="P3416"/>
    </x:row>
    <x:row r="3417">
      <x:c r="A3417"/>
      <x:c r="B3417"/>
      <x:c r="C3417"/>
      <x:c r="D3417"/>
      <x:c r="E3417"/>
      <x:c r="F3417"/>
      <x:c r="G3417" s="56"/>
      <x:c r="H3417"/>
      <x:c r="I3417"/>
      <x:c r="J3417"/>
      <x:c r="K3417"/>
      <x:c r="L3417"/>
      <x:c r="M3417"/>
      <x:c r="N3417"/>
      <x:c r="O3417"/>
      <x:c r="P3417"/>
    </x:row>
    <x:row r="3418">
      <x:c r="A3418"/>
      <x:c r="B3418"/>
      <x:c r="C3418"/>
      <x:c r="D3418"/>
      <x:c r="E3418"/>
      <x:c r="F3418"/>
      <x:c r="G3418" s="56"/>
      <x:c r="H3418"/>
      <x:c r="I3418"/>
      <x:c r="J3418"/>
      <x:c r="K3418"/>
      <x:c r="L3418"/>
      <x:c r="M3418"/>
      <x:c r="N3418"/>
      <x:c r="O3418"/>
      <x:c r="P3418"/>
    </x:row>
    <x:row r="3419">
      <x:c r="A3419"/>
      <x:c r="B3419"/>
      <x:c r="C3419"/>
      <x:c r="D3419"/>
      <x:c r="E3419"/>
      <x:c r="F3419"/>
      <x:c r="G3419" s="56"/>
      <x:c r="H3419"/>
      <x:c r="I3419"/>
      <x:c r="J3419"/>
      <x:c r="K3419"/>
      <x:c r="L3419"/>
      <x:c r="M3419"/>
      <x:c r="N3419"/>
      <x:c r="O3419"/>
      <x:c r="P3419"/>
    </x:row>
    <x:row r="3420">
      <x:c r="A3420"/>
      <x:c r="B3420"/>
      <x:c r="C3420"/>
      <x:c r="D3420"/>
      <x:c r="E3420"/>
      <x:c r="F3420"/>
      <x:c r="G3420" s="56"/>
      <x:c r="H3420"/>
      <x:c r="I3420"/>
      <x:c r="J3420"/>
      <x:c r="K3420"/>
      <x:c r="L3420"/>
      <x:c r="M3420"/>
      <x:c r="N3420"/>
      <x:c r="O3420"/>
      <x:c r="P3420"/>
    </x:row>
    <x:row r="3421">
      <x:c r="A3421"/>
      <x:c r="B3421"/>
      <x:c r="C3421"/>
      <x:c r="D3421"/>
      <x:c r="E3421"/>
      <x:c r="F3421"/>
      <x:c r="G3421" s="56"/>
      <x:c r="H3421"/>
      <x:c r="I3421"/>
      <x:c r="J3421"/>
      <x:c r="K3421"/>
      <x:c r="L3421"/>
      <x:c r="M3421"/>
      <x:c r="N3421"/>
      <x:c r="O3421"/>
      <x:c r="P3421"/>
    </x:row>
    <x:row r="3422">
      <x:c r="A3422"/>
      <x:c r="B3422"/>
      <x:c r="C3422"/>
      <x:c r="D3422"/>
      <x:c r="E3422"/>
      <x:c r="F3422"/>
      <x:c r="G3422" s="56"/>
      <x:c r="H3422"/>
      <x:c r="I3422"/>
      <x:c r="J3422"/>
      <x:c r="K3422"/>
      <x:c r="L3422"/>
      <x:c r="M3422"/>
      <x:c r="N3422"/>
      <x:c r="O3422"/>
      <x:c r="P3422"/>
    </x:row>
    <x:row r="3423">
      <x:c r="A3423"/>
      <x:c r="B3423"/>
      <x:c r="C3423"/>
      <x:c r="D3423"/>
      <x:c r="E3423"/>
      <x:c r="F3423"/>
      <x:c r="G3423" s="56"/>
      <x:c r="H3423"/>
      <x:c r="I3423"/>
      <x:c r="J3423"/>
      <x:c r="K3423"/>
      <x:c r="L3423"/>
      <x:c r="M3423"/>
      <x:c r="N3423"/>
      <x:c r="O3423"/>
      <x:c r="P3423"/>
    </x:row>
    <x:row r="3424">
      <x:c r="A3424"/>
      <x:c r="B3424"/>
      <x:c r="C3424"/>
      <x:c r="D3424"/>
      <x:c r="E3424"/>
      <x:c r="F3424"/>
      <x:c r="G3424" s="56"/>
      <x:c r="H3424"/>
      <x:c r="I3424"/>
      <x:c r="J3424"/>
      <x:c r="K3424"/>
      <x:c r="L3424"/>
      <x:c r="M3424"/>
      <x:c r="N3424"/>
      <x:c r="O3424"/>
      <x:c r="P3424"/>
    </x:row>
    <x:row r="3425">
      <x:c r="A3425"/>
      <x:c r="B3425"/>
      <x:c r="C3425"/>
      <x:c r="D3425"/>
      <x:c r="E3425"/>
      <x:c r="F3425"/>
      <x:c r="G3425" s="56"/>
      <x:c r="H3425"/>
      <x:c r="I3425"/>
      <x:c r="J3425"/>
      <x:c r="K3425"/>
      <x:c r="L3425"/>
      <x:c r="M3425"/>
      <x:c r="N3425"/>
      <x:c r="O3425"/>
      <x:c r="P3425"/>
    </x:row>
    <x:row r="3426">
      <x:c r="A3426"/>
      <x:c r="B3426"/>
      <x:c r="C3426"/>
      <x:c r="D3426"/>
      <x:c r="E3426"/>
      <x:c r="F3426"/>
      <x:c r="G3426" s="56"/>
      <x:c r="H3426"/>
      <x:c r="I3426"/>
      <x:c r="J3426"/>
      <x:c r="K3426"/>
      <x:c r="L3426"/>
      <x:c r="M3426"/>
      <x:c r="N3426"/>
      <x:c r="O3426"/>
      <x:c r="P3426"/>
    </x:row>
    <x:row r="3427">
      <x:c r="A3427"/>
      <x:c r="B3427"/>
      <x:c r="C3427"/>
      <x:c r="D3427"/>
      <x:c r="E3427"/>
      <x:c r="F3427"/>
      <x:c r="G3427" s="56"/>
      <x:c r="H3427"/>
      <x:c r="I3427"/>
      <x:c r="J3427"/>
      <x:c r="K3427"/>
      <x:c r="L3427"/>
      <x:c r="M3427"/>
      <x:c r="N3427"/>
      <x:c r="O3427"/>
      <x:c r="P3427"/>
    </x:row>
    <x:row r="3428">
      <x:c r="A3428"/>
      <x:c r="B3428"/>
      <x:c r="C3428"/>
      <x:c r="D3428"/>
      <x:c r="E3428"/>
      <x:c r="F3428"/>
      <x:c r="G3428" s="56"/>
      <x:c r="H3428"/>
      <x:c r="I3428"/>
      <x:c r="J3428"/>
      <x:c r="K3428"/>
      <x:c r="L3428"/>
      <x:c r="M3428"/>
      <x:c r="N3428"/>
      <x:c r="O3428"/>
      <x:c r="P3428"/>
    </x:row>
    <x:row r="3429">
      <x:c r="A3429"/>
      <x:c r="B3429"/>
      <x:c r="C3429"/>
      <x:c r="D3429"/>
      <x:c r="E3429"/>
      <x:c r="F3429"/>
      <x:c r="G3429" s="56"/>
      <x:c r="H3429"/>
      <x:c r="I3429"/>
      <x:c r="J3429"/>
      <x:c r="K3429"/>
      <x:c r="L3429"/>
      <x:c r="M3429"/>
      <x:c r="N3429"/>
      <x:c r="O3429"/>
      <x:c r="P3429"/>
    </x:row>
    <x:row r="3430">
      <x:c r="A3430"/>
      <x:c r="B3430"/>
      <x:c r="C3430"/>
      <x:c r="D3430"/>
      <x:c r="E3430"/>
      <x:c r="F3430"/>
      <x:c r="G3430" s="56"/>
      <x:c r="H3430"/>
      <x:c r="I3430"/>
      <x:c r="J3430"/>
      <x:c r="K3430"/>
      <x:c r="L3430"/>
      <x:c r="M3430"/>
      <x:c r="N3430"/>
      <x:c r="O3430"/>
      <x:c r="P3430"/>
    </x:row>
    <x:row r="3431">
      <x:c r="A3431"/>
      <x:c r="B3431"/>
      <x:c r="C3431"/>
      <x:c r="D3431"/>
      <x:c r="E3431"/>
      <x:c r="F3431"/>
      <x:c r="G3431" s="56"/>
      <x:c r="H3431"/>
      <x:c r="I3431"/>
      <x:c r="J3431"/>
      <x:c r="K3431"/>
      <x:c r="L3431"/>
      <x:c r="M3431"/>
      <x:c r="N3431"/>
      <x:c r="O3431"/>
      <x:c r="P3431"/>
    </x:row>
    <x:row r="3432">
      <x:c r="A3432"/>
      <x:c r="B3432"/>
      <x:c r="C3432"/>
      <x:c r="D3432"/>
      <x:c r="E3432"/>
      <x:c r="F3432"/>
      <x:c r="G3432" s="56"/>
      <x:c r="H3432"/>
      <x:c r="I3432"/>
      <x:c r="J3432"/>
      <x:c r="K3432"/>
      <x:c r="L3432"/>
      <x:c r="M3432"/>
      <x:c r="N3432"/>
      <x:c r="O3432"/>
      <x:c r="P3432"/>
    </x:row>
    <x:row r="3433">
      <x:c r="A3433"/>
      <x:c r="B3433"/>
      <x:c r="C3433"/>
      <x:c r="D3433"/>
      <x:c r="E3433"/>
      <x:c r="F3433"/>
      <x:c r="G3433" s="56"/>
      <x:c r="H3433"/>
      <x:c r="I3433"/>
      <x:c r="J3433"/>
      <x:c r="K3433"/>
      <x:c r="L3433"/>
      <x:c r="M3433"/>
      <x:c r="N3433"/>
      <x:c r="O3433"/>
      <x:c r="P3433"/>
    </x:row>
    <x:row r="3434">
      <x:c r="A3434"/>
      <x:c r="B3434"/>
      <x:c r="C3434"/>
      <x:c r="D3434"/>
      <x:c r="E3434"/>
      <x:c r="F3434"/>
      <x:c r="G3434" s="56"/>
      <x:c r="H3434"/>
      <x:c r="I3434"/>
      <x:c r="J3434"/>
      <x:c r="K3434"/>
      <x:c r="L3434"/>
      <x:c r="M3434"/>
      <x:c r="N3434"/>
      <x:c r="O3434"/>
      <x:c r="P3434"/>
    </x:row>
    <x:row r="3435">
      <x:c r="A3435"/>
      <x:c r="B3435"/>
      <x:c r="C3435"/>
      <x:c r="D3435"/>
      <x:c r="E3435"/>
      <x:c r="F3435"/>
      <x:c r="G3435" s="56"/>
      <x:c r="H3435"/>
      <x:c r="I3435"/>
      <x:c r="J3435"/>
      <x:c r="K3435"/>
      <x:c r="L3435"/>
      <x:c r="M3435"/>
      <x:c r="N3435"/>
      <x:c r="O3435"/>
      <x:c r="P3435"/>
    </x:row>
    <x:row r="3436">
      <x:c r="A3436"/>
      <x:c r="B3436"/>
      <x:c r="C3436"/>
      <x:c r="D3436"/>
      <x:c r="E3436"/>
      <x:c r="F3436"/>
      <x:c r="G3436" s="56"/>
      <x:c r="H3436"/>
      <x:c r="I3436"/>
      <x:c r="J3436"/>
      <x:c r="K3436"/>
      <x:c r="L3436"/>
      <x:c r="M3436"/>
      <x:c r="N3436"/>
      <x:c r="O3436"/>
      <x:c r="P3436"/>
    </x:row>
    <x:row r="3437">
      <x:c r="A3437"/>
      <x:c r="B3437"/>
      <x:c r="C3437"/>
      <x:c r="D3437"/>
      <x:c r="E3437"/>
      <x:c r="F3437"/>
      <x:c r="G3437" s="56"/>
      <x:c r="H3437"/>
      <x:c r="I3437"/>
      <x:c r="J3437"/>
      <x:c r="K3437"/>
      <x:c r="L3437"/>
      <x:c r="M3437"/>
      <x:c r="N3437"/>
      <x:c r="O3437"/>
      <x:c r="P3437"/>
    </x:row>
    <x:row r="3438">
      <x:c r="A3438"/>
      <x:c r="B3438"/>
      <x:c r="C3438"/>
      <x:c r="D3438"/>
      <x:c r="E3438"/>
      <x:c r="F3438"/>
      <x:c r="G3438" s="56"/>
      <x:c r="H3438"/>
      <x:c r="I3438"/>
      <x:c r="J3438"/>
      <x:c r="K3438"/>
      <x:c r="L3438"/>
      <x:c r="M3438"/>
      <x:c r="N3438"/>
      <x:c r="O3438"/>
      <x:c r="P3438"/>
    </x:row>
    <x:row r="3439">
      <x:c r="A3439"/>
      <x:c r="B3439"/>
      <x:c r="C3439"/>
      <x:c r="D3439"/>
      <x:c r="E3439"/>
      <x:c r="F3439"/>
      <x:c r="G3439" s="56"/>
      <x:c r="H3439"/>
      <x:c r="I3439"/>
      <x:c r="J3439"/>
      <x:c r="K3439"/>
      <x:c r="L3439"/>
      <x:c r="M3439"/>
      <x:c r="N3439"/>
      <x:c r="O3439"/>
      <x:c r="P3439"/>
    </x:row>
    <x:row r="3440">
      <x:c r="A3440"/>
      <x:c r="B3440"/>
      <x:c r="C3440"/>
      <x:c r="D3440"/>
      <x:c r="E3440"/>
      <x:c r="F3440"/>
      <x:c r="G3440" s="56"/>
      <x:c r="H3440"/>
      <x:c r="I3440"/>
      <x:c r="J3440"/>
      <x:c r="K3440"/>
      <x:c r="L3440"/>
      <x:c r="M3440"/>
      <x:c r="N3440"/>
      <x:c r="O3440"/>
      <x:c r="P3440"/>
    </x:row>
    <x:row r="3441">
      <x:c r="A3441"/>
      <x:c r="B3441"/>
      <x:c r="C3441"/>
      <x:c r="D3441"/>
      <x:c r="E3441"/>
      <x:c r="F3441"/>
      <x:c r="G3441" s="56"/>
      <x:c r="H3441"/>
      <x:c r="I3441"/>
      <x:c r="J3441"/>
      <x:c r="K3441"/>
      <x:c r="L3441"/>
      <x:c r="M3441"/>
      <x:c r="N3441"/>
      <x:c r="O3441"/>
      <x:c r="P3441"/>
    </x:row>
    <x:row r="3442">
      <x:c r="A3442"/>
      <x:c r="B3442"/>
      <x:c r="C3442"/>
      <x:c r="D3442"/>
      <x:c r="E3442"/>
      <x:c r="F3442"/>
      <x:c r="G3442" s="56"/>
      <x:c r="H3442"/>
      <x:c r="I3442"/>
      <x:c r="J3442"/>
      <x:c r="K3442"/>
      <x:c r="L3442"/>
      <x:c r="M3442"/>
      <x:c r="N3442"/>
      <x:c r="O3442"/>
      <x:c r="P3442"/>
    </x:row>
    <x:row r="3443">
      <x:c r="A3443"/>
      <x:c r="B3443"/>
      <x:c r="C3443"/>
      <x:c r="D3443"/>
      <x:c r="E3443"/>
      <x:c r="F3443"/>
      <x:c r="G3443" s="56"/>
      <x:c r="H3443"/>
      <x:c r="I3443"/>
      <x:c r="J3443"/>
      <x:c r="K3443"/>
      <x:c r="L3443"/>
      <x:c r="M3443"/>
      <x:c r="N3443"/>
      <x:c r="O3443"/>
      <x:c r="P3443"/>
    </x:row>
    <x:row r="3444">
      <x:c r="A3444"/>
      <x:c r="B3444"/>
      <x:c r="C3444"/>
      <x:c r="D3444"/>
      <x:c r="E3444"/>
      <x:c r="F3444"/>
      <x:c r="G3444" s="56"/>
      <x:c r="H3444"/>
      <x:c r="I3444"/>
      <x:c r="J3444"/>
      <x:c r="K3444"/>
      <x:c r="L3444"/>
      <x:c r="M3444"/>
      <x:c r="N3444"/>
      <x:c r="O3444"/>
      <x:c r="P3444"/>
    </x:row>
    <x:row r="3445">
      <x:c r="A3445"/>
      <x:c r="B3445"/>
      <x:c r="C3445"/>
      <x:c r="D3445"/>
      <x:c r="E3445"/>
      <x:c r="F3445"/>
      <x:c r="G3445" s="56"/>
      <x:c r="H3445"/>
      <x:c r="I3445"/>
      <x:c r="J3445"/>
      <x:c r="K3445"/>
      <x:c r="L3445"/>
      <x:c r="M3445"/>
      <x:c r="N3445"/>
      <x:c r="O3445"/>
      <x:c r="P3445"/>
    </x:row>
    <x:row r="3446">
      <x:c r="A3446"/>
      <x:c r="B3446"/>
      <x:c r="C3446"/>
      <x:c r="D3446"/>
      <x:c r="E3446"/>
      <x:c r="F3446"/>
      <x:c r="G3446" s="56"/>
      <x:c r="H3446"/>
      <x:c r="I3446"/>
      <x:c r="J3446"/>
      <x:c r="K3446"/>
      <x:c r="L3446"/>
      <x:c r="M3446"/>
      <x:c r="N3446"/>
      <x:c r="O3446"/>
      <x:c r="P3446"/>
    </x:row>
    <x:row r="3447">
      <x:c r="A3447"/>
      <x:c r="B3447"/>
      <x:c r="C3447"/>
      <x:c r="D3447"/>
      <x:c r="E3447"/>
      <x:c r="F3447"/>
      <x:c r="G3447" s="56"/>
      <x:c r="H3447"/>
      <x:c r="I3447"/>
      <x:c r="J3447"/>
      <x:c r="K3447"/>
      <x:c r="L3447"/>
      <x:c r="M3447"/>
      <x:c r="N3447"/>
      <x:c r="O3447"/>
      <x:c r="P3447"/>
    </x:row>
    <x:row r="3448">
      <x:c r="A3448"/>
      <x:c r="B3448"/>
      <x:c r="C3448"/>
      <x:c r="D3448"/>
      <x:c r="E3448"/>
      <x:c r="F3448"/>
      <x:c r="G3448" s="56"/>
      <x:c r="H3448"/>
      <x:c r="I3448"/>
      <x:c r="J3448"/>
      <x:c r="K3448"/>
      <x:c r="L3448"/>
      <x:c r="M3448"/>
      <x:c r="N3448"/>
      <x:c r="O3448"/>
      <x:c r="P3448"/>
    </x:row>
    <x:row r="3449">
      <x:c r="A3449"/>
      <x:c r="B3449"/>
      <x:c r="C3449"/>
      <x:c r="D3449"/>
      <x:c r="E3449"/>
      <x:c r="F3449"/>
      <x:c r="G3449" s="56"/>
      <x:c r="H3449"/>
      <x:c r="I3449"/>
      <x:c r="J3449"/>
      <x:c r="K3449"/>
      <x:c r="L3449"/>
      <x:c r="M3449"/>
      <x:c r="N3449"/>
      <x:c r="O3449"/>
      <x:c r="P3449"/>
    </x:row>
    <x:row r="3450">
      <x:c r="A3450"/>
      <x:c r="B3450"/>
      <x:c r="C3450"/>
      <x:c r="D3450"/>
      <x:c r="E3450"/>
      <x:c r="F3450"/>
      <x:c r="G3450" s="56"/>
      <x:c r="H3450"/>
      <x:c r="I3450"/>
      <x:c r="J3450"/>
      <x:c r="K3450"/>
      <x:c r="L3450"/>
      <x:c r="M3450"/>
      <x:c r="N3450"/>
      <x:c r="O3450"/>
      <x:c r="P3450"/>
    </x:row>
    <x:row r="3451">
      <x:c r="A3451"/>
      <x:c r="B3451"/>
      <x:c r="C3451"/>
      <x:c r="D3451"/>
      <x:c r="E3451"/>
      <x:c r="F3451"/>
      <x:c r="G3451" s="56"/>
      <x:c r="H3451"/>
      <x:c r="I3451"/>
      <x:c r="J3451"/>
      <x:c r="K3451"/>
      <x:c r="L3451"/>
      <x:c r="M3451"/>
      <x:c r="N3451"/>
      <x:c r="O3451"/>
      <x:c r="P3451"/>
    </x:row>
    <x:row r="3452">
      <x:c r="A3452"/>
      <x:c r="B3452"/>
      <x:c r="C3452"/>
      <x:c r="D3452"/>
      <x:c r="E3452"/>
      <x:c r="F3452"/>
      <x:c r="G3452" s="56"/>
      <x:c r="H3452"/>
      <x:c r="I3452"/>
      <x:c r="J3452"/>
      <x:c r="K3452"/>
      <x:c r="L3452"/>
      <x:c r="M3452"/>
      <x:c r="N3452"/>
      <x:c r="O3452"/>
      <x:c r="P3452"/>
    </x:row>
    <x:row r="3453">
      <x:c r="A3453"/>
      <x:c r="B3453"/>
      <x:c r="C3453"/>
      <x:c r="D3453"/>
      <x:c r="E3453"/>
      <x:c r="F3453"/>
      <x:c r="G3453" s="56"/>
      <x:c r="H3453"/>
      <x:c r="I3453"/>
      <x:c r="J3453"/>
      <x:c r="K3453"/>
      <x:c r="L3453"/>
      <x:c r="M3453"/>
      <x:c r="N3453"/>
      <x:c r="O3453"/>
      <x:c r="P3453"/>
    </x:row>
    <x:row r="3454">
      <x:c r="A3454"/>
      <x:c r="B3454"/>
      <x:c r="C3454"/>
      <x:c r="D3454"/>
      <x:c r="E3454"/>
      <x:c r="F3454"/>
      <x:c r="G3454" s="56"/>
      <x:c r="H3454"/>
      <x:c r="I3454"/>
      <x:c r="J3454"/>
      <x:c r="K3454"/>
      <x:c r="L3454"/>
      <x:c r="M3454"/>
      <x:c r="N3454"/>
      <x:c r="O3454"/>
      <x:c r="P3454"/>
    </x:row>
    <x:row r="3455">
      <x:c r="A3455"/>
      <x:c r="B3455"/>
      <x:c r="C3455"/>
      <x:c r="D3455"/>
      <x:c r="E3455"/>
      <x:c r="F3455"/>
      <x:c r="G3455" s="56"/>
      <x:c r="H3455"/>
      <x:c r="I3455"/>
      <x:c r="J3455"/>
      <x:c r="K3455"/>
      <x:c r="L3455"/>
      <x:c r="M3455"/>
      <x:c r="N3455"/>
      <x:c r="O3455"/>
      <x:c r="P3455"/>
    </x:row>
    <x:row r="3456">
      <x:c r="A3456"/>
      <x:c r="B3456"/>
      <x:c r="C3456"/>
      <x:c r="D3456"/>
      <x:c r="E3456"/>
      <x:c r="F3456"/>
      <x:c r="G3456" s="56"/>
      <x:c r="H3456"/>
      <x:c r="I3456"/>
      <x:c r="J3456"/>
      <x:c r="K3456"/>
      <x:c r="L3456"/>
      <x:c r="M3456"/>
      <x:c r="N3456"/>
      <x:c r="O3456"/>
      <x:c r="P3456"/>
    </x:row>
    <x:row r="3457">
      <x:c r="A3457"/>
      <x:c r="B3457"/>
      <x:c r="C3457"/>
      <x:c r="D3457"/>
      <x:c r="E3457"/>
      <x:c r="F3457"/>
      <x:c r="G3457" s="56"/>
      <x:c r="H3457"/>
      <x:c r="I3457"/>
      <x:c r="J3457"/>
      <x:c r="K3457"/>
      <x:c r="L3457"/>
      <x:c r="M3457"/>
      <x:c r="N3457"/>
      <x:c r="O3457"/>
      <x:c r="P3457"/>
    </x:row>
    <x:row r="3458">
      <x:c r="A3458"/>
      <x:c r="B3458"/>
      <x:c r="C3458"/>
      <x:c r="D3458"/>
      <x:c r="E3458"/>
      <x:c r="F3458"/>
      <x:c r="G3458" s="56"/>
      <x:c r="H3458"/>
      <x:c r="I3458"/>
      <x:c r="J3458"/>
      <x:c r="K3458"/>
      <x:c r="L3458"/>
      <x:c r="M3458"/>
      <x:c r="N3458"/>
      <x:c r="O3458"/>
      <x:c r="P3458"/>
    </x:row>
    <x:row r="3459">
      <x:c r="A3459"/>
      <x:c r="B3459"/>
      <x:c r="C3459"/>
      <x:c r="D3459"/>
      <x:c r="E3459"/>
      <x:c r="F3459"/>
      <x:c r="G3459" s="56"/>
      <x:c r="H3459"/>
      <x:c r="I3459"/>
      <x:c r="J3459"/>
      <x:c r="K3459"/>
      <x:c r="L3459"/>
      <x:c r="M3459"/>
      <x:c r="N3459"/>
      <x:c r="O3459"/>
      <x:c r="P3459"/>
    </x:row>
    <x:row r="3460">
      <x:c r="A3460"/>
      <x:c r="B3460"/>
      <x:c r="C3460"/>
      <x:c r="D3460"/>
      <x:c r="E3460"/>
      <x:c r="F3460"/>
      <x:c r="G3460" s="56"/>
      <x:c r="H3460"/>
      <x:c r="I3460"/>
      <x:c r="J3460"/>
      <x:c r="K3460"/>
      <x:c r="L3460"/>
      <x:c r="M3460"/>
      <x:c r="N3460"/>
      <x:c r="O3460"/>
      <x:c r="P3460"/>
    </x:row>
    <x:row r="3461">
      <x:c r="A3461"/>
      <x:c r="B3461"/>
      <x:c r="C3461"/>
      <x:c r="D3461"/>
      <x:c r="E3461"/>
      <x:c r="F3461"/>
      <x:c r="G3461" s="56"/>
      <x:c r="H3461"/>
      <x:c r="I3461"/>
      <x:c r="J3461"/>
      <x:c r="K3461"/>
      <x:c r="L3461"/>
      <x:c r="M3461"/>
      <x:c r="N3461"/>
      <x:c r="O3461"/>
      <x:c r="P3461"/>
    </x:row>
    <x:row r="3462">
      <x:c r="A3462"/>
      <x:c r="B3462"/>
      <x:c r="C3462"/>
      <x:c r="D3462"/>
      <x:c r="E3462"/>
      <x:c r="F3462"/>
      <x:c r="G3462" s="56"/>
      <x:c r="H3462"/>
      <x:c r="I3462"/>
      <x:c r="J3462"/>
      <x:c r="K3462"/>
      <x:c r="L3462"/>
      <x:c r="M3462"/>
      <x:c r="N3462"/>
      <x:c r="O3462"/>
      <x:c r="P3462"/>
    </x:row>
    <x:row r="3463">
      <x:c r="A3463"/>
      <x:c r="B3463"/>
      <x:c r="C3463"/>
      <x:c r="D3463"/>
      <x:c r="E3463"/>
      <x:c r="F3463"/>
      <x:c r="G3463" s="56"/>
      <x:c r="H3463"/>
      <x:c r="I3463"/>
      <x:c r="J3463"/>
      <x:c r="K3463"/>
      <x:c r="L3463"/>
      <x:c r="M3463"/>
      <x:c r="N3463"/>
      <x:c r="O3463"/>
      <x:c r="P3463"/>
    </x:row>
    <x:row r="3464">
      <x:c r="A3464"/>
      <x:c r="B3464"/>
      <x:c r="C3464"/>
      <x:c r="D3464"/>
      <x:c r="E3464"/>
      <x:c r="F3464"/>
      <x:c r="G3464" s="56"/>
      <x:c r="H3464"/>
      <x:c r="I3464"/>
      <x:c r="J3464"/>
      <x:c r="K3464"/>
      <x:c r="L3464"/>
      <x:c r="M3464"/>
      <x:c r="N3464"/>
      <x:c r="O3464"/>
      <x:c r="P3464"/>
    </x:row>
    <x:row r="3465">
      <x:c r="A3465"/>
      <x:c r="B3465"/>
      <x:c r="C3465"/>
      <x:c r="D3465"/>
      <x:c r="E3465"/>
      <x:c r="F3465"/>
      <x:c r="G3465" s="56"/>
      <x:c r="H3465"/>
      <x:c r="I3465"/>
      <x:c r="J3465"/>
      <x:c r="K3465"/>
      <x:c r="L3465"/>
      <x:c r="M3465"/>
      <x:c r="N3465"/>
      <x:c r="O3465"/>
      <x:c r="P3465"/>
    </x:row>
    <x:row r="3466">
      <x:c r="A3466"/>
      <x:c r="B3466"/>
      <x:c r="C3466"/>
      <x:c r="D3466"/>
      <x:c r="E3466"/>
      <x:c r="F3466"/>
      <x:c r="G3466" s="56"/>
      <x:c r="H3466"/>
      <x:c r="I3466"/>
      <x:c r="J3466"/>
      <x:c r="K3466"/>
      <x:c r="L3466"/>
      <x:c r="M3466"/>
      <x:c r="N3466"/>
      <x:c r="O3466"/>
      <x:c r="P3466"/>
    </x:row>
    <x:row r="3467">
      <x:c r="A3467"/>
      <x:c r="B3467"/>
      <x:c r="C3467"/>
      <x:c r="D3467"/>
      <x:c r="E3467"/>
      <x:c r="F3467"/>
      <x:c r="G3467" s="56"/>
      <x:c r="H3467"/>
      <x:c r="I3467"/>
      <x:c r="J3467"/>
      <x:c r="K3467"/>
      <x:c r="L3467"/>
      <x:c r="M3467"/>
      <x:c r="N3467"/>
      <x:c r="O3467"/>
      <x:c r="P3467"/>
    </x:row>
    <x:row r="3468">
      <x:c r="A3468"/>
      <x:c r="B3468"/>
      <x:c r="C3468"/>
      <x:c r="D3468"/>
      <x:c r="E3468"/>
      <x:c r="F3468"/>
      <x:c r="G3468" s="56"/>
      <x:c r="H3468"/>
      <x:c r="I3468"/>
      <x:c r="J3468"/>
      <x:c r="K3468"/>
      <x:c r="L3468"/>
      <x:c r="M3468"/>
      <x:c r="N3468"/>
      <x:c r="O3468"/>
      <x:c r="P3468"/>
    </x:row>
    <x:row r="3469">
      <x:c r="A3469"/>
      <x:c r="B3469"/>
      <x:c r="C3469"/>
      <x:c r="D3469"/>
      <x:c r="E3469"/>
      <x:c r="F3469"/>
      <x:c r="G3469" s="56"/>
      <x:c r="H3469"/>
      <x:c r="I3469"/>
      <x:c r="J3469"/>
      <x:c r="K3469"/>
      <x:c r="L3469"/>
      <x:c r="M3469"/>
      <x:c r="N3469"/>
      <x:c r="O3469"/>
      <x:c r="P3469"/>
    </x:row>
    <x:row r="3470">
      <x:c r="A3470"/>
      <x:c r="B3470"/>
      <x:c r="C3470"/>
      <x:c r="D3470"/>
      <x:c r="E3470"/>
      <x:c r="F3470"/>
      <x:c r="G3470" s="56"/>
      <x:c r="H3470"/>
      <x:c r="I3470"/>
      <x:c r="J3470"/>
      <x:c r="K3470"/>
      <x:c r="L3470"/>
      <x:c r="M3470"/>
      <x:c r="N3470"/>
      <x:c r="O3470"/>
      <x:c r="P3470"/>
    </x:row>
    <x:row r="3471">
      <x:c r="A3471"/>
      <x:c r="B3471"/>
      <x:c r="C3471"/>
      <x:c r="D3471"/>
      <x:c r="E3471"/>
      <x:c r="F3471"/>
      <x:c r="G3471" s="56"/>
      <x:c r="H3471"/>
      <x:c r="I3471"/>
      <x:c r="J3471"/>
      <x:c r="K3471"/>
      <x:c r="L3471"/>
      <x:c r="M3471"/>
      <x:c r="N3471"/>
      <x:c r="O3471"/>
      <x:c r="P3471"/>
    </x:row>
    <x:row r="3472">
      <x:c r="A3472"/>
      <x:c r="B3472"/>
      <x:c r="C3472"/>
      <x:c r="D3472"/>
      <x:c r="E3472"/>
      <x:c r="F3472"/>
      <x:c r="G3472" s="56"/>
      <x:c r="H3472"/>
      <x:c r="I3472"/>
      <x:c r="J3472"/>
      <x:c r="K3472"/>
      <x:c r="L3472"/>
      <x:c r="M3472"/>
      <x:c r="N3472"/>
      <x:c r="O3472"/>
      <x:c r="P3472"/>
    </x:row>
    <x:row r="3473">
      <x:c r="A3473"/>
      <x:c r="B3473"/>
      <x:c r="C3473"/>
      <x:c r="D3473"/>
      <x:c r="E3473"/>
      <x:c r="F3473"/>
      <x:c r="G3473" s="56"/>
      <x:c r="H3473"/>
      <x:c r="I3473"/>
      <x:c r="J3473"/>
      <x:c r="K3473"/>
      <x:c r="L3473"/>
      <x:c r="M3473"/>
      <x:c r="N3473"/>
      <x:c r="O3473"/>
      <x:c r="P3473"/>
    </x:row>
    <x:row r="3474">
      <x:c r="A3474"/>
      <x:c r="B3474"/>
      <x:c r="C3474"/>
      <x:c r="D3474"/>
      <x:c r="E3474"/>
      <x:c r="F3474"/>
      <x:c r="G3474" s="56"/>
      <x:c r="H3474"/>
      <x:c r="I3474"/>
      <x:c r="J3474"/>
      <x:c r="K3474"/>
      <x:c r="L3474"/>
      <x:c r="M3474"/>
      <x:c r="N3474"/>
      <x:c r="O3474"/>
      <x:c r="P3474"/>
    </x:row>
    <x:row r="3475">
      <x:c r="A3475"/>
      <x:c r="B3475"/>
      <x:c r="C3475"/>
      <x:c r="D3475"/>
      <x:c r="E3475"/>
      <x:c r="F3475"/>
      <x:c r="G3475" s="56"/>
      <x:c r="H3475"/>
      <x:c r="I3475"/>
      <x:c r="J3475"/>
      <x:c r="K3475"/>
      <x:c r="L3475"/>
      <x:c r="M3475"/>
      <x:c r="N3475"/>
      <x:c r="O3475"/>
      <x:c r="P3475"/>
    </x:row>
    <x:row r="3476">
      <x:c r="A3476"/>
      <x:c r="B3476"/>
      <x:c r="C3476"/>
      <x:c r="D3476"/>
      <x:c r="E3476"/>
      <x:c r="F3476"/>
      <x:c r="G3476" s="56"/>
      <x:c r="H3476"/>
      <x:c r="I3476"/>
      <x:c r="J3476"/>
      <x:c r="K3476"/>
      <x:c r="L3476"/>
      <x:c r="M3476"/>
      <x:c r="N3476"/>
      <x:c r="O3476"/>
      <x:c r="P3476"/>
    </x:row>
    <x:row r="3477">
      <x:c r="A3477"/>
      <x:c r="B3477"/>
      <x:c r="C3477"/>
      <x:c r="D3477"/>
      <x:c r="E3477"/>
      <x:c r="F3477"/>
      <x:c r="G3477" s="56"/>
      <x:c r="H3477"/>
      <x:c r="I3477"/>
      <x:c r="J3477"/>
      <x:c r="K3477"/>
      <x:c r="L3477"/>
      <x:c r="M3477"/>
      <x:c r="N3477"/>
      <x:c r="O3477"/>
      <x:c r="P3477"/>
    </x:row>
    <x:row r="3478">
      <x:c r="A3478"/>
      <x:c r="B3478"/>
      <x:c r="C3478"/>
      <x:c r="D3478"/>
      <x:c r="E3478"/>
      <x:c r="F3478"/>
      <x:c r="G3478" s="56"/>
      <x:c r="H3478"/>
      <x:c r="I3478"/>
      <x:c r="J3478"/>
      <x:c r="K3478"/>
      <x:c r="L3478"/>
      <x:c r="M3478"/>
      <x:c r="N3478"/>
      <x:c r="O3478"/>
      <x:c r="P3478"/>
    </x:row>
    <x:row r="3479">
      <x:c r="A3479"/>
      <x:c r="B3479"/>
      <x:c r="C3479"/>
      <x:c r="D3479"/>
      <x:c r="E3479"/>
      <x:c r="F3479"/>
      <x:c r="G3479" s="56"/>
      <x:c r="H3479"/>
      <x:c r="I3479"/>
      <x:c r="J3479"/>
      <x:c r="K3479"/>
      <x:c r="L3479"/>
      <x:c r="M3479"/>
      <x:c r="N3479"/>
      <x:c r="O3479"/>
      <x:c r="P3479"/>
    </x:row>
    <x:row r="3480">
      <x:c r="A3480"/>
      <x:c r="B3480"/>
      <x:c r="C3480"/>
      <x:c r="D3480"/>
      <x:c r="E3480"/>
      <x:c r="F3480"/>
      <x:c r="G3480" s="56"/>
      <x:c r="H3480"/>
      <x:c r="I3480"/>
      <x:c r="J3480"/>
      <x:c r="K3480"/>
      <x:c r="L3480"/>
      <x:c r="M3480"/>
      <x:c r="N3480"/>
      <x:c r="O3480"/>
      <x:c r="P3480"/>
    </x:row>
    <x:row r="3481">
      <x:c r="A3481"/>
      <x:c r="B3481"/>
      <x:c r="C3481"/>
      <x:c r="D3481"/>
      <x:c r="E3481"/>
      <x:c r="F3481"/>
      <x:c r="G3481" s="56"/>
      <x:c r="H3481"/>
      <x:c r="I3481"/>
      <x:c r="J3481"/>
      <x:c r="K3481"/>
      <x:c r="L3481"/>
      <x:c r="M3481"/>
      <x:c r="N3481"/>
      <x:c r="O3481"/>
      <x:c r="P3481"/>
    </x:row>
    <x:row r="3482">
      <x:c r="A3482"/>
      <x:c r="B3482"/>
      <x:c r="C3482"/>
      <x:c r="D3482"/>
      <x:c r="E3482"/>
      <x:c r="F3482"/>
      <x:c r="G3482" s="56"/>
      <x:c r="H3482"/>
      <x:c r="I3482"/>
      <x:c r="J3482"/>
      <x:c r="K3482"/>
      <x:c r="L3482"/>
      <x:c r="M3482"/>
      <x:c r="N3482"/>
      <x:c r="O3482"/>
      <x:c r="P3482"/>
    </x:row>
    <x:row r="3483">
      <x:c r="A3483"/>
      <x:c r="B3483"/>
      <x:c r="C3483"/>
      <x:c r="D3483"/>
      <x:c r="E3483"/>
      <x:c r="F3483"/>
      <x:c r="G3483" s="56"/>
      <x:c r="H3483"/>
      <x:c r="I3483"/>
      <x:c r="J3483"/>
      <x:c r="K3483"/>
      <x:c r="L3483"/>
      <x:c r="M3483"/>
      <x:c r="N3483"/>
      <x:c r="O3483"/>
      <x:c r="P3483"/>
    </x:row>
    <x:row r="3484">
      <x:c r="A3484"/>
      <x:c r="B3484"/>
      <x:c r="C3484"/>
      <x:c r="D3484"/>
      <x:c r="E3484"/>
      <x:c r="F3484"/>
      <x:c r="G3484" s="56"/>
      <x:c r="H3484"/>
      <x:c r="I3484"/>
      <x:c r="J3484"/>
      <x:c r="K3484"/>
      <x:c r="L3484"/>
      <x:c r="M3484"/>
      <x:c r="N3484"/>
      <x:c r="O3484"/>
      <x:c r="P3484"/>
    </x:row>
    <x:row r="3485">
      <x:c r="A3485"/>
      <x:c r="B3485"/>
      <x:c r="C3485"/>
      <x:c r="D3485"/>
      <x:c r="E3485"/>
      <x:c r="F3485"/>
      <x:c r="G3485" s="56"/>
      <x:c r="H3485"/>
      <x:c r="I3485"/>
      <x:c r="J3485"/>
      <x:c r="K3485"/>
      <x:c r="L3485"/>
      <x:c r="M3485"/>
      <x:c r="N3485"/>
      <x:c r="O3485"/>
      <x:c r="P3485"/>
    </x:row>
    <x:row r="3486">
      <x:c r="A3486"/>
      <x:c r="B3486"/>
      <x:c r="C3486"/>
      <x:c r="D3486"/>
      <x:c r="E3486"/>
      <x:c r="F3486"/>
      <x:c r="G3486" s="56"/>
      <x:c r="H3486"/>
      <x:c r="I3486"/>
      <x:c r="J3486"/>
      <x:c r="K3486"/>
      <x:c r="L3486"/>
      <x:c r="M3486"/>
      <x:c r="N3486"/>
      <x:c r="O3486"/>
      <x:c r="P3486"/>
    </x:row>
    <x:row r="3487">
      <x:c r="A3487"/>
      <x:c r="B3487"/>
      <x:c r="C3487"/>
      <x:c r="D3487"/>
      <x:c r="E3487"/>
      <x:c r="F3487"/>
      <x:c r="G3487" s="56"/>
      <x:c r="H3487"/>
      <x:c r="I3487"/>
      <x:c r="J3487"/>
      <x:c r="K3487"/>
      <x:c r="L3487"/>
      <x:c r="M3487"/>
      <x:c r="N3487"/>
      <x:c r="O3487"/>
      <x:c r="P3487"/>
    </x:row>
    <x:row r="3488">
      <x:c r="A3488"/>
      <x:c r="B3488"/>
      <x:c r="C3488"/>
      <x:c r="D3488"/>
      <x:c r="E3488"/>
      <x:c r="F3488"/>
      <x:c r="G3488" s="56"/>
      <x:c r="H3488"/>
      <x:c r="I3488"/>
      <x:c r="J3488"/>
      <x:c r="K3488"/>
      <x:c r="L3488"/>
      <x:c r="M3488"/>
      <x:c r="N3488"/>
      <x:c r="O3488"/>
      <x:c r="P3488"/>
    </x:row>
    <x:row r="3489">
      <x:c r="A3489"/>
      <x:c r="B3489"/>
      <x:c r="C3489"/>
      <x:c r="D3489"/>
      <x:c r="E3489"/>
      <x:c r="F3489"/>
      <x:c r="G3489" s="56"/>
      <x:c r="H3489"/>
      <x:c r="I3489"/>
      <x:c r="J3489"/>
      <x:c r="K3489"/>
      <x:c r="L3489"/>
      <x:c r="M3489"/>
      <x:c r="N3489"/>
      <x:c r="O3489"/>
      <x:c r="P3489"/>
    </x:row>
    <x:row r="3490">
      <x:c r="A3490"/>
      <x:c r="B3490"/>
      <x:c r="C3490"/>
      <x:c r="D3490"/>
      <x:c r="E3490"/>
      <x:c r="F3490"/>
      <x:c r="G3490" s="56"/>
      <x:c r="H3490"/>
      <x:c r="I3490"/>
      <x:c r="J3490"/>
      <x:c r="K3490"/>
      <x:c r="L3490"/>
      <x:c r="M3490"/>
      <x:c r="N3490"/>
      <x:c r="O3490"/>
      <x:c r="P3490"/>
    </x:row>
    <x:row r="3491">
      <x:c r="A3491"/>
      <x:c r="B3491"/>
      <x:c r="C3491"/>
      <x:c r="D3491"/>
      <x:c r="E3491"/>
      <x:c r="F3491"/>
      <x:c r="G3491" s="56"/>
      <x:c r="H3491"/>
      <x:c r="I3491"/>
      <x:c r="J3491"/>
      <x:c r="K3491"/>
      <x:c r="L3491"/>
      <x:c r="M3491"/>
      <x:c r="N3491"/>
      <x:c r="O3491"/>
      <x:c r="P3491"/>
    </x:row>
    <x:row r="3492">
      <x:c r="A3492"/>
      <x:c r="B3492"/>
      <x:c r="C3492"/>
      <x:c r="D3492"/>
      <x:c r="E3492"/>
      <x:c r="F3492"/>
      <x:c r="G3492" s="56"/>
      <x:c r="H3492"/>
      <x:c r="I3492"/>
      <x:c r="J3492"/>
      <x:c r="K3492"/>
      <x:c r="L3492"/>
      <x:c r="M3492"/>
      <x:c r="N3492"/>
      <x:c r="O3492"/>
      <x:c r="P3492"/>
    </x:row>
    <x:row r="3493">
      <x:c r="A3493"/>
      <x:c r="B3493"/>
      <x:c r="C3493"/>
      <x:c r="D3493"/>
      <x:c r="E3493"/>
      <x:c r="F3493"/>
      <x:c r="G3493" s="56"/>
      <x:c r="H3493"/>
      <x:c r="I3493"/>
      <x:c r="J3493"/>
      <x:c r="K3493"/>
      <x:c r="L3493"/>
      <x:c r="M3493"/>
      <x:c r="N3493"/>
      <x:c r="O3493"/>
      <x:c r="P3493"/>
    </x:row>
    <x:row r="3494">
      <x:c r="A3494"/>
      <x:c r="B3494"/>
      <x:c r="C3494"/>
      <x:c r="D3494"/>
      <x:c r="E3494"/>
      <x:c r="F3494"/>
      <x:c r="G3494" s="56"/>
      <x:c r="H3494"/>
      <x:c r="I3494"/>
      <x:c r="J3494"/>
      <x:c r="K3494"/>
      <x:c r="L3494"/>
      <x:c r="M3494"/>
      <x:c r="N3494"/>
      <x:c r="O3494"/>
      <x:c r="P3494"/>
    </x:row>
    <x:row r="3495">
      <x:c r="A3495"/>
      <x:c r="B3495"/>
      <x:c r="C3495"/>
      <x:c r="D3495"/>
      <x:c r="E3495"/>
      <x:c r="F3495"/>
      <x:c r="G3495" s="56"/>
      <x:c r="H3495"/>
      <x:c r="I3495"/>
      <x:c r="J3495"/>
      <x:c r="K3495"/>
      <x:c r="L3495"/>
      <x:c r="M3495"/>
      <x:c r="N3495"/>
      <x:c r="O3495"/>
      <x:c r="P3495"/>
    </x:row>
    <x:row r="3496">
      <x:c r="A3496"/>
      <x:c r="B3496"/>
      <x:c r="C3496"/>
      <x:c r="D3496"/>
      <x:c r="E3496"/>
      <x:c r="F3496"/>
      <x:c r="G3496" s="56"/>
      <x:c r="H3496"/>
      <x:c r="I3496"/>
      <x:c r="J3496"/>
      <x:c r="K3496"/>
      <x:c r="L3496"/>
      <x:c r="M3496"/>
      <x:c r="N3496"/>
      <x:c r="O3496"/>
      <x:c r="P3496"/>
    </x:row>
    <x:row r="3497">
      <x:c r="A3497"/>
      <x:c r="B3497"/>
      <x:c r="C3497"/>
      <x:c r="D3497"/>
      <x:c r="E3497"/>
      <x:c r="F3497"/>
      <x:c r="G3497" s="56"/>
      <x:c r="H3497"/>
      <x:c r="I3497"/>
      <x:c r="J3497"/>
      <x:c r="K3497"/>
      <x:c r="L3497"/>
      <x:c r="M3497"/>
      <x:c r="N3497"/>
      <x:c r="O3497"/>
      <x:c r="P3497"/>
    </x:row>
    <x:row r="3498">
      <x:c r="A3498"/>
      <x:c r="B3498"/>
      <x:c r="C3498"/>
      <x:c r="D3498"/>
      <x:c r="E3498"/>
      <x:c r="F3498"/>
      <x:c r="G3498" s="56"/>
      <x:c r="H3498"/>
      <x:c r="I3498"/>
      <x:c r="J3498"/>
      <x:c r="K3498"/>
      <x:c r="L3498"/>
      <x:c r="M3498"/>
      <x:c r="N3498"/>
      <x:c r="O3498"/>
      <x:c r="P3498"/>
    </x:row>
    <x:row r="3499">
      <x:c r="A3499"/>
      <x:c r="B3499"/>
      <x:c r="C3499"/>
      <x:c r="D3499"/>
      <x:c r="E3499"/>
      <x:c r="F3499"/>
      <x:c r="G3499" s="56"/>
      <x:c r="H3499"/>
      <x:c r="I3499"/>
      <x:c r="J3499"/>
      <x:c r="K3499"/>
      <x:c r="L3499"/>
      <x:c r="M3499"/>
      <x:c r="N3499"/>
      <x:c r="O3499"/>
      <x:c r="P3499"/>
    </x:row>
    <x:row r="3500">
      <x:c r="A3500"/>
      <x:c r="B3500"/>
      <x:c r="C3500"/>
      <x:c r="D3500"/>
      <x:c r="E3500"/>
      <x:c r="F3500"/>
      <x:c r="G3500" s="56"/>
      <x:c r="H3500"/>
      <x:c r="I3500"/>
      <x:c r="J3500"/>
      <x:c r="K3500"/>
      <x:c r="L3500"/>
      <x:c r="M3500"/>
      <x:c r="N3500"/>
      <x:c r="O3500"/>
      <x:c r="P3500"/>
    </x:row>
    <x:row r="3501">
      <x:c r="A3501"/>
      <x:c r="B3501"/>
      <x:c r="C3501"/>
      <x:c r="D3501"/>
      <x:c r="E3501"/>
      <x:c r="F3501"/>
      <x:c r="G3501" s="56"/>
      <x:c r="H3501"/>
      <x:c r="I3501"/>
      <x:c r="J3501"/>
      <x:c r="K3501"/>
      <x:c r="L3501"/>
      <x:c r="M3501"/>
      <x:c r="N3501"/>
      <x:c r="O3501"/>
      <x:c r="P3501"/>
    </x:row>
    <x:row r="3502">
      <x:c r="A3502"/>
      <x:c r="B3502"/>
      <x:c r="C3502"/>
      <x:c r="D3502"/>
      <x:c r="E3502"/>
      <x:c r="F3502"/>
      <x:c r="G3502" s="56"/>
      <x:c r="H3502"/>
      <x:c r="I3502"/>
      <x:c r="J3502"/>
      <x:c r="K3502"/>
      <x:c r="L3502"/>
      <x:c r="M3502"/>
      <x:c r="N3502"/>
      <x:c r="O3502"/>
      <x:c r="P3502"/>
    </x:row>
    <x:row r="3503">
      <x:c r="A3503"/>
      <x:c r="B3503"/>
      <x:c r="C3503"/>
      <x:c r="D3503"/>
      <x:c r="E3503"/>
      <x:c r="F3503"/>
      <x:c r="G3503" s="56"/>
      <x:c r="H3503"/>
      <x:c r="I3503"/>
      <x:c r="J3503"/>
      <x:c r="K3503"/>
      <x:c r="L3503"/>
      <x:c r="M3503"/>
      <x:c r="N3503"/>
      <x:c r="O3503"/>
      <x:c r="P3503"/>
    </x:row>
    <x:row r="3504">
      <x:c r="A3504"/>
      <x:c r="B3504"/>
      <x:c r="C3504"/>
      <x:c r="D3504"/>
      <x:c r="E3504"/>
      <x:c r="F3504"/>
      <x:c r="G3504" s="56"/>
      <x:c r="H3504"/>
      <x:c r="I3504"/>
      <x:c r="J3504"/>
      <x:c r="K3504"/>
      <x:c r="L3504"/>
      <x:c r="M3504"/>
      <x:c r="N3504"/>
      <x:c r="O3504"/>
      <x:c r="P3504"/>
    </x:row>
    <x:row r="3505">
      <x:c r="A3505"/>
      <x:c r="B3505"/>
      <x:c r="C3505"/>
      <x:c r="D3505"/>
      <x:c r="E3505"/>
      <x:c r="F3505"/>
      <x:c r="G3505" s="56"/>
      <x:c r="H3505"/>
      <x:c r="I3505"/>
      <x:c r="J3505"/>
      <x:c r="K3505"/>
      <x:c r="L3505"/>
      <x:c r="M3505"/>
      <x:c r="N3505"/>
      <x:c r="O3505"/>
      <x:c r="P3505"/>
    </x:row>
    <x:row r="3506">
      <x:c r="A3506"/>
      <x:c r="B3506"/>
      <x:c r="C3506"/>
      <x:c r="D3506"/>
      <x:c r="E3506"/>
      <x:c r="F3506"/>
      <x:c r="G3506" s="56"/>
      <x:c r="H3506"/>
      <x:c r="I3506"/>
      <x:c r="J3506"/>
      <x:c r="K3506"/>
      <x:c r="L3506"/>
      <x:c r="M3506"/>
      <x:c r="N3506"/>
      <x:c r="O3506"/>
      <x:c r="P3506"/>
    </x:row>
    <x:row r="3507">
      <x:c r="A3507"/>
      <x:c r="B3507"/>
      <x:c r="C3507"/>
      <x:c r="D3507"/>
      <x:c r="E3507"/>
      <x:c r="F3507"/>
      <x:c r="G3507" s="56"/>
      <x:c r="H3507"/>
      <x:c r="I3507"/>
      <x:c r="J3507"/>
      <x:c r="K3507"/>
      <x:c r="L3507"/>
      <x:c r="M3507"/>
      <x:c r="N3507"/>
      <x:c r="O3507"/>
      <x:c r="P3507"/>
    </x:row>
    <x:row r="3508">
      <x:c r="A3508"/>
      <x:c r="B3508"/>
      <x:c r="C3508"/>
      <x:c r="D3508"/>
      <x:c r="E3508"/>
      <x:c r="F3508"/>
      <x:c r="G3508" s="56"/>
      <x:c r="H3508"/>
      <x:c r="I3508"/>
      <x:c r="J3508"/>
      <x:c r="K3508"/>
      <x:c r="L3508"/>
      <x:c r="M3508"/>
      <x:c r="N3508"/>
      <x:c r="O3508"/>
      <x:c r="P3508"/>
    </x:row>
    <x:row r="3509">
      <x:c r="A3509"/>
      <x:c r="B3509"/>
      <x:c r="C3509"/>
      <x:c r="D3509"/>
      <x:c r="E3509"/>
      <x:c r="F3509"/>
      <x:c r="G3509" s="56"/>
      <x:c r="H3509"/>
      <x:c r="I3509"/>
      <x:c r="J3509"/>
      <x:c r="K3509"/>
      <x:c r="L3509"/>
      <x:c r="M3509"/>
      <x:c r="N3509"/>
      <x:c r="O3509"/>
      <x:c r="P3509"/>
    </x:row>
    <x:row r="3510">
      <x:c r="A3510"/>
      <x:c r="B3510"/>
      <x:c r="C3510"/>
      <x:c r="D3510"/>
      <x:c r="E3510"/>
      <x:c r="F3510"/>
      <x:c r="G3510" s="56"/>
      <x:c r="H3510"/>
      <x:c r="I3510"/>
      <x:c r="J3510"/>
      <x:c r="K3510"/>
      <x:c r="L3510"/>
      <x:c r="M3510"/>
      <x:c r="N3510"/>
      <x:c r="O3510"/>
      <x:c r="P3510"/>
    </x:row>
    <x:row r="3511">
      <x:c r="A3511"/>
      <x:c r="B3511"/>
      <x:c r="C3511"/>
      <x:c r="D3511"/>
      <x:c r="E3511"/>
      <x:c r="F3511"/>
      <x:c r="G3511" s="56"/>
      <x:c r="H3511"/>
      <x:c r="I3511"/>
      <x:c r="J3511"/>
      <x:c r="K3511"/>
      <x:c r="L3511"/>
      <x:c r="M3511"/>
      <x:c r="N3511"/>
      <x:c r="O3511"/>
      <x:c r="P3511"/>
    </x:row>
    <x:row r="3512">
      <x:c r="A3512"/>
      <x:c r="B3512"/>
      <x:c r="C3512"/>
      <x:c r="D3512"/>
      <x:c r="E3512"/>
      <x:c r="F3512"/>
      <x:c r="G3512" s="56"/>
      <x:c r="H3512"/>
      <x:c r="I3512"/>
      <x:c r="J3512"/>
      <x:c r="K3512"/>
      <x:c r="L3512"/>
      <x:c r="M3512"/>
      <x:c r="N3512"/>
      <x:c r="O3512"/>
      <x:c r="P3512"/>
    </x:row>
    <x:row r="3513">
      <x:c r="A3513"/>
      <x:c r="B3513"/>
      <x:c r="C3513"/>
      <x:c r="D3513"/>
      <x:c r="E3513"/>
      <x:c r="F3513"/>
      <x:c r="G3513" s="56"/>
      <x:c r="H3513"/>
      <x:c r="I3513"/>
      <x:c r="J3513"/>
      <x:c r="K3513"/>
      <x:c r="L3513"/>
      <x:c r="M3513"/>
      <x:c r="N3513"/>
      <x:c r="O3513"/>
      <x:c r="P3513"/>
    </x:row>
    <x:row r="3514">
      <x:c r="A3514"/>
      <x:c r="B3514"/>
      <x:c r="C3514"/>
      <x:c r="D3514"/>
      <x:c r="E3514"/>
      <x:c r="F3514"/>
      <x:c r="G3514" s="56"/>
      <x:c r="H3514"/>
      <x:c r="I3514"/>
      <x:c r="J3514"/>
      <x:c r="K3514"/>
      <x:c r="L3514"/>
      <x:c r="M3514"/>
      <x:c r="N3514"/>
      <x:c r="O3514"/>
      <x:c r="P3514"/>
    </x:row>
    <x:row r="3515">
      <x:c r="A3515"/>
      <x:c r="B3515"/>
      <x:c r="C3515"/>
      <x:c r="D3515"/>
      <x:c r="E3515"/>
      <x:c r="F3515"/>
      <x:c r="G3515" s="56"/>
      <x:c r="H3515"/>
      <x:c r="I3515"/>
      <x:c r="J3515"/>
      <x:c r="K3515"/>
      <x:c r="L3515"/>
      <x:c r="M3515"/>
      <x:c r="N3515"/>
      <x:c r="O3515"/>
      <x:c r="P3515"/>
    </x:row>
    <x:row r="3516">
      <x:c r="A3516"/>
      <x:c r="B3516"/>
      <x:c r="C3516"/>
      <x:c r="D3516"/>
      <x:c r="E3516"/>
      <x:c r="F3516"/>
      <x:c r="G3516" s="56"/>
      <x:c r="H3516"/>
      <x:c r="I3516"/>
      <x:c r="J3516"/>
      <x:c r="K3516"/>
      <x:c r="L3516"/>
      <x:c r="M3516"/>
      <x:c r="N3516"/>
      <x:c r="O3516"/>
      <x:c r="P3516"/>
    </x:row>
    <x:row r="3517">
      <x:c r="A3517"/>
      <x:c r="B3517"/>
      <x:c r="C3517"/>
      <x:c r="D3517"/>
      <x:c r="E3517"/>
      <x:c r="F3517"/>
      <x:c r="G3517" s="56"/>
      <x:c r="H3517"/>
      <x:c r="I3517"/>
      <x:c r="J3517"/>
      <x:c r="K3517"/>
      <x:c r="L3517"/>
      <x:c r="M3517"/>
      <x:c r="N3517"/>
      <x:c r="O3517"/>
      <x:c r="P3517"/>
    </x:row>
    <x:row r="3518">
      <x:c r="A3518"/>
      <x:c r="B3518"/>
      <x:c r="C3518"/>
      <x:c r="D3518"/>
      <x:c r="E3518"/>
      <x:c r="F3518"/>
      <x:c r="G3518" s="56"/>
      <x:c r="H3518"/>
      <x:c r="I3518"/>
      <x:c r="J3518"/>
      <x:c r="K3518"/>
      <x:c r="L3518"/>
      <x:c r="M3518"/>
      <x:c r="N3518"/>
      <x:c r="O3518"/>
      <x:c r="P3518"/>
    </x:row>
    <x:row r="3519">
      <x:c r="A3519"/>
      <x:c r="B3519"/>
      <x:c r="C3519"/>
      <x:c r="D3519"/>
      <x:c r="E3519"/>
      <x:c r="F3519"/>
      <x:c r="G3519" s="56"/>
      <x:c r="H3519"/>
      <x:c r="I3519"/>
      <x:c r="J3519"/>
      <x:c r="K3519"/>
      <x:c r="L3519"/>
      <x:c r="M3519"/>
      <x:c r="N3519"/>
      <x:c r="O3519"/>
      <x:c r="P3519"/>
    </x:row>
    <x:row r="3520">
      <x:c r="A3520"/>
      <x:c r="B3520"/>
      <x:c r="C3520"/>
      <x:c r="D3520"/>
      <x:c r="E3520"/>
      <x:c r="F3520"/>
      <x:c r="G3520" s="56"/>
      <x:c r="H3520"/>
      <x:c r="I3520"/>
      <x:c r="J3520"/>
      <x:c r="K3520"/>
      <x:c r="L3520"/>
      <x:c r="M3520"/>
      <x:c r="N3520"/>
      <x:c r="O3520"/>
      <x:c r="P3520"/>
    </x:row>
    <x:row r="3521">
      <x:c r="A3521"/>
      <x:c r="B3521"/>
      <x:c r="C3521"/>
      <x:c r="D3521"/>
      <x:c r="E3521"/>
      <x:c r="F3521"/>
      <x:c r="G3521" s="56"/>
      <x:c r="H3521"/>
      <x:c r="I3521"/>
      <x:c r="J3521"/>
      <x:c r="K3521"/>
      <x:c r="L3521"/>
      <x:c r="M3521"/>
      <x:c r="N3521"/>
      <x:c r="O3521"/>
      <x:c r="P3521"/>
    </x:row>
    <x:row r="3522">
      <x:c r="A3522"/>
      <x:c r="B3522"/>
      <x:c r="C3522"/>
      <x:c r="D3522"/>
      <x:c r="E3522"/>
      <x:c r="F3522"/>
      <x:c r="G3522" s="56"/>
      <x:c r="H3522"/>
      <x:c r="I3522"/>
      <x:c r="J3522"/>
      <x:c r="K3522"/>
      <x:c r="L3522"/>
      <x:c r="M3522"/>
      <x:c r="N3522"/>
      <x:c r="O3522"/>
      <x:c r="P3522"/>
    </x:row>
    <x:row r="3523">
      <x:c r="A3523"/>
      <x:c r="B3523"/>
      <x:c r="C3523"/>
      <x:c r="D3523"/>
      <x:c r="E3523"/>
      <x:c r="F3523"/>
      <x:c r="G3523" s="56"/>
      <x:c r="H3523"/>
      <x:c r="I3523"/>
      <x:c r="J3523"/>
      <x:c r="K3523"/>
      <x:c r="L3523"/>
      <x:c r="M3523"/>
      <x:c r="N3523"/>
      <x:c r="O3523"/>
      <x:c r="P3523"/>
    </x:row>
    <x:row r="3524">
      <x:c r="A3524"/>
      <x:c r="B3524"/>
      <x:c r="C3524"/>
      <x:c r="D3524"/>
      <x:c r="E3524"/>
      <x:c r="F3524"/>
      <x:c r="G3524" s="56"/>
      <x:c r="H3524"/>
      <x:c r="I3524"/>
      <x:c r="J3524"/>
      <x:c r="K3524"/>
      <x:c r="L3524"/>
      <x:c r="M3524"/>
      <x:c r="N3524"/>
      <x:c r="O3524"/>
      <x:c r="P3524"/>
    </x:row>
    <x:row r="3525">
      <x:c r="A3525"/>
      <x:c r="B3525"/>
      <x:c r="C3525"/>
      <x:c r="D3525"/>
      <x:c r="E3525"/>
      <x:c r="F3525"/>
      <x:c r="G3525" s="56"/>
      <x:c r="H3525"/>
      <x:c r="I3525"/>
      <x:c r="J3525"/>
      <x:c r="K3525"/>
      <x:c r="L3525"/>
      <x:c r="M3525"/>
      <x:c r="N3525"/>
      <x:c r="O3525"/>
      <x:c r="P3525"/>
    </x:row>
    <x:row r="3526">
      <x:c r="A3526"/>
      <x:c r="B3526"/>
      <x:c r="C3526"/>
      <x:c r="D3526"/>
      <x:c r="E3526"/>
      <x:c r="F3526"/>
      <x:c r="G3526" s="56"/>
      <x:c r="H3526"/>
      <x:c r="I3526"/>
      <x:c r="J3526"/>
      <x:c r="K3526"/>
      <x:c r="L3526"/>
      <x:c r="M3526"/>
      <x:c r="N3526"/>
      <x:c r="O3526"/>
      <x:c r="P3526"/>
    </x:row>
    <x:row r="3527">
      <x:c r="A3527"/>
      <x:c r="B3527"/>
      <x:c r="C3527"/>
      <x:c r="D3527"/>
      <x:c r="E3527"/>
      <x:c r="F3527"/>
      <x:c r="G3527" s="56"/>
      <x:c r="H3527"/>
      <x:c r="I3527"/>
      <x:c r="J3527"/>
      <x:c r="K3527"/>
      <x:c r="L3527"/>
      <x:c r="M3527"/>
      <x:c r="N3527"/>
      <x:c r="O3527"/>
      <x:c r="P3527"/>
    </x:row>
    <x:row r="3528">
      <x:c r="A3528"/>
      <x:c r="B3528"/>
      <x:c r="C3528"/>
      <x:c r="D3528"/>
      <x:c r="E3528"/>
      <x:c r="F3528"/>
      <x:c r="G3528" s="56"/>
      <x:c r="H3528"/>
      <x:c r="I3528"/>
      <x:c r="J3528"/>
      <x:c r="K3528"/>
      <x:c r="L3528"/>
      <x:c r="M3528"/>
      <x:c r="N3528"/>
      <x:c r="O3528"/>
      <x:c r="P3528"/>
    </x:row>
    <x:row r="3529">
      <x:c r="A3529"/>
      <x:c r="B3529"/>
      <x:c r="C3529"/>
      <x:c r="D3529"/>
      <x:c r="E3529"/>
      <x:c r="F3529"/>
      <x:c r="G3529" s="56"/>
      <x:c r="H3529"/>
      <x:c r="I3529"/>
      <x:c r="J3529"/>
      <x:c r="K3529"/>
      <x:c r="L3529"/>
      <x:c r="M3529"/>
      <x:c r="N3529"/>
      <x:c r="O3529"/>
      <x:c r="P3529"/>
    </x:row>
    <x:row r="3530">
      <x:c r="A3530"/>
      <x:c r="B3530"/>
      <x:c r="C3530"/>
      <x:c r="D3530"/>
      <x:c r="E3530"/>
      <x:c r="F3530"/>
      <x:c r="G3530" s="56"/>
      <x:c r="H3530"/>
      <x:c r="I3530"/>
      <x:c r="J3530"/>
      <x:c r="K3530"/>
      <x:c r="L3530"/>
      <x:c r="M3530"/>
      <x:c r="N3530"/>
      <x:c r="O3530"/>
      <x:c r="P3530"/>
    </x:row>
    <x:row r="3531">
      <x:c r="A3531"/>
      <x:c r="B3531"/>
      <x:c r="C3531"/>
      <x:c r="D3531"/>
      <x:c r="E3531"/>
      <x:c r="F3531"/>
      <x:c r="G3531" s="56"/>
      <x:c r="H3531"/>
      <x:c r="I3531"/>
      <x:c r="J3531"/>
      <x:c r="K3531"/>
      <x:c r="L3531"/>
      <x:c r="M3531"/>
      <x:c r="N3531"/>
      <x:c r="O3531"/>
      <x:c r="P3531"/>
    </x:row>
    <x:row r="3532">
      <x:c r="A3532"/>
      <x:c r="B3532"/>
      <x:c r="C3532"/>
      <x:c r="D3532"/>
      <x:c r="E3532"/>
      <x:c r="F3532"/>
      <x:c r="G3532" s="56"/>
      <x:c r="H3532"/>
      <x:c r="I3532"/>
      <x:c r="J3532"/>
      <x:c r="K3532"/>
      <x:c r="L3532"/>
      <x:c r="M3532"/>
      <x:c r="N3532"/>
      <x:c r="O3532"/>
      <x:c r="P3532"/>
    </x:row>
    <x:row r="3533">
      <x:c r="A3533"/>
      <x:c r="B3533"/>
      <x:c r="C3533"/>
      <x:c r="D3533"/>
      <x:c r="E3533"/>
      <x:c r="F3533"/>
      <x:c r="G3533" s="56"/>
      <x:c r="H3533"/>
      <x:c r="I3533"/>
      <x:c r="J3533"/>
      <x:c r="K3533"/>
      <x:c r="L3533"/>
      <x:c r="M3533"/>
      <x:c r="N3533"/>
      <x:c r="O3533"/>
      <x:c r="P3533"/>
    </x:row>
    <x:row r="3534">
      <x:c r="A3534"/>
      <x:c r="B3534"/>
      <x:c r="C3534"/>
      <x:c r="D3534"/>
      <x:c r="E3534"/>
      <x:c r="F3534"/>
      <x:c r="G3534" s="56"/>
      <x:c r="H3534"/>
      <x:c r="I3534"/>
      <x:c r="J3534"/>
      <x:c r="K3534"/>
      <x:c r="L3534"/>
      <x:c r="M3534"/>
      <x:c r="N3534"/>
      <x:c r="O3534"/>
      <x:c r="P3534"/>
    </x:row>
    <x:row r="3535">
      <x:c r="A3535"/>
      <x:c r="B3535"/>
      <x:c r="C3535"/>
      <x:c r="D3535"/>
      <x:c r="E3535"/>
      <x:c r="F3535"/>
      <x:c r="G3535" s="56"/>
      <x:c r="H3535"/>
      <x:c r="I3535"/>
      <x:c r="J3535"/>
      <x:c r="K3535"/>
      <x:c r="L3535"/>
      <x:c r="M3535"/>
      <x:c r="N3535"/>
      <x:c r="O3535"/>
      <x:c r="P3535"/>
    </x:row>
    <x:row r="3536">
      <x:c r="A3536"/>
      <x:c r="B3536"/>
      <x:c r="C3536"/>
      <x:c r="D3536"/>
      <x:c r="E3536"/>
      <x:c r="F3536"/>
      <x:c r="G3536" s="56"/>
      <x:c r="H3536"/>
      <x:c r="I3536"/>
      <x:c r="J3536"/>
      <x:c r="K3536"/>
      <x:c r="L3536"/>
      <x:c r="M3536"/>
      <x:c r="N3536"/>
      <x:c r="O3536"/>
      <x:c r="P3536"/>
    </x:row>
    <x:row r="3537">
      <x:c r="A3537"/>
      <x:c r="B3537"/>
      <x:c r="C3537"/>
      <x:c r="D3537"/>
      <x:c r="E3537"/>
      <x:c r="F3537"/>
      <x:c r="G3537" s="56"/>
      <x:c r="H3537"/>
      <x:c r="I3537"/>
      <x:c r="J3537"/>
      <x:c r="K3537"/>
      <x:c r="L3537"/>
      <x:c r="M3537"/>
      <x:c r="N3537"/>
      <x:c r="O3537"/>
      <x:c r="P3537"/>
    </x:row>
    <x:row r="3538">
      <x:c r="A3538"/>
      <x:c r="B3538"/>
      <x:c r="C3538"/>
      <x:c r="D3538"/>
      <x:c r="E3538"/>
      <x:c r="F3538"/>
      <x:c r="G3538" s="56"/>
      <x:c r="H3538"/>
      <x:c r="I3538"/>
      <x:c r="J3538"/>
      <x:c r="K3538"/>
      <x:c r="L3538"/>
      <x:c r="M3538"/>
      <x:c r="N3538"/>
      <x:c r="O3538"/>
      <x:c r="P3538"/>
    </x:row>
    <x:row r="3539">
      <x:c r="A3539"/>
      <x:c r="B3539"/>
      <x:c r="C3539"/>
      <x:c r="D3539"/>
      <x:c r="E3539"/>
      <x:c r="F3539"/>
      <x:c r="G3539" s="56"/>
      <x:c r="H3539"/>
      <x:c r="I3539"/>
      <x:c r="J3539"/>
      <x:c r="K3539"/>
      <x:c r="L3539"/>
      <x:c r="M3539"/>
      <x:c r="N3539"/>
      <x:c r="O3539"/>
      <x:c r="P3539"/>
    </x:row>
    <x:row r="3540">
      <x:c r="A3540"/>
      <x:c r="B3540"/>
      <x:c r="C3540"/>
      <x:c r="D3540"/>
      <x:c r="E3540"/>
      <x:c r="F3540"/>
      <x:c r="G3540" s="56"/>
      <x:c r="H3540"/>
      <x:c r="I3540"/>
      <x:c r="J3540"/>
      <x:c r="K3540"/>
      <x:c r="L3540"/>
      <x:c r="M3540"/>
      <x:c r="N3540"/>
      <x:c r="O3540"/>
      <x:c r="P3540"/>
    </x:row>
    <x:row r="3541">
      <x:c r="A3541"/>
      <x:c r="B3541"/>
      <x:c r="C3541"/>
      <x:c r="D3541"/>
      <x:c r="E3541"/>
      <x:c r="F3541"/>
      <x:c r="G3541" s="56"/>
      <x:c r="H3541"/>
      <x:c r="I3541"/>
      <x:c r="J3541"/>
      <x:c r="K3541"/>
      <x:c r="L3541"/>
      <x:c r="M3541"/>
      <x:c r="N3541"/>
      <x:c r="O3541"/>
      <x:c r="P3541"/>
    </x:row>
    <x:row r="3542">
      <x:c r="A3542"/>
      <x:c r="B3542"/>
      <x:c r="C3542"/>
      <x:c r="D3542"/>
      <x:c r="E3542"/>
      <x:c r="F3542"/>
      <x:c r="G3542" s="56"/>
      <x:c r="H3542"/>
      <x:c r="I3542"/>
      <x:c r="J3542"/>
      <x:c r="K3542"/>
      <x:c r="L3542"/>
      <x:c r="M3542"/>
      <x:c r="N3542"/>
      <x:c r="O3542"/>
      <x:c r="P3542"/>
    </x:row>
    <x:row r="3543">
      <x:c r="A3543"/>
      <x:c r="B3543"/>
      <x:c r="C3543"/>
      <x:c r="D3543"/>
      <x:c r="E3543"/>
      <x:c r="F3543"/>
      <x:c r="G3543" s="56"/>
      <x:c r="H3543"/>
      <x:c r="I3543"/>
      <x:c r="J3543"/>
      <x:c r="K3543"/>
      <x:c r="L3543"/>
      <x:c r="M3543"/>
      <x:c r="N3543"/>
      <x:c r="O3543"/>
      <x:c r="P3543"/>
    </x:row>
    <x:row r="3544">
      <x:c r="A3544"/>
      <x:c r="B3544"/>
      <x:c r="C3544"/>
      <x:c r="D3544"/>
      <x:c r="E3544"/>
      <x:c r="F3544"/>
      <x:c r="G3544" s="56"/>
      <x:c r="H3544"/>
      <x:c r="I3544"/>
      <x:c r="J3544"/>
      <x:c r="K3544"/>
      <x:c r="L3544"/>
      <x:c r="M3544"/>
      <x:c r="N3544"/>
      <x:c r="O3544"/>
      <x:c r="P3544"/>
    </x:row>
    <x:row r="3545">
      <x:c r="A3545"/>
      <x:c r="B3545"/>
      <x:c r="C3545"/>
      <x:c r="D3545"/>
      <x:c r="E3545"/>
      <x:c r="F3545"/>
      <x:c r="G3545" s="56"/>
      <x:c r="H3545"/>
      <x:c r="I3545"/>
      <x:c r="J3545"/>
      <x:c r="K3545"/>
      <x:c r="L3545"/>
      <x:c r="M3545"/>
      <x:c r="N3545"/>
      <x:c r="O3545"/>
      <x:c r="P3545"/>
    </x:row>
    <x:row r="3546">
      <x:c r="A3546"/>
      <x:c r="B3546"/>
      <x:c r="C3546"/>
      <x:c r="D3546"/>
      <x:c r="E3546"/>
      <x:c r="F3546"/>
      <x:c r="G3546" s="56"/>
      <x:c r="H3546"/>
      <x:c r="I3546"/>
      <x:c r="J3546"/>
      <x:c r="K3546"/>
      <x:c r="L3546"/>
      <x:c r="M3546"/>
      <x:c r="N3546"/>
      <x:c r="O3546"/>
      <x:c r="P3546"/>
    </x:row>
    <x:row r="3547">
      <x:c r="A3547"/>
      <x:c r="B3547"/>
      <x:c r="C3547"/>
      <x:c r="D3547"/>
      <x:c r="E3547"/>
      <x:c r="F3547"/>
      <x:c r="G3547" s="56"/>
      <x:c r="H3547"/>
      <x:c r="I3547"/>
      <x:c r="J3547"/>
      <x:c r="K3547"/>
      <x:c r="L3547"/>
      <x:c r="M3547"/>
      <x:c r="N3547"/>
      <x:c r="O3547"/>
      <x:c r="P3547"/>
    </x:row>
    <x:row r="3548">
      <x:c r="A3548"/>
      <x:c r="B3548"/>
      <x:c r="C3548"/>
      <x:c r="D3548"/>
      <x:c r="E3548"/>
      <x:c r="F3548"/>
      <x:c r="G3548" s="56"/>
      <x:c r="H3548"/>
      <x:c r="I3548"/>
      <x:c r="J3548"/>
      <x:c r="K3548"/>
      <x:c r="L3548"/>
      <x:c r="M3548"/>
      <x:c r="N3548"/>
      <x:c r="O3548"/>
      <x:c r="P3548"/>
    </x:row>
    <x:row r="3549">
      <x:c r="A3549"/>
      <x:c r="B3549"/>
      <x:c r="C3549"/>
      <x:c r="D3549"/>
      <x:c r="E3549"/>
      <x:c r="F3549"/>
      <x:c r="G3549" s="56"/>
      <x:c r="H3549"/>
      <x:c r="I3549"/>
      <x:c r="J3549"/>
      <x:c r="K3549"/>
      <x:c r="L3549"/>
      <x:c r="M3549"/>
      <x:c r="N3549"/>
      <x:c r="O3549"/>
      <x:c r="P3549"/>
    </x:row>
    <x:row r="3550">
      <x:c r="A3550"/>
      <x:c r="B3550"/>
      <x:c r="C3550"/>
      <x:c r="D3550"/>
      <x:c r="E3550"/>
      <x:c r="F3550"/>
      <x:c r="G3550" s="56"/>
      <x:c r="H3550"/>
      <x:c r="I3550"/>
      <x:c r="J3550"/>
      <x:c r="K3550"/>
      <x:c r="L3550"/>
      <x:c r="M3550"/>
      <x:c r="N3550"/>
      <x:c r="O3550"/>
      <x:c r="P3550"/>
    </x:row>
    <x:row r="3551">
      <x:c r="A3551"/>
      <x:c r="B3551"/>
      <x:c r="C3551"/>
      <x:c r="D3551"/>
      <x:c r="E3551"/>
      <x:c r="F3551"/>
      <x:c r="G3551" s="56"/>
      <x:c r="H3551"/>
      <x:c r="I3551"/>
      <x:c r="J3551"/>
      <x:c r="K3551"/>
      <x:c r="L3551"/>
      <x:c r="M3551"/>
      <x:c r="N3551"/>
      <x:c r="O3551"/>
      <x:c r="P3551"/>
    </x:row>
    <x:row r="3552">
      <x:c r="A3552"/>
      <x:c r="B3552"/>
      <x:c r="C3552"/>
      <x:c r="D3552"/>
      <x:c r="E3552"/>
      <x:c r="F3552"/>
      <x:c r="G3552" s="56"/>
      <x:c r="H3552"/>
      <x:c r="I3552"/>
      <x:c r="J3552"/>
      <x:c r="K3552"/>
      <x:c r="L3552"/>
      <x:c r="M3552"/>
      <x:c r="N3552"/>
      <x:c r="O3552"/>
      <x:c r="P3552"/>
    </x:row>
    <x:row r="3553">
      <x:c r="A3553"/>
      <x:c r="B3553"/>
      <x:c r="C3553"/>
      <x:c r="D3553"/>
      <x:c r="E3553"/>
      <x:c r="F3553"/>
      <x:c r="G3553" s="56"/>
      <x:c r="H3553"/>
      <x:c r="I3553"/>
      <x:c r="J3553"/>
      <x:c r="K3553"/>
      <x:c r="L3553"/>
      <x:c r="M3553"/>
      <x:c r="N3553"/>
      <x:c r="O3553"/>
      <x:c r="P3553"/>
    </x:row>
    <x:row r="3554">
      <x:c r="A3554"/>
      <x:c r="B3554"/>
      <x:c r="C3554"/>
      <x:c r="D3554"/>
      <x:c r="E3554"/>
      <x:c r="F3554"/>
      <x:c r="G3554" s="56"/>
      <x:c r="H3554"/>
      <x:c r="I3554"/>
      <x:c r="J3554"/>
      <x:c r="K3554"/>
      <x:c r="L3554"/>
      <x:c r="M3554"/>
      <x:c r="N3554"/>
      <x:c r="O3554"/>
      <x:c r="P3554"/>
    </x:row>
    <x:row r="3555">
      <x:c r="A3555"/>
      <x:c r="B3555"/>
      <x:c r="C3555"/>
      <x:c r="D3555"/>
      <x:c r="E3555"/>
      <x:c r="F3555"/>
      <x:c r="G3555" s="56"/>
      <x:c r="H3555"/>
      <x:c r="I3555"/>
      <x:c r="J3555"/>
      <x:c r="K3555"/>
      <x:c r="L3555"/>
      <x:c r="M3555"/>
      <x:c r="N3555"/>
      <x:c r="O3555"/>
      <x:c r="P3555"/>
    </x:row>
    <x:row r="3556">
      <x:c r="A3556"/>
      <x:c r="B3556"/>
      <x:c r="C3556"/>
      <x:c r="D3556"/>
      <x:c r="E3556"/>
      <x:c r="F3556"/>
      <x:c r="G3556" s="56"/>
      <x:c r="H3556"/>
      <x:c r="I3556"/>
      <x:c r="J3556"/>
      <x:c r="K3556"/>
      <x:c r="L3556"/>
      <x:c r="M3556"/>
      <x:c r="N3556"/>
      <x:c r="O3556"/>
      <x:c r="P3556"/>
    </x:row>
    <x:row r="3557">
      <x:c r="A3557"/>
      <x:c r="B3557"/>
      <x:c r="C3557"/>
      <x:c r="D3557"/>
      <x:c r="E3557"/>
      <x:c r="F3557"/>
      <x:c r="G3557" s="56"/>
      <x:c r="H3557"/>
      <x:c r="I3557"/>
      <x:c r="J3557"/>
      <x:c r="K3557"/>
      <x:c r="L3557"/>
      <x:c r="M3557"/>
      <x:c r="N3557"/>
      <x:c r="O3557"/>
      <x:c r="P3557"/>
    </x:row>
    <x:row r="3558">
      <x:c r="A3558"/>
      <x:c r="B3558"/>
      <x:c r="C3558"/>
      <x:c r="D3558"/>
      <x:c r="E3558"/>
      <x:c r="F3558"/>
      <x:c r="G3558" s="56"/>
      <x:c r="H3558"/>
      <x:c r="I3558"/>
      <x:c r="J3558"/>
      <x:c r="K3558"/>
      <x:c r="L3558"/>
      <x:c r="M3558"/>
      <x:c r="N3558"/>
      <x:c r="O3558"/>
      <x:c r="P3558"/>
    </x:row>
    <x:row r="3559">
      <x:c r="A3559"/>
      <x:c r="B3559"/>
      <x:c r="C3559"/>
      <x:c r="D3559"/>
      <x:c r="E3559"/>
      <x:c r="F3559"/>
      <x:c r="G3559" s="56"/>
      <x:c r="H3559"/>
      <x:c r="I3559"/>
      <x:c r="J3559"/>
      <x:c r="K3559"/>
      <x:c r="L3559"/>
      <x:c r="M3559"/>
      <x:c r="N3559"/>
      <x:c r="O3559"/>
      <x:c r="P3559"/>
    </x:row>
    <x:row r="3560">
      <x:c r="A3560"/>
      <x:c r="B3560"/>
      <x:c r="C3560"/>
      <x:c r="D3560"/>
      <x:c r="E3560"/>
      <x:c r="F3560"/>
      <x:c r="G3560" s="56"/>
      <x:c r="H3560"/>
      <x:c r="I3560"/>
      <x:c r="J3560"/>
      <x:c r="K3560"/>
      <x:c r="L3560"/>
      <x:c r="M3560"/>
      <x:c r="N3560"/>
      <x:c r="O3560"/>
      <x:c r="P3560"/>
    </x:row>
    <x:row r="3561">
      <x:c r="A3561"/>
      <x:c r="B3561"/>
      <x:c r="C3561"/>
      <x:c r="D3561"/>
      <x:c r="E3561"/>
      <x:c r="F3561"/>
      <x:c r="G3561" s="56"/>
      <x:c r="H3561"/>
      <x:c r="I3561"/>
      <x:c r="J3561"/>
      <x:c r="K3561"/>
      <x:c r="L3561"/>
      <x:c r="M3561"/>
      <x:c r="N3561"/>
      <x:c r="O3561"/>
      <x:c r="P3561"/>
    </x:row>
    <x:row r="3562">
      <x:c r="A3562"/>
      <x:c r="B3562"/>
      <x:c r="C3562"/>
      <x:c r="D3562"/>
      <x:c r="E3562"/>
      <x:c r="F3562"/>
      <x:c r="G3562" s="56"/>
      <x:c r="H3562"/>
      <x:c r="I3562"/>
      <x:c r="J3562"/>
      <x:c r="K3562"/>
      <x:c r="L3562"/>
      <x:c r="M3562"/>
      <x:c r="N3562"/>
      <x:c r="O3562"/>
      <x:c r="P3562"/>
    </x:row>
    <x:row r="3563">
      <x:c r="A3563"/>
      <x:c r="B3563"/>
      <x:c r="C3563"/>
      <x:c r="D3563"/>
      <x:c r="E3563"/>
      <x:c r="F3563"/>
      <x:c r="G3563" s="56"/>
      <x:c r="H3563"/>
      <x:c r="I3563"/>
      <x:c r="J3563"/>
      <x:c r="K3563"/>
      <x:c r="L3563"/>
      <x:c r="M3563"/>
      <x:c r="N3563"/>
      <x:c r="O3563"/>
      <x:c r="P3563"/>
    </x:row>
    <x:row r="3564">
      <x:c r="A3564"/>
      <x:c r="B3564"/>
      <x:c r="C3564"/>
      <x:c r="D3564"/>
      <x:c r="E3564"/>
      <x:c r="F3564"/>
      <x:c r="G3564" s="56"/>
      <x:c r="H3564"/>
      <x:c r="I3564"/>
      <x:c r="J3564"/>
      <x:c r="K3564"/>
      <x:c r="L3564"/>
      <x:c r="M3564"/>
      <x:c r="N3564"/>
      <x:c r="O3564"/>
      <x:c r="P3564"/>
    </x:row>
    <x:row r="3565">
      <x:c r="A3565"/>
      <x:c r="B3565"/>
      <x:c r="C3565"/>
      <x:c r="D3565"/>
      <x:c r="E3565"/>
      <x:c r="F3565"/>
      <x:c r="G3565" s="56"/>
      <x:c r="H3565"/>
      <x:c r="I3565"/>
      <x:c r="J3565"/>
      <x:c r="K3565"/>
      <x:c r="L3565"/>
      <x:c r="M3565"/>
      <x:c r="N3565"/>
      <x:c r="O3565"/>
      <x:c r="P3565"/>
    </x:row>
    <x:row r="3566">
      <x:c r="A3566"/>
      <x:c r="B3566"/>
      <x:c r="C3566"/>
      <x:c r="D3566"/>
      <x:c r="E3566"/>
      <x:c r="F3566"/>
      <x:c r="G3566" s="56"/>
      <x:c r="H3566"/>
      <x:c r="I3566"/>
      <x:c r="J3566"/>
      <x:c r="K3566"/>
      <x:c r="L3566"/>
      <x:c r="M3566"/>
      <x:c r="N3566"/>
      <x:c r="O3566"/>
      <x:c r="P3566"/>
    </x:row>
    <x:row r="3567">
      <x:c r="A3567"/>
      <x:c r="B3567"/>
      <x:c r="C3567"/>
      <x:c r="D3567"/>
      <x:c r="E3567"/>
      <x:c r="F3567"/>
      <x:c r="G3567" s="56"/>
      <x:c r="H3567"/>
      <x:c r="I3567"/>
      <x:c r="J3567"/>
      <x:c r="K3567"/>
      <x:c r="L3567"/>
      <x:c r="M3567"/>
      <x:c r="N3567"/>
      <x:c r="O3567"/>
      <x:c r="P3567"/>
    </x:row>
    <x:row r="3568">
      <x:c r="A3568"/>
      <x:c r="B3568"/>
      <x:c r="C3568"/>
      <x:c r="D3568"/>
      <x:c r="E3568"/>
      <x:c r="F3568"/>
      <x:c r="G3568" s="56"/>
      <x:c r="H3568"/>
      <x:c r="I3568"/>
      <x:c r="J3568"/>
      <x:c r="K3568"/>
      <x:c r="L3568"/>
      <x:c r="M3568"/>
      <x:c r="N3568"/>
      <x:c r="O3568"/>
      <x:c r="P3568"/>
    </x:row>
    <x:row r="3569">
      <x:c r="A3569"/>
      <x:c r="B3569"/>
      <x:c r="C3569"/>
      <x:c r="D3569"/>
      <x:c r="E3569"/>
      <x:c r="F3569"/>
      <x:c r="G3569" s="56"/>
      <x:c r="H3569"/>
      <x:c r="I3569"/>
      <x:c r="J3569"/>
      <x:c r="K3569"/>
      <x:c r="L3569"/>
      <x:c r="M3569"/>
      <x:c r="N3569"/>
      <x:c r="O3569"/>
      <x:c r="P3569"/>
    </x:row>
    <x:row r="3570">
      <x:c r="A3570"/>
      <x:c r="B3570"/>
      <x:c r="C3570"/>
      <x:c r="D3570"/>
      <x:c r="E3570"/>
      <x:c r="F3570"/>
      <x:c r="G3570" s="56"/>
      <x:c r="H3570"/>
      <x:c r="I3570"/>
      <x:c r="J3570"/>
      <x:c r="K3570"/>
      <x:c r="L3570"/>
      <x:c r="M3570"/>
      <x:c r="N3570"/>
      <x:c r="O3570"/>
      <x:c r="P3570"/>
    </x:row>
    <x:row r="3571">
      <x:c r="A3571"/>
      <x:c r="B3571"/>
      <x:c r="C3571"/>
      <x:c r="D3571"/>
      <x:c r="E3571"/>
      <x:c r="F3571"/>
      <x:c r="G3571" s="56"/>
      <x:c r="H3571"/>
      <x:c r="I3571"/>
      <x:c r="J3571"/>
      <x:c r="K3571"/>
      <x:c r="L3571"/>
      <x:c r="M3571"/>
      <x:c r="N3571"/>
      <x:c r="O3571"/>
      <x:c r="P3571"/>
    </x:row>
    <x:row r="3572">
      <x:c r="A3572"/>
      <x:c r="B3572"/>
      <x:c r="C3572"/>
      <x:c r="D3572"/>
      <x:c r="E3572"/>
      <x:c r="F3572"/>
      <x:c r="G3572" s="56"/>
      <x:c r="H3572"/>
      <x:c r="I3572"/>
      <x:c r="J3572"/>
      <x:c r="K3572"/>
      <x:c r="L3572"/>
      <x:c r="M3572"/>
      <x:c r="N3572"/>
      <x:c r="O3572"/>
      <x:c r="P3572"/>
    </x:row>
    <x:row r="3573">
      <x:c r="A3573"/>
      <x:c r="B3573"/>
      <x:c r="C3573"/>
      <x:c r="D3573"/>
      <x:c r="E3573"/>
      <x:c r="F3573"/>
      <x:c r="G3573" s="56"/>
      <x:c r="H3573"/>
      <x:c r="I3573"/>
      <x:c r="J3573"/>
      <x:c r="K3573"/>
      <x:c r="L3573"/>
      <x:c r="M3573"/>
      <x:c r="N3573"/>
      <x:c r="O3573"/>
      <x:c r="P3573"/>
    </x:row>
    <x:row r="3574">
      <x:c r="A3574"/>
      <x:c r="B3574"/>
      <x:c r="C3574"/>
      <x:c r="D3574"/>
      <x:c r="E3574"/>
      <x:c r="F3574"/>
      <x:c r="G3574" s="56"/>
      <x:c r="H3574"/>
      <x:c r="I3574"/>
      <x:c r="J3574"/>
      <x:c r="K3574"/>
      <x:c r="L3574"/>
      <x:c r="M3574"/>
      <x:c r="N3574"/>
      <x:c r="O3574"/>
      <x:c r="P3574"/>
    </x:row>
    <x:row r="3575">
      <x:c r="A3575"/>
      <x:c r="B3575"/>
      <x:c r="C3575"/>
      <x:c r="D3575"/>
      <x:c r="E3575"/>
      <x:c r="F3575"/>
      <x:c r="G3575" s="56"/>
      <x:c r="H3575"/>
      <x:c r="I3575"/>
      <x:c r="J3575"/>
      <x:c r="K3575"/>
      <x:c r="L3575"/>
      <x:c r="M3575"/>
      <x:c r="N3575"/>
      <x:c r="O3575"/>
      <x:c r="P3575"/>
    </x:row>
    <x:row r="3576">
      <x:c r="A3576"/>
      <x:c r="B3576"/>
      <x:c r="C3576"/>
      <x:c r="D3576"/>
      <x:c r="E3576"/>
      <x:c r="F3576"/>
      <x:c r="G3576" s="56"/>
      <x:c r="H3576"/>
      <x:c r="I3576"/>
      <x:c r="J3576"/>
      <x:c r="K3576"/>
      <x:c r="L3576"/>
      <x:c r="M3576"/>
      <x:c r="N3576"/>
      <x:c r="O3576"/>
      <x:c r="P3576"/>
    </x:row>
    <x:row r="3577">
      <x:c r="A3577"/>
      <x:c r="B3577"/>
      <x:c r="C3577"/>
      <x:c r="D3577"/>
      <x:c r="E3577"/>
      <x:c r="F3577"/>
      <x:c r="G3577" s="56"/>
      <x:c r="H3577"/>
      <x:c r="I3577"/>
      <x:c r="J3577"/>
      <x:c r="K3577"/>
      <x:c r="L3577"/>
      <x:c r="M3577"/>
      <x:c r="N3577"/>
      <x:c r="O3577"/>
      <x:c r="P3577"/>
    </x:row>
    <x:row r="3578">
      <x:c r="A3578"/>
      <x:c r="B3578"/>
      <x:c r="C3578"/>
      <x:c r="D3578"/>
      <x:c r="E3578"/>
      <x:c r="F3578"/>
      <x:c r="G3578" s="56"/>
      <x:c r="H3578"/>
      <x:c r="I3578"/>
      <x:c r="J3578"/>
      <x:c r="K3578"/>
      <x:c r="L3578"/>
      <x:c r="M3578"/>
      <x:c r="N3578"/>
      <x:c r="O3578"/>
      <x:c r="P3578"/>
    </x:row>
    <x:row r="3579">
      <x:c r="A3579"/>
      <x:c r="B3579"/>
      <x:c r="C3579"/>
      <x:c r="D3579"/>
      <x:c r="E3579"/>
      <x:c r="F3579"/>
      <x:c r="G3579" s="56"/>
      <x:c r="H3579"/>
      <x:c r="I3579"/>
      <x:c r="J3579"/>
      <x:c r="K3579"/>
      <x:c r="L3579"/>
      <x:c r="M3579"/>
      <x:c r="N3579"/>
      <x:c r="O3579"/>
      <x:c r="P3579"/>
    </x:row>
    <x:row r="3580">
      <x:c r="A3580"/>
      <x:c r="B3580"/>
      <x:c r="C3580"/>
      <x:c r="D3580"/>
      <x:c r="E3580"/>
      <x:c r="F3580"/>
      <x:c r="G3580" s="56"/>
      <x:c r="H3580"/>
      <x:c r="I3580"/>
      <x:c r="J3580"/>
      <x:c r="K3580"/>
      <x:c r="L3580"/>
      <x:c r="M3580"/>
      <x:c r="N3580"/>
      <x:c r="O3580"/>
      <x:c r="P3580"/>
    </x:row>
    <x:row r="3581">
      <x:c r="A3581"/>
      <x:c r="B3581"/>
      <x:c r="C3581"/>
      <x:c r="D3581"/>
      <x:c r="E3581"/>
      <x:c r="F3581"/>
      <x:c r="G3581" s="56"/>
      <x:c r="H3581"/>
      <x:c r="I3581"/>
      <x:c r="J3581"/>
      <x:c r="K3581"/>
      <x:c r="L3581"/>
      <x:c r="M3581"/>
      <x:c r="N3581"/>
      <x:c r="O3581"/>
      <x:c r="P3581"/>
    </x:row>
    <x:row r="3582">
      <x:c r="A3582"/>
      <x:c r="B3582"/>
      <x:c r="C3582"/>
      <x:c r="D3582"/>
      <x:c r="E3582"/>
      <x:c r="F3582"/>
      <x:c r="G3582" s="56"/>
      <x:c r="H3582"/>
      <x:c r="I3582"/>
      <x:c r="J3582"/>
      <x:c r="K3582"/>
      <x:c r="L3582"/>
      <x:c r="M3582"/>
      <x:c r="N3582"/>
      <x:c r="O3582"/>
      <x:c r="P3582"/>
    </x:row>
    <x:row r="3583">
      <x:c r="A3583"/>
      <x:c r="B3583"/>
      <x:c r="C3583"/>
      <x:c r="D3583"/>
      <x:c r="E3583"/>
      <x:c r="F3583"/>
      <x:c r="G3583" s="56"/>
      <x:c r="H3583"/>
      <x:c r="I3583"/>
      <x:c r="J3583"/>
      <x:c r="K3583"/>
      <x:c r="L3583"/>
      <x:c r="M3583"/>
      <x:c r="N3583"/>
      <x:c r="O3583"/>
      <x:c r="P3583"/>
    </x:row>
    <x:row r="3584">
      <x:c r="A3584"/>
      <x:c r="B3584"/>
      <x:c r="C3584"/>
      <x:c r="D3584"/>
      <x:c r="E3584"/>
      <x:c r="F3584"/>
      <x:c r="G3584" s="56"/>
      <x:c r="H3584"/>
      <x:c r="I3584"/>
      <x:c r="J3584"/>
      <x:c r="K3584"/>
      <x:c r="L3584"/>
      <x:c r="M3584"/>
      <x:c r="N3584"/>
      <x:c r="O3584"/>
      <x:c r="P3584"/>
    </x:row>
    <x:row r="3585">
      <x:c r="A3585"/>
      <x:c r="B3585"/>
      <x:c r="C3585"/>
      <x:c r="D3585"/>
      <x:c r="E3585"/>
      <x:c r="F3585"/>
      <x:c r="G3585" s="56"/>
      <x:c r="H3585"/>
      <x:c r="I3585"/>
      <x:c r="J3585"/>
      <x:c r="K3585"/>
      <x:c r="L3585"/>
      <x:c r="M3585"/>
      <x:c r="N3585"/>
      <x:c r="O3585"/>
      <x:c r="P3585"/>
    </x:row>
    <x:row r="3586">
      <x:c r="A3586"/>
      <x:c r="B3586"/>
      <x:c r="C3586"/>
      <x:c r="D3586"/>
      <x:c r="E3586"/>
      <x:c r="F3586"/>
      <x:c r="G3586" s="56"/>
      <x:c r="H3586"/>
      <x:c r="I3586"/>
      <x:c r="J3586"/>
      <x:c r="K3586"/>
      <x:c r="L3586"/>
      <x:c r="M3586"/>
      <x:c r="N3586"/>
      <x:c r="O3586"/>
      <x:c r="P3586"/>
    </x:row>
    <x:row r="3587">
      <x:c r="A3587"/>
      <x:c r="B3587"/>
      <x:c r="C3587"/>
      <x:c r="D3587"/>
      <x:c r="E3587"/>
      <x:c r="F3587"/>
      <x:c r="G3587" s="56"/>
      <x:c r="H3587"/>
      <x:c r="I3587"/>
      <x:c r="J3587"/>
      <x:c r="K3587"/>
      <x:c r="L3587"/>
      <x:c r="M3587"/>
      <x:c r="N3587"/>
      <x:c r="O3587"/>
      <x:c r="P3587"/>
    </x:row>
    <x:row r="3588">
      <x:c r="A3588"/>
      <x:c r="B3588"/>
      <x:c r="C3588"/>
      <x:c r="D3588"/>
      <x:c r="E3588"/>
      <x:c r="F3588"/>
      <x:c r="G3588" s="56"/>
      <x:c r="H3588"/>
      <x:c r="I3588"/>
      <x:c r="J3588"/>
      <x:c r="K3588"/>
      <x:c r="L3588"/>
      <x:c r="M3588"/>
      <x:c r="N3588"/>
      <x:c r="O3588"/>
      <x:c r="P3588"/>
    </x:row>
    <x:row r="3589">
      <x:c r="A3589"/>
      <x:c r="B3589"/>
      <x:c r="C3589"/>
      <x:c r="D3589"/>
      <x:c r="E3589"/>
      <x:c r="F3589"/>
      <x:c r="G3589" s="56"/>
      <x:c r="H3589"/>
      <x:c r="I3589"/>
      <x:c r="J3589"/>
      <x:c r="K3589"/>
      <x:c r="L3589"/>
      <x:c r="M3589"/>
      <x:c r="N3589"/>
      <x:c r="O3589"/>
      <x:c r="P3589"/>
    </x:row>
    <x:row r="3590">
      <x:c r="A3590"/>
      <x:c r="B3590"/>
      <x:c r="C3590"/>
      <x:c r="D3590"/>
      <x:c r="E3590"/>
      <x:c r="F3590"/>
      <x:c r="G3590" s="56"/>
      <x:c r="H3590"/>
      <x:c r="I3590"/>
      <x:c r="J3590"/>
      <x:c r="K3590"/>
      <x:c r="L3590"/>
      <x:c r="M3590"/>
      <x:c r="N3590"/>
      <x:c r="O3590"/>
      <x:c r="P3590"/>
    </x:row>
    <x:row r="3591">
      <x:c r="A3591"/>
      <x:c r="B3591"/>
      <x:c r="C3591"/>
      <x:c r="D3591"/>
      <x:c r="E3591"/>
      <x:c r="F3591"/>
      <x:c r="G3591" s="56"/>
      <x:c r="H3591"/>
      <x:c r="I3591"/>
      <x:c r="J3591"/>
      <x:c r="K3591"/>
      <x:c r="L3591"/>
      <x:c r="M3591"/>
      <x:c r="N3591"/>
      <x:c r="O3591"/>
      <x:c r="P3591"/>
    </x:row>
    <x:row r="3592">
      <x:c r="A3592"/>
      <x:c r="B3592"/>
      <x:c r="C3592"/>
      <x:c r="D3592"/>
      <x:c r="E3592"/>
      <x:c r="F3592"/>
      <x:c r="G3592" s="56"/>
      <x:c r="H3592"/>
      <x:c r="I3592"/>
      <x:c r="J3592"/>
      <x:c r="K3592"/>
      <x:c r="L3592"/>
      <x:c r="M3592"/>
      <x:c r="N3592"/>
      <x:c r="O3592"/>
      <x:c r="P3592"/>
    </x:row>
    <x:row r="3593">
      <x:c r="A3593"/>
      <x:c r="B3593"/>
      <x:c r="C3593"/>
      <x:c r="D3593"/>
      <x:c r="E3593"/>
      <x:c r="F3593"/>
      <x:c r="G3593" s="56"/>
      <x:c r="H3593"/>
      <x:c r="I3593"/>
      <x:c r="J3593"/>
      <x:c r="K3593"/>
      <x:c r="L3593"/>
      <x:c r="M3593"/>
      <x:c r="N3593"/>
      <x:c r="O3593"/>
      <x:c r="P3593"/>
    </x:row>
    <x:row r="3594">
      <x:c r="A3594"/>
      <x:c r="B3594"/>
      <x:c r="C3594"/>
      <x:c r="D3594"/>
      <x:c r="E3594"/>
      <x:c r="F3594"/>
      <x:c r="G3594" s="56"/>
      <x:c r="H3594"/>
      <x:c r="I3594"/>
      <x:c r="J3594"/>
      <x:c r="K3594"/>
      <x:c r="L3594"/>
      <x:c r="M3594"/>
      <x:c r="N3594"/>
      <x:c r="O3594"/>
      <x:c r="P3594"/>
    </x:row>
    <x:row r="3595">
      <x:c r="A3595"/>
      <x:c r="B3595"/>
      <x:c r="C3595"/>
      <x:c r="D3595"/>
      <x:c r="E3595"/>
      <x:c r="F3595"/>
      <x:c r="G3595" s="56"/>
      <x:c r="H3595"/>
      <x:c r="I3595"/>
      <x:c r="J3595"/>
      <x:c r="K3595"/>
      <x:c r="L3595"/>
      <x:c r="M3595"/>
      <x:c r="N3595"/>
      <x:c r="O3595"/>
      <x:c r="P3595"/>
    </x:row>
    <x:row r="3596">
      <x:c r="A3596"/>
      <x:c r="B3596"/>
      <x:c r="C3596"/>
      <x:c r="D3596"/>
      <x:c r="E3596"/>
      <x:c r="F3596"/>
      <x:c r="G3596" s="56"/>
      <x:c r="H3596"/>
      <x:c r="I3596"/>
      <x:c r="J3596"/>
      <x:c r="K3596"/>
      <x:c r="L3596"/>
      <x:c r="M3596"/>
      <x:c r="N3596"/>
      <x:c r="O3596"/>
      <x:c r="P3596"/>
    </x:row>
    <x:row r="3597">
      <x:c r="A3597"/>
      <x:c r="B3597"/>
      <x:c r="C3597"/>
      <x:c r="D3597"/>
      <x:c r="E3597"/>
      <x:c r="F3597"/>
      <x:c r="G3597" s="56"/>
      <x:c r="H3597"/>
      <x:c r="I3597"/>
      <x:c r="J3597"/>
      <x:c r="K3597"/>
      <x:c r="L3597"/>
      <x:c r="M3597"/>
      <x:c r="N3597"/>
      <x:c r="O3597"/>
      <x:c r="P3597"/>
    </x:row>
    <x:row r="3598">
      <x:c r="A3598"/>
      <x:c r="B3598"/>
      <x:c r="C3598"/>
      <x:c r="D3598"/>
      <x:c r="E3598"/>
      <x:c r="F3598"/>
      <x:c r="G3598" s="56"/>
      <x:c r="H3598"/>
      <x:c r="I3598"/>
      <x:c r="J3598"/>
      <x:c r="K3598"/>
      <x:c r="L3598"/>
      <x:c r="M3598"/>
      <x:c r="N3598"/>
      <x:c r="O3598"/>
      <x:c r="P3598"/>
    </x:row>
    <x:row r="3599">
      <x:c r="A3599"/>
      <x:c r="B3599"/>
      <x:c r="C3599"/>
      <x:c r="D3599"/>
      <x:c r="E3599"/>
      <x:c r="F3599"/>
      <x:c r="G3599" s="56"/>
      <x:c r="H3599"/>
      <x:c r="I3599"/>
      <x:c r="J3599"/>
      <x:c r="K3599"/>
      <x:c r="L3599"/>
      <x:c r="M3599"/>
      <x:c r="N3599"/>
      <x:c r="O3599"/>
      <x:c r="P3599"/>
    </x:row>
    <x:row r="3600">
      <x:c r="A3600"/>
      <x:c r="B3600"/>
      <x:c r="C3600"/>
      <x:c r="D3600"/>
      <x:c r="E3600"/>
      <x:c r="F3600"/>
      <x:c r="G3600" s="56"/>
      <x:c r="H3600"/>
      <x:c r="I3600"/>
      <x:c r="J3600"/>
      <x:c r="K3600"/>
      <x:c r="L3600"/>
      <x:c r="M3600"/>
      <x:c r="N3600"/>
      <x:c r="O3600"/>
      <x:c r="P3600"/>
    </x:row>
    <x:row r="3601">
      <x:c r="A3601"/>
      <x:c r="B3601"/>
      <x:c r="C3601"/>
      <x:c r="D3601"/>
      <x:c r="E3601"/>
      <x:c r="F3601"/>
      <x:c r="G3601" s="56"/>
      <x:c r="H3601"/>
      <x:c r="I3601"/>
      <x:c r="J3601"/>
      <x:c r="K3601"/>
      <x:c r="L3601"/>
      <x:c r="M3601"/>
      <x:c r="N3601"/>
      <x:c r="O3601"/>
      <x:c r="P3601"/>
    </x:row>
    <x:row r="3602">
      <x:c r="A3602"/>
      <x:c r="B3602"/>
      <x:c r="C3602"/>
      <x:c r="D3602"/>
      <x:c r="E3602"/>
      <x:c r="F3602"/>
      <x:c r="G3602" s="56"/>
      <x:c r="H3602"/>
      <x:c r="I3602"/>
      <x:c r="J3602"/>
      <x:c r="K3602"/>
      <x:c r="L3602"/>
      <x:c r="M3602"/>
      <x:c r="N3602"/>
      <x:c r="O3602"/>
      <x:c r="P3602"/>
    </x:row>
    <x:row r="3603">
      <x:c r="A3603"/>
      <x:c r="B3603"/>
      <x:c r="C3603"/>
      <x:c r="D3603"/>
      <x:c r="E3603"/>
      <x:c r="F3603"/>
      <x:c r="G3603" s="56"/>
      <x:c r="H3603"/>
      <x:c r="I3603"/>
      <x:c r="J3603"/>
      <x:c r="K3603"/>
      <x:c r="L3603"/>
      <x:c r="M3603"/>
      <x:c r="N3603"/>
      <x:c r="O3603"/>
      <x:c r="P3603"/>
    </x:row>
    <x:row r="3604">
      <x:c r="A3604"/>
      <x:c r="B3604"/>
      <x:c r="C3604"/>
      <x:c r="D3604"/>
      <x:c r="E3604"/>
      <x:c r="F3604"/>
      <x:c r="G3604" s="56"/>
      <x:c r="H3604"/>
      <x:c r="I3604"/>
      <x:c r="J3604"/>
      <x:c r="K3604"/>
      <x:c r="L3604"/>
      <x:c r="M3604"/>
      <x:c r="N3604"/>
      <x:c r="O3604"/>
      <x:c r="P3604"/>
    </x:row>
    <x:row r="3605">
      <x:c r="A3605"/>
      <x:c r="B3605"/>
      <x:c r="C3605"/>
      <x:c r="D3605"/>
      <x:c r="E3605"/>
      <x:c r="F3605"/>
      <x:c r="G3605" s="56"/>
      <x:c r="H3605"/>
      <x:c r="I3605"/>
      <x:c r="J3605"/>
      <x:c r="K3605"/>
      <x:c r="L3605"/>
      <x:c r="M3605"/>
      <x:c r="N3605"/>
      <x:c r="O3605"/>
      <x:c r="P3605"/>
    </x:row>
    <x:row r="3606">
      <x:c r="A3606"/>
      <x:c r="B3606"/>
      <x:c r="C3606"/>
      <x:c r="D3606"/>
      <x:c r="E3606"/>
      <x:c r="F3606"/>
      <x:c r="G3606" s="56"/>
      <x:c r="H3606"/>
      <x:c r="I3606"/>
      <x:c r="J3606"/>
      <x:c r="K3606"/>
      <x:c r="L3606"/>
      <x:c r="M3606"/>
      <x:c r="N3606"/>
      <x:c r="O3606"/>
      <x:c r="P3606"/>
    </x:row>
    <x:row r="3607">
      <x:c r="A3607"/>
      <x:c r="B3607"/>
      <x:c r="C3607"/>
      <x:c r="D3607"/>
      <x:c r="E3607"/>
      <x:c r="F3607"/>
      <x:c r="G3607" s="56"/>
      <x:c r="H3607"/>
      <x:c r="I3607"/>
      <x:c r="J3607"/>
      <x:c r="K3607"/>
      <x:c r="L3607"/>
      <x:c r="M3607"/>
      <x:c r="N3607"/>
      <x:c r="O3607"/>
      <x:c r="P3607"/>
    </x:row>
    <x:row r="3608">
      <x:c r="A3608"/>
      <x:c r="B3608"/>
      <x:c r="C3608"/>
      <x:c r="D3608"/>
      <x:c r="E3608"/>
      <x:c r="F3608"/>
      <x:c r="G3608" s="56"/>
      <x:c r="H3608"/>
      <x:c r="I3608"/>
      <x:c r="J3608"/>
      <x:c r="K3608"/>
      <x:c r="L3608"/>
      <x:c r="M3608"/>
      <x:c r="N3608"/>
      <x:c r="O3608"/>
      <x:c r="P3608"/>
    </x:row>
    <x:row r="3609">
      <x:c r="A3609"/>
      <x:c r="B3609"/>
      <x:c r="C3609"/>
      <x:c r="D3609"/>
      <x:c r="E3609"/>
      <x:c r="F3609"/>
      <x:c r="G3609" s="56"/>
      <x:c r="H3609"/>
      <x:c r="I3609"/>
      <x:c r="J3609"/>
      <x:c r="K3609"/>
      <x:c r="L3609"/>
      <x:c r="M3609"/>
      <x:c r="N3609"/>
      <x:c r="O3609"/>
      <x:c r="P3609"/>
    </x:row>
    <x:row r="3610">
      <x:c r="A3610"/>
      <x:c r="B3610"/>
      <x:c r="C3610"/>
      <x:c r="D3610"/>
      <x:c r="E3610"/>
      <x:c r="F3610"/>
      <x:c r="G3610" s="56"/>
      <x:c r="H3610"/>
      <x:c r="I3610"/>
      <x:c r="J3610"/>
      <x:c r="K3610"/>
      <x:c r="L3610"/>
      <x:c r="M3610"/>
      <x:c r="N3610"/>
      <x:c r="O3610"/>
      <x:c r="P3610"/>
    </x:row>
    <x:row r="3611">
      <x:c r="A3611"/>
      <x:c r="B3611"/>
      <x:c r="C3611"/>
      <x:c r="D3611"/>
      <x:c r="E3611"/>
      <x:c r="F3611"/>
      <x:c r="G3611" s="56"/>
      <x:c r="H3611"/>
      <x:c r="I3611"/>
      <x:c r="J3611"/>
      <x:c r="K3611"/>
      <x:c r="L3611"/>
      <x:c r="M3611"/>
      <x:c r="N3611"/>
      <x:c r="O3611"/>
      <x:c r="P3611"/>
    </x:row>
    <x:row r="3612">
      <x:c r="A3612"/>
      <x:c r="B3612"/>
      <x:c r="C3612"/>
      <x:c r="D3612"/>
      <x:c r="E3612"/>
      <x:c r="F3612"/>
      <x:c r="G3612" s="56"/>
      <x:c r="H3612"/>
      <x:c r="I3612"/>
      <x:c r="J3612"/>
      <x:c r="K3612"/>
      <x:c r="L3612"/>
      <x:c r="M3612"/>
      <x:c r="N3612"/>
      <x:c r="O3612"/>
      <x:c r="P3612"/>
    </x:row>
    <x:row r="3613">
      <x:c r="A3613"/>
      <x:c r="B3613"/>
      <x:c r="C3613"/>
      <x:c r="D3613"/>
      <x:c r="E3613"/>
      <x:c r="F3613"/>
      <x:c r="G3613" s="56"/>
      <x:c r="H3613"/>
      <x:c r="I3613"/>
      <x:c r="J3613"/>
      <x:c r="K3613"/>
      <x:c r="L3613"/>
      <x:c r="M3613"/>
      <x:c r="N3613"/>
      <x:c r="O3613"/>
      <x:c r="P3613"/>
    </x:row>
    <x:row r="3614">
      <x:c r="A3614"/>
      <x:c r="B3614"/>
      <x:c r="C3614"/>
      <x:c r="D3614"/>
      <x:c r="E3614"/>
      <x:c r="F3614"/>
      <x:c r="G3614" s="56"/>
      <x:c r="H3614"/>
      <x:c r="I3614"/>
      <x:c r="J3614"/>
      <x:c r="K3614"/>
      <x:c r="L3614"/>
      <x:c r="M3614"/>
      <x:c r="N3614"/>
      <x:c r="O3614"/>
      <x:c r="P3614"/>
    </x:row>
    <x:row r="3615">
      <x:c r="A3615"/>
      <x:c r="B3615"/>
      <x:c r="C3615"/>
      <x:c r="D3615"/>
      <x:c r="E3615"/>
      <x:c r="F3615"/>
      <x:c r="G3615" s="56"/>
      <x:c r="H3615"/>
      <x:c r="I3615"/>
      <x:c r="J3615"/>
      <x:c r="K3615"/>
      <x:c r="L3615"/>
      <x:c r="M3615"/>
      <x:c r="N3615"/>
      <x:c r="O3615"/>
      <x:c r="P3615"/>
    </x:row>
    <x:row r="3616">
      <x:c r="A3616"/>
      <x:c r="B3616"/>
      <x:c r="C3616"/>
      <x:c r="D3616"/>
      <x:c r="E3616"/>
      <x:c r="F3616"/>
      <x:c r="G3616" s="56"/>
      <x:c r="H3616"/>
      <x:c r="I3616"/>
      <x:c r="J3616"/>
      <x:c r="K3616"/>
      <x:c r="L3616"/>
      <x:c r="M3616"/>
      <x:c r="N3616"/>
      <x:c r="O3616"/>
      <x:c r="P3616"/>
    </x:row>
    <x:row r="3617">
      <x:c r="A3617"/>
      <x:c r="B3617"/>
      <x:c r="C3617"/>
      <x:c r="D3617"/>
      <x:c r="E3617"/>
      <x:c r="F3617"/>
      <x:c r="G3617" s="56"/>
      <x:c r="H3617"/>
      <x:c r="I3617"/>
      <x:c r="J3617"/>
      <x:c r="K3617"/>
      <x:c r="L3617"/>
      <x:c r="M3617"/>
      <x:c r="N3617"/>
      <x:c r="O3617"/>
      <x:c r="P3617"/>
    </x:row>
    <x:row r="3618">
      <x:c r="A3618"/>
      <x:c r="B3618"/>
      <x:c r="C3618"/>
      <x:c r="D3618"/>
      <x:c r="E3618"/>
      <x:c r="F3618"/>
      <x:c r="G3618" s="56"/>
      <x:c r="H3618"/>
      <x:c r="I3618"/>
      <x:c r="J3618"/>
      <x:c r="K3618"/>
      <x:c r="L3618"/>
      <x:c r="M3618"/>
      <x:c r="N3618"/>
      <x:c r="O3618"/>
      <x:c r="P3618"/>
    </x:row>
    <x:row r="3619">
      <x:c r="A3619"/>
      <x:c r="B3619"/>
      <x:c r="C3619"/>
      <x:c r="D3619"/>
      <x:c r="E3619"/>
      <x:c r="F3619"/>
      <x:c r="G3619" s="56"/>
      <x:c r="H3619"/>
      <x:c r="I3619"/>
      <x:c r="J3619"/>
      <x:c r="K3619"/>
      <x:c r="L3619"/>
      <x:c r="M3619"/>
      <x:c r="N3619"/>
      <x:c r="O3619"/>
      <x:c r="P3619"/>
    </x:row>
    <x:row r="3620">
      <x:c r="A3620"/>
      <x:c r="B3620"/>
      <x:c r="C3620"/>
      <x:c r="D3620"/>
      <x:c r="E3620"/>
      <x:c r="F3620"/>
      <x:c r="G3620" s="56"/>
      <x:c r="H3620"/>
      <x:c r="I3620"/>
      <x:c r="J3620"/>
      <x:c r="K3620"/>
      <x:c r="L3620"/>
      <x:c r="M3620"/>
      <x:c r="N3620"/>
      <x:c r="O3620"/>
      <x:c r="P3620"/>
    </x:row>
    <x:row r="3621">
      <x:c r="A3621"/>
      <x:c r="B3621"/>
      <x:c r="C3621"/>
      <x:c r="D3621"/>
      <x:c r="E3621"/>
      <x:c r="F3621"/>
      <x:c r="G3621" s="56"/>
      <x:c r="H3621"/>
      <x:c r="I3621"/>
      <x:c r="J3621"/>
      <x:c r="K3621"/>
      <x:c r="L3621"/>
      <x:c r="M3621"/>
      <x:c r="N3621"/>
      <x:c r="O3621"/>
      <x:c r="P3621"/>
    </x:row>
    <x:row r="3622">
      <x:c r="A3622"/>
      <x:c r="B3622"/>
      <x:c r="C3622"/>
      <x:c r="D3622"/>
      <x:c r="E3622"/>
      <x:c r="F3622"/>
      <x:c r="G3622" s="56"/>
      <x:c r="H3622"/>
      <x:c r="I3622"/>
      <x:c r="J3622"/>
      <x:c r="K3622"/>
      <x:c r="L3622"/>
      <x:c r="M3622"/>
      <x:c r="N3622"/>
      <x:c r="O3622"/>
      <x:c r="P3622"/>
    </x:row>
    <x:row r="3623">
      <x:c r="A3623"/>
      <x:c r="B3623"/>
      <x:c r="C3623"/>
      <x:c r="D3623"/>
      <x:c r="E3623"/>
      <x:c r="F3623"/>
      <x:c r="G3623" s="56"/>
      <x:c r="H3623"/>
      <x:c r="I3623"/>
      <x:c r="J3623"/>
      <x:c r="K3623"/>
      <x:c r="L3623"/>
      <x:c r="M3623"/>
      <x:c r="N3623"/>
      <x:c r="O3623"/>
      <x:c r="P3623"/>
    </x:row>
    <x:row r="3624">
      <x:c r="A3624"/>
      <x:c r="B3624"/>
      <x:c r="C3624"/>
      <x:c r="D3624"/>
      <x:c r="E3624"/>
      <x:c r="F3624"/>
      <x:c r="G3624" s="56"/>
      <x:c r="H3624"/>
      <x:c r="I3624"/>
      <x:c r="J3624"/>
      <x:c r="K3624"/>
      <x:c r="L3624"/>
      <x:c r="M3624"/>
      <x:c r="N3624"/>
      <x:c r="O3624"/>
      <x:c r="P3624"/>
    </x:row>
    <x:row r="3625">
      <x:c r="A3625"/>
      <x:c r="B3625"/>
      <x:c r="C3625"/>
      <x:c r="D3625"/>
      <x:c r="E3625"/>
      <x:c r="F3625"/>
      <x:c r="G3625" s="56"/>
      <x:c r="H3625"/>
      <x:c r="I3625"/>
      <x:c r="J3625"/>
      <x:c r="K3625"/>
      <x:c r="L3625"/>
      <x:c r="M3625"/>
      <x:c r="N3625"/>
      <x:c r="O3625"/>
      <x:c r="P3625"/>
    </x:row>
    <x:row r="3626">
      <x:c r="A3626"/>
      <x:c r="B3626"/>
      <x:c r="C3626"/>
      <x:c r="D3626"/>
      <x:c r="E3626"/>
      <x:c r="F3626"/>
      <x:c r="G3626" s="56"/>
      <x:c r="H3626"/>
      <x:c r="I3626"/>
      <x:c r="J3626"/>
      <x:c r="K3626"/>
      <x:c r="L3626"/>
      <x:c r="M3626"/>
      <x:c r="N3626"/>
      <x:c r="O3626"/>
      <x:c r="P3626"/>
    </x:row>
    <x:row r="3627">
      <x:c r="A3627"/>
      <x:c r="B3627"/>
      <x:c r="C3627"/>
      <x:c r="D3627"/>
      <x:c r="E3627"/>
      <x:c r="F3627"/>
      <x:c r="G3627" s="56"/>
      <x:c r="H3627"/>
      <x:c r="I3627"/>
      <x:c r="J3627"/>
      <x:c r="K3627"/>
      <x:c r="L3627"/>
      <x:c r="M3627"/>
      <x:c r="N3627"/>
      <x:c r="O3627"/>
      <x:c r="P3627"/>
    </x:row>
    <x:row r="3628">
      <x:c r="A3628"/>
      <x:c r="B3628"/>
      <x:c r="C3628"/>
      <x:c r="D3628"/>
      <x:c r="E3628"/>
      <x:c r="F3628"/>
      <x:c r="G3628" s="56"/>
      <x:c r="H3628"/>
      <x:c r="I3628"/>
      <x:c r="J3628"/>
      <x:c r="K3628"/>
      <x:c r="L3628"/>
      <x:c r="M3628"/>
      <x:c r="N3628"/>
      <x:c r="O3628"/>
      <x:c r="P3628"/>
    </x:row>
    <x:row r="3629">
      <x:c r="A3629"/>
      <x:c r="B3629"/>
      <x:c r="C3629"/>
      <x:c r="D3629"/>
      <x:c r="E3629"/>
      <x:c r="F3629"/>
      <x:c r="G3629" s="56"/>
      <x:c r="H3629"/>
      <x:c r="I3629"/>
      <x:c r="J3629"/>
      <x:c r="K3629"/>
      <x:c r="L3629"/>
      <x:c r="M3629"/>
      <x:c r="N3629"/>
      <x:c r="O3629"/>
      <x:c r="P3629"/>
    </x:row>
    <x:row r="3630">
      <x:c r="A3630"/>
      <x:c r="B3630"/>
      <x:c r="C3630"/>
      <x:c r="D3630"/>
      <x:c r="E3630"/>
      <x:c r="F3630"/>
      <x:c r="G3630" s="56"/>
      <x:c r="H3630"/>
      <x:c r="I3630"/>
      <x:c r="J3630"/>
      <x:c r="K3630"/>
      <x:c r="L3630"/>
      <x:c r="M3630"/>
      <x:c r="N3630"/>
      <x:c r="O3630"/>
      <x:c r="P3630"/>
    </x:row>
    <x:row r="3631">
      <x:c r="A3631"/>
      <x:c r="B3631"/>
      <x:c r="C3631"/>
      <x:c r="D3631"/>
      <x:c r="E3631"/>
      <x:c r="F3631"/>
      <x:c r="G3631" s="56"/>
      <x:c r="H3631"/>
      <x:c r="I3631"/>
      <x:c r="J3631"/>
      <x:c r="K3631"/>
      <x:c r="L3631"/>
      <x:c r="M3631"/>
      <x:c r="N3631"/>
      <x:c r="O3631"/>
      <x:c r="P3631"/>
    </x:row>
    <x:row r="3632">
      <x:c r="A3632"/>
      <x:c r="B3632"/>
      <x:c r="C3632"/>
      <x:c r="D3632"/>
      <x:c r="E3632"/>
      <x:c r="F3632"/>
      <x:c r="G3632" s="56"/>
      <x:c r="H3632"/>
      <x:c r="I3632"/>
      <x:c r="J3632"/>
      <x:c r="K3632"/>
      <x:c r="L3632"/>
      <x:c r="M3632"/>
      <x:c r="N3632"/>
      <x:c r="O3632"/>
      <x:c r="P3632"/>
    </x:row>
    <x:row r="3633">
      <x:c r="A3633"/>
      <x:c r="B3633"/>
      <x:c r="C3633"/>
      <x:c r="D3633"/>
      <x:c r="E3633"/>
      <x:c r="F3633"/>
      <x:c r="G3633" s="56"/>
      <x:c r="H3633"/>
      <x:c r="I3633"/>
      <x:c r="J3633"/>
      <x:c r="K3633"/>
      <x:c r="L3633"/>
      <x:c r="M3633"/>
      <x:c r="N3633"/>
      <x:c r="O3633"/>
      <x:c r="P3633"/>
    </x:row>
    <x:row r="3634">
      <x:c r="A3634"/>
      <x:c r="B3634"/>
      <x:c r="C3634"/>
      <x:c r="D3634"/>
      <x:c r="E3634"/>
      <x:c r="F3634"/>
      <x:c r="G3634" s="56"/>
      <x:c r="H3634"/>
      <x:c r="I3634"/>
      <x:c r="J3634"/>
      <x:c r="K3634"/>
      <x:c r="L3634"/>
      <x:c r="M3634"/>
      <x:c r="N3634"/>
      <x:c r="O3634"/>
      <x:c r="P3634"/>
    </x:row>
    <x:row r="3635">
      <x:c r="A3635"/>
      <x:c r="B3635"/>
      <x:c r="C3635"/>
      <x:c r="D3635"/>
      <x:c r="E3635"/>
      <x:c r="F3635"/>
      <x:c r="G3635" s="56"/>
      <x:c r="H3635"/>
      <x:c r="I3635"/>
      <x:c r="J3635"/>
      <x:c r="K3635"/>
      <x:c r="L3635"/>
      <x:c r="M3635"/>
      <x:c r="N3635"/>
      <x:c r="O3635"/>
      <x:c r="P3635"/>
    </x:row>
    <x:row r="3636">
      <x:c r="A3636"/>
      <x:c r="B3636"/>
      <x:c r="C3636"/>
      <x:c r="D3636"/>
      <x:c r="E3636"/>
      <x:c r="F3636"/>
      <x:c r="G3636" s="56"/>
      <x:c r="H3636"/>
      <x:c r="I3636"/>
      <x:c r="J3636"/>
      <x:c r="K3636"/>
      <x:c r="L3636"/>
      <x:c r="M3636"/>
      <x:c r="N3636"/>
      <x:c r="O3636"/>
      <x:c r="P3636"/>
    </x:row>
    <x:row r="3637">
      <x:c r="A3637"/>
      <x:c r="B3637"/>
      <x:c r="C3637"/>
      <x:c r="D3637"/>
      <x:c r="E3637"/>
      <x:c r="F3637"/>
      <x:c r="G3637" s="56"/>
      <x:c r="H3637"/>
      <x:c r="I3637"/>
      <x:c r="J3637"/>
      <x:c r="K3637"/>
      <x:c r="L3637"/>
      <x:c r="M3637"/>
      <x:c r="N3637"/>
      <x:c r="O3637"/>
      <x:c r="P3637"/>
    </x:row>
    <x:row r="3638">
      <x:c r="A3638"/>
      <x:c r="B3638"/>
      <x:c r="C3638"/>
      <x:c r="D3638"/>
      <x:c r="E3638"/>
      <x:c r="F3638"/>
      <x:c r="G3638" s="56"/>
      <x:c r="H3638"/>
      <x:c r="I3638"/>
      <x:c r="J3638"/>
      <x:c r="K3638"/>
      <x:c r="L3638"/>
      <x:c r="M3638"/>
      <x:c r="N3638"/>
      <x:c r="O3638"/>
      <x:c r="P3638"/>
    </x:row>
    <x:row r="3639">
      <x:c r="A3639"/>
      <x:c r="B3639"/>
      <x:c r="C3639"/>
      <x:c r="D3639"/>
      <x:c r="E3639"/>
      <x:c r="F3639"/>
      <x:c r="G3639" s="56"/>
      <x:c r="H3639"/>
      <x:c r="I3639"/>
      <x:c r="J3639"/>
      <x:c r="K3639"/>
      <x:c r="L3639"/>
      <x:c r="M3639"/>
      <x:c r="N3639"/>
      <x:c r="O3639"/>
      <x:c r="P3639"/>
    </x:row>
    <x:row r="3640">
      <x:c r="A3640"/>
      <x:c r="B3640"/>
      <x:c r="C3640"/>
      <x:c r="D3640"/>
      <x:c r="E3640"/>
      <x:c r="F3640"/>
      <x:c r="G3640" s="56"/>
      <x:c r="H3640"/>
      <x:c r="I3640"/>
      <x:c r="J3640"/>
      <x:c r="K3640"/>
      <x:c r="L3640"/>
      <x:c r="M3640"/>
      <x:c r="N3640"/>
      <x:c r="O3640"/>
      <x:c r="P3640"/>
    </x:row>
    <x:row r="3641">
      <x:c r="A3641"/>
      <x:c r="B3641"/>
      <x:c r="C3641"/>
      <x:c r="D3641"/>
      <x:c r="E3641"/>
      <x:c r="F3641"/>
      <x:c r="G3641" s="56"/>
      <x:c r="H3641"/>
      <x:c r="I3641"/>
      <x:c r="J3641"/>
      <x:c r="K3641"/>
      <x:c r="L3641"/>
      <x:c r="M3641"/>
      <x:c r="N3641"/>
      <x:c r="O3641"/>
      <x:c r="P3641"/>
    </x:row>
    <x:row r="3642">
      <x:c r="A3642"/>
      <x:c r="B3642"/>
      <x:c r="C3642"/>
      <x:c r="D3642"/>
      <x:c r="E3642"/>
      <x:c r="F3642"/>
      <x:c r="G3642" s="56"/>
      <x:c r="H3642"/>
      <x:c r="I3642"/>
      <x:c r="J3642"/>
      <x:c r="K3642"/>
      <x:c r="L3642"/>
      <x:c r="M3642"/>
      <x:c r="N3642"/>
      <x:c r="O3642"/>
      <x:c r="P3642"/>
    </x:row>
    <x:row r="3643">
      <x:c r="A3643"/>
      <x:c r="B3643"/>
      <x:c r="C3643"/>
      <x:c r="D3643"/>
      <x:c r="E3643"/>
      <x:c r="F3643"/>
      <x:c r="G3643" s="56"/>
      <x:c r="H3643"/>
      <x:c r="I3643"/>
      <x:c r="J3643"/>
      <x:c r="K3643"/>
      <x:c r="L3643"/>
      <x:c r="M3643"/>
      <x:c r="N3643"/>
      <x:c r="O3643"/>
      <x:c r="P3643"/>
    </x:row>
    <x:row r="3644">
      <x:c r="A3644"/>
      <x:c r="B3644"/>
      <x:c r="C3644"/>
      <x:c r="D3644"/>
      <x:c r="E3644"/>
      <x:c r="F3644"/>
      <x:c r="G3644" s="56"/>
      <x:c r="H3644"/>
      <x:c r="I3644"/>
      <x:c r="J3644"/>
      <x:c r="K3644"/>
      <x:c r="L3644"/>
      <x:c r="M3644"/>
      <x:c r="N3644"/>
      <x:c r="O3644"/>
      <x:c r="P3644"/>
    </x:row>
    <x:row r="3645">
      <x:c r="A3645"/>
      <x:c r="B3645"/>
      <x:c r="C3645"/>
      <x:c r="D3645"/>
      <x:c r="E3645"/>
      <x:c r="F3645"/>
      <x:c r="G3645" s="56"/>
      <x:c r="H3645"/>
      <x:c r="I3645"/>
      <x:c r="J3645"/>
      <x:c r="K3645"/>
      <x:c r="L3645"/>
      <x:c r="M3645"/>
      <x:c r="N3645"/>
      <x:c r="O3645"/>
      <x:c r="P3645"/>
    </x:row>
    <x:row r="3646">
      <x:c r="A3646"/>
      <x:c r="B3646"/>
      <x:c r="C3646"/>
      <x:c r="D3646"/>
      <x:c r="E3646"/>
      <x:c r="F3646"/>
      <x:c r="G3646" s="56"/>
      <x:c r="H3646"/>
      <x:c r="I3646"/>
      <x:c r="J3646"/>
      <x:c r="K3646"/>
      <x:c r="L3646"/>
      <x:c r="M3646"/>
      <x:c r="N3646"/>
      <x:c r="O3646"/>
      <x:c r="P3646"/>
    </x:row>
    <x:row r="3647">
      <x:c r="A3647"/>
      <x:c r="B3647"/>
      <x:c r="C3647"/>
      <x:c r="D3647"/>
      <x:c r="E3647"/>
      <x:c r="F3647"/>
      <x:c r="G3647" s="56"/>
      <x:c r="H3647"/>
      <x:c r="I3647"/>
      <x:c r="J3647"/>
      <x:c r="K3647"/>
      <x:c r="L3647"/>
      <x:c r="M3647"/>
      <x:c r="N3647"/>
      <x:c r="O3647"/>
      <x:c r="P3647"/>
    </x:row>
    <x:row r="3648">
      <x:c r="A3648"/>
      <x:c r="B3648"/>
      <x:c r="C3648"/>
      <x:c r="D3648"/>
      <x:c r="E3648"/>
      <x:c r="F3648"/>
      <x:c r="G3648" s="56"/>
      <x:c r="H3648"/>
      <x:c r="I3648"/>
      <x:c r="J3648"/>
      <x:c r="K3648"/>
      <x:c r="L3648"/>
      <x:c r="M3648"/>
      <x:c r="N3648"/>
      <x:c r="O3648"/>
      <x:c r="P3648"/>
    </x:row>
    <x:row r="3649">
      <x:c r="A3649"/>
      <x:c r="B3649"/>
      <x:c r="C3649"/>
      <x:c r="D3649"/>
      <x:c r="E3649"/>
      <x:c r="F3649"/>
      <x:c r="G3649" s="56"/>
      <x:c r="H3649"/>
      <x:c r="I3649"/>
      <x:c r="J3649"/>
      <x:c r="K3649"/>
      <x:c r="L3649"/>
      <x:c r="M3649"/>
      <x:c r="N3649"/>
      <x:c r="O3649"/>
      <x:c r="P3649"/>
    </x:row>
    <x:row r="3650">
      <x:c r="A3650"/>
      <x:c r="B3650"/>
      <x:c r="C3650"/>
      <x:c r="D3650"/>
      <x:c r="E3650"/>
      <x:c r="F3650"/>
      <x:c r="G3650" s="56"/>
      <x:c r="H3650"/>
      <x:c r="I3650"/>
      <x:c r="J3650"/>
      <x:c r="K3650"/>
      <x:c r="L3650"/>
      <x:c r="M3650"/>
      <x:c r="N3650"/>
      <x:c r="O3650"/>
      <x:c r="P3650"/>
    </x:row>
    <x:row r="3651">
      <x:c r="A3651"/>
      <x:c r="B3651"/>
      <x:c r="C3651"/>
      <x:c r="D3651"/>
      <x:c r="E3651"/>
      <x:c r="F3651"/>
      <x:c r="G3651" s="56"/>
      <x:c r="H3651"/>
      <x:c r="I3651"/>
      <x:c r="J3651"/>
      <x:c r="K3651"/>
      <x:c r="L3651"/>
      <x:c r="M3651"/>
      <x:c r="N3651"/>
      <x:c r="O3651"/>
      <x:c r="P3651"/>
    </x:row>
    <x:row r="3652">
      <x:c r="A3652"/>
      <x:c r="B3652"/>
      <x:c r="C3652"/>
      <x:c r="D3652"/>
      <x:c r="E3652"/>
      <x:c r="F3652"/>
      <x:c r="G3652" s="56"/>
      <x:c r="H3652"/>
      <x:c r="I3652"/>
      <x:c r="J3652"/>
      <x:c r="K3652"/>
      <x:c r="L3652"/>
      <x:c r="M3652"/>
      <x:c r="N3652"/>
      <x:c r="O3652"/>
      <x:c r="P3652"/>
    </x:row>
    <x:row r="3653">
      <x:c r="A3653"/>
      <x:c r="B3653"/>
      <x:c r="C3653"/>
      <x:c r="D3653"/>
      <x:c r="E3653"/>
      <x:c r="F3653"/>
      <x:c r="G3653" s="56"/>
      <x:c r="H3653"/>
      <x:c r="I3653"/>
      <x:c r="J3653"/>
      <x:c r="K3653"/>
      <x:c r="L3653"/>
      <x:c r="M3653"/>
      <x:c r="N3653"/>
      <x:c r="O3653"/>
      <x:c r="P3653"/>
    </x:row>
    <x:row r="3654">
      <x:c r="A3654"/>
      <x:c r="B3654"/>
      <x:c r="C3654"/>
      <x:c r="D3654"/>
      <x:c r="E3654"/>
      <x:c r="F3654"/>
      <x:c r="G3654" s="56"/>
      <x:c r="H3654"/>
      <x:c r="I3654"/>
      <x:c r="J3654"/>
      <x:c r="K3654"/>
      <x:c r="L3654"/>
      <x:c r="M3654"/>
      <x:c r="N3654"/>
      <x:c r="O3654"/>
      <x:c r="P3654"/>
    </x:row>
    <x:row r="3655">
      <x:c r="A3655"/>
      <x:c r="B3655"/>
      <x:c r="C3655"/>
      <x:c r="D3655"/>
      <x:c r="E3655"/>
      <x:c r="F3655"/>
      <x:c r="G3655" s="56"/>
      <x:c r="H3655"/>
      <x:c r="I3655"/>
      <x:c r="J3655"/>
      <x:c r="K3655"/>
      <x:c r="L3655"/>
      <x:c r="M3655"/>
      <x:c r="N3655"/>
      <x:c r="O3655"/>
      <x:c r="P3655"/>
    </x:row>
    <x:row r="3656">
      <x:c r="A3656"/>
      <x:c r="B3656"/>
      <x:c r="C3656"/>
      <x:c r="D3656"/>
      <x:c r="E3656"/>
      <x:c r="F3656"/>
      <x:c r="G3656" s="56"/>
      <x:c r="H3656"/>
      <x:c r="I3656"/>
      <x:c r="J3656"/>
      <x:c r="K3656"/>
      <x:c r="L3656"/>
      <x:c r="M3656"/>
      <x:c r="N3656"/>
      <x:c r="O3656"/>
      <x:c r="P3656"/>
    </x:row>
    <x:row r="3657">
      <x:c r="A3657"/>
      <x:c r="B3657"/>
      <x:c r="C3657"/>
      <x:c r="D3657"/>
      <x:c r="E3657"/>
      <x:c r="F3657"/>
      <x:c r="G3657" s="56"/>
      <x:c r="H3657"/>
      <x:c r="I3657"/>
      <x:c r="J3657"/>
      <x:c r="K3657"/>
      <x:c r="L3657"/>
      <x:c r="M3657"/>
      <x:c r="N3657"/>
      <x:c r="O3657"/>
      <x:c r="P3657"/>
    </x:row>
    <x:row r="3658">
      <x:c r="A3658"/>
      <x:c r="B3658"/>
      <x:c r="C3658"/>
      <x:c r="D3658"/>
      <x:c r="E3658"/>
      <x:c r="F3658"/>
      <x:c r="G3658" s="56"/>
      <x:c r="H3658"/>
      <x:c r="I3658"/>
      <x:c r="J3658"/>
      <x:c r="K3658"/>
      <x:c r="L3658"/>
      <x:c r="M3658"/>
      <x:c r="N3658"/>
      <x:c r="O3658"/>
      <x:c r="P3658"/>
    </x:row>
    <x:row r="3659">
      <x:c r="A3659"/>
      <x:c r="B3659"/>
      <x:c r="C3659"/>
      <x:c r="D3659"/>
      <x:c r="E3659"/>
      <x:c r="F3659"/>
      <x:c r="G3659" s="56"/>
      <x:c r="H3659"/>
      <x:c r="I3659"/>
      <x:c r="J3659"/>
      <x:c r="K3659"/>
      <x:c r="L3659"/>
      <x:c r="M3659"/>
      <x:c r="N3659"/>
      <x:c r="O3659"/>
      <x:c r="P3659"/>
    </x:row>
    <x:row r="3660">
      <x:c r="A3660"/>
      <x:c r="B3660"/>
      <x:c r="C3660"/>
      <x:c r="D3660"/>
      <x:c r="E3660"/>
      <x:c r="F3660"/>
      <x:c r="G3660" s="56"/>
      <x:c r="H3660"/>
      <x:c r="I3660"/>
      <x:c r="J3660"/>
      <x:c r="K3660"/>
      <x:c r="L3660"/>
      <x:c r="M3660"/>
      <x:c r="N3660"/>
      <x:c r="O3660"/>
      <x:c r="P3660"/>
    </x:row>
    <x:row r="3661">
      <x:c r="A3661"/>
      <x:c r="B3661"/>
      <x:c r="C3661"/>
      <x:c r="D3661"/>
      <x:c r="E3661"/>
      <x:c r="F3661"/>
      <x:c r="G3661" s="56"/>
      <x:c r="H3661"/>
      <x:c r="I3661"/>
      <x:c r="J3661"/>
      <x:c r="K3661"/>
      <x:c r="L3661"/>
      <x:c r="M3661"/>
      <x:c r="N3661"/>
      <x:c r="O3661"/>
      <x:c r="P3661"/>
    </x:row>
    <x:row r="3662">
      <x:c r="A3662"/>
      <x:c r="B3662"/>
      <x:c r="C3662"/>
      <x:c r="D3662"/>
      <x:c r="E3662"/>
      <x:c r="F3662"/>
      <x:c r="G3662" s="56"/>
      <x:c r="H3662"/>
      <x:c r="I3662"/>
      <x:c r="J3662"/>
      <x:c r="K3662"/>
      <x:c r="L3662"/>
      <x:c r="M3662"/>
      <x:c r="N3662"/>
      <x:c r="O3662"/>
      <x:c r="P3662"/>
    </x:row>
    <x:row r="3663">
      <x:c r="A3663"/>
      <x:c r="B3663"/>
      <x:c r="C3663"/>
      <x:c r="D3663"/>
      <x:c r="E3663"/>
      <x:c r="F3663"/>
      <x:c r="G3663" s="56"/>
      <x:c r="H3663"/>
      <x:c r="I3663"/>
      <x:c r="J3663"/>
      <x:c r="K3663"/>
      <x:c r="L3663"/>
      <x:c r="M3663"/>
      <x:c r="N3663"/>
      <x:c r="O3663"/>
      <x:c r="P3663"/>
    </x:row>
    <x:row r="3664">
      <x:c r="A3664"/>
      <x:c r="B3664"/>
      <x:c r="C3664"/>
      <x:c r="D3664"/>
      <x:c r="E3664"/>
      <x:c r="F3664"/>
      <x:c r="G3664" s="56"/>
      <x:c r="H3664"/>
      <x:c r="I3664"/>
      <x:c r="J3664"/>
      <x:c r="K3664"/>
      <x:c r="L3664"/>
      <x:c r="M3664"/>
      <x:c r="N3664"/>
      <x:c r="O3664"/>
      <x:c r="P3664"/>
    </x:row>
    <x:row r="3665">
      <x:c r="A3665"/>
      <x:c r="B3665"/>
      <x:c r="C3665"/>
      <x:c r="D3665"/>
      <x:c r="E3665"/>
      <x:c r="F3665"/>
      <x:c r="G3665" s="56"/>
      <x:c r="H3665"/>
      <x:c r="I3665"/>
      <x:c r="J3665"/>
      <x:c r="K3665"/>
      <x:c r="L3665"/>
      <x:c r="M3665"/>
      <x:c r="N3665"/>
      <x:c r="O3665"/>
      <x:c r="P3665"/>
    </x:row>
    <x:row r="3666">
      <x:c r="A3666"/>
      <x:c r="B3666"/>
      <x:c r="C3666"/>
      <x:c r="D3666"/>
      <x:c r="E3666"/>
      <x:c r="F3666"/>
      <x:c r="G3666" s="56"/>
      <x:c r="H3666"/>
      <x:c r="I3666"/>
      <x:c r="J3666"/>
      <x:c r="K3666"/>
      <x:c r="L3666"/>
      <x:c r="M3666"/>
      <x:c r="N3666"/>
      <x:c r="O3666"/>
      <x:c r="P3666"/>
    </x:row>
    <x:row r="3667">
      <x:c r="A3667"/>
      <x:c r="B3667"/>
      <x:c r="C3667"/>
      <x:c r="D3667"/>
      <x:c r="E3667"/>
      <x:c r="F3667"/>
      <x:c r="G3667" s="56"/>
      <x:c r="H3667"/>
      <x:c r="I3667"/>
      <x:c r="J3667"/>
      <x:c r="K3667"/>
      <x:c r="L3667"/>
      <x:c r="M3667"/>
      <x:c r="N3667"/>
      <x:c r="O3667"/>
      <x:c r="P3667"/>
    </x:row>
    <x:row r="3668">
      <x:c r="A3668"/>
      <x:c r="B3668"/>
      <x:c r="C3668"/>
      <x:c r="D3668"/>
      <x:c r="E3668"/>
      <x:c r="F3668"/>
      <x:c r="G3668" s="56"/>
      <x:c r="H3668"/>
      <x:c r="I3668"/>
      <x:c r="J3668"/>
      <x:c r="K3668"/>
      <x:c r="L3668"/>
      <x:c r="M3668"/>
      <x:c r="N3668"/>
      <x:c r="O3668"/>
      <x:c r="P3668"/>
    </x:row>
    <x:row r="3669">
      <x:c r="A3669"/>
      <x:c r="B3669"/>
      <x:c r="C3669"/>
      <x:c r="D3669"/>
      <x:c r="E3669"/>
      <x:c r="F3669"/>
      <x:c r="G3669" s="56"/>
      <x:c r="H3669"/>
      <x:c r="I3669"/>
      <x:c r="J3669"/>
      <x:c r="K3669"/>
      <x:c r="L3669"/>
      <x:c r="M3669"/>
      <x:c r="N3669"/>
      <x:c r="O3669"/>
      <x:c r="P3669"/>
    </x:row>
    <x:row r="3670">
      <x:c r="A3670"/>
      <x:c r="B3670"/>
      <x:c r="C3670"/>
      <x:c r="D3670"/>
      <x:c r="E3670"/>
      <x:c r="F3670"/>
      <x:c r="G3670" s="56"/>
      <x:c r="H3670"/>
      <x:c r="I3670"/>
      <x:c r="J3670"/>
      <x:c r="K3670"/>
      <x:c r="L3670"/>
      <x:c r="M3670"/>
      <x:c r="N3670"/>
      <x:c r="O3670"/>
      <x:c r="P3670"/>
    </x:row>
    <x:row r="3671">
      <x:c r="A3671"/>
      <x:c r="B3671"/>
      <x:c r="C3671"/>
      <x:c r="D3671"/>
      <x:c r="E3671"/>
      <x:c r="F3671"/>
      <x:c r="G3671" s="56"/>
      <x:c r="H3671"/>
      <x:c r="I3671"/>
      <x:c r="J3671"/>
      <x:c r="K3671"/>
      <x:c r="L3671"/>
      <x:c r="M3671"/>
      <x:c r="N3671"/>
      <x:c r="O3671"/>
      <x:c r="P3671"/>
    </x:row>
    <x:row r="3672">
      <x:c r="A3672"/>
      <x:c r="B3672"/>
      <x:c r="C3672"/>
      <x:c r="D3672"/>
      <x:c r="E3672"/>
      <x:c r="F3672"/>
      <x:c r="G3672" s="56"/>
      <x:c r="H3672"/>
      <x:c r="I3672"/>
      <x:c r="J3672"/>
      <x:c r="K3672"/>
      <x:c r="L3672"/>
      <x:c r="M3672"/>
      <x:c r="N3672"/>
      <x:c r="O3672"/>
      <x:c r="P3672"/>
    </x:row>
    <x:row r="3673">
      <x:c r="A3673"/>
      <x:c r="B3673"/>
      <x:c r="C3673"/>
      <x:c r="D3673"/>
      <x:c r="E3673"/>
      <x:c r="F3673"/>
      <x:c r="G3673" s="56"/>
      <x:c r="H3673"/>
      <x:c r="I3673"/>
      <x:c r="J3673"/>
      <x:c r="K3673"/>
      <x:c r="L3673"/>
      <x:c r="M3673"/>
      <x:c r="N3673"/>
      <x:c r="O3673"/>
      <x:c r="P3673"/>
    </x:row>
    <x:row r="3674">
      <x:c r="A3674"/>
      <x:c r="B3674"/>
      <x:c r="C3674"/>
      <x:c r="D3674"/>
      <x:c r="E3674"/>
      <x:c r="F3674"/>
      <x:c r="G3674" s="56"/>
      <x:c r="H3674"/>
      <x:c r="I3674"/>
      <x:c r="J3674"/>
      <x:c r="K3674"/>
      <x:c r="L3674"/>
      <x:c r="M3674"/>
      <x:c r="N3674"/>
      <x:c r="O3674"/>
      <x:c r="P3674"/>
    </x:row>
    <x:row r="3675">
      <x:c r="A3675"/>
      <x:c r="B3675"/>
      <x:c r="C3675"/>
      <x:c r="D3675"/>
      <x:c r="E3675"/>
      <x:c r="F3675"/>
      <x:c r="G3675" s="56"/>
      <x:c r="H3675"/>
      <x:c r="I3675"/>
      <x:c r="J3675"/>
      <x:c r="K3675"/>
      <x:c r="L3675"/>
      <x:c r="M3675"/>
      <x:c r="N3675"/>
      <x:c r="O3675"/>
      <x:c r="P3675"/>
    </x:row>
    <x:row r="3676">
      <x:c r="A3676"/>
      <x:c r="B3676"/>
      <x:c r="C3676"/>
      <x:c r="D3676"/>
      <x:c r="E3676"/>
      <x:c r="F3676"/>
      <x:c r="G3676" s="56"/>
      <x:c r="H3676"/>
      <x:c r="I3676"/>
      <x:c r="J3676"/>
      <x:c r="K3676"/>
      <x:c r="L3676"/>
      <x:c r="M3676"/>
      <x:c r="N3676"/>
      <x:c r="O3676"/>
      <x:c r="P3676"/>
    </x:row>
    <x:row r="3677">
      <x:c r="A3677"/>
      <x:c r="B3677"/>
      <x:c r="C3677"/>
      <x:c r="D3677"/>
      <x:c r="E3677"/>
      <x:c r="F3677"/>
      <x:c r="G3677" s="56"/>
      <x:c r="H3677"/>
      <x:c r="I3677"/>
      <x:c r="J3677"/>
      <x:c r="K3677"/>
      <x:c r="L3677"/>
      <x:c r="M3677"/>
      <x:c r="N3677"/>
      <x:c r="O3677"/>
      <x:c r="P3677"/>
    </x:row>
    <x:row r="3678">
      <x:c r="A3678"/>
      <x:c r="B3678"/>
      <x:c r="C3678"/>
      <x:c r="D3678"/>
      <x:c r="E3678"/>
      <x:c r="F3678"/>
      <x:c r="G3678" s="56"/>
      <x:c r="H3678"/>
      <x:c r="I3678"/>
      <x:c r="J3678"/>
      <x:c r="K3678"/>
      <x:c r="L3678"/>
      <x:c r="M3678"/>
      <x:c r="N3678"/>
      <x:c r="O3678"/>
      <x:c r="P3678"/>
    </x:row>
    <x:row r="3679">
      <x:c r="A3679"/>
      <x:c r="B3679"/>
      <x:c r="C3679"/>
      <x:c r="D3679"/>
      <x:c r="E3679"/>
      <x:c r="F3679"/>
      <x:c r="G3679" s="56"/>
      <x:c r="H3679"/>
      <x:c r="I3679"/>
      <x:c r="J3679"/>
      <x:c r="K3679"/>
      <x:c r="L3679"/>
      <x:c r="M3679"/>
      <x:c r="N3679"/>
      <x:c r="O3679"/>
      <x:c r="P3679"/>
    </x:row>
    <x:row r="3680">
      <x:c r="A3680"/>
      <x:c r="B3680"/>
      <x:c r="C3680"/>
      <x:c r="D3680"/>
      <x:c r="E3680"/>
      <x:c r="F3680"/>
      <x:c r="G3680" s="56"/>
      <x:c r="H3680"/>
      <x:c r="I3680"/>
      <x:c r="J3680"/>
      <x:c r="K3680"/>
      <x:c r="L3680"/>
      <x:c r="M3680"/>
      <x:c r="N3680"/>
      <x:c r="O3680"/>
      <x:c r="P3680"/>
    </x:row>
    <x:row r="3681">
      <x:c r="A3681"/>
      <x:c r="B3681"/>
      <x:c r="C3681"/>
      <x:c r="D3681"/>
      <x:c r="E3681"/>
      <x:c r="F3681"/>
      <x:c r="G3681" s="56"/>
      <x:c r="H3681"/>
      <x:c r="I3681"/>
      <x:c r="J3681"/>
      <x:c r="K3681"/>
      <x:c r="L3681"/>
      <x:c r="M3681"/>
      <x:c r="N3681"/>
      <x:c r="O3681"/>
      <x:c r="P3681"/>
    </x:row>
    <x:row r="3682">
      <x:c r="A3682"/>
      <x:c r="B3682"/>
      <x:c r="C3682"/>
      <x:c r="D3682"/>
      <x:c r="E3682"/>
      <x:c r="F3682"/>
      <x:c r="G3682" s="56"/>
      <x:c r="H3682"/>
      <x:c r="I3682"/>
      <x:c r="J3682"/>
      <x:c r="K3682"/>
      <x:c r="L3682"/>
      <x:c r="M3682"/>
      <x:c r="N3682"/>
      <x:c r="O3682"/>
      <x:c r="P3682"/>
    </x:row>
    <x:row r="3683">
      <x:c r="A3683"/>
      <x:c r="B3683"/>
      <x:c r="C3683"/>
      <x:c r="D3683"/>
      <x:c r="E3683"/>
      <x:c r="F3683"/>
      <x:c r="G3683" s="56"/>
      <x:c r="H3683"/>
      <x:c r="I3683"/>
      <x:c r="J3683"/>
      <x:c r="K3683"/>
      <x:c r="L3683"/>
      <x:c r="M3683"/>
      <x:c r="N3683"/>
      <x:c r="O3683"/>
      <x:c r="P3683"/>
    </x:row>
    <x:row r="3684">
      <x:c r="A3684"/>
      <x:c r="B3684"/>
      <x:c r="C3684"/>
      <x:c r="D3684"/>
      <x:c r="E3684"/>
      <x:c r="F3684"/>
      <x:c r="G3684" s="56"/>
      <x:c r="H3684"/>
      <x:c r="I3684"/>
      <x:c r="J3684"/>
      <x:c r="K3684"/>
      <x:c r="L3684"/>
      <x:c r="M3684"/>
      <x:c r="N3684"/>
      <x:c r="O3684"/>
      <x:c r="P3684"/>
    </x:row>
    <x:row r="3685">
      <x:c r="A3685"/>
      <x:c r="B3685"/>
      <x:c r="C3685"/>
      <x:c r="D3685"/>
      <x:c r="E3685"/>
      <x:c r="F3685"/>
      <x:c r="G3685" s="56"/>
      <x:c r="H3685"/>
      <x:c r="I3685"/>
      <x:c r="J3685"/>
      <x:c r="K3685"/>
      <x:c r="L3685"/>
      <x:c r="M3685"/>
      <x:c r="N3685"/>
      <x:c r="O3685"/>
      <x:c r="P3685"/>
    </x:row>
    <x:row r="3686">
      <x:c r="A3686"/>
      <x:c r="B3686"/>
      <x:c r="C3686"/>
      <x:c r="D3686"/>
      <x:c r="E3686"/>
      <x:c r="F3686"/>
      <x:c r="G3686" s="56"/>
      <x:c r="H3686"/>
      <x:c r="I3686"/>
      <x:c r="J3686"/>
      <x:c r="K3686"/>
      <x:c r="L3686"/>
      <x:c r="M3686"/>
      <x:c r="N3686"/>
      <x:c r="O3686"/>
      <x:c r="P3686"/>
    </x:row>
    <x:row r="3687">
      <x:c r="A3687"/>
      <x:c r="B3687"/>
      <x:c r="C3687"/>
      <x:c r="D3687"/>
      <x:c r="E3687"/>
      <x:c r="F3687"/>
      <x:c r="G3687" s="56"/>
      <x:c r="H3687"/>
      <x:c r="I3687"/>
      <x:c r="J3687"/>
      <x:c r="K3687"/>
      <x:c r="L3687"/>
      <x:c r="M3687"/>
      <x:c r="N3687"/>
      <x:c r="O3687"/>
      <x:c r="P3687"/>
    </x:row>
    <x:row r="3688">
      <x:c r="A3688"/>
      <x:c r="B3688"/>
      <x:c r="C3688"/>
      <x:c r="D3688"/>
      <x:c r="E3688"/>
      <x:c r="F3688"/>
      <x:c r="G3688" s="56"/>
      <x:c r="H3688"/>
      <x:c r="I3688"/>
      <x:c r="J3688"/>
      <x:c r="K3688"/>
      <x:c r="L3688"/>
      <x:c r="M3688"/>
      <x:c r="N3688"/>
      <x:c r="O3688"/>
      <x:c r="P3688"/>
    </x:row>
    <x:row r="3689">
      <x:c r="A3689"/>
      <x:c r="B3689"/>
      <x:c r="C3689"/>
      <x:c r="D3689"/>
      <x:c r="E3689"/>
      <x:c r="F3689"/>
      <x:c r="G3689" s="56"/>
      <x:c r="H3689"/>
      <x:c r="I3689"/>
      <x:c r="J3689"/>
      <x:c r="K3689"/>
      <x:c r="L3689"/>
      <x:c r="M3689"/>
      <x:c r="N3689"/>
      <x:c r="O3689"/>
      <x:c r="P3689"/>
    </x:row>
    <x:row r="3690">
      <x:c r="A3690"/>
      <x:c r="B3690"/>
      <x:c r="C3690"/>
      <x:c r="D3690"/>
      <x:c r="E3690"/>
      <x:c r="F3690"/>
      <x:c r="G3690" s="56"/>
      <x:c r="H3690"/>
      <x:c r="I3690"/>
      <x:c r="J3690"/>
      <x:c r="K3690"/>
      <x:c r="L3690"/>
      <x:c r="M3690"/>
      <x:c r="N3690"/>
      <x:c r="O3690"/>
      <x:c r="P3690"/>
    </x:row>
    <x:row r="3691">
      <x:c r="A3691"/>
      <x:c r="B3691"/>
      <x:c r="C3691"/>
      <x:c r="D3691"/>
      <x:c r="E3691"/>
      <x:c r="F3691"/>
      <x:c r="G3691" s="56"/>
      <x:c r="H3691"/>
      <x:c r="I3691"/>
      <x:c r="J3691"/>
      <x:c r="K3691"/>
      <x:c r="L3691"/>
      <x:c r="M3691"/>
      <x:c r="N3691"/>
      <x:c r="O3691"/>
      <x:c r="P3691"/>
    </x:row>
    <x:row r="3692">
      <x:c r="A3692"/>
      <x:c r="B3692"/>
      <x:c r="C3692"/>
      <x:c r="D3692"/>
      <x:c r="E3692"/>
      <x:c r="F3692"/>
      <x:c r="G3692" s="56"/>
      <x:c r="H3692"/>
      <x:c r="I3692"/>
      <x:c r="J3692"/>
      <x:c r="K3692"/>
      <x:c r="L3692"/>
      <x:c r="M3692"/>
      <x:c r="N3692"/>
      <x:c r="O3692"/>
      <x:c r="P3692"/>
    </x:row>
    <x:row r="3693">
      <x:c r="A3693"/>
      <x:c r="B3693"/>
      <x:c r="C3693"/>
      <x:c r="D3693"/>
      <x:c r="E3693"/>
      <x:c r="F3693"/>
      <x:c r="G3693" s="56"/>
      <x:c r="H3693"/>
      <x:c r="I3693"/>
      <x:c r="J3693"/>
      <x:c r="K3693"/>
      <x:c r="L3693"/>
      <x:c r="M3693"/>
      <x:c r="N3693"/>
      <x:c r="O3693"/>
      <x:c r="P3693"/>
    </x:row>
    <x:row r="3694">
      <x:c r="A3694"/>
      <x:c r="B3694"/>
      <x:c r="C3694"/>
      <x:c r="D3694"/>
      <x:c r="E3694"/>
      <x:c r="F3694"/>
      <x:c r="G3694" s="56"/>
      <x:c r="H3694"/>
      <x:c r="I3694"/>
      <x:c r="J3694"/>
      <x:c r="K3694"/>
      <x:c r="L3694"/>
      <x:c r="M3694"/>
      <x:c r="N3694"/>
      <x:c r="O3694"/>
      <x:c r="P3694"/>
    </x:row>
    <x:row r="3695">
      <x:c r="A3695"/>
      <x:c r="B3695"/>
      <x:c r="C3695"/>
      <x:c r="D3695"/>
      <x:c r="E3695"/>
      <x:c r="F3695"/>
      <x:c r="G3695" s="56"/>
      <x:c r="H3695"/>
      <x:c r="I3695"/>
      <x:c r="J3695"/>
      <x:c r="K3695"/>
      <x:c r="L3695"/>
      <x:c r="M3695"/>
      <x:c r="N3695"/>
      <x:c r="O3695"/>
      <x:c r="P3695"/>
    </x:row>
    <x:row r="3696">
      <x:c r="A3696"/>
      <x:c r="B3696"/>
      <x:c r="C3696"/>
      <x:c r="D3696"/>
      <x:c r="E3696"/>
      <x:c r="F3696"/>
      <x:c r="G3696" s="56"/>
      <x:c r="H3696"/>
      <x:c r="I3696"/>
      <x:c r="J3696"/>
      <x:c r="K3696"/>
      <x:c r="L3696"/>
      <x:c r="M3696"/>
      <x:c r="N3696"/>
      <x:c r="O3696"/>
      <x:c r="P3696"/>
    </x:row>
    <x:row r="3697">
      <x:c r="A3697"/>
      <x:c r="B3697"/>
      <x:c r="C3697"/>
      <x:c r="D3697"/>
      <x:c r="E3697"/>
      <x:c r="F3697"/>
      <x:c r="G3697" s="56"/>
      <x:c r="H3697"/>
      <x:c r="I3697"/>
      <x:c r="J3697"/>
      <x:c r="K3697"/>
      <x:c r="L3697"/>
      <x:c r="M3697"/>
      <x:c r="N3697"/>
      <x:c r="O3697"/>
      <x:c r="P3697"/>
    </x:row>
    <x:row r="3698">
      <x:c r="A3698"/>
      <x:c r="B3698"/>
      <x:c r="C3698"/>
      <x:c r="D3698"/>
      <x:c r="E3698"/>
      <x:c r="F3698"/>
      <x:c r="G3698" s="56"/>
      <x:c r="H3698"/>
      <x:c r="I3698"/>
      <x:c r="J3698"/>
      <x:c r="K3698"/>
      <x:c r="L3698"/>
      <x:c r="M3698"/>
      <x:c r="N3698"/>
      <x:c r="O3698"/>
      <x:c r="P3698"/>
    </x:row>
    <x:row r="3699">
      <x:c r="A3699"/>
      <x:c r="B3699"/>
      <x:c r="C3699"/>
      <x:c r="D3699"/>
      <x:c r="E3699"/>
      <x:c r="F3699"/>
      <x:c r="G3699" s="56"/>
      <x:c r="H3699"/>
      <x:c r="I3699"/>
      <x:c r="J3699"/>
      <x:c r="K3699"/>
      <x:c r="L3699"/>
      <x:c r="M3699"/>
      <x:c r="N3699"/>
      <x:c r="O3699"/>
      <x:c r="P3699"/>
    </x:row>
    <x:row r="3700">
      <x:c r="A3700"/>
      <x:c r="B3700"/>
      <x:c r="C3700"/>
      <x:c r="D3700"/>
      <x:c r="E3700"/>
      <x:c r="F3700"/>
      <x:c r="G3700" s="56"/>
      <x:c r="H3700"/>
      <x:c r="I3700"/>
      <x:c r="J3700"/>
      <x:c r="K3700"/>
      <x:c r="L3700"/>
      <x:c r="M3700"/>
      <x:c r="N3700"/>
      <x:c r="O3700"/>
      <x:c r="P3700"/>
    </x:row>
    <x:row r="3701">
      <x:c r="A3701"/>
      <x:c r="B3701"/>
      <x:c r="C3701"/>
      <x:c r="D3701"/>
      <x:c r="E3701"/>
      <x:c r="F3701"/>
      <x:c r="G3701" s="56"/>
      <x:c r="H3701"/>
      <x:c r="I3701"/>
      <x:c r="J3701"/>
      <x:c r="K3701"/>
      <x:c r="L3701"/>
      <x:c r="M3701"/>
      <x:c r="N3701"/>
      <x:c r="O3701"/>
      <x:c r="P3701"/>
    </x:row>
    <x:row r="3702">
      <x:c r="A3702"/>
      <x:c r="B3702"/>
      <x:c r="C3702"/>
      <x:c r="D3702"/>
      <x:c r="E3702"/>
      <x:c r="F3702"/>
      <x:c r="G3702" s="56"/>
      <x:c r="H3702"/>
      <x:c r="I3702"/>
      <x:c r="J3702"/>
      <x:c r="K3702"/>
      <x:c r="L3702"/>
      <x:c r="M3702"/>
      <x:c r="N3702"/>
      <x:c r="O3702"/>
      <x:c r="P3702"/>
    </x:row>
    <x:row r="3703">
      <x:c r="A3703"/>
      <x:c r="B3703"/>
      <x:c r="C3703"/>
      <x:c r="D3703"/>
      <x:c r="E3703"/>
      <x:c r="F3703"/>
      <x:c r="G3703" s="56"/>
      <x:c r="H3703"/>
      <x:c r="I3703"/>
      <x:c r="J3703"/>
      <x:c r="K3703"/>
      <x:c r="L3703"/>
      <x:c r="M3703"/>
      <x:c r="N3703"/>
      <x:c r="O3703"/>
      <x:c r="P3703"/>
    </x:row>
    <x:row r="3704">
      <x:c r="A3704"/>
      <x:c r="B3704"/>
      <x:c r="C3704"/>
      <x:c r="D3704"/>
      <x:c r="E3704"/>
      <x:c r="F3704"/>
      <x:c r="G3704" s="56"/>
      <x:c r="H3704"/>
      <x:c r="I3704"/>
      <x:c r="J3704"/>
      <x:c r="K3704"/>
      <x:c r="L3704"/>
      <x:c r="M3704"/>
      <x:c r="N3704"/>
      <x:c r="O3704"/>
      <x:c r="P3704"/>
    </x:row>
    <x:row r="3705">
      <x:c r="A3705"/>
      <x:c r="B3705"/>
      <x:c r="C3705"/>
      <x:c r="D3705"/>
      <x:c r="E3705"/>
      <x:c r="F3705"/>
      <x:c r="G3705" s="56"/>
      <x:c r="H3705"/>
      <x:c r="I3705"/>
      <x:c r="J3705"/>
      <x:c r="K3705"/>
      <x:c r="L3705"/>
      <x:c r="M3705"/>
      <x:c r="N3705"/>
      <x:c r="O3705"/>
      <x:c r="P3705"/>
    </x:row>
    <x:row r="3706">
      <x:c r="A3706"/>
      <x:c r="B3706"/>
      <x:c r="C3706"/>
      <x:c r="D3706"/>
      <x:c r="E3706"/>
      <x:c r="F3706"/>
      <x:c r="G3706" s="56"/>
      <x:c r="H3706"/>
      <x:c r="I3706"/>
      <x:c r="J3706"/>
      <x:c r="K3706"/>
      <x:c r="L3706"/>
      <x:c r="M3706"/>
      <x:c r="N3706"/>
      <x:c r="O3706"/>
      <x:c r="P3706"/>
    </x:row>
    <x:row r="3707">
      <x:c r="A3707"/>
      <x:c r="B3707"/>
      <x:c r="C3707"/>
      <x:c r="D3707"/>
      <x:c r="E3707"/>
      <x:c r="F3707"/>
      <x:c r="G3707" s="56"/>
      <x:c r="H3707"/>
      <x:c r="I3707"/>
      <x:c r="J3707"/>
      <x:c r="K3707"/>
      <x:c r="L3707"/>
      <x:c r="M3707"/>
      <x:c r="N3707"/>
      <x:c r="O3707"/>
      <x:c r="P3707"/>
    </x:row>
    <x:row r="3708">
      <x:c r="A3708"/>
      <x:c r="B3708"/>
      <x:c r="C3708"/>
      <x:c r="D3708"/>
      <x:c r="E3708"/>
      <x:c r="F3708"/>
      <x:c r="G3708" s="56"/>
      <x:c r="H3708"/>
      <x:c r="I3708"/>
      <x:c r="J3708"/>
      <x:c r="K3708"/>
      <x:c r="L3708"/>
      <x:c r="M3708"/>
      <x:c r="N3708"/>
      <x:c r="O3708"/>
      <x:c r="P3708"/>
    </x:row>
    <x:row r="3709">
      <x:c r="A3709"/>
      <x:c r="B3709"/>
      <x:c r="C3709"/>
      <x:c r="D3709"/>
      <x:c r="E3709"/>
      <x:c r="F3709"/>
      <x:c r="G3709" s="56"/>
      <x:c r="H3709"/>
      <x:c r="I3709"/>
      <x:c r="J3709"/>
      <x:c r="K3709"/>
      <x:c r="L3709"/>
      <x:c r="M3709"/>
      <x:c r="N3709"/>
      <x:c r="O3709"/>
      <x:c r="P3709"/>
    </x:row>
    <x:row r="3710">
      <x:c r="A3710"/>
      <x:c r="B3710"/>
      <x:c r="C3710"/>
      <x:c r="D3710"/>
      <x:c r="E3710"/>
      <x:c r="F3710"/>
      <x:c r="G3710" s="56"/>
      <x:c r="H3710"/>
      <x:c r="I3710"/>
      <x:c r="J3710"/>
      <x:c r="K3710"/>
      <x:c r="L3710"/>
      <x:c r="M3710"/>
      <x:c r="N3710"/>
      <x:c r="O3710"/>
      <x:c r="P3710"/>
    </x:row>
    <x:row r="3711">
      <x:c r="A3711"/>
      <x:c r="B3711"/>
      <x:c r="C3711"/>
      <x:c r="D3711"/>
      <x:c r="E3711"/>
      <x:c r="F3711"/>
      <x:c r="G3711" s="56"/>
      <x:c r="H3711"/>
      <x:c r="I3711"/>
      <x:c r="J3711"/>
      <x:c r="K3711"/>
      <x:c r="L3711"/>
      <x:c r="M3711"/>
      <x:c r="N3711"/>
      <x:c r="O3711"/>
      <x:c r="P3711"/>
    </x:row>
    <x:row r="3712">
      <x:c r="A3712"/>
      <x:c r="B3712"/>
      <x:c r="C3712"/>
      <x:c r="D3712"/>
      <x:c r="E3712"/>
      <x:c r="F3712"/>
      <x:c r="G3712" s="56"/>
      <x:c r="H3712"/>
      <x:c r="I3712"/>
      <x:c r="J3712"/>
      <x:c r="K3712"/>
      <x:c r="L3712"/>
      <x:c r="M3712"/>
      <x:c r="N3712"/>
      <x:c r="O3712"/>
      <x:c r="P3712"/>
    </x:row>
    <x:row r="3713">
      <x:c r="A3713"/>
      <x:c r="B3713"/>
      <x:c r="C3713"/>
      <x:c r="D3713"/>
      <x:c r="E3713"/>
      <x:c r="F3713"/>
      <x:c r="G3713" s="56"/>
      <x:c r="H3713"/>
      <x:c r="I3713"/>
      <x:c r="J3713"/>
      <x:c r="K3713"/>
      <x:c r="L3713"/>
      <x:c r="M3713"/>
      <x:c r="N3713"/>
      <x:c r="O3713"/>
      <x:c r="P3713"/>
    </x:row>
    <x:row r="3714">
      <x:c r="A3714"/>
      <x:c r="B3714"/>
      <x:c r="C3714"/>
      <x:c r="D3714"/>
      <x:c r="E3714"/>
      <x:c r="F3714"/>
      <x:c r="G3714" s="56"/>
      <x:c r="H3714"/>
      <x:c r="I3714"/>
      <x:c r="J3714"/>
      <x:c r="K3714"/>
      <x:c r="L3714"/>
      <x:c r="M3714"/>
      <x:c r="N3714"/>
      <x:c r="O3714"/>
      <x:c r="P3714"/>
    </x:row>
    <x:row r="3715">
      <x:c r="A3715"/>
      <x:c r="B3715"/>
      <x:c r="C3715"/>
      <x:c r="D3715"/>
      <x:c r="E3715"/>
      <x:c r="F3715"/>
      <x:c r="G3715" s="56"/>
      <x:c r="H3715"/>
      <x:c r="I3715"/>
      <x:c r="J3715"/>
      <x:c r="K3715"/>
      <x:c r="L3715"/>
      <x:c r="M3715"/>
      <x:c r="N3715"/>
      <x:c r="O3715"/>
      <x:c r="P3715"/>
    </x:row>
    <x:row r="3716">
      <x:c r="A3716"/>
      <x:c r="B3716"/>
      <x:c r="C3716"/>
      <x:c r="D3716"/>
      <x:c r="E3716"/>
      <x:c r="F3716"/>
      <x:c r="G3716" s="56"/>
      <x:c r="H3716"/>
      <x:c r="I3716"/>
      <x:c r="J3716"/>
      <x:c r="K3716"/>
      <x:c r="L3716"/>
      <x:c r="M3716"/>
      <x:c r="N3716"/>
      <x:c r="O3716"/>
      <x:c r="P3716"/>
    </x:row>
    <x:row r="3717">
      <x:c r="A3717"/>
      <x:c r="B3717"/>
      <x:c r="C3717"/>
      <x:c r="D3717"/>
      <x:c r="E3717"/>
      <x:c r="F3717"/>
      <x:c r="G3717" s="56"/>
      <x:c r="H3717"/>
      <x:c r="I3717"/>
      <x:c r="J3717"/>
      <x:c r="K3717"/>
      <x:c r="L3717"/>
      <x:c r="M3717"/>
      <x:c r="N3717"/>
      <x:c r="O3717"/>
      <x:c r="P3717"/>
    </x:row>
    <x:row r="3718">
      <x:c r="A3718"/>
      <x:c r="B3718"/>
      <x:c r="C3718"/>
      <x:c r="D3718"/>
      <x:c r="E3718"/>
      <x:c r="F3718"/>
      <x:c r="G3718" s="56"/>
      <x:c r="H3718"/>
      <x:c r="I3718"/>
      <x:c r="J3718"/>
      <x:c r="K3718"/>
      <x:c r="L3718"/>
      <x:c r="M3718"/>
      <x:c r="N3718"/>
      <x:c r="O3718"/>
      <x:c r="P3718"/>
    </x:row>
    <x:row r="3719">
      <x:c r="A3719"/>
      <x:c r="B3719"/>
      <x:c r="C3719"/>
      <x:c r="D3719"/>
      <x:c r="E3719"/>
      <x:c r="F3719"/>
      <x:c r="G3719" s="56"/>
      <x:c r="H3719"/>
      <x:c r="I3719"/>
      <x:c r="J3719"/>
      <x:c r="K3719"/>
      <x:c r="L3719"/>
      <x:c r="M3719"/>
      <x:c r="N3719"/>
      <x:c r="O3719"/>
      <x:c r="P3719"/>
    </x:row>
    <x:row r="3720">
      <x:c r="A3720"/>
      <x:c r="B3720"/>
      <x:c r="C3720"/>
      <x:c r="D3720"/>
      <x:c r="E3720"/>
      <x:c r="F3720"/>
      <x:c r="G3720" s="56"/>
      <x:c r="H3720"/>
      <x:c r="I3720"/>
      <x:c r="J3720"/>
      <x:c r="K3720"/>
      <x:c r="L3720"/>
      <x:c r="M3720"/>
      <x:c r="N3720"/>
      <x:c r="O3720"/>
      <x:c r="P3720"/>
    </x:row>
    <x:row r="3721">
      <x:c r="A3721"/>
      <x:c r="B3721"/>
      <x:c r="C3721"/>
      <x:c r="D3721"/>
      <x:c r="E3721"/>
      <x:c r="F3721"/>
      <x:c r="G3721" s="56"/>
      <x:c r="H3721"/>
      <x:c r="I3721"/>
      <x:c r="J3721"/>
      <x:c r="K3721"/>
      <x:c r="L3721"/>
      <x:c r="M3721"/>
      <x:c r="N3721"/>
      <x:c r="O3721"/>
      <x:c r="P3721"/>
    </x:row>
    <x:row r="3722">
      <x:c r="A3722"/>
      <x:c r="B3722"/>
      <x:c r="C3722"/>
      <x:c r="D3722"/>
      <x:c r="E3722"/>
      <x:c r="F3722"/>
      <x:c r="G3722" s="56"/>
      <x:c r="H3722"/>
      <x:c r="I3722"/>
      <x:c r="J3722"/>
      <x:c r="K3722"/>
      <x:c r="L3722"/>
      <x:c r="M3722"/>
      <x:c r="N3722"/>
      <x:c r="O3722"/>
      <x:c r="P3722"/>
    </x:row>
    <x:row r="3723">
      <x:c r="A3723"/>
      <x:c r="B3723"/>
      <x:c r="C3723"/>
      <x:c r="D3723"/>
      <x:c r="E3723"/>
      <x:c r="F3723"/>
      <x:c r="G3723" s="56"/>
      <x:c r="H3723"/>
      <x:c r="I3723"/>
      <x:c r="J3723"/>
      <x:c r="K3723"/>
      <x:c r="L3723"/>
      <x:c r="M3723"/>
      <x:c r="N3723"/>
      <x:c r="O3723"/>
      <x:c r="P3723"/>
    </x:row>
    <x:row r="3724">
      <x:c r="A3724"/>
      <x:c r="B3724"/>
      <x:c r="C3724"/>
      <x:c r="D3724"/>
      <x:c r="E3724"/>
      <x:c r="F3724"/>
      <x:c r="G3724" s="56"/>
      <x:c r="H3724"/>
      <x:c r="I3724"/>
      <x:c r="J3724"/>
      <x:c r="K3724"/>
      <x:c r="L3724"/>
      <x:c r="M3724"/>
      <x:c r="N3724"/>
      <x:c r="O3724"/>
      <x:c r="P3724"/>
    </x:row>
    <x:row r="3725">
      <x:c r="A3725"/>
      <x:c r="B3725"/>
      <x:c r="C3725"/>
      <x:c r="D3725"/>
      <x:c r="E3725"/>
      <x:c r="F3725"/>
      <x:c r="G3725" s="56"/>
      <x:c r="H3725"/>
      <x:c r="I3725"/>
      <x:c r="J3725"/>
      <x:c r="K3725"/>
      <x:c r="L3725"/>
      <x:c r="M3725"/>
      <x:c r="N3725"/>
      <x:c r="O3725"/>
      <x:c r="P3725"/>
    </x:row>
    <x:row r="3726">
      <x:c r="A3726"/>
      <x:c r="B3726"/>
      <x:c r="C3726"/>
      <x:c r="D3726"/>
      <x:c r="E3726"/>
      <x:c r="F3726"/>
      <x:c r="G3726" s="56"/>
      <x:c r="H3726"/>
      <x:c r="I3726"/>
      <x:c r="J3726"/>
      <x:c r="K3726"/>
      <x:c r="L3726"/>
      <x:c r="M3726"/>
      <x:c r="N3726"/>
      <x:c r="O3726"/>
      <x:c r="P3726"/>
    </x:row>
    <x:row r="3727">
      <x:c r="A3727"/>
      <x:c r="B3727"/>
      <x:c r="C3727"/>
      <x:c r="D3727"/>
      <x:c r="E3727"/>
      <x:c r="F3727"/>
      <x:c r="G3727" s="56"/>
      <x:c r="H3727"/>
      <x:c r="I3727"/>
      <x:c r="J3727"/>
      <x:c r="K3727"/>
      <x:c r="L3727"/>
      <x:c r="M3727"/>
      <x:c r="N3727"/>
      <x:c r="O3727"/>
      <x:c r="P3727"/>
    </x:row>
    <x:row r="3728">
      <x:c r="A3728"/>
      <x:c r="B3728"/>
      <x:c r="C3728"/>
      <x:c r="D3728"/>
      <x:c r="E3728"/>
      <x:c r="F3728"/>
      <x:c r="G3728" s="56"/>
      <x:c r="H3728"/>
      <x:c r="I3728"/>
      <x:c r="J3728"/>
      <x:c r="K3728"/>
      <x:c r="L3728"/>
      <x:c r="M3728"/>
      <x:c r="N3728"/>
      <x:c r="O3728"/>
      <x:c r="P3728"/>
    </x:row>
    <x:row r="3729">
      <x:c r="A3729"/>
      <x:c r="B3729"/>
      <x:c r="C3729"/>
      <x:c r="D3729"/>
      <x:c r="E3729"/>
      <x:c r="F3729"/>
      <x:c r="G3729" s="56"/>
      <x:c r="H3729"/>
      <x:c r="I3729"/>
      <x:c r="J3729"/>
      <x:c r="K3729"/>
      <x:c r="L3729"/>
      <x:c r="M3729"/>
      <x:c r="N3729"/>
      <x:c r="O3729"/>
      <x:c r="P3729"/>
    </x:row>
    <x:row r="3730">
      <x:c r="A3730"/>
      <x:c r="B3730"/>
      <x:c r="C3730"/>
      <x:c r="D3730"/>
      <x:c r="E3730"/>
      <x:c r="F3730"/>
      <x:c r="G3730" s="56"/>
      <x:c r="H3730"/>
      <x:c r="I3730"/>
      <x:c r="J3730"/>
      <x:c r="K3730"/>
      <x:c r="L3730"/>
      <x:c r="M3730"/>
      <x:c r="N3730"/>
      <x:c r="O3730"/>
      <x:c r="P3730"/>
    </x:row>
    <x:row r="3731">
      <x:c r="A3731"/>
      <x:c r="B3731"/>
      <x:c r="C3731"/>
      <x:c r="D3731"/>
      <x:c r="E3731"/>
      <x:c r="F3731"/>
      <x:c r="G3731" s="56"/>
      <x:c r="H3731"/>
      <x:c r="I3731"/>
      <x:c r="J3731"/>
      <x:c r="K3731"/>
      <x:c r="L3731"/>
      <x:c r="M3731"/>
      <x:c r="N3731"/>
      <x:c r="O3731"/>
      <x:c r="P3731"/>
    </x:row>
    <x:row r="3732">
      <x:c r="A3732"/>
      <x:c r="B3732"/>
      <x:c r="C3732"/>
      <x:c r="D3732"/>
      <x:c r="E3732"/>
      <x:c r="F3732"/>
      <x:c r="G3732" s="56"/>
      <x:c r="H3732"/>
      <x:c r="I3732"/>
      <x:c r="J3732"/>
      <x:c r="K3732"/>
      <x:c r="L3732"/>
      <x:c r="M3732"/>
      <x:c r="N3732"/>
      <x:c r="O3732"/>
      <x:c r="P3732"/>
    </x:row>
    <x:row r="3733">
      <x:c r="A3733"/>
      <x:c r="B3733"/>
      <x:c r="C3733"/>
      <x:c r="D3733"/>
      <x:c r="E3733"/>
      <x:c r="F3733"/>
      <x:c r="G3733" s="56"/>
      <x:c r="H3733"/>
      <x:c r="I3733"/>
      <x:c r="J3733"/>
      <x:c r="K3733"/>
      <x:c r="L3733"/>
      <x:c r="M3733"/>
      <x:c r="N3733"/>
      <x:c r="O3733"/>
      <x:c r="P3733"/>
    </x:row>
    <x:row r="3734">
      <x:c r="A3734"/>
      <x:c r="B3734"/>
      <x:c r="C3734"/>
      <x:c r="D3734"/>
      <x:c r="E3734"/>
      <x:c r="F3734"/>
      <x:c r="G3734" s="56"/>
      <x:c r="H3734"/>
      <x:c r="I3734"/>
      <x:c r="J3734"/>
      <x:c r="K3734"/>
      <x:c r="L3734"/>
      <x:c r="M3734"/>
      <x:c r="N3734"/>
      <x:c r="O3734"/>
      <x:c r="P3734"/>
    </x:row>
    <x:row r="3735">
      <x:c r="A3735"/>
      <x:c r="B3735"/>
      <x:c r="C3735"/>
      <x:c r="D3735"/>
      <x:c r="E3735"/>
      <x:c r="F3735"/>
      <x:c r="G3735" s="56"/>
      <x:c r="H3735"/>
      <x:c r="I3735"/>
      <x:c r="J3735"/>
      <x:c r="K3735"/>
      <x:c r="L3735"/>
      <x:c r="M3735"/>
      <x:c r="N3735"/>
      <x:c r="O3735"/>
      <x:c r="P3735"/>
    </x:row>
    <x:row r="3736">
      <x:c r="A3736"/>
      <x:c r="B3736"/>
      <x:c r="C3736"/>
      <x:c r="D3736"/>
      <x:c r="E3736"/>
      <x:c r="F3736"/>
      <x:c r="G3736" s="56"/>
      <x:c r="H3736"/>
      <x:c r="I3736"/>
      <x:c r="J3736"/>
      <x:c r="K3736"/>
      <x:c r="L3736"/>
      <x:c r="M3736"/>
      <x:c r="N3736"/>
      <x:c r="O3736"/>
      <x:c r="P3736"/>
    </x:row>
    <x:row r="3737">
      <x:c r="A3737"/>
      <x:c r="B3737"/>
      <x:c r="C3737"/>
      <x:c r="D3737"/>
      <x:c r="E3737"/>
      <x:c r="F3737"/>
      <x:c r="G3737" s="56"/>
      <x:c r="H3737"/>
      <x:c r="I3737"/>
      <x:c r="J3737"/>
      <x:c r="K3737"/>
      <x:c r="L3737"/>
      <x:c r="M3737"/>
      <x:c r="N3737"/>
      <x:c r="O3737"/>
      <x:c r="P3737"/>
    </x:row>
    <x:row r="3738">
      <x:c r="A3738"/>
      <x:c r="B3738"/>
      <x:c r="C3738"/>
      <x:c r="D3738"/>
      <x:c r="E3738"/>
      <x:c r="F3738"/>
      <x:c r="G3738" s="56"/>
      <x:c r="H3738"/>
      <x:c r="I3738"/>
      <x:c r="J3738"/>
      <x:c r="K3738"/>
      <x:c r="L3738"/>
      <x:c r="M3738"/>
      <x:c r="N3738"/>
      <x:c r="O3738"/>
      <x:c r="P3738"/>
    </x:row>
    <x:row r="3739">
      <x:c r="A3739"/>
      <x:c r="B3739"/>
      <x:c r="C3739"/>
      <x:c r="D3739"/>
      <x:c r="E3739"/>
      <x:c r="F3739"/>
      <x:c r="G3739" s="56"/>
      <x:c r="H3739"/>
      <x:c r="I3739"/>
      <x:c r="J3739"/>
      <x:c r="K3739"/>
      <x:c r="L3739"/>
      <x:c r="M3739"/>
      <x:c r="N3739"/>
      <x:c r="O3739"/>
      <x:c r="P3739"/>
    </x:row>
    <x:row r="3740">
      <x:c r="A3740"/>
      <x:c r="B3740"/>
      <x:c r="C3740"/>
      <x:c r="D3740"/>
      <x:c r="E3740"/>
      <x:c r="F3740"/>
      <x:c r="G3740" s="56"/>
      <x:c r="H3740"/>
      <x:c r="I3740"/>
      <x:c r="J3740"/>
      <x:c r="K3740"/>
      <x:c r="L3740"/>
      <x:c r="M3740"/>
      <x:c r="N3740"/>
      <x:c r="O3740"/>
      <x:c r="P3740"/>
    </x:row>
    <x:row r="3741">
      <x:c r="A3741"/>
      <x:c r="B3741"/>
      <x:c r="C3741"/>
      <x:c r="D3741"/>
      <x:c r="E3741"/>
      <x:c r="F3741"/>
      <x:c r="G3741" s="56"/>
      <x:c r="H3741"/>
      <x:c r="I3741"/>
      <x:c r="J3741"/>
      <x:c r="K3741"/>
      <x:c r="L3741"/>
      <x:c r="M3741"/>
      <x:c r="N3741"/>
      <x:c r="O3741"/>
      <x:c r="P3741"/>
    </x:row>
    <x:row r="3742">
      <x:c r="A3742"/>
      <x:c r="B3742"/>
      <x:c r="C3742"/>
      <x:c r="D3742"/>
      <x:c r="E3742"/>
      <x:c r="F3742"/>
      <x:c r="G3742" s="56"/>
      <x:c r="H3742"/>
      <x:c r="I3742"/>
      <x:c r="J3742"/>
      <x:c r="K3742"/>
      <x:c r="L3742"/>
      <x:c r="M3742"/>
      <x:c r="N3742"/>
      <x:c r="O3742"/>
      <x:c r="P3742"/>
    </x:row>
    <x:row r="3743">
      <x:c r="A3743"/>
      <x:c r="B3743"/>
      <x:c r="C3743"/>
      <x:c r="D3743"/>
      <x:c r="E3743"/>
      <x:c r="F3743"/>
      <x:c r="G3743" s="56"/>
      <x:c r="H3743"/>
      <x:c r="I3743"/>
      <x:c r="J3743"/>
      <x:c r="K3743"/>
      <x:c r="L3743"/>
      <x:c r="M3743"/>
      <x:c r="N3743"/>
      <x:c r="O3743"/>
      <x:c r="P3743"/>
    </x:row>
    <x:row r="3744">
      <x:c r="A3744"/>
      <x:c r="B3744"/>
      <x:c r="C3744"/>
      <x:c r="D3744"/>
      <x:c r="E3744"/>
      <x:c r="F3744"/>
      <x:c r="G3744" s="56"/>
      <x:c r="H3744"/>
      <x:c r="I3744"/>
      <x:c r="J3744"/>
      <x:c r="K3744"/>
      <x:c r="L3744"/>
      <x:c r="M3744"/>
      <x:c r="N3744"/>
      <x:c r="O3744"/>
      <x:c r="P3744"/>
    </x:row>
    <x:row r="3745">
      <x:c r="A3745"/>
      <x:c r="B3745"/>
      <x:c r="C3745"/>
      <x:c r="D3745"/>
      <x:c r="E3745"/>
      <x:c r="F3745"/>
      <x:c r="G3745" s="56"/>
      <x:c r="H3745"/>
      <x:c r="I3745"/>
      <x:c r="J3745"/>
      <x:c r="K3745"/>
      <x:c r="L3745"/>
      <x:c r="M3745"/>
      <x:c r="N3745"/>
      <x:c r="O3745"/>
      <x:c r="P3745"/>
    </x:row>
    <x:row r="3746">
      <x:c r="A3746"/>
      <x:c r="B3746"/>
      <x:c r="C3746"/>
      <x:c r="D3746"/>
      <x:c r="E3746"/>
      <x:c r="F3746"/>
      <x:c r="G3746" s="56"/>
      <x:c r="H3746"/>
      <x:c r="I3746"/>
      <x:c r="J3746"/>
      <x:c r="K3746"/>
      <x:c r="L3746"/>
      <x:c r="M3746"/>
      <x:c r="N3746"/>
      <x:c r="O3746"/>
      <x:c r="P3746"/>
    </x:row>
    <x:row r="3747">
      <x:c r="A3747"/>
      <x:c r="B3747"/>
      <x:c r="C3747"/>
      <x:c r="D3747"/>
      <x:c r="E3747"/>
      <x:c r="F3747"/>
      <x:c r="G3747" s="56"/>
      <x:c r="H3747"/>
      <x:c r="I3747"/>
      <x:c r="J3747"/>
      <x:c r="K3747"/>
      <x:c r="L3747"/>
      <x:c r="M3747"/>
      <x:c r="N3747"/>
      <x:c r="O3747"/>
      <x:c r="P3747"/>
    </x:row>
    <x:row r="3748">
      <x:c r="A3748"/>
      <x:c r="B3748"/>
      <x:c r="C3748"/>
      <x:c r="D3748"/>
      <x:c r="E3748"/>
      <x:c r="F3748"/>
      <x:c r="G3748" s="56"/>
      <x:c r="H3748"/>
      <x:c r="I3748"/>
      <x:c r="J3748"/>
      <x:c r="K3748"/>
      <x:c r="L3748"/>
      <x:c r="M3748"/>
      <x:c r="N3748"/>
      <x:c r="O3748"/>
      <x:c r="P3748"/>
    </x:row>
    <x:row r="3749">
      <x:c r="A3749"/>
      <x:c r="B3749"/>
      <x:c r="C3749"/>
      <x:c r="D3749"/>
      <x:c r="E3749"/>
      <x:c r="F3749"/>
      <x:c r="G3749" s="56"/>
      <x:c r="H3749"/>
      <x:c r="I3749"/>
      <x:c r="J3749"/>
      <x:c r="K3749"/>
      <x:c r="L3749"/>
      <x:c r="M3749"/>
      <x:c r="N3749"/>
      <x:c r="O3749"/>
      <x:c r="P3749"/>
    </x:row>
    <x:row r="3750">
      <x:c r="A3750"/>
      <x:c r="B3750"/>
      <x:c r="C3750"/>
      <x:c r="D3750"/>
      <x:c r="E3750"/>
      <x:c r="F3750"/>
      <x:c r="G3750" s="56"/>
      <x:c r="H3750"/>
      <x:c r="I3750"/>
      <x:c r="J3750"/>
      <x:c r="K3750"/>
      <x:c r="L3750"/>
      <x:c r="M3750"/>
      <x:c r="N3750"/>
      <x:c r="O3750"/>
      <x:c r="P3750"/>
    </x:row>
    <x:row r="3751">
      <x:c r="A3751"/>
      <x:c r="B3751"/>
      <x:c r="C3751"/>
      <x:c r="D3751"/>
      <x:c r="E3751"/>
      <x:c r="F3751"/>
      <x:c r="G3751" s="56"/>
      <x:c r="H3751"/>
      <x:c r="I3751"/>
      <x:c r="J3751"/>
      <x:c r="K3751"/>
      <x:c r="L3751"/>
      <x:c r="M3751"/>
      <x:c r="N3751"/>
      <x:c r="O3751"/>
      <x:c r="P3751"/>
    </x:row>
    <x:row r="3752">
      <x:c r="A3752"/>
      <x:c r="B3752"/>
      <x:c r="C3752"/>
      <x:c r="D3752"/>
      <x:c r="E3752"/>
      <x:c r="F3752"/>
      <x:c r="G3752" s="56"/>
      <x:c r="H3752"/>
      <x:c r="I3752"/>
      <x:c r="J3752"/>
      <x:c r="K3752"/>
      <x:c r="L3752"/>
      <x:c r="M3752"/>
      <x:c r="N3752"/>
      <x:c r="O3752"/>
      <x:c r="P3752"/>
    </x:row>
    <x:row r="3753">
      <x:c r="A3753"/>
      <x:c r="B3753"/>
      <x:c r="C3753"/>
      <x:c r="D3753"/>
      <x:c r="E3753"/>
      <x:c r="F3753"/>
      <x:c r="G3753" s="56"/>
      <x:c r="H3753"/>
      <x:c r="I3753"/>
      <x:c r="J3753"/>
      <x:c r="K3753"/>
      <x:c r="L3753"/>
      <x:c r="M3753"/>
      <x:c r="N3753"/>
      <x:c r="O3753"/>
      <x:c r="P3753"/>
    </x:row>
    <x:row r="3754">
      <x:c r="A3754"/>
      <x:c r="B3754"/>
      <x:c r="C3754"/>
      <x:c r="D3754"/>
      <x:c r="E3754"/>
      <x:c r="F3754"/>
      <x:c r="G3754" s="56"/>
      <x:c r="H3754"/>
      <x:c r="I3754"/>
      <x:c r="J3754"/>
      <x:c r="K3754"/>
      <x:c r="L3754"/>
      <x:c r="M3754"/>
      <x:c r="N3754"/>
      <x:c r="O3754"/>
      <x:c r="P3754"/>
    </x:row>
    <x:row r="3755">
      <x:c r="A3755"/>
      <x:c r="B3755"/>
      <x:c r="C3755"/>
      <x:c r="D3755"/>
      <x:c r="E3755"/>
      <x:c r="F3755"/>
      <x:c r="G3755" s="56"/>
      <x:c r="H3755"/>
      <x:c r="I3755"/>
      <x:c r="J3755"/>
      <x:c r="K3755"/>
      <x:c r="L3755"/>
      <x:c r="M3755"/>
      <x:c r="N3755"/>
      <x:c r="O3755"/>
      <x:c r="P3755"/>
    </x:row>
    <x:row r="3756">
      <x:c r="A3756"/>
      <x:c r="B3756"/>
      <x:c r="C3756"/>
      <x:c r="D3756"/>
      <x:c r="E3756"/>
      <x:c r="F3756"/>
      <x:c r="G3756" s="56"/>
      <x:c r="H3756"/>
      <x:c r="I3756"/>
      <x:c r="J3756"/>
      <x:c r="K3756"/>
      <x:c r="L3756"/>
      <x:c r="M3756"/>
      <x:c r="N3756"/>
      <x:c r="O3756"/>
      <x:c r="P3756"/>
    </x:row>
    <x:row r="3757">
      <x:c r="A3757"/>
      <x:c r="B3757"/>
      <x:c r="C3757"/>
      <x:c r="D3757"/>
      <x:c r="E3757"/>
      <x:c r="F3757"/>
      <x:c r="G3757" s="56"/>
      <x:c r="H3757"/>
      <x:c r="I3757"/>
      <x:c r="J3757"/>
      <x:c r="K3757"/>
      <x:c r="L3757"/>
      <x:c r="M3757"/>
      <x:c r="N3757"/>
      <x:c r="O3757"/>
      <x:c r="P3757"/>
    </x:row>
    <x:row r="3758">
      <x:c r="A3758"/>
      <x:c r="B3758"/>
      <x:c r="C3758"/>
      <x:c r="D3758"/>
      <x:c r="E3758"/>
      <x:c r="F3758"/>
      <x:c r="G3758" s="56"/>
      <x:c r="H3758"/>
      <x:c r="I3758"/>
      <x:c r="J3758"/>
      <x:c r="K3758"/>
      <x:c r="L3758"/>
      <x:c r="M3758"/>
      <x:c r="N3758"/>
      <x:c r="O3758"/>
      <x:c r="P3758"/>
    </x:row>
    <x:row r="3759">
      <x:c r="A3759"/>
      <x:c r="B3759"/>
      <x:c r="C3759"/>
      <x:c r="D3759"/>
      <x:c r="E3759"/>
      <x:c r="F3759"/>
      <x:c r="G3759" s="56"/>
      <x:c r="H3759"/>
      <x:c r="I3759"/>
      <x:c r="J3759"/>
      <x:c r="K3759"/>
      <x:c r="L3759"/>
      <x:c r="M3759"/>
      <x:c r="N3759"/>
      <x:c r="O3759"/>
      <x:c r="P3759"/>
    </x:row>
    <x:row r="3760">
      <x:c r="A3760"/>
      <x:c r="B3760"/>
      <x:c r="C3760"/>
      <x:c r="D3760"/>
      <x:c r="E3760"/>
      <x:c r="F3760"/>
      <x:c r="G3760" s="56"/>
      <x:c r="H3760"/>
      <x:c r="I3760"/>
      <x:c r="J3760"/>
      <x:c r="K3760"/>
      <x:c r="L3760"/>
      <x:c r="M3760"/>
      <x:c r="N3760"/>
      <x:c r="O3760"/>
      <x:c r="P3760"/>
    </x:row>
    <x:row r="3761">
      <x:c r="A3761"/>
      <x:c r="B3761"/>
      <x:c r="C3761"/>
      <x:c r="D3761"/>
      <x:c r="E3761"/>
      <x:c r="F3761"/>
      <x:c r="G3761" s="56"/>
      <x:c r="H3761"/>
      <x:c r="I3761"/>
      <x:c r="J3761"/>
      <x:c r="K3761"/>
      <x:c r="L3761"/>
      <x:c r="M3761"/>
      <x:c r="N3761"/>
      <x:c r="O3761"/>
      <x:c r="P3761"/>
    </x:row>
    <x:row r="3762">
      <x:c r="A3762"/>
      <x:c r="B3762"/>
      <x:c r="C3762"/>
      <x:c r="D3762"/>
      <x:c r="E3762"/>
      <x:c r="F3762"/>
      <x:c r="G3762" s="56"/>
      <x:c r="H3762"/>
      <x:c r="I3762"/>
      <x:c r="J3762"/>
      <x:c r="K3762"/>
      <x:c r="L3762"/>
      <x:c r="M3762"/>
      <x:c r="N3762"/>
      <x:c r="O3762"/>
      <x:c r="P3762"/>
    </x:row>
    <x:row r="3763">
      <x:c r="A3763"/>
      <x:c r="B3763"/>
      <x:c r="C3763"/>
      <x:c r="D3763"/>
      <x:c r="E3763"/>
      <x:c r="F3763"/>
      <x:c r="G3763" s="56"/>
      <x:c r="H3763"/>
      <x:c r="I3763"/>
      <x:c r="J3763"/>
      <x:c r="K3763"/>
      <x:c r="L3763"/>
      <x:c r="M3763"/>
      <x:c r="N3763"/>
      <x:c r="O3763"/>
      <x:c r="P3763"/>
    </x:row>
    <x:row r="3764">
      <x:c r="A3764"/>
      <x:c r="B3764"/>
      <x:c r="C3764"/>
      <x:c r="D3764"/>
      <x:c r="E3764"/>
      <x:c r="F3764"/>
      <x:c r="G3764" s="56"/>
      <x:c r="H3764"/>
      <x:c r="I3764"/>
      <x:c r="J3764"/>
      <x:c r="K3764"/>
      <x:c r="L3764"/>
      <x:c r="M3764"/>
      <x:c r="N3764"/>
      <x:c r="O3764"/>
      <x:c r="P3764"/>
    </x:row>
    <x:row r="3765">
      <x:c r="A3765"/>
      <x:c r="B3765"/>
      <x:c r="C3765"/>
      <x:c r="D3765"/>
      <x:c r="E3765"/>
      <x:c r="F3765"/>
      <x:c r="G3765" s="56"/>
      <x:c r="H3765"/>
      <x:c r="I3765"/>
      <x:c r="J3765"/>
      <x:c r="K3765"/>
      <x:c r="L3765"/>
      <x:c r="M3765"/>
      <x:c r="N3765"/>
      <x:c r="O3765"/>
      <x:c r="P3765"/>
    </x:row>
    <x:row r="3766">
      <x:c r="A3766"/>
      <x:c r="B3766"/>
      <x:c r="C3766"/>
      <x:c r="D3766"/>
      <x:c r="E3766"/>
      <x:c r="F3766"/>
      <x:c r="G3766" s="56"/>
      <x:c r="H3766"/>
      <x:c r="I3766"/>
      <x:c r="J3766"/>
      <x:c r="K3766"/>
      <x:c r="L3766"/>
      <x:c r="M3766"/>
      <x:c r="N3766"/>
      <x:c r="O3766"/>
      <x:c r="P3766"/>
    </x:row>
    <x:row r="3767">
      <x:c r="A3767"/>
      <x:c r="B3767"/>
      <x:c r="C3767"/>
      <x:c r="D3767"/>
      <x:c r="E3767"/>
      <x:c r="F3767"/>
      <x:c r="G3767" s="56"/>
      <x:c r="H3767"/>
      <x:c r="I3767"/>
      <x:c r="J3767"/>
      <x:c r="K3767"/>
      <x:c r="L3767"/>
      <x:c r="M3767"/>
      <x:c r="N3767"/>
      <x:c r="O3767"/>
      <x:c r="P3767"/>
    </x:row>
    <x:row r="3768">
      <x:c r="A3768"/>
      <x:c r="B3768"/>
      <x:c r="C3768"/>
      <x:c r="D3768"/>
      <x:c r="E3768"/>
      <x:c r="F3768"/>
      <x:c r="G3768" s="56"/>
      <x:c r="H3768"/>
      <x:c r="I3768"/>
      <x:c r="J3768"/>
      <x:c r="K3768"/>
      <x:c r="L3768"/>
      <x:c r="M3768"/>
      <x:c r="N3768"/>
      <x:c r="O3768"/>
      <x:c r="P3768"/>
    </x:row>
    <x:row r="3769">
      <x:c r="A3769"/>
      <x:c r="B3769"/>
      <x:c r="C3769"/>
      <x:c r="D3769"/>
      <x:c r="E3769"/>
      <x:c r="F3769"/>
      <x:c r="G3769" s="56"/>
      <x:c r="H3769"/>
      <x:c r="I3769"/>
      <x:c r="J3769"/>
      <x:c r="K3769"/>
      <x:c r="L3769"/>
      <x:c r="M3769"/>
      <x:c r="N3769"/>
      <x:c r="O3769"/>
      <x:c r="P3769"/>
    </x:row>
    <x:row r="3770">
      <x:c r="A3770"/>
      <x:c r="B3770"/>
      <x:c r="C3770"/>
      <x:c r="D3770"/>
      <x:c r="E3770"/>
      <x:c r="F3770"/>
      <x:c r="G3770" s="56"/>
      <x:c r="H3770"/>
      <x:c r="I3770"/>
      <x:c r="J3770"/>
      <x:c r="K3770"/>
      <x:c r="L3770"/>
      <x:c r="M3770"/>
      <x:c r="N3770"/>
      <x:c r="O3770"/>
      <x:c r="P3770"/>
    </x:row>
    <x:row r="3771">
      <x:c r="A3771"/>
      <x:c r="B3771"/>
      <x:c r="C3771"/>
      <x:c r="D3771"/>
      <x:c r="E3771"/>
      <x:c r="F3771"/>
      <x:c r="G3771" s="56"/>
      <x:c r="H3771"/>
      <x:c r="I3771"/>
      <x:c r="J3771"/>
      <x:c r="K3771"/>
      <x:c r="L3771"/>
      <x:c r="M3771"/>
      <x:c r="N3771"/>
      <x:c r="O3771"/>
      <x:c r="P3771"/>
    </x:row>
    <x:row r="3772">
      <x:c r="A3772"/>
      <x:c r="B3772"/>
      <x:c r="C3772"/>
      <x:c r="D3772"/>
      <x:c r="E3772"/>
      <x:c r="F3772"/>
      <x:c r="G3772" s="56"/>
      <x:c r="H3772"/>
      <x:c r="I3772"/>
      <x:c r="J3772"/>
      <x:c r="K3772"/>
      <x:c r="L3772"/>
      <x:c r="M3772"/>
      <x:c r="N3772"/>
      <x:c r="O3772"/>
      <x:c r="P3772"/>
    </x:row>
    <x:row r="3773">
      <x:c r="A3773"/>
      <x:c r="B3773"/>
      <x:c r="C3773"/>
      <x:c r="D3773"/>
      <x:c r="E3773"/>
      <x:c r="F3773"/>
      <x:c r="G3773" s="56"/>
      <x:c r="H3773"/>
      <x:c r="I3773"/>
      <x:c r="J3773"/>
      <x:c r="K3773"/>
      <x:c r="L3773"/>
      <x:c r="M3773"/>
      <x:c r="N3773"/>
      <x:c r="O3773"/>
      <x:c r="P3773"/>
    </x:row>
    <x:row r="3774">
      <x:c r="A3774"/>
      <x:c r="B3774"/>
      <x:c r="C3774"/>
      <x:c r="D3774"/>
      <x:c r="E3774"/>
      <x:c r="F3774"/>
      <x:c r="G3774" s="56"/>
      <x:c r="H3774"/>
      <x:c r="I3774"/>
      <x:c r="J3774"/>
      <x:c r="K3774"/>
      <x:c r="L3774"/>
      <x:c r="M3774"/>
      <x:c r="N3774"/>
      <x:c r="O3774"/>
      <x:c r="P3774"/>
    </x:row>
    <x:row r="3775">
      <x:c r="A3775"/>
      <x:c r="B3775"/>
      <x:c r="C3775"/>
      <x:c r="D3775"/>
      <x:c r="E3775"/>
      <x:c r="F3775"/>
      <x:c r="G3775" s="56"/>
      <x:c r="H3775"/>
      <x:c r="I3775"/>
      <x:c r="J3775"/>
      <x:c r="K3775"/>
      <x:c r="L3775"/>
      <x:c r="M3775"/>
      <x:c r="N3775"/>
      <x:c r="O3775"/>
      <x:c r="P3775"/>
    </x:row>
    <x:row r="3776">
      <x:c r="A3776"/>
      <x:c r="B3776"/>
      <x:c r="C3776"/>
      <x:c r="D3776"/>
      <x:c r="E3776"/>
      <x:c r="F3776"/>
      <x:c r="G3776" s="56"/>
      <x:c r="H3776"/>
      <x:c r="I3776"/>
      <x:c r="J3776"/>
      <x:c r="K3776"/>
      <x:c r="L3776"/>
      <x:c r="M3776"/>
      <x:c r="N3776"/>
      <x:c r="O3776"/>
      <x:c r="P3776"/>
    </x:row>
    <x:row r="3777">
      <x:c r="A3777"/>
      <x:c r="B3777"/>
      <x:c r="C3777"/>
      <x:c r="D3777"/>
      <x:c r="E3777"/>
      <x:c r="F3777"/>
      <x:c r="G3777" s="56"/>
      <x:c r="H3777"/>
      <x:c r="I3777"/>
      <x:c r="J3777"/>
      <x:c r="K3777"/>
      <x:c r="L3777"/>
      <x:c r="M3777"/>
      <x:c r="N3777"/>
      <x:c r="O3777"/>
      <x:c r="P3777"/>
    </x:row>
    <x:row r="3778">
      <x:c r="A3778"/>
      <x:c r="B3778"/>
      <x:c r="C3778"/>
      <x:c r="D3778"/>
      <x:c r="E3778"/>
      <x:c r="F3778"/>
      <x:c r="G3778" s="56"/>
      <x:c r="H3778"/>
      <x:c r="I3778"/>
      <x:c r="J3778"/>
      <x:c r="K3778"/>
      <x:c r="L3778"/>
      <x:c r="M3778"/>
      <x:c r="N3778"/>
      <x:c r="O3778"/>
      <x:c r="P3778"/>
    </x:row>
    <x:row r="3779">
      <x:c r="A3779"/>
      <x:c r="B3779"/>
      <x:c r="C3779"/>
      <x:c r="D3779"/>
      <x:c r="E3779"/>
      <x:c r="F3779"/>
      <x:c r="G3779" s="56"/>
      <x:c r="H3779"/>
      <x:c r="I3779"/>
      <x:c r="J3779"/>
      <x:c r="K3779"/>
      <x:c r="L3779"/>
      <x:c r="M3779"/>
      <x:c r="N3779"/>
      <x:c r="O3779"/>
      <x:c r="P3779"/>
    </x:row>
    <x:row r="3780">
      <x:c r="A3780"/>
      <x:c r="B3780"/>
      <x:c r="C3780"/>
      <x:c r="D3780"/>
      <x:c r="E3780"/>
      <x:c r="F3780"/>
      <x:c r="G3780" s="56"/>
      <x:c r="H3780"/>
      <x:c r="I3780"/>
      <x:c r="J3780"/>
      <x:c r="K3780"/>
      <x:c r="L3780"/>
      <x:c r="M3780"/>
      <x:c r="N3780"/>
      <x:c r="O3780"/>
      <x:c r="P3780"/>
    </x:row>
    <x:row r="3781">
      <x:c r="A3781"/>
      <x:c r="B3781"/>
      <x:c r="C3781"/>
      <x:c r="D3781"/>
      <x:c r="E3781"/>
      <x:c r="F3781"/>
      <x:c r="G3781" s="56"/>
      <x:c r="H3781"/>
      <x:c r="I3781"/>
      <x:c r="J3781"/>
      <x:c r="K3781"/>
      <x:c r="L3781"/>
      <x:c r="M3781"/>
      <x:c r="N3781"/>
      <x:c r="O3781"/>
      <x:c r="P3781"/>
    </x:row>
    <x:row r="3782">
      <x:c r="A3782"/>
      <x:c r="B3782"/>
      <x:c r="C3782"/>
      <x:c r="D3782"/>
      <x:c r="E3782"/>
      <x:c r="F3782"/>
      <x:c r="G3782" s="56"/>
      <x:c r="H3782"/>
      <x:c r="I3782"/>
      <x:c r="J3782"/>
      <x:c r="K3782"/>
      <x:c r="L3782"/>
      <x:c r="M3782"/>
      <x:c r="N3782"/>
      <x:c r="O3782"/>
      <x:c r="P3782"/>
    </x:row>
    <x:row r="3783">
      <x:c r="A3783"/>
      <x:c r="B3783"/>
      <x:c r="C3783"/>
      <x:c r="D3783"/>
      <x:c r="E3783"/>
      <x:c r="F3783"/>
      <x:c r="G3783" s="56"/>
      <x:c r="H3783"/>
      <x:c r="I3783"/>
      <x:c r="J3783"/>
      <x:c r="K3783"/>
      <x:c r="L3783"/>
      <x:c r="M3783"/>
      <x:c r="N3783"/>
      <x:c r="O3783"/>
      <x:c r="P3783"/>
    </x:row>
    <x:row r="3784">
      <x:c r="A3784"/>
      <x:c r="B3784"/>
      <x:c r="C3784"/>
      <x:c r="D3784"/>
      <x:c r="E3784"/>
      <x:c r="F3784"/>
      <x:c r="G3784" s="56"/>
      <x:c r="H3784"/>
      <x:c r="I3784"/>
      <x:c r="J3784"/>
      <x:c r="K3784"/>
      <x:c r="L3784"/>
      <x:c r="M3784"/>
      <x:c r="N3784"/>
      <x:c r="O3784"/>
      <x:c r="P3784"/>
    </x:row>
    <x:row r="3785">
      <x:c r="A3785"/>
      <x:c r="B3785"/>
      <x:c r="C3785"/>
      <x:c r="D3785"/>
      <x:c r="E3785"/>
      <x:c r="F3785"/>
      <x:c r="G3785" s="56"/>
      <x:c r="H3785"/>
      <x:c r="I3785"/>
      <x:c r="J3785"/>
      <x:c r="K3785"/>
      <x:c r="L3785"/>
      <x:c r="M3785"/>
      <x:c r="N3785"/>
      <x:c r="O3785"/>
      <x:c r="P3785"/>
    </x:row>
    <x:row r="3786">
      <x:c r="A3786"/>
      <x:c r="B3786"/>
      <x:c r="C3786"/>
      <x:c r="D3786"/>
      <x:c r="E3786"/>
      <x:c r="F3786"/>
      <x:c r="G3786" s="56"/>
      <x:c r="H3786"/>
      <x:c r="I3786"/>
      <x:c r="J3786"/>
      <x:c r="K3786"/>
      <x:c r="L3786"/>
      <x:c r="M3786"/>
      <x:c r="N3786"/>
      <x:c r="O3786"/>
      <x:c r="P3786"/>
    </x:row>
    <x:row r="3787">
      <x:c r="A3787"/>
      <x:c r="B3787"/>
      <x:c r="C3787"/>
      <x:c r="D3787"/>
      <x:c r="E3787"/>
      <x:c r="F3787"/>
      <x:c r="G3787" s="56"/>
      <x:c r="H3787"/>
      <x:c r="I3787"/>
      <x:c r="J3787"/>
      <x:c r="K3787"/>
      <x:c r="L3787"/>
      <x:c r="M3787"/>
      <x:c r="N3787"/>
      <x:c r="O3787"/>
      <x:c r="P3787"/>
    </x:row>
    <x:row r="3788">
      <x:c r="A3788"/>
      <x:c r="B3788"/>
      <x:c r="C3788"/>
      <x:c r="D3788"/>
      <x:c r="E3788"/>
      <x:c r="F3788"/>
      <x:c r="G3788" s="56"/>
      <x:c r="H3788"/>
      <x:c r="I3788"/>
      <x:c r="J3788"/>
      <x:c r="K3788"/>
      <x:c r="L3788"/>
      <x:c r="M3788"/>
      <x:c r="N3788"/>
      <x:c r="O3788"/>
      <x:c r="P3788"/>
    </x:row>
    <x:row r="3789">
      <x:c r="A3789"/>
      <x:c r="B3789"/>
      <x:c r="C3789"/>
      <x:c r="D3789"/>
      <x:c r="E3789"/>
      <x:c r="F3789"/>
      <x:c r="G3789" s="56"/>
      <x:c r="H3789"/>
      <x:c r="I3789"/>
      <x:c r="J3789"/>
      <x:c r="K3789"/>
      <x:c r="L3789"/>
      <x:c r="M3789"/>
      <x:c r="N3789"/>
      <x:c r="O3789"/>
      <x:c r="P3789"/>
    </x:row>
    <x:row r="3790">
      <x:c r="A3790"/>
      <x:c r="B3790"/>
      <x:c r="C3790"/>
      <x:c r="D3790"/>
      <x:c r="E3790"/>
      <x:c r="F3790"/>
      <x:c r="G3790" s="56"/>
      <x:c r="H3790"/>
      <x:c r="I3790"/>
      <x:c r="J3790"/>
      <x:c r="K3790"/>
      <x:c r="L3790"/>
      <x:c r="M3790"/>
      <x:c r="N3790"/>
      <x:c r="O3790"/>
      <x:c r="P3790"/>
    </x:row>
    <x:row r="3791">
      <x:c r="A3791"/>
      <x:c r="B3791"/>
      <x:c r="C3791"/>
      <x:c r="D3791"/>
      <x:c r="E3791"/>
      <x:c r="F3791"/>
      <x:c r="G3791" s="56"/>
      <x:c r="H3791"/>
      <x:c r="I3791"/>
      <x:c r="J3791"/>
      <x:c r="K3791"/>
      <x:c r="L3791"/>
      <x:c r="M3791"/>
      <x:c r="N3791"/>
      <x:c r="O3791"/>
      <x:c r="P3791"/>
    </x:row>
    <x:row r="3792">
      <x:c r="A3792"/>
      <x:c r="B3792"/>
      <x:c r="C3792"/>
      <x:c r="D3792"/>
      <x:c r="E3792"/>
      <x:c r="F3792"/>
      <x:c r="G3792" s="56"/>
      <x:c r="H3792"/>
      <x:c r="I3792"/>
      <x:c r="J3792"/>
      <x:c r="K3792"/>
      <x:c r="L3792"/>
      <x:c r="M3792"/>
      <x:c r="N3792"/>
      <x:c r="O3792"/>
      <x:c r="P3792"/>
    </x:row>
    <x:row r="3793">
      <x:c r="A3793"/>
      <x:c r="B3793"/>
      <x:c r="C3793"/>
      <x:c r="D3793"/>
      <x:c r="E3793"/>
      <x:c r="F3793"/>
      <x:c r="G3793" s="56"/>
      <x:c r="H3793"/>
      <x:c r="I3793"/>
      <x:c r="J3793"/>
      <x:c r="K3793"/>
      <x:c r="L3793"/>
      <x:c r="M3793"/>
      <x:c r="N3793"/>
      <x:c r="O3793"/>
      <x:c r="P3793"/>
    </x:row>
    <x:row r="3794">
      <x:c r="A3794"/>
      <x:c r="B3794"/>
      <x:c r="C3794"/>
      <x:c r="D3794"/>
      <x:c r="E3794"/>
      <x:c r="F3794"/>
      <x:c r="G3794" s="56"/>
      <x:c r="H3794"/>
      <x:c r="I3794"/>
      <x:c r="J3794"/>
      <x:c r="K3794"/>
      <x:c r="L3794"/>
      <x:c r="M3794"/>
      <x:c r="N3794"/>
      <x:c r="O3794"/>
      <x:c r="P3794"/>
    </x:row>
    <x:row r="3795">
      <x:c r="A3795"/>
      <x:c r="B3795"/>
      <x:c r="C3795"/>
      <x:c r="D3795"/>
      <x:c r="E3795"/>
      <x:c r="F3795"/>
      <x:c r="G3795" s="56"/>
      <x:c r="H3795"/>
      <x:c r="I3795"/>
      <x:c r="J3795"/>
      <x:c r="K3795"/>
      <x:c r="L3795"/>
      <x:c r="M3795"/>
      <x:c r="N3795"/>
      <x:c r="O3795"/>
      <x:c r="P3795"/>
    </x:row>
    <x:row r="3796">
      <x:c r="A3796"/>
      <x:c r="B3796"/>
      <x:c r="C3796"/>
      <x:c r="D3796"/>
      <x:c r="E3796"/>
      <x:c r="F3796"/>
      <x:c r="G3796" s="56"/>
      <x:c r="H3796"/>
      <x:c r="I3796"/>
      <x:c r="J3796"/>
      <x:c r="K3796"/>
      <x:c r="L3796"/>
      <x:c r="M3796"/>
      <x:c r="N3796"/>
      <x:c r="O3796"/>
      <x:c r="P3796"/>
    </x:row>
    <x:row r="3797">
      <x:c r="A3797"/>
      <x:c r="B3797"/>
      <x:c r="C3797"/>
      <x:c r="D3797"/>
      <x:c r="E3797"/>
      <x:c r="F3797"/>
      <x:c r="G3797" s="56"/>
      <x:c r="H3797"/>
      <x:c r="I3797"/>
      <x:c r="J3797"/>
      <x:c r="K3797"/>
      <x:c r="L3797"/>
      <x:c r="M3797"/>
      <x:c r="N3797"/>
      <x:c r="O3797"/>
      <x:c r="P3797"/>
    </x:row>
    <x:row r="3798">
      <x:c r="A3798"/>
      <x:c r="B3798"/>
      <x:c r="C3798"/>
      <x:c r="D3798"/>
      <x:c r="E3798"/>
      <x:c r="F3798"/>
      <x:c r="G3798" s="56"/>
      <x:c r="H3798"/>
      <x:c r="I3798"/>
      <x:c r="J3798"/>
      <x:c r="K3798"/>
      <x:c r="L3798"/>
      <x:c r="M3798"/>
      <x:c r="N3798"/>
      <x:c r="O3798"/>
      <x:c r="P3798"/>
    </x:row>
    <x:row r="3799">
      <x:c r="A3799"/>
      <x:c r="B3799"/>
      <x:c r="C3799"/>
      <x:c r="D3799"/>
      <x:c r="E3799"/>
      <x:c r="F3799"/>
      <x:c r="G3799" s="56"/>
      <x:c r="H3799"/>
      <x:c r="I3799"/>
      <x:c r="J3799"/>
      <x:c r="K3799"/>
      <x:c r="L3799"/>
      <x:c r="M3799"/>
      <x:c r="N3799"/>
      <x:c r="O3799"/>
      <x:c r="P3799"/>
    </x:row>
    <x:row r="3800">
      <x:c r="A3800"/>
      <x:c r="B3800"/>
      <x:c r="C3800"/>
      <x:c r="D3800"/>
      <x:c r="E3800"/>
      <x:c r="F3800"/>
      <x:c r="G3800" s="56"/>
      <x:c r="H3800"/>
      <x:c r="I3800"/>
      <x:c r="J3800"/>
      <x:c r="K3800"/>
      <x:c r="L3800"/>
      <x:c r="M3800"/>
      <x:c r="N3800"/>
      <x:c r="O3800"/>
      <x:c r="P3800"/>
    </x:row>
    <x:row r="3801">
      <x:c r="A3801"/>
      <x:c r="B3801"/>
      <x:c r="C3801"/>
      <x:c r="D3801"/>
      <x:c r="E3801"/>
      <x:c r="F3801"/>
      <x:c r="G3801" s="56"/>
      <x:c r="H3801"/>
      <x:c r="I3801"/>
      <x:c r="J3801"/>
      <x:c r="K3801"/>
      <x:c r="L3801"/>
      <x:c r="M3801"/>
      <x:c r="N3801"/>
      <x:c r="O3801"/>
      <x:c r="P3801"/>
    </x:row>
    <x:row r="3802">
      <x:c r="A3802"/>
      <x:c r="B3802"/>
      <x:c r="C3802"/>
      <x:c r="D3802"/>
      <x:c r="E3802"/>
      <x:c r="F3802"/>
      <x:c r="G3802" s="56"/>
      <x:c r="H3802"/>
      <x:c r="I3802"/>
      <x:c r="J3802"/>
      <x:c r="K3802"/>
      <x:c r="L3802"/>
      <x:c r="M3802"/>
      <x:c r="N3802"/>
      <x:c r="O3802"/>
      <x:c r="P3802"/>
    </x:row>
    <x:row r="3803">
      <x:c r="A3803"/>
      <x:c r="B3803"/>
      <x:c r="C3803"/>
      <x:c r="D3803"/>
      <x:c r="E3803"/>
      <x:c r="F3803"/>
      <x:c r="G3803" s="56"/>
      <x:c r="H3803"/>
      <x:c r="I3803"/>
      <x:c r="J3803"/>
      <x:c r="K3803"/>
      <x:c r="L3803"/>
      <x:c r="M3803"/>
      <x:c r="N3803"/>
      <x:c r="O3803"/>
      <x:c r="P3803"/>
    </x:row>
    <x:row r="3804">
      <x:c r="A3804"/>
      <x:c r="B3804"/>
      <x:c r="C3804"/>
      <x:c r="D3804"/>
      <x:c r="E3804"/>
      <x:c r="F3804"/>
      <x:c r="G3804" s="56"/>
      <x:c r="H3804"/>
      <x:c r="I3804"/>
      <x:c r="J3804"/>
      <x:c r="K3804"/>
      <x:c r="L3804"/>
      <x:c r="M3804"/>
      <x:c r="N3804"/>
      <x:c r="O3804"/>
      <x:c r="P3804"/>
    </x:row>
    <x:row r="3805">
      <x:c r="A3805"/>
      <x:c r="B3805"/>
      <x:c r="C3805"/>
      <x:c r="D3805"/>
      <x:c r="E3805"/>
      <x:c r="F3805"/>
      <x:c r="G3805" s="56"/>
      <x:c r="H3805"/>
      <x:c r="I3805"/>
      <x:c r="J3805"/>
      <x:c r="K3805"/>
      <x:c r="L3805"/>
      <x:c r="M3805"/>
      <x:c r="N3805"/>
      <x:c r="O3805"/>
      <x:c r="P3805"/>
    </x:row>
    <x:row r="3806">
      <x:c r="A3806"/>
      <x:c r="B3806"/>
      <x:c r="C3806"/>
      <x:c r="D3806"/>
      <x:c r="E3806"/>
      <x:c r="F3806"/>
      <x:c r="G3806" s="56"/>
      <x:c r="H3806"/>
      <x:c r="I3806"/>
      <x:c r="J3806"/>
      <x:c r="K3806"/>
      <x:c r="L3806"/>
      <x:c r="M3806"/>
      <x:c r="N3806"/>
      <x:c r="O3806"/>
      <x:c r="P3806"/>
    </x:row>
    <x:row r="3807">
      <x:c r="A3807"/>
      <x:c r="B3807"/>
      <x:c r="C3807"/>
      <x:c r="D3807"/>
      <x:c r="E3807"/>
      <x:c r="F3807"/>
      <x:c r="G3807" s="56"/>
      <x:c r="H3807"/>
      <x:c r="I3807"/>
      <x:c r="J3807"/>
      <x:c r="K3807"/>
      <x:c r="L3807"/>
      <x:c r="M3807"/>
      <x:c r="N3807"/>
      <x:c r="O3807"/>
      <x:c r="P3807"/>
    </x:row>
    <x:row r="3808">
      <x:c r="A3808"/>
      <x:c r="B3808"/>
      <x:c r="C3808"/>
      <x:c r="D3808"/>
      <x:c r="E3808"/>
      <x:c r="F3808"/>
      <x:c r="G3808" s="56"/>
      <x:c r="H3808"/>
      <x:c r="I3808"/>
      <x:c r="J3808"/>
      <x:c r="K3808"/>
      <x:c r="L3808"/>
      <x:c r="M3808"/>
      <x:c r="N3808"/>
      <x:c r="O3808"/>
      <x:c r="P3808"/>
    </x:row>
    <x:row r="3809">
      <x:c r="A3809"/>
      <x:c r="B3809"/>
      <x:c r="C3809"/>
      <x:c r="D3809"/>
      <x:c r="E3809"/>
      <x:c r="F3809"/>
      <x:c r="G3809" s="56"/>
      <x:c r="H3809"/>
      <x:c r="I3809"/>
      <x:c r="J3809"/>
      <x:c r="K3809"/>
      <x:c r="L3809"/>
      <x:c r="M3809"/>
      <x:c r="N3809"/>
      <x:c r="O3809"/>
      <x:c r="P3809"/>
    </x:row>
    <x:row r="3810">
      <x:c r="A3810"/>
      <x:c r="B3810"/>
      <x:c r="C3810"/>
      <x:c r="D3810"/>
      <x:c r="E3810"/>
      <x:c r="F3810"/>
      <x:c r="G3810" s="56"/>
      <x:c r="H3810"/>
      <x:c r="I3810"/>
      <x:c r="J3810"/>
      <x:c r="K3810"/>
      <x:c r="L3810"/>
      <x:c r="M3810"/>
      <x:c r="N3810"/>
      <x:c r="O3810"/>
      <x:c r="P3810"/>
    </x:row>
    <x:row r="3811">
      <x:c r="A3811"/>
      <x:c r="B3811"/>
      <x:c r="C3811"/>
      <x:c r="D3811"/>
      <x:c r="E3811"/>
      <x:c r="F3811"/>
      <x:c r="G3811" s="56"/>
      <x:c r="H3811"/>
      <x:c r="I3811"/>
      <x:c r="J3811"/>
      <x:c r="K3811"/>
      <x:c r="L3811"/>
      <x:c r="M3811"/>
      <x:c r="N3811"/>
      <x:c r="O3811"/>
      <x:c r="P3811"/>
    </x:row>
    <x:row r="3812">
      <x:c r="A3812"/>
      <x:c r="B3812"/>
      <x:c r="C3812"/>
      <x:c r="D3812"/>
      <x:c r="E3812"/>
      <x:c r="F3812"/>
      <x:c r="G3812" s="56"/>
      <x:c r="H3812"/>
      <x:c r="I3812"/>
      <x:c r="J3812"/>
      <x:c r="K3812"/>
      <x:c r="L3812"/>
      <x:c r="M3812"/>
      <x:c r="N3812"/>
      <x:c r="O3812"/>
      <x:c r="P3812"/>
    </x:row>
    <x:row r="3813">
      <x:c r="A3813"/>
      <x:c r="B3813"/>
      <x:c r="C3813"/>
      <x:c r="D3813"/>
      <x:c r="E3813"/>
      <x:c r="F3813"/>
      <x:c r="G3813" s="56"/>
      <x:c r="H3813"/>
      <x:c r="I3813"/>
      <x:c r="J3813"/>
      <x:c r="K3813"/>
      <x:c r="L3813"/>
      <x:c r="M3813"/>
      <x:c r="N3813"/>
      <x:c r="O3813"/>
      <x:c r="P3813"/>
    </x:row>
    <x:row r="3814">
      <x:c r="A3814"/>
      <x:c r="B3814"/>
      <x:c r="C3814"/>
      <x:c r="D3814"/>
      <x:c r="E3814"/>
      <x:c r="F3814"/>
      <x:c r="G3814" s="56"/>
      <x:c r="H3814"/>
      <x:c r="I3814"/>
      <x:c r="J3814"/>
      <x:c r="K3814"/>
      <x:c r="L3814"/>
      <x:c r="M3814"/>
      <x:c r="N3814"/>
      <x:c r="O3814"/>
      <x:c r="P3814"/>
    </x:row>
    <x:row r="3815">
      <x:c r="A3815"/>
      <x:c r="B3815"/>
      <x:c r="C3815"/>
      <x:c r="D3815"/>
      <x:c r="E3815"/>
      <x:c r="F3815"/>
      <x:c r="G3815" s="56"/>
      <x:c r="H3815"/>
      <x:c r="I3815"/>
      <x:c r="J3815"/>
      <x:c r="K3815"/>
      <x:c r="L3815"/>
      <x:c r="M3815"/>
      <x:c r="N3815"/>
      <x:c r="O3815"/>
      <x:c r="P3815"/>
    </x:row>
    <x:row r="3816">
      <x:c r="A3816"/>
      <x:c r="B3816"/>
      <x:c r="C3816"/>
      <x:c r="D3816"/>
      <x:c r="E3816"/>
      <x:c r="F3816"/>
      <x:c r="G3816" s="56"/>
      <x:c r="H3816"/>
      <x:c r="I3816"/>
      <x:c r="J3816"/>
      <x:c r="K3816"/>
      <x:c r="L3816"/>
      <x:c r="M3816"/>
      <x:c r="N3816"/>
      <x:c r="O3816"/>
      <x:c r="P3816"/>
    </x:row>
    <x:row r="3817">
      <x:c r="A3817"/>
      <x:c r="B3817"/>
      <x:c r="C3817"/>
      <x:c r="D3817"/>
      <x:c r="E3817"/>
      <x:c r="F3817"/>
      <x:c r="G3817" s="56"/>
      <x:c r="H3817"/>
      <x:c r="I3817"/>
      <x:c r="J3817"/>
      <x:c r="K3817"/>
      <x:c r="L3817"/>
      <x:c r="M3817"/>
      <x:c r="N3817"/>
      <x:c r="O3817"/>
      <x:c r="P3817"/>
    </x:row>
    <x:row r="3818">
      <x:c r="A3818"/>
      <x:c r="B3818"/>
      <x:c r="C3818"/>
      <x:c r="D3818"/>
      <x:c r="E3818"/>
      <x:c r="F3818"/>
      <x:c r="G3818" s="56"/>
      <x:c r="H3818"/>
      <x:c r="I3818"/>
      <x:c r="J3818"/>
      <x:c r="K3818"/>
      <x:c r="L3818"/>
      <x:c r="M3818"/>
      <x:c r="N3818"/>
      <x:c r="O3818"/>
      <x:c r="P3818"/>
    </x:row>
    <x:row r="3819">
      <x:c r="A3819"/>
      <x:c r="B3819"/>
      <x:c r="C3819"/>
      <x:c r="D3819"/>
      <x:c r="E3819"/>
      <x:c r="F3819"/>
      <x:c r="G3819" s="56"/>
      <x:c r="H3819"/>
      <x:c r="I3819"/>
      <x:c r="J3819"/>
      <x:c r="K3819"/>
      <x:c r="L3819"/>
      <x:c r="M3819"/>
      <x:c r="N3819"/>
      <x:c r="O3819"/>
      <x:c r="P3819"/>
    </x:row>
    <x:row r="3820">
      <x:c r="A3820"/>
      <x:c r="B3820"/>
      <x:c r="C3820"/>
      <x:c r="D3820"/>
      <x:c r="E3820"/>
      <x:c r="F3820"/>
      <x:c r="G3820" s="56"/>
      <x:c r="H3820"/>
      <x:c r="I3820"/>
      <x:c r="J3820"/>
      <x:c r="K3820"/>
      <x:c r="L3820"/>
      <x:c r="M3820"/>
      <x:c r="N3820"/>
      <x:c r="O3820"/>
      <x:c r="P3820"/>
    </x:row>
    <x:row r="3821">
      <x:c r="A3821"/>
      <x:c r="B3821"/>
      <x:c r="C3821"/>
      <x:c r="D3821"/>
      <x:c r="E3821"/>
      <x:c r="F3821"/>
      <x:c r="G3821" s="56"/>
      <x:c r="H3821"/>
      <x:c r="I3821"/>
      <x:c r="J3821"/>
      <x:c r="K3821"/>
      <x:c r="L3821"/>
      <x:c r="M3821"/>
      <x:c r="N3821"/>
      <x:c r="O3821"/>
      <x:c r="P3821"/>
    </x:row>
    <x:row r="3822">
      <x:c r="A3822"/>
      <x:c r="B3822"/>
      <x:c r="C3822"/>
      <x:c r="D3822"/>
      <x:c r="E3822"/>
      <x:c r="F3822"/>
      <x:c r="G3822" s="56"/>
      <x:c r="H3822"/>
      <x:c r="I3822"/>
      <x:c r="J3822"/>
      <x:c r="K3822"/>
      <x:c r="L3822"/>
      <x:c r="M3822"/>
      <x:c r="N3822"/>
      <x:c r="O3822"/>
      <x:c r="P3822"/>
    </x:row>
    <x:row r="3823">
      <x:c r="A3823"/>
      <x:c r="B3823"/>
      <x:c r="C3823"/>
      <x:c r="D3823"/>
      <x:c r="E3823"/>
      <x:c r="F3823"/>
      <x:c r="G3823" s="56"/>
      <x:c r="H3823"/>
      <x:c r="I3823"/>
      <x:c r="J3823"/>
      <x:c r="K3823"/>
      <x:c r="L3823"/>
      <x:c r="M3823"/>
      <x:c r="N3823"/>
      <x:c r="O3823"/>
      <x:c r="P3823"/>
    </x:row>
    <x:row r="3824">
      <x:c r="A3824"/>
      <x:c r="B3824"/>
      <x:c r="C3824"/>
      <x:c r="D3824"/>
      <x:c r="E3824"/>
      <x:c r="F3824"/>
      <x:c r="G3824" s="56"/>
      <x:c r="H3824"/>
      <x:c r="I3824"/>
      <x:c r="J3824"/>
      <x:c r="K3824"/>
      <x:c r="L3824"/>
      <x:c r="M3824"/>
      <x:c r="N3824"/>
      <x:c r="O3824"/>
      <x:c r="P3824"/>
    </x:row>
    <x:row r="3825">
      <x:c r="A3825"/>
      <x:c r="B3825"/>
      <x:c r="C3825"/>
      <x:c r="D3825"/>
      <x:c r="E3825"/>
      <x:c r="F3825"/>
      <x:c r="G3825" s="56"/>
      <x:c r="H3825"/>
      <x:c r="I3825"/>
      <x:c r="J3825"/>
      <x:c r="K3825"/>
      <x:c r="L3825"/>
      <x:c r="M3825"/>
      <x:c r="N3825"/>
      <x:c r="O3825"/>
      <x:c r="P3825"/>
    </x:row>
    <x:row r="3826">
      <x:c r="A3826"/>
      <x:c r="B3826"/>
      <x:c r="C3826"/>
      <x:c r="D3826"/>
      <x:c r="E3826"/>
      <x:c r="F3826"/>
      <x:c r="G3826" s="56"/>
      <x:c r="H3826"/>
      <x:c r="I3826"/>
      <x:c r="J3826"/>
      <x:c r="K3826"/>
      <x:c r="L3826"/>
      <x:c r="M3826"/>
      <x:c r="N3826"/>
      <x:c r="O3826"/>
      <x:c r="P3826"/>
    </x:row>
    <x:row r="3827">
      <x:c r="A3827"/>
      <x:c r="B3827"/>
      <x:c r="C3827"/>
      <x:c r="D3827"/>
      <x:c r="E3827"/>
      <x:c r="F3827"/>
      <x:c r="G3827" s="56"/>
      <x:c r="H3827"/>
      <x:c r="I3827"/>
      <x:c r="J3827"/>
      <x:c r="K3827"/>
      <x:c r="L3827"/>
      <x:c r="M3827"/>
      <x:c r="N3827"/>
      <x:c r="O3827"/>
      <x:c r="P3827"/>
    </x:row>
    <x:row r="3828">
      <x:c r="A3828"/>
      <x:c r="B3828"/>
      <x:c r="C3828"/>
      <x:c r="D3828"/>
      <x:c r="E3828"/>
      <x:c r="F3828"/>
      <x:c r="G3828" s="56"/>
      <x:c r="H3828"/>
      <x:c r="I3828"/>
      <x:c r="J3828"/>
      <x:c r="K3828"/>
      <x:c r="L3828"/>
      <x:c r="M3828"/>
      <x:c r="N3828"/>
      <x:c r="O3828"/>
      <x:c r="P3828"/>
    </x:row>
    <x:row r="3829">
      <x:c r="A3829"/>
      <x:c r="B3829"/>
      <x:c r="C3829"/>
      <x:c r="D3829"/>
      <x:c r="E3829"/>
      <x:c r="F3829"/>
      <x:c r="G3829" s="56"/>
      <x:c r="H3829"/>
      <x:c r="I3829"/>
      <x:c r="J3829"/>
      <x:c r="K3829"/>
      <x:c r="L3829"/>
      <x:c r="M3829"/>
      <x:c r="N3829"/>
      <x:c r="O3829"/>
      <x:c r="P3829"/>
    </x:row>
    <x:row r="3830">
      <x:c r="A3830"/>
      <x:c r="B3830"/>
      <x:c r="C3830"/>
      <x:c r="D3830"/>
      <x:c r="E3830"/>
      <x:c r="F3830"/>
      <x:c r="G3830" s="56"/>
      <x:c r="H3830"/>
      <x:c r="I3830"/>
      <x:c r="J3830"/>
      <x:c r="K3830"/>
      <x:c r="L3830"/>
      <x:c r="M3830"/>
      <x:c r="N3830"/>
      <x:c r="O3830"/>
      <x:c r="P3830"/>
    </x:row>
    <x:row r="3831">
      <x:c r="A3831"/>
      <x:c r="B3831"/>
      <x:c r="C3831"/>
      <x:c r="D3831"/>
      <x:c r="E3831"/>
      <x:c r="F3831"/>
      <x:c r="G3831" s="56"/>
      <x:c r="H3831"/>
      <x:c r="I3831"/>
      <x:c r="J3831"/>
      <x:c r="K3831"/>
      <x:c r="L3831"/>
      <x:c r="M3831"/>
      <x:c r="N3831"/>
      <x:c r="O3831"/>
      <x:c r="P3831"/>
    </x:row>
    <x:row r="3832">
      <x:c r="A3832"/>
      <x:c r="B3832"/>
      <x:c r="C3832"/>
      <x:c r="D3832"/>
      <x:c r="E3832"/>
      <x:c r="F3832"/>
      <x:c r="G3832" s="56"/>
      <x:c r="H3832"/>
      <x:c r="I3832"/>
      <x:c r="J3832"/>
      <x:c r="K3832"/>
      <x:c r="L3832"/>
      <x:c r="M3832"/>
      <x:c r="N3832"/>
      <x:c r="O3832"/>
      <x:c r="P3832"/>
    </x:row>
    <x:row r="3833">
      <x:c r="A3833"/>
      <x:c r="B3833"/>
      <x:c r="C3833"/>
      <x:c r="D3833"/>
      <x:c r="E3833"/>
      <x:c r="F3833"/>
      <x:c r="G3833" s="56"/>
      <x:c r="H3833"/>
      <x:c r="I3833"/>
      <x:c r="J3833"/>
      <x:c r="K3833"/>
      <x:c r="L3833"/>
      <x:c r="M3833"/>
      <x:c r="N3833"/>
      <x:c r="O3833"/>
      <x:c r="P3833"/>
    </x:row>
    <x:row r="3834">
      <x:c r="A3834"/>
      <x:c r="B3834"/>
      <x:c r="C3834"/>
      <x:c r="D3834"/>
      <x:c r="E3834"/>
      <x:c r="F3834"/>
      <x:c r="G3834" s="56"/>
      <x:c r="H3834"/>
      <x:c r="I3834"/>
      <x:c r="J3834"/>
      <x:c r="K3834"/>
      <x:c r="L3834"/>
      <x:c r="M3834"/>
      <x:c r="N3834"/>
      <x:c r="O3834"/>
      <x:c r="P3834"/>
    </x:row>
    <x:row r="3835">
      <x:c r="A3835"/>
      <x:c r="B3835"/>
      <x:c r="C3835"/>
      <x:c r="D3835"/>
      <x:c r="E3835"/>
      <x:c r="F3835"/>
      <x:c r="G3835" s="56"/>
      <x:c r="H3835"/>
      <x:c r="I3835"/>
      <x:c r="J3835"/>
      <x:c r="K3835"/>
      <x:c r="L3835"/>
      <x:c r="M3835"/>
      <x:c r="N3835"/>
      <x:c r="O3835"/>
      <x:c r="P3835"/>
    </x:row>
    <x:row r="3836">
      <x:c r="A3836"/>
      <x:c r="B3836"/>
      <x:c r="C3836"/>
      <x:c r="D3836"/>
      <x:c r="E3836"/>
      <x:c r="F3836"/>
      <x:c r="G3836" s="56"/>
      <x:c r="H3836"/>
      <x:c r="I3836"/>
      <x:c r="J3836"/>
      <x:c r="K3836"/>
      <x:c r="L3836"/>
      <x:c r="M3836"/>
      <x:c r="N3836"/>
      <x:c r="O3836"/>
      <x:c r="P3836"/>
    </x:row>
    <x:row r="3837">
      <x:c r="A3837"/>
      <x:c r="B3837"/>
      <x:c r="C3837"/>
      <x:c r="D3837"/>
      <x:c r="E3837"/>
      <x:c r="F3837"/>
      <x:c r="G3837" s="56"/>
      <x:c r="H3837"/>
      <x:c r="I3837"/>
      <x:c r="J3837"/>
      <x:c r="K3837"/>
      <x:c r="L3837"/>
      <x:c r="M3837"/>
      <x:c r="N3837"/>
      <x:c r="O3837"/>
      <x:c r="P3837"/>
    </x:row>
    <x:row r="3838">
      <x:c r="A3838"/>
      <x:c r="B3838"/>
      <x:c r="C3838"/>
      <x:c r="D3838"/>
      <x:c r="E3838"/>
      <x:c r="F3838"/>
      <x:c r="G3838" s="56"/>
      <x:c r="H3838"/>
      <x:c r="I3838"/>
      <x:c r="J3838"/>
      <x:c r="K3838"/>
      <x:c r="L3838"/>
      <x:c r="M3838"/>
      <x:c r="N3838"/>
      <x:c r="O3838"/>
      <x:c r="P3838"/>
    </x:row>
    <x:row r="3839">
      <x:c r="A3839"/>
      <x:c r="B3839"/>
      <x:c r="C3839"/>
      <x:c r="D3839"/>
      <x:c r="E3839"/>
      <x:c r="F3839"/>
      <x:c r="G3839" s="56"/>
      <x:c r="H3839"/>
      <x:c r="I3839"/>
      <x:c r="J3839"/>
      <x:c r="K3839"/>
      <x:c r="L3839"/>
      <x:c r="M3839"/>
      <x:c r="N3839"/>
      <x:c r="O3839"/>
      <x:c r="P3839"/>
    </x:row>
    <x:row r="3840">
      <x:c r="A3840"/>
      <x:c r="B3840"/>
      <x:c r="C3840"/>
      <x:c r="D3840"/>
      <x:c r="E3840"/>
      <x:c r="F3840"/>
      <x:c r="G3840" s="56"/>
      <x:c r="H3840"/>
      <x:c r="I3840"/>
      <x:c r="J3840"/>
      <x:c r="K3840"/>
      <x:c r="L3840"/>
      <x:c r="M3840"/>
      <x:c r="N3840"/>
      <x:c r="O3840"/>
      <x:c r="P3840"/>
    </x:row>
    <x:row r="3841">
      <x:c r="A3841"/>
      <x:c r="B3841"/>
      <x:c r="C3841"/>
      <x:c r="D3841"/>
      <x:c r="E3841"/>
      <x:c r="F3841"/>
      <x:c r="G3841" s="56"/>
      <x:c r="H3841"/>
      <x:c r="I3841"/>
      <x:c r="J3841"/>
      <x:c r="K3841"/>
      <x:c r="L3841"/>
      <x:c r="M3841"/>
      <x:c r="N3841"/>
      <x:c r="O3841"/>
      <x:c r="P3841"/>
    </x:row>
    <x:row r="3842">
      <x:c r="A3842"/>
      <x:c r="B3842"/>
      <x:c r="C3842"/>
      <x:c r="D3842"/>
      <x:c r="E3842"/>
      <x:c r="F3842"/>
      <x:c r="G3842" s="56"/>
      <x:c r="H3842"/>
      <x:c r="I3842"/>
      <x:c r="J3842"/>
      <x:c r="K3842"/>
      <x:c r="L3842"/>
      <x:c r="M3842"/>
      <x:c r="N3842"/>
      <x:c r="O3842"/>
      <x:c r="P3842"/>
    </x:row>
    <x:row r="3843">
      <x:c r="A3843"/>
      <x:c r="B3843"/>
      <x:c r="C3843"/>
      <x:c r="D3843"/>
      <x:c r="E3843"/>
      <x:c r="F3843"/>
      <x:c r="G3843" s="56"/>
      <x:c r="H3843"/>
      <x:c r="I3843"/>
      <x:c r="J3843"/>
      <x:c r="K3843"/>
      <x:c r="L3843"/>
      <x:c r="M3843"/>
      <x:c r="N3843"/>
      <x:c r="O3843"/>
      <x:c r="P3843"/>
    </x:row>
    <x:row r="3844">
      <x:c r="A3844"/>
      <x:c r="B3844"/>
      <x:c r="C3844"/>
      <x:c r="D3844"/>
      <x:c r="E3844"/>
      <x:c r="F3844"/>
      <x:c r="G3844" s="56"/>
      <x:c r="H3844"/>
      <x:c r="I3844"/>
      <x:c r="J3844"/>
      <x:c r="K3844"/>
      <x:c r="L3844"/>
      <x:c r="M3844"/>
      <x:c r="N3844"/>
      <x:c r="O3844"/>
      <x:c r="P3844"/>
    </x:row>
    <x:row r="3845">
      <x:c r="A3845"/>
      <x:c r="B3845"/>
      <x:c r="C3845"/>
      <x:c r="D3845"/>
      <x:c r="E3845"/>
      <x:c r="F3845"/>
      <x:c r="G3845" s="56"/>
      <x:c r="H3845"/>
      <x:c r="I3845"/>
      <x:c r="J3845"/>
      <x:c r="K3845"/>
      <x:c r="L3845"/>
      <x:c r="M3845"/>
      <x:c r="N3845"/>
      <x:c r="O3845"/>
      <x:c r="P3845"/>
    </x:row>
    <x:row r="3846">
      <x:c r="A3846"/>
      <x:c r="B3846"/>
      <x:c r="C3846"/>
      <x:c r="D3846"/>
      <x:c r="E3846"/>
      <x:c r="F3846"/>
      <x:c r="G3846" s="56"/>
      <x:c r="H3846"/>
      <x:c r="I3846"/>
      <x:c r="J3846"/>
      <x:c r="K3846"/>
      <x:c r="L3846"/>
      <x:c r="M3846"/>
      <x:c r="N3846"/>
      <x:c r="O3846"/>
      <x:c r="P3846"/>
    </x:row>
    <x:row r="3847">
      <x:c r="A3847"/>
      <x:c r="B3847"/>
      <x:c r="C3847"/>
      <x:c r="D3847"/>
      <x:c r="E3847"/>
      <x:c r="F3847"/>
      <x:c r="G3847" s="56"/>
      <x:c r="H3847"/>
      <x:c r="I3847"/>
      <x:c r="J3847"/>
      <x:c r="K3847"/>
      <x:c r="L3847"/>
      <x:c r="M3847"/>
      <x:c r="N3847"/>
      <x:c r="O3847"/>
      <x:c r="P3847"/>
    </x:row>
    <x:row r="3848">
      <x:c r="A3848"/>
      <x:c r="B3848"/>
      <x:c r="C3848"/>
      <x:c r="D3848"/>
      <x:c r="E3848"/>
      <x:c r="F3848"/>
      <x:c r="G3848" s="56"/>
      <x:c r="H3848"/>
      <x:c r="I3848"/>
      <x:c r="J3848"/>
      <x:c r="K3848"/>
      <x:c r="L3848"/>
      <x:c r="M3848"/>
      <x:c r="N3848"/>
      <x:c r="O3848"/>
      <x:c r="P3848"/>
    </x:row>
    <x:row r="3849">
      <x:c r="A3849"/>
      <x:c r="B3849"/>
      <x:c r="C3849"/>
      <x:c r="D3849"/>
      <x:c r="E3849"/>
      <x:c r="F3849"/>
      <x:c r="G3849" s="56"/>
      <x:c r="H3849"/>
      <x:c r="I3849"/>
      <x:c r="J3849"/>
      <x:c r="K3849"/>
      <x:c r="L3849"/>
      <x:c r="M3849"/>
      <x:c r="N3849"/>
      <x:c r="O3849"/>
      <x:c r="P3849"/>
    </x:row>
    <x:row r="3850">
      <x:c r="A3850"/>
      <x:c r="B3850"/>
      <x:c r="C3850"/>
      <x:c r="D3850"/>
      <x:c r="E3850"/>
      <x:c r="F3850"/>
      <x:c r="G3850" s="56"/>
      <x:c r="H3850"/>
      <x:c r="I3850"/>
      <x:c r="J3850"/>
      <x:c r="K3850"/>
      <x:c r="L3850"/>
      <x:c r="M3850"/>
      <x:c r="N3850"/>
      <x:c r="O3850"/>
      <x:c r="P3850"/>
    </x:row>
    <x:row r="3851">
      <x:c r="A3851"/>
      <x:c r="B3851"/>
      <x:c r="C3851"/>
      <x:c r="D3851"/>
      <x:c r="E3851"/>
      <x:c r="F3851"/>
      <x:c r="G3851" s="56"/>
      <x:c r="H3851"/>
      <x:c r="I3851"/>
      <x:c r="J3851"/>
      <x:c r="K3851"/>
      <x:c r="L3851"/>
      <x:c r="M3851"/>
      <x:c r="N3851"/>
      <x:c r="O3851"/>
      <x:c r="P3851"/>
    </x:row>
    <x:row r="3852">
      <x:c r="A3852"/>
      <x:c r="B3852"/>
      <x:c r="C3852"/>
      <x:c r="D3852"/>
      <x:c r="E3852"/>
      <x:c r="F3852"/>
      <x:c r="G3852" s="56"/>
      <x:c r="H3852"/>
      <x:c r="I3852"/>
      <x:c r="J3852"/>
      <x:c r="K3852"/>
      <x:c r="L3852"/>
      <x:c r="M3852"/>
      <x:c r="N3852"/>
      <x:c r="O3852"/>
      <x:c r="P3852"/>
    </x:row>
    <x:row r="3853">
      <x:c r="A3853"/>
      <x:c r="B3853"/>
      <x:c r="C3853"/>
      <x:c r="D3853"/>
      <x:c r="E3853"/>
      <x:c r="F3853"/>
      <x:c r="G3853" s="56"/>
      <x:c r="H3853"/>
      <x:c r="I3853"/>
      <x:c r="J3853"/>
      <x:c r="K3853"/>
      <x:c r="L3853"/>
      <x:c r="M3853"/>
      <x:c r="N3853"/>
      <x:c r="O3853"/>
      <x:c r="P3853"/>
    </x:row>
    <x:row r="3854">
      <x:c r="A3854"/>
      <x:c r="B3854"/>
      <x:c r="C3854"/>
      <x:c r="D3854"/>
      <x:c r="E3854"/>
      <x:c r="F3854"/>
      <x:c r="G3854" s="56"/>
      <x:c r="H3854"/>
      <x:c r="I3854"/>
      <x:c r="J3854"/>
      <x:c r="K3854"/>
      <x:c r="L3854"/>
      <x:c r="M3854"/>
      <x:c r="N3854"/>
      <x:c r="O3854"/>
      <x:c r="P3854"/>
    </x:row>
    <x:row r="3855">
      <x:c r="A3855"/>
      <x:c r="B3855"/>
      <x:c r="C3855"/>
      <x:c r="D3855"/>
      <x:c r="E3855"/>
      <x:c r="F3855"/>
      <x:c r="G3855" s="56"/>
      <x:c r="H3855"/>
      <x:c r="I3855"/>
      <x:c r="J3855"/>
      <x:c r="K3855"/>
      <x:c r="L3855"/>
      <x:c r="M3855"/>
      <x:c r="N3855"/>
      <x:c r="O3855"/>
      <x:c r="P3855"/>
    </x:row>
    <x:row r="3856">
      <x:c r="A3856"/>
      <x:c r="B3856"/>
      <x:c r="C3856"/>
      <x:c r="D3856"/>
      <x:c r="E3856"/>
      <x:c r="F3856"/>
      <x:c r="G3856" s="56"/>
      <x:c r="H3856"/>
      <x:c r="I3856"/>
      <x:c r="J3856"/>
      <x:c r="K3856"/>
      <x:c r="L3856"/>
      <x:c r="M3856"/>
      <x:c r="N3856"/>
      <x:c r="O3856"/>
      <x:c r="P3856"/>
    </x:row>
    <x:row r="3857">
      <x:c r="A3857"/>
      <x:c r="B3857"/>
      <x:c r="C3857"/>
      <x:c r="D3857"/>
      <x:c r="E3857"/>
      <x:c r="F3857"/>
      <x:c r="G3857" s="56"/>
      <x:c r="H3857"/>
      <x:c r="I3857"/>
      <x:c r="J3857"/>
      <x:c r="K3857"/>
      <x:c r="L3857"/>
      <x:c r="M3857"/>
      <x:c r="N3857"/>
      <x:c r="O3857"/>
      <x:c r="P3857"/>
    </x:row>
    <x:row r="3858">
      <x:c r="A3858"/>
      <x:c r="B3858"/>
      <x:c r="C3858"/>
      <x:c r="D3858"/>
      <x:c r="E3858"/>
      <x:c r="F3858"/>
      <x:c r="G3858" s="56"/>
      <x:c r="H3858"/>
      <x:c r="I3858"/>
      <x:c r="J3858"/>
      <x:c r="K3858"/>
      <x:c r="L3858"/>
      <x:c r="M3858"/>
      <x:c r="N3858"/>
      <x:c r="O3858"/>
      <x:c r="P3858"/>
    </x:row>
    <x:row r="3859">
      <x:c r="A3859"/>
      <x:c r="B3859"/>
      <x:c r="C3859"/>
      <x:c r="D3859"/>
      <x:c r="E3859"/>
      <x:c r="F3859"/>
      <x:c r="G3859" s="56"/>
      <x:c r="H3859"/>
      <x:c r="I3859"/>
      <x:c r="J3859"/>
      <x:c r="K3859"/>
      <x:c r="L3859"/>
      <x:c r="M3859"/>
      <x:c r="N3859"/>
      <x:c r="O3859"/>
      <x:c r="P3859"/>
    </x:row>
    <x:row r="3860">
      <x:c r="A3860"/>
      <x:c r="B3860"/>
      <x:c r="C3860"/>
      <x:c r="D3860"/>
      <x:c r="E3860"/>
      <x:c r="F3860"/>
      <x:c r="G3860" s="56"/>
      <x:c r="H3860"/>
      <x:c r="I3860"/>
      <x:c r="J3860"/>
      <x:c r="K3860"/>
      <x:c r="L3860"/>
      <x:c r="M3860"/>
      <x:c r="N3860"/>
      <x:c r="O3860"/>
      <x:c r="P3860"/>
    </x:row>
    <x:row r="3861">
      <x:c r="A3861"/>
      <x:c r="B3861"/>
      <x:c r="C3861"/>
      <x:c r="D3861"/>
      <x:c r="E3861"/>
      <x:c r="F3861"/>
      <x:c r="G3861" s="56"/>
      <x:c r="H3861"/>
      <x:c r="I3861"/>
      <x:c r="J3861"/>
      <x:c r="K3861"/>
      <x:c r="L3861"/>
      <x:c r="M3861"/>
      <x:c r="N3861"/>
      <x:c r="O3861"/>
      <x:c r="P3861"/>
    </x:row>
    <x:row r="3862">
      <x:c r="A3862"/>
      <x:c r="B3862"/>
      <x:c r="C3862"/>
      <x:c r="D3862"/>
      <x:c r="E3862"/>
      <x:c r="F3862"/>
      <x:c r="G3862" s="56"/>
      <x:c r="H3862"/>
      <x:c r="I3862"/>
      <x:c r="J3862"/>
      <x:c r="K3862"/>
      <x:c r="L3862"/>
      <x:c r="M3862"/>
      <x:c r="N3862"/>
      <x:c r="O3862"/>
      <x:c r="P3862"/>
    </x:row>
    <x:row r="3863">
      <x:c r="A3863"/>
      <x:c r="B3863"/>
      <x:c r="C3863"/>
      <x:c r="D3863"/>
      <x:c r="E3863"/>
      <x:c r="F3863"/>
      <x:c r="G3863" s="56"/>
      <x:c r="H3863"/>
      <x:c r="I3863"/>
      <x:c r="J3863"/>
      <x:c r="K3863"/>
      <x:c r="L3863"/>
      <x:c r="M3863"/>
      <x:c r="N3863"/>
      <x:c r="O3863"/>
      <x:c r="P3863"/>
    </x:row>
    <x:row r="3864">
      <x:c r="A3864"/>
      <x:c r="B3864"/>
      <x:c r="C3864"/>
      <x:c r="D3864"/>
      <x:c r="E3864"/>
      <x:c r="F3864"/>
      <x:c r="G3864" s="56"/>
      <x:c r="H3864"/>
      <x:c r="I3864"/>
      <x:c r="J3864"/>
      <x:c r="K3864"/>
      <x:c r="L3864"/>
      <x:c r="M3864"/>
      <x:c r="N3864"/>
      <x:c r="O3864"/>
      <x:c r="P3864"/>
    </x:row>
    <x:row r="3865">
      <x:c r="A3865"/>
      <x:c r="B3865"/>
      <x:c r="C3865"/>
      <x:c r="D3865"/>
      <x:c r="E3865"/>
      <x:c r="F3865"/>
      <x:c r="G3865" s="56"/>
      <x:c r="H3865"/>
      <x:c r="I3865"/>
      <x:c r="J3865"/>
      <x:c r="K3865"/>
      <x:c r="L3865"/>
      <x:c r="M3865"/>
      <x:c r="N3865"/>
      <x:c r="O3865"/>
      <x:c r="P3865"/>
    </x:row>
    <x:row r="3866">
      <x:c r="A3866"/>
      <x:c r="B3866"/>
      <x:c r="C3866"/>
      <x:c r="D3866"/>
      <x:c r="E3866"/>
      <x:c r="F3866"/>
      <x:c r="G3866" s="56"/>
      <x:c r="H3866"/>
      <x:c r="I3866"/>
      <x:c r="J3866"/>
      <x:c r="K3866"/>
      <x:c r="L3866"/>
      <x:c r="M3866"/>
      <x:c r="N3866"/>
      <x:c r="O3866"/>
      <x:c r="P3866"/>
    </x:row>
    <x:row r="3867">
      <x:c r="A3867"/>
      <x:c r="B3867"/>
      <x:c r="C3867"/>
      <x:c r="D3867"/>
      <x:c r="E3867"/>
      <x:c r="F3867"/>
      <x:c r="G3867" s="56"/>
      <x:c r="H3867"/>
      <x:c r="I3867"/>
      <x:c r="J3867"/>
      <x:c r="K3867"/>
      <x:c r="L3867"/>
      <x:c r="M3867"/>
      <x:c r="N3867"/>
      <x:c r="O3867"/>
      <x:c r="P3867"/>
    </x:row>
    <x:row r="3868">
      <x:c r="A3868"/>
      <x:c r="B3868"/>
      <x:c r="C3868"/>
      <x:c r="D3868"/>
      <x:c r="E3868"/>
      <x:c r="F3868"/>
      <x:c r="G3868" s="56"/>
      <x:c r="H3868"/>
      <x:c r="I3868"/>
      <x:c r="J3868"/>
      <x:c r="K3868"/>
      <x:c r="L3868"/>
      <x:c r="M3868"/>
      <x:c r="N3868"/>
      <x:c r="O3868"/>
      <x:c r="P3868"/>
    </x:row>
    <x:row r="3869">
      <x:c r="A3869"/>
      <x:c r="B3869"/>
      <x:c r="C3869"/>
      <x:c r="D3869"/>
      <x:c r="E3869"/>
      <x:c r="F3869"/>
      <x:c r="G3869" s="56"/>
      <x:c r="H3869"/>
      <x:c r="I3869"/>
      <x:c r="J3869"/>
      <x:c r="K3869"/>
      <x:c r="L3869"/>
      <x:c r="M3869"/>
      <x:c r="N3869"/>
      <x:c r="O3869"/>
      <x:c r="P3869"/>
    </x:row>
    <x:row r="3870">
      <x:c r="A3870"/>
      <x:c r="B3870"/>
      <x:c r="C3870"/>
      <x:c r="D3870"/>
      <x:c r="E3870"/>
      <x:c r="F3870"/>
      <x:c r="G3870" s="56"/>
      <x:c r="H3870"/>
      <x:c r="I3870"/>
      <x:c r="J3870"/>
      <x:c r="K3870"/>
      <x:c r="L3870"/>
      <x:c r="M3870"/>
      <x:c r="N3870"/>
      <x:c r="O3870"/>
      <x:c r="P3870"/>
    </x:row>
    <x:row r="3871">
      <x:c r="A3871"/>
      <x:c r="B3871"/>
      <x:c r="C3871"/>
      <x:c r="D3871"/>
      <x:c r="E3871"/>
      <x:c r="F3871"/>
      <x:c r="G3871" s="56"/>
      <x:c r="H3871"/>
      <x:c r="I3871"/>
      <x:c r="J3871"/>
      <x:c r="K3871"/>
      <x:c r="L3871"/>
      <x:c r="M3871"/>
      <x:c r="N3871"/>
      <x:c r="O3871"/>
      <x:c r="P3871"/>
    </x:row>
    <x:row r="3872">
      <x:c r="A3872"/>
      <x:c r="B3872"/>
      <x:c r="C3872"/>
      <x:c r="D3872"/>
      <x:c r="E3872"/>
      <x:c r="F3872"/>
      <x:c r="G3872" s="56"/>
      <x:c r="H3872"/>
      <x:c r="I3872"/>
      <x:c r="J3872"/>
      <x:c r="K3872"/>
      <x:c r="L3872"/>
      <x:c r="M3872"/>
      <x:c r="N3872"/>
      <x:c r="O3872"/>
      <x:c r="P3872"/>
    </x:row>
    <x:row r="3873">
      <x:c r="A3873"/>
      <x:c r="B3873"/>
      <x:c r="C3873"/>
      <x:c r="D3873"/>
      <x:c r="E3873"/>
      <x:c r="F3873"/>
      <x:c r="G3873" s="56"/>
      <x:c r="H3873"/>
      <x:c r="I3873"/>
      <x:c r="J3873"/>
      <x:c r="K3873"/>
      <x:c r="L3873"/>
      <x:c r="M3873"/>
      <x:c r="N3873"/>
      <x:c r="O3873"/>
      <x:c r="P3873"/>
    </x:row>
    <x:row r="3874">
      <x:c r="A3874"/>
      <x:c r="B3874"/>
      <x:c r="C3874"/>
      <x:c r="D3874"/>
      <x:c r="E3874"/>
      <x:c r="F3874"/>
      <x:c r="G3874" s="56"/>
      <x:c r="H3874"/>
      <x:c r="I3874"/>
      <x:c r="J3874"/>
      <x:c r="K3874"/>
      <x:c r="L3874"/>
      <x:c r="M3874"/>
      <x:c r="N3874"/>
      <x:c r="O3874"/>
      <x:c r="P3874"/>
    </x:row>
    <x:row r="3875">
      <x:c r="A3875"/>
      <x:c r="B3875"/>
      <x:c r="C3875"/>
      <x:c r="D3875"/>
      <x:c r="E3875"/>
      <x:c r="F3875"/>
      <x:c r="G3875" s="56"/>
      <x:c r="H3875"/>
      <x:c r="I3875"/>
      <x:c r="J3875"/>
      <x:c r="K3875"/>
      <x:c r="L3875"/>
      <x:c r="M3875"/>
      <x:c r="N3875"/>
      <x:c r="O3875"/>
      <x:c r="P3875"/>
    </x:row>
    <x:row r="3876">
      <x:c r="A3876"/>
      <x:c r="B3876"/>
      <x:c r="C3876"/>
      <x:c r="D3876"/>
      <x:c r="E3876"/>
      <x:c r="F3876"/>
      <x:c r="G3876" s="56"/>
      <x:c r="H3876"/>
      <x:c r="I3876"/>
      <x:c r="J3876"/>
      <x:c r="K3876"/>
      <x:c r="L3876"/>
      <x:c r="M3876"/>
      <x:c r="N3876"/>
      <x:c r="O3876"/>
      <x:c r="P3876"/>
    </x:row>
    <x:row r="3877">
      <x:c r="A3877"/>
      <x:c r="B3877"/>
      <x:c r="C3877"/>
      <x:c r="D3877"/>
      <x:c r="E3877"/>
      <x:c r="F3877"/>
      <x:c r="G3877" s="56"/>
      <x:c r="H3877"/>
      <x:c r="I3877"/>
      <x:c r="J3877"/>
      <x:c r="K3877"/>
      <x:c r="L3877"/>
      <x:c r="M3877"/>
      <x:c r="N3877"/>
      <x:c r="O3877"/>
      <x:c r="P3877"/>
    </x:row>
    <x:row r="3878">
      <x:c r="A3878"/>
      <x:c r="B3878"/>
      <x:c r="C3878"/>
      <x:c r="D3878"/>
      <x:c r="E3878"/>
      <x:c r="F3878"/>
      <x:c r="G3878" s="56"/>
      <x:c r="H3878"/>
      <x:c r="I3878"/>
      <x:c r="J3878"/>
      <x:c r="K3878"/>
      <x:c r="L3878"/>
      <x:c r="M3878"/>
      <x:c r="N3878"/>
      <x:c r="O3878"/>
      <x:c r="P3878"/>
    </x:row>
    <x:row r="3879">
      <x:c r="A3879"/>
      <x:c r="B3879"/>
      <x:c r="C3879"/>
      <x:c r="D3879"/>
      <x:c r="E3879"/>
      <x:c r="F3879"/>
      <x:c r="G3879" s="56"/>
      <x:c r="H3879"/>
      <x:c r="I3879"/>
      <x:c r="J3879"/>
      <x:c r="K3879"/>
      <x:c r="L3879"/>
      <x:c r="M3879"/>
      <x:c r="N3879"/>
      <x:c r="O3879"/>
      <x:c r="P3879"/>
    </x:row>
    <x:row r="3880">
      <x:c r="A3880"/>
      <x:c r="B3880"/>
      <x:c r="C3880"/>
      <x:c r="D3880"/>
      <x:c r="E3880"/>
      <x:c r="F3880"/>
      <x:c r="G3880" s="56"/>
      <x:c r="H3880"/>
      <x:c r="I3880"/>
      <x:c r="J3880"/>
      <x:c r="K3880"/>
      <x:c r="L3880"/>
      <x:c r="M3880"/>
      <x:c r="N3880"/>
      <x:c r="O3880"/>
      <x:c r="P3880"/>
    </x:row>
    <x:row r="3881">
      <x:c r="A3881"/>
      <x:c r="B3881"/>
      <x:c r="C3881"/>
      <x:c r="D3881"/>
      <x:c r="E3881"/>
      <x:c r="F3881"/>
      <x:c r="G3881" s="56"/>
      <x:c r="H3881"/>
      <x:c r="I3881"/>
      <x:c r="J3881"/>
      <x:c r="K3881"/>
      <x:c r="L3881"/>
      <x:c r="M3881"/>
      <x:c r="N3881"/>
      <x:c r="O3881"/>
      <x:c r="P3881"/>
    </x:row>
    <x:row r="3882">
      <x:c r="A3882"/>
      <x:c r="B3882"/>
      <x:c r="C3882"/>
      <x:c r="D3882"/>
      <x:c r="E3882"/>
      <x:c r="F3882"/>
      <x:c r="G3882" s="56"/>
      <x:c r="H3882"/>
      <x:c r="I3882"/>
      <x:c r="J3882"/>
      <x:c r="K3882"/>
      <x:c r="L3882"/>
      <x:c r="M3882"/>
      <x:c r="N3882"/>
      <x:c r="O3882"/>
      <x:c r="P3882"/>
    </x:row>
    <x:row r="3883">
      <x:c r="A3883"/>
      <x:c r="B3883"/>
      <x:c r="C3883"/>
      <x:c r="D3883"/>
      <x:c r="E3883"/>
      <x:c r="F3883"/>
      <x:c r="G3883" s="56"/>
      <x:c r="H3883"/>
      <x:c r="I3883"/>
      <x:c r="J3883"/>
      <x:c r="K3883"/>
      <x:c r="L3883"/>
      <x:c r="M3883"/>
      <x:c r="N3883"/>
      <x:c r="O3883"/>
      <x:c r="P3883"/>
    </x:row>
    <x:row r="3884">
      <x:c r="A3884"/>
      <x:c r="B3884"/>
      <x:c r="C3884"/>
      <x:c r="D3884"/>
      <x:c r="E3884"/>
      <x:c r="F3884"/>
      <x:c r="G3884" s="56"/>
      <x:c r="H3884"/>
      <x:c r="I3884"/>
      <x:c r="J3884"/>
      <x:c r="K3884"/>
      <x:c r="L3884"/>
      <x:c r="M3884"/>
      <x:c r="N3884"/>
      <x:c r="O3884"/>
      <x:c r="P3884"/>
    </x:row>
    <x:row r="3885">
      <x:c r="A3885"/>
      <x:c r="B3885"/>
      <x:c r="C3885"/>
      <x:c r="D3885"/>
      <x:c r="E3885"/>
      <x:c r="F3885"/>
      <x:c r="G3885" s="56"/>
      <x:c r="H3885"/>
      <x:c r="I3885"/>
      <x:c r="J3885"/>
      <x:c r="K3885"/>
      <x:c r="L3885"/>
      <x:c r="M3885"/>
      <x:c r="N3885"/>
      <x:c r="O3885"/>
      <x:c r="P3885"/>
    </x:row>
    <x:row r="3886">
      <x:c r="A3886"/>
      <x:c r="B3886"/>
      <x:c r="C3886"/>
      <x:c r="D3886"/>
      <x:c r="E3886"/>
      <x:c r="F3886"/>
      <x:c r="G3886" s="56"/>
      <x:c r="H3886"/>
      <x:c r="I3886"/>
      <x:c r="J3886"/>
      <x:c r="K3886"/>
      <x:c r="L3886"/>
      <x:c r="M3886"/>
      <x:c r="N3886"/>
      <x:c r="O3886"/>
      <x:c r="P3886"/>
    </x:row>
    <x:row r="3887">
      <x:c r="A3887"/>
      <x:c r="B3887"/>
      <x:c r="C3887"/>
      <x:c r="D3887"/>
      <x:c r="E3887"/>
      <x:c r="F3887"/>
      <x:c r="G3887" s="56"/>
      <x:c r="H3887"/>
      <x:c r="I3887"/>
      <x:c r="J3887"/>
      <x:c r="K3887"/>
      <x:c r="L3887"/>
      <x:c r="M3887"/>
      <x:c r="N3887"/>
      <x:c r="O3887"/>
      <x:c r="P3887"/>
    </x:row>
    <x:row r="3888">
      <x:c r="A3888"/>
      <x:c r="B3888"/>
      <x:c r="C3888"/>
      <x:c r="D3888"/>
      <x:c r="E3888"/>
      <x:c r="F3888"/>
      <x:c r="G3888" s="56"/>
      <x:c r="H3888"/>
      <x:c r="I3888"/>
      <x:c r="J3888"/>
      <x:c r="K3888"/>
      <x:c r="L3888"/>
      <x:c r="M3888"/>
      <x:c r="N3888"/>
      <x:c r="O3888"/>
      <x:c r="P3888"/>
    </x:row>
    <x:row r="3889">
      <x:c r="A3889"/>
      <x:c r="B3889"/>
      <x:c r="C3889"/>
      <x:c r="D3889"/>
      <x:c r="E3889"/>
      <x:c r="F3889"/>
      <x:c r="G3889" s="56"/>
      <x:c r="H3889"/>
      <x:c r="I3889"/>
      <x:c r="J3889"/>
      <x:c r="K3889"/>
      <x:c r="L3889"/>
      <x:c r="M3889"/>
      <x:c r="N3889"/>
      <x:c r="O3889"/>
      <x:c r="P3889"/>
    </x:row>
    <x:row r="3890">
      <x:c r="A3890"/>
      <x:c r="B3890"/>
      <x:c r="C3890"/>
      <x:c r="D3890"/>
      <x:c r="E3890"/>
      <x:c r="F3890"/>
      <x:c r="G3890" s="56"/>
      <x:c r="H3890"/>
      <x:c r="I3890"/>
      <x:c r="J3890"/>
      <x:c r="K3890"/>
      <x:c r="L3890"/>
      <x:c r="M3890"/>
      <x:c r="N3890"/>
      <x:c r="O3890"/>
      <x:c r="P3890"/>
    </x:row>
    <x:row r="3891">
      <x:c r="A3891"/>
      <x:c r="B3891"/>
      <x:c r="C3891"/>
      <x:c r="D3891"/>
      <x:c r="E3891"/>
      <x:c r="F3891"/>
      <x:c r="G3891" s="56"/>
      <x:c r="H3891"/>
      <x:c r="I3891"/>
      <x:c r="J3891"/>
      <x:c r="K3891"/>
      <x:c r="L3891"/>
      <x:c r="M3891"/>
      <x:c r="N3891"/>
      <x:c r="O3891"/>
      <x:c r="P3891"/>
    </x:row>
    <x:row r="3892">
      <x:c r="A3892"/>
      <x:c r="B3892"/>
      <x:c r="C3892"/>
      <x:c r="D3892"/>
      <x:c r="E3892"/>
      <x:c r="F3892"/>
      <x:c r="G3892" s="56"/>
      <x:c r="H3892"/>
      <x:c r="I3892"/>
      <x:c r="J3892"/>
      <x:c r="K3892"/>
      <x:c r="L3892"/>
      <x:c r="M3892"/>
      <x:c r="N3892"/>
      <x:c r="O3892"/>
      <x:c r="P3892"/>
    </x:row>
    <x:row r="3893">
      <x:c r="A3893"/>
      <x:c r="B3893"/>
      <x:c r="C3893"/>
      <x:c r="D3893"/>
      <x:c r="E3893"/>
      <x:c r="F3893"/>
      <x:c r="G3893" s="56"/>
      <x:c r="H3893"/>
      <x:c r="I3893"/>
      <x:c r="J3893"/>
      <x:c r="K3893"/>
      <x:c r="L3893"/>
      <x:c r="M3893"/>
      <x:c r="N3893"/>
      <x:c r="O3893"/>
      <x:c r="P3893"/>
    </x:row>
    <x:row r="3894">
      <x:c r="A3894"/>
      <x:c r="B3894"/>
      <x:c r="C3894"/>
      <x:c r="D3894"/>
      <x:c r="E3894"/>
      <x:c r="F3894"/>
      <x:c r="G3894" s="56"/>
      <x:c r="H3894"/>
      <x:c r="I3894"/>
      <x:c r="J3894"/>
      <x:c r="K3894"/>
      <x:c r="L3894"/>
      <x:c r="M3894"/>
      <x:c r="N3894"/>
      <x:c r="O3894"/>
      <x:c r="P3894"/>
    </x:row>
    <x:row r="3895">
      <x:c r="A3895"/>
      <x:c r="B3895"/>
      <x:c r="C3895"/>
      <x:c r="D3895"/>
      <x:c r="E3895"/>
      <x:c r="F3895"/>
      <x:c r="G3895" s="56"/>
      <x:c r="H3895"/>
      <x:c r="I3895"/>
      <x:c r="J3895"/>
      <x:c r="K3895"/>
      <x:c r="L3895"/>
      <x:c r="M3895"/>
      <x:c r="N3895"/>
      <x:c r="O3895"/>
      <x:c r="P3895"/>
    </x:row>
    <x:row r="3896">
      <x:c r="A3896"/>
      <x:c r="B3896"/>
      <x:c r="C3896"/>
      <x:c r="D3896"/>
      <x:c r="E3896"/>
      <x:c r="F3896"/>
      <x:c r="G3896" s="56"/>
      <x:c r="H3896"/>
      <x:c r="I3896"/>
      <x:c r="J3896"/>
      <x:c r="K3896"/>
      <x:c r="L3896"/>
      <x:c r="M3896"/>
      <x:c r="N3896"/>
      <x:c r="O3896"/>
      <x:c r="P3896"/>
    </x:row>
    <x:row r="3897">
      <x:c r="A3897"/>
      <x:c r="B3897"/>
      <x:c r="C3897"/>
      <x:c r="D3897"/>
      <x:c r="E3897"/>
      <x:c r="F3897"/>
      <x:c r="G3897" s="56"/>
      <x:c r="H3897"/>
      <x:c r="I3897"/>
      <x:c r="J3897"/>
      <x:c r="K3897"/>
      <x:c r="L3897"/>
      <x:c r="M3897"/>
      <x:c r="N3897"/>
      <x:c r="O3897"/>
      <x:c r="P3897"/>
    </x:row>
    <x:row r="3898">
      <x:c r="A3898"/>
      <x:c r="B3898"/>
      <x:c r="C3898"/>
      <x:c r="D3898"/>
      <x:c r="E3898"/>
      <x:c r="F3898"/>
      <x:c r="G3898" s="56"/>
      <x:c r="H3898"/>
      <x:c r="I3898"/>
      <x:c r="J3898"/>
      <x:c r="K3898"/>
      <x:c r="L3898"/>
      <x:c r="M3898"/>
      <x:c r="N3898"/>
      <x:c r="O3898"/>
      <x:c r="P3898"/>
    </x:row>
    <x:row r="3899">
      <x:c r="A3899"/>
      <x:c r="B3899"/>
      <x:c r="C3899"/>
      <x:c r="D3899"/>
      <x:c r="E3899"/>
      <x:c r="F3899"/>
      <x:c r="G3899" s="56"/>
      <x:c r="H3899"/>
      <x:c r="I3899"/>
      <x:c r="J3899"/>
      <x:c r="K3899"/>
      <x:c r="L3899"/>
      <x:c r="M3899"/>
      <x:c r="N3899"/>
      <x:c r="O3899"/>
      <x:c r="P3899"/>
    </x:row>
    <x:row r="3900">
      <x:c r="A3900"/>
      <x:c r="B3900"/>
      <x:c r="C3900"/>
      <x:c r="D3900"/>
      <x:c r="E3900"/>
      <x:c r="F3900"/>
      <x:c r="G3900" s="56"/>
      <x:c r="H3900"/>
      <x:c r="I3900"/>
      <x:c r="J3900"/>
      <x:c r="K3900"/>
      <x:c r="L3900"/>
      <x:c r="M3900"/>
      <x:c r="N3900"/>
      <x:c r="O3900"/>
      <x:c r="P3900"/>
    </x:row>
    <x:row r="3901">
      <x:c r="A3901"/>
      <x:c r="B3901"/>
      <x:c r="C3901"/>
      <x:c r="D3901"/>
      <x:c r="E3901"/>
      <x:c r="F3901"/>
      <x:c r="G3901" s="56"/>
      <x:c r="H3901"/>
      <x:c r="I3901"/>
      <x:c r="J3901"/>
      <x:c r="K3901"/>
      <x:c r="L3901"/>
      <x:c r="M3901"/>
      <x:c r="N3901"/>
      <x:c r="O3901"/>
      <x:c r="P3901"/>
    </x:row>
    <x:row r="3902">
      <x:c r="A3902"/>
      <x:c r="B3902"/>
      <x:c r="C3902"/>
      <x:c r="D3902"/>
      <x:c r="E3902"/>
      <x:c r="F3902"/>
      <x:c r="G3902" s="56"/>
      <x:c r="H3902"/>
      <x:c r="I3902"/>
      <x:c r="J3902"/>
      <x:c r="K3902"/>
      <x:c r="L3902"/>
      <x:c r="M3902"/>
      <x:c r="N3902"/>
      <x:c r="O3902"/>
      <x:c r="P3902"/>
    </x:row>
    <x:row r="3903">
      <x:c r="A3903"/>
      <x:c r="B3903"/>
      <x:c r="C3903"/>
      <x:c r="D3903"/>
      <x:c r="E3903"/>
      <x:c r="F3903"/>
      <x:c r="G3903" s="56"/>
      <x:c r="H3903"/>
      <x:c r="I3903"/>
      <x:c r="J3903"/>
      <x:c r="K3903"/>
      <x:c r="L3903"/>
      <x:c r="M3903"/>
      <x:c r="N3903"/>
      <x:c r="O3903"/>
      <x:c r="P3903"/>
    </x:row>
    <x:row r="3904">
      <x:c r="A3904"/>
      <x:c r="B3904"/>
      <x:c r="C3904"/>
      <x:c r="D3904"/>
      <x:c r="E3904"/>
      <x:c r="F3904"/>
      <x:c r="G3904" s="56"/>
      <x:c r="H3904"/>
      <x:c r="I3904"/>
      <x:c r="J3904"/>
      <x:c r="K3904"/>
      <x:c r="L3904"/>
      <x:c r="M3904"/>
      <x:c r="N3904"/>
      <x:c r="O3904"/>
      <x:c r="P3904"/>
    </x:row>
    <x:row r="3905">
      <x:c r="A3905"/>
      <x:c r="B3905"/>
      <x:c r="C3905"/>
      <x:c r="D3905"/>
      <x:c r="E3905"/>
      <x:c r="F3905"/>
      <x:c r="G3905" s="56"/>
      <x:c r="H3905"/>
      <x:c r="I3905"/>
      <x:c r="J3905"/>
      <x:c r="K3905"/>
      <x:c r="L3905"/>
      <x:c r="M3905"/>
      <x:c r="N3905"/>
      <x:c r="O3905"/>
      <x:c r="P3905"/>
    </x:row>
    <x:row r="3906">
      <x:c r="A3906"/>
      <x:c r="B3906"/>
      <x:c r="C3906"/>
      <x:c r="D3906"/>
      <x:c r="E3906"/>
      <x:c r="F3906"/>
      <x:c r="G3906" s="56"/>
      <x:c r="H3906"/>
      <x:c r="I3906"/>
      <x:c r="J3906"/>
      <x:c r="K3906"/>
      <x:c r="L3906"/>
      <x:c r="M3906"/>
      <x:c r="N3906"/>
      <x:c r="O3906"/>
      <x:c r="P3906"/>
    </x:row>
    <x:row r="3907">
      <x:c r="A3907"/>
      <x:c r="B3907"/>
      <x:c r="C3907"/>
      <x:c r="D3907"/>
      <x:c r="E3907"/>
      <x:c r="F3907"/>
      <x:c r="G3907" s="56"/>
      <x:c r="H3907"/>
      <x:c r="I3907"/>
      <x:c r="J3907"/>
      <x:c r="K3907"/>
      <x:c r="L3907"/>
      <x:c r="M3907"/>
      <x:c r="N3907"/>
      <x:c r="O3907"/>
      <x:c r="P3907"/>
    </x:row>
    <x:row r="3908">
      <x:c r="A3908"/>
      <x:c r="B3908"/>
      <x:c r="C3908"/>
      <x:c r="D3908"/>
      <x:c r="E3908"/>
      <x:c r="F3908"/>
      <x:c r="G3908" s="56"/>
      <x:c r="H3908"/>
      <x:c r="I3908"/>
      <x:c r="J3908"/>
      <x:c r="K3908"/>
      <x:c r="L3908"/>
      <x:c r="M3908"/>
      <x:c r="N3908"/>
      <x:c r="O3908"/>
      <x:c r="P3908"/>
    </x:row>
    <x:row r="3909">
      <x:c r="A3909"/>
      <x:c r="B3909"/>
      <x:c r="C3909"/>
      <x:c r="D3909"/>
      <x:c r="E3909"/>
      <x:c r="F3909"/>
      <x:c r="G3909" s="56"/>
      <x:c r="H3909"/>
      <x:c r="I3909"/>
      <x:c r="J3909"/>
      <x:c r="K3909"/>
      <x:c r="L3909"/>
      <x:c r="M3909"/>
      <x:c r="N3909"/>
      <x:c r="O3909"/>
      <x:c r="P3909"/>
    </x:row>
    <x:row r="3910">
      <x:c r="A3910"/>
      <x:c r="B3910"/>
      <x:c r="C3910"/>
      <x:c r="D3910"/>
      <x:c r="E3910"/>
      <x:c r="F3910"/>
      <x:c r="G3910" s="56"/>
      <x:c r="H3910"/>
      <x:c r="I3910"/>
      <x:c r="J3910"/>
      <x:c r="K3910"/>
      <x:c r="L3910"/>
      <x:c r="M3910"/>
      <x:c r="N3910"/>
      <x:c r="O3910"/>
      <x:c r="P3910"/>
    </x:row>
    <x:row r="3911">
      <x:c r="A3911"/>
      <x:c r="B3911"/>
      <x:c r="C3911"/>
      <x:c r="D3911"/>
      <x:c r="E3911"/>
      <x:c r="F3911"/>
      <x:c r="G3911" s="56"/>
      <x:c r="H3911"/>
      <x:c r="I3911"/>
      <x:c r="J3911"/>
      <x:c r="K3911"/>
      <x:c r="L3911"/>
      <x:c r="M3911"/>
      <x:c r="N3911"/>
      <x:c r="O3911"/>
      <x:c r="P3911"/>
    </x:row>
    <x:row r="3912">
      <x:c r="A3912"/>
      <x:c r="B3912"/>
      <x:c r="C3912"/>
      <x:c r="D3912"/>
      <x:c r="E3912"/>
      <x:c r="F3912"/>
      <x:c r="G3912" s="56"/>
      <x:c r="H3912"/>
      <x:c r="I3912"/>
      <x:c r="J3912"/>
      <x:c r="K3912"/>
      <x:c r="L3912"/>
      <x:c r="M3912"/>
      <x:c r="N3912"/>
      <x:c r="O3912"/>
      <x:c r="P3912"/>
    </x:row>
    <x:row r="3913">
      <x:c r="A3913"/>
      <x:c r="B3913"/>
      <x:c r="C3913"/>
      <x:c r="D3913"/>
      <x:c r="E3913"/>
      <x:c r="F3913"/>
      <x:c r="G3913" s="56"/>
      <x:c r="H3913"/>
      <x:c r="I3913"/>
      <x:c r="J3913"/>
      <x:c r="K3913"/>
      <x:c r="L3913"/>
      <x:c r="M3913"/>
      <x:c r="N3913"/>
      <x:c r="O3913"/>
      <x:c r="P3913"/>
    </x:row>
    <x:row r="3914">
      <x:c r="A3914"/>
      <x:c r="B3914"/>
      <x:c r="C3914"/>
      <x:c r="D3914"/>
      <x:c r="E3914"/>
      <x:c r="F3914"/>
      <x:c r="G3914" s="56"/>
      <x:c r="H3914"/>
      <x:c r="I3914"/>
      <x:c r="J3914"/>
      <x:c r="K3914"/>
      <x:c r="L3914"/>
      <x:c r="M3914"/>
      <x:c r="N3914"/>
      <x:c r="O3914"/>
      <x:c r="P3914"/>
    </x:row>
    <x:row r="3915">
      <x:c r="A3915"/>
      <x:c r="B3915"/>
      <x:c r="C3915"/>
      <x:c r="D3915"/>
      <x:c r="E3915"/>
      <x:c r="F3915"/>
      <x:c r="G3915" s="56"/>
      <x:c r="H3915"/>
      <x:c r="I3915"/>
      <x:c r="J3915"/>
      <x:c r="K3915"/>
      <x:c r="L3915"/>
      <x:c r="M3915"/>
      <x:c r="N3915"/>
      <x:c r="O3915"/>
      <x:c r="P3915"/>
    </x:row>
    <x:row r="3916">
      <x:c r="A3916"/>
      <x:c r="B3916"/>
      <x:c r="C3916"/>
      <x:c r="D3916"/>
      <x:c r="E3916"/>
      <x:c r="F3916"/>
      <x:c r="G3916" s="56"/>
      <x:c r="H3916"/>
      <x:c r="I3916"/>
      <x:c r="J3916"/>
      <x:c r="K3916"/>
      <x:c r="L3916"/>
      <x:c r="M3916"/>
      <x:c r="N3916"/>
      <x:c r="O3916"/>
      <x:c r="P3916"/>
    </x:row>
    <x:row r="3917">
      <x:c r="A3917"/>
      <x:c r="B3917"/>
      <x:c r="C3917"/>
      <x:c r="D3917"/>
      <x:c r="E3917"/>
      <x:c r="F3917"/>
      <x:c r="G3917" s="56"/>
      <x:c r="H3917"/>
      <x:c r="I3917"/>
      <x:c r="J3917"/>
      <x:c r="K3917"/>
      <x:c r="L3917"/>
      <x:c r="M3917"/>
      <x:c r="N3917"/>
      <x:c r="O3917"/>
      <x:c r="P3917"/>
    </x:row>
    <x:row r="3918">
      <x:c r="A3918"/>
      <x:c r="B3918"/>
      <x:c r="C3918"/>
      <x:c r="D3918"/>
      <x:c r="E3918"/>
      <x:c r="F3918"/>
      <x:c r="G3918" s="56"/>
      <x:c r="H3918"/>
      <x:c r="I3918"/>
      <x:c r="J3918"/>
      <x:c r="K3918"/>
      <x:c r="L3918"/>
      <x:c r="M3918"/>
      <x:c r="N3918"/>
      <x:c r="O3918"/>
      <x:c r="P3918"/>
    </x:row>
    <x:row r="3919">
      <x:c r="A3919"/>
      <x:c r="B3919"/>
      <x:c r="C3919"/>
      <x:c r="D3919"/>
      <x:c r="E3919"/>
      <x:c r="F3919"/>
      <x:c r="G3919" s="56"/>
      <x:c r="H3919"/>
      <x:c r="I3919"/>
      <x:c r="J3919"/>
      <x:c r="K3919"/>
      <x:c r="L3919"/>
      <x:c r="M3919"/>
      <x:c r="N3919"/>
      <x:c r="O3919"/>
      <x:c r="P3919"/>
    </x:row>
    <x:row r="3920">
      <x:c r="A3920"/>
      <x:c r="B3920"/>
      <x:c r="C3920"/>
      <x:c r="D3920"/>
      <x:c r="E3920"/>
      <x:c r="F3920"/>
      <x:c r="G3920" s="56"/>
      <x:c r="H3920"/>
      <x:c r="I3920"/>
      <x:c r="J3920"/>
      <x:c r="K3920"/>
      <x:c r="L3920"/>
      <x:c r="M3920"/>
      <x:c r="N3920"/>
      <x:c r="O3920"/>
      <x:c r="P3920"/>
    </x:row>
    <x:row r="3921">
      <x:c r="A3921"/>
      <x:c r="B3921"/>
      <x:c r="C3921"/>
      <x:c r="D3921"/>
      <x:c r="E3921"/>
      <x:c r="F3921"/>
      <x:c r="G3921" s="56"/>
      <x:c r="H3921"/>
      <x:c r="I3921"/>
      <x:c r="J3921"/>
      <x:c r="K3921"/>
      <x:c r="L3921"/>
      <x:c r="M3921"/>
      <x:c r="N3921"/>
      <x:c r="O3921"/>
      <x:c r="P3921"/>
    </x:row>
    <x:row r="3922">
      <x:c r="A3922"/>
      <x:c r="B3922"/>
      <x:c r="C3922"/>
      <x:c r="D3922"/>
      <x:c r="E3922"/>
      <x:c r="F3922"/>
      <x:c r="G3922" s="56"/>
      <x:c r="H3922"/>
      <x:c r="I3922"/>
      <x:c r="J3922"/>
      <x:c r="K3922"/>
      <x:c r="L3922"/>
      <x:c r="M3922"/>
      <x:c r="N3922"/>
      <x:c r="O3922"/>
      <x:c r="P3922"/>
    </x:row>
    <x:row r="3923">
      <x:c r="A3923"/>
      <x:c r="B3923"/>
      <x:c r="C3923"/>
      <x:c r="D3923"/>
      <x:c r="E3923"/>
      <x:c r="F3923"/>
      <x:c r="G3923" s="56"/>
      <x:c r="H3923"/>
      <x:c r="I3923"/>
      <x:c r="J3923"/>
      <x:c r="K3923"/>
      <x:c r="L3923"/>
      <x:c r="M3923"/>
      <x:c r="N3923"/>
      <x:c r="O3923"/>
      <x:c r="P3923"/>
    </x:row>
    <x:row r="3924">
      <x:c r="A3924"/>
      <x:c r="B3924"/>
      <x:c r="C3924"/>
      <x:c r="D3924"/>
      <x:c r="E3924"/>
      <x:c r="F3924"/>
      <x:c r="G3924" s="56"/>
      <x:c r="H3924"/>
      <x:c r="I3924"/>
      <x:c r="J3924"/>
      <x:c r="K3924"/>
      <x:c r="L3924"/>
      <x:c r="M3924"/>
      <x:c r="N3924"/>
      <x:c r="O3924"/>
      <x:c r="P3924"/>
    </x:row>
    <x:row r="3925">
      <x:c r="A3925"/>
      <x:c r="B3925"/>
      <x:c r="C3925"/>
      <x:c r="D3925"/>
      <x:c r="E3925"/>
      <x:c r="F3925"/>
      <x:c r="G3925" s="56"/>
      <x:c r="H3925"/>
      <x:c r="I3925"/>
      <x:c r="J3925"/>
      <x:c r="K3925"/>
      <x:c r="L3925"/>
      <x:c r="M3925"/>
      <x:c r="N3925"/>
      <x:c r="O3925"/>
      <x:c r="P3925"/>
    </x:row>
    <x:row r="3926">
      <x:c r="A3926"/>
      <x:c r="B3926"/>
      <x:c r="C3926"/>
      <x:c r="D3926"/>
      <x:c r="E3926"/>
      <x:c r="F3926"/>
      <x:c r="G3926" s="56"/>
      <x:c r="H3926"/>
      <x:c r="I3926"/>
      <x:c r="J3926"/>
      <x:c r="K3926"/>
      <x:c r="L3926"/>
      <x:c r="M3926"/>
      <x:c r="N3926"/>
      <x:c r="O3926"/>
      <x:c r="P3926"/>
    </x:row>
    <x:row r="3927">
      <x:c r="A3927"/>
      <x:c r="B3927"/>
      <x:c r="C3927"/>
      <x:c r="D3927"/>
      <x:c r="E3927"/>
      <x:c r="F3927"/>
      <x:c r="G3927" s="56"/>
      <x:c r="H3927"/>
      <x:c r="I3927"/>
      <x:c r="J3927"/>
      <x:c r="K3927"/>
      <x:c r="L3927"/>
      <x:c r="M3927"/>
      <x:c r="N3927"/>
      <x:c r="O3927"/>
      <x:c r="P3927"/>
    </x:row>
    <x:row r="3928">
      <x:c r="A3928"/>
      <x:c r="B3928"/>
      <x:c r="C3928"/>
      <x:c r="D3928"/>
      <x:c r="E3928"/>
      <x:c r="F3928"/>
      <x:c r="G3928" s="56"/>
      <x:c r="H3928"/>
      <x:c r="I3928"/>
      <x:c r="J3928"/>
      <x:c r="K3928"/>
      <x:c r="L3928"/>
      <x:c r="M3928"/>
      <x:c r="N3928"/>
      <x:c r="O3928"/>
      <x:c r="P3928"/>
    </x:row>
    <x:row r="3929">
      <x:c r="A3929"/>
      <x:c r="B3929"/>
      <x:c r="C3929"/>
      <x:c r="D3929"/>
      <x:c r="E3929"/>
      <x:c r="F3929"/>
      <x:c r="G3929" s="56"/>
      <x:c r="H3929"/>
      <x:c r="I3929"/>
      <x:c r="J3929"/>
      <x:c r="K3929"/>
      <x:c r="L3929"/>
      <x:c r="M3929"/>
      <x:c r="N3929"/>
      <x:c r="O3929"/>
      <x:c r="P3929"/>
    </x:row>
    <x:row r="3930">
      <x:c r="A3930"/>
      <x:c r="B3930"/>
      <x:c r="C3930"/>
      <x:c r="D3930"/>
      <x:c r="E3930"/>
      <x:c r="F3930"/>
      <x:c r="G3930" s="56"/>
      <x:c r="H3930"/>
      <x:c r="I3930"/>
      <x:c r="J3930"/>
      <x:c r="K3930"/>
      <x:c r="L3930"/>
      <x:c r="M3930"/>
      <x:c r="N3930"/>
      <x:c r="O3930"/>
      <x:c r="P3930"/>
    </x:row>
    <x:row r="3931">
      <x:c r="A3931"/>
      <x:c r="B3931"/>
      <x:c r="C3931"/>
      <x:c r="D3931"/>
      <x:c r="E3931"/>
      <x:c r="F3931"/>
      <x:c r="G3931" s="56"/>
      <x:c r="H3931"/>
      <x:c r="I3931"/>
      <x:c r="J3931"/>
      <x:c r="K3931"/>
      <x:c r="L3931"/>
      <x:c r="M3931"/>
      <x:c r="N3931"/>
      <x:c r="O3931"/>
      <x:c r="P3931"/>
    </x:row>
    <x:row r="3932">
      <x:c r="A3932"/>
      <x:c r="B3932"/>
      <x:c r="C3932"/>
      <x:c r="D3932"/>
      <x:c r="E3932"/>
      <x:c r="F3932"/>
      <x:c r="G3932" s="56"/>
      <x:c r="H3932"/>
      <x:c r="I3932"/>
      <x:c r="J3932"/>
      <x:c r="K3932"/>
      <x:c r="L3932"/>
      <x:c r="M3932"/>
      <x:c r="N3932"/>
      <x:c r="O3932"/>
      <x:c r="P3932"/>
    </x:row>
    <x:row r="3933">
      <x:c r="A3933"/>
      <x:c r="B3933"/>
      <x:c r="C3933"/>
      <x:c r="D3933"/>
      <x:c r="E3933"/>
      <x:c r="F3933"/>
      <x:c r="G3933" s="56"/>
      <x:c r="H3933"/>
      <x:c r="I3933"/>
      <x:c r="J3933"/>
      <x:c r="K3933"/>
      <x:c r="L3933"/>
      <x:c r="M3933"/>
      <x:c r="N3933"/>
      <x:c r="O3933"/>
      <x:c r="P3933"/>
    </x:row>
    <x:row r="3934">
      <x:c r="A3934"/>
      <x:c r="B3934"/>
      <x:c r="C3934"/>
      <x:c r="D3934"/>
      <x:c r="E3934"/>
      <x:c r="F3934"/>
      <x:c r="G3934" s="56"/>
      <x:c r="H3934"/>
      <x:c r="I3934"/>
      <x:c r="J3934"/>
      <x:c r="K3934"/>
      <x:c r="L3934"/>
      <x:c r="M3934"/>
      <x:c r="N3934"/>
      <x:c r="O3934"/>
      <x:c r="P3934"/>
    </x:row>
    <x:row r="3935">
      <x:c r="A3935"/>
      <x:c r="B3935"/>
      <x:c r="C3935"/>
      <x:c r="D3935"/>
      <x:c r="E3935"/>
      <x:c r="F3935"/>
      <x:c r="G3935" s="56"/>
      <x:c r="H3935"/>
      <x:c r="I3935"/>
      <x:c r="J3935"/>
      <x:c r="K3935"/>
      <x:c r="L3935"/>
      <x:c r="M3935"/>
      <x:c r="N3935"/>
      <x:c r="O3935"/>
      <x:c r="P3935"/>
    </x:row>
    <x:row r="3936">
      <x:c r="A3936"/>
      <x:c r="B3936"/>
      <x:c r="C3936"/>
      <x:c r="D3936"/>
      <x:c r="E3936"/>
      <x:c r="F3936"/>
      <x:c r="G3936" s="56"/>
      <x:c r="H3936"/>
      <x:c r="I3936"/>
      <x:c r="J3936"/>
      <x:c r="K3936"/>
      <x:c r="L3936"/>
      <x:c r="M3936"/>
      <x:c r="N3936"/>
      <x:c r="O3936"/>
      <x:c r="P3936"/>
    </x:row>
    <x:row r="3937">
      <x:c r="A3937"/>
      <x:c r="B3937"/>
      <x:c r="C3937"/>
      <x:c r="D3937"/>
      <x:c r="E3937"/>
      <x:c r="F3937"/>
      <x:c r="G3937" s="56"/>
      <x:c r="H3937"/>
      <x:c r="I3937"/>
      <x:c r="J3937"/>
      <x:c r="K3937"/>
      <x:c r="L3937"/>
      <x:c r="M3937"/>
      <x:c r="N3937"/>
      <x:c r="O3937"/>
      <x:c r="P3937"/>
    </x:row>
    <x:row r="3938">
      <x:c r="A3938"/>
      <x:c r="B3938"/>
      <x:c r="C3938"/>
      <x:c r="D3938"/>
      <x:c r="E3938"/>
      <x:c r="F3938"/>
      <x:c r="G3938" s="56"/>
      <x:c r="H3938"/>
      <x:c r="I3938"/>
      <x:c r="J3938"/>
      <x:c r="K3938"/>
      <x:c r="L3938"/>
      <x:c r="M3938"/>
      <x:c r="N3938"/>
      <x:c r="O3938"/>
      <x:c r="P3938"/>
    </x:row>
    <x:row r="3939">
      <x:c r="A3939"/>
      <x:c r="B3939"/>
      <x:c r="C3939"/>
      <x:c r="D3939"/>
      <x:c r="E3939"/>
      <x:c r="F3939"/>
      <x:c r="G3939" s="56"/>
      <x:c r="H3939"/>
      <x:c r="I3939"/>
      <x:c r="J3939"/>
      <x:c r="K3939"/>
      <x:c r="L3939"/>
      <x:c r="M3939"/>
      <x:c r="N3939"/>
      <x:c r="O3939"/>
      <x:c r="P3939"/>
    </x:row>
    <x:row r="3940">
      <x:c r="A3940"/>
      <x:c r="B3940"/>
      <x:c r="C3940"/>
      <x:c r="D3940"/>
      <x:c r="E3940"/>
      <x:c r="F3940"/>
      <x:c r="G3940" s="56"/>
      <x:c r="H3940"/>
      <x:c r="I3940"/>
      <x:c r="J3940"/>
      <x:c r="K3940"/>
      <x:c r="L3940"/>
      <x:c r="M3940"/>
      <x:c r="N3940"/>
      <x:c r="O3940"/>
      <x:c r="P3940"/>
    </x:row>
    <x:row r="3941">
      <x:c r="A3941"/>
      <x:c r="B3941"/>
      <x:c r="C3941"/>
      <x:c r="D3941"/>
      <x:c r="E3941"/>
      <x:c r="F3941"/>
      <x:c r="G3941" s="56"/>
      <x:c r="H3941"/>
      <x:c r="I3941"/>
      <x:c r="J3941"/>
      <x:c r="K3941"/>
      <x:c r="L3941"/>
      <x:c r="M3941"/>
      <x:c r="N3941"/>
      <x:c r="O3941"/>
      <x:c r="P3941"/>
    </x:row>
    <x:row r="3942">
      <x:c r="A3942"/>
      <x:c r="B3942"/>
      <x:c r="C3942"/>
      <x:c r="D3942"/>
      <x:c r="E3942"/>
      <x:c r="F3942"/>
      <x:c r="G3942" s="56"/>
      <x:c r="H3942"/>
      <x:c r="I3942"/>
      <x:c r="J3942"/>
      <x:c r="K3942"/>
      <x:c r="L3942"/>
      <x:c r="M3942"/>
      <x:c r="N3942"/>
      <x:c r="O3942"/>
      <x:c r="P3942"/>
    </x:row>
    <x:row r="3943">
      <x:c r="A3943"/>
      <x:c r="B3943"/>
      <x:c r="C3943"/>
      <x:c r="D3943"/>
      <x:c r="E3943"/>
      <x:c r="F3943"/>
      <x:c r="G3943" s="56"/>
      <x:c r="H3943"/>
      <x:c r="I3943"/>
      <x:c r="J3943"/>
      <x:c r="K3943"/>
      <x:c r="L3943"/>
      <x:c r="M3943"/>
      <x:c r="N3943"/>
      <x:c r="O3943"/>
      <x:c r="P3943"/>
    </x:row>
    <x:row r="3944">
      <x:c r="A3944"/>
      <x:c r="B3944"/>
      <x:c r="C3944"/>
      <x:c r="D3944"/>
      <x:c r="E3944"/>
      <x:c r="F3944"/>
      <x:c r="G3944" s="56"/>
      <x:c r="H3944"/>
      <x:c r="I3944"/>
      <x:c r="J3944"/>
      <x:c r="K3944"/>
      <x:c r="L3944"/>
      <x:c r="M3944"/>
      <x:c r="N3944"/>
      <x:c r="O3944"/>
      <x:c r="P3944"/>
    </x:row>
    <x:row r="3945">
      <x:c r="A3945"/>
      <x:c r="B3945"/>
      <x:c r="C3945"/>
      <x:c r="D3945"/>
      <x:c r="E3945"/>
      <x:c r="F3945"/>
      <x:c r="G3945" s="56"/>
      <x:c r="H3945"/>
      <x:c r="I3945"/>
      <x:c r="J3945"/>
      <x:c r="K3945"/>
      <x:c r="L3945"/>
      <x:c r="M3945"/>
      <x:c r="N3945"/>
      <x:c r="O3945"/>
      <x:c r="P3945"/>
    </x:row>
    <x:row r="3946">
      <x:c r="A3946"/>
      <x:c r="B3946"/>
      <x:c r="C3946"/>
      <x:c r="D3946"/>
      <x:c r="E3946"/>
      <x:c r="F3946"/>
      <x:c r="G3946" s="56"/>
      <x:c r="H3946"/>
      <x:c r="I3946"/>
      <x:c r="J3946"/>
      <x:c r="K3946"/>
      <x:c r="L3946"/>
      <x:c r="M3946"/>
      <x:c r="N3946"/>
      <x:c r="O3946"/>
      <x:c r="P3946"/>
    </x:row>
    <x:row r="3947">
      <x:c r="A3947"/>
      <x:c r="B3947"/>
      <x:c r="C3947"/>
      <x:c r="D3947"/>
      <x:c r="E3947"/>
      <x:c r="F3947"/>
      <x:c r="G3947" s="56"/>
      <x:c r="H3947"/>
      <x:c r="I3947"/>
      <x:c r="J3947"/>
      <x:c r="K3947"/>
      <x:c r="L3947"/>
      <x:c r="M3947"/>
      <x:c r="N3947"/>
      <x:c r="O3947"/>
      <x:c r="P3947"/>
    </x:row>
    <x:row r="3948">
      <x:c r="A3948"/>
      <x:c r="B3948"/>
      <x:c r="C3948"/>
      <x:c r="D3948"/>
      <x:c r="E3948"/>
      <x:c r="F3948"/>
      <x:c r="G3948" s="56"/>
      <x:c r="H3948"/>
      <x:c r="I3948"/>
      <x:c r="J3948"/>
      <x:c r="K3948"/>
      <x:c r="L3948"/>
      <x:c r="M3948"/>
      <x:c r="N3948"/>
      <x:c r="O3948"/>
      <x:c r="P3948"/>
    </x:row>
    <x:row r="3949">
      <x:c r="A3949"/>
      <x:c r="B3949"/>
      <x:c r="C3949"/>
      <x:c r="D3949"/>
      <x:c r="E3949"/>
      <x:c r="F3949"/>
      <x:c r="G3949" s="56"/>
      <x:c r="H3949"/>
      <x:c r="I3949"/>
      <x:c r="J3949"/>
      <x:c r="K3949"/>
      <x:c r="L3949"/>
      <x:c r="M3949"/>
      <x:c r="N3949"/>
      <x:c r="O3949"/>
      <x:c r="P3949"/>
    </x:row>
    <x:row r="3950">
      <x:c r="A3950"/>
      <x:c r="B3950"/>
      <x:c r="C3950"/>
      <x:c r="D3950"/>
      <x:c r="E3950"/>
      <x:c r="F3950"/>
      <x:c r="G3950" s="56"/>
      <x:c r="H3950"/>
      <x:c r="I3950"/>
      <x:c r="J3950"/>
      <x:c r="K3950"/>
      <x:c r="L3950"/>
      <x:c r="M3950"/>
      <x:c r="N3950"/>
      <x:c r="O3950"/>
      <x:c r="P3950"/>
    </x:row>
    <x:row r="3951">
      <x:c r="A3951"/>
      <x:c r="B3951"/>
      <x:c r="C3951"/>
      <x:c r="D3951"/>
      <x:c r="E3951"/>
      <x:c r="F3951"/>
      <x:c r="G3951" s="56"/>
      <x:c r="H3951"/>
      <x:c r="I3951"/>
      <x:c r="J3951"/>
      <x:c r="K3951"/>
      <x:c r="L3951"/>
      <x:c r="M3951"/>
      <x:c r="N3951"/>
      <x:c r="O3951"/>
      <x:c r="P3951"/>
    </x:row>
    <x:row r="3952">
      <x:c r="A3952"/>
      <x:c r="B3952"/>
      <x:c r="C3952"/>
      <x:c r="D3952"/>
      <x:c r="E3952"/>
      <x:c r="F3952"/>
      <x:c r="G3952" s="56"/>
      <x:c r="H3952"/>
      <x:c r="I3952"/>
      <x:c r="J3952"/>
      <x:c r="K3952"/>
      <x:c r="L3952"/>
      <x:c r="M3952"/>
      <x:c r="N3952"/>
      <x:c r="O3952"/>
      <x:c r="P3952"/>
    </x:row>
    <x:row r="3953">
      <x:c r="A3953"/>
      <x:c r="B3953"/>
      <x:c r="C3953"/>
      <x:c r="D3953"/>
      <x:c r="E3953"/>
      <x:c r="F3953"/>
      <x:c r="G3953" s="56"/>
      <x:c r="H3953"/>
      <x:c r="I3953"/>
      <x:c r="J3953"/>
      <x:c r="K3953"/>
      <x:c r="L3953"/>
      <x:c r="M3953"/>
      <x:c r="N3953"/>
      <x:c r="O3953"/>
      <x:c r="P3953"/>
    </x:row>
    <x:row r="3954">
      <x:c r="A3954"/>
      <x:c r="B3954"/>
      <x:c r="C3954"/>
      <x:c r="D3954"/>
      <x:c r="E3954"/>
      <x:c r="F3954"/>
      <x:c r="G3954" s="56"/>
      <x:c r="H3954"/>
      <x:c r="I3954"/>
      <x:c r="J3954"/>
      <x:c r="K3954"/>
      <x:c r="L3954"/>
      <x:c r="M3954"/>
      <x:c r="N3954"/>
      <x:c r="O3954"/>
      <x:c r="P3954"/>
    </x:row>
    <x:row r="3955">
      <x:c r="A3955"/>
      <x:c r="B3955"/>
      <x:c r="C3955"/>
      <x:c r="D3955"/>
      <x:c r="E3955"/>
      <x:c r="F3955"/>
      <x:c r="G3955" s="56"/>
      <x:c r="H3955"/>
      <x:c r="I3955"/>
      <x:c r="J3955"/>
      <x:c r="K3955"/>
      <x:c r="L3955"/>
      <x:c r="M3955"/>
      <x:c r="N3955"/>
      <x:c r="O3955"/>
      <x:c r="P3955"/>
    </x:row>
    <x:row r="3956">
      <x:c r="A3956"/>
      <x:c r="B3956"/>
      <x:c r="C3956"/>
      <x:c r="D3956"/>
      <x:c r="E3956"/>
      <x:c r="F3956"/>
      <x:c r="G3956" s="56"/>
      <x:c r="H3956"/>
      <x:c r="I3956"/>
      <x:c r="J3956"/>
      <x:c r="K3956"/>
      <x:c r="L3956"/>
      <x:c r="M3956"/>
      <x:c r="N3956"/>
      <x:c r="O3956"/>
      <x:c r="P3956"/>
    </x:row>
    <x:row r="3957">
      <x:c r="A3957"/>
      <x:c r="B3957"/>
      <x:c r="C3957"/>
      <x:c r="D3957"/>
      <x:c r="E3957"/>
      <x:c r="F3957"/>
      <x:c r="G3957" s="56"/>
      <x:c r="H3957"/>
      <x:c r="I3957"/>
      <x:c r="J3957"/>
      <x:c r="K3957"/>
      <x:c r="L3957"/>
      <x:c r="M3957"/>
      <x:c r="N3957"/>
      <x:c r="O3957"/>
      <x:c r="P3957"/>
    </x:row>
    <x:row r="3958">
      <x:c r="A3958"/>
      <x:c r="B3958"/>
      <x:c r="C3958"/>
      <x:c r="D3958"/>
      <x:c r="E3958"/>
      <x:c r="F3958"/>
      <x:c r="G3958" s="56"/>
      <x:c r="H3958"/>
      <x:c r="I3958"/>
      <x:c r="J3958"/>
      <x:c r="K3958"/>
      <x:c r="L3958"/>
      <x:c r="M3958"/>
      <x:c r="N3958"/>
      <x:c r="O3958"/>
      <x:c r="P3958"/>
    </x:row>
    <x:row r="3959">
      <x:c r="A3959"/>
      <x:c r="B3959"/>
      <x:c r="C3959"/>
      <x:c r="D3959"/>
      <x:c r="E3959"/>
      <x:c r="F3959"/>
      <x:c r="G3959" s="56"/>
      <x:c r="H3959"/>
      <x:c r="I3959"/>
      <x:c r="J3959"/>
      <x:c r="K3959"/>
      <x:c r="L3959"/>
      <x:c r="M3959"/>
      <x:c r="N3959"/>
      <x:c r="O3959"/>
      <x:c r="P3959"/>
    </x:row>
    <x:row r="3960">
      <x:c r="A3960"/>
      <x:c r="B3960"/>
      <x:c r="C3960"/>
      <x:c r="D3960"/>
      <x:c r="E3960"/>
      <x:c r="F3960"/>
      <x:c r="G3960" s="56"/>
      <x:c r="H3960"/>
      <x:c r="I3960"/>
      <x:c r="J3960"/>
      <x:c r="K3960"/>
      <x:c r="L3960"/>
      <x:c r="M3960"/>
      <x:c r="N3960"/>
      <x:c r="O3960"/>
      <x:c r="P3960"/>
    </x:row>
    <x:row r="3961">
      <x:c r="A3961"/>
      <x:c r="B3961"/>
      <x:c r="C3961"/>
      <x:c r="D3961"/>
      <x:c r="E3961"/>
      <x:c r="F3961"/>
      <x:c r="G3961" s="56"/>
      <x:c r="H3961"/>
      <x:c r="I3961"/>
      <x:c r="J3961"/>
      <x:c r="K3961"/>
      <x:c r="L3961"/>
      <x:c r="M3961"/>
      <x:c r="N3961"/>
      <x:c r="O3961"/>
      <x:c r="P3961"/>
    </x:row>
    <x:row r="3962">
      <x:c r="A3962"/>
      <x:c r="B3962"/>
      <x:c r="C3962"/>
      <x:c r="D3962"/>
      <x:c r="E3962"/>
      <x:c r="F3962"/>
      <x:c r="G3962" s="56"/>
      <x:c r="H3962"/>
      <x:c r="I3962"/>
      <x:c r="J3962"/>
      <x:c r="K3962"/>
      <x:c r="L3962"/>
      <x:c r="M3962"/>
      <x:c r="N3962"/>
      <x:c r="O3962"/>
      <x:c r="P3962"/>
    </x:row>
    <x:row r="3963">
      <x:c r="A3963"/>
      <x:c r="B3963"/>
      <x:c r="C3963"/>
      <x:c r="D3963"/>
      <x:c r="E3963"/>
      <x:c r="F3963"/>
      <x:c r="G3963" s="56"/>
      <x:c r="H3963"/>
      <x:c r="I3963"/>
      <x:c r="J3963"/>
      <x:c r="K3963"/>
      <x:c r="L3963"/>
      <x:c r="M3963"/>
      <x:c r="N3963"/>
      <x:c r="O3963"/>
      <x:c r="P3963"/>
    </x:row>
    <x:row r="3964">
      <x:c r="A3964"/>
      <x:c r="B3964"/>
      <x:c r="C3964"/>
      <x:c r="D3964"/>
      <x:c r="E3964"/>
      <x:c r="F3964"/>
      <x:c r="G3964" s="56"/>
      <x:c r="H3964"/>
      <x:c r="I3964"/>
      <x:c r="J3964"/>
      <x:c r="K3964"/>
      <x:c r="L3964"/>
      <x:c r="M3964"/>
      <x:c r="N3964"/>
      <x:c r="O3964"/>
      <x:c r="P3964"/>
    </x:row>
    <x:row r="3965">
      <x:c r="A3965"/>
      <x:c r="B3965"/>
      <x:c r="C3965"/>
      <x:c r="D3965"/>
      <x:c r="E3965"/>
      <x:c r="F3965"/>
      <x:c r="G3965" s="56"/>
      <x:c r="H3965"/>
      <x:c r="I3965"/>
      <x:c r="J3965"/>
      <x:c r="K3965"/>
      <x:c r="L3965"/>
      <x:c r="M3965"/>
      <x:c r="N3965"/>
      <x:c r="O3965"/>
      <x:c r="P3965"/>
    </x:row>
    <x:row r="3966">
      <x:c r="A3966"/>
      <x:c r="B3966"/>
      <x:c r="C3966"/>
      <x:c r="D3966"/>
      <x:c r="E3966"/>
      <x:c r="F3966"/>
      <x:c r="G3966" s="56"/>
      <x:c r="H3966"/>
      <x:c r="I3966"/>
      <x:c r="J3966"/>
      <x:c r="K3966"/>
      <x:c r="L3966"/>
      <x:c r="M3966"/>
      <x:c r="N3966"/>
      <x:c r="O3966"/>
      <x:c r="P3966"/>
    </x:row>
    <x:row r="3967">
      <x:c r="A3967"/>
      <x:c r="B3967"/>
      <x:c r="C3967"/>
      <x:c r="D3967"/>
      <x:c r="E3967"/>
      <x:c r="F3967"/>
      <x:c r="G3967" s="56"/>
      <x:c r="H3967"/>
      <x:c r="I3967"/>
      <x:c r="J3967"/>
      <x:c r="K3967"/>
      <x:c r="L3967"/>
      <x:c r="M3967"/>
      <x:c r="N3967"/>
      <x:c r="O3967"/>
      <x:c r="P3967"/>
    </x:row>
    <x:row r="3968">
      <x:c r="A3968"/>
      <x:c r="B3968"/>
      <x:c r="C3968"/>
      <x:c r="D3968"/>
      <x:c r="E3968"/>
      <x:c r="F3968"/>
      <x:c r="G3968" s="56"/>
      <x:c r="H3968"/>
      <x:c r="I3968"/>
      <x:c r="J3968"/>
      <x:c r="K3968"/>
      <x:c r="L3968"/>
      <x:c r="M3968"/>
      <x:c r="N3968"/>
      <x:c r="O3968"/>
      <x:c r="P3968"/>
    </x:row>
    <x:row r="3969">
      <x:c r="A3969"/>
      <x:c r="B3969"/>
      <x:c r="C3969"/>
      <x:c r="D3969"/>
      <x:c r="E3969"/>
      <x:c r="F3969"/>
      <x:c r="G3969" s="56"/>
      <x:c r="H3969"/>
      <x:c r="I3969"/>
      <x:c r="J3969"/>
      <x:c r="K3969"/>
      <x:c r="L3969"/>
      <x:c r="M3969"/>
      <x:c r="N3969"/>
      <x:c r="O3969"/>
      <x:c r="P3969"/>
    </x:row>
    <x:row r="3970">
      <x:c r="A3970"/>
      <x:c r="B3970"/>
      <x:c r="C3970"/>
      <x:c r="D3970"/>
      <x:c r="E3970"/>
      <x:c r="F3970"/>
      <x:c r="G3970" s="56"/>
      <x:c r="H3970"/>
      <x:c r="I3970"/>
      <x:c r="J3970"/>
      <x:c r="K3970"/>
      <x:c r="L3970"/>
      <x:c r="M3970"/>
      <x:c r="N3970"/>
      <x:c r="O3970"/>
      <x:c r="P3970"/>
    </x:row>
    <x:row r="3971">
      <x:c r="A3971"/>
      <x:c r="B3971"/>
      <x:c r="C3971"/>
      <x:c r="D3971"/>
      <x:c r="E3971"/>
      <x:c r="F3971"/>
      <x:c r="G3971" s="56"/>
      <x:c r="H3971"/>
      <x:c r="I3971"/>
      <x:c r="J3971"/>
      <x:c r="K3971"/>
      <x:c r="L3971"/>
      <x:c r="M3971"/>
      <x:c r="N3971"/>
      <x:c r="O3971"/>
      <x:c r="P3971"/>
    </x:row>
    <x:row r="3972">
      <x:c r="A3972"/>
      <x:c r="B3972"/>
      <x:c r="C3972"/>
      <x:c r="D3972"/>
      <x:c r="E3972"/>
      <x:c r="F3972"/>
      <x:c r="G3972" s="56"/>
      <x:c r="H3972"/>
      <x:c r="I3972"/>
      <x:c r="J3972"/>
      <x:c r="K3972"/>
      <x:c r="L3972"/>
      <x:c r="M3972"/>
      <x:c r="N3972"/>
      <x:c r="O3972"/>
      <x:c r="P3972"/>
    </x:row>
    <x:row r="3973">
      <x:c r="A3973"/>
      <x:c r="B3973"/>
      <x:c r="C3973"/>
      <x:c r="D3973"/>
      <x:c r="E3973"/>
      <x:c r="F3973"/>
      <x:c r="G3973" s="56"/>
      <x:c r="H3973"/>
      <x:c r="I3973"/>
      <x:c r="J3973"/>
      <x:c r="K3973"/>
      <x:c r="L3973"/>
      <x:c r="M3973"/>
      <x:c r="N3973"/>
      <x:c r="O3973"/>
      <x:c r="P3973"/>
    </x:row>
    <x:row r="3974">
      <x:c r="A3974"/>
      <x:c r="B3974"/>
      <x:c r="C3974"/>
      <x:c r="D3974"/>
      <x:c r="E3974"/>
      <x:c r="F3974"/>
      <x:c r="G3974" s="56"/>
      <x:c r="H3974"/>
      <x:c r="I3974"/>
      <x:c r="J3974"/>
      <x:c r="K3974"/>
      <x:c r="L3974"/>
      <x:c r="M3974"/>
      <x:c r="N3974"/>
      <x:c r="O3974"/>
      <x:c r="P3974"/>
    </x:row>
    <x:row r="3975">
      <x:c r="A3975"/>
      <x:c r="B3975"/>
      <x:c r="C3975"/>
      <x:c r="D3975"/>
      <x:c r="E3975"/>
      <x:c r="F3975"/>
      <x:c r="G3975" s="56"/>
      <x:c r="H3975"/>
      <x:c r="I3975"/>
      <x:c r="J3975"/>
      <x:c r="K3975"/>
      <x:c r="L3975"/>
      <x:c r="M3975"/>
      <x:c r="N3975"/>
      <x:c r="O3975"/>
      <x:c r="P3975"/>
    </x:row>
    <x:row r="3976">
      <x:c r="A3976"/>
      <x:c r="B3976"/>
      <x:c r="C3976"/>
      <x:c r="D3976"/>
      <x:c r="E3976"/>
      <x:c r="F3976"/>
      <x:c r="G3976" s="56"/>
      <x:c r="H3976"/>
      <x:c r="I3976"/>
      <x:c r="J3976"/>
      <x:c r="K3976"/>
      <x:c r="L3976"/>
      <x:c r="M3976"/>
      <x:c r="N3976"/>
      <x:c r="O3976"/>
      <x:c r="P3976"/>
    </x:row>
    <x:row r="3977">
      <x:c r="A3977"/>
      <x:c r="B3977"/>
      <x:c r="C3977"/>
      <x:c r="D3977"/>
      <x:c r="E3977"/>
      <x:c r="F3977"/>
      <x:c r="G3977" s="56"/>
      <x:c r="H3977"/>
      <x:c r="I3977"/>
      <x:c r="J3977"/>
      <x:c r="K3977"/>
      <x:c r="L3977"/>
      <x:c r="M3977"/>
      <x:c r="N3977"/>
      <x:c r="O3977"/>
      <x:c r="P3977"/>
    </x:row>
    <x:row r="3978">
      <x:c r="A3978"/>
      <x:c r="B3978"/>
      <x:c r="C3978"/>
      <x:c r="D3978"/>
      <x:c r="E3978"/>
      <x:c r="F3978"/>
      <x:c r="G3978" s="56"/>
      <x:c r="H3978"/>
      <x:c r="I3978"/>
      <x:c r="J3978"/>
      <x:c r="K3978"/>
      <x:c r="L3978"/>
      <x:c r="M3978"/>
      <x:c r="N3978"/>
      <x:c r="O3978"/>
      <x:c r="P3978"/>
    </x:row>
    <x:row r="3979">
      <x:c r="A3979"/>
      <x:c r="B3979"/>
      <x:c r="C3979"/>
      <x:c r="D3979"/>
      <x:c r="E3979"/>
      <x:c r="F3979"/>
      <x:c r="G3979" s="56"/>
      <x:c r="H3979"/>
      <x:c r="I3979"/>
      <x:c r="J3979"/>
      <x:c r="K3979"/>
      <x:c r="L3979"/>
      <x:c r="M3979"/>
      <x:c r="N3979"/>
      <x:c r="O3979"/>
      <x:c r="P3979"/>
    </x:row>
    <x:row r="3980">
      <x:c r="A3980"/>
      <x:c r="B3980"/>
      <x:c r="C3980"/>
      <x:c r="D3980"/>
      <x:c r="E3980"/>
      <x:c r="F3980"/>
      <x:c r="G3980" s="56"/>
      <x:c r="H3980"/>
      <x:c r="I3980"/>
      <x:c r="J3980"/>
      <x:c r="K3980"/>
      <x:c r="L3980"/>
      <x:c r="M3980"/>
      <x:c r="N3980"/>
      <x:c r="O3980"/>
      <x:c r="P3980"/>
    </x:row>
    <x:row r="3981">
      <x:c r="A3981"/>
      <x:c r="B3981"/>
      <x:c r="C3981"/>
      <x:c r="D3981"/>
      <x:c r="E3981"/>
      <x:c r="F3981"/>
      <x:c r="G3981" s="56"/>
      <x:c r="H3981"/>
      <x:c r="I3981"/>
      <x:c r="J3981"/>
      <x:c r="K3981"/>
      <x:c r="L3981"/>
      <x:c r="M3981"/>
      <x:c r="N3981"/>
      <x:c r="O3981"/>
      <x:c r="P3981"/>
    </x:row>
    <x:row r="3982">
      <x:c r="A3982"/>
      <x:c r="B3982"/>
      <x:c r="C3982"/>
      <x:c r="D3982"/>
      <x:c r="E3982"/>
      <x:c r="F3982"/>
      <x:c r="G3982" s="56"/>
      <x:c r="H3982"/>
      <x:c r="I3982"/>
      <x:c r="J3982"/>
      <x:c r="K3982"/>
      <x:c r="L3982"/>
      <x:c r="M3982"/>
      <x:c r="N3982"/>
      <x:c r="O3982"/>
      <x:c r="P3982"/>
    </x:row>
    <x:row r="3983">
      <x:c r="A3983"/>
      <x:c r="B3983"/>
      <x:c r="C3983"/>
      <x:c r="D3983"/>
      <x:c r="E3983"/>
      <x:c r="F3983"/>
      <x:c r="G3983" s="56"/>
      <x:c r="H3983"/>
      <x:c r="I3983"/>
      <x:c r="J3983"/>
      <x:c r="K3983"/>
      <x:c r="L3983"/>
      <x:c r="M3983"/>
      <x:c r="N3983"/>
      <x:c r="O3983"/>
      <x:c r="P3983"/>
    </x:row>
    <x:row r="3984">
      <x:c r="A3984"/>
      <x:c r="B3984"/>
      <x:c r="C3984"/>
      <x:c r="D3984"/>
      <x:c r="E3984"/>
      <x:c r="F3984"/>
      <x:c r="G3984" s="56"/>
      <x:c r="H3984"/>
      <x:c r="I3984"/>
      <x:c r="J3984"/>
      <x:c r="K3984"/>
      <x:c r="L3984"/>
      <x:c r="M3984"/>
      <x:c r="N3984"/>
      <x:c r="O3984"/>
      <x:c r="P3984"/>
    </x:row>
    <x:row r="3985">
      <x:c r="A3985"/>
      <x:c r="B3985"/>
      <x:c r="C3985"/>
      <x:c r="D3985"/>
      <x:c r="E3985"/>
      <x:c r="F3985"/>
      <x:c r="G3985" s="56"/>
      <x:c r="H3985"/>
      <x:c r="I3985"/>
      <x:c r="J3985"/>
      <x:c r="K3985"/>
      <x:c r="L3985"/>
      <x:c r="M3985"/>
      <x:c r="N3985"/>
      <x:c r="O3985"/>
      <x:c r="P3985"/>
    </x:row>
  </x:sheetData>
  <x:conditionalFormatting sqref="G2:G3985">
    <x:cfRule type="expression" dxfId="116" priority="1">
      <x:formula>OR(G2="",G2="No data")</x:formula>
    </x:cfRule>
    <x:cfRule type="expression" dxfId="117" priority="2">
      <x:formula>G2=0</x:formula>
    </x:cfRule>
    <x:cfRule type="expression" dxfId="118" priority="3">
      <x:formula>G2=1</x:formula>
    </x:cfRule>
    <x:cfRule type="expression" dxfId="119" priority="4">
      <x:formula>G2=2</x:formula>
    </x:cfRule>
    <x:cfRule type="expression" dxfId="120" priority="5">
      <x:formula>G2=3</x:formula>
    </x:cfRule>
    <x:cfRule type="expression" dxfId="121" priority="6">
      <x:formula>G2=4</x:formula>
    </x:cfRule>
    <x:cfRule type="expression" dxfId="122" priority="7">
      <x:formula>G2=5</x:formula>
    </x:cfRule>
    <x:cfRule type="expression" dxfId="123" priority="8">
      <x:formula>G2=6</x:formula>
    </x:cfRule>
    <x:cfRule type="expression" dxfId="124" priority="9">
      <x:formula>G2=7</x:formula>
    </x:cfRule>
    <x:cfRule type="expression" dxfId="125" priority="10">
      <x:formula>G2=8</x:formula>
    </x:cfRule>
    <x:cfRule type="expression" dxfId="126" priority="11">
      <x:formula>G2=9</x:formula>
    </x:cfRule>
    <x:cfRule type="expression" dxfId="127" priority="12">
      <x:formula>G2=10</x:formula>
    </x:cfRule>
  </x:conditionalFormatting>
  <x:dataValidations count="3">
    <x:dataValidation type="decimal" errorStyle="warning" operator="between" allowBlank="1" showErrorMessage="1" errorTitle="Invalid 0–10 score" error="Enter a numeric score from 0 to 10, or leave blank when not assessed." sqref="G2:G3985">
      <x:formula1>0</x:formula1>
      <x:formula2>10</x:formula2>
    </x:dataValidation>
    <x:dataValidation type="whole" errorStyle="warning" operator="between" allowBlank="1" showErrorMessage="1" errorTitle="Invalid 0–5 confidence" error="Enter a whole-number confidence rating from 0 to 5, or leave blank." sqref="H2:H3985">
      <x:formula1>0</x:formula1>
      <x:formula2>5</x:formula2>
    </x:dataValidation>
    <x:dataValidation type="list" sqref="O2:O3985">
      <x:formula1>"Not assessed,Candidate source,Verified,Rejected,Needs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287e1872f4e6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45" hidden="0" customWidth="1"/>
    <x:col min="25" max="25" width="45" hidden="0" customWidth="1"/>
    <x:col min="26" max="26" width="45" hidden="0" customWidth="1"/>
  </x:cols>
  <x:sheetData>
    <x:row r="1" ht="28" customHeight="1">
      <x:c r="A1" s="370" t="str">
        <x:v>Country_Name</x:v>
      </x:c>
      <x:c r="B1" s="370" t="str">
        <x:v>ISO2</x:v>
      </x:c>
      <x:c r="C1" s="370" t="str">
        <x:v>ISO3</x:v>
      </x:c>
      <x:c r="D1" s="370" t="str">
        <x:v>M49</x:v>
      </x:c>
      <x:c r="E1" s="370" t="str">
        <x:v>UN_Region</x:v>
      </x:c>
      <x:c r="F1" s="370" t="str">
        <x:v>UN_Subregion</x:v>
      </x:c>
      <x:c r="G1" s="370" t="str">
        <x:v>Latitude</x:v>
      </x:c>
      <x:c r="H1" s="370" t="str">
        <x:v>Longitude</x:v>
      </x:c>
      <x:c r="I1" s="370" t="str">
        <x:v>Russia_Influence_Score_0_10</x:v>
      </x:c>
      <x:c r="J1" s="370" t="str">
        <x:v>China_Influence_Score_0_10</x:v>
      </x:c>
      <x:c r="K1" s="370" t="str">
        <x:v>American_Influence_Score_0_10</x:v>
      </x:c>
      <x:c r="L1" s="370" t="str">
        <x:v>EU_Influence_Score_0_10</x:v>
      </x:c>
      <x:c r="M1" s="370" t="str">
        <x:v>Dominant_Actor</x:v>
      </x:c>
      <x:c r="N1" s="370" t="str">
        <x:v>Dominant_Score_0_10</x:v>
      </x:c>
      <x:c r="O1" s="370" t="str">
        <x:v>Evidence_Status</x:v>
      </x:c>
      <x:c r="P1" s="370" t="str">
        <x:v>Map_Source_Note</x:v>
      </x:c>
      <x:c r="Q1" s="370" t="str">
        <x:v>Russia_Color</x:v>
      </x:c>
      <x:c r="R1" s="370" t="str">
        <x:v>China_Color</x:v>
      </x:c>
      <x:c r="S1" s="370" t="str">
        <x:v>American_Color</x:v>
      </x:c>
      <x:c r="T1" s="370" t="str">
        <x:v>EU_Color</x:v>
      </x:c>
      <x:c r="U1" s="370" t="str">
        <x:v>Dominant_Color</x:v>
      </x:c>
      <x:c r="V1" s="370" t="str">
        <x:v>Leaflet_Join_Key</x:v>
      </x:c>
      <x:c r="W1" s="370" t="str">
        <x:v>Leaflet_Selectable</x:v>
      </x:c>
      <x:c r="X1" s="370" t="str">
        <x:v>GeoJSON_Point</x:v>
      </x:c>
      <x:c r="Y1" s="370" t="str">
        <x:v>Feature_Properties_JSON</x:v>
      </x:c>
      <x:c r="Z1" s="370" t="str">
        <x:v>Leaflet_Notes</x:v>
      </x:c>
    </x:row>
    <x:row r="2">
      <x:c r="A2" s="20" t="str">
        <x:v>Afghanistan</x:v>
      </x:c>
      <x:c r="B2" s="20" t="str">
        <x:v>AF</x:v>
      </x:c>
      <x:c r="C2" s="20" t="str">
        <x:v>AFG</x:v>
      </x:c>
      <x:c r="D2" s="20" t="str">
        <x:v>004</x:v>
      </x:c>
      <x:c r="E2" s="20" t="str">
        <x:v>Asia</x:v>
      </x:c>
      <x:c r="F2" s="20" t="str">
        <x:v>Southern Asia</x:v>
      </x:c>
      <x:c r="G2" s="20" t="n">
        <x:v>33</x:v>
      </x:c>
      <x:c r="H2" s="20" t="n">
        <x:v>65</x:v>
      </x:c>
      <x:c r="I2" s="384" t="n">
        <x:f>IFERROR(VLOOKUP($C2&amp;"|Russia",Scoring_Matrix!$A$2:$X$493,24,FALSE),"No data")</x:f>
        <x:v>1</x:v>
      </x:c>
      <x:c r="J2" s="384" t="n">
        <x:f>IFERROR(VLOOKUP($C2&amp;"|China",Scoring_Matrix!$A$2:$X$493,24,FALSE),"No data")</x:f>
        <x:v>1.75</x:v>
      </x:c>
      <x:c r="K2" s="384" t="n">
        <x:f>IFERROR(VLOOKUP($C2&amp;"|United States",Scoring_Matrix!$A$2:$X$493,24,FALSE),"No data")</x:f>
        <x:v>7</x:v>
      </x:c>
      <x:c r="L2" s="384" t="n">
        <x:f>IFERROR(VLOOKUP($C2&amp;"|European Union",Scoring_Matrix!$A$2:$X$493,24,FALSE),"No data")</x:f>
        <x:v>1.25</x:v>
      </x:c>
      <x:c r="M2" s="386" t="str">
        <x:f>IF(COUNT(I2:L2)=0,"No data",IF(I2=MAX(I2:L2),"Russia",IF(J2=MAX(I2:L2),"China",IF(K2=MAX(I2:L2),"United States","European Union"))))</x:f>
        <x:v>United States</x:v>
      </x:c>
      <x:c r="N2" s="384" t="n">
        <x:f>IF(COUNT(I2:L2)=0,"No data",MAX(I2:L2))</x:f>
        <x:v>7</x:v>
      </x:c>
      <x:c r="O2" s="20" t="str">
        <x:f>IF(COUNT(I2:L2)=0,"No scored evidence","Scored evidence present")</x:f>
        <x:v>Scored evidence present</x:v>
      </x:c>
      <x:c r="P2" s="20" t="str">
        <x:v>Actor scores are formula rollups from Scoring_Matrix; score only with source-backed evidence.</x:v>
      </x:c>
      <x:c r="Q2" s="352" t="str">
        <x:v>#D1FAE5</x:v>
      </x:c>
      <x:c r="R2" s="352" t="str">
        <x:v>#A7F3D0</x:v>
      </x:c>
      <x:c r="S2" s="352" t="str">
        <x:v>#FB923C</x:v>
      </x:c>
      <x:c r="T2" s="352" t="str">
        <x:v>#D1FAE5</x:v>
      </x:c>
      <x:c r="U2" s="352" t="str">
        <x:v>#FB923C</x:v>
      </x:c>
      <x:c r="V2" s="352" t="str">
        <x:v>AFG</x:v>
      </x:c>
      <x:c r="W2" s="352" t="str">
        <x:v>Yes</x:v>
      </x:c>
      <x:c r="X2" s="352" t="str">
        <x:f>TEXTJOIN("",TRUE,"{""type"":""Point"",""coordinates"":[",TEXT(H2,"0.000000"),",",TEXT(G2,"0.000000"),"]}")</x:f>
        <x:v>{"type":"Point","coordinates":[65,33]}</x:v>
      </x:c>
      <x:c r="Y2" s="352" t="str">
        <x:v>{"country":"Afghanistan","iso3":"AFG","region":"Asia","russia_score":"1","china_score":"1.75","american_score":"7","eu_score":"1.25","dominant_actor":"United States","dominant_score":"7","dominant_colour":"#FB923C"}</x:v>
      </x:c>
      <x:c r="Z2" s="352" t="str">
        <x:v>ResurgamHub-mentioned country/area; join Leaflet polygons by ISO3=AFG.</x:v>
      </x:c>
    </x:row>
    <x:row r="3">
      <x:c r="A3" s="20" t="str">
        <x:v>Algeria</x:v>
      </x:c>
      <x:c r="B3" s="20" t="str">
        <x:v>DZ</x:v>
      </x:c>
      <x:c r="C3" s="20" t="str">
        <x:v>DZA</x:v>
      </x:c>
      <x:c r="D3" s="20" t="str">
        <x:v>012</x:v>
      </x:c>
      <x:c r="E3" s="20" t="str">
        <x:v>Africa</x:v>
      </x:c>
      <x:c r="F3" s="20" t="str">
        <x:v>Northern Africa</x:v>
      </x:c>
      <x:c r="G3" s="20" t="n">
        <x:v>28</x:v>
      </x:c>
      <x:c r="H3" s="20" t="n">
        <x:v>3</x:v>
      </x:c>
      <x:c r="I3" s="384" t="n">
        <x:f>IFERROR(VLOOKUP($C3&amp;"|Russia",Scoring_Matrix!$A$2:$X$493,24,FALSE),"No data")</x:f>
        <x:v>2</x:v>
      </x:c>
      <x:c r="J3" s="384" t="n">
        <x:f>IFERROR(VLOOKUP($C3&amp;"|China",Scoring_Matrix!$A$2:$X$493,24,FALSE),"No data")</x:f>
        <x:v>2.5</x:v>
      </x:c>
      <x:c r="K3" s="384" t="n">
        <x:f>IFERROR(VLOOKUP($C3&amp;"|United States",Scoring_Matrix!$A$2:$X$493,24,FALSE),"No data")</x:f>
        <x:v>2.75</x:v>
      </x:c>
      <x:c r="L3" s="384" t="n">
        <x:f>IFERROR(VLOOKUP($C3&amp;"|European Union",Scoring_Matrix!$A$2:$X$493,24,FALSE),"No data")</x:f>
        <x:v>1.5</x:v>
      </x:c>
      <x:c r="M3" s="386" t="str">
        <x:f>IF(COUNT(I3:L3)=0,"No data",IF(I3=MAX(I3:L3),"Russia",IF(J3=MAX(I3:L3),"China",IF(K3=MAX(I3:L3),"United States","European Union"))))</x:f>
        <x:v>United States</x:v>
      </x:c>
      <x:c r="N3" s="384" t="n">
        <x:f>IF(COUNT(I3:L3)=0,"No data",MAX(I3:L3))</x:f>
        <x:v>2.75</x:v>
      </x:c>
      <x:c r="O3" s="20" t="str">
        <x:f>IF(COUNT(I3:L3)=0,"No scored evidence","Scored evidence present")</x:f>
        <x:v>Scored evidence present</x:v>
      </x:c>
      <x:c r="P3" s="20" t="str">
        <x:v>Actor scores are formula rollups from Scoring_Matrix; score only with source-backed evidence.</x:v>
      </x:c>
      <x:c r="Q3" s="352" t="str">
        <x:v>#A7F3D0</x:v>
      </x:c>
      <x:c r="R3" s="352" t="str">
        <x:v>#FEF3C7</x:v>
      </x:c>
      <x:c r="S3" s="352" t="str">
        <x:v>#FEF3C7</x:v>
      </x:c>
      <x:c r="T3" s="352" t="str">
        <x:v>#A7F3D0</x:v>
      </x:c>
      <x:c r="U3" s="352" t="str">
        <x:v>#FEF3C7</x:v>
      </x:c>
      <x:c r="V3" s="352" t="str">
        <x:v>DZA</x:v>
      </x:c>
      <x:c r="W3" s="352" t="str">
        <x:v>Yes</x:v>
      </x:c>
      <x:c r="X3" s="352" t="str">
        <x:f>TEXTJOIN("",TRUE,"{""type"":""Point"",""coordinates"":[",TEXT(H3,"0.000000"),",",TEXT(G3,"0.000000"),"]}")</x:f>
        <x:v>{"type":"Point","coordinates":[3,28]}</x:v>
      </x:c>
      <x:c r="Y3" s="352" t="str">
        <x:v>{"country":"Algeria","iso3":"DZA","region":"Africa","russia_score":"2","china_score":"2.5","american_score":"2.75","eu_score":"1.5","dominant_actor":"United States","dominant_score":"2.75","dominant_colour":"#FEF3C7"}</x:v>
      </x:c>
      <x:c r="Z3" s="352" t="str">
        <x:v>ResurgamHub-mentioned country/area; join Leaflet polygons by ISO3=DZA.</x:v>
      </x:c>
    </x:row>
    <x:row r="4">
      <x:c r="A4" s="20" t="str">
        <x:v>Argentina</x:v>
      </x:c>
      <x:c r="B4" s="20" t="str">
        <x:v>AR</x:v>
      </x:c>
      <x:c r="C4" s="20" t="str">
        <x:v>ARG</x:v>
      </x:c>
      <x:c r="D4" s="20" t="str">
        <x:v>032</x:v>
      </x:c>
      <x:c r="E4" s="20" t="str">
        <x:v>Americas</x:v>
      </x:c>
      <x:c r="F4" s="20" t="str">
        <x:v>South America</x:v>
      </x:c>
      <x:c r="G4" s="20" t="n">
        <x:v>-34</x:v>
      </x:c>
      <x:c r="H4" s="20" t="n">
        <x:v>-64</x:v>
      </x:c>
      <x:c r="I4" s="384" t="n">
        <x:f>IFERROR(VLOOKUP($C4&amp;"|Russia",Scoring_Matrix!$A$2:$X$493,24,FALSE),"No data")</x:f>
        <x:v>1.25</x:v>
      </x:c>
      <x:c r="J4" s="384" t="n">
        <x:f>IFERROR(VLOOKUP($C4&amp;"|China",Scoring_Matrix!$A$2:$X$493,24,FALSE),"No data")</x:f>
        <x:v>1.5</x:v>
      </x:c>
      <x:c r="K4" s="384" t="n">
        <x:f>IFERROR(VLOOKUP($C4&amp;"|United States",Scoring_Matrix!$A$2:$X$493,24,FALSE),"No data")</x:f>
        <x:v>2.75</x:v>
      </x:c>
      <x:c r="L4" s="384" t="n">
        <x:f>IFERROR(VLOOKUP($C4&amp;"|European Union",Scoring_Matrix!$A$2:$X$493,24,FALSE),"No data")</x:f>
        <x:v>1.5</x:v>
      </x:c>
      <x:c r="M4" s="386" t="str">
        <x:f>IF(COUNT(I4:L4)=0,"No data",IF(I4=MAX(I4:L4),"Russia",IF(J4=MAX(I4:L4),"China",IF(K4=MAX(I4:L4),"United States","European Union"))))</x:f>
        <x:v>United States</x:v>
      </x:c>
      <x:c r="N4" s="384" t="n">
        <x:f>IF(COUNT(I4:L4)=0,"No data",MAX(I4:L4))</x:f>
        <x:v>2.75</x:v>
      </x:c>
      <x:c r="O4" s="20" t="str">
        <x:f>IF(COUNT(I4:L4)=0,"No scored evidence","Scored evidence present")</x:f>
        <x:v>Scored evidence present</x:v>
      </x:c>
      <x:c r="P4" s="20" t="str">
        <x:v>Actor scores are formula rollups from Scoring_Matrix; score only with source-backed evidence.</x:v>
      </x:c>
      <x:c r="Q4" s="352" t="str">
        <x:v>#D1FAE5</x:v>
      </x:c>
      <x:c r="R4" s="352" t="str">
        <x:v>#A7F3D0</x:v>
      </x:c>
      <x:c r="S4" s="352" t="str">
        <x:v>#FEF3C7</x:v>
      </x:c>
      <x:c r="T4" s="352" t="str">
        <x:v>#A7F3D0</x:v>
      </x:c>
      <x:c r="U4" s="352" t="str">
        <x:v>#FEF3C7</x:v>
      </x:c>
      <x:c r="V4" s="352" t="str">
        <x:v>ARG</x:v>
      </x:c>
      <x:c r="W4" s="352" t="str">
        <x:v>Yes</x:v>
      </x:c>
      <x:c r="X4" s="352" t="str">
        <x:f>TEXTJOIN("",TRUE,"{""type"":""Point"",""coordinates"":[",TEXT(H4,"0.000000"),",",TEXT(G4,"0.000000"),"]}")</x:f>
        <x:v>{"type":"Point","coordinates":[-64,-34]}</x:v>
      </x:c>
      <x:c r="Y4" s="352" t="str">
        <x:v>{"country":"Argentina","iso3":"ARG","region":"Americas","russia_score":"1.25","china_score":"1.5","american_score":"2.75","eu_score":"1.5","dominant_actor":"United States","dominant_score":"2.75","dominant_colour":"#FEF3C7"}</x:v>
      </x:c>
      <x:c r="Z4" s="352" t="str">
        <x:v>ResurgamHub-mentioned country/area; join Leaflet polygons by ISO3=ARG.</x:v>
      </x:c>
    </x:row>
    <x:row r="5">
      <x:c r="A5" s="20" t="str">
        <x:v>Armenia</x:v>
      </x:c>
      <x:c r="B5" s="20" t="str">
        <x:v>AM</x:v>
      </x:c>
      <x:c r="C5" s="20" t="str">
        <x:v>ARM</x:v>
      </x:c>
      <x:c r="D5" s="20" t="str">
        <x:v>051</x:v>
      </x:c>
      <x:c r="E5" s="20" t="str">
        <x:v>Asia</x:v>
      </x:c>
      <x:c r="F5" s="20" t="str">
        <x:v>Western Asia</x:v>
      </x:c>
      <x:c r="G5" s="20" t="n">
        <x:v>40</x:v>
      </x:c>
      <x:c r="H5" s="20" t="n">
        <x:v>45</x:v>
      </x:c>
      <x:c r="I5" s="384" t="n">
        <x:f>IFERROR(VLOOKUP($C5&amp;"|Russia",Scoring_Matrix!$A$2:$X$493,24,FALSE),"No data")</x:f>
        <x:v>1.75</x:v>
      </x:c>
      <x:c r="J5" s="384" t="n">
        <x:f>IFERROR(VLOOKUP($C5&amp;"|China",Scoring_Matrix!$A$2:$X$493,24,FALSE),"No data")</x:f>
        <x:v>1.25</x:v>
      </x:c>
      <x:c r="K5" s="384" t="n">
        <x:f>IFERROR(VLOOKUP($C5&amp;"|United States",Scoring_Matrix!$A$2:$X$493,24,FALSE),"No data")</x:f>
        <x:v>3</x:v>
      </x:c>
      <x:c r="L5" s="384" t="n">
        <x:f>IFERROR(VLOOKUP($C5&amp;"|European Union",Scoring_Matrix!$A$2:$X$493,24,FALSE),"No data")</x:f>
        <x:v>4</x:v>
      </x:c>
      <x:c r="M5" s="386" t="str">
        <x:f>IF(COUNT(I5:L5)=0,"No data",IF(I5=MAX(I5:L5),"Russia",IF(J5=MAX(I5:L5),"China",IF(K5=MAX(I5:L5),"United States","European Union"))))</x:f>
        <x:v>European Union</x:v>
      </x:c>
      <x:c r="N5" s="384" t="n">
        <x:f>IF(COUNT(I5:L5)=0,"No data",MAX(I5:L5))</x:f>
        <x:v>4</x:v>
      </x:c>
      <x:c r="O5" s="20" t="str">
        <x:f>IF(COUNT(I5:L5)=0,"No scored evidence","Scored evidence present")</x:f>
        <x:v>Scored evidence present</x:v>
      </x:c>
      <x:c r="P5" s="20" t="str">
        <x:v>Actor scores are formula rollups from Scoring_Matrix; score only with source-backed evidence.</x:v>
      </x:c>
      <x:c r="Q5" s="352" t="str">
        <x:v>#A7F3D0</x:v>
      </x:c>
      <x:c r="R5" s="352" t="str">
        <x:v>#D1FAE5</x:v>
      </x:c>
      <x:c r="S5" s="352" t="str">
        <x:v>#FEF3C7</x:v>
      </x:c>
      <x:c r="T5" s="352" t="str">
        <x:v>#FDE68A</x:v>
      </x:c>
      <x:c r="U5" s="352" t="str">
        <x:v>#FDE68A</x:v>
      </x:c>
      <x:c r="V5" s="352" t="str">
        <x:v>ARM</x:v>
      </x:c>
      <x:c r="W5" s="352" t="str">
        <x:v>Yes</x:v>
      </x:c>
      <x:c r="X5" s="352" t="str">
        <x:f>TEXTJOIN("",TRUE,"{""type"":""Point"",""coordinates"":[",TEXT(H5,"0.000000"),",",TEXT(G5,"0.000000"),"]}")</x:f>
        <x:v>{"type":"Point","coordinates":[45,40]}</x:v>
      </x:c>
      <x:c r="Y5" s="352" t="str">
        <x:v>{"country":"Armenia","iso3":"ARM","region":"Asia","russia_score":"1.75","china_score":"1.25","american_score":"3","eu_score":"4","dominant_actor":"European Union","dominant_score":"4","dominant_colour":"#FDE68A"}</x:v>
      </x:c>
      <x:c r="Z5" s="352" t="str">
        <x:v>ResurgamHub-mentioned country/area; join Leaflet polygons by ISO3=ARM.</x:v>
      </x:c>
    </x:row>
    <x:row r="6">
      <x:c r="A6" s="20" t="str">
        <x:v>Australia</x:v>
      </x:c>
      <x:c r="B6" s="20" t="str">
        <x:v>AU</x:v>
      </x:c>
      <x:c r="C6" s="20" t="str">
        <x:v>AUS</x:v>
      </x:c>
      <x:c r="D6" s="20" t="str">
        <x:v>036</x:v>
      </x:c>
      <x:c r="E6" s="20" t="str">
        <x:v>Oceania</x:v>
      </x:c>
      <x:c r="F6" s="20" t="str">
        <x:v>Australia and New Zealand</x:v>
      </x:c>
      <x:c r="G6" s="20" t="n">
        <x:v>-27</x:v>
      </x:c>
      <x:c r="H6" s="20" t="n">
        <x:v>133</x:v>
      </x:c>
      <x:c r="I6" s="384" t="n">
        <x:f>IFERROR(VLOOKUP($C6&amp;"|Russia",Scoring_Matrix!$A$2:$X$493,24,FALSE),"No data")</x:f>
        <x:v>1.5</x:v>
      </x:c>
      <x:c r="J6" s="384" t="n">
        <x:f>IFERROR(VLOOKUP($C6&amp;"|China",Scoring_Matrix!$A$2:$X$493,24,FALSE),"No data")</x:f>
        <x:v>2.75</x:v>
      </x:c>
      <x:c r="K6" s="384" t="n">
        <x:f>IFERROR(VLOOKUP($C6&amp;"|United States",Scoring_Matrix!$A$2:$X$493,24,FALSE),"No data")</x:f>
        <x:v>4.25</x:v>
      </x:c>
      <x:c r="L6" s="384" t="n">
        <x:f>IFERROR(VLOOKUP($C6&amp;"|European Union",Scoring_Matrix!$A$2:$X$493,24,FALSE),"No data")</x:f>
        <x:v>1.75</x:v>
      </x:c>
      <x:c r="M6" s="386" t="str">
        <x:f>IF(COUNT(I6:L6)=0,"No data",IF(I6=MAX(I6:L6),"Russia",IF(J6=MAX(I6:L6),"China",IF(K6=MAX(I6:L6),"United States","European Union"))))</x:f>
        <x:v>United States</x:v>
      </x:c>
      <x:c r="N6" s="384" t="n">
        <x:f>IF(COUNT(I6:L6)=0,"No data",MAX(I6:L6))</x:f>
        <x:v>4.25</x:v>
      </x:c>
      <x:c r="O6" s="20" t="str">
        <x:f>IF(COUNT(I6:L6)=0,"No scored evidence","Scored evidence present")</x:f>
        <x:v>Scored evidence present</x:v>
      </x:c>
      <x:c r="P6" s="20" t="str">
        <x:v>Actor scores are formula rollups from Scoring_Matrix; score only with source-backed evidence.</x:v>
      </x:c>
      <x:c r="Q6" s="352" t="str">
        <x:v>#A7F3D0</x:v>
      </x:c>
      <x:c r="R6" s="352" t="str">
        <x:v>#FEF3C7</x:v>
      </x:c>
      <x:c r="S6" s="352" t="str">
        <x:v>#FDE68A</x:v>
      </x:c>
      <x:c r="T6" s="352" t="str">
        <x:v>#A7F3D0</x:v>
      </x:c>
      <x:c r="U6" s="352" t="str">
        <x:v>#FDE68A</x:v>
      </x:c>
      <x:c r="V6" s="352" t="str">
        <x:v>AUS</x:v>
      </x:c>
      <x:c r="W6" s="352" t="str">
        <x:v>Yes</x:v>
      </x:c>
      <x:c r="X6" s="352" t="str">
        <x:f>TEXTJOIN("",TRUE,"{""type"":""Point"",""coordinates"":[",TEXT(H6,"0.000000"),",",TEXT(G6,"0.000000"),"]}")</x:f>
        <x:v>{"type":"Point","coordinates":[133,-27]}</x:v>
      </x:c>
      <x:c r="Y6" s="352" t="str">
        <x:v>{"country":"Australia","iso3":"AUS","region":"Oceania","russia_score":"1.5","china_score":"2.75","american_score":"4.25","eu_score":"1.75","dominant_actor":"United States","dominant_score":"4.25","dominant_colour":"#FDE68A"}</x:v>
      </x:c>
      <x:c r="Z6" s="352" t="str">
        <x:v>ResurgamHub-mentioned country/area; join Leaflet polygons by ISO3=AUS.</x:v>
      </x:c>
    </x:row>
    <x:row r="7">
      <x:c r="A7" s="20" t="str">
        <x:v>Austria</x:v>
      </x:c>
      <x:c r="B7" s="20" t="str">
        <x:v>AT</x:v>
      </x:c>
      <x:c r="C7" s="20" t="str">
        <x:v>AUT</x:v>
      </x:c>
      <x:c r="D7" s="20" t="str">
        <x:v>040</x:v>
      </x:c>
      <x:c r="E7" s="20" t="str">
        <x:v>Europe</x:v>
      </x:c>
      <x:c r="F7" s="20" t="str">
        <x:v>Western Europe</x:v>
      </x:c>
      <x:c r="G7" s="20" t="n">
        <x:v>47.33333333</x:v>
      </x:c>
      <x:c r="H7" s="20" t="n">
        <x:v>13.33333333</x:v>
      </x:c>
      <x:c r="I7" s="384" t="n">
        <x:f>IFERROR(VLOOKUP($C7&amp;"|Russia",Scoring_Matrix!$A$2:$X$493,24,FALSE),"No data")</x:f>
        <x:v>2.5</x:v>
      </x:c>
      <x:c r="J7" s="384" t="n">
        <x:f>IFERROR(VLOOKUP($C7&amp;"|China",Scoring_Matrix!$A$2:$X$493,24,FALSE),"No data")</x:f>
        <x:v>1.5</x:v>
      </x:c>
      <x:c r="K7" s="384" t="n">
        <x:f>IFERROR(VLOOKUP($C7&amp;"|United States",Scoring_Matrix!$A$2:$X$493,24,FALSE),"No data")</x:f>
        <x:v>3.5</x:v>
      </x:c>
      <x:c r="L7" s="384" t="n">
        <x:f>IFERROR(VLOOKUP($C7&amp;"|European Union",Scoring_Matrix!$A$2:$X$493,24,FALSE),"No data")</x:f>
        <x:v>4</x:v>
      </x:c>
      <x:c r="M7" s="386" t="str">
        <x:f>IF(COUNT(I7:L7)=0,"No data",IF(I7=MAX(I7:L7),"Russia",IF(J7=MAX(I7:L7),"China",IF(K7=MAX(I7:L7),"United States","European Union"))))</x:f>
        <x:v>European Union</x:v>
      </x:c>
      <x:c r="N7" s="384" t="n">
        <x:f>IF(COUNT(I7:L7)=0,"No data",MAX(I7:L7))</x:f>
        <x:v>4</x:v>
      </x:c>
      <x:c r="O7" s="20" t="str">
        <x:f>IF(COUNT(I7:L7)=0,"No scored evidence","Scored evidence present")</x:f>
        <x:v>Scored evidence present</x:v>
      </x:c>
      <x:c r="P7" s="20" t="str">
        <x:v>Actor scores are formula rollups from Scoring_Matrix; score only with source-backed evidence.</x:v>
      </x:c>
      <x:c r="Q7" s="352" t="str">
        <x:v>#FEF3C7</x:v>
      </x:c>
      <x:c r="R7" s="352" t="str">
        <x:v>#A7F3D0</x:v>
      </x:c>
      <x:c r="S7" s="352" t="str">
        <x:v>#FDE68A</x:v>
      </x:c>
      <x:c r="T7" s="352" t="str">
        <x:v>#FDE68A</x:v>
      </x:c>
      <x:c r="U7" s="352" t="str">
        <x:v>#FDE68A</x:v>
      </x:c>
      <x:c r="V7" s="352" t="str">
        <x:v>AUT</x:v>
      </x:c>
      <x:c r="W7" s="352" t="str">
        <x:v>Yes</x:v>
      </x:c>
      <x:c r="X7" s="352" t="str">
        <x:f>TEXTJOIN("",TRUE,"{""type"":""Point"",""coordinates"":[",TEXT(H7,"0.000000"),",",TEXT(G7,"0.000000"),"]}")</x:f>
        <x:v>{"type":"Point","coordinates":[13.333333,47.333333]}</x:v>
      </x:c>
      <x:c r="Y7" s="352" t="str">
        <x:v>{"country":"Austria","iso3":"AUT","region":"Europe","russia_score":"2.5","china_score":"1.5","american_score":"3.5","eu_score":"4","dominant_actor":"European Union","dominant_score":"4","dominant_colour":"#FDE68A"}</x:v>
      </x:c>
      <x:c r="Z7" s="352" t="str">
        <x:v>ResurgamHub-mentioned country/area; join Leaflet polygons by ISO3=AUT.</x:v>
      </x:c>
    </x:row>
    <x:row r="8">
      <x:c r="A8" s="20" t="str">
        <x:v>Azerbaijan</x:v>
      </x:c>
      <x:c r="B8" s="20" t="str">
        <x:v>AZ</x:v>
      </x:c>
      <x:c r="C8" s="20" t="str">
        <x:v>AZE</x:v>
      </x:c>
      <x:c r="D8" s="20" t="str">
        <x:v>031</x:v>
      </x:c>
      <x:c r="E8" s="20" t="str">
        <x:v>Asia</x:v>
      </x:c>
      <x:c r="F8" s="20" t="str">
        <x:v>Western Asia</x:v>
      </x:c>
      <x:c r="G8" s="20" t="n">
        <x:v>40.5</x:v>
      </x:c>
      <x:c r="H8" s="20" t="n">
        <x:v>47.5</x:v>
      </x:c>
      <x:c r="I8" s="384" t="n">
        <x:f>IFERROR(VLOOKUP($C8&amp;"|Russia",Scoring_Matrix!$A$2:$X$493,24,FALSE),"No data")</x:f>
        <x:v>1.5</x:v>
      </x:c>
      <x:c r="J8" s="384" t="n">
        <x:f>IFERROR(VLOOKUP($C8&amp;"|China",Scoring_Matrix!$A$2:$X$493,24,FALSE),"No data")</x:f>
        <x:v>1.25</x:v>
      </x:c>
      <x:c r="K8" s="384" t="n">
        <x:f>IFERROR(VLOOKUP($C8&amp;"|United States",Scoring_Matrix!$A$2:$X$493,24,FALSE),"No data")</x:f>
        <x:v>2</x:v>
      </x:c>
      <x:c r="L8" s="384" t="n">
        <x:f>IFERROR(VLOOKUP($C8&amp;"|European Union",Scoring_Matrix!$A$2:$X$493,24,FALSE),"No data")</x:f>
        <x:v>1.25</x:v>
      </x:c>
      <x:c r="M8" s="386" t="str">
        <x:f>IF(COUNT(I8:L8)=0,"No data",IF(I8=MAX(I8:L8),"Russia",IF(J8=MAX(I8:L8),"China",IF(K8=MAX(I8:L8),"United States","European Union"))))</x:f>
        <x:v>United States</x:v>
      </x:c>
      <x:c r="N8" s="384" t="n">
        <x:f>IF(COUNT(I8:L8)=0,"No data",MAX(I8:L8))</x:f>
        <x:v>2</x:v>
      </x:c>
      <x:c r="O8" s="20" t="str">
        <x:f>IF(COUNT(I8:L8)=0,"No scored evidence","Scored evidence present")</x:f>
        <x:v>Scored evidence present</x:v>
      </x:c>
      <x:c r="P8" s="20" t="str">
        <x:v>Actor scores are formula rollups from Scoring_Matrix; score only with source-backed evidence.</x:v>
      </x:c>
      <x:c r="Q8" s="352" t="str">
        <x:v>#A7F3D0</x:v>
      </x:c>
      <x:c r="R8" s="352" t="str">
        <x:v>#D1FAE5</x:v>
      </x:c>
      <x:c r="S8" s="352" t="str">
        <x:v>#A7F3D0</x:v>
      </x:c>
      <x:c r="T8" s="352" t="str">
        <x:v>#D1FAE5</x:v>
      </x:c>
      <x:c r="U8" s="352" t="str">
        <x:v>#A7F3D0</x:v>
      </x:c>
      <x:c r="V8" s="352" t="str">
        <x:v>AZE</x:v>
      </x:c>
      <x:c r="W8" s="352" t="str">
        <x:v>Yes</x:v>
      </x:c>
      <x:c r="X8" s="352" t="str">
        <x:f>TEXTJOIN("",TRUE,"{""type"":""Point"",""coordinates"":[",TEXT(H8,"0.000000"),",",TEXT(G8,"0.000000"),"]}")</x:f>
        <x:v>{"type":"Point","coordinates":[47.5,40.5]}</x:v>
      </x:c>
      <x:c r="Y8" s="352" t="str">
        <x:v>{"country":"Azerbaijan","iso3":"AZE","region":"Asia","russia_score":"1.5","china_score":"1.25","american_score":"2","eu_score":"1.25","dominant_actor":"United States","dominant_score":"2","dominant_colour":"#A7F3D0"}</x:v>
      </x:c>
      <x:c r="Z8" s="352" t="str">
        <x:v>ResurgamHub-mentioned country/area; join Leaflet polygons by ISO3=AZE.</x:v>
      </x:c>
    </x:row>
    <x:row r="9">
      <x:c r="A9" s="20" t="str">
        <x:v>Bahrain</x:v>
      </x:c>
      <x:c r="B9" s="20" t="str">
        <x:v>BH</x:v>
      </x:c>
      <x:c r="C9" s="20" t="str">
        <x:v>BHR</x:v>
      </x:c>
      <x:c r="D9" s="20" t="str">
        <x:v>048</x:v>
      </x:c>
      <x:c r="E9" s="20" t="str">
        <x:v>Asia</x:v>
      </x:c>
      <x:c r="F9" s="20" t="str">
        <x:v>Western Asia</x:v>
      </x:c>
      <x:c r="G9" s="20" t="n">
        <x:v>26</x:v>
      </x:c>
      <x:c r="H9" s="20" t="n">
        <x:v>50.55</x:v>
      </x:c>
      <x:c r="I9" s="384" t="n">
        <x:f>IFERROR(VLOOKUP($C9&amp;"|Russia",Scoring_Matrix!$A$2:$X$493,24,FALSE),"No data")</x:f>
        <x:v>0.5</x:v>
      </x:c>
      <x:c r="J9" s="384" t="n">
        <x:f>IFERROR(VLOOKUP($C9&amp;"|China",Scoring_Matrix!$A$2:$X$493,24,FALSE),"No data")</x:f>
        <x:v>1.25</x:v>
      </x:c>
      <x:c r="K9" s="384" t="n">
        <x:f>IFERROR(VLOOKUP($C9&amp;"|United States",Scoring_Matrix!$A$2:$X$493,24,FALSE),"No data")</x:f>
        <x:v>4.75</x:v>
      </x:c>
      <x:c r="L9" s="384" t="n">
        <x:f>IFERROR(VLOOKUP($C9&amp;"|European Union",Scoring_Matrix!$A$2:$X$493,24,FALSE),"No data")</x:f>
        <x:v>1.25</x:v>
      </x:c>
      <x:c r="M9" s="386" t="str">
        <x:f>IF(COUNT(I9:L9)=0,"No data",IF(I9=MAX(I9:L9),"Russia",IF(J9=MAX(I9:L9),"China",IF(K9=MAX(I9:L9),"United States","European Union"))))</x:f>
        <x:v>United States</x:v>
      </x:c>
      <x:c r="N9" s="384" t="n">
        <x:f>IF(COUNT(I9:L9)=0,"No data",MAX(I9:L9))</x:f>
        <x:v>4.75</x:v>
      </x:c>
      <x:c r="O9" s="20" t="str">
        <x:f>IF(COUNT(I9:L9)=0,"No scored evidence","Scored evidence present")</x:f>
        <x:v>Scored evidence present</x:v>
      </x:c>
      <x:c r="P9" s="20" t="str">
        <x:v>Actor scores are formula rollups from Scoring_Matrix; score only with source-backed evidence.</x:v>
      </x:c>
      <x:c r="Q9" s="352" t="str">
        <x:v>#D1FAE5</x:v>
      </x:c>
      <x:c r="R9" s="352" t="str">
        <x:v>#D1FAE5</x:v>
      </x:c>
      <x:c r="S9" s="352" t="str">
        <x:v>#FCD34D</x:v>
      </x:c>
      <x:c r="T9" s="352" t="str">
        <x:v>#D1FAE5</x:v>
      </x:c>
      <x:c r="U9" s="352" t="str">
        <x:v>#FCD34D</x:v>
      </x:c>
      <x:c r="V9" s="352" t="str">
        <x:v>BHR</x:v>
      </x:c>
      <x:c r="W9" s="352" t="str">
        <x:v>Yes</x:v>
      </x:c>
      <x:c r="X9" s="352" t="str">
        <x:f>TEXTJOIN("",TRUE,"{""type"":""Point"",""coordinates"":[",TEXT(H9,"0.000000"),",",TEXT(G9,"0.000000"),"]}")</x:f>
        <x:v>{"type":"Point","coordinates":[50.55,26]}</x:v>
      </x:c>
      <x:c r="Y9" s="352" t="str">
        <x:v>{"country":"Bahrain","iso3":"BHR","region":"Asia","russia_score":"0.5","china_score":"1.25","american_score":"4.75","eu_score":"1.25","dominant_actor":"United States","dominant_score":"4.75","dominant_colour":"#FCD34D"}</x:v>
      </x:c>
      <x:c r="Z9" s="352" t="str">
        <x:v>ResurgamHub-mentioned country/area; join Leaflet polygons by ISO3=BHR.</x:v>
      </x:c>
    </x:row>
    <x:row r="10">
      <x:c r="A10" s="20" t="str">
        <x:v>Belarus</x:v>
      </x:c>
      <x:c r="B10" s="20" t="str">
        <x:v>BY</x:v>
      </x:c>
      <x:c r="C10" s="20" t="str">
        <x:v>BLR</x:v>
      </x:c>
      <x:c r="D10" s="20" t="str">
        <x:v>112</x:v>
      </x:c>
      <x:c r="E10" s="20" t="str">
        <x:v>Europe</x:v>
      </x:c>
      <x:c r="F10" s="20" t="str">
        <x:v>Eastern Europe</x:v>
      </x:c>
      <x:c r="G10" s="20" t="n">
        <x:v>53</x:v>
      </x:c>
      <x:c r="H10" s="20" t="n">
        <x:v>28</x:v>
      </x:c>
      <x:c r="I10" s="384" t="n">
        <x:f>IFERROR(VLOOKUP($C10&amp;"|Russia",Scoring_Matrix!$A$2:$X$493,24,FALSE),"No data")</x:f>
        <x:v>7</x:v>
      </x:c>
      <x:c r="J10" s="384" t="n">
        <x:f>IFERROR(VLOOKUP($C10&amp;"|China",Scoring_Matrix!$A$2:$X$493,24,FALSE),"No data")</x:f>
        <x:v>1.5</x:v>
      </x:c>
      <x:c r="K10" s="384" t="n">
        <x:f>IFERROR(VLOOKUP($C10&amp;"|United States",Scoring_Matrix!$A$2:$X$493,24,FALSE),"No data")</x:f>
        <x:v>3.25</x:v>
      </x:c>
      <x:c r="L10" s="384" t="n">
        <x:f>IFERROR(VLOOKUP($C10&amp;"|European Union",Scoring_Matrix!$A$2:$X$493,24,FALSE),"No data")</x:f>
        <x:v>1.5</x:v>
      </x:c>
      <x:c r="M10" s="386" t="str">
        <x:f>IF(COUNT(I10:L10)=0,"No data",IF(I10=MAX(I10:L10),"Russia",IF(J10=MAX(I10:L10),"China",IF(K10=MAX(I10:L10),"United States","European Union"))))</x:f>
        <x:v>Russia</x:v>
      </x:c>
      <x:c r="N10" s="384" t="n">
        <x:f>IF(COUNT(I10:L10)=0,"No data",MAX(I10:L10))</x:f>
        <x:v>7</x:v>
      </x:c>
      <x:c r="O10" s="20" t="str">
        <x:f>IF(COUNT(I10:L10)=0,"No scored evidence","Scored evidence present")</x:f>
        <x:v>Scored evidence present</x:v>
      </x:c>
      <x:c r="P10" s="20" t="str">
        <x:v>Actor scores are formula rollups from Scoring_Matrix; score only with source-backed evidence.</x:v>
      </x:c>
      <x:c r="Q10" s="352" t="str">
        <x:v>#FB923C</x:v>
      </x:c>
      <x:c r="R10" s="352" t="str">
        <x:v>#A7F3D0</x:v>
      </x:c>
      <x:c r="S10" s="352" t="str">
        <x:v>#FEF3C7</x:v>
      </x:c>
      <x:c r="T10" s="352" t="str">
        <x:v>#A7F3D0</x:v>
      </x:c>
      <x:c r="U10" s="352" t="str">
        <x:v>#FB923C</x:v>
      </x:c>
      <x:c r="V10" s="352" t="str">
        <x:v>BLR</x:v>
      </x:c>
      <x:c r="W10" s="352" t="str">
        <x:v>Yes</x:v>
      </x:c>
      <x:c r="X10" s="352" t="str">
        <x:f>TEXTJOIN("",TRUE,"{""type"":""Point"",""coordinates"":[",TEXT(H10,"0.000000"),",",TEXT(G10,"0.000000"),"]}")</x:f>
        <x:v>{"type":"Point","coordinates":[28,53]}</x:v>
      </x:c>
      <x:c r="Y10" s="352" t="str">
        <x:v>{"country":"Belarus","iso3":"BLR","region":"Europe","russia_score":"7","china_score":"1.5","american_score":"3.25","eu_score":"1.5","dominant_actor":"Russia","dominant_score":"7","dominant_colour":"#FB923C"}</x:v>
      </x:c>
      <x:c r="Z10" s="352" t="str">
        <x:v>ResurgamHub-mentioned country/area; join Leaflet polygons by ISO3=BLR.</x:v>
      </x:c>
    </x:row>
    <x:row r="11">
      <x:c r="A11" s="20" t="str">
        <x:v>Benin</x:v>
      </x:c>
      <x:c r="B11" s="20" t="str">
        <x:v>BJ</x:v>
      </x:c>
      <x:c r="C11" s="20" t="str">
        <x:v>BEN</x:v>
      </x:c>
      <x:c r="D11" s="20" t="str">
        <x:v>204</x:v>
      </x:c>
      <x:c r="E11" s="20" t="str">
        <x:v>Africa</x:v>
      </x:c>
      <x:c r="F11" s="20" t="str">
        <x:v>Western Africa</x:v>
      </x:c>
      <x:c r="G11" s="20" t="n">
        <x:v>9.5</x:v>
      </x:c>
      <x:c r="H11" s="20" t="n">
        <x:v>2.25</x:v>
      </x:c>
      <x:c r="I11" s="384" t="n">
        <x:f>IFERROR(VLOOKUP($C11&amp;"|Russia",Scoring_Matrix!$A$2:$X$493,24,FALSE),"No data")</x:f>
        <x:v>1.75</x:v>
      </x:c>
      <x:c r="J11" s="384" t="n">
        <x:f>IFERROR(VLOOKUP($C11&amp;"|China",Scoring_Matrix!$A$2:$X$493,24,FALSE),"No data")</x:f>
        <x:v>2</x:v>
      </x:c>
      <x:c r="K11" s="384" t="n">
        <x:f>IFERROR(VLOOKUP($C11&amp;"|United States",Scoring_Matrix!$A$2:$X$493,24,FALSE),"No data")</x:f>
        <x:v>2.75</x:v>
      </x:c>
      <x:c r="L11" s="384" t="n">
        <x:f>IFERROR(VLOOKUP($C11&amp;"|European Union",Scoring_Matrix!$A$2:$X$493,24,FALSE),"No data")</x:f>
        <x:v>1.5</x:v>
      </x:c>
      <x:c r="M11" s="386" t="str">
        <x:f>IF(COUNT(I11:L11)=0,"No data",IF(I11=MAX(I11:L11),"Russia",IF(J11=MAX(I11:L11),"China",IF(K11=MAX(I11:L11),"United States","European Union"))))</x:f>
        <x:v>United States</x:v>
      </x:c>
      <x:c r="N11" s="384" t="n">
        <x:f>IF(COUNT(I11:L11)=0,"No data",MAX(I11:L11))</x:f>
        <x:v>2.75</x:v>
      </x:c>
      <x:c r="O11" s="20" t="str">
        <x:f>IF(COUNT(I11:L11)=0,"No scored evidence","Scored evidence present")</x:f>
        <x:v>Scored evidence present</x:v>
      </x:c>
      <x:c r="P11" s="20" t="str">
        <x:v>Actor scores are formula rollups from Scoring_Matrix; score only with source-backed evidence.</x:v>
      </x:c>
      <x:c r="Q11" s="352" t="str">
        <x:v>#A7F3D0</x:v>
      </x:c>
      <x:c r="R11" s="352" t="str">
        <x:v>#A7F3D0</x:v>
      </x:c>
      <x:c r="S11" s="352" t="str">
        <x:v>#FEF3C7</x:v>
      </x:c>
      <x:c r="T11" s="352" t="str">
        <x:v>#A7F3D0</x:v>
      </x:c>
      <x:c r="U11" s="352" t="str">
        <x:v>#FEF3C7</x:v>
      </x:c>
      <x:c r="V11" s="352" t="str">
        <x:v>BEN</x:v>
      </x:c>
      <x:c r="W11" s="352" t="str">
        <x:v>Yes</x:v>
      </x:c>
      <x:c r="X11" s="352" t="str">
        <x:f>TEXTJOIN("",TRUE,"{""type"":""Point"",""coordinates"":[",TEXT(H11,"0.000000"),",",TEXT(G11,"0.000000"),"]}")</x:f>
        <x:v>{"type":"Point","coordinates":[2.25,9.5]}</x:v>
      </x:c>
      <x:c r="Y11" s="352" t="str">
        <x:v>{"country":"Benin","iso3":"BEN","region":"Africa","russia_score":"1.75","china_score":"2","american_score":"2.75","eu_score":"1.5","dominant_actor":"United States","dominant_score":"2.75","dominant_colour":"#FEF3C7"}</x:v>
      </x:c>
      <x:c r="Z11" s="352" t="str">
        <x:v>ResurgamHub-mentioned country/area; join Leaflet polygons by ISO3=BEN.</x:v>
      </x:c>
    </x:row>
    <x:row r="12">
      <x:c r="A12" s="20" t="str">
        <x:v>Bolivia</x:v>
      </x:c>
      <x:c r="B12" s="20" t="str">
        <x:v>BO</x:v>
      </x:c>
      <x:c r="C12" s="20" t="str">
        <x:v>BOL</x:v>
      </x:c>
      <x:c r="D12" s="20" t="str">
        <x:v>068</x:v>
      </x:c>
      <x:c r="E12" s="20" t="str">
        <x:v>Americas</x:v>
      </x:c>
      <x:c r="F12" s="20" t="str">
        <x:v>South America</x:v>
      </x:c>
      <x:c r="G12" s="20" t="n">
        <x:v>-17</x:v>
      </x:c>
      <x:c r="H12" s="20" t="n">
        <x:v>-65</x:v>
      </x:c>
      <x:c r="I12" s="384" t="n">
        <x:f>IFERROR(VLOOKUP($C12&amp;"|Russia",Scoring_Matrix!$A$2:$X$493,24,FALSE),"No data")</x:f>
        <x:v>2.5</x:v>
      </x:c>
      <x:c r="J12" s="384" t="n">
        <x:f>IFERROR(VLOOKUP($C12&amp;"|China",Scoring_Matrix!$A$2:$X$493,24,FALSE),"No data")</x:f>
        <x:v>1.5</x:v>
      </x:c>
      <x:c r="K12" s="384" t="n">
        <x:f>IFERROR(VLOOKUP($C12&amp;"|United States",Scoring_Matrix!$A$2:$X$493,24,FALSE),"No data")</x:f>
        <x:v>3</x:v>
      </x:c>
      <x:c r="L12" s="384" t="n">
        <x:f>IFERROR(VLOOKUP($C12&amp;"|European Union",Scoring_Matrix!$A$2:$X$493,24,FALSE),"No data")</x:f>
        <x:v>1.75</x:v>
      </x:c>
      <x:c r="M12" s="386" t="str">
        <x:f>IF(COUNT(I12:L12)=0,"No data",IF(I12=MAX(I12:L12),"Russia",IF(J12=MAX(I12:L12),"China",IF(K12=MAX(I12:L12),"United States","European Union"))))</x:f>
        <x:v>United States</x:v>
      </x:c>
      <x:c r="N12" s="384" t="n">
        <x:f>IF(COUNT(I12:L12)=0,"No data",MAX(I12:L12))</x:f>
        <x:v>3</x:v>
      </x:c>
      <x:c r="O12" s="20" t="str">
        <x:f>IF(COUNT(I12:L12)=0,"No scored evidence","Scored evidence present")</x:f>
        <x:v>Scored evidence present</x:v>
      </x:c>
      <x:c r="P12" s="20" t="str">
        <x:v>Actor scores are formula rollups from Scoring_Matrix; score only with source-backed evidence.</x:v>
      </x:c>
      <x:c r="Q12" s="352" t="str">
        <x:v>#FEF3C7</x:v>
      </x:c>
      <x:c r="R12" s="352" t="str">
        <x:v>#A7F3D0</x:v>
      </x:c>
      <x:c r="S12" s="352" t="str">
        <x:v>#FEF3C7</x:v>
      </x:c>
      <x:c r="T12" s="352" t="str">
        <x:v>#A7F3D0</x:v>
      </x:c>
      <x:c r="U12" s="352" t="str">
        <x:v>#FEF3C7</x:v>
      </x:c>
      <x:c r="V12" s="352" t="str">
        <x:v>BOL</x:v>
      </x:c>
      <x:c r="W12" s="352" t="str">
        <x:v>Yes</x:v>
      </x:c>
      <x:c r="X12" s="352" t="str">
        <x:f>TEXTJOIN("",TRUE,"{""type"":""Point"",""coordinates"":[",TEXT(H12,"0.000000"),",",TEXT(G12,"0.000000"),"]}")</x:f>
        <x:v>{"type":"Point","coordinates":[-65,-17]}</x:v>
      </x:c>
      <x:c r="Y12" s="352" t="str">
        <x:v>{"country":"Bolivia","iso3":"BOL","region":"Americas","russia_score":"2.5","china_score":"1.5","american_score":"3","eu_score":"1.75","dominant_actor":"United States","dominant_score":"3","dominant_colour":"#FEF3C7"}</x:v>
      </x:c>
      <x:c r="Z12" s="352" t="str">
        <x:v>ResurgamHub-mentioned country/area; join Leaflet polygons by ISO3=BOL.</x:v>
      </x:c>
    </x:row>
    <x:row r="13">
      <x:c r="A13" s="20" t="str">
        <x:v>Brazil</x:v>
      </x:c>
      <x:c r="B13" s="20" t="str">
        <x:v>BR</x:v>
      </x:c>
      <x:c r="C13" s="20" t="str">
        <x:v>BRA</x:v>
      </x:c>
      <x:c r="D13" s="20" t="str">
        <x:v>076</x:v>
      </x:c>
      <x:c r="E13" s="20" t="str">
        <x:v>Americas</x:v>
      </x:c>
      <x:c r="F13" s="20" t="str">
        <x:v>South America</x:v>
      </x:c>
      <x:c r="G13" s="20" t="n">
        <x:v>-10</x:v>
      </x:c>
      <x:c r="H13" s="20" t="n">
        <x:v>-55</x:v>
      </x:c>
      <x:c r="I13" s="384" t="n">
        <x:f>IFERROR(VLOOKUP($C13&amp;"|Russia",Scoring_Matrix!$A$2:$X$493,24,FALSE),"No data")</x:f>
        <x:v>1.5</x:v>
      </x:c>
      <x:c r="J13" s="384" t="n">
        <x:f>IFERROR(VLOOKUP($C13&amp;"|China",Scoring_Matrix!$A$2:$X$493,24,FALSE),"No data")</x:f>
        <x:v>1.5</x:v>
      </x:c>
      <x:c r="K13" s="384" t="n">
        <x:f>IFERROR(VLOOKUP($C13&amp;"|United States",Scoring_Matrix!$A$2:$X$493,24,FALSE),"No data")</x:f>
        <x:v>2.75</x:v>
      </x:c>
      <x:c r="L13" s="384" t="n">
        <x:f>IFERROR(VLOOKUP($C13&amp;"|European Union",Scoring_Matrix!$A$2:$X$493,24,FALSE),"No data")</x:f>
        <x:v>1.5</x:v>
      </x:c>
      <x:c r="M13" s="386" t="str">
        <x:f>IF(COUNT(I13:L13)=0,"No data",IF(I13=MAX(I13:L13),"Russia",IF(J13=MAX(I13:L13),"China",IF(K13=MAX(I13:L13),"United States","European Union"))))</x:f>
        <x:v>United States</x:v>
      </x:c>
      <x:c r="N13" s="384" t="n">
        <x:f>IF(COUNT(I13:L13)=0,"No data",MAX(I13:L13))</x:f>
        <x:v>2.75</x:v>
      </x:c>
      <x:c r="O13" s="20" t="str">
        <x:f>IF(COUNT(I13:L13)=0,"No scored evidence","Scored evidence present")</x:f>
        <x:v>Scored evidence present</x:v>
      </x:c>
      <x:c r="P13" s="20" t="str">
        <x:v>Actor scores are formula rollups from Scoring_Matrix; score only with source-backed evidence.</x:v>
      </x:c>
      <x:c r="Q13" s="352" t="str">
        <x:v>#A7F3D0</x:v>
      </x:c>
      <x:c r="R13" s="352" t="str">
        <x:v>#A7F3D0</x:v>
      </x:c>
      <x:c r="S13" s="352" t="str">
        <x:v>#FEF3C7</x:v>
      </x:c>
      <x:c r="T13" s="352" t="str">
        <x:v>#A7F3D0</x:v>
      </x:c>
      <x:c r="U13" s="352" t="str">
        <x:v>#FEF3C7</x:v>
      </x:c>
      <x:c r="V13" s="352" t="str">
        <x:v>BRA</x:v>
      </x:c>
      <x:c r="W13" s="352" t="str">
        <x:v>Yes</x:v>
      </x:c>
      <x:c r="X13" s="352" t="str">
        <x:f>TEXTJOIN("",TRUE,"{""type"":""Point"",""coordinates"":[",TEXT(H13,"0.000000"),",",TEXT(G13,"0.000000"),"]}")</x:f>
        <x:v>{"type":"Point","coordinates":[-55,-10]}</x:v>
      </x:c>
      <x:c r="Y13" s="352" t="str">
        <x:v>{"country":"Brazil","iso3":"BRA","region":"Americas","russia_score":"1.5","china_score":"1.5","american_score":"2.75","eu_score":"1.5","dominant_actor":"United States","dominant_score":"2.75","dominant_colour":"#FEF3C7"}</x:v>
      </x:c>
      <x:c r="Z13" s="352" t="str">
        <x:v>ResurgamHub-mentioned country/area; join Leaflet polygons by ISO3=BRA.</x:v>
      </x:c>
    </x:row>
    <x:row r="14">
      <x:c r="A14" s="20" t="str">
        <x:v>Bulgaria</x:v>
      </x:c>
      <x:c r="B14" s="20" t="str">
        <x:v>BG</x:v>
      </x:c>
      <x:c r="C14" s="20" t="str">
        <x:v>BGR</x:v>
      </x:c>
      <x:c r="D14" s="20" t="str">
        <x:v>100</x:v>
      </x:c>
      <x:c r="E14" s="20" t="str">
        <x:v>Europe</x:v>
      </x:c>
      <x:c r="F14" s="20" t="str">
        <x:v>Eastern Europe</x:v>
      </x:c>
      <x:c r="G14" s="20" t="n">
        <x:v>43</x:v>
      </x:c>
      <x:c r="H14" s="20" t="n">
        <x:v>25</x:v>
      </x:c>
      <x:c r="I14" s="384" t="n">
        <x:f>IFERROR(VLOOKUP($C14&amp;"|Russia",Scoring_Matrix!$A$2:$X$493,24,FALSE),"No data")</x:f>
        <x:v>2.75</x:v>
      </x:c>
      <x:c r="J14" s="384" t="n">
        <x:f>IFERROR(VLOOKUP($C14&amp;"|China",Scoring_Matrix!$A$2:$X$493,24,FALSE),"No data")</x:f>
        <x:v>1.5</x:v>
      </x:c>
      <x:c r="K14" s="384" t="n">
        <x:f>IFERROR(VLOOKUP($C14&amp;"|United States",Scoring_Matrix!$A$2:$X$493,24,FALSE),"No data")</x:f>
        <x:v>3.5</x:v>
      </x:c>
      <x:c r="L14" s="384" t="n">
        <x:f>IFERROR(VLOOKUP($C14&amp;"|European Union",Scoring_Matrix!$A$2:$X$493,24,FALSE),"No data")</x:f>
        <x:v>4</x:v>
      </x:c>
      <x:c r="M14" s="386" t="str">
        <x:f>IF(COUNT(I14:L14)=0,"No data",IF(I14=MAX(I14:L14),"Russia",IF(J14=MAX(I14:L14),"China",IF(K14=MAX(I14:L14),"United States","European Union"))))</x:f>
        <x:v>European Union</x:v>
      </x:c>
      <x:c r="N14" s="384" t="n">
        <x:f>IF(COUNT(I14:L14)=0,"No data",MAX(I14:L14))</x:f>
        <x:v>4</x:v>
      </x:c>
      <x:c r="O14" s="20" t="str">
        <x:f>IF(COUNT(I14:L14)=0,"No scored evidence","Scored evidence present")</x:f>
        <x:v>Scored evidence present</x:v>
      </x:c>
      <x:c r="P14" s="20" t="str">
        <x:v>Actor scores are formula rollups from Scoring_Matrix; score only with source-backed evidence.</x:v>
      </x:c>
      <x:c r="Q14" s="352" t="str">
        <x:v>#FEF3C7</x:v>
      </x:c>
      <x:c r="R14" s="352" t="str">
        <x:v>#A7F3D0</x:v>
      </x:c>
      <x:c r="S14" s="352" t="str">
        <x:v>#FDE68A</x:v>
      </x:c>
      <x:c r="T14" s="352" t="str">
        <x:v>#FDE68A</x:v>
      </x:c>
      <x:c r="U14" s="352" t="str">
        <x:v>#FDE68A</x:v>
      </x:c>
      <x:c r="V14" s="352" t="str">
        <x:v>BGR</x:v>
      </x:c>
      <x:c r="W14" s="352" t="str">
        <x:v>Yes</x:v>
      </x:c>
      <x:c r="X14" s="352" t="str">
        <x:f>TEXTJOIN("",TRUE,"{""type"":""Point"",""coordinates"":[",TEXT(H14,"0.000000"),",",TEXT(G14,"0.000000"),"]}")</x:f>
        <x:v>{"type":"Point","coordinates":[25,43]}</x:v>
      </x:c>
      <x:c r="Y14" s="352" t="str">
        <x:v>{"country":"Bulgaria","iso3":"BGR","region":"Europe","russia_score":"2.75","china_score":"1.5","american_score":"3.5","eu_score":"4","dominant_actor":"European Union","dominant_score":"4","dominant_colour":"#FDE68A"}</x:v>
      </x:c>
      <x:c r="Z14" s="352" t="str">
        <x:v>ResurgamHub-mentioned country/area; join Leaflet polygons by ISO3=BGR.</x:v>
      </x:c>
    </x:row>
    <x:row r="15">
      <x:c r="A15" s="20" t="str">
        <x:v>Burkina Faso</x:v>
      </x:c>
      <x:c r="B15" s="20" t="str">
        <x:v>BF</x:v>
      </x:c>
      <x:c r="C15" s="20" t="str">
        <x:v>BFA</x:v>
      </x:c>
      <x:c r="D15" s="20" t="str">
        <x:v>854</x:v>
      </x:c>
      <x:c r="E15" s="20" t="str">
        <x:v>Africa</x:v>
      </x:c>
      <x:c r="F15" s="20" t="str">
        <x:v>Western Africa</x:v>
      </x:c>
      <x:c r="G15" s="20" t="n">
        <x:v>13</x:v>
      </x:c>
      <x:c r="H15" s="20" t="n">
        <x:v>-2</x:v>
      </x:c>
      <x:c r="I15" s="384" t="n">
        <x:f>IFERROR(VLOOKUP($C15&amp;"|Russia",Scoring_Matrix!$A$2:$X$493,24,FALSE),"No data")</x:f>
        <x:v>5.25</x:v>
      </x:c>
      <x:c r="J15" s="384" t="n">
        <x:f>IFERROR(VLOOKUP($C15&amp;"|China",Scoring_Matrix!$A$2:$X$493,24,FALSE),"No data")</x:f>
        <x:v>2</x:v>
      </x:c>
      <x:c r="K15" s="384" t="n">
        <x:f>IFERROR(VLOOKUP($C15&amp;"|United States",Scoring_Matrix!$A$2:$X$493,24,FALSE),"No data")</x:f>
        <x:v>2.75</x:v>
      </x:c>
      <x:c r="L15" s="384" t="n">
        <x:f>IFERROR(VLOOKUP($C15&amp;"|European Union",Scoring_Matrix!$A$2:$X$493,24,FALSE),"No data")</x:f>
        <x:v>1.5</x:v>
      </x:c>
      <x:c r="M15" s="386" t="str">
        <x:f>IF(COUNT(I15:L15)=0,"No data",IF(I15=MAX(I15:L15),"Russia",IF(J15=MAX(I15:L15),"China",IF(K15=MAX(I15:L15),"United States","European Union"))))</x:f>
        <x:v>Russia</x:v>
      </x:c>
      <x:c r="N15" s="384" t="n">
        <x:f>IF(COUNT(I15:L15)=0,"No data",MAX(I15:L15))</x:f>
        <x:v>5.25</x:v>
      </x:c>
      <x:c r="O15" s="20" t="str">
        <x:f>IF(COUNT(I15:L15)=0,"No scored evidence","Scored evidence present")</x:f>
        <x:v>Scored evidence present</x:v>
      </x:c>
      <x:c r="P15" s="20" t="str">
        <x:v>Actor scores are formula rollups from Scoring_Matrix; score only with source-backed evidence.</x:v>
      </x:c>
      <x:c r="Q15" s="352" t="str">
        <x:v>#FCD34D</x:v>
      </x:c>
      <x:c r="R15" s="352" t="str">
        <x:v>#A7F3D0</x:v>
      </x:c>
      <x:c r="S15" s="352" t="str">
        <x:v>#FEF3C7</x:v>
      </x:c>
      <x:c r="T15" s="352" t="str">
        <x:v>#A7F3D0</x:v>
      </x:c>
      <x:c r="U15" s="352" t="str">
        <x:v>#FCD34D</x:v>
      </x:c>
      <x:c r="V15" s="352" t="str">
        <x:v>BFA</x:v>
      </x:c>
      <x:c r="W15" s="352" t="str">
        <x:v>Yes</x:v>
      </x:c>
      <x:c r="X15" s="352" t="str">
        <x:f>TEXTJOIN("",TRUE,"{""type"":""Point"",""coordinates"":[",TEXT(H15,"0.000000"),",",TEXT(G15,"0.000000"),"]}")</x:f>
        <x:v>{"type":"Point","coordinates":[-2,13]}</x:v>
      </x:c>
      <x:c r="Y15" s="352" t="str">
        <x:v>{"country":"Burkina Faso","iso3":"BFA","region":"Africa","russia_score":"5.25","china_score":"2","american_score":"2.75","eu_score":"1.5","dominant_actor":"Russia","dominant_score":"5.25","dominant_colour":"#FCD34D"}</x:v>
      </x:c>
      <x:c r="Z15" s="352" t="str">
        <x:v>ResurgamHub-mentioned country/area; join Leaflet polygons by ISO3=BFA.</x:v>
      </x:c>
    </x:row>
    <x:row r="16">
      <x:c r="A16" s="20" t="str">
        <x:v>Burundi</x:v>
      </x:c>
      <x:c r="B16" s="20" t="str">
        <x:v>BI</x:v>
      </x:c>
      <x:c r="C16" s="20" t="str">
        <x:v>BDI</x:v>
      </x:c>
      <x:c r="D16" s="20" t="str">
        <x:v>108</x:v>
      </x:c>
      <x:c r="E16" s="20" t="str">
        <x:v>Africa</x:v>
      </x:c>
      <x:c r="F16" s="20" t="str">
        <x:v>Eastern Africa</x:v>
      </x:c>
      <x:c r="G16" s="20" t="n">
        <x:v>-3.5</x:v>
      </x:c>
      <x:c r="H16" s="20" t="n">
        <x:v>30</x:v>
      </x:c>
      <x:c r="I16" s="384" t="n">
        <x:f>IFERROR(VLOOKUP($C16&amp;"|Russia",Scoring_Matrix!$A$2:$X$493,24,FALSE),"No data")</x:f>
        <x:v>1.75</x:v>
      </x:c>
      <x:c r="J16" s="384" t="n">
        <x:f>IFERROR(VLOOKUP($C16&amp;"|China",Scoring_Matrix!$A$2:$X$493,24,FALSE),"No data")</x:f>
        <x:v>2</x:v>
      </x:c>
      <x:c r="K16" s="384" t="n">
        <x:f>IFERROR(VLOOKUP($C16&amp;"|United States",Scoring_Matrix!$A$2:$X$493,24,FALSE),"No data")</x:f>
        <x:v>2.75</x:v>
      </x:c>
      <x:c r="L16" s="384" t="n">
        <x:f>IFERROR(VLOOKUP($C16&amp;"|European Union",Scoring_Matrix!$A$2:$X$493,24,FALSE),"No data")</x:f>
        <x:v>1.5</x:v>
      </x:c>
      <x:c r="M16" s="386" t="str">
        <x:f>IF(COUNT(I16:L16)=0,"No data",IF(I16=MAX(I16:L16),"Russia",IF(J16=MAX(I16:L16),"China",IF(K16=MAX(I16:L16),"United States","European Union"))))</x:f>
        <x:v>United States</x:v>
      </x:c>
      <x:c r="N16" s="384" t="n">
        <x:f>IF(COUNT(I16:L16)=0,"No data",MAX(I16:L16))</x:f>
        <x:v>2.75</x:v>
      </x:c>
      <x:c r="O16" s="20" t="str">
        <x:f>IF(COUNT(I16:L16)=0,"No scored evidence","Scored evidence present")</x:f>
        <x:v>Scored evidence present</x:v>
      </x:c>
      <x:c r="P16" s="20" t="str">
        <x:v>Actor scores are formula rollups from Scoring_Matrix; score only with source-backed evidence.</x:v>
      </x:c>
      <x:c r="Q16" s="352" t="str">
        <x:v>#A7F3D0</x:v>
      </x:c>
      <x:c r="R16" s="352" t="str">
        <x:v>#A7F3D0</x:v>
      </x:c>
      <x:c r="S16" s="352" t="str">
        <x:v>#FEF3C7</x:v>
      </x:c>
      <x:c r="T16" s="352" t="str">
        <x:v>#A7F3D0</x:v>
      </x:c>
      <x:c r="U16" s="352" t="str">
        <x:v>#FEF3C7</x:v>
      </x:c>
      <x:c r="V16" s="352" t="str">
        <x:v>BDI</x:v>
      </x:c>
      <x:c r="W16" s="352" t="str">
        <x:v>Yes</x:v>
      </x:c>
      <x:c r="X16" s="352" t="str">
        <x:f>TEXTJOIN("",TRUE,"{""type"":""Point"",""coordinates"":[",TEXT(H16,"0.000000"),",",TEXT(G16,"0.000000"),"]}")</x:f>
        <x:v>{"type":"Point","coordinates":[30,-3.5]}</x:v>
      </x:c>
      <x:c r="Y16" s="352" t="str">
        <x:v>{"country":"Burundi","iso3":"BDI","region":"Africa","russia_score":"1.75","china_score":"2","american_score":"2.75","eu_score":"1.5","dominant_actor":"United States","dominant_score":"2.75","dominant_colour":"#FEF3C7"}</x:v>
      </x:c>
      <x:c r="Z16" s="352" t="str">
        <x:v>ResurgamHub-mentioned country/area; join Leaflet polygons by ISO3=BDI.</x:v>
      </x:c>
    </x:row>
    <x:row r="17">
      <x:c r="A17" s="20" t="str">
        <x:v>Cambodia</x:v>
      </x:c>
      <x:c r="B17" s="20" t="str">
        <x:v>KH</x:v>
      </x:c>
      <x:c r="C17" s="20" t="str">
        <x:v>KHM</x:v>
      </x:c>
      <x:c r="D17" s="20" t="str">
        <x:v>116</x:v>
      </x:c>
      <x:c r="E17" s="20" t="str">
        <x:v>Asia</x:v>
      </x:c>
      <x:c r="F17" s="20" t="str">
        <x:v>South-Eastern Asia</x:v>
      </x:c>
      <x:c r="G17" s="20" t="n">
        <x:v>13</x:v>
      </x:c>
      <x:c r="H17" s="20" t="n">
        <x:v>105</x:v>
      </x:c>
      <x:c r="I17" s="384" t="n">
        <x:f>IFERROR(VLOOKUP($C17&amp;"|Russia",Scoring_Matrix!$A$2:$X$493,24,FALSE),"No data")</x:f>
        <x:v>0.5</x:v>
      </x:c>
      <x:c r="J17" s="384" t="n">
        <x:f>IFERROR(VLOOKUP($C17&amp;"|China",Scoring_Matrix!$A$2:$X$493,24,FALSE),"No data")</x:f>
        <x:v>3.5</x:v>
      </x:c>
      <x:c r="K17" s="384" t="n">
        <x:f>IFERROR(VLOOKUP($C17&amp;"|United States",Scoring_Matrix!$A$2:$X$493,24,FALSE),"No data")</x:f>
        <x:v>2</x:v>
      </x:c>
      <x:c r="L17" s="384" t="n">
        <x:f>IFERROR(VLOOKUP($C17&amp;"|European Union",Scoring_Matrix!$A$2:$X$493,24,FALSE),"No data")</x:f>
        <x:v>1.25</x:v>
      </x:c>
      <x:c r="M17" s="386" t="str">
        <x:f>IF(COUNT(I17:L17)=0,"No data",IF(I17=MAX(I17:L17),"Russia",IF(J17=MAX(I17:L17),"China",IF(K17=MAX(I17:L17),"United States","European Union"))))</x:f>
        <x:v>China</x:v>
      </x:c>
      <x:c r="N17" s="384" t="n">
        <x:f>IF(COUNT(I17:L17)=0,"No data",MAX(I17:L17))</x:f>
        <x:v>3.5</x:v>
      </x:c>
      <x:c r="O17" s="20" t="str">
        <x:f>IF(COUNT(I17:L17)=0,"No scored evidence","Scored evidence present")</x:f>
        <x:v>Scored evidence present</x:v>
      </x:c>
      <x:c r="P17" s="20" t="str">
        <x:v>Actor scores are formula rollups from Scoring_Matrix; score only with source-backed evidence.</x:v>
      </x:c>
      <x:c r="Q17" s="352" t="str">
        <x:v>#D1FAE5</x:v>
      </x:c>
      <x:c r="R17" s="352" t="str">
        <x:v>#FDE68A</x:v>
      </x:c>
      <x:c r="S17" s="352" t="str">
        <x:v>#A7F3D0</x:v>
      </x:c>
      <x:c r="T17" s="352" t="str">
        <x:v>#D1FAE5</x:v>
      </x:c>
      <x:c r="U17" s="352" t="str">
        <x:v>#FDE68A</x:v>
      </x:c>
      <x:c r="V17" s="352" t="str">
        <x:v>KHM</x:v>
      </x:c>
      <x:c r="W17" s="352" t="str">
        <x:v>Yes</x:v>
      </x:c>
      <x:c r="X17" s="352" t="str">
        <x:f>TEXTJOIN("",TRUE,"{""type"":""Point"",""coordinates"":[",TEXT(H17,"0.000000"),",",TEXT(G17,"0.000000"),"]}")</x:f>
        <x:v>{"type":"Point","coordinates":[105,13]}</x:v>
      </x:c>
      <x:c r="Y17" s="352" t="str">
        <x:v>{"country":"Cambodia","iso3":"KHM","region":"Asia","russia_score":"0.5","china_score":"3.5","american_score":"2","eu_score":"1.25","dominant_actor":"China","dominant_score":"3.5","dominant_colour":"#FDE68A"}</x:v>
      </x:c>
      <x:c r="Z17" s="352" t="str">
        <x:v>ResurgamHub-mentioned country/area; join Leaflet polygons by ISO3=KHM.</x:v>
      </x:c>
    </x:row>
    <x:row r="18">
      <x:c r="A18" s="20" t="str">
        <x:v>Cameroon</x:v>
      </x:c>
      <x:c r="B18" s="20" t="str">
        <x:v>CM</x:v>
      </x:c>
      <x:c r="C18" s="20" t="str">
        <x:v>CMR</x:v>
      </x:c>
      <x:c r="D18" s="20" t="str">
        <x:v>120</x:v>
      </x:c>
      <x:c r="E18" s="20" t="str">
        <x:v>Africa</x:v>
      </x:c>
      <x:c r="F18" s="20" t="str">
        <x:v>Middle Africa</x:v>
      </x:c>
      <x:c r="G18" s="20" t="n">
        <x:v>6</x:v>
      </x:c>
      <x:c r="H18" s="20" t="n">
        <x:v>12</x:v>
      </x:c>
      <x:c r="I18" s="384" t="n">
        <x:f>IFERROR(VLOOKUP($C18&amp;"|Russia",Scoring_Matrix!$A$2:$X$493,24,FALSE),"No data")</x:f>
        <x:v>1.75</x:v>
      </x:c>
      <x:c r="J18" s="384" t="n">
        <x:f>IFERROR(VLOOKUP($C18&amp;"|China",Scoring_Matrix!$A$2:$X$493,24,FALSE),"No data")</x:f>
        <x:v>2</x:v>
      </x:c>
      <x:c r="K18" s="384" t="n">
        <x:f>IFERROR(VLOOKUP($C18&amp;"|United States",Scoring_Matrix!$A$2:$X$493,24,FALSE),"No data")</x:f>
        <x:v>2.75</x:v>
      </x:c>
      <x:c r="L18" s="384" t="n">
        <x:f>IFERROR(VLOOKUP($C18&amp;"|European Union",Scoring_Matrix!$A$2:$X$493,24,FALSE),"No data")</x:f>
        <x:v>1.5</x:v>
      </x:c>
      <x:c r="M18" s="386" t="str">
        <x:f>IF(COUNT(I18:L18)=0,"No data",IF(I18=MAX(I18:L18),"Russia",IF(J18=MAX(I18:L18),"China",IF(K18=MAX(I18:L18),"United States","European Union"))))</x:f>
        <x:v>United States</x:v>
      </x:c>
      <x:c r="N18" s="384" t="n">
        <x:f>IF(COUNT(I18:L18)=0,"No data",MAX(I18:L18))</x:f>
        <x:v>2.75</x:v>
      </x:c>
      <x:c r="O18" s="20" t="str">
        <x:f>IF(COUNT(I18:L18)=0,"No scored evidence","Scored evidence present")</x:f>
        <x:v>Scored evidence present</x:v>
      </x:c>
      <x:c r="P18" s="20" t="str">
        <x:v>Actor scores are formula rollups from Scoring_Matrix; score only with source-backed evidence.</x:v>
      </x:c>
      <x:c r="Q18" s="352" t="str">
        <x:v>#A7F3D0</x:v>
      </x:c>
      <x:c r="R18" s="352" t="str">
        <x:v>#A7F3D0</x:v>
      </x:c>
      <x:c r="S18" s="352" t="str">
        <x:v>#FEF3C7</x:v>
      </x:c>
      <x:c r="T18" s="352" t="str">
        <x:v>#A7F3D0</x:v>
      </x:c>
      <x:c r="U18" s="352" t="str">
        <x:v>#FEF3C7</x:v>
      </x:c>
      <x:c r="V18" s="352" t="str">
        <x:v>CMR</x:v>
      </x:c>
      <x:c r="W18" s="352" t="str">
        <x:v>Yes</x:v>
      </x:c>
      <x:c r="X18" s="352" t="str">
        <x:f>TEXTJOIN("",TRUE,"{""type"":""Point"",""coordinates"":[",TEXT(H18,"0.000000"),",",TEXT(G18,"0.000000"),"]}")</x:f>
        <x:v>{"type":"Point","coordinates":[12,6]}</x:v>
      </x:c>
      <x:c r="Y18" s="352" t="str">
        <x:v>{"country":"Cameroon","iso3":"CMR","region":"Africa","russia_score":"1.75","china_score":"2","american_score":"2.75","eu_score":"1.5","dominant_actor":"United States","dominant_score":"2.75","dominant_colour":"#FEF3C7"}</x:v>
      </x:c>
      <x:c r="Z18" s="352" t="str">
        <x:v>ResurgamHub-mentioned country/area; join Leaflet polygons by ISO3=CMR.</x:v>
      </x:c>
    </x:row>
    <x:row r="19">
      <x:c r="A19" s="20" t="str">
        <x:v>Canada</x:v>
      </x:c>
      <x:c r="B19" s="20" t="str">
        <x:v>CA</x:v>
      </x:c>
      <x:c r="C19" s="20" t="str">
        <x:v>CAN</x:v>
      </x:c>
      <x:c r="D19" s="20" t="str">
        <x:v>124</x:v>
      </x:c>
      <x:c r="E19" s="20" t="str">
        <x:v>Americas</x:v>
      </x:c>
      <x:c r="F19" s="20" t="str">
        <x:v>Northern America</x:v>
      </x:c>
      <x:c r="G19" s="20" t="n">
        <x:v>60</x:v>
      </x:c>
      <x:c r="H19" s="20" t="n">
        <x:v>-95</x:v>
      </x:c>
      <x:c r="I19" s="384" t="n">
        <x:f>IFERROR(VLOOKUP($C19&amp;"|Russia",Scoring_Matrix!$A$2:$X$493,24,FALSE),"No data")</x:f>
        <x:v>2.5</x:v>
      </x:c>
      <x:c r="J19" s="384" t="n">
        <x:f>IFERROR(VLOOKUP($C19&amp;"|China",Scoring_Matrix!$A$2:$X$493,24,FALSE),"No data")</x:f>
        <x:v>2.5</x:v>
      </x:c>
      <x:c r="K19" s="384" t="n">
        <x:f>IFERROR(VLOOKUP($C19&amp;"|United States",Scoring_Matrix!$A$2:$X$493,24,FALSE),"No data")</x:f>
        <x:v>4</x:v>
      </x:c>
      <x:c r="L19" s="384" t="n">
        <x:f>IFERROR(VLOOKUP($C19&amp;"|European Union",Scoring_Matrix!$A$2:$X$493,24,FALSE),"No data")</x:f>
        <x:v>1.75</x:v>
      </x:c>
      <x:c r="M19" s="386" t="str">
        <x:f>IF(COUNT(I19:L19)=0,"No data",IF(I19=MAX(I19:L19),"Russia",IF(J19=MAX(I19:L19),"China",IF(K19=MAX(I19:L19),"United States","European Union"))))</x:f>
        <x:v>United States</x:v>
      </x:c>
      <x:c r="N19" s="384" t="n">
        <x:f>IF(COUNT(I19:L19)=0,"No data",MAX(I19:L19))</x:f>
        <x:v>4</x:v>
      </x:c>
      <x:c r="O19" s="20" t="str">
        <x:f>IF(COUNT(I19:L19)=0,"No scored evidence","Scored evidence present")</x:f>
        <x:v>Scored evidence present</x:v>
      </x:c>
      <x:c r="P19" s="20" t="str">
        <x:v>Actor scores are formula rollups from Scoring_Matrix; score only with source-backed evidence.</x:v>
      </x:c>
      <x:c r="Q19" s="352" t="str">
        <x:v>#FEF3C7</x:v>
      </x:c>
      <x:c r="R19" s="352" t="str">
        <x:v>#FEF3C7</x:v>
      </x:c>
      <x:c r="S19" s="352" t="str">
        <x:v>#FDE68A</x:v>
      </x:c>
      <x:c r="T19" s="352" t="str">
        <x:v>#A7F3D0</x:v>
      </x:c>
      <x:c r="U19" s="352" t="str">
        <x:v>#FDE68A</x:v>
      </x:c>
      <x:c r="V19" s="352" t="str">
        <x:v>CAN</x:v>
      </x:c>
      <x:c r="W19" s="352" t="str">
        <x:v>Yes</x:v>
      </x:c>
      <x:c r="X19" s="352" t="str">
        <x:f>TEXTJOIN("",TRUE,"{""type"":""Point"",""coordinates"":[",TEXT(H19,"0.000000"),",",TEXT(G19,"0.000000"),"]}")</x:f>
        <x:v>{"type":"Point","coordinates":[-95,60]}</x:v>
      </x:c>
      <x:c r="Y19" s="352" t="str">
        <x:v>{"country":"Canada","iso3":"CAN","region":"Americas","russia_score":"2.5","china_score":"2.5","american_score":"4","eu_score":"1.75","dominant_actor":"United States","dominant_score":"4","dominant_colour":"#FDE68A"}</x:v>
      </x:c>
      <x:c r="Z19" s="352" t="str">
        <x:v>ResurgamHub-mentioned country/area; join Leaflet polygons by ISO3=CAN.</x:v>
      </x:c>
    </x:row>
    <x:row r="20">
      <x:c r="A20" s="20" t="str">
        <x:v>Central African Republic</x:v>
      </x:c>
      <x:c r="B20" s="20" t="str">
        <x:v>CF</x:v>
      </x:c>
      <x:c r="C20" s="20" t="str">
        <x:v>CAF</x:v>
      </x:c>
      <x:c r="D20" s="20" t="str">
        <x:v>140</x:v>
      </x:c>
      <x:c r="E20" s="20" t="str">
        <x:v>Africa</x:v>
      </x:c>
      <x:c r="F20" s="20" t="str">
        <x:v>Middle Africa</x:v>
      </x:c>
      <x:c r="G20" s="20" t="n">
        <x:v>7</x:v>
      </x:c>
      <x:c r="H20" s="20" t="n">
        <x:v>21</x:v>
      </x:c>
      <x:c r="I20" s="384" t="n">
        <x:f>IFERROR(VLOOKUP($C20&amp;"|Russia",Scoring_Matrix!$A$2:$X$493,24,FALSE),"No data")</x:f>
        <x:v>6.75</x:v>
      </x:c>
      <x:c r="J20" s="384" t="n">
        <x:f>IFERROR(VLOOKUP($C20&amp;"|China",Scoring_Matrix!$A$2:$X$493,24,FALSE),"No data")</x:f>
        <x:v>2</x:v>
      </x:c>
      <x:c r="K20" s="384" t="n">
        <x:f>IFERROR(VLOOKUP($C20&amp;"|United States",Scoring_Matrix!$A$2:$X$493,24,FALSE),"No data")</x:f>
        <x:v>2.75</x:v>
      </x:c>
      <x:c r="L20" s="384" t="n">
        <x:f>IFERROR(VLOOKUP($C20&amp;"|European Union",Scoring_Matrix!$A$2:$X$493,24,FALSE),"No data")</x:f>
        <x:v>2</x:v>
      </x:c>
      <x:c r="M20" s="386" t="str">
        <x:f>IF(COUNT(I20:L20)=0,"No data",IF(I20=MAX(I20:L20),"Russia",IF(J20=MAX(I20:L20),"China",IF(K20=MAX(I20:L20),"United States","European Union"))))</x:f>
        <x:v>Russia</x:v>
      </x:c>
      <x:c r="N20" s="384" t="n">
        <x:f>IF(COUNT(I20:L20)=0,"No data",MAX(I20:L20))</x:f>
        <x:v>6.75</x:v>
      </x:c>
      <x:c r="O20" s="20" t="str">
        <x:f>IF(COUNT(I20:L20)=0,"No scored evidence","Scored evidence present")</x:f>
        <x:v>Scored evidence present</x:v>
      </x:c>
      <x:c r="P20" s="20" t="str">
        <x:v>Actor scores are formula rollups from Scoring_Matrix; score only with source-backed evidence.</x:v>
      </x:c>
      <x:c r="Q20" s="352" t="str">
        <x:v>#FB923C</x:v>
      </x:c>
      <x:c r="R20" s="352" t="str">
        <x:v>#A7F3D0</x:v>
      </x:c>
      <x:c r="S20" s="352" t="str">
        <x:v>#FEF3C7</x:v>
      </x:c>
      <x:c r="T20" s="352" t="str">
        <x:v>#A7F3D0</x:v>
      </x:c>
      <x:c r="U20" s="352" t="str">
        <x:v>#FB923C</x:v>
      </x:c>
      <x:c r="V20" s="352" t="str">
        <x:v>CAF</x:v>
      </x:c>
      <x:c r="W20" s="352" t="str">
        <x:v>Yes</x:v>
      </x:c>
      <x:c r="X20" s="352" t="str">
        <x:f>TEXTJOIN("",TRUE,"{""type"":""Point"",""coordinates"":[",TEXT(H20,"0.000000"),",",TEXT(G20,"0.000000"),"]}")</x:f>
        <x:v>{"type":"Point","coordinates":[21,7]}</x:v>
      </x:c>
      <x:c r="Y20" s="352" t="str">
        <x:v>{"country":"Central African Republic","iso3":"CAF","region":"Africa","russia_score":"6.75","china_score":"2","american_score":"2.75","eu_score":"2","dominant_actor":"Russia","dominant_score":"6.75","dominant_colour":"#FB923C"}</x:v>
      </x:c>
      <x:c r="Z20" s="352" t="str">
        <x:v>ResurgamHub-mentioned country/area; join Leaflet polygons by ISO3=CAF.</x:v>
      </x:c>
    </x:row>
    <x:row r="21">
      <x:c r="A21" s="20" t="str">
        <x:v>Chad</x:v>
      </x:c>
      <x:c r="B21" s="20" t="str">
        <x:v>TD</x:v>
      </x:c>
      <x:c r="C21" s="20" t="str">
        <x:v>TCD</x:v>
      </x:c>
      <x:c r="D21" s="20" t="str">
        <x:v>148</x:v>
      </x:c>
      <x:c r="E21" s="20" t="str">
        <x:v>Africa</x:v>
      </x:c>
      <x:c r="F21" s="20" t="str">
        <x:v>Middle Africa</x:v>
      </x:c>
      <x:c r="G21" s="20" t="n">
        <x:v>15</x:v>
      </x:c>
      <x:c r="H21" s="20" t="n">
        <x:v>19</x:v>
      </x:c>
      <x:c r="I21" s="384" t="n">
        <x:f>IFERROR(VLOOKUP($C21&amp;"|Russia",Scoring_Matrix!$A$2:$X$493,24,FALSE),"No data")</x:f>
        <x:v>2.75</x:v>
      </x:c>
      <x:c r="J21" s="384" t="n">
        <x:f>IFERROR(VLOOKUP($C21&amp;"|China",Scoring_Matrix!$A$2:$X$493,24,FALSE),"No data")</x:f>
        <x:v>2</x:v>
      </x:c>
      <x:c r="K21" s="384" t="n">
        <x:f>IFERROR(VLOOKUP($C21&amp;"|United States",Scoring_Matrix!$A$2:$X$493,24,FALSE),"No data")</x:f>
        <x:v>2.75</x:v>
      </x:c>
      <x:c r="L21" s="384" t="n">
        <x:f>IFERROR(VLOOKUP($C21&amp;"|European Union",Scoring_Matrix!$A$2:$X$493,24,FALSE),"No data")</x:f>
        <x:v>1.5</x:v>
      </x:c>
      <x:c r="M21" s="386" t="str">
        <x:f>IF(COUNT(I21:L21)=0,"No data",IF(I21=MAX(I21:L21),"Russia",IF(J21=MAX(I21:L21),"China",IF(K21=MAX(I21:L21),"United States","European Union"))))</x:f>
        <x:v>Russia</x:v>
      </x:c>
      <x:c r="N21" s="384" t="n">
        <x:f>IF(COUNT(I21:L21)=0,"No data",MAX(I21:L21))</x:f>
        <x:v>2.75</x:v>
      </x:c>
      <x:c r="O21" s="20" t="str">
        <x:f>IF(COUNT(I21:L21)=0,"No scored evidence","Scored evidence present")</x:f>
        <x:v>Scored evidence present</x:v>
      </x:c>
      <x:c r="P21" s="20" t="str">
        <x:v>Actor scores are formula rollups from Scoring_Matrix; score only with source-backed evidence.</x:v>
      </x:c>
      <x:c r="Q21" s="352" t="str">
        <x:v>#FEF3C7</x:v>
      </x:c>
      <x:c r="R21" s="352" t="str">
        <x:v>#A7F3D0</x:v>
      </x:c>
      <x:c r="S21" s="352" t="str">
        <x:v>#FEF3C7</x:v>
      </x:c>
      <x:c r="T21" s="352" t="str">
        <x:v>#A7F3D0</x:v>
      </x:c>
      <x:c r="U21" s="352" t="str">
        <x:v>#FEF3C7</x:v>
      </x:c>
      <x:c r="V21" s="352" t="str">
        <x:v>TCD</x:v>
      </x:c>
      <x:c r="W21" s="352" t="str">
        <x:v>Yes</x:v>
      </x:c>
      <x:c r="X21" s="352" t="str">
        <x:f>TEXTJOIN("",TRUE,"{""type"":""Point"",""coordinates"":[",TEXT(H21,"0.000000"),",",TEXT(G21,"0.000000"),"]}")</x:f>
        <x:v>{"type":"Point","coordinates":[19,15]}</x:v>
      </x:c>
      <x:c r="Y21" s="352" t="str">
        <x:v>{"country":"Chad","iso3":"TCD","region":"Africa","russia_score":"2.75","china_score":"2","american_score":"2.75","eu_score":"1.5","dominant_actor":"Russia","dominant_score":"2.75","dominant_colour":"#FEF3C7"}</x:v>
      </x:c>
      <x:c r="Z21" s="352" t="str">
        <x:v>ResurgamHub-mentioned country/area; join Leaflet polygons by ISO3=TCD.</x:v>
      </x:c>
    </x:row>
    <x:row r="22">
      <x:c r="A22" s="20" t="str">
        <x:v>Chile</x:v>
      </x:c>
      <x:c r="B22" s="20" t="str">
        <x:v>CL</x:v>
      </x:c>
      <x:c r="C22" s="20" t="str">
        <x:v>CHL</x:v>
      </x:c>
      <x:c r="D22" s="20" t="str">
        <x:v>152</x:v>
      </x:c>
      <x:c r="E22" s="20" t="str">
        <x:v>Americas</x:v>
      </x:c>
      <x:c r="F22" s="20" t="str">
        <x:v>South America</x:v>
      </x:c>
      <x:c r="G22" s="20" t="n">
        <x:v>-30</x:v>
      </x:c>
      <x:c r="H22" s="20" t="n">
        <x:v>-71</x:v>
      </x:c>
      <x:c r="I22" s="384" t="n">
        <x:f>IFERROR(VLOOKUP($C22&amp;"|Russia",Scoring_Matrix!$A$2:$X$493,24,FALSE),"No data")</x:f>
        <x:v>1.25</x:v>
      </x:c>
      <x:c r="J22" s="384" t="n">
        <x:f>IFERROR(VLOOKUP($C22&amp;"|China",Scoring_Matrix!$A$2:$X$493,24,FALSE),"No data")</x:f>
        <x:v>1.5</x:v>
      </x:c>
      <x:c r="K22" s="384" t="n">
        <x:f>IFERROR(VLOOKUP($C22&amp;"|United States",Scoring_Matrix!$A$2:$X$493,24,FALSE),"No data")</x:f>
        <x:v>2.75</x:v>
      </x:c>
      <x:c r="L22" s="384" t="n">
        <x:f>IFERROR(VLOOKUP($C22&amp;"|European Union",Scoring_Matrix!$A$2:$X$493,24,FALSE),"No data")</x:f>
        <x:v>1.5</x:v>
      </x:c>
      <x:c r="M22" s="386" t="str">
        <x:f>IF(COUNT(I22:L22)=0,"No data",IF(I22=MAX(I22:L22),"Russia",IF(J22=MAX(I22:L22),"China",IF(K22=MAX(I22:L22),"United States","European Union"))))</x:f>
        <x:v>United States</x:v>
      </x:c>
      <x:c r="N22" s="384" t="n">
        <x:f>IF(COUNT(I22:L22)=0,"No data",MAX(I22:L22))</x:f>
        <x:v>2.75</x:v>
      </x:c>
      <x:c r="O22" s="20" t="str">
        <x:f>IF(COUNT(I22:L22)=0,"No scored evidence","Scored evidence present")</x:f>
        <x:v>Scored evidence present</x:v>
      </x:c>
      <x:c r="P22" s="20" t="str">
        <x:v>Actor scores are formula rollups from Scoring_Matrix; score only with source-backed evidence.</x:v>
      </x:c>
      <x:c r="Q22" s="352" t="str">
        <x:v>#D1FAE5</x:v>
      </x:c>
      <x:c r="R22" s="352" t="str">
        <x:v>#A7F3D0</x:v>
      </x:c>
      <x:c r="S22" s="352" t="str">
        <x:v>#FEF3C7</x:v>
      </x:c>
      <x:c r="T22" s="352" t="str">
        <x:v>#A7F3D0</x:v>
      </x:c>
      <x:c r="U22" s="352" t="str">
        <x:v>#FEF3C7</x:v>
      </x:c>
      <x:c r="V22" s="352" t="str">
        <x:v>CHL</x:v>
      </x:c>
      <x:c r="W22" s="352" t="str">
        <x:v>Yes</x:v>
      </x:c>
      <x:c r="X22" s="352" t="str">
        <x:f>TEXTJOIN("",TRUE,"{""type"":""Point"",""coordinates"":[",TEXT(H22,"0.000000"),",",TEXT(G22,"0.000000"),"]}")</x:f>
        <x:v>{"type":"Point","coordinates":[-71,-30]}</x:v>
      </x:c>
      <x:c r="Y22" s="352" t="str">
        <x:v>{"country":"Chile","iso3":"CHL","region":"Americas","russia_score":"1.25","china_score":"1.5","american_score":"2.75","eu_score":"1.5","dominant_actor":"United States","dominant_score":"2.75","dominant_colour":"#FEF3C7"}</x:v>
      </x:c>
      <x:c r="Z22" s="352" t="str">
        <x:v>ResurgamHub-mentioned country/area; join Leaflet polygons by ISO3=CHL.</x:v>
      </x:c>
    </x:row>
    <x:row r="23">
      <x:c r="A23" s="20" t="str">
        <x:v>China</x:v>
      </x:c>
      <x:c r="B23" s="20" t="str">
        <x:v>CN</x:v>
      </x:c>
      <x:c r="C23" s="20" t="str">
        <x:v>CHN</x:v>
      </x:c>
      <x:c r="D23" s="20" t="str">
        <x:v>156</x:v>
      </x:c>
      <x:c r="E23" s="20" t="str">
        <x:v>Asia</x:v>
      </x:c>
      <x:c r="F23" s="20" t="str">
        <x:v>Eastern Asia</x:v>
      </x:c>
      <x:c r="G23" s="20" t="n">
        <x:v>35</x:v>
      </x:c>
      <x:c r="H23" s="20" t="n">
        <x:v>105</x:v>
      </x:c>
      <x:c r="I23" s="384" t="n">
        <x:f>IFERROR(VLOOKUP($C23&amp;"|Russia",Scoring_Matrix!$A$2:$X$493,24,FALSE),"No data")</x:f>
        <x:v>1.5</x:v>
      </x:c>
      <x:c r="J23" s="384" t="n">
        <x:f>IFERROR(VLOOKUP($C23&amp;"|China",Scoring_Matrix!$A$2:$X$493,24,FALSE),"No data")</x:f>
        <x:v>3</x:v>
      </x:c>
      <x:c r="K23" s="384" t="n">
        <x:f>IFERROR(VLOOKUP($C23&amp;"|United States",Scoring_Matrix!$A$2:$X$493,24,FALSE),"No data")</x:f>
        <x:v>3</x:v>
      </x:c>
      <x:c r="L23" s="384" t="n">
        <x:f>IFERROR(VLOOKUP($C23&amp;"|European Union",Scoring_Matrix!$A$2:$X$493,24,FALSE),"No data")</x:f>
        <x:v>0.75</x:v>
      </x:c>
      <x:c r="M23" s="386" t="str">
        <x:f>IF(COUNT(I23:L23)=0,"No data",IF(I23=MAX(I23:L23),"Russia",IF(J23=MAX(I23:L23),"China",IF(K23=MAX(I23:L23),"United States","European Union"))))</x:f>
        <x:v>China</x:v>
      </x:c>
      <x:c r="N23" s="384" t="n">
        <x:f>IF(COUNT(I23:L23)=0,"No data",MAX(I23:L23))</x:f>
        <x:v>3</x:v>
      </x:c>
      <x:c r="O23" s="20" t="str">
        <x:f>IF(COUNT(I23:L23)=0,"No scored evidence","Scored evidence present")</x:f>
        <x:v>Scored evidence present</x:v>
      </x:c>
      <x:c r="P23" s="20" t="str">
        <x:v>Actor scores are formula rollups from Scoring_Matrix; score only with source-backed evidence.</x:v>
      </x:c>
      <x:c r="Q23" s="352" t="str">
        <x:v>#A7F3D0</x:v>
      </x:c>
      <x:c r="R23" s="352" t="str">
        <x:v>#FEF3C7</x:v>
      </x:c>
      <x:c r="S23" s="352" t="str">
        <x:v>#FEF3C7</x:v>
      </x:c>
      <x:c r="T23" s="352" t="str">
        <x:v>#D1FAE5</x:v>
      </x:c>
      <x:c r="U23" s="352" t="str">
        <x:v>#FEF3C7</x:v>
      </x:c>
      <x:c r="V23" s="352" t="str">
        <x:v>CHN</x:v>
      </x:c>
      <x:c r="W23" s="352" t="str">
        <x:v>Yes</x:v>
      </x:c>
      <x:c r="X23" s="352" t="str">
        <x:f>TEXTJOIN("",TRUE,"{""type"":""Point"",""coordinates"":[",TEXT(H23,"0.000000"),",",TEXT(G23,"0.000000"),"]}")</x:f>
        <x:v>{"type":"Point","coordinates":[105,35]}</x:v>
      </x:c>
      <x:c r="Y23" s="352" t="str">
        <x:v>{"country":"China","iso3":"CHN","region":"Asia","russia_score":"1.5","china_score":"3","american_score":"3","eu_score":"0.75","dominant_actor":"China","dominant_score":"3","dominant_colour":"#FEF3C7"}</x:v>
      </x:c>
      <x:c r="Z23" s="352" t="str">
        <x:v>ResurgamHub-mentioned country/area; join Leaflet polygons by ISO3=CHN.</x:v>
      </x:c>
    </x:row>
    <x:row r="24">
      <x:c r="A24" s="20" t="str">
        <x:v>Colombia</x:v>
      </x:c>
      <x:c r="B24" s="20" t="str">
        <x:v>CO</x:v>
      </x:c>
      <x:c r="C24" s="20" t="str">
        <x:v>COL</x:v>
      </x:c>
      <x:c r="D24" s="20" t="str">
        <x:v>170</x:v>
      </x:c>
      <x:c r="E24" s="20" t="str">
        <x:v>Americas</x:v>
      </x:c>
      <x:c r="F24" s="20" t="str">
        <x:v>South America</x:v>
      </x:c>
      <x:c r="G24" s="20" t="n">
        <x:v>4</x:v>
      </x:c>
      <x:c r="H24" s="20" t="n">
        <x:v>-72</x:v>
      </x:c>
      <x:c r="I24" s="384" t="n">
        <x:f>IFERROR(VLOOKUP($C24&amp;"|Russia",Scoring_Matrix!$A$2:$X$493,24,FALSE),"No data")</x:f>
        <x:v>1.25</x:v>
      </x:c>
      <x:c r="J24" s="384" t="n">
        <x:f>IFERROR(VLOOKUP($C24&amp;"|China",Scoring_Matrix!$A$2:$X$493,24,FALSE),"No data")</x:f>
        <x:v>1.5</x:v>
      </x:c>
      <x:c r="K24" s="384" t="n">
        <x:f>IFERROR(VLOOKUP($C24&amp;"|United States",Scoring_Matrix!$A$2:$X$493,24,FALSE),"No data")</x:f>
        <x:v>2.75</x:v>
      </x:c>
      <x:c r="L24" s="384" t="n">
        <x:f>IFERROR(VLOOKUP($C24&amp;"|European Union",Scoring_Matrix!$A$2:$X$493,24,FALSE),"No data")</x:f>
        <x:v>1.75</x:v>
      </x:c>
      <x:c r="M24" s="386" t="str">
        <x:f>IF(COUNT(I24:L24)=0,"No data",IF(I24=MAX(I24:L24),"Russia",IF(J24=MAX(I24:L24),"China",IF(K24=MAX(I24:L24),"United States","European Union"))))</x:f>
        <x:v>United States</x:v>
      </x:c>
      <x:c r="N24" s="384" t="n">
        <x:f>IF(COUNT(I24:L24)=0,"No data",MAX(I24:L24))</x:f>
        <x:v>2.75</x:v>
      </x:c>
      <x:c r="O24" s="20" t="str">
        <x:f>IF(COUNT(I24:L24)=0,"No scored evidence","Scored evidence present")</x:f>
        <x:v>Scored evidence present</x:v>
      </x:c>
      <x:c r="P24" s="20" t="str">
        <x:v>Actor scores are formula rollups from Scoring_Matrix; score only with source-backed evidence.</x:v>
      </x:c>
      <x:c r="Q24" s="352" t="str">
        <x:v>#D1FAE5</x:v>
      </x:c>
      <x:c r="R24" s="352" t="str">
        <x:v>#A7F3D0</x:v>
      </x:c>
      <x:c r="S24" s="352" t="str">
        <x:v>#FEF3C7</x:v>
      </x:c>
      <x:c r="T24" s="352" t="str">
        <x:v>#A7F3D0</x:v>
      </x:c>
      <x:c r="U24" s="352" t="str">
        <x:v>#FEF3C7</x:v>
      </x:c>
      <x:c r="V24" s="352" t="str">
        <x:v>COL</x:v>
      </x:c>
      <x:c r="W24" s="352" t="str">
        <x:v>Yes</x:v>
      </x:c>
      <x:c r="X24" s="352" t="str">
        <x:f>TEXTJOIN("",TRUE,"{""type"":""Point"",""coordinates"":[",TEXT(H24,"0.000000"),",",TEXT(G24,"0.000000"),"]}")</x:f>
        <x:v>{"type":"Point","coordinates":[-72,4]}</x:v>
      </x:c>
      <x:c r="Y24" s="352" t="str">
        <x:v>{"country":"Colombia","iso3":"COL","region":"Americas","russia_score":"1.25","china_score":"1.5","american_score":"2.75","eu_score":"1.75","dominant_actor":"United States","dominant_score":"2.75","dominant_colour":"#FEF3C7"}</x:v>
      </x:c>
      <x:c r="Z24" s="352" t="str">
        <x:v>ResurgamHub-mentioned country/area; join Leaflet polygons by ISO3=COL.</x:v>
      </x:c>
    </x:row>
    <x:row r="25">
      <x:c r="A25" s="20" t="str">
        <x:v>Cook Islands</x:v>
      </x:c>
      <x:c r="B25" s="20" t="str">
        <x:v>CK</x:v>
      </x:c>
      <x:c r="C25" s="20" t="str">
        <x:v>COK</x:v>
      </x:c>
      <x:c r="D25" s="20" t="str">
        <x:v>184</x:v>
      </x:c>
      <x:c r="E25" s="20" t="str">
        <x:v>Oceania</x:v>
      </x:c>
      <x:c r="F25" s="20" t="str">
        <x:v>Polynesia</x:v>
      </x:c>
      <x:c r="G25" s="20" t="n">
        <x:v>-21.23333333</x:v>
      </x:c>
      <x:c r="H25" s="20" t="n">
        <x:v>-159.76666666</x:v>
      </x:c>
      <x:c r="I25" s="384" t="n">
        <x:f>IFERROR(VLOOKUP($C25&amp;"|Russia",Scoring_Matrix!$A$2:$X$493,24,FALSE),"No data")</x:f>
        <x:v>0.5</x:v>
      </x:c>
      <x:c r="J25" s="384" t="n">
        <x:f>IFERROR(VLOOKUP($C25&amp;"|China",Scoring_Matrix!$A$2:$X$493,24,FALSE),"No data")</x:f>
        <x:v>3.25</x:v>
      </x:c>
      <x:c r="K25" s="384" t="n">
        <x:f>IFERROR(VLOOKUP($C25&amp;"|United States",Scoring_Matrix!$A$2:$X$493,24,FALSE),"No data")</x:f>
        <x:v>1.75</x:v>
      </x:c>
      <x:c r="L25" s="384" t="n">
        <x:f>IFERROR(VLOOKUP($C25&amp;"|European Union",Scoring_Matrix!$A$2:$X$493,24,FALSE),"No data")</x:f>
        <x:v>1</x:v>
      </x:c>
      <x:c r="M25" s="386" t="str">
        <x:f>IF(COUNT(I25:L25)=0,"No data",IF(I25=MAX(I25:L25),"Russia",IF(J25=MAX(I25:L25),"China",IF(K25=MAX(I25:L25),"United States","European Union"))))</x:f>
        <x:v>China</x:v>
      </x:c>
      <x:c r="N25" s="384" t="n">
        <x:f>IF(COUNT(I25:L25)=0,"No data",MAX(I25:L25))</x:f>
        <x:v>3.25</x:v>
      </x:c>
      <x:c r="O25" s="20" t="str">
        <x:f>IF(COUNT(I25:L25)=0,"No scored evidence","Scored evidence present")</x:f>
        <x:v>Scored evidence present</x:v>
      </x:c>
      <x:c r="P25" s="20" t="str">
        <x:v>Actor scores are formula rollups from Scoring_Matrix; score only with source-backed evidence.</x:v>
      </x:c>
      <x:c r="Q25" s="352" t="str">
        <x:v>#D1FAE5</x:v>
      </x:c>
      <x:c r="R25" s="352" t="str">
        <x:v>#FEF3C7</x:v>
      </x:c>
      <x:c r="S25" s="352" t="str">
        <x:v>#A7F3D0</x:v>
      </x:c>
      <x:c r="T25" s="352" t="str">
        <x:v>#D1FAE5</x:v>
      </x:c>
      <x:c r="U25" s="352" t="str">
        <x:v>#FEF3C7</x:v>
      </x:c>
      <x:c r="V25" s="352" t="str">
        <x:v>COK</x:v>
      </x:c>
      <x:c r="W25" s="352" t="str">
        <x:v>Yes</x:v>
      </x:c>
      <x:c r="X25" s="352" t="str">
        <x:f>TEXTJOIN("",TRUE,"{""type"":""Point"",""coordinates"":[",TEXT(H25,"0.000000"),",",TEXT(G25,"0.000000"),"]}")</x:f>
        <x:v>{"type":"Point","coordinates":[-159.766667,-21.233333]}</x:v>
      </x:c>
      <x:c r="Y25" s="352" t="str">
        <x:v>{"country":"Cook Islands","iso3":"COK","region":"Oceania","russia_score":"0.5","china_score":"3.25","american_score":"1.75","eu_score":"1","dominant_actor":"China","dominant_score":"3.25","dominant_colour":"#FEF3C7"}</x:v>
      </x:c>
      <x:c r="Z25" s="352" t="str">
        <x:v>ResurgamHub-mentioned country/area; join Leaflet polygons by ISO3=COK.</x:v>
      </x:c>
    </x:row>
    <x:row r="26">
      <x:c r="A26" s="20" t="str">
        <x:v>Cuba</x:v>
      </x:c>
      <x:c r="B26" s="20" t="str">
        <x:v>CU</x:v>
      </x:c>
      <x:c r="C26" s="20" t="str">
        <x:v>CUB</x:v>
      </x:c>
      <x:c r="D26" s="20" t="str">
        <x:v>192</x:v>
      </x:c>
      <x:c r="E26" s="20" t="str">
        <x:v>Americas</x:v>
      </x:c>
      <x:c r="F26" s="20" t="str">
        <x:v>Caribbean</x:v>
      </x:c>
      <x:c r="G26" s="20" t="n">
        <x:v>21.5</x:v>
      </x:c>
      <x:c r="H26" s="20" t="n">
        <x:v>-80</x:v>
      </x:c>
      <x:c r="I26" s="384" t="n">
        <x:f>IFERROR(VLOOKUP($C26&amp;"|Russia",Scoring_Matrix!$A$2:$X$493,24,FALSE),"No data")</x:f>
        <x:v>3.75</x:v>
      </x:c>
      <x:c r="J26" s="384" t="n">
        <x:f>IFERROR(VLOOKUP($C26&amp;"|China",Scoring_Matrix!$A$2:$X$493,24,FALSE),"No data")</x:f>
        <x:v>1.75</x:v>
      </x:c>
      <x:c r="K26" s="384" t="n">
        <x:f>IFERROR(VLOOKUP($C26&amp;"|United States",Scoring_Matrix!$A$2:$X$493,24,FALSE),"No data")</x:f>
        <x:v>4.75</x:v>
      </x:c>
      <x:c r="L26" s="384" t="n">
        <x:f>IFERROR(VLOOKUP($C26&amp;"|European Union",Scoring_Matrix!$A$2:$X$493,24,FALSE),"No data")</x:f>
        <x:v>1.5</x:v>
      </x:c>
      <x:c r="M26" s="386" t="str">
        <x:f>IF(COUNT(I26:L26)=0,"No data",IF(I26=MAX(I26:L26),"Russia",IF(J26=MAX(I26:L26),"China",IF(K26=MAX(I26:L26),"United States","European Union"))))</x:f>
        <x:v>United States</x:v>
      </x:c>
      <x:c r="N26" s="384" t="n">
        <x:f>IF(COUNT(I26:L26)=0,"No data",MAX(I26:L26))</x:f>
        <x:v>4.75</x:v>
      </x:c>
      <x:c r="O26" s="20" t="str">
        <x:f>IF(COUNT(I26:L26)=0,"No scored evidence","Scored evidence present")</x:f>
        <x:v>Scored evidence present</x:v>
      </x:c>
      <x:c r="P26" s="20" t="str">
        <x:v>Actor scores are formula rollups from Scoring_Matrix; score only with source-backed evidence.</x:v>
      </x:c>
      <x:c r="Q26" s="352" t="str">
        <x:v>#FDE68A</x:v>
      </x:c>
      <x:c r="R26" s="352" t="str">
        <x:v>#A7F3D0</x:v>
      </x:c>
      <x:c r="S26" s="352" t="str">
        <x:v>#FCD34D</x:v>
      </x:c>
      <x:c r="T26" s="352" t="str">
        <x:v>#A7F3D0</x:v>
      </x:c>
      <x:c r="U26" s="352" t="str">
        <x:v>#FCD34D</x:v>
      </x:c>
      <x:c r="V26" s="352" t="str">
        <x:v>CUB</x:v>
      </x:c>
      <x:c r="W26" s="352" t="str">
        <x:v>Yes</x:v>
      </x:c>
      <x:c r="X26" s="352" t="str">
        <x:f>TEXTJOIN("",TRUE,"{""type"":""Point"",""coordinates"":[",TEXT(H26,"0.000000"),",",TEXT(G26,"0.000000"),"]}")</x:f>
        <x:v>{"type":"Point","coordinates":[-80,21.5]}</x:v>
      </x:c>
      <x:c r="Y26" s="352" t="str">
        <x:v>{"country":"Cuba","iso3":"CUB","region":"Americas","russia_score":"3.75","china_score":"1.75","american_score":"4.75","eu_score":"1.5","dominant_actor":"United States","dominant_score":"4.75","dominant_colour":"#FCD34D"}</x:v>
      </x:c>
      <x:c r="Z26" s="352" t="str">
        <x:v>ResurgamHub-mentioned country/area; join Leaflet polygons by ISO3=CUB.</x:v>
      </x:c>
    </x:row>
    <x:row r="27">
      <x:c r="A27" s="20" t="str">
        <x:v>Cyprus</x:v>
      </x:c>
      <x:c r="B27" s="20" t="str">
        <x:v>CY</x:v>
      </x:c>
      <x:c r="C27" s="20" t="str">
        <x:v>CYP</x:v>
      </x:c>
      <x:c r="D27" s="20" t="str">
        <x:v>196</x:v>
      </x:c>
      <x:c r="E27" s="20" t="str">
        <x:v>Europe</x:v>
      </x:c>
      <x:c r="F27" s="20" t="str">
        <x:v>Southern Europe</x:v>
      </x:c>
      <x:c r="G27" s="20" t="n">
        <x:v>35</x:v>
      </x:c>
      <x:c r="H27" s="20" t="n">
        <x:v>33</x:v>
      </x:c>
      <x:c r="I27" s="384" t="n">
        <x:f>IFERROR(VLOOKUP($C27&amp;"|Russia",Scoring_Matrix!$A$2:$X$493,24,FALSE),"No data")</x:f>
        <x:v>1.25</x:v>
      </x:c>
      <x:c r="J27" s="384" t="n">
        <x:f>IFERROR(VLOOKUP($C27&amp;"|China",Scoring_Matrix!$A$2:$X$493,24,FALSE),"No data")</x:f>
        <x:v>1.5</x:v>
      </x:c>
      <x:c r="K27" s="384" t="n">
        <x:f>IFERROR(VLOOKUP($C27&amp;"|United States",Scoring_Matrix!$A$2:$X$493,24,FALSE),"No data")</x:f>
        <x:v>3.5</x:v>
      </x:c>
      <x:c r="L27" s="384" t="n">
        <x:f>IFERROR(VLOOKUP($C27&amp;"|European Union",Scoring_Matrix!$A$2:$X$493,24,FALSE),"No data")</x:f>
        <x:v>4</x:v>
      </x:c>
      <x:c r="M27" s="386" t="str">
        <x:f>IF(COUNT(I27:L27)=0,"No data",IF(I27=MAX(I27:L27),"Russia",IF(J27=MAX(I27:L27),"China",IF(K27=MAX(I27:L27),"United States","European Union"))))</x:f>
        <x:v>European Union</x:v>
      </x:c>
      <x:c r="N27" s="384" t="n">
        <x:f>IF(COUNT(I27:L27)=0,"No data",MAX(I27:L27))</x:f>
        <x:v>4</x:v>
      </x:c>
      <x:c r="O27" s="20" t="str">
        <x:f>IF(COUNT(I27:L27)=0,"No scored evidence","Scored evidence present")</x:f>
        <x:v>Scored evidence present</x:v>
      </x:c>
      <x:c r="P27" s="20" t="str">
        <x:v>Actor scores are formula rollups from Scoring_Matrix; score only with source-backed evidence.</x:v>
      </x:c>
      <x:c r="Q27" s="352" t="str">
        <x:v>#D1FAE5</x:v>
      </x:c>
      <x:c r="R27" s="352" t="str">
        <x:v>#A7F3D0</x:v>
      </x:c>
      <x:c r="S27" s="352" t="str">
        <x:v>#FDE68A</x:v>
      </x:c>
      <x:c r="T27" s="352" t="str">
        <x:v>#FDE68A</x:v>
      </x:c>
      <x:c r="U27" s="352" t="str">
        <x:v>#FDE68A</x:v>
      </x:c>
      <x:c r="V27" s="352" t="str">
        <x:v>CYP</x:v>
      </x:c>
      <x:c r="W27" s="352" t="str">
        <x:v>Yes</x:v>
      </x:c>
      <x:c r="X27" s="352" t="str">
        <x:f>TEXTJOIN("",TRUE,"{""type"":""Point"",""coordinates"":[",TEXT(H27,"0.000000"),",",TEXT(G27,"0.000000"),"]}")</x:f>
        <x:v>{"type":"Point","coordinates":[33,35]}</x:v>
      </x:c>
      <x:c r="Y27" s="352" t="str">
        <x:v>{"country":"Cyprus","iso3":"CYP","region":"Europe","russia_score":"1.25","china_score":"1.5","american_score":"3.5","eu_score":"4","dominant_actor":"European Union","dominant_score":"4","dominant_colour":"#FDE68A"}</x:v>
      </x:c>
      <x:c r="Z27" s="352" t="str">
        <x:v>ResurgamHub-mentioned country/area; join Leaflet polygons by ISO3=CYP.</x:v>
      </x:c>
    </x:row>
    <x:row r="28">
      <x:c r="A28" s="20" t="str">
        <x:v>Czechia</x:v>
      </x:c>
      <x:c r="B28" s="20" t="str">
        <x:v>CZ</x:v>
      </x:c>
      <x:c r="C28" s="20" t="str">
        <x:v>CZE</x:v>
      </x:c>
      <x:c r="D28" s="20" t="str">
        <x:v>203</x:v>
      </x:c>
      <x:c r="E28" s="20" t="str">
        <x:v>Europe</x:v>
      </x:c>
      <x:c r="F28" s="20" t="str">
        <x:v>Eastern Europe</x:v>
      </x:c>
      <x:c r="G28" s="20" t="n">
        <x:v>49.75</x:v>
      </x:c>
      <x:c r="H28" s="20" t="n">
        <x:v>15.5</x:v>
      </x:c>
      <x:c r="I28" s="384" t="n">
        <x:f>IFERROR(VLOOKUP($C28&amp;"|Russia",Scoring_Matrix!$A$2:$X$493,24,FALSE),"No data")</x:f>
        <x:v>2.75</x:v>
      </x:c>
      <x:c r="J28" s="384" t="n">
        <x:f>IFERROR(VLOOKUP($C28&amp;"|China",Scoring_Matrix!$A$2:$X$493,24,FALSE),"No data")</x:f>
        <x:v>1.5</x:v>
      </x:c>
      <x:c r="K28" s="384" t="n">
        <x:f>IFERROR(VLOOKUP($C28&amp;"|United States",Scoring_Matrix!$A$2:$X$493,24,FALSE),"No data")</x:f>
        <x:v>3.5</x:v>
      </x:c>
      <x:c r="L28" s="384" t="n">
        <x:f>IFERROR(VLOOKUP($C28&amp;"|European Union",Scoring_Matrix!$A$2:$X$493,24,FALSE),"No data")</x:f>
        <x:v>4</x:v>
      </x:c>
      <x:c r="M28" s="386" t="str">
        <x:f>IF(COUNT(I28:L28)=0,"No data",IF(I28=MAX(I28:L28),"Russia",IF(J28=MAX(I28:L28),"China",IF(K28=MAX(I28:L28),"United States","European Union"))))</x:f>
        <x:v>European Union</x:v>
      </x:c>
      <x:c r="N28" s="384" t="n">
        <x:f>IF(COUNT(I28:L28)=0,"No data",MAX(I28:L28))</x:f>
        <x:v>4</x:v>
      </x:c>
      <x:c r="O28" s="20" t="str">
        <x:f>IF(COUNT(I28:L28)=0,"No scored evidence","Scored evidence present")</x:f>
        <x:v>Scored evidence present</x:v>
      </x:c>
      <x:c r="P28" s="20" t="str">
        <x:v>Actor scores are formula rollups from Scoring_Matrix; score only with source-backed evidence.</x:v>
      </x:c>
      <x:c r="Q28" s="352" t="str">
        <x:v>#FEF3C7</x:v>
      </x:c>
      <x:c r="R28" s="352" t="str">
        <x:v>#A7F3D0</x:v>
      </x:c>
      <x:c r="S28" s="352" t="str">
        <x:v>#FDE68A</x:v>
      </x:c>
      <x:c r="T28" s="352" t="str">
        <x:v>#FDE68A</x:v>
      </x:c>
      <x:c r="U28" s="352" t="str">
        <x:v>#FDE68A</x:v>
      </x:c>
      <x:c r="V28" s="352" t="str">
        <x:v>CZE</x:v>
      </x:c>
      <x:c r="W28" s="352" t="str">
        <x:v>Yes</x:v>
      </x:c>
      <x:c r="X28" s="352" t="str">
        <x:f>TEXTJOIN("",TRUE,"{""type"":""Point"",""coordinates"":[",TEXT(H28,"0.000000"),",",TEXT(G28,"0.000000"),"]}")</x:f>
        <x:v>{"type":"Point","coordinates":[15.5,49.75]}</x:v>
      </x:c>
      <x:c r="Y28" s="352" t="str">
        <x:v>{"country":"Czechia","iso3":"CZE","region":"Europe","russia_score":"2.75","china_score":"1.5","american_score":"3.5","eu_score":"4","dominant_actor":"European Union","dominant_score":"4","dominant_colour":"#FDE68A"}</x:v>
      </x:c>
      <x:c r="Z28" s="352" t="str">
        <x:v>ResurgamHub-mentioned country/area; join Leaflet polygons by ISO3=CZE.</x:v>
      </x:c>
    </x:row>
    <x:row r="29">
      <x:c r="A29" s="20" t="str">
        <x:v>Democratic Republic of the Congo</x:v>
      </x:c>
      <x:c r="B29" s="20" t="str">
        <x:v>CD</x:v>
      </x:c>
      <x:c r="C29" s="20" t="str">
        <x:v>COD</x:v>
      </x:c>
      <x:c r="D29" s="20" t="str">
        <x:v>180</x:v>
      </x:c>
      <x:c r="E29" s="20" t="str">
        <x:v>Africa</x:v>
      </x:c>
      <x:c r="F29" s="20" t="str">
        <x:v>Middle Africa</x:v>
      </x:c>
      <x:c r="G29" s="20" t="n">
        <x:v>0</x:v>
      </x:c>
      <x:c r="H29" s="20" t="n">
        <x:v>25</x:v>
      </x:c>
      <x:c r="I29" s="384" t="n">
        <x:f>IFERROR(VLOOKUP($C29&amp;"|Russia",Scoring_Matrix!$A$2:$X$493,24,FALSE),"No data")</x:f>
        <x:v>2.75</x:v>
      </x:c>
      <x:c r="J29" s="384" t="n">
        <x:f>IFERROR(VLOOKUP($C29&amp;"|China",Scoring_Matrix!$A$2:$X$493,24,FALSE),"No data")</x:f>
        <x:v>2.75</x:v>
      </x:c>
      <x:c r="K29" s="384" t="n">
        <x:f>IFERROR(VLOOKUP($C29&amp;"|United States",Scoring_Matrix!$A$2:$X$493,24,FALSE),"No data")</x:f>
        <x:v>2.75</x:v>
      </x:c>
      <x:c r="L29" s="384" t="n">
        <x:f>IFERROR(VLOOKUP($C29&amp;"|European Union",Scoring_Matrix!$A$2:$X$493,24,FALSE),"No data")</x:f>
        <x:v>1.5</x:v>
      </x:c>
      <x:c r="M29" s="386" t="str">
        <x:f>IF(COUNT(I29:L29)=0,"No data",IF(I29=MAX(I29:L29),"Russia",IF(J29=MAX(I29:L29),"China",IF(K29=MAX(I29:L29),"United States","European Union"))))</x:f>
        <x:v>Russia</x:v>
      </x:c>
      <x:c r="N29" s="384" t="n">
        <x:f>IF(COUNT(I29:L29)=0,"No data",MAX(I29:L29))</x:f>
        <x:v>2.75</x:v>
      </x:c>
      <x:c r="O29" s="20" t="str">
        <x:f>IF(COUNT(I29:L29)=0,"No scored evidence","Scored evidence present")</x:f>
        <x:v>Scored evidence present</x:v>
      </x:c>
      <x:c r="P29" s="20" t="str">
        <x:v>Actor scores are formula rollups from Scoring_Matrix; score only with source-backed evidence.</x:v>
      </x:c>
      <x:c r="Q29" s="352" t="str">
        <x:v>#FEF3C7</x:v>
      </x:c>
      <x:c r="R29" s="352" t="str">
        <x:v>#FEF3C7</x:v>
      </x:c>
      <x:c r="S29" s="352" t="str">
        <x:v>#FEF3C7</x:v>
      </x:c>
      <x:c r="T29" s="352" t="str">
        <x:v>#A7F3D0</x:v>
      </x:c>
      <x:c r="U29" s="352" t="str">
        <x:v>#FEF3C7</x:v>
      </x:c>
      <x:c r="V29" s="352" t="str">
        <x:v>COD</x:v>
      </x:c>
      <x:c r="W29" s="352" t="str">
        <x:v>Yes</x:v>
      </x:c>
      <x:c r="X29" s="352" t="str">
        <x:f>TEXTJOIN("",TRUE,"{""type"":""Point"",""coordinates"":[",TEXT(H29,"0.000000"),",",TEXT(G29,"0.000000"),"]}")</x:f>
        <x:v>{"type":"Point","coordinates":[25,]}</x:v>
      </x:c>
      <x:c r="Y29" s="352" t="str">
        <x:v>{"country":"Democratic Republic of the Congo","iso3":"COD","region":"Africa","russia_score":"2.75","china_score":"2.75","american_score":"2.75","eu_score":"1.5","dominant_actor":"Russia","dominant_score":"2.75","dominant_colour":"#FEF3C7"}</x:v>
      </x:c>
      <x:c r="Z29" s="352" t="str">
        <x:v>ResurgamHub-mentioned country/area; join Leaflet polygons by ISO3=COD.</x:v>
      </x:c>
    </x:row>
    <x:row r="30">
      <x:c r="A30" s="20" t="str">
        <x:v>Egypt</x:v>
      </x:c>
      <x:c r="B30" s="20" t="str">
        <x:v>EG</x:v>
      </x:c>
      <x:c r="C30" s="20" t="str">
        <x:v>EGY</x:v>
      </x:c>
      <x:c r="D30" s="20" t="str">
        <x:v>818</x:v>
      </x:c>
      <x:c r="E30" s="20" t="str">
        <x:v>Africa</x:v>
      </x:c>
      <x:c r="F30" s="20" t="str">
        <x:v>Northern Africa</x:v>
      </x:c>
      <x:c r="G30" s="20" t="n">
        <x:v>27</x:v>
      </x:c>
      <x:c r="H30" s="20" t="n">
        <x:v>30</x:v>
      </x:c>
      <x:c r="I30" s="384" t="n">
        <x:f>IFERROR(VLOOKUP($C30&amp;"|Russia",Scoring_Matrix!$A$2:$X$493,24,FALSE),"No data")</x:f>
        <x:v>2</x:v>
      </x:c>
      <x:c r="J30" s="384" t="n">
        <x:f>IFERROR(VLOOKUP($C30&amp;"|China",Scoring_Matrix!$A$2:$X$493,24,FALSE),"No data")</x:f>
        <x:v>2.5</x:v>
      </x:c>
      <x:c r="K30" s="384" t="n">
        <x:f>IFERROR(VLOOKUP($C30&amp;"|United States",Scoring_Matrix!$A$2:$X$493,24,FALSE),"No data")</x:f>
        <x:v>2.75</x:v>
      </x:c>
      <x:c r="L30" s="384" t="n">
        <x:f>IFERROR(VLOOKUP($C30&amp;"|European Union",Scoring_Matrix!$A$2:$X$493,24,FALSE),"No data")</x:f>
        <x:v>1.5</x:v>
      </x:c>
      <x:c r="M30" s="386" t="str">
        <x:f>IF(COUNT(I30:L30)=0,"No data",IF(I30=MAX(I30:L30),"Russia",IF(J30=MAX(I30:L30),"China",IF(K30=MAX(I30:L30),"United States","European Union"))))</x:f>
        <x:v>United States</x:v>
      </x:c>
      <x:c r="N30" s="384" t="n">
        <x:f>IF(COUNT(I30:L30)=0,"No data",MAX(I30:L30))</x:f>
        <x:v>2.75</x:v>
      </x:c>
      <x:c r="O30" s="20" t="str">
        <x:f>IF(COUNT(I30:L30)=0,"No scored evidence","Scored evidence present")</x:f>
        <x:v>Scored evidence present</x:v>
      </x:c>
      <x:c r="P30" s="20" t="str">
        <x:v>Actor scores are formula rollups from Scoring_Matrix; score only with source-backed evidence.</x:v>
      </x:c>
      <x:c r="Q30" s="352" t="str">
        <x:v>#A7F3D0</x:v>
      </x:c>
      <x:c r="R30" s="352" t="str">
        <x:v>#FEF3C7</x:v>
      </x:c>
      <x:c r="S30" s="352" t="str">
        <x:v>#FEF3C7</x:v>
      </x:c>
      <x:c r="T30" s="352" t="str">
        <x:v>#A7F3D0</x:v>
      </x:c>
      <x:c r="U30" s="352" t="str">
        <x:v>#FEF3C7</x:v>
      </x:c>
      <x:c r="V30" s="352" t="str">
        <x:v>EGY</x:v>
      </x:c>
      <x:c r="W30" s="352" t="str">
        <x:v>Yes</x:v>
      </x:c>
      <x:c r="X30" s="352" t="str">
        <x:f>TEXTJOIN("",TRUE,"{""type"":""Point"",""coordinates"":[",TEXT(H30,"0.000000"),",",TEXT(G30,"0.000000"),"]}")</x:f>
        <x:v>{"type":"Point","coordinates":[30,27]}</x:v>
      </x:c>
      <x:c r="Y30" s="352" t="str">
        <x:v>{"country":"Egypt","iso3":"EGY","region":"Africa","russia_score":"2","china_score":"2.5","american_score":"2.75","eu_score":"1.5","dominant_actor":"United States","dominant_score":"2.75","dominant_colour":"#FEF3C7"}</x:v>
      </x:c>
      <x:c r="Z30" s="352" t="str">
        <x:v>ResurgamHub-mentioned country/area; join Leaflet polygons by ISO3=EGY.</x:v>
      </x:c>
    </x:row>
    <x:row r="31">
      <x:c r="A31" s="20" t="str">
        <x:v>El Salvador</x:v>
      </x:c>
      <x:c r="B31" s="20" t="str">
        <x:v>SV</x:v>
      </x:c>
      <x:c r="C31" s="20" t="str">
        <x:v>SLV</x:v>
      </x:c>
      <x:c r="D31" s="20" t="str">
        <x:v>222</x:v>
      </x:c>
      <x:c r="E31" s="20" t="str">
        <x:v>Americas</x:v>
      </x:c>
      <x:c r="F31" s="20" t="str">
        <x:v>Central America</x:v>
      </x:c>
      <x:c r="G31" s="20" t="n">
        <x:v>13.83333333</x:v>
      </x:c>
      <x:c r="H31" s="20" t="n">
        <x:v>-88.91666666</x:v>
      </x:c>
      <x:c r="I31" s="384" t="n">
        <x:f>IFERROR(VLOOKUP($C31&amp;"|Russia",Scoring_Matrix!$A$2:$X$493,24,FALSE),"No data")</x:f>
        <x:v>1</x:v>
      </x:c>
      <x:c r="J31" s="384" t="n">
        <x:f>IFERROR(VLOOKUP($C31&amp;"|China",Scoring_Matrix!$A$2:$X$493,24,FALSE),"No data")</x:f>
        <x:v>1.25</x:v>
      </x:c>
      <x:c r="K31" s="384" t="n">
        <x:f>IFERROR(VLOOKUP($C31&amp;"|United States",Scoring_Matrix!$A$2:$X$493,24,FALSE),"No data")</x:f>
        <x:v>2.75</x:v>
      </x:c>
      <x:c r="L31" s="384" t="n">
        <x:f>IFERROR(VLOOKUP($C31&amp;"|European Union",Scoring_Matrix!$A$2:$X$493,24,FALSE),"No data")</x:f>
        <x:v>1.75</x:v>
      </x:c>
      <x:c r="M31" s="386" t="str">
        <x:f>IF(COUNT(I31:L31)=0,"No data",IF(I31=MAX(I31:L31),"Russia",IF(J31=MAX(I31:L31),"China",IF(K31=MAX(I31:L31),"United States","European Union"))))</x:f>
        <x:v>United States</x:v>
      </x:c>
      <x:c r="N31" s="384" t="n">
        <x:f>IF(COUNT(I31:L31)=0,"No data",MAX(I31:L31))</x:f>
        <x:v>2.75</x:v>
      </x:c>
      <x:c r="O31" s="20" t="str">
        <x:f>IF(COUNT(I31:L31)=0,"No scored evidence","Scored evidence present")</x:f>
        <x:v>Scored evidence present</x:v>
      </x:c>
      <x:c r="P31" s="20" t="str">
        <x:v>Actor scores are formula rollups from Scoring_Matrix; score only with source-backed evidence.</x:v>
      </x:c>
      <x:c r="Q31" s="352" t="str">
        <x:v>#D1FAE5</x:v>
      </x:c>
      <x:c r="R31" s="352" t="str">
        <x:v>#D1FAE5</x:v>
      </x:c>
      <x:c r="S31" s="352" t="str">
        <x:v>#FEF3C7</x:v>
      </x:c>
      <x:c r="T31" s="352" t="str">
        <x:v>#A7F3D0</x:v>
      </x:c>
      <x:c r="U31" s="352" t="str">
        <x:v>#FEF3C7</x:v>
      </x:c>
      <x:c r="V31" s="352" t="str">
        <x:v>SLV</x:v>
      </x:c>
      <x:c r="W31" s="352" t="str">
        <x:v>Yes</x:v>
      </x:c>
      <x:c r="X31" s="352" t="str">
        <x:f>TEXTJOIN("",TRUE,"{""type"":""Point"",""coordinates"":[",TEXT(H31,"0.000000"),",",TEXT(G31,"0.000000"),"]}")</x:f>
        <x:v>{"type":"Point","coordinates":[-88.916667,13.833333]}</x:v>
      </x:c>
      <x:c r="Y31" s="352" t="str">
        <x:v>{"country":"El Salvador","iso3":"SLV","region":"Americas","russia_score":"1","china_score":"1.25","american_score":"2.75","eu_score":"1.75","dominant_actor":"United States","dominant_score":"2.75","dominant_colour":"#FEF3C7"}</x:v>
      </x:c>
      <x:c r="Z31" s="352" t="str">
        <x:v>ResurgamHub-mentioned country/area; join Leaflet polygons by ISO3=SLV.</x:v>
      </x:c>
    </x:row>
    <x:row r="32">
      <x:c r="A32" s="20" t="str">
        <x:v>Eritrea</x:v>
      </x:c>
      <x:c r="B32" s="20" t="str">
        <x:v>ER</x:v>
      </x:c>
      <x:c r="C32" s="20" t="str">
        <x:v>ERI</x:v>
      </x:c>
      <x:c r="D32" s="20" t="str">
        <x:v>232</x:v>
      </x:c>
      <x:c r="E32" s="20" t="str">
        <x:v>Africa</x:v>
      </x:c>
      <x:c r="F32" s="20" t="str">
        <x:v>Eastern Africa</x:v>
      </x:c>
      <x:c r="G32" s="20" t="n">
        <x:v>15</x:v>
      </x:c>
      <x:c r="H32" s="20" t="n">
        <x:v>39</x:v>
      </x:c>
      <x:c r="I32" s="384" t="n">
        <x:f>IFERROR(VLOOKUP($C32&amp;"|Russia",Scoring_Matrix!$A$2:$X$493,24,FALSE),"No data")</x:f>
        <x:v>1.75</x:v>
      </x:c>
      <x:c r="J32" s="384" t="n">
        <x:f>IFERROR(VLOOKUP($C32&amp;"|China",Scoring_Matrix!$A$2:$X$493,24,FALSE),"No data")</x:f>
        <x:v>2</x:v>
      </x:c>
      <x:c r="K32" s="384" t="n">
        <x:f>IFERROR(VLOOKUP($C32&amp;"|United States",Scoring_Matrix!$A$2:$X$493,24,FALSE),"No data")</x:f>
        <x:v>2.75</x:v>
      </x:c>
      <x:c r="L32" s="384" t="n">
        <x:f>IFERROR(VLOOKUP($C32&amp;"|European Union",Scoring_Matrix!$A$2:$X$493,24,FALSE),"No data")</x:f>
        <x:v>1.5</x:v>
      </x:c>
      <x:c r="M32" s="386" t="str">
        <x:f>IF(COUNT(I32:L32)=0,"No data",IF(I32=MAX(I32:L32),"Russia",IF(J32=MAX(I32:L32),"China",IF(K32=MAX(I32:L32),"United States","European Union"))))</x:f>
        <x:v>United States</x:v>
      </x:c>
      <x:c r="N32" s="384" t="n">
        <x:f>IF(COUNT(I32:L32)=0,"No data",MAX(I32:L32))</x:f>
        <x:v>2.75</x:v>
      </x:c>
      <x:c r="O32" s="20" t="str">
        <x:f>IF(COUNT(I32:L32)=0,"No scored evidence","Scored evidence present")</x:f>
        <x:v>Scored evidence present</x:v>
      </x:c>
      <x:c r="P32" s="20" t="str">
        <x:v>Actor scores are formula rollups from Scoring_Matrix; score only with source-backed evidence.</x:v>
      </x:c>
      <x:c r="Q32" s="352" t="str">
        <x:v>#A7F3D0</x:v>
      </x:c>
      <x:c r="R32" s="352" t="str">
        <x:v>#A7F3D0</x:v>
      </x:c>
      <x:c r="S32" s="352" t="str">
        <x:v>#FEF3C7</x:v>
      </x:c>
      <x:c r="T32" s="352" t="str">
        <x:v>#A7F3D0</x:v>
      </x:c>
      <x:c r="U32" s="352" t="str">
        <x:v>#FEF3C7</x:v>
      </x:c>
      <x:c r="V32" s="352" t="str">
        <x:v>ERI</x:v>
      </x:c>
      <x:c r="W32" s="352" t="str">
        <x:v>Yes</x:v>
      </x:c>
      <x:c r="X32" s="352" t="str">
        <x:f>TEXTJOIN("",TRUE,"{""type"":""Point"",""coordinates"":[",TEXT(H32,"0.000000"),",",TEXT(G32,"0.000000"),"]}")</x:f>
        <x:v>{"type":"Point","coordinates":[39,15]}</x:v>
      </x:c>
      <x:c r="Y32" s="352" t="str">
        <x:v>{"country":"Eritrea","iso3":"ERI","region":"Africa","russia_score":"1.75","china_score":"2","american_score":"2.75","eu_score":"1.5","dominant_actor":"United States","dominant_score":"2.75","dominant_colour":"#FEF3C7"}</x:v>
      </x:c>
      <x:c r="Z32" s="352" t="str">
        <x:v>ResurgamHub-mentioned country/area; join Leaflet polygons by ISO3=ERI.</x:v>
      </x:c>
    </x:row>
    <x:row r="33">
      <x:c r="A33" s="20" t="str">
        <x:v>Estonia</x:v>
      </x:c>
      <x:c r="B33" s="20" t="str">
        <x:v>EE</x:v>
      </x:c>
      <x:c r="C33" s="20" t="str">
        <x:v>EST</x:v>
      </x:c>
      <x:c r="D33" s="20" t="str">
        <x:v>233</x:v>
      </x:c>
      <x:c r="E33" s="20" t="str">
        <x:v>Europe</x:v>
      </x:c>
      <x:c r="F33" s="20" t="str">
        <x:v>Northern Europe</x:v>
      </x:c>
      <x:c r="G33" s="20" t="n">
        <x:v>59</x:v>
      </x:c>
      <x:c r="H33" s="20" t="n">
        <x:v>26</x:v>
      </x:c>
      <x:c r="I33" s="384" t="n">
        <x:f>IFERROR(VLOOKUP($C33&amp;"|Russia",Scoring_Matrix!$A$2:$X$493,24,FALSE),"No data")</x:f>
        <x:v>3.25</x:v>
      </x:c>
      <x:c r="J33" s="384" t="n">
        <x:f>IFERROR(VLOOKUP($C33&amp;"|China",Scoring_Matrix!$A$2:$X$493,24,FALSE),"No data")</x:f>
        <x:v>1.5</x:v>
      </x:c>
      <x:c r="K33" s="384" t="n">
        <x:f>IFERROR(VLOOKUP($C33&amp;"|United States",Scoring_Matrix!$A$2:$X$493,24,FALSE),"No data")</x:f>
        <x:v>3.5</x:v>
      </x:c>
      <x:c r="L33" s="384" t="n">
        <x:f>IFERROR(VLOOKUP($C33&amp;"|European Union",Scoring_Matrix!$A$2:$X$493,24,FALSE),"No data")</x:f>
        <x:v>4</x:v>
      </x:c>
      <x:c r="M33" s="386" t="str">
        <x:f>IF(COUNT(I33:L33)=0,"No data",IF(I33=MAX(I33:L33),"Russia",IF(J33=MAX(I33:L33),"China",IF(K33=MAX(I33:L33),"United States","European Union"))))</x:f>
        <x:v>European Union</x:v>
      </x:c>
      <x:c r="N33" s="384" t="n">
        <x:f>IF(COUNT(I33:L33)=0,"No data",MAX(I33:L33))</x:f>
        <x:v>4</x:v>
      </x:c>
      <x:c r="O33" s="20" t="str">
        <x:f>IF(COUNT(I33:L33)=0,"No scored evidence","Scored evidence present")</x:f>
        <x:v>Scored evidence present</x:v>
      </x:c>
      <x:c r="P33" s="20" t="str">
        <x:v>Actor scores are formula rollups from Scoring_Matrix; score only with source-backed evidence.</x:v>
      </x:c>
      <x:c r="Q33" s="352" t="str">
        <x:v>#FEF3C7</x:v>
      </x:c>
      <x:c r="R33" s="352" t="str">
        <x:v>#A7F3D0</x:v>
      </x:c>
      <x:c r="S33" s="352" t="str">
        <x:v>#FDE68A</x:v>
      </x:c>
      <x:c r="T33" s="352" t="str">
        <x:v>#FDE68A</x:v>
      </x:c>
      <x:c r="U33" s="352" t="str">
        <x:v>#FDE68A</x:v>
      </x:c>
      <x:c r="V33" s="352" t="str">
        <x:v>EST</x:v>
      </x:c>
      <x:c r="W33" s="352" t="str">
        <x:v>Yes</x:v>
      </x:c>
      <x:c r="X33" s="352" t="str">
        <x:f>TEXTJOIN("",TRUE,"{""type"":""Point"",""coordinates"":[",TEXT(H33,"0.000000"),",",TEXT(G33,"0.000000"),"]}")</x:f>
        <x:v>{"type":"Point","coordinates":[26,59]}</x:v>
      </x:c>
      <x:c r="Y33" s="352" t="str">
        <x:v>{"country":"Estonia","iso3":"EST","region":"Europe","russia_score":"3.25","china_score":"1.5","american_score":"3.5","eu_score":"4","dominant_actor":"European Union","dominant_score":"4","dominant_colour":"#FDE68A"}</x:v>
      </x:c>
      <x:c r="Z33" s="352" t="str">
        <x:v>ResurgamHub-mentioned country/area; join Leaflet polygons by ISO3=EST.</x:v>
      </x:c>
    </x:row>
    <x:row r="34">
      <x:c r="A34" s="20" t="str">
        <x:v>Federated States of Micronesia</x:v>
      </x:c>
      <x:c r="B34" s="20" t="str">
        <x:v>FM</x:v>
      </x:c>
      <x:c r="C34" s="20" t="str">
        <x:v>FSM</x:v>
      </x:c>
      <x:c r="D34" s="20" t="str">
        <x:v>583</x:v>
      </x:c>
      <x:c r="E34" s="20" t="str">
        <x:v>Oceania</x:v>
      </x:c>
      <x:c r="F34" s="20" t="str">
        <x:v>Micronesia</x:v>
      </x:c>
      <x:c r="G34" s="20" t="n">
        <x:v>6.91666666</x:v>
      </x:c>
      <x:c r="H34" s="20" t="n">
        <x:v>158.25</x:v>
      </x:c>
      <x:c r="I34" s="384" t="n">
        <x:f>IFERROR(VLOOKUP($C34&amp;"|Russia",Scoring_Matrix!$A$2:$X$493,24,FALSE),"No data")</x:f>
        <x:v>0.5</x:v>
      </x:c>
      <x:c r="J34" s="384" t="n">
        <x:f>IFERROR(VLOOKUP($C34&amp;"|China",Scoring_Matrix!$A$2:$X$493,24,FALSE),"No data")</x:f>
        <x:v>3.25</x:v>
      </x:c>
      <x:c r="K34" s="384" t="n">
        <x:f>IFERROR(VLOOKUP($C34&amp;"|United States",Scoring_Matrix!$A$2:$X$493,24,FALSE),"No data")</x:f>
        <x:v>1.75</x:v>
      </x:c>
      <x:c r="L34" s="384" t="n">
        <x:f>IFERROR(VLOOKUP($C34&amp;"|European Union",Scoring_Matrix!$A$2:$X$493,24,FALSE),"No data")</x:f>
        <x:v>1</x:v>
      </x:c>
      <x:c r="M34" s="386" t="str">
        <x:f>IF(COUNT(I34:L34)=0,"No data",IF(I34=MAX(I34:L34),"Russia",IF(J34=MAX(I34:L34),"China",IF(K34=MAX(I34:L34),"United States","European Union"))))</x:f>
        <x:v>China</x:v>
      </x:c>
      <x:c r="N34" s="384" t="n">
        <x:f>IF(COUNT(I34:L34)=0,"No data",MAX(I34:L34))</x:f>
        <x:v>3.25</x:v>
      </x:c>
      <x:c r="O34" s="20" t="str">
        <x:f>IF(COUNT(I34:L34)=0,"No scored evidence","Scored evidence present")</x:f>
        <x:v>Scored evidence present</x:v>
      </x:c>
      <x:c r="P34" s="20" t="str">
        <x:v>Actor scores are formula rollups from Scoring_Matrix; score only with source-backed evidence.</x:v>
      </x:c>
      <x:c r="Q34" s="352" t="str">
        <x:v>#D1FAE5</x:v>
      </x:c>
      <x:c r="R34" s="352" t="str">
        <x:v>#FEF3C7</x:v>
      </x:c>
      <x:c r="S34" s="352" t="str">
        <x:v>#A7F3D0</x:v>
      </x:c>
      <x:c r="T34" s="352" t="str">
        <x:v>#D1FAE5</x:v>
      </x:c>
      <x:c r="U34" s="352" t="str">
        <x:v>#FEF3C7</x:v>
      </x:c>
      <x:c r="V34" s="352" t="str">
        <x:v>FSM</x:v>
      </x:c>
      <x:c r="W34" s="352" t="str">
        <x:v>Yes</x:v>
      </x:c>
      <x:c r="X34" s="352" t="str">
        <x:f>TEXTJOIN("",TRUE,"{""type"":""Point"",""coordinates"":[",TEXT(H34,"0.000000"),",",TEXT(G34,"0.000000"),"]}")</x:f>
        <x:v>{"type":"Point","coordinates":[158.25,6.916667]}</x:v>
      </x:c>
      <x:c r="Y34" s="352" t="str">
        <x:v>{"country":"Federated States of Micronesia","iso3":"FSM","region":"Oceania","russia_score":"0.5","china_score":"3.25","american_score":"1.75","eu_score":"1","dominant_actor":"China","dominant_score":"3.25","dominant_colour":"#FEF3C7"}</x:v>
      </x:c>
      <x:c r="Z34" s="352" t="str">
        <x:v>ResurgamHub-mentioned country/area; join Leaflet polygons by ISO3=FSM.</x:v>
      </x:c>
    </x:row>
    <x:row r="35">
      <x:c r="A35" s="20" t="str">
        <x:v>Fiji</x:v>
      </x:c>
      <x:c r="B35" s="20" t="str">
        <x:v>FJ</x:v>
      </x:c>
      <x:c r="C35" s="20" t="str">
        <x:v>FJI</x:v>
      </x:c>
      <x:c r="D35" s="20" t="str">
        <x:v>242</x:v>
      </x:c>
      <x:c r="E35" s="20" t="str">
        <x:v>Oceania</x:v>
      </x:c>
      <x:c r="F35" s="20" t="str">
        <x:v>Melanesia</x:v>
      </x:c>
      <x:c r="G35" s="20" t="n">
        <x:v>-18</x:v>
      </x:c>
      <x:c r="H35" s="20" t="n">
        <x:v>175</x:v>
      </x:c>
      <x:c r="I35" s="384" t="n">
        <x:f>IFERROR(VLOOKUP($C35&amp;"|Russia",Scoring_Matrix!$A$2:$X$493,24,FALSE),"No data")</x:f>
        <x:v>0.5</x:v>
      </x:c>
      <x:c r="J35" s="384" t="n">
        <x:f>IFERROR(VLOOKUP($C35&amp;"|China",Scoring_Matrix!$A$2:$X$493,24,FALSE),"No data")</x:f>
        <x:v>3.25</x:v>
      </x:c>
      <x:c r="K35" s="384" t="n">
        <x:f>IFERROR(VLOOKUP($C35&amp;"|United States",Scoring_Matrix!$A$2:$X$493,24,FALSE),"No data")</x:f>
        <x:v>1.75</x:v>
      </x:c>
      <x:c r="L35" s="384" t="n">
        <x:f>IFERROR(VLOOKUP($C35&amp;"|European Union",Scoring_Matrix!$A$2:$X$493,24,FALSE),"No data")</x:f>
        <x:v>1</x:v>
      </x:c>
      <x:c r="M35" s="386" t="str">
        <x:f>IF(COUNT(I35:L35)=0,"No data",IF(I35=MAX(I35:L35),"Russia",IF(J35=MAX(I35:L35),"China",IF(K35=MAX(I35:L35),"United States","European Union"))))</x:f>
        <x:v>China</x:v>
      </x:c>
      <x:c r="N35" s="384" t="n">
        <x:f>IF(COUNT(I35:L35)=0,"No data",MAX(I35:L35))</x:f>
        <x:v>3.25</x:v>
      </x:c>
      <x:c r="O35" s="20" t="str">
        <x:f>IF(COUNT(I35:L35)=0,"No scored evidence","Scored evidence present")</x:f>
        <x:v>Scored evidence present</x:v>
      </x:c>
      <x:c r="P35" s="20" t="str">
        <x:v>Actor scores are formula rollups from Scoring_Matrix; score only with source-backed evidence.</x:v>
      </x:c>
      <x:c r="Q35" s="352" t="str">
        <x:v>#D1FAE5</x:v>
      </x:c>
      <x:c r="R35" s="352" t="str">
        <x:v>#FEF3C7</x:v>
      </x:c>
      <x:c r="S35" s="352" t="str">
        <x:v>#A7F3D0</x:v>
      </x:c>
      <x:c r="T35" s="352" t="str">
        <x:v>#D1FAE5</x:v>
      </x:c>
      <x:c r="U35" s="352" t="str">
        <x:v>#FEF3C7</x:v>
      </x:c>
      <x:c r="V35" s="352" t="str">
        <x:v>FJI</x:v>
      </x:c>
      <x:c r="W35" s="352" t="str">
        <x:v>Yes</x:v>
      </x:c>
      <x:c r="X35" s="352" t="str">
        <x:f>TEXTJOIN("",TRUE,"{""type"":""Point"",""coordinates"":[",TEXT(H35,"0.000000"),",",TEXT(G35,"0.000000"),"]}")</x:f>
        <x:v>{"type":"Point","coordinates":[175,-18]}</x:v>
      </x:c>
      <x:c r="Y35" s="352" t="str">
        <x:v>{"country":"Fiji","iso3":"FJI","region":"Oceania","russia_score":"0.5","china_score":"3.25","american_score":"1.75","eu_score":"1","dominant_actor":"China","dominant_score":"3.25","dominant_colour":"#FEF3C7"}</x:v>
      </x:c>
      <x:c r="Z35" s="352" t="str">
        <x:v>ResurgamHub-mentioned country/area; join Leaflet polygons by ISO3=FJI.</x:v>
      </x:c>
    </x:row>
    <x:row r="36">
      <x:c r="A36" s="20" t="str">
        <x:v>Finland</x:v>
      </x:c>
      <x:c r="B36" s="20" t="str">
        <x:v>FI</x:v>
      </x:c>
      <x:c r="C36" s="20" t="str">
        <x:v>FIN</x:v>
      </x:c>
      <x:c r="D36" s="20" t="str">
        <x:v>246</x:v>
      </x:c>
      <x:c r="E36" s="20" t="str">
        <x:v>Europe</x:v>
      </x:c>
      <x:c r="F36" s="20" t="str">
        <x:v>Northern Europe</x:v>
      </x:c>
      <x:c r="G36" s="20" t="n">
        <x:v>64</x:v>
      </x:c>
      <x:c r="H36" s="20" t="n">
        <x:v>26</x:v>
      </x:c>
      <x:c r="I36" s="384" t="n">
        <x:f>IFERROR(VLOOKUP($C36&amp;"|Russia",Scoring_Matrix!$A$2:$X$493,24,FALSE),"No data")</x:f>
        <x:v>2.5</x:v>
      </x:c>
      <x:c r="J36" s="384" t="n">
        <x:f>IFERROR(VLOOKUP($C36&amp;"|China",Scoring_Matrix!$A$2:$X$493,24,FALSE),"No data")</x:f>
        <x:v>1.5</x:v>
      </x:c>
      <x:c r="K36" s="384" t="n">
        <x:f>IFERROR(VLOOKUP($C36&amp;"|United States",Scoring_Matrix!$A$2:$X$493,24,FALSE),"No data")</x:f>
        <x:v>3.5</x:v>
      </x:c>
      <x:c r="L36" s="384" t="n">
        <x:f>IFERROR(VLOOKUP($C36&amp;"|European Union",Scoring_Matrix!$A$2:$X$493,24,FALSE),"No data")</x:f>
        <x:v>4</x:v>
      </x:c>
      <x:c r="M36" s="386" t="str">
        <x:f>IF(COUNT(I36:L36)=0,"No data",IF(I36=MAX(I36:L36),"Russia",IF(J36=MAX(I36:L36),"China",IF(K36=MAX(I36:L36),"United States","European Union"))))</x:f>
        <x:v>European Union</x:v>
      </x:c>
      <x:c r="N36" s="384" t="n">
        <x:f>IF(COUNT(I36:L36)=0,"No data",MAX(I36:L36))</x:f>
        <x:v>4</x:v>
      </x:c>
      <x:c r="O36" s="20" t="str">
        <x:f>IF(COUNT(I36:L36)=0,"No scored evidence","Scored evidence present")</x:f>
        <x:v>Scored evidence present</x:v>
      </x:c>
      <x:c r="P36" s="20" t="str">
        <x:v>Actor scores are formula rollups from Scoring_Matrix; score only with source-backed evidence.</x:v>
      </x:c>
      <x:c r="Q36" s="352" t="str">
        <x:v>#FEF3C7</x:v>
      </x:c>
      <x:c r="R36" s="352" t="str">
        <x:v>#A7F3D0</x:v>
      </x:c>
      <x:c r="S36" s="352" t="str">
        <x:v>#FDE68A</x:v>
      </x:c>
      <x:c r="T36" s="352" t="str">
        <x:v>#FDE68A</x:v>
      </x:c>
      <x:c r="U36" s="352" t="str">
        <x:v>#FDE68A</x:v>
      </x:c>
      <x:c r="V36" s="352" t="str">
        <x:v>FIN</x:v>
      </x:c>
      <x:c r="W36" s="352" t="str">
        <x:v>Yes</x:v>
      </x:c>
      <x:c r="X36" s="352" t="str">
        <x:f>TEXTJOIN("",TRUE,"{""type"":""Point"",""coordinates"":[",TEXT(H36,"0.000000"),",",TEXT(G36,"0.000000"),"]}")</x:f>
        <x:v>{"type":"Point","coordinates":[26,64]}</x:v>
      </x:c>
      <x:c r="Y36" s="352" t="str">
        <x:v>{"country":"Finland","iso3":"FIN","region":"Europe","russia_score":"2.5","china_score":"1.5","american_score":"3.5","eu_score":"4","dominant_actor":"European Union","dominant_score":"4","dominant_colour":"#FDE68A"}</x:v>
      </x:c>
      <x:c r="Z36" s="352" t="str">
        <x:v>ResurgamHub-mentioned country/area; join Leaflet polygons by ISO3=FIN.</x:v>
      </x:c>
    </x:row>
    <x:row r="37">
      <x:c r="A37" s="20" t="str">
        <x:v>France</x:v>
      </x:c>
      <x:c r="B37" s="20" t="str">
        <x:v>FR</x:v>
      </x:c>
      <x:c r="C37" s="20" t="str">
        <x:v>FRA</x:v>
      </x:c>
      <x:c r="D37" s="20" t="str">
        <x:v>250</x:v>
      </x:c>
      <x:c r="E37" s="20" t="str">
        <x:v>Europe</x:v>
      </x:c>
      <x:c r="F37" s="20" t="str">
        <x:v>Western Europe</x:v>
      </x:c>
      <x:c r="G37" s="20" t="n">
        <x:v>46</x:v>
      </x:c>
      <x:c r="H37" s="20" t="n">
        <x:v>2</x:v>
      </x:c>
      <x:c r="I37" s="384" t="n">
        <x:f>IFERROR(VLOOKUP($C37&amp;"|Russia",Scoring_Matrix!$A$2:$X$493,24,FALSE),"No data")</x:f>
        <x:v>3</x:v>
      </x:c>
      <x:c r="J37" s="384" t="n">
        <x:f>IFERROR(VLOOKUP($C37&amp;"|China",Scoring_Matrix!$A$2:$X$493,24,FALSE),"No data")</x:f>
        <x:v>2</x:v>
      </x:c>
      <x:c r="K37" s="384" t="n">
        <x:f>IFERROR(VLOOKUP($C37&amp;"|United States",Scoring_Matrix!$A$2:$X$493,24,FALSE),"No data")</x:f>
        <x:v>3.5</x:v>
      </x:c>
      <x:c r="L37" s="384" t="n">
        <x:f>IFERROR(VLOOKUP($C37&amp;"|European Union",Scoring_Matrix!$A$2:$X$493,24,FALSE),"No data")</x:f>
        <x:v>4</x:v>
      </x:c>
      <x:c r="M37" s="386" t="str">
        <x:f>IF(COUNT(I37:L37)=0,"No data",IF(I37=MAX(I37:L37),"Russia",IF(J37=MAX(I37:L37),"China",IF(K37=MAX(I37:L37),"United States","European Union"))))</x:f>
        <x:v>European Union</x:v>
      </x:c>
      <x:c r="N37" s="384" t="n">
        <x:f>IF(COUNT(I37:L37)=0,"No data",MAX(I37:L37))</x:f>
        <x:v>4</x:v>
      </x:c>
      <x:c r="O37" s="20" t="str">
        <x:f>IF(COUNT(I37:L37)=0,"No scored evidence","Scored evidence present")</x:f>
        <x:v>Scored evidence present</x:v>
      </x:c>
      <x:c r="P37" s="20" t="str">
        <x:v>Actor scores are formula rollups from Scoring_Matrix; score only with source-backed evidence.</x:v>
      </x:c>
      <x:c r="Q37" s="352" t="str">
        <x:v>#FEF3C7</x:v>
      </x:c>
      <x:c r="R37" s="352" t="str">
        <x:v>#A7F3D0</x:v>
      </x:c>
      <x:c r="S37" s="352" t="str">
        <x:v>#FDE68A</x:v>
      </x:c>
      <x:c r="T37" s="352" t="str">
        <x:v>#FDE68A</x:v>
      </x:c>
      <x:c r="U37" s="352" t="str">
        <x:v>#FDE68A</x:v>
      </x:c>
      <x:c r="V37" s="352" t="str">
        <x:v>FRA</x:v>
      </x:c>
      <x:c r="W37" s="352" t="str">
        <x:v>Yes</x:v>
      </x:c>
      <x:c r="X37" s="352" t="str">
        <x:f>TEXTJOIN("",TRUE,"{""type"":""Point"",""coordinates"":[",TEXT(H37,"0.000000"),",",TEXT(G37,"0.000000"),"]}")</x:f>
        <x:v>{"type":"Point","coordinates":[2,46]}</x:v>
      </x:c>
      <x:c r="Y37" s="352" t="str">
        <x:v>{"country":"France","iso3":"FRA","region":"Europe","russia_score":"3","china_score":"2","american_score":"3.5","eu_score":"4","dominant_actor":"European Union","dominant_score":"4","dominant_colour":"#FDE68A"}</x:v>
      </x:c>
      <x:c r="Z37" s="352" t="str">
        <x:v>ResurgamHub-mentioned country/area; join Leaflet polygons by ISO3=FRA.</x:v>
      </x:c>
    </x:row>
    <x:row r="38">
      <x:c r="A38" s="20" t="str">
        <x:v>Georgia</x:v>
      </x:c>
      <x:c r="B38" s="20" t="str">
        <x:v>GE</x:v>
      </x:c>
      <x:c r="C38" s="20" t="str">
        <x:v>GEO</x:v>
      </x:c>
      <x:c r="D38" s="20" t="str">
        <x:v>268</x:v>
      </x:c>
      <x:c r="E38" s="20" t="str">
        <x:v>Asia</x:v>
      </x:c>
      <x:c r="F38" s="20" t="str">
        <x:v>Western Asia</x:v>
      </x:c>
      <x:c r="G38" s="20" t="n">
        <x:v>42</x:v>
      </x:c>
      <x:c r="H38" s="20" t="n">
        <x:v>43.5</x:v>
      </x:c>
      <x:c r="I38" s="384" t="n">
        <x:f>IFERROR(VLOOKUP($C38&amp;"|Russia",Scoring_Matrix!$A$2:$X$493,24,FALSE),"No data")</x:f>
        <x:v>3.75</x:v>
      </x:c>
      <x:c r="J38" s="384" t="n">
        <x:f>IFERROR(VLOOKUP($C38&amp;"|China",Scoring_Matrix!$A$2:$X$493,24,FALSE),"No data")</x:f>
        <x:v>1.25</x:v>
      </x:c>
      <x:c r="K38" s="384" t="n">
        <x:f>IFERROR(VLOOKUP($C38&amp;"|United States",Scoring_Matrix!$A$2:$X$493,24,FALSE),"No data")</x:f>
        <x:v>3.25</x:v>
      </x:c>
      <x:c r="L38" s="384" t="n">
        <x:f>IFERROR(VLOOKUP($C38&amp;"|European Union",Scoring_Matrix!$A$2:$X$493,24,FALSE),"No data")</x:f>
        <x:v>4</x:v>
      </x:c>
      <x:c r="M38" s="386" t="str">
        <x:f>IF(COUNT(I38:L38)=0,"No data",IF(I38=MAX(I38:L38),"Russia",IF(J38=MAX(I38:L38),"China",IF(K38=MAX(I38:L38),"United States","European Union"))))</x:f>
        <x:v>European Union</x:v>
      </x:c>
      <x:c r="N38" s="384" t="n">
        <x:f>IF(COUNT(I38:L38)=0,"No data",MAX(I38:L38))</x:f>
        <x:v>4</x:v>
      </x:c>
      <x:c r="O38" s="20" t="str">
        <x:f>IF(COUNT(I38:L38)=0,"No scored evidence","Scored evidence present")</x:f>
        <x:v>Scored evidence present</x:v>
      </x:c>
      <x:c r="P38" s="20" t="str">
        <x:v>Actor scores are formula rollups from Scoring_Matrix; score only with source-backed evidence.</x:v>
      </x:c>
      <x:c r="Q38" s="352" t="str">
        <x:v>#FDE68A</x:v>
      </x:c>
      <x:c r="R38" s="352" t="str">
        <x:v>#D1FAE5</x:v>
      </x:c>
      <x:c r="S38" s="352" t="str">
        <x:v>#FEF3C7</x:v>
      </x:c>
      <x:c r="T38" s="352" t="str">
        <x:v>#FDE68A</x:v>
      </x:c>
      <x:c r="U38" s="352" t="str">
        <x:v>#FDE68A</x:v>
      </x:c>
      <x:c r="V38" s="352" t="str">
        <x:v>GEO</x:v>
      </x:c>
      <x:c r="W38" s="352" t="str">
        <x:v>Yes</x:v>
      </x:c>
      <x:c r="X38" s="352" t="str">
        <x:f>TEXTJOIN("",TRUE,"{""type"":""Point"",""coordinates"":[",TEXT(H38,"0.000000"),",",TEXT(G38,"0.000000"),"]}")</x:f>
        <x:v>{"type":"Point","coordinates":[43.5,42]}</x:v>
      </x:c>
      <x:c r="Y38" s="352" t="str">
        <x:v>{"country":"Georgia","iso3":"GEO","region":"Asia","russia_score":"3.75","china_score":"1.25","american_score":"3.25","eu_score":"4","dominant_actor":"European Union","dominant_score":"4","dominant_colour":"#FDE68A"}</x:v>
      </x:c>
      <x:c r="Z38" s="352" t="str">
        <x:v>ResurgamHub-mentioned country/area; join Leaflet polygons by ISO3=GEO.</x:v>
      </x:c>
    </x:row>
    <x:row r="39">
      <x:c r="A39" s="20" t="str">
        <x:v>Germany</x:v>
      </x:c>
      <x:c r="B39" s="20" t="str">
        <x:v>DE</x:v>
      </x:c>
      <x:c r="C39" s="20" t="str">
        <x:v>DEU</x:v>
      </x:c>
      <x:c r="D39" s="20" t="str">
        <x:v>276</x:v>
      </x:c>
      <x:c r="E39" s="20" t="str">
        <x:v>Europe</x:v>
      </x:c>
      <x:c r="F39" s="20" t="str">
        <x:v>Western Europe</x:v>
      </x:c>
      <x:c r="G39" s="20" t="n">
        <x:v>51</x:v>
      </x:c>
      <x:c r="H39" s="20" t="n">
        <x:v>9</x:v>
      </x:c>
      <x:c r="I39" s="384" t="n">
        <x:f>IFERROR(VLOOKUP($C39&amp;"|Russia",Scoring_Matrix!$A$2:$X$493,24,FALSE),"No data")</x:f>
        <x:v>3</x:v>
      </x:c>
      <x:c r="J39" s="384" t="n">
        <x:f>IFERROR(VLOOKUP($C39&amp;"|China",Scoring_Matrix!$A$2:$X$493,24,FALSE),"No data")</x:f>
        <x:v>2</x:v>
      </x:c>
      <x:c r="K39" s="384" t="n">
        <x:f>IFERROR(VLOOKUP($C39&amp;"|United States",Scoring_Matrix!$A$2:$X$493,24,FALSE),"No data")</x:f>
        <x:v>3.5</x:v>
      </x:c>
      <x:c r="L39" s="384" t="n">
        <x:f>IFERROR(VLOOKUP($C39&amp;"|European Union",Scoring_Matrix!$A$2:$X$493,24,FALSE),"No data")</x:f>
        <x:v>4</x:v>
      </x:c>
      <x:c r="M39" s="386" t="str">
        <x:f>IF(COUNT(I39:L39)=0,"No data",IF(I39=MAX(I39:L39),"Russia",IF(J39=MAX(I39:L39),"China",IF(K39=MAX(I39:L39),"United States","European Union"))))</x:f>
        <x:v>European Union</x:v>
      </x:c>
      <x:c r="N39" s="384" t="n">
        <x:f>IF(COUNT(I39:L39)=0,"No data",MAX(I39:L39))</x:f>
        <x:v>4</x:v>
      </x:c>
      <x:c r="O39" s="20" t="str">
        <x:f>IF(COUNT(I39:L39)=0,"No scored evidence","Scored evidence present")</x:f>
        <x:v>Scored evidence present</x:v>
      </x:c>
      <x:c r="P39" s="20" t="str">
        <x:v>Actor scores are formula rollups from Scoring_Matrix; score only with source-backed evidence.</x:v>
      </x:c>
      <x:c r="Q39" s="352" t="str">
        <x:v>#FEF3C7</x:v>
      </x:c>
      <x:c r="R39" s="352" t="str">
        <x:v>#A7F3D0</x:v>
      </x:c>
      <x:c r="S39" s="352" t="str">
        <x:v>#FDE68A</x:v>
      </x:c>
      <x:c r="T39" s="352" t="str">
        <x:v>#FDE68A</x:v>
      </x:c>
      <x:c r="U39" s="352" t="str">
        <x:v>#FDE68A</x:v>
      </x:c>
      <x:c r="V39" s="352" t="str">
        <x:v>DEU</x:v>
      </x:c>
      <x:c r="W39" s="352" t="str">
        <x:v>Yes</x:v>
      </x:c>
      <x:c r="X39" s="352" t="str">
        <x:f>TEXTJOIN("",TRUE,"{""type"":""Point"",""coordinates"":[",TEXT(H39,"0.000000"),",",TEXT(G39,"0.000000"),"]}")</x:f>
        <x:v>{"type":"Point","coordinates":[9,51]}</x:v>
      </x:c>
      <x:c r="Y39" s="352" t="str">
        <x:v>{"country":"Germany","iso3":"DEU","region":"Europe","russia_score":"3","china_score":"2","american_score":"3.5","eu_score":"4","dominant_actor":"European Union","dominant_score":"4","dominant_colour":"#FDE68A"}</x:v>
      </x:c>
      <x:c r="Z39" s="352" t="str">
        <x:v>ResurgamHub-mentioned country/area; join Leaflet polygons by ISO3=DEU.</x:v>
      </x:c>
    </x:row>
    <x:row r="40">
      <x:c r="A40" s="20" t="str">
        <x:v>Ghana</x:v>
      </x:c>
      <x:c r="B40" s="20" t="str">
        <x:v>GH</x:v>
      </x:c>
      <x:c r="C40" s="20" t="str">
        <x:v>GHA</x:v>
      </x:c>
      <x:c r="D40" s="20" t="str">
        <x:v>288</x:v>
      </x:c>
      <x:c r="E40" s="20" t="str">
        <x:v>Africa</x:v>
      </x:c>
      <x:c r="F40" s="20" t="str">
        <x:v>Western Africa</x:v>
      </x:c>
      <x:c r="G40" s="20" t="n">
        <x:v>8</x:v>
      </x:c>
      <x:c r="H40" s="20" t="n">
        <x:v>-2</x:v>
      </x:c>
      <x:c r="I40" s="384" t="n">
        <x:f>IFERROR(VLOOKUP($C40&amp;"|Russia",Scoring_Matrix!$A$2:$X$493,24,FALSE),"No data")</x:f>
        <x:v>1.75</x:v>
      </x:c>
      <x:c r="J40" s="384" t="n">
        <x:f>IFERROR(VLOOKUP($C40&amp;"|China",Scoring_Matrix!$A$2:$X$493,24,FALSE),"No data")</x:f>
        <x:v>2.25</x:v>
      </x:c>
      <x:c r="K40" s="384" t="n">
        <x:f>IFERROR(VLOOKUP($C40&amp;"|United States",Scoring_Matrix!$A$2:$X$493,24,FALSE),"No data")</x:f>
        <x:v>2.75</x:v>
      </x:c>
      <x:c r="L40" s="384" t="n">
        <x:f>IFERROR(VLOOKUP($C40&amp;"|European Union",Scoring_Matrix!$A$2:$X$493,24,FALSE),"No data")</x:f>
        <x:v>1.5</x:v>
      </x:c>
      <x:c r="M40" s="386" t="str">
        <x:f>IF(COUNT(I40:L40)=0,"No data",IF(I40=MAX(I40:L40),"Russia",IF(J40=MAX(I40:L40),"China",IF(K40=MAX(I40:L40),"United States","European Union"))))</x:f>
        <x:v>United States</x:v>
      </x:c>
      <x:c r="N40" s="384" t="n">
        <x:f>IF(COUNT(I40:L40)=0,"No data",MAX(I40:L40))</x:f>
        <x:v>2.75</x:v>
      </x:c>
      <x:c r="O40" s="20" t="str">
        <x:f>IF(COUNT(I40:L40)=0,"No scored evidence","Scored evidence present")</x:f>
        <x:v>Scored evidence present</x:v>
      </x:c>
      <x:c r="P40" s="20" t="str">
        <x:v>Actor scores are formula rollups from Scoring_Matrix; score only with source-backed evidence.</x:v>
      </x:c>
      <x:c r="Q40" s="352" t="str">
        <x:v>#A7F3D0</x:v>
      </x:c>
      <x:c r="R40" s="352" t="str">
        <x:v>#A7F3D0</x:v>
      </x:c>
      <x:c r="S40" s="352" t="str">
        <x:v>#FEF3C7</x:v>
      </x:c>
      <x:c r="T40" s="352" t="str">
        <x:v>#A7F3D0</x:v>
      </x:c>
      <x:c r="U40" s="352" t="str">
        <x:v>#FEF3C7</x:v>
      </x:c>
      <x:c r="V40" s="352" t="str">
        <x:v>GHA</x:v>
      </x:c>
      <x:c r="W40" s="352" t="str">
        <x:v>Yes</x:v>
      </x:c>
      <x:c r="X40" s="352" t="str">
        <x:f>TEXTJOIN("",TRUE,"{""type"":""Point"",""coordinates"":[",TEXT(H40,"0.000000"),",",TEXT(G40,"0.000000"),"]}")</x:f>
        <x:v>{"type":"Point","coordinates":[-2,8]}</x:v>
      </x:c>
      <x:c r="Y40" s="352" t="str">
        <x:v>{"country":"Ghana","iso3":"GHA","region":"Africa","russia_score":"1.75","china_score":"2.25","american_score":"2.75","eu_score":"1.5","dominant_actor":"United States","dominant_score":"2.75","dominant_colour":"#FEF3C7"}</x:v>
      </x:c>
      <x:c r="Z40" s="352" t="str">
        <x:v>ResurgamHub-mentioned country/area; join Leaflet polygons by ISO3=GHA.</x:v>
      </x:c>
    </x:row>
    <x:row r="41">
      <x:c r="A41" s="20" t="str">
        <x:v>Greece</x:v>
      </x:c>
      <x:c r="B41" s="20" t="str">
        <x:v>GR</x:v>
      </x:c>
      <x:c r="C41" s="20" t="str">
        <x:v>GRC</x:v>
      </x:c>
      <x:c r="D41" s="20" t="str">
        <x:v>300</x:v>
      </x:c>
      <x:c r="E41" s="20" t="str">
        <x:v>Europe</x:v>
      </x:c>
      <x:c r="F41" s="20" t="str">
        <x:v>Southern Europe</x:v>
      </x:c>
      <x:c r="G41" s="20" t="n">
        <x:v>39</x:v>
      </x:c>
      <x:c r="H41" s="20" t="n">
        <x:v>22</x:v>
      </x:c>
      <x:c r="I41" s="384" t="n">
        <x:f>IFERROR(VLOOKUP($C41&amp;"|Russia",Scoring_Matrix!$A$2:$X$493,24,FALSE),"No data")</x:f>
        <x:v>2.5</x:v>
      </x:c>
      <x:c r="J41" s="384" t="n">
        <x:f>IFERROR(VLOOKUP($C41&amp;"|China",Scoring_Matrix!$A$2:$X$493,24,FALSE),"No data")</x:f>
        <x:v>1.5</x:v>
      </x:c>
      <x:c r="K41" s="384" t="n">
        <x:f>IFERROR(VLOOKUP($C41&amp;"|United States",Scoring_Matrix!$A$2:$X$493,24,FALSE),"No data")</x:f>
        <x:v>3.5</x:v>
      </x:c>
      <x:c r="L41" s="384" t="n">
        <x:f>IFERROR(VLOOKUP($C41&amp;"|European Union",Scoring_Matrix!$A$2:$X$493,24,FALSE),"No data")</x:f>
        <x:v>4</x:v>
      </x:c>
      <x:c r="M41" s="386" t="str">
        <x:f>IF(COUNT(I41:L41)=0,"No data",IF(I41=MAX(I41:L41),"Russia",IF(J41=MAX(I41:L41),"China",IF(K41=MAX(I41:L41),"United States","European Union"))))</x:f>
        <x:v>European Union</x:v>
      </x:c>
      <x:c r="N41" s="384" t="n">
        <x:f>IF(COUNT(I41:L41)=0,"No data",MAX(I41:L41))</x:f>
        <x:v>4</x:v>
      </x:c>
      <x:c r="O41" s="20" t="str">
        <x:f>IF(COUNT(I41:L41)=0,"No scored evidence","Scored evidence present")</x:f>
        <x:v>Scored evidence present</x:v>
      </x:c>
      <x:c r="P41" s="20" t="str">
        <x:v>Actor scores are formula rollups from Scoring_Matrix; score only with source-backed evidence.</x:v>
      </x:c>
      <x:c r="Q41" s="352" t="str">
        <x:v>#FEF3C7</x:v>
      </x:c>
      <x:c r="R41" s="352" t="str">
        <x:v>#A7F3D0</x:v>
      </x:c>
      <x:c r="S41" s="352" t="str">
        <x:v>#FDE68A</x:v>
      </x:c>
      <x:c r="T41" s="352" t="str">
        <x:v>#FDE68A</x:v>
      </x:c>
      <x:c r="U41" s="352" t="str">
        <x:v>#FDE68A</x:v>
      </x:c>
      <x:c r="V41" s="352" t="str">
        <x:v>GRC</x:v>
      </x:c>
      <x:c r="W41" s="352" t="str">
        <x:v>Yes</x:v>
      </x:c>
      <x:c r="X41" s="352" t="str">
        <x:f>TEXTJOIN("",TRUE,"{""type"":""Point"",""coordinates"":[",TEXT(H41,"0.000000"),",",TEXT(G41,"0.000000"),"]}")</x:f>
        <x:v>{"type":"Point","coordinates":[22,39]}</x:v>
      </x:c>
      <x:c r="Y41" s="352" t="str">
        <x:v>{"country":"Greece","iso3":"GRC","region":"Europe","russia_score":"2.5","china_score":"1.5","american_score":"3.5","eu_score":"4","dominant_actor":"European Union","dominant_score":"4","dominant_colour":"#FDE68A"}</x:v>
      </x:c>
      <x:c r="Z41" s="352" t="str">
        <x:v>ResurgamHub-mentioned country/area; join Leaflet polygons by ISO3=GRC.</x:v>
      </x:c>
    </x:row>
    <x:row r="42">
      <x:c r="A42" s="20" t="str">
        <x:v>Guinea</x:v>
      </x:c>
      <x:c r="B42" s="20" t="str">
        <x:v>GN</x:v>
      </x:c>
      <x:c r="C42" s="20" t="str">
        <x:v>GIN</x:v>
      </x:c>
      <x:c r="D42" s="20" t="str">
        <x:v>324</x:v>
      </x:c>
      <x:c r="E42" s="20" t="str">
        <x:v>Africa</x:v>
      </x:c>
      <x:c r="F42" s="20" t="str">
        <x:v>Western Africa</x:v>
      </x:c>
      <x:c r="G42" s="20" t="n">
        <x:v>11</x:v>
      </x:c>
      <x:c r="H42" s="20" t="n">
        <x:v>-10</x:v>
      </x:c>
      <x:c r="I42" s="384" t="n">
        <x:f>IFERROR(VLOOKUP($C42&amp;"|Russia",Scoring_Matrix!$A$2:$X$493,24,FALSE),"No data")</x:f>
        <x:v>1.75</x:v>
      </x:c>
      <x:c r="J42" s="384" t="n">
        <x:f>IFERROR(VLOOKUP($C42&amp;"|China",Scoring_Matrix!$A$2:$X$493,24,FALSE),"No data")</x:f>
        <x:v>2</x:v>
      </x:c>
      <x:c r="K42" s="384" t="n">
        <x:f>IFERROR(VLOOKUP($C42&amp;"|United States",Scoring_Matrix!$A$2:$X$493,24,FALSE),"No data")</x:f>
        <x:v>2.75</x:v>
      </x:c>
      <x:c r="L42" s="384" t="n">
        <x:f>IFERROR(VLOOKUP($C42&amp;"|European Union",Scoring_Matrix!$A$2:$X$493,24,FALSE),"No data")</x:f>
        <x:v>1.5</x:v>
      </x:c>
      <x:c r="M42" s="386" t="str">
        <x:f>IF(COUNT(I42:L42)=0,"No data",IF(I42=MAX(I42:L42),"Russia",IF(J42=MAX(I42:L42),"China",IF(K42=MAX(I42:L42),"United States","European Union"))))</x:f>
        <x:v>United States</x:v>
      </x:c>
      <x:c r="N42" s="384" t="n">
        <x:f>IF(COUNT(I42:L42)=0,"No data",MAX(I42:L42))</x:f>
        <x:v>2.75</x:v>
      </x:c>
      <x:c r="O42" s="20" t="str">
        <x:f>IF(COUNT(I42:L42)=0,"No scored evidence","Scored evidence present")</x:f>
        <x:v>Scored evidence present</x:v>
      </x:c>
      <x:c r="P42" s="20" t="str">
        <x:v>Actor scores are formula rollups from Scoring_Matrix; score only with source-backed evidence.</x:v>
      </x:c>
      <x:c r="Q42" s="352" t="str">
        <x:v>#A7F3D0</x:v>
      </x:c>
      <x:c r="R42" s="352" t="str">
        <x:v>#A7F3D0</x:v>
      </x:c>
      <x:c r="S42" s="352" t="str">
        <x:v>#FEF3C7</x:v>
      </x:c>
      <x:c r="T42" s="352" t="str">
        <x:v>#A7F3D0</x:v>
      </x:c>
      <x:c r="U42" s="352" t="str">
        <x:v>#FEF3C7</x:v>
      </x:c>
      <x:c r="V42" s="352" t="str">
        <x:v>GIN</x:v>
      </x:c>
      <x:c r="W42" s="352" t="str">
        <x:v>Yes</x:v>
      </x:c>
      <x:c r="X42" s="352" t="str">
        <x:f>TEXTJOIN("",TRUE,"{""type"":""Point"",""coordinates"":[",TEXT(H42,"0.000000"),",",TEXT(G42,"0.000000"),"]}")</x:f>
        <x:v>{"type":"Point","coordinates":[-10,11]}</x:v>
      </x:c>
      <x:c r="Y42" s="352" t="str">
        <x:v>{"country":"Guinea","iso3":"GIN","region":"Africa","russia_score":"1.75","china_score":"2","american_score":"2.75","eu_score":"1.5","dominant_actor":"United States","dominant_score":"2.75","dominant_colour":"#FEF3C7"}</x:v>
      </x:c>
      <x:c r="Z42" s="352" t="str">
        <x:v>ResurgamHub-mentioned country/area; join Leaflet polygons by ISO3=GIN.</x:v>
      </x:c>
    </x:row>
    <x:row r="43">
      <x:c r="A43" s="20" t="str">
        <x:v>Guyana</x:v>
      </x:c>
      <x:c r="B43" s="20" t="str">
        <x:v>GY</x:v>
      </x:c>
      <x:c r="C43" s="20" t="str">
        <x:v>GUY</x:v>
      </x:c>
      <x:c r="D43" s="20" t="str">
        <x:v>328</x:v>
      </x:c>
      <x:c r="E43" s="20" t="str">
        <x:v>Americas</x:v>
      </x:c>
      <x:c r="F43" s="20" t="str">
        <x:v>South America</x:v>
      </x:c>
      <x:c r="G43" s="20" t="n">
        <x:v>5</x:v>
      </x:c>
      <x:c r="H43" s="20" t="n">
        <x:v>-59</x:v>
      </x:c>
      <x:c r="I43" s="384" t="n">
        <x:f>IFERROR(VLOOKUP($C43&amp;"|Russia",Scoring_Matrix!$A$2:$X$493,24,FALSE),"No data")</x:f>
        <x:v>1</x:v>
      </x:c>
      <x:c r="J43" s="384" t="n">
        <x:f>IFERROR(VLOOKUP($C43&amp;"|China",Scoring_Matrix!$A$2:$X$493,24,FALSE),"No data")</x:f>
        <x:v>1.25</x:v>
      </x:c>
      <x:c r="K43" s="384" t="n">
        <x:f>IFERROR(VLOOKUP($C43&amp;"|United States",Scoring_Matrix!$A$2:$X$493,24,FALSE),"No data")</x:f>
        <x:v>2.75</x:v>
      </x:c>
      <x:c r="L43" s="384" t="n">
        <x:f>IFERROR(VLOOKUP($C43&amp;"|European Union",Scoring_Matrix!$A$2:$X$493,24,FALSE),"No data")</x:f>
        <x:v>1.5</x:v>
      </x:c>
      <x:c r="M43" s="386" t="str">
        <x:f>IF(COUNT(I43:L43)=0,"No data",IF(I43=MAX(I43:L43),"Russia",IF(J43=MAX(I43:L43),"China",IF(K43=MAX(I43:L43),"United States","European Union"))))</x:f>
        <x:v>United States</x:v>
      </x:c>
      <x:c r="N43" s="384" t="n">
        <x:f>IF(COUNT(I43:L43)=0,"No data",MAX(I43:L43))</x:f>
        <x:v>2.75</x:v>
      </x:c>
      <x:c r="O43" s="20" t="str">
        <x:f>IF(COUNT(I43:L43)=0,"No scored evidence","Scored evidence present")</x:f>
        <x:v>Scored evidence present</x:v>
      </x:c>
      <x:c r="P43" s="20" t="str">
        <x:v>Actor scores are formula rollups from Scoring_Matrix; score only with source-backed evidence.</x:v>
      </x:c>
      <x:c r="Q43" s="352" t="str">
        <x:v>#D1FAE5</x:v>
      </x:c>
      <x:c r="R43" s="352" t="str">
        <x:v>#D1FAE5</x:v>
      </x:c>
      <x:c r="S43" s="352" t="str">
        <x:v>#FEF3C7</x:v>
      </x:c>
      <x:c r="T43" s="352" t="str">
        <x:v>#A7F3D0</x:v>
      </x:c>
      <x:c r="U43" s="352" t="str">
        <x:v>#FEF3C7</x:v>
      </x:c>
      <x:c r="V43" s="352" t="str">
        <x:v>GUY</x:v>
      </x:c>
      <x:c r="W43" s="352" t="str">
        <x:v>Yes</x:v>
      </x:c>
      <x:c r="X43" s="352" t="str">
        <x:f>TEXTJOIN("",TRUE,"{""type"":""Point"",""coordinates"":[",TEXT(H43,"0.000000"),",",TEXT(G43,"0.000000"),"]}")</x:f>
        <x:v>{"type":"Point","coordinates":[-59,5]}</x:v>
      </x:c>
      <x:c r="Y43" s="352" t="str">
        <x:v>{"country":"Guyana","iso3":"GUY","region":"Americas","russia_score":"1","china_score":"1.25","american_score":"2.75","eu_score":"1.5","dominant_actor":"United States","dominant_score":"2.75","dominant_colour":"#FEF3C7"}</x:v>
      </x:c>
      <x:c r="Z43" s="352" t="str">
        <x:v>ResurgamHub-mentioned country/area; join Leaflet polygons by ISO3=GUY.</x:v>
      </x:c>
    </x:row>
    <x:row r="44">
      <x:c r="A44" s="20" t="str">
        <x:v>Hungary</x:v>
      </x:c>
      <x:c r="B44" s="20" t="str">
        <x:v>HU</x:v>
      </x:c>
      <x:c r="C44" s="20" t="str">
        <x:v>HUN</x:v>
      </x:c>
      <x:c r="D44" s="20" t="str">
        <x:v>348</x:v>
      </x:c>
      <x:c r="E44" s="20" t="str">
        <x:v>Europe</x:v>
      </x:c>
      <x:c r="F44" s="20" t="str">
        <x:v>Eastern Europe</x:v>
      </x:c>
      <x:c r="G44" s="20" t="n">
        <x:v>47</x:v>
      </x:c>
      <x:c r="H44" s="20" t="n">
        <x:v>20</x:v>
      </x:c>
      <x:c r="I44" s="384" t="n">
        <x:f>IFERROR(VLOOKUP($C44&amp;"|Russia",Scoring_Matrix!$A$2:$X$493,24,FALSE),"No data")</x:f>
        <x:v>3</x:v>
      </x:c>
      <x:c r="J44" s="384" t="n">
        <x:f>IFERROR(VLOOKUP($C44&amp;"|China",Scoring_Matrix!$A$2:$X$493,24,FALSE),"No data")</x:f>
        <x:v>1.5</x:v>
      </x:c>
      <x:c r="K44" s="384" t="n">
        <x:f>IFERROR(VLOOKUP($C44&amp;"|United States",Scoring_Matrix!$A$2:$X$493,24,FALSE),"No data")</x:f>
        <x:v>3.5</x:v>
      </x:c>
      <x:c r="L44" s="384" t="n">
        <x:f>IFERROR(VLOOKUP($C44&amp;"|European Union",Scoring_Matrix!$A$2:$X$493,24,FALSE),"No data")</x:f>
        <x:v>4</x:v>
      </x:c>
      <x:c r="M44" s="386" t="str">
        <x:f>IF(COUNT(I44:L44)=0,"No data",IF(I44=MAX(I44:L44),"Russia",IF(J44=MAX(I44:L44),"China",IF(K44=MAX(I44:L44),"United States","European Union"))))</x:f>
        <x:v>European Union</x:v>
      </x:c>
      <x:c r="N44" s="384" t="n">
        <x:f>IF(COUNT(I44:L44)=0,"No data",MAX(I44:L44))</x:f>
        <x:v>4</x:v>
      </x:c>
      <x:c r="O44" s="20" t="str">
        <x:f>IF(COUNT(I44:L44)=0,"No scored evidence","Scored evidence present")</x:f>
        <x:v>Scored evidence present</x:v>
      </x:c>
      <x:c r="P44" s="20" t="str">
        <x:v>Actor scores are formula rollups from Scoring_Matrix; score only with source-backed evidence.</x:v>
      </x:c>
      <x:c r="Q44" s="352" t="str">
        <x:v>#FEF3C7</x:v>
      </x:c>
      <x:c r="R44" s="352" t="str">
        <x:v>#A7F3D0</x:v>
      </x:c>
      <x:c r="S44" s="352" t="str">
        <x:v>#FDE68A</x:v>
      </x:c>
      <x:c r="T44" s="352" t="str">
        <x:v>#FDE68A</x:v>
      </x:c>
      <x:c r="U44" s="352" t="str">
        <x:v>#FDE68A</x:v>
      </x:c>
      <x:c r="V44" s="352" t="str">
        <x:v>HUN</x:v>
      </x:c>
      <x:c r="W44" s="352" t="str">
        <x:v>Yes</x:v>
      </x:c>
      <x:c r="X44" s="352" t="str">
        <x:f>TEXTJOIN("",TRUE,"{""type"":""Point"",""coordinates"":[",TEXT(H44,"0.000000"),",",TEXT(G44,"0.000000"),"]}")</x:f>
        <x:v>{"type":"Point","coordinates":[20,47]}</x:v>
      </x:c>
      <x:c r="Y44" s="352" t="str">
        <x:v>{"country":"Hungary","iso3":"HUN","region":"Europe","russia_score":"3","china_score":"1.5","american_score":"3.5","eu_score":"4","dominant_actor":"European Union","dominant_score":"4","dominant_colour":"#FDE68A"}</x:v>
      </x:c>
      <x:c r="Z44" s="352" t="str">
        <x:v>ResurgamHub-mentioned country/area; join Leaflet polygons by ISO3=HUN.</x:v>
      </x:c>
    </x:row>
    <x:row r="45">
      <x:c r="A45" s="20" t="str">
        <x:v>India</x:v>
      </x:c>
      <x:c r="B45" s="20" t="str">
        <x:v>IN</x:v>
      </x:c>
      <x:c r="C45" s="20" t="str">
        <x:v>IND</x:v>
      </x:c>
      <x:c r="D45" s="20" t="str">
        <x:v>356</x:v>
      </x:c>
      <x:c r="E45" s="20" t="str">
        <x:v>Asia</x:v>
      </x:c>
      <x:c r="F45" s="20" t="str">
        <x:v>Southern Asia</x:v>
      </x:c>
      <x:c r="G45" s="20" t="n">
        <x:v>20</x:v>
      </x:c>
      <x:c r="H45" s="20" t="n">
        <x:v>77</x:v>
      </x:c>
      <x:c r="I45" s="384" t="n">
        <x:f>IFERROR(VLOOKUP($C45&amp;"|Russia",Scoring_Matrix!$A$2:$X$493,24,FALSE),"No data")</x:f>
        <x:v>0.5</x:v>
      </x:c>
      <x:c r="J45" s="384" t="n">
        <x:f>IFERROR(VLOOKUP($C45&amp;"|China",Scoring_Matrix!$A$2:$X$493,24,FALSE),"No data")</x:f>
        <x:v>2.5</x:v>
      </x:c>
      <x:c r="K45" s="384" t="n">
        <x:f>IFERROR(VLOOKUP($C45&amp;"|United States",Scoring_Matrix!$A$2:$X$493,24,FALSE),"No data")</x:f>
        <x:v>2.75</x:v>
      </x:c>
      <x:c r="L45" s="384" t="n">
        <x:f>IFERROR(VLOOKUP($C45&amp;"|European Union",Scoring_Matrix!$A$2:$X$493,24,FALSE),"No data")</x:f>
        <x:v>1.25</x:v>
      </x:c>
      <x:c r="M45" s="386" t="str">
        <x:f>IF(COUNT(I45:L45)=0,"No data",IF(I45=MAX(I45:L45),"Russia",IF(J45=MAX(I45:L45),"China",IF(K45=MAX(I45:L45),"United States","European Union"))))</x:f>
        <x:v>United States</x:v>
      </x:c>
      <x:c r="N45" s="384" t="n">
        <x:f>IF(COUNT(I45:L45)=0,"No data",MAX(I45:L45))</x:f>
        <x:v>2.75</x:v>
      </x:c>
      <x:c r="O45" s="20" t="str">
        <x:f>IF(COUNT(I45:L45)=0,"No scored evidence","Scored evidence present")</x:f>
        <x:v>Scored evidence present</x:v>
      </x:c>
      <x:c r="P45" s="20" t="str">
        <x:v>Actor scores are formula rollups from Scoring_Matrix; score only with source-backed evidence.</x:v>
      </x:c>
      <x:c r="Q45" s="352" t="str">
        <x:v>#D1FAE5</x:v>
      </x:c>
      <x:c r="R45" s="352" t="str">
        <x:v>#FEF3C7</x:v>
      </x:c>
      <x:c r="S45" s="352" t="str">
        <x:v>#FEF3C7</x:v>
      </x:c>
      <x:c r="T45" s="352" t="str">
        <x:v>#D1FAE5</x:v>
      </x:c>
      <x:c r="U45" s="352" t="str">
        <x:v>#FEF3C7</x:v>
      </x:c>
      <x:c r="V45" s="352" t="str">
        <x:v>IND</x:v>
      </x:c>
      <x:c r="W45" s="352" t="str">
        <x:v>Yes</x:v>
      </x:c>
      <x:c r="X45" s="352" t="str">
        <x:f>TEXTJOIN("",TRUE,"{""type"":""Point"",""coordinates"":[",TEXT(H45,"0.000000"),",",TEXT(G45,"0.000000"),"]}")</x:f>
        <x:v>{"type":"Point","coordinates":[77,20]}</x:v>
      </x:c>
      <x:c r="Y45" s="352" t="str">
        <x:v>{"country":"India","iso3":"IND","region":"Asia","russia_score":"0.5","china_score":"2.5","american_score":"2.75","eu_score":"1.25","dominant_actor":"United States","dominant_score":"2.75","dominant_colour":"#FEF3C7"}</x:v>
      </x:c>
      <x:c r="Z45" s="352" t="str">
        <x:v>ResurgamHub-mentioned country/area; join Leaflet polygons by ISO3=IND.</x:v>
      </x:c>
    </x:row>
    <x:row r="46">
      <x:c r="A46" s="20" t="str">
        <x:v>Indonesia</x:v>
      </x:c>
      <x:c r="B46" s="20" t="str">
        <x:v>ID</x:v>
      </x:c>
      <x:c r="C46" s="20" t="str">
        <x:v>IDN</x:v>
      </x:c>
      <x:c r="D46" s="20" t="str">
        <x:v>360</x:v>
      </x:c>
      <x:c r="E46" s="20" t="str">
        <x:v>Asia</x:v>
      </x:c>
      <x:c r="F46" s="20" t="str">
        <x:v>South-Eastern Asia</x:v>
      </x:c>
      <x:c r="G46" s="20" t="n">
        <x:v>-5</x:v>
      </x:c>
      <x:c r="H46" s="20" t="n">
        <x:v>120</x:v>
      </x:c>
      <x:c r="I46" s="384" t="n">
        <x:f>IFERROR(VLOOKUP($C46&amp;"|Russia",Scoring_Matrix!$A$2:$X$493,24,FALSE),"No data")</x:f>
        <x:v>0.5</x:v>
      </x:c>
      <x:c r="J46" s="384" t="n">
        <x:f>IFERROR(VLOOKUP($C46&amp;"|China",Scoring_Matrix!$A$2:$X$493,24,FALSE),"No data")</x:f>
        <x:v>3.25</x:v>
      </x:c>
      <x:c r="K46" s="384" t="n">
        <x:f>IFERROR(VLOOKUP($C46&amp;"|United States",Scoring_Matrix!$A$2:$X$493,24,FALSE),"No data")</x:f>
        <x:v>2</x:v>
      </x:c>
      <x:c r="L46" s="384" t="n">
        <x:f>IFERROR(VLOOKUP($C46&amp;"|European Union",Scoring_Matrix!$A$2:$X$493,24,FALSE),"No data")</x:f>
        <x:v>1.25</x:v>
      </x:c>
      <x:c r="M46" s="386" t="str">
        <x:f>IF(COUNT(I46:L46)=0,"No data",IF(I46=MAX(I46:L46),"Russia",IF(J46=MAX(I46:L46),"China",IF(K46=MAX(I46:L46),"United States","European Union"))))</x:f>
        <x:v>China</x:v>
      </x:c>
      <x:c r="N46" s="384" t="n">
        <x:f>IF(COUNT(I46:L46)=0,"No data",MAX(I46:L46))</x:f>
        <x:v>3.25</x:v>
      </x:c>
      <x:c r="O46" s="20" t="str">
        <x:f>IF(COUNT(I46:L46)=0,"No scored evidence","Scored evidence present")</x:f>
        <x:v>Scored evidence present</x:v>
      </x:c>
      <x:c r="P46" s="20" t="str">
        <x:v>Actor scores are formula rollups from Scoring_Matrix; score only with source-backed evidence.</x:v>
      </x:c>
      <x:c r="Q46" s="352" t="str">
        <x:v>#D1FAE5</x:v>
      </x:c>
      <x:c r="R46" s="352" t="str">
        <x:v>#FEF3C7</x:v>
      </x:c>
      <x:c r="S46" s="352" t="str">
        <x:v>#A7F3D0</x:v>
      </x:c>
      <x:c r="T46" s="352" t="str">
        <x:v>#D1FAE5</x:v>
      </x:c>
      <x:c r="U46" s="352" t="str">
        <x:v>#FEF3C7</x:v>
      </x:c>
      <x:c r="V46" s="352" t="str">
        <x:v>IDN</x:v>
      </x:c>
      <x:c r="W46" s="352" t="str">
        <x:v>Yes</x:v>
      </x:c>
      <x:c r="X46" s="352" t="str">
        <x:f>TEXTJOIN("",TRUE,"{""type"":""Point"",""coordinates"":[",TEXT(H46,"0.000000"),",",TEXT(G46,"0.000000"),"]}")</x:f>
        <x:v>{"type":"Point","coordinates":[120,-5]}</x:v>
      </x:c>
      <x:c r="Y46" s="352" t="str">
        <x:v>{"country":"Indonesia","iso3":"IDN","region":"Asia","russia_score":"0.5","china_score":"3.25","american_score":"2","eu_score":"1.25","dominant_actor":"China","dominant_score":"3.25","dominant_colour":"#FEF3C7"}</x:v>
      </x:c>
      <x:c r="Z46" s="352" t="str">
        <x:v>ResurgamHub-mentioned country/area; join Leaflet polygons by ISO3=IDN.</x:v>
      </x:c>
    </x:row>
    <x:row r="47">
      <x:c r="A47" s="20" t="str">
        <x:v>Iran</x:v>
      </x:c>
      <x:c r="B47" s="20" t="str">
        <x:v>IR</x:v>
      </x:c>
      <x:c r="C47" s="20" t="str">
        <x:v>IRN</x:v>
      </x:c>
      <x:c r="D47" s="20" t="str">
        <x:v>364</x:v>
      </x:c>
      <x:c r="E47" s="20" t="str">
        <x:v>Asia</x:v>
      </x:c>
      <x:c r="F47" s="20" t="str">
        <x:v>Southern Asia</x:v>
      </x:c>
      <x:c r="G47" s="20" t="n">
        <x:v>32</x:v>
      </x:c>
      <x:c r="H47" s="20" t="n">
        <x:v>53</x:v>
      </x:c>
      <x:c r="I47" s="384" t="n">
        <x:f>IFERROR(VLOOKUP($C47&amp;"|Russia",Scoring_Matrix!$A$2:$X$493,24,FALSE),"No data")</x:f>
        <x:v>3.75</x:v>
      </x:c>
      <x:c r="J47" s="384" t="n">
        <x:f>IFERROR(VLOOKUP($C47&amp;"|China",Scoring_Matrix!$A$2:$X$493,24,FALSE),"No data")</x:f>
        <x:v>1.25</x:v>
      </x:c>
      <x:c r="K47" s="384" t="n">
        <x:f>IFERROR(VLOOKUP($C47&amp;"|United States",Scoring_Matrix!$A$2:$X$493,24,FALSE),"No data")</x:f>
        <x:v>3.25</x:v>
      </x:c>
      <x:c r="L47" s="384" t="n">
        <x:f>IFERROR(VLOOKUP($C47&amp;"|European Union",Scoring_Matrix!$A$2:$X$493,24,FALSE),"No data")</x:f>
        <x:v>1.25</x:v>
      </x:c>
      <x:c r="M47" s="386" t="str">
        <x:f>IF(COUNT(I47:L47)=0,"No data",IF(I47=MAX(I47:L47),"Russia",IF(J47=MAX(I47:L47),"China",IF(K47=MAX(I47:L47),"United States","European Union"))))</x:f>
        <x:v>Russia</x:v>
      </x:c>
      <x:c r="N47" s="384" t="n">
        <x:f>IF(COUNT(I47:L47)=0,"No data",MAX(I47:L47))</x:f>
        <x:v>3.75</x:v>
      </x:c>
      <x:c r="O47" s="20" t="str">
        <x:f>IF(COUNT(I47:L47)=0,"No scored evidence","Scored evidence present")</x:f>
        <x:v>Scored evidence present</x:v>
      </x:c>
      <x:c r="P47" s="20" t="str">
        <x:v>Actor scores are formula rollups from Scoring_Matrix; score only with source-backed evidence.</x:v>
      </x:c>
      <x:c r="Q47" s="352" t="str">
        <x:v>#FDE68A</x:v>
      </x:c>
      <x:c r="R47" s="352" t="str">
        <x:v>#D1FAE5</x:v>
      </x:c>
      <x:c r="S47" s="352" t="str">
        <x:v>#FEF3C7</x:v>
      </x:c>
      <x:c r="T47" s="352" t="str">
        <x:v>#D1FAE5</x:v>
      </x:c>
      <x:c r="U47" s="352" t="str">
        <x:v>#FDE68A</x:v>
      </x:c>
      <x:c r="V47" s="352" t="str">
        <x:v>IRN</x:v>
      </x:c>
      <x:c r="W47" s="352" t="str">
        <x:v>Yes</x:v>
      </x:c>
      <x:c r="X47" s="352" t="str">
        <x:f>TEXTJOIN("",TRUE,"{""type"":""Point"",""coordinates"":[",TEXT(H47,"0.000000"),",",TEXT(G47,"0.000000"),"]}")</x:f>
        <x:v>{"type":"Point","coordinates":[53,32]}</x:v>
      </x:c>
      <x:c r="Y47" s="352" t="str">
        <x:v>{"country":"Iran","iso3":"IRN","region":"Asia","russia_score":"3.75","china_score":"1.25","american_score":"3.25","eu_score":"1.25","dominant_actor":"Russia","dominant_score":"3.75","dominant_colour":"#FDE68A"}</x:v>
      </x:c>
      <x:c r="Z47" s="352" t="str">
        <x:v>ResurgamHub-mentioned country/area; join Leaflet polygons by ISO3=IRN.</x:v>
      </x:c>
    </x:row>
    <x:row r="48">
      <x:c r="A48" s="20" t="str">
        <x:v>Iraq</x:v>
      </x:c>
      <x:c r="B48" s="20" t="str">
        <x:v>IQ</x:v>
      </x:c>
      <x:c r="C48" s="20" t="str">
        <x:v>IRQ</x:v>
      </x:c>
      <x:c r="D48" s="20" t="str">
        <x:v>368</x:v>
      </x:c>
      <x:c r="E48" s="20" t="str">
        <x:v>Asia</x:v>
      </x:c>
      <x:c r="F48" s="20" t="str">
        <x:v>Western Asia</x:v>
      </x:c>
      <x:c r="G48" s="20" t="n">
        <x:v>33</x:v>
      </x:c>
      <x:c r="H48" s="20" t="n">
        <x:v>44</x:v>
      </x:c>
      <x:c r="I48" s="384" t="n">
        <x:f>IFERROR(VLOOKUP($C48&amp;"|Russia",Scoring_Matrix!$A$2:$X$493,24,FALSE),"No data")</x:f>
        <x:v>1.5</x:v>
      </x:c>
      <x:c r="J48" s="384" t="n">
        <x:f>IFERROR(VLOOKUP($C48&amp;"|China",Scoring_Matrix!$A$2:$X$493,24,FALSE),"No data")</x:f>
        <x:v>2.75</x:v>
      </x:c>
      <x:c r="K48" s="384" t="n">
        <x:f>IFERROR(VLOOKUP($C48&amp;"|United States",Scoring_Matrix!$A$2:$X$493,24,FALSE),"No data")</x:f>
        <x:v>6.75</x:v>
      </x:c>
      <x:c r="L48" s="384" t="n">
        <x:f>IFERROR(VLOOKUP($C48&amp;"|European Union",Scoring_Matrix!$A$2:$X$493,24,FALSE),"No data")</x:f>
        <x:v>2</x:v>
      </x:c>
      <x:c r="M48" s="386" t="str">
        <x:f>IF(COUNT(I48:L48)=0,"No data",IF(I48=MAX(I48:L48),"Russia",IF(J48=MAX(I48:L48),"China",IF(K48=MAX(I48:L48),"United States","European Union"))))</x:f>
        <x:v>United States</x:v>
      </x:c>
      <x:c r="N48" s="384" t="n">
        <x:f>IF(COUNT(I48:L48)=0,"No data",MAX(I48:L48))</x:f>
        <x:v>6.75</x:v>
      </x:c>
      <x:c r="O48" s="20" t="str">
        <x:f>IF(COUNT(I48:L48)=0,"No scored evidence","Scored evidence present")</x:f>
        <x:v>Scored evidence present</x:v>
      </x:c>
      <x:c r="P48" s="20" t="str">
        <x:v>Actor scores are formula rollups from Scoring_Matrix; score only with source-backed evidence.</x:v>
      </x:c>
      <x:c r="Q48" s="352" t="str">
        <x:v>#A7F3D0</x:v>
      </x:c>
      <x:c r="R48" s="352" t="str">
        <x:v>#FEF3C7</x:v>
      </x:c>
      <x:c r="S48" s="352" t="str">
        <x:v>#FB923C</x:v>
      </x:c>
      <x:c r="T48" s="352" t="str">
        <x:v>#A7F3D0</x:v>
      </x:c>
      <x:c r="U48" s="352" t="str">
        <x:v>#FB923C</x:v>
      </x:c>
      <x:c r="V48" s="352" t="str">
        <x:v>IRQ</x:v>
      </x:c>
      <x:c r="W48" s="352" t="str">
        <x:v>Yes</x:v>
      </x:c>
      <x:c r="X48" s="352" t="str">
        <x:f>TEXTJOIN("",TRUE,"{""type"":""Point"",""coordinates"":[",TEXT(H48,"0.000000"),",",TEXT(G48,"0.000000"),"]}")</x:f>
        <x:v>{"type":"Point","coordinates":[44,33]}</x:v>
      </x:c>
      <x:c r="Y48" s="352" t="str">
        <x:v>{"country":"Iraq","iso3":"IRQ","region":"Asia","russia_score":"1.5","china_score":"2.75","american_score":"6.75","eu_score":"2","dominant_actor":"United States","dominant_score":"6.75","dominant_colour":"#FB923C"}</x:v>
      </x:c>
      <x:c r="Z48" s="352" t="str">
        <x:v>ResurgamHub-mentioned country/area; join Leaflet polygons by ISO3=IRQ.</x:v>
      </x:c>
    </x:row>
    <x:row r="49">
      <x:c r="A49" s="20" t="str">
        <x:v>Israel</x:v>
      </x:c>
      <x:c r="B49" s="20" t="str">
        <x:v>IL</x:v>
      </x:c>
      <x:c r="C49" s="20" t="str">
        <x:v>ISR</x:v>
      </x:c>
      <x:c r="D49" s="20" t="str">
        <x:v>376</x:v>
      </x:c>
      <x:c r="E49" s="20" t="str">
        <x:v>Asia</x:v>
      </x:c>
      <x:c r="F49" s="20" t="str">
        <x:v>Western Asia</x:v>
      </x:c>
      <x:c r="G49" s="20" t="n">
        <x:v>31.5</x:v>
      </x:c>
      <x:c r="H49" s="20" t="n">
        <x:v>34.75</x:v>
      </x:c>
      <x:c r="I49" s="384" t="n">
        <x:f>IFERROR(VLOOKUP($C49&amp;"|Russia",Scoring_Matrix!$A$2:$X$493,24,FALSE),"No data")</x:f>
        <x:v>0.5</x:v>
      </x:c>
      <x:c r="J49" s="384" t="n">
        <x:f>IFERROR(VLOOKUP($C49&amp;"|China",Scoring_Matrix!$A$2:$X$493,24,FALSE),"No data")</x:f>
        <x:v>1.25</x:v>
      </x:c>
      <x:c r="K49" s="384" t="n">
        <x:f>IFERROR(VLOOKUP($C49&amp;"|United States",Scoring_Matrix!$A$2:$X$493,24,FALSE),"No data")</x:f>
        <x:v>5</x:v>
      </x:c>
      <x:c r="L49" s="384" t="n">
        <x:f>IFERROR(VLOOKUP($C49&amp;"|European Union",Scoring_Matrix!$A$2:$X$493,24,FALSE),"No data")</x:f>
        <x:v>1.25</x:v>
      </x:c>
      <x:c r="M49" s="386" t="str">
        <x:f>IF(COUNT(I49:L49)=0,"No data",IF(I49=MAX(I49:L49),"Russia",IF(J49=MAX(I49:L49),"China",IF(K49=MAX(I49:L49),"United States","European Union"))))</x:f>
        <x:v>United States</x:v>
      </x:c>
      <x:c r="N49" s="384" t="n">
        <x:f>IF(COUNT(I49:L49)=0,"No data",MAX(I49:L49))</x:f>
        <x:v>5</x:v>
      </x:c>
      <x:c r="O49" s="20" t="str">
        <x:f>IF(COUNT(I49:L49)=0,"No scored evidence","Scored evidence present")</x:f>
        <x:v>Scored evidence present</x:v>
      </x:c>
      <x:c r="P49" s="20" t="str">
        <x:v>Actor scores are formula rollups from Scoring_Matrix; score only with source-backed evidence.</x:v>
      </x:c>
      <x:c r="Q49" s="352" t="str">
        <x:v>#D1FAE5</x:v>
      </x:c>
      <x:c r="R49" s="352" t="str">
        <x:v>#D1FAE5</x:v>
      </x:c>
      <x:c r="S49" s="352" t="str">
        <x:v>#FCD34D</x:v>
      </x:c>
      <x:c r="T49" s="352" t="str">
        <x:v>#D1FAE5</x:v>
      </x:c>
      <x:c r="U49" s="352" t="str">
        <x:v>#FCD34D</x:v>
      </x:c>
      <x:c r="V49" s="352" t="str">
        <x:v>ISR</x:v>
      </x:c>
      <x:c r="W49" s="352" t="str">
        <x:v>Yes</x:v>
      </x:c>
      <x:c r="X49" s="352" t="str">
        <x:f>TEXTJOIN("",TRUE,"{""type"":""Point"",""coordinates"":[",TEXT(H49,"0.000000"),",",TEXT(G49,"0.000000"),"]}")</x:f>
        <x:v>{"type":"Point","coordinates":[34.75,31.5]}</x:v>
      </x:c>
      <x:c r="Y49" s="352" t="str">
        <x:v>{"country":"Israel","iso3":"ISR","region":"Asia","russia_score":"0.5","china_score":"1.25","american_score":"5","eu_score":"1.25","dominant_actor":"United States","dominant_score":"5","dominant_colour":"#FCD34D"}</x:v>
      </x:c>
      <x:c r="Z49" s="352" t="str">
        <x:v>ResurgamHub-mentioned country/area; join Leaflet polygons by ISO3=ISR.</x:v>
      </x:c>
    </x:row>
    <x:row r="50">
      <x:c r="A50" s="20" t="str">
        <x:v>Italy</x:v>
      </x:c>
      <x:c r="B50" s="20" t="str">
        <x:v>IT</x:v>
      </x:c>
      <x:c r="C50" s="20" t="str">
        <x:v>ITA</x:v>
      </x:c>
      <x:c r="D50" s="20" t="str">
        <x:v>380</x:v>
      </x:c>
      <x:c r="E50" s="20" t="str">
        <x:v>Europe</x:v>
      </x:c>
      <x:c r="F50" s="20" t="str">
        <x:v>Southern Europe</x:v>
      </x:c>
      <x:c r="G50" s="20" t="n">
        <x:v>42.83333333</x:v>
      </x:c>
      <x:c r="H50" s="20" t="n">
        <x:v>12.83333333</x:v>
      </x:c>
      <x:c r="I50" s="384" t="n">
        <x:f>IFERROR(VLOOKUP($C50&amp;"|Russia",Scoring_Matrix!$A$2:$X$493,24,FALSE),"No data")</x:f>
        <x:v>2.5</x:v>
      </x:c>
      <x:c r="J50" s="384" t="n">
        <x:f>IFERROR(VLOOKUP($C50&amp;"|China",Scoring_Matrix!$A$2:$X$493,24,FALSE),"No data")</x:f>
        <x:v>2</x:v>
      </x:c>
      <x:c r="K50" s="384" t="n">
        <x:f>IFERROR(VLOOKUP($C50&amp;"|United States",Scoring_Matrix!$A$2:$X$493,24,FALSE),"No data")</x:f>
        <x:v>3.5</x:v>
      </x:c>
      <x:c r="L50" s="384" t="n">
        <x:f>IFERROR(VLOOKUP($C50&amp;"|European Union",Scoring_Matrix!$A$2:$X$493,24,FALSE),"No data")</x:f>
        <x:v>4</x:v>
      </x:c>
      <x:c r="M50" s="386" t="str">
        <x:f>IF(COUNT(I50:L50)=0,"No data",IF(I50=MAX(I50:L50),"Russia",IF(J50=MAX(I50:L50),"China",IF(K50=MAX(I50:L50),"United States","European Union"))))</x:f>
        <x:v>European Union</x:v>
      </x:c>
      <x:c r="N50" s="384" t="n">
        <x:f>IF(COUNT(I50:L50)=0,"No data",MAX(I50:L50))</x:f>
        <x:v>4</x:v>
      </x:c>
      <x:c r="O50" s="20" t="str">
        <x:f>IF(COUNT(I50:L50)=0,"No scored evidence","Scored evidence present")</x:f>
        <x:v>Scored evidence present</x:v>
      </x:c>
      <x:c r="P50" s="20" t="str">
        <x:v>Actor scores are formula rollups from Scoring_Matrix; score only with source-backed evidence.</x:v>
      </x:c>
      <x:c r="Q50" s="352" t="str">
        <x:v>#FEF3C7</x:v>
      </x:c>
      <x:c r="R50" s="352" t="str">
        <x:v>#A7F3D0</x:v>
      </x:c>
      <x:c r="S50" s="352" t="str">
        <x:v>#FDE68A</x:v>
      </x:c>
      <x:c r="T50" s="352" t="str">
        <x:v>#FDE68A</x:v>
      </x:c>
      <x:c r="U50" s="352" t="str">
        <x:v>#FDE68A</x:v>
      </x:c>
      <x:c r="V50" s="352" t="str">
        <x:v>ITA</x:v>
      </x:c>
      <x:c r="W50" s="352" t="str">
        <x:v>Yes</x:v>
      </x:c>
      <x:c r="X50" s="352" t="str">
        <x:f>TEXTJOIN("",TRUE,"{""type"":""Point"",""coordinates"":[",TEXT(H50,"0.000000"),",",TEXT(G50,"0.000000"),"]}")</x:f>
        <x:v>{"type":"Point","coordinates":[12.833333,42.833333]}</x:v>
      </x:c>
      <x:c r="Y50" s="352" t="str">
        <x:v>{"country":"Italy","iso3":"ITA","region":"Europe","russia_score":"2.5","china_score":"2","american_score":"3.5","eu_score":"4","dominant_actor":"European Union","dominant_score":"4","dominant_colour":"#FDE68A"}</x:v>
      </x:c>
      <x:c r="Z50" s="352" t="str">
        <x:v>ResurgamHub-mentioned country/area; join Leaflet polygons by ISO3=ITA.</x:v>
      </x:c>
    </x:row>
    <x:row r="51">
      <x:c r="A51" s="20" t="str">
        <x:v>Japan</x:v>
      </x:c>
      <x:c r="B51" s="20" t="str">
        <x:v>JP</x:v>
      </x:c>
      <x:c r="C51" s="20" t="str">
        <x:v>JPN</x:v>
      </x:c>
      <x:c r="D51" s="20" t="str">
        <x:v>392</x:v>
      </x:c>
      <x:c r="E51" s="20" t="str">
        <x:v>Asia</x:v>
      </x:c>
      <x:c r="F51" s="20" t="str">
        <x:v>Eastern Asia</x:v>
      </x:c>
      <x:c r="G51" s="20" t="n">
        <x:v>36</x:v>
      </x:c>
      <x:c r="H51" s="20" t="n">
        <x:v>138</x:v>
      </x:c>
      <x:c r="I51" s="384" t="n">
        <x:f>IFERROR(VLOOKUP($C51&amp;"|Russia",Scoring_Matrix!$A$2:$X$493,24,FALSE),"No data")</x:f>
        <x:v>1.25</x:v>
      </x:c>
      <x:c r="J51" s="384" t="n">
        <x:f>IFERROR(VLOOKUP($C51&amp;"|China",Scoring_Matrix!$A$2:$X$493,24,FALSE),"No data")</x:f>
        <x:v>3.25</x:v>
      </x:c>
      <x:c r="K51" s="384" t="n">
        <x:f>IFERROR(VLOOKUP($C51&amp;"|United States",Scoring_Matrix!$A$2:$X$493,24,FALSE),"No data")</x:f>
        <x:v>5</x:v>
      </x:c>
      <x:c r="L51" s="384" t="n">
        <x:f>IFERROR(VLOOKUP($C51&amp;"|European Union",Scoring_Matrix!$A$2:$X$493,24,FALSE),"No data")</x:f>
        <x:v>1.75</x:v>
      </x:c>
      <x:c r="M51" s="386" t="str">
        <x:f>IF(COUNT(I51:L51)=0,"No data",IF(I51=MAX(I51:L51),"Russia",IF(J51=MAX(I51:L51),"China",IF(K51=MAX(I51:L51),"United States","European Union"))))</x:f>
        <x:v>United States</x:v>
      </x:c>
      <x:c r="N51" s="384" t="n">
        <x:f>IF(COUNT(I51:L51)=0,"No data",MAX(I51:L51))</x:f>
        <x:v>5</x:v>
      </x:c>
      <x:c r="O51" s="20" t="str">
        <x:f>IF(COUNT(I51:L51)=0,"No scored evidence","Scored evidence present")</x:f>
        <x:v>Scored evidence present</x:v>
      </x:c>
      <x:c r="P51" s="20" t="str">
        <x:v>Actor scores are formula rollups from Scoring_Matrix; score only with source-backed evidence.</x:v>
      </x:c>
      <x:c r="Q51" s="352" t="str">
        <x:v>#D1FAE5</x:v>
      </x:c>
      <x:c r="R51" s="352" t="str">
        <x:v>#FEF3C7</x:v>
      </x:c>
      <x:c r="S51" s="352" t="str">
        <x:v>#FCD34D</x:v>
      </x:c>
      <x:c r="T51" s="352" t="str">
        <x:v>#A7F3D0</x:v>
      </x:c>
      <x:c r="U51" s="352" t="str">
        <x:v>#FCD34D</x:v>
      </x:c>
      <x:c r="V51" s="352" t="str">
        <x:v>JPN</x:v>
      </x:c>
      <x:c r="W51" s="352" t="str">
        <x:v>Yes</x:v>
      </x:c>
      <x:c r="X51" s="352" t="str">
        <x:f>TEXTJOIN("",TRUE,"{""type"":""Point"",""coordinates"":[",TEXT(H51,"0.000000"),",",TEXT(G51,"0.000000"),"]}")</x:f>
        <x:v>{"type":"Point","coordinates":[138,36]}</x:v>
      </x:c>
      <x:c r="Y51" s="352" t="str">
        <x:v>{"country":"Japan","iso3":"JPN","region":"Asia","russia_score":"1.25","china_score":"3.25","american_score":"5","eu_score":"1.75","dominant_actor":"United States","dominant_score":"5","dominant_colour":"#FCD34D"}</x:v>
      </x:c>
      <x:c r="Z51" s="352" t="str">
        <x:v>ResurgamHub-mentioned country/area; join Leaflet polygons by ISO3=JPN.</x:v>
      </x:c>
    </x:row>
    <x:row r="52">
      <x:c r="A52" s="20" t="str">
        <x:v>Jordan</x:v>
      </x:c>
      <x:c r="B52" s="20" t="str">
        <x:v>JO</x:v>
      </x:c>
      <x:c r="C52" s="20" t="str">
        <x:v>JOR</x:v>
      </x:c>
      <x:c r="D52" s="20" t="str">
        <x:v>400</x:v>
      </x:c>
      <x:c r="E52" s="20" t="str">
        <x:v>Asia</x:v>
      </x:c>
      <x:c r="F52" s="20" t="str">
        <x:v>Western Asia</x:v>
      </x:c>
      <x:c r="G52" s="20" t="n">
        <x:v>31</x:v>
      </x:c>
      <x:c r="H52" s="20" t="n">
        <x:v>36</x:v>
      </x:c>
      <x:c r="I52" s="384" t="n">
        <x:f>IFERROR(VLOOKUP($C52&amp;"|Russia",Scoring_Matrix!$A$2:$X$493,24,FALSE),"No data")</x:f>
        <x:v>0.5</x:v>
      </x:c>
      <x:c r="J52" s="384" t="n">
        <x:f>IFERROR(VLOOKUP($C52&amp;"|China",Scoring_Matrix!$A$2:$X$493,24,FALSE),"No data")</x:f>
        <x:v>1.25</x:v>
      </x:c>
      <x:c r="K52" s="384" t="n">
        <x:f>IFERROR(VLOOKUP($C52&amp;"|United States",Scoring_Matrix!$A$2:$X$493,24,FALSE),"No data")</x:f>
        <x:v>4.75</x:v>
      </x:c>
      <x:c r="L52" s="384" t="n">
        <x:f>IFERROR(VLOOKUP($C52&amp;"|European Union",Scoring_Matrix!$A$2:$X$493,24,FALSE),"No data")</x:f>
        <x:v>1.5</x:v>
      </x:c>
      <x:c r="M52" s="386" t="str">
        <x:f>IF(COUNT(I52:L52)=0,"No data",IF(I52=MAX(I52:L52),"Russia",IF(J52=MAX(I52:L52),"China",IF(K52=MAX(I52:L52),"United States","European Union"))))</x:f>
        <x:v>United States</x:v>
      </x:c>
      <x:c r="N52" s="384" t="n">
        <x:f>IF(COUNT(I52:L52)=0,"No data",MAX(I52:L52))</x:f>
        <x:v>4.75</x:v>
      </x:c>
      <x:c r="O52" s="20" t="str">
        <x:f>IF(COUNT(I52:L52)=0,"No scored evidence","Scored evidence present")</x:f>
        <x:v>Scored evidence present</x:v>
      </x:c>
      <x:c r="P52" s="20" t="str">
        <x:v>Actor scores are formula rollups from Scoring_Matrix; score only with source-backed evidence.</x:v>
      </x:c>
      <x:c r="Q52" s="352" t="str">
        <x:v>#D1FAE5</x:v>
      </x:c>
      <x:c r="R52" s="352" t="str">
        <x:v>#D1FAE5</x:v>
      </x:c>
      <x:c r="S52" s="352" t="str">
        <x:v>#FCD34D</x:v>
      </x:c>
      <x:c r="T52" s="352" t="str">
        <x:v>#A7F3D0</x:v>
      </x:c>
      <x:c r="U52" s="352" t="str">
        <x:v>#FCD34D</x:v>
      </x:c>
      <x:c r="V52" s="352" t="str">
        <x:v>JOR</x:v>
      </x:c>
      <x:c r="W52" s="352" t="str">
        <x:v>Yes</x:v>
      </x:c>
      <x:c r="X52" s="352" t="str">
        <x:f>TEXTJOIN("",TRUE,"{""type"":""Point"",""coordinates"":[",TEXT(H52,"0.000000"),",",TEXT(G52,"0.000000"),"]}")</x:f>
        <x:v>{"type":"Point","coordinates":[36,31]}</x:v>
      </x:c>
      <x:c r="Y52" s="352" t="str">
        <x:v>{"country":"Jordan","iso3":"JOR","region":"Asia","russia_score":"0.5","china_score":"1.25","american_score":"4.75","eu_score":"1.5","dominant_actor":"United States","dominant_score":"4.75","dominant_colour":"#FCD34D"}</x:v>
      </x:c>
      <x:c r="Z52" s="352" t="str">
        <x:v>ResurgamHub-mentioned country/area; join Leaflet polygons by ISO3=JOR.</x:v>
      </x:c>
    </x:row>
    <x:row r="53">
      <x:c r="A53" s="20" t="str">
        <x:v>Kazakhstan</x:v>
      </x:c>
      <x:c r="B53" s="20" t="str">
        <x:v>KZ</x:v>
      </x:c>
      <x:c r="C53" s="20" t="str">
        <x:v>KAZ</x:v>
      </x:c>
      <x:c r="D53" s="20" t="str">
        <x:v>398</x:v>
      </x:c>
      <x:c r="E53" s="20" t="str">
        <x:v>Asia</x:v>
      </x:c>
      <x:c r="F53" s="20" t="str">
        <x:v>Central Asia</x:v>
      </x:c>
      <x:c r="G53" s="20" t="n">
        <x:v>48</x:v>
      </x:c>
      <x:c r="H53" s="20" t="n">
        <x:v>68</x:v>
      </x:c>
      <x:c r="I53" s="384" t="n">
        <x:f>IFERROR(VLOOKUP($C53&amp;"|Russia",Scoring_Matrix!$A$2:$X$493,24,FALSE),"No data")</x:f>
        <x:v>1.75</x:v>
      </x:c>
      <x:c r="J53" s="384" t="n">
        <x:f>IFERROR(VLOOKUP($C53&amp;"|China",Scoring_Matrix!$A$2:$X$493,24,FALSE),"No data")</x:f>
        <x:v>2.5</x:v>
      </x:c>
      <x:c r="K53" s="384" t="n">
        <x:f>IFERROR(VLOOKUP($C53&amp;"|United States",Scoring_Matrix!$A$2:$X$493,24,FALSE),"No data")</x:f>
        <x:v>2.25</x:v>
      </x:c>
      <x:c r="L53" s="384" t="n">
        <x:f>IFERROR(VLOOKUP($C53&amp;"|European Union",Scoring_Matrix!$A$2:$X$493,24,FALSE),"No data")</x:f>
        <x:v>1.25</x:v>
      </x:c>
      <x:c r="M53" s="386" t="str">
        <x:f>IF(COUNT(I53:L53)=0,"No data",IF(I53=MAX(I53:L53),"Russia",IF(J53=MAX(I53:L53),"China",IF(K53=MAX(I53:L53),"United States","European Union"))))</x:f>
        <x:v>China</x:v>
      </x:c>
      <x:c r="N53" s="384" t="n">
        <x:f>IF(COUNT(I53:L53)=0,"No data",MAX(I53:L53))</x:f>
        <x:v>2.5</x:v>
      </x:c>
      <x:c r="O53" s="20" t="str">
        <x:f>IF(COUNT(I53:L53)=0,"No scored evidence","Scored evidence present")</x:f>
        <x:v>Scored evidence present</x:v>
      </x:c>
      <x:c r="P53" s="20" t="str">
        <x:v>Actor scores are formula rollups from Scoring_Matrix; score only with source-backed evidence.</x:v>
      </x:c>
      <x:c r="Q53" s="352" t="str">
        <x:v>#A7F3D0</x:v>
      </x:c>
      <x:c r="R53" s="352" t="str">
        <x:v>#FEF3C7</x:v>
      </x:c>
      <x:c r="S53" s="352" t="str">
        <x:v>#A7F3D0</x:v>
      </x:c>
      <x:c r="T53" s="352" t="str">
        <x:v>#D1FAE5</x:v>
      </x:c>
      <x:c r="U53" s="352" t="str">
        <x:v>#FEF3C7</x:v>
      </x:c>
      <x:c r="V53" s="352" t="str">
        <x:v>KAZ</x:v>
      </x:c>
      <x:c r="W53" s="352" t="str">
        <x:v>Yes</x:v>
      </x:c>
      <x:c r="X53" s="352" t="str">
        <x:f>TEXTJOIN("",TRUE,"{""type"":""Point"",""coordinates"":[",TEXT(H53,"0.000000"),",",TEXT(G53,"0.000000"),"]}")</x:f>
        <x:v>{"type":"Point","coordinates":[68,48]}</x:v>
      </x:c>
      <x:c r="Y53" s="352" t="str">
        <x:v>{"country":"Kazakhstan","iso3":"KAZ","region":"Asia","russia_score":"1.75","china_score":"2.5","american_score":"2.25","eu_score":"1.25","dominant_actor":"China","dominant_score":"2.5","dominant_colour":"#FEF3C7"}</x:v>
      </x:c>
      <x:c r="Z53" s="352" t="str">
        <x:v>ResurgamHub-mentioned country/area; join Leaflet polygons by ISO3=KAZ.</x:v>
      </x:c>
    </x:row>
    <x:row r="54">
      <x:c r="A54" s="20" t="str">
        <x:v>Kenya</x:v>
      </x:c>
      <x:c r="B54" s="20" t="str">
        <x:v>KE</x:v>
      </x:c>
      <x:c r="C54" s="20" t="str">
        <x:v>KEN</x:v>
      </x:c>
      <x:c r="D54" s="20" t="str">
        <x:v>404</x:v>
      </x:c>
      <x:c r="E54" s="20" t="str">
        <x:v>Africa</x:v>
      </x:c>
      <x:c r="F54" s="20" t="str">
        <x:v>Eastern Africa</x:v>
      </x:c>
      <x:c r="G54" s="20" t="n">
        <x:v>1</x:v>
      </x:c>
      <x:c r="H54" s="20" t="n">
        <x:v>38</x:v>
      </x:c>
      <x:c r="I54" s="384" t="n">
        <x:f>IFERROR(VLOOKUP($C54&amp;"|Russia",Scoring_Matrix!$A$2:$X$493,24,FALSE),"No data")</x:f>
        <x:v>1.75</x:v>
      </x:c>
      <x:c r="J54" s="384" t="n">
        <x:f>IFERROR(VLOOKUP($C54&amp;"|China",Scoring_Matrix!$A$2:$X$493,24,FALSE),"No data")</x:f>
        <x:v>3</x:v>
      </x:c>
      <x:c r="K54" s="384" t="n">
        <x:f>IFERROR(VLOOKUP($C54&amp;"|United States",Scoring_Matrix!$A$2:$X$493,24,FALSE),"No data")</x:f>
        <x:v>2.75</x:v>
      </x:c>
      <x:c r="L54" s="384" t="n">
        <x:f>IFERROR(VLOOKUP($C54&amp;"|European Union",Scoring_Matrix!$A$2:$X$493,24,FALSE),"No data")</x:f>
        <x:v>1.75</x:v>
      </x:c>
      <x:c r="M54" s="386" t="str">
        <x:f>IF(COUNT(I54:L54)=0,"No data",IF(I54=MAX(I54:L54),"Russia",IF(J54=MAX(I54:L54),"China",IF(K54=MAX(I54:L54),"United States","European Union"))))</x:f>
        <x:v>China</x:v>
      </x:c>
      <x:c r="N54" s="384" t="n">
        <x:f>IF(COUNT(I54:L54)=0,"No data",MAX(I54:L54))</x:f>
        <x:v>3</x:v>
      </x:c>
      <x:c r="O54" s="20" t="str">
        <x:f>IF(COUNT(I54:L54)=0,"No scored evidence","Scored evidence present")</x:f>
        <x:v>Scored evidence present</x:v>
      </x:c>
      <x:c r="P54" s="20" t="str">
        <x:v>Actor scores are formula rollups from Scoring_Matrix; score only with source-backed evidence.</x:v>
      </x:c>
      <x:c r="Q54" s="352" t="str">
        <x:v>#A7F3D0</x:v>
      </x:c>
      <x:c r="R54" s="352" t="str">
        <x:v>#FEF3C7</x:v>
      </x:c>
      <x:c r="S54" s="352" t="str">
        <x:v>#FEF3C7</x:v>
      </x:c>
      <x:c r="T54" s="352" t="str">
        <x:v>#A7F3D0</x:v>
      </x:c>
      <x:c r="U54" s="352" t="str">
        <x:v>#FEF3C7</x:v>
      </x:c>
      <x:c r="V54" s="352" t="str">
        <x:v>KEN</x:v>
      </x:c>
      <x:c r="W54" s="352" t="str">
        <x:v>Yes</x:v>
      </x:c>
      <x:c r="X54" s="352" t="str">
        <x:f>TEXTJOIN("",TRUE,"{""type"":""Point"",""coordinates"":[",TEXT(H54,"0.000000"),",",TEXT(G54,"0.000000"),"]}")</x:f>
        <x:v>{"type":"Point","coordinates":[38,1]}</x:v>
      </x:c>
      <x:c r="Y54" s="352" t="str">
        <x:v>{"country":"Kenya","iso3":"KEN","region":"Africa","russia_score":"1.75","china_score":"3","american_score":"2.75","eu_score":"1.75","dominant_actor":"China","dominant_score":"3","dominant_colour":"#FEF3C7"}</x:v>
      </x:c>
      <x:c r="Z54" s="352" t="str">
        <x:v>ResurgamHub-mentioned country/area; join Leaflet polygons by ISO3=KEN.</x:v>
      </x:c>
    </x:row>
    <x:row r="55">
      <x:c r="A55" s="20" t="str">
        <x:v>Kiribati</x:v>
      </x:c>
      <x:c r="B55" s="20" t="str">
        <x:v>KI</x:v>
      </x:c>
      <x:c r="C55" s="20" t="str">
        <x:v>KIR</x:v>
      </x:c>
      <x:c r="D55" s="20" t="str">
        <x:v>296</x:v>
      </x:c>
      <x:c r="E55" s="20" t="str">
        <x:v>Oceania</x:v>
      </x:c>
      <x:c r="F55" s="20" t="str">
        <x:v>Micronesia</x:v>
      </x:c>
      <x:c r="G55" s="20" t="n">
        <x:v>1.41666666</x:v>
      </x:c>
      <x:c r="H55" s="20" t="n">
        <x:v>173</x:v>
      </x:c>
      <x:c r="I55" s="384" t="n">
        <x:f>IFERROR(VLOOKUP($C55&amp;"|Russia",Scoring_Matrix!$A$2:$X$493,24,FALSE),"No data")</x:f>
        <x:v>0.5</x:v>
      </x:c>
      <x:c r="J55" s="384" t="n">
        <x:f>IFERROR(VLOOKUP($C55&amp;"|China",Scoring_Matrix!$A$2:$X$493,24,FALSE),"No data")</x:f>
        <x:v>3.25</x:v>
      </x:c>
      <x:c r="K55" s="384" t="n">
        <x:f>IFERROR(VLOOKUP($C55&amp;"|United States",Scoring_Matrix!$A$2:$X$493,24,FALSE),"No data")</x:f>
        <x:v>1.75</x:v>
      </x:c>
      <x:c r="L55" s="384" t="n">
        <x:f>IFERROR(VLOOKUP($C55&amp;"|European Union",Scoring_Matrix!$A$2:$X$493,24,FALSE),"No data")</x:f>
        <x:v>1</x:v>
      </x:c>
      <x:c r="M55" s="386" t="str">
        <x:f>IF(COUNT(I55:L55)=0,"No data",IF(I55=MAX(I55:L55),"Russia",IF(J55=MAX(I55:L55),"China",IF(K55=MAX(I55:L55),"United States","European Union"))))</x:f>
        <x:v>China</x:v>
      </x:c>
      <x:c r="N55" s="384" t="n">
        <x:f>IF(COUNT(I55:L55)=0,"No data",MAX(I55:L55))</x:f>
        <x:v>3.25</x:v>
      </x:c>
      <x:c r="O55" s="20" t="str">
        <x:f>IF(COUNT(I55:L55)=0,"No scored evidence","Scored evidence present")</x:f>
        <x:v>Scored evidence present</x:v>
      </x:c>
      <x:c r="P55" s="20" t="str">
        <x:v>Actor scores are formula rollups from Scoring_Matrix; score only with source-backed evidence.</x:v>
      </x:c>
      <x:c r="Q55" s="352" t="str">
        <x:v>#D1FAE5</x:v>
      </x:c>
      <x:c r="R55" s="352" t="str">
        <x:v>#FEF3C7</x:v>
      </x:c>
      <x:c r="S55" s="352" t="str">
        <x:v>#A7F3D0</x:v>
      </x:c>
      <x:c r="T55" s="352" t="str">
        <x:v>#D1FAE5</x:v>
      </x:c>
      <x:c r="U55" s="352" t="str">
        <x:v>#FEF3C7</x:v>
      </x:c>
      <x:c r="V55" s="352" t="str">
        <x:v>KIR</x:v>
      </x:c>
      <x:c r="W55" s="352" t="str">
        <x:v>Yes</x:v>
      </x:c>
      <x:c r="X55" s="352" t="str">
        <x:f>TEXTJOIN("",TRUE,"{""type"":""Point"",""coordinates"":[",TEXT(H55,"0.000000"),",",TEXT(G55,"0.000000"),"]}")</x:f>
        <x:v>{"type":"Point","coordinates":[173,1.416667]}</x:v>
      </x:c>
      <x:c r="Y55" s="352" t="str">
        <x:v>{"country":"Kiribati","iso3":"KIR","region":"Oceania","russia_score":"0.5","china_score":"3.25","american_score":"1.75","eu_score":"1","dominant_actor":"China","dominant_score":"3.25","dominant_colour":"#FEF3C7"}</x:v>
      </x:c>
      <x:c r="Z55" s="352" t="str">
        <x:v>ResurgamHub-mentioned country/area; join Leaflet polygons by ISO3=KIR.</x:v>
      </x:c>
    </x:row>
    <x:row r="56">
      <x:c r="A56" s="20" t="str">
        <x:v>Kuwait</x:v>
      </x:c>
      <x:c r="B56" s="20" t="str">
        <x:v>KW</x:v>
      </x:c>
      <x:c r="C56" s="20" t="str">
        <x:v>KWT</x:v>
      </x:c>
      <x:c r="D56" s="20" t="str">
        <x:v>414</x:v>
      </x:c>
      <x:c r="E56" s="20" t="str">
        <x:v>Asia</x:v>
      </x:c>
      <x:c r="F56" s="20" t="str">
        <x:v>Western Asia</x:v>
      </x:c>
      <x:c r="G56" s="20" t="n">
        <x:v>29.5</x:v>
      </x:c>
      <x:c r="H56" s="20" t="n">
        <x:v>45.75</x:v>
      </x:c>
      <x:c r="I56" s="384" t="n">
        <x:f>IFERROR(VLOOKUP($C56&amp;"|Russia",Scoring_Matrix!$A$2:$X$493,24,FALSE),"No data")</x:f>
        <x:v>0.5</x:v>
      </x:c>
      <x:c r="J56" s="384" t="n">
        <x:f>IFERROR(VLOOKUP($C56&amp;"|China",Scoring_Matrix!$A$2:$X$493,24,FALSE),"No data")</x:f>
        <x:v>1.25</x:v>
      </x:c>
      <x:c r="K56" s="384" t="n">
        <x:f>IFERROR(VLOOKUP($C56&amp;"|United States",Scoring_Matrix!$A$2:$X$493,24,FALSE),"No data")</x:f>
        <x:v>4.75</x:v>
      </x:c>
      <x:c r="L56" s="384" t="n">
        <x:f>IFERROR(VLOOKUP($C56&amp;"|European Union",Scoring_Matrix!$A$2:$X$493,24,FALSE),"No data")</x:f>
        <x:v>1.25</x:v>
      </x:c>
      <x:c r="M56" s="386" t="str">
        <x:f>IF(COUNT(I56:L56)=0,"No data",IF(I56=MAX(I56:L56),"Russia",IF(J56=MAX(I56:L56),"China",IF(K56=MAX(I56:L56),"United States","European Union"))))</x:f>
        <x:v>United States</x:v>
      </x:c>
      <x:c r="N56" s="384" t="n">
        <x:f>IF(COUNT(I56:L56)=0,"No data",MAX(I56:L56))</x:f>
        <x:v>4.75</x:v>
      </x:c>
      <x:c r="O56" s="20" t="str">
        <x:f>IF(COUNT(I56:L56)=0,"No scored evidence","Scored evidence present")</x:f>
        <x:v>Scored evidence present</x:v>
      </x:c>
      <x:c r="P56" s="20" t="str">
        <x:v>Actor scores are formula rollups from Scoring_Matrix; score only with source-backed evidence.</x:v>
      </x:c>
      <x:c r="Q56" s="352" t="str">
        <x:v>#D1FAE5</x:v>
      </x:c>
      <x:c r="R56" s="352" t="str">
        <x:v>#D1FAE5</x:v>
      </x:c>
      <x:c r="S56" s="352" t="str">
        <x:v>#FCD34D</x:v>
      </x:c>
      <x:c r="T56" s="352" t="str">
        <x:v>#D1FAE5</x:v>
      </x:c>
      <x:c r="U56" s="352" t="str">
        <x:v>#FCD34D</x:v>
      </x:c>
      <x:c r="V56" s="352" t="str">
        <x:v>KWT</x:v>
      </x:c>
      <x:c r="W56" s="352" t="str">
        <x:v>Yes</x:v>
      </x:c>
      <x:c r="X56" s="352" t="str">
        <x:f>TEXTJOIN("",TRUE,"{""type"":""Point"",""coordinates"":[",TEXT(H56,"0.000000"),",",TEXT(G56,"0.000000"),"]}")</x:f>
        <x:v>{"type":"Point","coordinates":[45.75,29.5]}</x:v>
      </x:c>
      <x:c r="Y56" s="352" t="str">
        <x:v>{"country":"Kuwait","iso3":"KWT","region":"Asia","russia_score":"0.5","china_score":"1.25","american_score":"4.75","eu_score":"1.25","dominant_actor":"United States","dominant_score":"4.75","dominant_colour":"#FCD34D"}</x:v>
      </x:c>
      <x:c r="Z56" s="352" t="str">
        <x:v>ResurgamHub-mentioned country/area; join Leaflet polygons by ISO3=KWT.</x:v>
      </x:c>
    </x:row>
    <x:row r="57">
      <x:c r="A57" s="20" t="str">
        <x:v>Kyrgyzstan</x:v>
      </x:c>
      <x:c r="B57" s="20" t="str">
        <x:v>KG</x:v>
      </x:c>
      <x:c r="C57" s="20" t="str">
        <x:v>KGZ</x:v>
      </x:c>
      <x:c r="D57" s="20" t="str">
        <x:v>417</x:v>
      </x:c>
      <x:c r="E57" s="20" t="str">
        <x:v>Asia</x:v>
      </x:c>
      <x:c r="F57" s="20" t="str">
        <x:v>Central Asia</x:v>
      </x:c>
      <x:c r="G57" s="20" t="n">
        <x:v>41</x:v>
      </x:c>
      <x:c r="H57" s="20" t="n">
        <x:v>75</x:v>
      </x:c>
      <x:c r="I57" s="384" t="n">
        <x:f>IFERROR(VLOOKUP($C57&amp;"|Russia",Scoring_Matrix!$A$2:$X$493,24,FALSE),"No data")</x:f>
        <x:v>1.75</x:v>
      </x:c>
      <x:c r="J57" s="384" t="n">
        <x:f>IFERROR(VLOOKUP($C57&amp;"|China",Scoring_Matrix!$A$2:$X$493,24,FALSE),"No data")</x:f>
        <x:v>2.5</x:v>
      </x:c>
      <x:c r="K57" s="384" t="n">
        <x:f>IFERROR(VLOOKUP($C57&amp;"|United States",Scoring_Matrix!$A$2:$X$493,24,FALSE),"No data")</x:f>
        <x:v>2.25</x:v>
      </x:c>
      <x:c r="L57" s="384" t="n">
        <x:f>IFERROR(VLOOKUP($C57&amp;"|European Union",Scoring_Matrix!$A$2:$X$493,24,FALSE),"No data")</x:f>
        <x:v>1.25</x:v>
      </x:c>
      <x:c r="M57" s="386" t="str">
        <x:f>IF(COUNT(I57:L57)=0,"No data",IF(I57=MAX(I57:L57),"Russia",IF(J57=MAX(I57:L57),"China",IF(K57=MAX(I57:L57),"United States","European Union"))))</x:f>
        <x:v>China</x:v>
      </x:c>
      <x:c r="N57" s="384" t="n">
        <x:f>IF(COUNT(I57:L57)=0,"No data",MAX(I57:L57))</x:f>
        <x:v>2.5</x:v>
      </x:c>
      <x:c r="O57" s="20" t="str">
        <x:f>IF(COUNT(I57:L57)=0,"No scored evidence","Scored evidence present")</x:f>
        <x:v>Scored evidence present</x:v>
      </x:c>
      <x:c r="P57" s="20" t="str">
        <x:v>Actor scores are formula rollups from Scoring_Matrix; score only with source-backed evidence.</x:v>
      </x:c>
      <x:c r="Q57" s="352" t="str">
        <x:v>#A7F3D0</x:v>
      </x:c>
      <x:c r="R57" s="352" t="str">
        <x:v>#FEF3C7</x:v>
      </x:c>
      <x:c r="S57" s="352" t="str">
        <x:v>#A7F3D0</x:v>
      </x:c>
      <x:c r="T57" s="352" t="str">
        <x:v>#D1FAE5</x:v>
      </x:c>
      <x:c r="U57" s="352" t="str">
        <x:v>#FEF3C7</x:v>
      </x:c>
      <x:c r="V57" s="352" t="str">
        <x:v>KGZ</x:v>
      </x:c>
      <x:c r="W57" s="352" t="str">
        <x:v>Yes</x:v>
      </x:c>
      <x:c r="X57" s="352" t="str">
        <x:f>TEXTJOIN("",TRUE,"{""type"":""Point"",""coordinates"":[",TEXT(H57,"0.000000"),",",TEXT(G57,"0.000000"),"]}")</x:f>
        <x:v>{"type":"Point","coordinates":[75,41]}</x:v>
      </x:c>
      <x:c r="Y57" s="352" t="str">
        <x:v>{"country":"Kyrgyzstan","iso3":"KGZ","region":"Asia","russia_score":"1.75","china_score":"2.5","american_score":"2.25","eu_score":"1.25","dominant_actor":"China","dominant_score":"2.5","dominant_colour":"#FEF3C7"}</x:v>
      </x:c>
      <x:c r="Z57" s="352" t="str">
        <x:v>ResurgamHub-mentioned country/area; join Leaflet polygons by ISO3=KGZ.</x:v>
      </x:c>
    </x:row>
    <x:row r="58">
      <x:c r="A58" s="20" t="str">
        <x:v>Latvia</x:v>
      </x:c>
      <x:c r="B58" s="20" t="str">
        <x:v>LV</x:v>
      </x:c>
      <x:c r="C58" s="20" t="str">
        <x:v>LVA</x:v>
      </x:c>
      <x:c r="D58" s="20" t="str">
        <x:v>428</x:v>
      </x:c>
      <x:c r="E58" s="20" t="str">
        <x:v>Europe</x:v>
      </x:c>
      <x:c r="F58" s="20" t="str">
        <x:v>Northern Europe</x:v>
      </x:c>
      <x:c r="G58" s="20" t="n">
        <x:v>57</x:v>
      </x:c>
      <x:c r="H58" s="20" t="n">
        <x:v>25</x:v>
      </x:c>
      <x:c r="I58" s="384" t="n">
        <x:f>IFERROR(VLOOKUP($C58&amp;"|Russia",Scoring_Matrix!$A$2:$X$493,24,FALSE),"No data")</x:f>
        <x:v>3.25</x:v>
      </x:c>
      <x:c r="J58" s="384" t="n">
        <x:f>IFERROR(VLOOKUP($C58&amp;"|China",Scoring_Matrix!$A$2:$X$493,24,FALSE),"No data")</x:f>
        <x:v>1.5</x:v>
      </x:c>
      <x:c r="K58" s="384" t="n">
        <x:f>IFERROR(VLOOKUP($C58&amp;"|United States",Scoring_Matrix!$A$2:$X$493,24,FALSE),"No data")</x:f>
        <x:v>3.5</x:v>
      </x:c>
      <x:c r="L58" s="384" t="n">
        <x:f>IFERROR(VLOOKUP($C58&amp;"|European Union",Scoring_Matrix!$A$2:$X$493,24,FALSE),"No data")</x:f>
        <x:v>4</x:v>
      </x:c>
      <x:c r="M58" s="386" t="str">
        <x:f>IF(COUNT(I58:L58)=0,"No data",IF(I58=MAX(I58:L58),"Russia",IF(J58=MAX(I58:L58),"China",IF(K58=MAX(I58:L58),"United States","European Union"))))</x:f>
        <x:v>European Union</x:v>
      </x:c>
      <x:c r="N58" s="384" t="n">
        <x:f>IF(COUNT(I58:L58)=0,"No data",MAX(I58:L58))</x:f>
        <x:v>4</x:v>
      </x:c>
      <x:c r="O58" s="20" t="str">
        <x:f>IF(COUNT(I58:L58)=0,"No scored evidence","Scored evidence present")</x:f>
        <x:v>Scored evidence present</x:v>
      </x:c>
      <x:c r="P58" s="20" t="str">
        <x:v>Actor scores are formula rollups from Scoring_Matrix; score only with source-backed evidence.</x:v>
      </x:c>
      <x:c r="Q58" s="352" t="str">
        <x:v>#FEF3C7</x:v>
      </x:c>
      <x:c r="R58" s="352" t="str">
        <x:v>#A7F3D0</x:v>
      </x:c>
      <x:c r="S58" s="352" t="str">
        <x:v>#FDE68A</x:v>
      </x:c>
      <x:c r="T58" s="352" t="str">
        <x:v>#FDE68A</x:v>
      </x:c>
      <x:c r="U58" s="352" t="str">
        <x:v>#FDE68A</x:v>
      </x:c>
      <x:c r="V58" s="352" t="str">
        <x:v>LVA</x:v>
      </x:c>
      <x:c r="W58" s="352" t="str">
        <x:v>Yes</x:v>
      </x:c>
      <x:c r="X58" s="352" t="str">
        <x:f>TEXTJOIN("",TRUE,"{""type"":""Point"",""coordinates"":[",TEXT(H58,"0.000000"),",",TEXT(G58,"0.000000"),"]}")</x:f>
        <x:v>{"type":"Point","coordinates":[25,57]}</x:v>
      </x:c>
      <x:c r="Y58" s="352" t="str">
        <x:v>{"country":"Latvia","iso3":"LVA","region":"Europe","russia_score":"3.25","china_score":"1.5","american_score":"3.5","eu_score":"4","dominant_actor":"European Union","dominant_score":"4","dominant_colour":"#FDE68A"}</x:v>
      </x:c>
      <x:c r="Z58" s="352" t="str">
        <x:v>ResurgamHub-mentioned country/area; join Leaflet polygons by ISO3=LVA.</x:v>
      </x:c>
    </x:row>
    <x:row r="59">
      <x:c r="A59" s="20" t="str">
        <x:v>Lebanon</x:v>
      </x:c>
      <x:c r="B59" s="20" t="str">
        <x:v>LB</x:v>
      </x:c>
      <x:c r="C59" s="20" t="str">
        <x:v>LBN</x:v>
      </x:c>
      <x:c r="D59" s="20" t="str">
        <x:v>422</x:v>
      </x:c>
      <x:c r="E59" s="20" t="str">
        <x:v>Asia</x:v>
      </x:c>
      <x:c r="F59" s="20" t="str">
        <x:v>Western Asia</x:v>
      </x:c>
      <x:c r="G59" s="20" t="n">
        <x:v>33.83333333</x:v>
      </x:c>
      <x:c r="H59" s="20" t="n">
        <x:v>35.83333333</x:v>
      </x:c>
      <x:c r="I59" s="384" t="n">
        <x:f>IFERROR(VLOOKUP($C59&amp;"|Russia",Scoring_Matrix!$A$2:$X$493,24,FALSE),"No data")</x:f>
        <x:v>0.5</x:v>
      </x:c>
      <x:c r="J59" s="384" t="n">
        <x:f>IFERROR(VLOOKUP($C59&amp;"|China",Scoring_Matrix!$A$2:$X$493,24,FALSE),"No data")</x:f>
        <x:v>1.25</x:v>
      </x:c>
      <x:c r="K59" s="384" t="n">
        <x:f>IFERROR(VLOOKUP($C59&amp;"|United States",Scoring_Matrix!$A$2:$X$493,24,FALSE),"No data")</x:f>
        <x:v>2.5</x:v>
      </x:c>
      <x:c r="L59" s="384" t="n">
        <x:f>IFERROR(VLOOKUP($C59&amp;"|European Union",Scoring_Matrix!$A$2:$X$493,24,FALSE),"No data")</x:f>
        <x:v>1.25</x:v>
      </x:c>
      <x:c r="M59" s="386" t="str">
        <x:f>IF(COUNT(I59:L59)=0,"No data",IF(I59=MAX(I59:L59),"Russia",IF(J59=MAX(I59:L59),"China",IF(K59=MAX(I59:L59),"United States","European Union"))))</x:f>
        <x:v>United States</x:v>
      </x:c>
      <x:c r="N59" s="384" t="n">
        <x:f>IF(COUNT(I59:L59)=0,"No data",MAX(I59:L59))</x:f>
        <x:v>2.5</x:v>
      </x:c>
      <x:c r="O59" s="20" t="str">
        <x:f>IF(COUNT(I59:L59)=0,"No scored evidence","Scored evidence present")</x:f>
        <x:v>Scored evidence present</x:v>
      </x:c>
      <x:c r="P59" s="20" t="str">
        <x:v>Actor scores are formula rollups from Scoring_Matrix; score only with source-backed evidence.</x:v>
      </x:c>
      <x:c r="Q59" s="352" t="str">
        <x:v>#D1FAE5</x:v>
      </x:c>
      <x:c r="R59" s="352" t="str">
        <x:v>#D1FAE5</x:v>
      </x:c>
      <x:c r="S59" s="352" t="str">
        <x:v>#FEF3C7</x:v>
      </x:c>
      <x:c r="T59" s="352" t="str">
        <x:v>#D1FAE5</x:v>
      </x:c>
      <x:c r="U59" s="352" t="str">
        <x:v>#FEF3C7</x:v>
      </x:c>
      <x:c r="V59" s="352" t="str">
        <x:v>LBN</x:v>
      </x:c>
      <x:c r="W59" s="352" t="str">
        <x:v>Yes</x:v>
      </x:c>
      <x:c r="X59" s="352" t="str">
        <x:f>TEXTJOIN("",TRUE,"{""type"":""Point"",""coordinates"":[",TEXT(H59,"0.000000"),",",TEXT(G59,"0.000000"),"]}")</x:f>
        <x:v>{"type":"Point","coordinates":[35.833333,33.833333]}</x:v>
      </x:c>
      <x:c r="Y59" s="352" t="str">
        <x:v>{"country":"Lebanon","iso3":"LBN","region":"Asia","russia_score":"0.5","china_score":"1.25","american_score":"2.5","eu_score":"1.25","dominant_actor":"United States","dominant_score":"2.5","dominant_colour":"#FEF3C7"}</x:v>
      </x:c>
      <x:c r="Z59" s="352" t="str">
        <x:v>ResurgamHub-mentioned country/area; join Leaflet polygons by ISO3=LBN.</x:v>
      </x:c>
    </x:row>
    <x:row r="60">
      <x:c r="A60" s="20" t="str">
        <x:v>Liberia</x:v>
      </x:c>
      <x:c r="B60" s="20" t="str">
        <x:v>LR</x:v>
      </x:c>
      <x:c r="C60" s="20" t="str">
        <x:v>LBR</x:v>
      </x:c>
      <x:c r="D60" s="20" t="str">
        <x:v>430</x:v>
      </x:c>
      <x:c r="E60" s="20" t="str">
        <x:v>Africa</x:v>
      </x:c>
      <x:c r="F60" s="20" t="str">
        <x:v>Western Africa</x:v>
      </x:c>
      <x:c r="G60" s="20" t="n">
        <x:v>6.5</x:v>
      </x:c>
      <x:c r="H60" s="20" t="n">
        <x:v>-9.5</x:v>
      </x:c>
      <x:c r="I60" s="384" t="n">
        <x:f>IFERROR(VLOOKUP($C60&amp;"|Russia",Scoring_Matrix!$A$2:$X$493,24,FALSE),"No data")</x:f>
        <x:v>1.75</x:v>
      </x:c>
      <x:c r="J60" s="384" t="n">
        <x:f>IFERROR(VLOOKUP($C60&amp;"|China",Scoring_Matrix!$A$2:$X$493,24,FALSE),"No data")</x:f>
        <x:v>2</x:v>
      </x:c>
      <x:c r="K60" s="384" t="n">
        <x:f>IFERROR(VLOOKUP($C60&amp;"|United States",Scoring_Matrix!$A$2:$X$493,24,FALSE),"No data")</x:f>
        <x:v>2.75</x:v>
      </x:c>
      <x:c r="L60" s="384" t="n">
        <x:f>IFERROR(VLOOKUP($C60&amp;"|European Union",Scoring_Matrix!$A$2:$X$493,24,FALSE),"No data")</x:f>
        <x:v>1.5</x:v>
      </x:c>
      <x:c r="M60" s="386" t="str">
        <x:f>IF(COUNT(I60:L60)=0,"No data",IF(I60=MAX(I60:L60),"Russia",IF(J60=MAX(I60:L60),"China",IF(K60=MAX(I60:L60),"United States","European Union"))))</x:f>
        <x:v>United States</x:v>
      </x:c>
      <x:c r="N60" s="384" t="n">
        <x:f>IF(COUNT(I60:L60)=0,"No data",MAX(I60:L60))</x:f>
        <x:v>2.75</x:v>
      </x:c>
      <x:c r="O60" s="20" t="str">
        <x:f>IF(COUNT(I60:L60)=0,"No scored evidence","Scored evidence present")</x:f>
        <x:v>Scored evidence present</x:v>
      </x:c>
      <x:c r="P60" s="20" t="str">
        <x:v>Actor scores are formula rollups from Scoring_Matrix; score only with source-backed evidence.</x:v>
      </x:c>
      <x:c r="Q60" s="352" t="str">
        <x:v>#A7F3D0</x:v>
      </x:c>
      <x:c r="R60" s="352" t="str">
        <x:v>#A7F3D0</x:v>
      </x:c>
      <x:c r="S60" s="352" t="str">
        <x:v>#FEF3C7</x:v>
      </x:c>
      <x:c r="T60" s="352" t="str">
        <x:v>#A7F3D0</x:v>
      </x:c>
      <x:c r="U60" s="352" t="str">
        <x:v>#FEF3C7</x:v>
      </x:c>
      <x:c r="V60" s="352" t="str">
        <x:v>LBR</x:v>
      </x:c>
      <x:c r="W60" s="352" t="str">
        <x:v>Yes</x:v>
      </x:c>
      <x:c r="X60" s="352" t="str">
        <x:f>TEXTJOIN("",TRUE,"{""type"":""Point"",""coordinates"":[",TEXT(H60,"0.000000"),",",TEXT(G60,"0.000000"),"]}")</x:f>
        <x:v>{"type":"Point","coordinates":[-9.5,6.5]}</x:v>
      </x:c>
      <x:c r="Y60" s="352" t="str">
        <x:v>{"country":"Liberia","iso3":"LBR","region":"Africa","russia_score":"1.75","china_score":"2","american_score":"2.75","eu_score":"1.5","dominant_actor":"United States","dominant_score":"2.75","dominant_colour":"#FEF3C7"}</x:v>
      </x:c>
      <x:c r="Z60" s="352" t="str">
        <x:v>ResurgamHub-mentioned country/area; join Leaflet polygons by ISO3=LBR.</x:v>
      </x:c>
    </x:row>
    <x:row r="61">
      <x:c r="A61" s="20" t="str">
        <x:v>Libya</x:v>
      </x:c>
      <x:c r="B61" s="20" t="str">
        <x:v>LY</x:v>
      </x:c>
      <x:c r="C61" s="20" t="str">
        <x:v>LBY</x:v>
      </x:c>
      <x:c r="D61" s="20" t="str">
        <x:v>434</x:v>
      </x:c>
      <x:c r="E61" s="20" t="str">
        <x:v>Africa</x:v>
      </x:c>
      <x:c r="F61" s="20" t="str">
        <x:v>Northern Africa</x:v>
      </x:c>
      <x:c r="G61" s="20" t="n">
        <x:v>25</x:v>
      </x:c>
      <x:c r="H61" s="20" t="n">
        <x:v>17</x:v>
      </x:c>
      <x:c r="I61" s="384" t="n">
        <x:f>IFERROR(VLOOKUP($C61&amp;"|Russia",Scoring_Matrix!$A$2:$X$493,24,FALSE),"No data")</x:f>
        <x:v>6.25</x:v>
      </x:c>
      <x:c r="J61" s="384" t="n">
        <x:f>IFERROR(VLOOKUP($C61&amp;"|China",Scoring_Matrix!$A$2:$X$493,24,FALSE),"No data")</x:f>
        <x:v>2</x:v>
      </x:c>
      <x:c r="K61" s="384" t="n">
        <x:f>IFERROR(VLOOKUP($C61&amp;"|United States",Scoring_Matrix!$A$2:$X$493,24,FALSE),"No data")</x:f>
        <x:v>2.75</x:v>
      </x:c>
      <x:c r="L61" s="384" t="n">
        <x:f>IFERROR(VLOOKUP($C61&amp;"|European Union",Scoring_Matrix!$A$2:$X$493,24,FALSE),"No data")</x:f>
        <x:v>2.25</x:v>
      </x:c>
      <x:c r="M61" s="386" t="str">
        <x:f>IF(COUNT(I61:L61)=0,"No data",IF(I61=MAX(I61:L61),"Russia",IF(J61=MAX(I61:L61),"China",IF(K61=MAX(I61:L61),"United States","European Union"))))</x:f>
        <x:v>Russia</x:v>
      </x:c>
      <x:c r="N61" s="384" t="n">
        <x:f>IF(COUNT(I61:L61)=0,"No data",MAX(I61:L61))</x:f>
        <x:v>6.25</x:v>
      </x:c>
      <x:c r="O61" s="20" t="str">
        <x:f>IF(COUNT(I61:L61)=0,"No scored evidence","Scored evidence present")</x:f>
        <x:v>Scored evidence present</x:v>
      </x:c>
      <x:c r="P61" s="20" t="str">
        <x:v>Actor scores are formula rollups from Scoring_Matrix; score only with source-backed evidence.</x:v>
      </x:c>
      <x:c r="Q61" s="352" t="str">
        <x:v>#FDBA74</x:v>
      </x:c>
      <x:c r="R61" s="352" t="str">
        <x:v>#A7F3D0</x:v>
      </x:c>
      <x:c r="S61" s="352" t="str">
        <x:v>#FEF3C7</x:v>
      </x:c>
      <x:c r="T61" s="352" t="str">
        <x:v>#A7F3D0</x:v>
      </x:c>
      <x:c r="U61" s="352" t="str">
        <x:v>#FDBA74</x:v>
      </x:c>
      <x:c r="V61" s="352" t="str">
        <x:v>LBY</x:v>
      </x:c>
      <x:c r="W61" s="352" t="str">
        <x:v>Yes</x:v>
      </x:c>
      <x:c r="X61" s="352" t="str">
        <x:f>TEXTJOIN("",TRUE,"{""type"":""Point"",""coordinates"":[",TEXT(H61,"0.000000"),",",TEXT(G61,"0.000000"),"]}")</x:f>
        <x:v>{"type":"Point","coordinates":[17,25]}</x:v>
      </x:c>
      <x:c r="Y61" s="352" t="str">
        <x:v>{"country":"Libya","iso3":"LBY","region":"Africa","russia_score":"6.25","china_score":"2","american_score":"2.75","eu_score":"2.25","dominant_actor":"Russia","dominant_score":"6.25","dominant_colour":"#FDBA74"}</x:v>
      </x:c>
      <x:c r="Z61" s="352" t="str">
        <x:v>ResurgamHub-mentioned country/area; join Leaflet polygons by ISO3=LBY.</x:v>
      </x:c>
    </x:row>
    <x:row r="62">
      <x:c r="A62" s="20" t="str">
        <x:v>Lithuania</x:v>
      </x:c>
      <x:c r="B62" s="20" t="str">
        <x:v>LT</x:v>
      </x:c>
      <x:c r="C62" s="20" t="str">
        <x:v>LTU</x:v>
      </x:c>
      <x:c r="D62" s="20" t="str">
        <x:v>440</x:v>
      </x:c>
      <x:c r="E62" s="20" t="str">
        <x:v>Europe</x:v>
      </x:c>
      <x:c r="F62" s="20" t="str">
        <x:v>Northern Europe</x:v>
      </x:c>
      <x:c r="G62" s="20" t="n">
        <x:v>56</x:v>
      </x:c>
      <x:c r="H62" s="20" t="n">
        <x:v>24</x:v>
      </x:c>
      <x:c r="I62" s="384" t="n">
        <x:f>IFERROR(VLOOKUP($C62&amp;"|Russia",Scoring_Matrix!$A$2:$X$493,24,FALSE),"No data")</x:f>
        <x:v>3.25</x:v>
      </x:c>
      <x:c r="J62" s="384" t="n">
        <x:f>IFERROR(VLOOKUP($C62&amp;"|China",Scoring_Matrix!$A$2:$X$493,24,FALSE),"No data")</x:f>
        <x:v>1.5</x:v>
      </x:c>
      <x:c r="K62" s="384" t="n">
        <x:f>IFERROR(VLOOKUP($C62&amp;"|United States",Scoring_Matrix!$A$2:$X$493,24,FALSE),"No data")</x:f>
        <x:v>3.5</x:v>
      </x:c>
      <x:c r="L62" s="384" t="n">
        <x:f>IFERROR(VLOOKUP($C62&amp;"|European Union",Scoring_Matrix!$A$2:$X$493,24,FALSE),"No data")</x:f>
        <x:v>4</x:v>
      </x:c>
      <x:c r="M62" s="386" t="str">
        <x:f>IF(COUNT(I62:L62)=0,"No data",IF(I62=MAX(I62:L62),"Russia",IF(J62=MAX(I62:L62),"China",IF(K62=MAX(I62:L62),"United States","European Union"))))</x:f>
        <x:v>European Union</x:v>
      </x:c>
      <x:c r="N62" s="384" t="n">
        <x:f>IF(COUNT(I62:L62)=0,"No data",MAX(I62:L62))</x:f>
        <x:v>4</x:v>
      </x:c>
      <x:c r="O62" s="20" t="str">
        <x:f>IF(COUNT(I62:L62)=0,"No scored evidence","Scored evidence present")</x:f>
        <x:v>Scored evidence present</x:v>
      </x:c>
      <x:c r="P62" s="20" t="str">
        <x:v>Actor scores are formula rollups from Scoring_Matrix; score only with source-backed evidence.</x:v>
      </x:c>
      <x:c r="Q62" s="352" t="str">
        <x:v>#FEF3C7</x:v>
      </x:c>
      <x:c r="R62" s="352" t="str">
        <x:v>#A7F3D0</x:v>
      </x:c>
      <x:c r="S62" s="352" t="str">
        <x:v>#FDE68A</x:v>
      </x:c>
      <x:c r="T62" s="352" t="str">
        <x:v>#FDE68A</x:v>
      </x:c>
      <x:c r="U62" s="352" t="str">
        <x:v>#FDE68A</x:v>
      </x:c>
      <x:c r="V62" s="352" t="str">
        <x:v>LTU</x:v>
      </x:c>
      <x:c r="W62" s="352" t="str">
        <x:v>Yes</x:v>
      </x:c>
      <x:c r="X62" s="352" t="str">
        <x:f>TEXTJOIN("",TRUE,"{""type"":""Point"",""coordinates"":[",TEXT(H62,"0.000000"),",",TEXT(G62,"0.000000"),"]}")</x:f>
        <x:v>{"type":"Point","coordinates":[24,56]}</x:v>
      </x:c>
      <x:c r="Y62" s="352" t="str">
        <x:v>{"country":"Lithuania","iso3":"LTU","region":"Europe","russia_score":"3.25","china_score":"1.5","american_score":"3.5","eu_score":"4","dominant_actor":"European Union","dominant_score":"4","dominant_colour":"#FDE68A"}</x:v>
      </x:c>
      <x:c r="Z62" s="352" t="str">
        <x:v>ResurgamHub-mentioned country/area; join Leaflet polygons by ISO3=LTU.</x:v>
      </x:c>
    </x:row>
    <x:row r="63">
      <x:c r="A63" s="20" t="str">
        <x:v>Madagascar</x:v>
      </x:c>
      <x:c r="B63" s="20" t="str">
        <x:v>MG</x:v>
      </x:c>
      <x:c r="C63" s="20" t="str">
        <x:v>MDG</x:v>
      </x:c>
      <x:c r="D63" s="20" t="str">
        <x:v>450</x:v>
      </x:c>
      <x:c r="E63" s="20" t="str">
        <x:v>Africa</x:v>
      </x:c>
      <x:c r="F63" s="20" t="str">
        <x:v>Eastern Africa</x:v>
      </x:c>
      <x:c r="G63" s="20" t="n">
        <x:v>-20</x:v>
      </x:c>
      <x:c r="H63" s="20" t="n">
        <x:v>47</x:v>
      </x:c>
      <x:c r="I63" s="384" t="n">
        <x:f>IFERROR(VLOOKUP($C63&amp;"|Russia",Scoring_Matrix!$A$2:$X$493,24,FALSE),"No data")</x:f>
        <x:v>3.25</x:v>
      </x:c>
      <x:c r="J63" s="384" t="n">
        <x:f>IFERROR(VLOOKUP($C63&amp;"|China",Scoring_Matrix!$A$2:$X$493,24,FALSE),"No data")</x:f>
        <x:v>2</x:v>
      </x:c>
      <x:c r="K63" s="384" t="n">
        <x:f>IFERROR(VLOOKUP($C63&amp;"|United States",Scoring_Matrix!$A$2:$X$493,24,FALSE),"No data")</x:f>
        <x:v>2.75</x:v>
      </x:c>
      <x:c r="L63" s="384" t="n">
        <x:f>IFERROR(VLOOKUP($C63&amp;"|European Union",Scoring_Matrix!$A$2:$X$493,24,FALSE),"No data")</x:f>
        <x:v>1.5</x:v>
      </x:c>
      <x:c r="M63" s="386" t="str">
        <x:f>IF(COUNT(I63:L63)=0,"No data",IF(I63=MAX(I63:L63),"Russia",IF(J63=MAX(I63:L63),"China",IF(K63=MAX(I63:L63),"United States","European Union"))))</x:f>
        <x:v>Russia</x:v>
      </x:c>
      <x:c r="N63" s="384" t="n">
        <x:f>IF(COUNT(I63:L63)=0,"No data",MAX(I63:L63))</x:f>
        <x:v>3.25</x:v>
      </x:c>
      <x:c r="O63" s="20" t="str">
        <x:f>IF(COUNT(I63:L63)=0,"No scored evidence","Scored evidence present")</x:f>
        <x:v>Scored evidence present</x:v>
      </x:c>
      <x:c r="P63" s="20" t="str">
        <x:v>Actor scores are formula rollups from Scoring_Matrix; score only with source-backed evidence.</x:v>
      </x:c>
      <x:c r="Q63" s="352" t="str">
        <x:v>#FEF3C7</x:v>
      </x:c>
      <x:c r="R63" s="352" t="str">
        <x:v>#A7F3D0</x:v>
      </x:c>
      <x:c r="S63" s="352" t="str">
        <x:v>#FEF3C7</x:v>
      </x:c>
      <x:c r="T63" s="352" t="str">
        <x:v>#A7F3D0</x:v>
      </x:c>
      <x:c r="U63" s="352" t="str">
        <x:v>#FEF3C7</x:v>
      </x:c>
      <x:c r="V63" s="352" t="str">
        <x:v>MDG</x:v>
      </x:c>
      <x:c r="W63" s="352" t="str">
        <x:v>Yes</x:v>
      </x:c>
      <x:c r="X63" s="352" t="str">
        <x:f>TEXTJOIN("",TRUE,"{""type"":""Point"",""coordinates"":[",TEXT(H63,"0.000000"),",",TEXT(G63,"0.000000"),"]}")</x:f>
        <x:v>{"type":"Point","coordinates":[47,-20]}</x:v>
      </x:c>
      <x:c r="Y63" s="352" t="str">
        <x:v>{"country":"Madagascar","iso3":"MDG","region":"Africa","russia_score":"3.25","china_score":"2","american_score":"2.75","eu_score":"1.5","dominant_actor":"Russia","dominant_score":"3.25","dominant_colour":"#FEF3C7"}</x:v>
      </x:c>
      <x:c r="Z63" s="352" t="str">
        <x:v>ResurgamHub-mentioned country/area; join Leaflet polygons by ISO3=MDG.</x:v>
      </x:c>
    </x:row>
    <x:row r="64">
      <x:c r="A64" s="20" t="str">
        <x:v>Malaysia</x:v>
      </x:c>
      <x:c r="B64" s="20" t="str">
        <x:v>MY</x:v>
      </x:c>
      <x:c r="C64" s="20" t="str">
        <x:v>MYS</x:v>
      </x:c>
      <x:c r="D64" s="20" t="str">
        <x:v>458</x:v>
      </x:c>
      <x:c r="E64" s="20" t="str">
        <x:v>Asia</x:v>
      </x:c>
      <x:c r="F64" s="20" t="str">
        <x:v>South-Eastern Asia</x:v>
      </x:c>
      <x:c r="G64" s="20" t="n">
        <x:v>2.5</x:v>
      </x:c>
      <x:c r="H64" s="20" t="n">
        <x:v>112.5</x:v>
      </x:c>
      <x:c r="I64" s="384" t="n">
        <x:f>IFERROR(VLOOKUP($C64&amp;"|Russia",Scoring_Matrix!$A$2:$X$493,24,FALSE),"No data")</x:f>
        <x:v>0.5</x:v>
      </x:c>
      <x:c r="J64" s="384" t="n">
        <x:f>IFERROR(VLOOKUP($C64&amp;"|China",Scoring_Matrix!$A$2:$X$493,24,FALSE),"No data")</x:f>
        <x:v>3.25</x:v>
      </x:c>
      <x:c r="K64" s="384" t="n">
        <x:f>IFERROR(VLOOKUP($C64&amp;"|United States",Scoring_Matrix!$A$2:$X$493,24,FALSE),"No data")</x:f>
        <x:v>2</x:v>
      </x:c>
      <x:c r="L64" s="384" t="n">
        <x:f>IFERROR(VLOOKUP($C64&amp;"|European Union",Scoring_Matrix!$A$2:$X$493,24,FALSE),"No data")</x:f>
        <x:v>1.5</x:v>
      </x:c>
      <x:c r="M64" s="386" t="str">
        <x:f>IF(COUNT(I64:L64)=0,"No data",IF(I64=MAX(I64:L64),"Russia",IF(J64=MAX(I64:L64),"China",IF(K64=MAX(I64:L64),"United States","European Union"))))</x:f>
        <x:v>China</x:v>
      </x:c>
      <x:c r="N64" s="384" t="n">
        <x:f>IF(COUNT(I64:L64)=0,"No data",MAX(I64:L64))</x:f>
        <x:v>3.25</x:v>
      </x:c>
      <x:c r="O64" s="20" t="str">
        <x:f>IF(COUNT(I64:L64)=0,"No scored evidence","Scored evidence present")</x:f>
        <x:v>Scored evidence present</x:v>
      </x:c>
      <x:c r="P64" s="20" t="str">
        <x:v>Actor scores are formula rollups from Scoring_Matrix; score only with source-backed evidence.</x:v>
      </x:c>
      <x:c r="Q64" s="352" t="str">
        <x:v>#D1FAE5</x:v>
      </x:c>
      <x:c r="R64" s="352" t="str">
        <x:v>#FEF3C7</x:v>
      </x:c>
      <x:c r="S64" s="352" t="str">
        <x:v>#A7F3D0</x:v>
      </x:c>
      <x:c r="T64" s="352" t="str">
        <x:v>#A7F3D0</x:v>
      </x:c>
      <x:c r="U64" s="352" t="str">
        <x:v>#FEF3C7</x:v>
      </x:c>
      <x:c r="V64" s="352" t="str">
        <x:v>MYS</x:v>
      </x:c>
      <x:c r="W64" s="352" t="str">
        <x:v>Yes</x:v>
      </x:c>
      <x:c r="X64" s="352" t="str">
        <x:f>TEXTJOIN("",TRUE,"{""type"":""Point"",""coordinates"":[",TEXT(H64,"0.000000"),",",TEXT(G64,"0.000000"),"]}")</x:f>
        <x:v>{"type":"Point","coordinates":[112.5,2.5]}</x:v>
      </x:c>
      <x:c r="Y64" s="352" t="str">
        <x:v>{"country":"Malaysia","iso3":"MYS","region":"Asia","russia_score":"0.5","china_score":"3.25","american_score":"2","eu_score":"1.5","dominant_actor":"China","dominant_score":"3.25","dominant_colour":"#FEF3C7"}</x:v>
      </x:c>
      <x:c r="Z64" s="352" t="str">
        <x:v>ResurgamHub-mentioned country/area; join Leaflet polygons by ISO3=MYS.</x:v>
      </x:c>
    </x:row>
    <x:row r="65">
      <x:c r="A65" s="20" t="str">
        <x:v>Mali</x:v>
      </x:c>
      <x:c r="B65" s="20" t="str">
        <x:v>ML</x:v>
      </x:c>
      <x:c r="C65" s="20" t="str">
        <x:v>MLI</x:v>
      </x:c>
      <x:c r="D65" s="20" t="str">
        <x:v>466</x:v>
      </x:c>
      <x:c r="E65" s="20" t="str">
        <x:v>Africa</x:v>
      </x:c>
      <x:c r="F65" s="20" t="str">
        <x:v>Western Africa</x:v>
      </x:c>
      <x:c r="G65" s="20" t="n">
        <x:v>17</x:v>
      </x:c>
      <x:c r="H65" s="20" t="n">
        <x:v>-4</x:v>
      </x:c>
      <x:c r="I65" s="384" t="n">
        <x:f>IFERROR(VLOOKUP($C65&amp;"|Russia",Scoring_Matrix!$A$2:$X$493,24,FALSE),"No data")</x:f>
        <x:v>6.5</x:v>
      </x:c>
      <x:c r="J65" s="384" t="n">
        <x:f>IFERROR(VLOOKUP($C65&amp;"|China",Scoring_Matrix!$A$2:$X$493,24,FALSE),"No data")</x:f>
        <x:v>2</x:v>
      </x:c>
      <x:c r="K65" s="384" t="n">
        <x:f>IFERROR(VLOOKUP($C65&amp;"|United States",Scoring_Matrix!$A$2:$X$493,24,FALSE),"No data")</x:f>
        <x:v>2.75</x:v>
      </x:c>
      <x:c r="L65" s="384" t="n">
        <x:f>IFERROR(VLOOKUP($C65&amp;"|European Union",Scoring_Matrix!$A$2:$X$493,24,FALSE),"No data")</x:f>
        <x:v>2</x:v>
      </x:c>
      <x:c r="M65" s="386" t="str">
        <x:f>IF(COUNT(I65:L65)=0,"No data",IF(I65=MAX(I65:L65),"Russia",IF(J65=MAX(I65:L65),"China",IF(K65=MAX(I65:L65),"United States","European Union"))))</x:f>
        <x:v>Russia</x:v>
      </x:c>
      <x:c r="N65" s="384" t="n">
        <x:f>IF(COUNT(I65:L65)=0,"No data",MAX(I65:L65))</x:f>
        <x:v>6.5</x:v>
      </x:c>
      <x:c r="O65" s="20" t="str">
        <x:f>IF(COUNT(I65:L65)=0,"No scored evidence","Scored evidence present")</x:f>
        <x:v>Scored evidence present</x:v>
      </x:c>
      <x:c r="P65" s="20" t="str">
        <x:v>Actor scores are formula rollups from Scoring_Matrix; score only with source-backed evidence.</x:v>
      </x:c>
      <x:c r="Q65" s="352" t="str">
        <x:v>#FB923C</x:v>
      </x:c>
      <x:c r="R65" s="352" t="str">
        <x:v>#A7F3D0</x:v>
      </x:c>
      <x:c r="S65" s="352" t="str">
        <x:v>#FEF3C7</x:v>
      </x:c>
      <x:c r="T65" s="352" t="str">
        <x:v>#A7F3D0</x:v>
      </x:c>
      <x:c r="U65" s="352" t="str">
        <x:v>#FB923C</x:v>
      </x:c>
      <x:c r="V65" s="352" t="str">
        <x:v>MLI</x:v>
      </x:c>
      <x:c r="W65" s="352" t="str">
        <x:v>Yes</x:v>
      </x:c>
      <x:c r="X65" s="352" t="str">
        <x:f>TEXTJOIN("",TRUE,"{""type"":""Point"",""coordinates"":[",TEXT(H65,"0.000000"),",",TEXT(G65,"0.000000"),"]}")</x:f>
        <x:v>{"type":"Point","coordinates":[-4,17]}</x:v>
      </x:c>
      <x:c r="Y65" s="352" t="str">
        <x:v>{"country":"Mali","iso3":"MLI","region":"Africa","russia_score":"6.5","china_score":"2","american_score":"2.75","eu_score":"2","dominant_actor":"Russia","dominant_score":"6.5","dominant_colour":"#FB923C"}</x:v>
      </x:c>
      <x:c r="Z65" s="352" t="str">
        <x:v>ResurgamHub-mentioned country/area; join Leaflet polygons by ISO3=MLI.</x:v>
      </x:c>
    </x:row>
    <x:row r="66">
      <x:c r="A66" s="20" t="str">
        <x:v>Marshall Islands</x:v>
      </x:c>
      <x:c r="B66" s="20" t="str">
        <x:v>MH</x:v>
      </x:c>
      <x:c r="C66" s="20" t="str">
        <x:v>MHL</x:v>
      </x:c>
      <x:c r="D66" s="20" t="str">
        <x:v>584</x:v>
      </x:c>
      <x:c r="E66" s="20" t="str">
        <x:v>Oceania</x:v>
      </x:c>
      <x:c r="F66" s="20" t="str">
        <x:v>Micronesia</x:v>
      </x:c>
      <x:c r="G66" s="20" t="n">
        <x:v>9</x:v>
      </x:c>
      <x:c r="H66" s="20" t="n">
        <x:v>168</x:v>
      </x:c>
      <x:c r="I66" s="384" t="n">
        <x:f>IFERROR(VLOOKUP($C66&amp;"|Russia",Scoring_Matrix!$A$2:$X$493,24,FALSE),"No data")</x:f>
        <x:v>0.5</x:v>
      </x:c>
      <x:c r="J66" s="384" t="n">
        <x:f>IFERROR(VLOOKUP($C66&amp;"|China",Scoring_Matrix!$A$2:$X$493,24,FALSE),"No data")</x:f>
        <x:v>3.25</x:v>
      </x:c>
      <x:c r="K66" s="384" t="n">
        <x:f>IFERROR(VLOOKUP($C66&amp;"|United States",Scoring_Matrix!$A$2:$X$493,24,FALSE),"No data")</x:f>
        <x:v>1.75</x:v>
      </x:c>
      <x:c r="L66" s="384" t="n">
        <x:f>IFERROR(VLOOKUP($C66&amp;"|European Union",Scoring_Matrix!$A$2:$X$493,24,FALSE),"No data")</x:f>
        <x:v>1</x:v>
      </x:c>
      <x:c r="M66" s="386" t="str">
        <x:f>IF(COUNT(I66:L66)=0,"No data",IF(I66=MAX(I66:L66),"Russia",IF(J66=MAX(I66:L66),"China",IF(K66=MAX(I66:L66),"United States","European Union"))))</x:f>
        <x:v>China</x:v>
      </x:c>
      <x:c r="N66" s="384" t="n">
        <x:f>IF(COUNT(I66:L66)=0,"No data",MAX(I66:L66))</x:f>
        <x:v>3.25</x:v>
      </x:c>
      <x:c r="O66" s="20" t="str">
        <x:f>IF(COUNT(I66:L66)=0,"No scored evidence","Scored evidence present")</x:f>
        <x:v>Scored evidence present</x:v>
      </x:c>
      <x:c r="P66" s="20" t="str">
        <x:v>Actor scores are formula rollups from Scoring_Matrix; score only with source-backed evidence.</x:v>
      </x:c>
      <x:c r="Q66" s="352" t="str">
        <x:v>#D1FAE5</x:v>
      </x:c>
      <x:c r="R66" s="352" t="str">
        <x:v>#FEF3C7</x:v>
      </x:c>
      <x:c r="S66" s="352" t="str">
        <x:v>#A7F3D0</x:v>
      </x:c>
      <x:c r="T66" s="352" t="str">
        <x:v>#D1FAE5</x:v>
      </x:c>
      <x:c r="U66" s="352" t="str">
        <x:v>#FEF3C7</x:v>
      </x:c>
      <x:c r="V66" s="352" t="str">
        <x:v>MHL</x:v>
      </x:c>
      <x:c r="W66" s="352" t="str">
        <x:v>Yes</x:v>
      </x:c>
      <x:c r="X66" s="352" t="str">
        <x:f>TEXTJOIN("",TRUE,"{""type"":""Point"",""coordinates"":[",TEXT(H66,"0.000000"),",",TEXT(G66,"0.000000"),"]}")</x:f>
        <x:v>{"type":"Point","coordinates":[168,9]}</x:v>
      </x:c>
      <x:c r="Y66" s="352" t="str">
        <x:v>{"country":"Marshall Islands","iso3":"MHL","region":"Oceania","russia_score":"0.5","china_score":"3.25","american_score":"1.75","eu_score":"1","dominant_actor":"China","dominant_score":"3.25","dominant_colour":"#FEF3C7"}</x:v>
      </x:c>
      <x:c r="Z66" s="352" t="str">
        <x:v>ResurgamHub-mentioned country/area; join Leaflet polygons by ISO3=MHL.</x:v>
      </x:c>
    </x:row>
    <x:row r="67">
      <x:c r="A67" s="20" t="str">
        <x:v>Mauritania</x:v>
      </x:c>
      <x:c r="B67" s="20" t="str">
        <x:v>MR</x:v>
      </x:c>
      <x:c r="C67" s="20" t="str">
        <x:v>MRT</x:v>
      </x:c>
      <x:c r="D67" s="20" t="str">
        <x:v>478</x:v>
      </x:c>
      <x:c r="E67" s="20" t="str">
        <x:v>Africa</x:v>
      </x:c>
      <x:c r="F67" s="20" t="str">
        <x:v>Western Africa</x:v>
      </x:c>
      <x:c r="G67" s="20" t="n">
        <x:v>20</x:v>
      </x:c>
      <x:c r="H67" s="20" t="n">
        <x:v>-12</x:v>
      </x:c>
      <x:c r="I67" s="384" t="n">
        <x:f>IFERROR(VLOOKUP($C67&amp;"|Russia",Scoring_Matrix!$A$2:$X$493,24,FALSE),"No data")</x:f>
        <x:v>1.75</x:v>
      </x:c>
      <x:c r="J67" s="384" t="n">
        <x:f>IFERROR(VLOOKUP($C67&amp;"|China",Scoring_Matrix!$A$2:$X$493,24,FALSE),"No data")</x:f>
        <x:v>2</x:v>
      </x:c>
      <x:c r="K67" s="384" t="n">
        <x:f>IFERROR(VLOOKUP($C67&amp;"|United States",Scoring_Matrix!$A$2:$X$493,24,FALSE),"No data")</x:f>
        <x:v>2.75</x:v>
      </x:c>
      <x:c r="L67" s="384" t="n">
        <x:f>IFERROR(VLOOKUP($C67&amp;"|European Union",Scoring_Matrix!$A$2:$X$493,24,FALSE),"No data")</x:f>
        <x:v>1.5</x:v>
      </x:c>
      <x:c r="M67" s="386" t="str">
        <x:f>IF(COUNT(I67:L67)=0,"No data",IF(I67=MAX(I67:L67),"Russia",IF(J67=MAX(I67:L67),"China",IF(K67=MAX(I67:L67),"United States","European Union"))))</x:f>
        <x:v>United States</x:v>
      </x:c>
      <x:c r="N67" s="384" t="n">
        <x:f>IF(COUNT(I67:L67)=0,"No data",MAX(I67:L67))</x:f>
        <x:v>2.75</x:v>
      </x:c>
      <x:c r="O67" s="20" t="str">
        <x:f>IF(COUNT(I67:L67)=0,"No scored evidence","Scored evidence present")</x:f>
        <x:v>Scored evidence present</x:v>
      </x:c>
      <x:c r="P67" s="20" t="str">
        <x:v>Actor scores are formula rollups from Scoring_Matrix; score only with source-backed evidence.</x:v>
      </x:c>
      <x:c r="Q67" s="352" t="str">
        <x:v>#A7F3D0</x:v>
      </x:c>
      <x:c r="R67" s="352" t="str">
        <x:v>#A7F3D0</x:v>
      </x:c>
      <x:c r="S67" s="352" t="str">
        <x:v>#FEF3C7</x:v>
      </x:c>
      <x:c r="T67" s="352" t="str">
        <x:v>#A7F3D0</x:v>
      </x:c>
      <x:c r="U67" s="352" t="str">
        <x:v>#FEF3C7</x:v>
      </x:c>
      <x:c r="V67" s="352" t="str">
        <x:v>MRT</x:v>
      </x:c>
      <x:c r="W67" s="352" t="str">
        <x:v>Yes</x:v>
      </x:c>
      <x:c r="X67" s="352" t="str">
        <x:f>TEXTJOIN("",TRUE,"{""type"":""Point"",""coordinates"":[",TEXT(H67,"0.000000"),",",TEXT(G67,"0.000000"),"]}")</x:f>
        <x:v>{"type":"Point","coordinates":[-12,20]}</x:v>
      </x:c>
      <x:c r="Y67" s="352" t="str">
        <x:v>{"country":"Mauritania","iso3":"MRT","region":"Africa","russia_score":"1.75","china_score":"2","american_score":"2.75","eu_score":"1.5","dominant_actor":"United States","dominant_score":"2.75","dominant_colour":"#FEF3C7"}</x:v>
      </x:c>
      <x:c r="Z67" s="352" t="str">
        <x:v>ResurgamHub-mentioned country/area; join Leaflet polygons by ISO3=MRT.</x:v>
      </x:c>
    </x:row>
    <x:row r="68">
      <x:c r="A68" s="20" t="str">
        <x:v>Moldova</x:v>
      </x:c>
      <x:c r="B68" s="20" t="str">
        <x:v>MD</x:v>
      </x:c>
      <x:c r="C68" s="20" t="str">
        <x:v>MDA</x:v>
      </x:c>
      <x:c r="D68" s="20" t="str">
        <x:v>498</x:v>
      </x:c>
      <x:c r="E68" s="20" t="str">
        <x:v>Europe</x:v>
      </x:c>
      <x:c r="F68" s="20" t="str">
        <x:v>Eastern Europe</x:v>
      </x:c>
      <x:c r="G68" s="20" t="n">
        <x:v>47</x:v>
      </x:c>
      <x:c r="H68" s="20" t="n">
        <x:v>29</x:v>
      </x:c>
      <x:c r="I68" s="384" t="n">
        <x:f>IFERROR(VLOOKUP($C68&amp;"|Russia",Scoring_Matrix!$A$2:$X$493,24,FALSE),"No data")</x:f>
        <x:v>4</x:v>
      </x:c>
      <x:c r="J68" s="384" t="n">
        <x:f>IFERROR(VLOOKUP($C68&amp;"|China",Scoring_Matrix!$A$2:$X$493,24,FALSE),"No data")</x:f>
        <x:v>1.5</x:v>
      </x:c>
      <x:c r="K68" s="384" t="n">
        <x:f>IFERROR(VLOOKUP($C68&amp;"|United States",Scoring_Matrix!$A$2:$X$493,24,FALSE),"No data")</x:f>
        <x:v>3.25</x:v>
      </x:c>
      <x:c r="L68" s="384" t="n">
        <x:f>IFERROR(VLOOKUP($C68&amp;"|European Union",Scoring_Matrix!$A$2:$X$493,24,FALSE),"No data")</x:f>
        <x:v>4.25</x:v>
      </x:c>
      <x:c r="M68" s="386" t="str">
        <x:f>IF(COUNT(I68:L68)=0,"No data",IF(I68=MAX(I68:L68),"Russia",IF(J68=MAX(I68:L68),"China",IF(K68=MAX(I68:L68),"United States","European Union"))))</x:f>
        <x:v>European Union</x:v>
      </x:c>
      <x:c r="N68" s="384" t="n">
        <x:f>IF(COUNT(I68:L68)=0,"No data",MAX(I68:L68))</x:f>
        <x:v>4.25</x:v>
      </x:c>
      <x:c r="O68" s="20" t="str">
        <x:f>IF(COUNT(I68:L68)=0,"No scored evidence","Scored evidence present")</x:f>
        <x:v>Scored evidence present</x:v>
      </x:c>
      <x:c r="P68" s="20" t="str">
        <x:v>Actor scores are formula rollups from Scoring_Matrix; score only with source-backed evidence.</x:v>
      </x:c>
      <x:c r="Q68" s="352" t="str">
        <x:v>#FDE68A</x:v>
      </x:c>
      <x:c r="R68" s="352" t="str">
        <x:v>#A7F3D0</x:v>
      </x:c>
      <x:c r="S68" s="352" t="str">
        <x:v>#FEF3C7</x:v>
      </x:c>
      <x:c r="T68" s="352" t="str">
        <x:v>#FDE68A</x:v>
      </x:c>
      <x:c r="U68" s="352" t="str">
        <x:v>#FDE68A</x:v>
      </x:c>
      <x:c r="V68" s="352" t="str">
        <x:v>MDA</x:v>
      </x:c>
      <x:c r="W68" s="352" t="str">
        <x:v>Yes</x:v>
      </x:c>
      <x:c r="X68" s="352" t="str">
        <x:f>TEXTJOIN("",TRUE,"{""type"":""Point"",""coordinates"":[",TEXT(H68,"0.000000"),",",TEXT(G68,"0.000000"),"]}")</x:f>
        <x:v>{"type":"Point","coordinates":[29,47]}</x:v>
      </x:c>
      <x:c r="Y68" s="352" t="str">
        <x:v>{"country":"Moldova","iso3":"MDA","region":"Europe","russia_score":"4","china_score":"1.5","american_score":"3.25","eu_score":"4.25","dominant_actor":"European Union","dominant_score":"4.25","dominant_colour":"#FDE68A"}</x:v>
      </x:c>
      <x:c r="Z68" s="352" t="str">
        <x:v>ResurgamHub-mentioned country/area; join Leaflet polygons by ISO3=MDA.</x:v>
      </x:c>
    </x:row>
    <x:row r="69">
      <x:c r="A69" s="20" t="str">
        <x:v>Mongolia</x:v>
      </x:c>
      <x:c r="B69" s="20" t="str">
        <x:v>MN</x:v>
      </x:c>
      <x:c r="C69" s="20" t="str">
        <x:v>MNG</x:v>
      </x:c>
      <x:c r="D69" s="20" t="str">
        <x:v>496</x:v>
      </x:c>
      <x:c r="E69" s="20" t="str">
        <x:v>Asia</x:v>
      </x:c>
      <x:c r="F69" s="20" t="str">
        <x:v>Eastern Asia</x:v>
      </x:c>
      <x:c r="G69" s="20" t="n">
        <x:v>46</x:v>
      </x:c>
      <x:c r="H69" s="20" t="n">
        <x:v>105</x:v>
      </x:c>
      <x:c r="I69" s="384" t="n">
        <x:f>IFERROR(VLOOKUP($C69&amp;"|Russia",Scoring_Matrix!$A$2:$X$493,24,FALSE),"No data")</x:f>
        <x:v>0.5</x:v>
      </x:c>
      <x:c r="J69" s="384" t="n">
        <x:f>IFERROR(VLOOKUP($C69&amp;"|China",Scoring_Matrix!$A$2:$X$493,24,FALSE),"No data")</x:f>
        <x:v>1.25</x:v>
      </x:c>
      <x:c r="K69" s="384" t="n">
        <x:f>IFERROR(VLOOKUP($C69&amp;"|United States",Scoring_Matrix!$A$2:$X$493,24,FALSE),"No data")</x:f>
        <x:v>2</x:v>
      </x:c>
      <x:c r="L69" s="384" t="n">
        <x:f>IFERROR(VLOOKUP($C69&amp;"|European Union",Scoring_Matrix!$A$2:$X$493,24,FALSE),"No data")</x:f>
        <x:v>1.25</x:v>
      </x:c>
      <x:c r="M69" s="386" t="str">
        <x:f>IF(COUNT(I69:L69)=0,"No data",IF(I69=MAX(I69:L69),"Russia",IF(J69=MAX(I69:L69),"China",IF(K69=MAX(I69:L69),"United States","European Union"))))</x:f>
        <x:v>United States</x:v>
      </x:c>
      <x:c r="N69" s="384" t="n">
        <x:f>IF(COUNT(I69:L69)=0,"No data",MAX(I69:L69))</x:f>
        <x:v>2</x:v>
      </x:c>
      <x:c r="O69" s="20" t="str">
        <x:f>IF(COUNT(I69:L69)=0,"No scored evidence","Scored evidence present")</x:f>
        <x:v>Scored evidence present</x:v>
      </x:c>
      <x:c r="P69" s="20" t="str">
        <x:v>Actor scores are formula rollups from Scoring_Matrix; score only with source-backed evidence.</x:v>
      </x:c>
      <x:c r="Q69" s="352" t="str">
        <x:v>#D1FAE5</x:v>
      </x:c>
      <x:c r="R69" s="352" t="str">
        <x:v>#D1FAE5</x:v>
      </x:c>
      <x:c r="S69" s="352" t="str">
        <x:v>#A7F3D0</x:v>
      </x:c>
      <x:c r="T69" s="352" t="str">
        <x:v>#D1FAE5</x:v>
      </x:c>
      <x:c r="U69" s="352" t="str">
        <x:v>#A7F3D0</x:v>
      </x:c>
      <x:c r="V69" s="352" t="str">
        <x:v>MNG</x:v>
      </x:c>
      <x:c r="W69" s="352" t="str">
        <x:v>Yes</x:v>
      </x:c>
      <x:c r="X69" s="352" t="str">
        <x:f>TEXTJOIN("",TRUE,"{""type"":""Point"",""coordinates"":[",TEXT(H69,"0.000000"),",",TEXT(G69,"0.000000"),"]}")</x:f>
        <x:v>{"type":"Point","coordinates":[105,46]}</x:v>
      </x:c>
      <x:c r="Y69" s="352" t="str">
        <x:v>{"country":"Mongolia","iso3":"MNG","region":"Asia","russia_score":"0.5","china_score":"1.25","american_score":"2","eu_score":"1.25","dominant_actor":"United States","dominant_score":"2","dominant_colour":"#A7F3D0"}</x:v>
      </x:c>
      <x:c r="Z69" s="352" t="str">
        <x:v>ResurgamHub-mentioned country/area; join Leaflet polygons by ISO3=MNG.</x:v>
      </x:c>
    </x:row>
    <x:row r="70">
      <x:c r="A70" s="20" t="str">
        <x:v>Morocco</x:v>
      </x:c>
      <x:c r="B70" s="20" t="str">
        <x:v>MA</x:v>
      </x:c>
      <x:c r="C70" s="20" t="str">
        <x:v>MAR</x:v>
      </x:c>
      <x:c r="D70" s="20" t="str">
        <x:v>504</x:v>
      </x:c>
      <x:c r="E70" s="20" t="str">
        <x:v>Africa</x:v>
      </x:c>
      <x:c r="F70" s="20" t="str">
        <x:v>Northern Africa</x:v>
      </x:c>
      <x:c r="G70" s="20" t="n">
        <x:v>32</x:v>
      </x:c>
      <x:c r="H70" s="20" t="n">
        <x:v>-5</x:v>
      </x:c>
      <x:c r="I70" s="384" t="n">
        <x:f>IFERROR(VLOOKUP($C70&amp;"|Russia",Scoring_Matrix!$A$2:$X$493,24,FALSE),"No data")</x:f>
        <x:v>2</x:v>
      </x:c>
      <x:c r="J70" s="384" t="n">
        <x:f>IFERROR(VLOOKUP($C70&amp;"|China",Scoring_Matrix!$A$2:$X$493,24,FALSE),"No data")</x:f>
        <x:v>2</x:v>
      </x:c>
      <x:c r="K70" s="384" t="n">
        <x:f>IFERROR(VLOOKUP($C70&amp;"|United States",Scoring_Matrix!$A$2:$X$493,24,FALSE),"No data")</x:f>
        <x:v>2.75</x:v>
      </x:c>
      <x:c r="L70" s="384" t="n">
        <x:f>IFERROR(VLOOKUP($C70&amp;"|European Union",Scoring_Matrix!$A$2:$X$493,24,FALSE),"No data")</x:f>
        <x:v>1.5</x:v>
      </x:c>
      <x:c r="M70" s="386" t="str">
        <x:f>IF(COUNT(I70:L70)=0,"No data",IF(I70=MAX(I70:L70),"Russia",IF(J70=MAX(I70:L70),"China",IF(K70=MAX(I70:L70),"United States","European Union"))))</x:f>
        <x:v>United States</x:v>
      </x:c>
      <x:c r="N70" s="384" t="n">
        <x:f>IF(COUNT(I70:L70)=0,"No data",MAX(I70:L70))</x:f>
        <x:v>2.75</x:v>
      </x:c>
      <x:c r="O70" s="20" t="str">
        <x:f>IF(COUNT(I70:L70)=0,"No scored evidence","Scored evidence present")</x:f>
        <x:v>Scored evidence present</x:v>
      </x:c>
      <x:c r="P70" s="20" t="str">
        <x:v>Actor scores are formula rollups from Scoring_Matrix; score only with source-backed evidence.</x:v>
      </x:c>
      <x:c r="Q70" s="352" t="str">
        <x:v>#A7F3D0</x:v>
      </x:c>
      <x:c r="R70" s="352" t="str">
        <x:v>#A7F3D0</x:v>
      </x:c>
      <x:c r="S70" s="352" t="str">
        <x:v>#FEF3C7</x:v>
      </x:c>
      <x:c r="T70" s="352" t="str">
        <x:v>#A7F3D0</x:v>
      </x:c>
      <x:c r="U70" s="352" t="str">
        <x:v>#FEF3C7</x:v>
      </x:c>
      <x:c r="V70" s="352" t="str">
        <x:v>MAR</x:v>
      </x:c>
      <x:c r="W70" s="352" t="str">
        <x:v>Yes</x:v>
      </x:c>
      <x:c r="X70" s="352" t="str">
        <x:f>TEXTJOIN("",TRUE,"{""type"":""Point"",""coordinates"":[",TEXT(H70,"0.000000"),",",TEXT(G70,"0.000000"),"]}")</x:f>
        <x:v>{"type":"Point","coordinates":[-5,32]}</x:v>
      </x:c>
      <x:c r="Y70" s="352" t="str">
        <x:v>{"country":"Morocco","iso3":"MAR","region":"Africa","russia_score":"2","china_score":"2","american_score":"2.75","eu_score":"1.5","dominant_actor":"United States","dominant_score":"2.75","dominant_colour":"#FEF3C7"}</x:v>
      </x:c>
      <x:c r="Z70" s="352" t="str">
        <x:v>ResurgamHub-mentioned country/area; join Leaflet polygons by ISO3=MAR.</x:v>
      </x:c>
    </x:row>
    <x:row r="71">
      <x:c r="A71" s="20" t="str">
        <x:v>Mozambique</x:v>
      </x:c>
      <x:c r="B71" s="20" t="str">
        <x:v>MZ</x:v>
      </x:c>
      <x:c r="C71" s="20" t="str">
        <x:v>MOZ</x:v>
      </x:c>
      <x:c r="D71" s="20" t="str">
        <x:v>508</x:v>
      </x:c>
      <x:c r="E71" s="20" t="str">
        <x:v>Africa</x:v>
      </x:c>
      <x:c r="F71" s="20" t="str">
        <x:v>Eastern Africa</x:v>
      </x:c>
      <x:c r="G71" s="20" t="n">
        <x:v>-18.25</x:v>
      </x:c>
      <x:c r="H71" s="20" t="n">
        <x:v>35</x:v>
      </x:c>
      <x:c r="I71" s="384" t="n">
        <x:f>IFERROR(VLOOKUP($C71&amp;"|Russia",Scoring_Matrix!$A$2:$X$493,24,FALSE),"No data")</x:f>
        <x:v>3.75</x:v>
      </x:c>
      <x:c r="J71" s="384" t="n">
        <x:f>IFERROR(VLOOKUP($C71&amp;"|China",Scoring_Matrix!$A$2:$X$493,24,FALSE),"No data")</x:f>
        <x:v>2.75</x:v>
      </x:c>
      <x:c r="K71" s="384" t="n">
        <x:f>IFERROR(VLOOKUP($C71&amp;"|United States",Scoring_Matrix!$A$2:$X$493,24,FALSE),"No data")</x:f>
        <x:v>2.75</x:v>
      </x:c>
      <x:c r="L71" s="384" t="n">
        <x:f>IFERROR(VLOOKUP($C71&amp;"|European Union",Scoring_Matrix!$A$2:$X$493,24,FALSE),"No data")</x:f>
        <x:v>1.5</x:v>
      </x:c>
      <x:c r="M71" s="386" t="str">
        <x:f>IF(COUNT(I71:L71)=0,"No data",IF(I71=MAX(I71:L71),"Russia",IF(J71=MAX(I71:L71),"China",IF(K71=MAX(I71:L71),"United States","European Union"))))</x:f>
        <x:v>Russia</x:v>
      </x:c>
      <x:c r="N71" s="384" t="n">
        <x:f>IF(COUNT(I71:L71)=0,"No data",MAX(I71:L71))</x:f>
        <x:v>3.75</x:v>
      </x:c>
      <x:c r="O71" s="20" t="str">
        <x:f>IF(COUNT(I71:L71)=0,"No scored evidence","Scored evidence present")</x:f>
        <x:v>Scored evidence present</x:v>
      </x:c>
      <x:c r="P71" s="20" t="str">
        <x:v>Actor scores are formula rollups from Scoring_Matrix; score only with source-backed evidence.</x:v>
      </x:c>
      <x:c r="Q71" s="352" t="str">
        <x:v>#FDE68A</x:v>
      </x:c>
      <x:c r="R71" s="352" t="str">
        <x:v>#FEF3C7</x:v>
      </x:c>
      <x:c r="S71" s="352" t="str">
        <x:v>#FEF3C7</x:v>
      </x:c>
      <x:c r="T71" s="352" t="str">
        <x:v>#A7F3D0</x:v>
      </x:c>
      <x:c r="U71" s="352" t="str">
        <x:v>#FDE68A</x:v>
      </x:c>
      <x:c r="V71" s="352" t="str">
        <x:v>MOZ</x:v>
      </x:c>
      <x:c r="W71" s="352" t="str">
        <x:v>Yes</x:v>
      </x:c>
      <x:c r="X71" s="352" t="str">
        <x:f>TEXTJOIN("",TRUE,"{""type"":""Point"",""coordinates"":[",TEXT(H71,"0.000000"),",",TEXT(G71,"0.000000"),"]}")</x:f>
        <x:v>{"type":"Point","coordinates":[35,-18.25]}</x:v>
      </x:c>
      <x:c r="Y71" s="352" t="str">
        <x:v>{"country":"Mozambique","iso3":"MOZ","region":"Africa","russia_score":"3.75","china_score":"2.75","american_score":"2.75","eu_score":"1.5","dominant_actor":"Russia","dominant_score":"3.75","dominant_colour":"#FDE68A"}</x:v>
      </x:c>
      <x:c r="Z71" s="352" t="str">
        <x:v>ResurgamHub-mentioned country/area; join Leaflet polygons by ISO3=MOZ.</x:v>
      </x:c>
    </x:row>
    <x:row r="72">
      <x:c r="A72" s="20" t="str">
        <x:v>Myanmar</x:v>
      </x:c>
      <x:c r="B72" s="20" t="str">
        <x:v>MM</x:v>
      </x:c>
      <x:c r="C72" s="20" t="str">
        <x:v>MMR</x:v>
      </x:c>
      <x:c r="D72" s="20" t="str">
        <x:v>104</x:v>
      </x:c>
      <x:c r="E72" s="20" t="str">
        <x:v>Asia</x:v>
      </x:c>
      <x:c r="F72" s="20" t="str">
        <x:v>South-eastern Asia</x:v>
      </x:c>
      <x:c r="G72" s="20" t="n">
        <x:v>22</x:v>
      </x:c>
      <x:c r="H72" s="20" t="n">
        <x:v>98</x:v>
      </x:c>
      <x:c r="I72" s="384" t="n">
        <x:f>IFERROR(VLOOKUP($C72&amp;"|Russia",Scoring_Matrix!$A$2:$X$493,24,FALSE),"No data")</x:f>
        <x:v>0.5</x:v>
      </x:c>
      <x:c r="J72" s="384" t="n">
        <x:f>IFERROR(VLOOKUP($C72&amp;"|China",Scoring_Matrix!$A$2:$X$493,24,FALSE),"No data")</x:f>
        <x:v>3.75</x:v>
      </x:c>
      <x:c r="K72" s="384" t="n">
        <x:f>IFERROR(VLOOKUP($C72&amp;"|United States",Scoring_Matrix!$A$2:$X$493,24,FALSE),"No data")</x:f>
        <x:v>2.25</x:v>
      </x:c>
      <x:c r="L72" s="384" t="n">
        <x:f>IFERROR(VLOOKUP($C72&amp;"|European Union",Scoring_Matrix!$A$2:$X$493,24,FALSE),"No data")</x:f>
        <x:v>1.25</x:v>
      </x:c>
      <x:c r="M72" s="386" t="str">
        <x:f>IF(COUNT(I72:L72)=0,"No data",IF(I72=MAX(I72:L72),"Russia",IF(J72=MAX(I72:L72),"China",IF(K72=MAX(I72:L72),"United States","European Union"))))</x:f>
        <x:v>China</x:v>
      </x:c>
      <x:c r="N72" s="384" t="n">
        <x:f>IF(COUNT(I72:L72)=0,"No data",MAX(I72:L72))</x:f>
        <x:v>3.75</x:v>
      </x:c>
      <x:c r="O72" s="20" t="str">
        <x:f>IF(COUNT(I72:L72)=0,"No scored evidence","Scored evidence present")</x:f>
        <x:v>Scored evidence present</x:v>
      </x:c>
      <x:c r="P72" s="20" t="str">
        <x:v>Actor scores are formula rollups from Scoring_Matrix; score only with source-backed evidence.</x:v>
      </x:c>
      <x:c r="Q72" s="352" t="str">
        <x:v>#D1FAE5</x:v>
      </x:c>
      <x:c r="R72" s="352" t="str">
        <x:v>#FDE68A</x:v>
      </x:c>
      <x:c r="S72" s="352" t="str">
        <x:v>#A7F3D0</x:v>
      </x:c>
      <x:c r="T72" s="352" t="str">
        <x:v>#D1FAE5</x:v>
      </x:c>
      <x:c r="U72" s="352" t="str">
        <x:v>#FDE68A</x:v>
      </x:c>
      <x:c r="V72" s="352" t="str">
        <x:v>MMR</x:v>
      </x:c>
      <x:c r="W72" s="352" t="str">
        <x:v>Yes</x:v>
      </x:c>
      <x:c r="X72" s="352" t="str">
        <x:f>TEXTJOIN("",TRUE,"{""type"":""Point"",""coordinates"":[",TEXT(H72,"0.000000"),",",TEXT(G72,"0.000000"),"]}")</x:f>
        <x:v>{"type":"Point","coordinates":[98,22]}</x:v>
      </x:c>
      <x:c r="Y72" s="352" t="str">
        <x:v>{"country":"Myanmar","iso3":"MMR","region":"Asia","russia_score":"0.5","china_score":"3.75","american_score":"2.25","eu_score":"1.25","dominant_actor":"China","dominant_score":"3.75","dominant_colour":"#FDE68A"}</x:v>
      </x:c>
      <x:c r="Z72" s="352" t="str">
        <x:v>ResurgamHub-mentioned country/area; join Leaflet polygons by ISO3=MMR.</x:v>
      </x:c>
    </x:row>
    <x:row r="73">
      <x:c r="A73" s="20" t="str">
        <x:v>Nauru</x:v>
      </x:c>
      <x:c r="B73" s="20" t="str">
        <x:v>NR</x:v>
      </x:c>
      <x:c r="C73" s="20" t="str">
        <x:v>NRU</x:v>
      </x:c>
      <x:c r="D73" s="20" t="str">
        <x:v>520</x:v>
      </x:c>
      <x:c r="E73" s="20" t="str">
        <x:v>Oceania</x:v>
      </x:c>
      <x:c r="F73" s="20" t="str">
        <x:v>Micronesia</x:v>
      </x:c>
      <x:c r="G73" s="20" t="n">
        <x:v>-0.53333333</x:v>
      </x:c>
      <x:c r="H73" s="20" t="n">
        <x:v>166.91666666</x:v>
      </x:c>
      <x:c r="I73" s="384" t="n">
        <x:f>IFERROR(VLOOKUP($C73&amp;"|Russia",Scoring_Matrix!$A$2:$X$493,24,FALSE),"No data")</x:f>
        <x:v>0.5</x:v>
      </x:c>
      <x:c r="J73" s="384" t="n">
        <x:f>IFERROR(VLOOKUP($C73&amp;"|China",Scoring_Matrix!$A$2:$X$493,24,FALSE),"No data")</x:f>
        <x:v>3.25</x:v>
      </x:c>
      <x:c r="K73" s="384" t="n">
        <x:f>IFERROR(VLOOKUP($C73&amp;"|United States",Scoring_Matrix!$A$2:$X$493,24,FALSE),"No data")</x:f>
        <x:v>1.75</x:v>
      </x:c>
      <x:c r="L73" s="384" t="n">
        <x:f>IFERROR(VLOOKUP($C73&amp;"|European Union",Scoring_Matrix!$A$2:$X$493,24,FALSE),"No data")</x:f>
        <x:v>1</x:v>
      </x:c>
      <x:c r="M73" s="386" t="str">
        <x:f>IF(COUNT(I73:L73)=0,"No data",IF(I73=MAX(I73:L73),"Russia",IF(J73=MAX(I73:L73),"China",IF(K73=MAX(I73:L73),"United States","European Union"))))</x:f>
        <x:v>China</x:v>
      </x:c>
      <x:c r="N73" s="384" t="n">
        <x:f>IF(COUNT(I73:L73)=0,"No data",MAX(I73:L73))</x:f>
        <x:v>3.25</x:v>
      </x:c>
      <x:c r="O73" s="20" t="str">
        <x:f>IF(COUNT(I73:L73)=0,"No scored evidence","Scored evidence present")</x:f>
        <x:v>Scored evidence present</x:v>
      </x:c>
      <x:c r="P73" s="20" t="str">
        <x:v>Actor scores are formula rollups from Scoring_Matrix; score only with source-backed evidence.</x:v>
      </x:c>
      <x:c r="Q73" s="352" t="str">
        <x:v>#D1FAE5</x:v>
      </x:c>
      <x:c r="R73" s="352" t="str">
        <x:v>#FEF3C7</x:v>
      </x:c>
      <x:c r="S73" s="352" t="str">
        <x:v>#A7F3D0</x:v>
      </x:c>
      <x:c r="T73" s="352" t="str">
        <x:v>#D1FAE5</x:v>
      </x:c>
      <x:c r="U73" s="352" t="str">
        <x:v>#FEF3C7</x:v>
      </x:c>
      <x:c r="V73" s="352" t="str">
        <x:v>NRU</x:v>
      </x:c>
      <x:c r="W73" s="352" t="str">
        <x:v>Yes</x:v>
      </x:c>
      <x:c r="X73" s="352" t="str">
        <x:f>TEXTJOIN("",TRUE,"{""type"":""Point"",""coordinates"":[",TEXT(H73,"0.000000"),",",TEXT(G73,"0.000000"),"]}")</x:f>
        <x:v>{"type":"Point","coordinates":[166.916667,-0.533333]}</x:v>
      </x:c>
      <x:c r="Y73" s="352" t="str">
        <x:v>{"country":"Nauru","iso3":"NRU","region":"Oceania","russia_score":"0.5","china_score":"3.25","american_score":"1.75","eu_score":"1","dominant_actor":"China","dominant_score":"3.25","dominant_colour":"#FEF3C7"}</x:v>
      </x:c>
      <x:c r="Z73" s="352" t="str">
        <x:v>ResurgamHub-mentioned country/area; join Leaflet polygons by ISO3=NRU.</x:v>
      </x:c>
    </x:row>
    <x:row r="74">
      <x:c r="A74" s="20" t="str">
        <x:v>Netherlands</x:v>
      </x:c>
      <x:c r="B74" s="20" t="str">
        <x:v>NL</x:v>
      </x:c>
      <x:c r="C74" s="20" t="str">
        <x:v>NLD</x:v>
      </x:c>
      <x:c r="D74" s="20" t="str">
        <x:v>528</x:v>
      </x:c>
      <x:c r="E74" s="20" t="str">
        <x:v>Europe</x:v>
      </x:c>
      <x:c r="F74" s="20" t="str">
        <x:v>Western Europe</x:v>
      </x:c>
      <x:c r="G74" s="20" t="n">
        <x:v>52.5</x:v>
      </x:c>
      <x:c r="H74" s="20" t="n">
        <x:v>5.75</x:v>
      </x:c>
      <x:c r="I74" s="384" t="n">
        <x:f>IFERROR(VLOOKUP($C74&amp;"|Russia",Scoring_Matrix!$A$2:$X$493,24,FALSE),"No data")</x:f>
        <x:v>2.5</x:v>
      </x:c>
      <x:c r="J74" s="384" t="n">
        <x:f>IFERROR(VLOOKUP($C74&amp;"|China",Scoring_Matrix!$A$2:$X$493,24,FALSE),"No data")</x:f>
        <x:v>2</x:v>
      </x:c>
      <x:c r="K74" s="384" t="n">
        <x:f>IFERROR(VLOOKUP($C74&amp;"|United States",Scoring_Matrix!$A$2:$X$493,24,FALSE),"No data")</x:f>
        <x:v>3.5</x:v>
      </x:c>
      <x:c r="L74" s="384" t="n">
        <x:f>IFERROR(VLOOKUP($C74&amp;"|European Union",Scoring_Matrix!$A$2:$X$493,24,FALSE),"No data")</x:f>
        <x:v>4</x:v>
      </x:c>
      <x:c r="M74" s="386" t="str">
        <x:f>IF(COUNT(I74:L74)=0,"No data",IF(I74=MAX(I74:L74),"Russia",IF(J74=MAX(I74:L74),"China",IF(K74=MAX(I74:L74),"United States","European Union"))))</x:f>
        <x:v>European Union</x:v>
      </x:c>
      <x:c r="N74" s="384" t="n">
        <x:f>IF(COUNT(I74:L74)=0,"No data",MAX(I74:L74))</x:f>
        <x:v>4</x:v>
      </x:c>
      <x:c r="O74" s="20" t="str">
        <x:f>IF(COUNT(I74:L74)=0,"No scored evidence","Scored evidence present")</x:f>
        <x:v>Scored evidence present</x:v>
      </x:c>
      <x:c r="P74" s="20" t="str">
        <x:v>Actor scores are formula rollups from Scoring_Matrix; score only with source-backed evidence.</x:v>
      </x:c>
      <x:c r="Q74" s="352" t="str">
        <x:v>#FEF3C7</x:v>
      </x:c>
      <x:c r="R74" s="352" t="str">
        <x:v>#A7F3D0</x:v>
      </x:c>
      <x:c r="S74" s="352" t="str">
        <x:v>#FDE68A</x:v>
      </x:c>
      <x:c r="T74" s="352" t="str">
        <x:v>#FDE68A</x:v>
      </x:c>
      <x:c r="U74" s="352" t="str">
        <x:v>#FDE68A</x:v>
      </x:c>
      <x:c r="V74" s="352" t="str">
        <x:v>NLD</x:v>
      </x:c>
      <x:c r="W74" s="352" t="str">
        <x:v>Yes</x:v>
      </x:c>
      <x:c r="X74" s="352" t="str">
        <x:f>TEXTJOIN("",TRUE,"{""type"":""Point"",""coordinates"":[",TEXT(H74,"0.000000"),",",TEXT(G74,"0.000000"),"]}")</x:f>
        <x:v>{"type":"Point","coordinates":[5.75,52.5]}</x:v>
      </x:c>
      <x:c r="Y74" s="352" t="str">
        <x:v>{"country":"Netherlands","iso3":"NLD","region":"Europe","russia_score":"2.5","china_score":"2","american_score":"3.5","eu_score":"4","dominant_actor":"European Union","dominant_score":"4","dominant_colour":"#FDE68A"}</x:v>
      </x:c>
      <x:c r="Z74" s="352" t="str">
        <x:v>ResurgamHub-mentioned country/area; join Leaflet polygons by ISO3=NLD.</x:v>
      </x:c>
    </x:row>
    <x:row r="75">
      <x:c r="A75" s="20" t="str">
        <x:v>New Caledonia</x:v>
      </x:c>
      <x:c r="B75" s="20" t="str">
        <x:v>NC</x:v>
      </x:c>
      <x:c r="C75" s="20" t="str">
        <x:v>NCL</x:v>
      </x:c>
      <x:c r="D75" s="20" t="str">
        <x:v>540</x:v>
      </x:c>
      <x:c r="E75" s="20" t="str">
        <x:v>Oceania</x:v>
      </x:c>
      <x:c r="F75" s="20" t="str">
        <x:v>Melanesia</x:v>
      </x:c>
      <x:c r="G75" s="20" t="n">
        <x:v>-21.5</x:v>
      </x:c>
      <x:c r="H75" s="20" t="n">
        <x:v>165.5</x:v>
      </x:c>
      <x:c r="I75" s="384" t="n">
        <x:f>IFERROR(VLOOKUP($C75&amp;"|Russia",Scoring_Matrix!$A$2:$X$493,24,FALSE),"No data")</x:f>
        <x:v>0.5</x:v>
      </x:c>
      <x:c r="J75" s="384" t="n">
        <x:f>IFERROR(VLOOKUP($C75&amp;"|China",Scoring_Matrix!$A$2:$X$493,24,FALSE),"No data")</x:f>
        <x:v>3.25</x:v>
      </x:c>
      <x:c r="K75" s="384" t="n">
        <x:f>IFERROR(VLOOKUP($C75&amp;"|United States",Scoring_Matrix!$A$2:$X$493,24,FALSE),"No data")</x:f>
        <x:v>1.75</x:v>
      </x:c>
      <x:c r="L75" s="384" t="n">
        <x:f>IFERROR(VLOOKUP($C75&amp;"|European Union",Scoring_Matrix!$A$2:$X$493,24,FALSE),"No data")</x:f>
        <x:v>1</x:v>
      </x:c>
      <x:c r="M75" s="386" t="str">
        <x:f>IF(COUNT(I75:L75)=0,"No data",IF(I75=MAX(I75:L75),"Russia",IF(J75=MAX(I75:L75),"China",IF(K75=MAX(I75:L75),"United States","European Union"))))</x:f>
        <x:v>China</x:v>
      </x:c>
      <x:c r="N75" s="384" t="n">
        <x:f>IF(COUNT(I75:L75)=0,"No data",MAX(I75:L75))</x:f>
        <x:v>3.25</x:v>
      </x:c>
      <x:c r="O75" s="20" t="str">
        <x:f>IF(COUNT(I75:L75)=0,"No scored evidence","Scored evidence present")</x:f>
        <x:v>Scored evidence present</x:v>
      </x:c>
      <x:c r="P75" s="20" t="str">
        <x:v>Actor scores are formula rollups from Scoring_Matrix; score only with source-backed evidence.</x:v>
      </x:c>
      <x:c r="Q75" s="352" t="str">
        <x:v>#D1FAE5</x:v>
      </x:c>
      <x:c r="R75" s="352" t="str">
        <x:v>#FEF3C7</x:v>
      </x:c>
      <x:c r="S75" s="352" t="str">
        <x:v>#A7F3D0</x:v>
      </x:c>
      <x:c r="T75" s="352" t="str">
        <x:v>#D1FAE5</x:v>
      </x:c>
      <x:c r="U75" s="352" t="str">
        <x:v>#FEF3C7</x:v>
      </x:c>
      <x:c r="V75" s="352" t="str">
        <x:v>NCL</x:v>
      </x:c>
      <x:c r="W75" s="352" t="str">
        <x:v>Yes</x:v>
      </x:c>
      <x:c r="X75" s="352" t="str">
        <x:f>TEXTJOIN("",TRUE,"{""type"":""Point"",""coordinates"":[",TEXT(H75,"0.000000"),",",TEXT(G75,"0.000000"),"]}")</x:f>
        <x:v>{"type":"Point","coordinates":[165.5,-21.5]}</x:v>
      </x:c>
      <x:c r="Y75" s="352" t="str">
        <x:v>{"country":"New Caledonia","iso3":"NCL","region":"Oceania","russia_score":"0.5","china_score":"3.25","american_score":"1.75","eu_score":"1","dominant_actor":"China","dominant_score":"3.25","dominant_colour":"#FEF3C7"}</x:v>
      </x:c>
      <x:c r="Z75" s="352" t="str">
        <x:v>ResurgamHub-mentioned country/area; join Leaflet polygons by ISO3=NCL.</x:v>
      </x:c>
    </x:row>
    <x:row r="76">
      <x:c r="A76" s="20" t="str">
        <x:v>New Zealand</x:v>
      </x:c>
      <x:c r="B76" s="20" t="str">
        <x:v>NZ</x:v>
      </x:c>
      <x:c r="C76" s="20" t="str">
        <x:v>NZL</x:v>
      </x:c>
      <x:c r="D76" s="20" t="str">
        <x:v>554</x:v>
      </x:c>
      <x:c r="E76" s="20" t="str">
        <x:v>Oceania</x:v>
      </x:c>
      <x:c r="F76" s="20" t="str">
        <x:v>Australia and New Zealand</x:v>
      </x:c>
      <x:c r="G76" s="20" t="n">
        <x:v>-41</x:v>
      </x:c>
      <x:c r="H76" s="20" t="n">
        <x:v>174</x:v>
      </x:c>
      <x:c r="I76" s="384" t="n">
        <x:f>IFERROR(VLOOKUP($C76&amp;"|Russia",Scoring_Matrix!$A$2:$X$493,24,FALSE),"No data")</x:f>
        <x:v>0.5</x:v>
      </x:c>
      <x:c r="J76" s="384" t="n">
        <x:f>IFERROR(VLOOKUP($C76&amp;"|China",Scoring_Matrix!$A$2:$X$493,24,FALSE),"No data")</x:f>
        <x:v>2.75</x:v>
      </x:c>
      <x:c r="K76" s="384" t="n">
        <x:f>IFERROR(VLOOKUP($C76&amp;"|United States",Scoring_Matrix!$A$2:$X$493,24,FALSE),"No data")</x:f>
        <x:v>3</x:v>
      </x:c>
      <x:c r="L76" s="384" t="n">
        <x:f>IFERROR(VLOOKUP($C76&amp;"|European Union",Scoring_Matrix!$A$2:$X$493,24,FALSE),"No data")</x:f>
        <x:v>1.25</x:v>
      </x:c>
      <x:c r="M76" s="386" t="str">
        <x:f>IF(COUNT(I76:L76)=0,"No data",IF(I76=MAX(I76:L76),"Russia",IF(J76=MAX(I76:L76),"China",IF(K76=MAX(I76:L76),"United States","European Union"))))</x:f>
        <x:v>United States</x:v>
      </x:c>
      <x:c r="N76" s="384" t="n">
        <x:f>IF(COUNT(I76:L76)=0,"No data",MAX(I76:L76))</x:f>
        <x:v>3</x:v>
      </x:c>
      <x:c r="O76" s="20" t="str">
        <x:f>IF(COUNT(I76:L76)=0,"No scored evidence","Scored evidence present")</x:f>
        <x:v>Scored evidence present</x:v>
      </x:c>
      <x:c r="P76" s="20" t="str">
        <x:v>Actor scores are formula rollups from Scoring_Matrix; score only with source-backed evidence.</x:v>
      </x:c>
      <x:c r="Q76" s="352" t="str">
        <x:v>#D1FAE5</x:v>
      </x:c>
      <x:c r="R76" s="352" t="str">
        <x:v>#FEF3C7</x:v>
      </x:c>
      <x:c r="S76" s="352" t="str">
        <x:v>#FEF3C7</x:v>
      </x:c>
      <x:c r="T76" s="352" t="str">
        <x:v>#D1FAE5</x:v>
      </x:c>
      <x:c r="U76" s="352" t="str">
        <x:v>#FEF3C7</x:v>
      </x:c>
      <x:c r="V76" s="352" t="str">
        <x:v>NZL</x:v>
      </x:c>
      <x:c r="W76" s="352" t="str">
        <x:v>Yes</x:v>
      </x:c>
      <x:c r="X76" s="352" t="str">
        <x:f>TEXTJOIN("",TRUE,"{""type"":""Point"",""coordinates"":[",TEXT(H76,"0.000000"),",",TEXT(G76,"0.000000"),"]}")</x:f>
        <x:v>{"type":"Point","coordinates":[174,-41]}</x:v>
      </x:c>
      <x:c r="Y76" s="352" t="str">
        <x:v>{"country":"New Zealand","iso3":"NZL","region":"Oceania","russia_score":"0.5","china_score":"2.75","american_score":"3","eu_score":"1.25","dominant_actor":"United States","dominant_score":"3","dominant_colour":"#FEF3C7"}</x:v>
      </x:c>
      <x:c r="Z76" s="352" t="str">
        <x:v>ResurgamHub-mentioned country/area; join Leaflet polygons by ISO3=NZL.</x:v>
      </x:c>
    </x:row>
    <x:row r="77">
      <x:c r="A77" s="20" t="str">
        <x:v>Nicaragua</x:v>
      </x:c>
      <x:c r="B77" s="20" t="str">
        <x:v>NI</x:v>
      </x:c>
      <x:c r="C77" s="20" t="str">
        <x:v>NIC</x:v>
      </x:c>
      <x:c r="D77" s="20" t="str">
        <x:v>558</x:v>
      </x:c>
      <x:c r="E77" s="20" t="str">
        <x:v>Americas</x:v>
      </x:c>
      <x:c r="F77" s="20" t="str">
        <x:v>Central America</x:v>
      </x:c>
      <x:c r="G77" s="20" t="n">
        <x:v>13</x:v>
      </x:c>
      <x:c r="H77" s="20" t="n">
        <x:v>-85</x:v>
      </x:c>
      <x:c r="I77" s="384" t="n">
        <x:f>IFERROR(VLOOKUP($C77&amp;"|Russia",Scoring_Matrix!$A$2:$X$493,24,FALSE),"No data")</x:f>
        <x:v>2.75</x:v>
      </x:c>
      <x:c r="J77" s="384" t="n">
        <x:f>IFERROR(VLOOKUP($C77&amp;"|China",Scoring_Matrix!$A$2:$X$493,24,FALSE),"No data")</x:f>
        <x:v>1.75</x:v>
      </x:c>
      <x:c r="K77" s="384" t="n">
        <x:f>IFERROR(VLOOKUP($C77&amp;"|United States",Scoring_Matrix!$A$2:$X$493,24,FALSE),"No data")</x:f>
        <x:v>4.25</x:v>
      </x:c>
      <x:c r="L77" s="384" t="n">
        <x:f>IFERROR(VLOOKUP($C77&amp;"|European Union",Scoring_Matrix!$A$2:$X$493,24,FALSE),"No data")</x:f>
        <x:v>1.5</x:v>
      </x:c>
      <x:c r="M77" s="386" t="str">
        <x:f>IF(COUNT(I77:L77)=0,"No data",IF(I77=MAX(I77:L77),"Russia",IF(J77=MAX(I77:L77),"China",IF(K77=MAX(I77:L77),"United States","European Union"))))</x:f>
        <x:v>United States</x:v>
      </x:c>
      <x:c r="N77" s="384" t="n">
        <x:f>IF(COUNT(I77:L77)=0,"No data",MAX(I77:L77))</x:f>
        <x:v>4.25</x:v>
      </x:c>
      <x:c r="O77" s="20" t="str">
        <x:f>IF(COUNT(I77:L77)=0,"No scored evidence","Scored evidence present")</x:f>
        <x:v>Scored evidence present</x:v>
      </x:c>
      <x:c r="P77" s="20" t="str">
        <x:v>Actor scores are formula rollups from Scoring_Matrix; score only with source-backed evidence.</x:v>
      </x:c>
      <x:c r="Q77" s="352" t="str">
        <x:v>#FEF3C7</x:v>
      </x:c>
      <x:c r="R77" s="352" t="str">
        <x:v>#A7F3D0</x:v>
      </x:c>
      <x:c r="S77" s="352" t="str">
        <x:v>#FDE68A</x:v>
      </x:c>
      <x:c r="T77" s="352" t="str">
        <x:v>#A7F3D0</x:v>
      </x:c>
      <x:c r="U77" s="352" t="str">
        <x:v>#FDE68A</x:v>
      </x:c>
      <x:c r="V77" s="352" t="str">
        <x:v>NIC</x:v>
      </x:c>
      <x:c r="W77" s="352" t="str">
        <x:v>Yes</x:v>
      </x:c>
      <x:c r="X77" s="352" t="str">
        <x:f>TEXTJOIN("",TRUE,"{""type"":""Point"",""coordinates"":[",TEXT(H77,"0.000000"),",",TEXT(G77,"0.000000"),"]}")</x:f>
        <x:v>{"type":"Point","coordinates":[-85,13]}</x:v>
      </x:c>
      <x:c r="Y77" s="352" t="str">
        <x:v>{"country":"Nicaragua","iso3":"NIC","region":"Americas","russia_score":"2.75","china_score":"1.75","american_score":"4.25","eu_score":"1.5","dominant_actor":"United States","dominant_score":"4.25","dominant_colour":"#FDE68A"}</x:v>
      </x:c>
      <x:c r="Z77" s="352" t="str">
        <x:v>ResurgamHub-mentioned country/area; join Leaflet polygons by ISO3=NIC.</x:v>
      </x:c>
    </x:row>
    <x:row r="78">
      <x:c r="A78" s="20" t="str">
        <x:v>Niger</x:v>
      </x:c>
      <x:c r="B78" s="20" t="str">
        <x:v>NE</x:v>
      </x:c>
      <x:c r="C78" s="20" t="str">
        <x:v>NER</x:v>
      </x:c>
      <x:c r="D78" s="20" t="str">
        <x:v>562</x:v>
      </x:c>
      <x:c r="E78" s="20" t="str">
        <x:v>Africa</x:v>
      </x:c>
      <x:c r="F78" s="20" t="str">
        <x:v>Western Africa</x:v>
      </x:c>
      <x:c r="G78" s="20" t="n">
        <x:v>16</x:v>
      </x:c>
      <x:c r="H78" s="20" t="n">
        <x:v>8</x:v>
      </x:c>
      <x:c r="I78" s="384" t="n">
        <x:f>IFERROR(VLOOKUP($C78&amp;"|Russia",Scoring_Matrix!$A$2:$X$493,24,FALSE),"No data")</x:f>
        <x:v>5.25</x:v>
      </x:c>
      <x:c r="J78" s="384" t="n">
        <x:f>IFERROR(VLOOKUP($C78&amp;"|China",Scoring_Matrix!$A$2:$X$493,24,FALSE),"No data")</x:f>
        <x:v>2</x:v>
      </x:c>
      <x:c r="K78" s="384" t="n">
        <x:f>IFERROR(VLOOKUP($C78&amp;"|United States",Scoring_Matrix!$A$2:$X$493,24,FALSE),"No data")</x:f>
        <x:v>2.75</x:v>
      </x:c>
      <x:c r="L78" s="384" t="n">
        <x:f>IFERROR(VLOOKUP($C78&amp;"|European Union",Scoring_Matrix!$A$2:$X$493,24,FALSE),"No data")</x:f>
        <x:v>2</x:v>
      </x:c>
      <x:c r="M78" s="386" t="str">
        <x:f>IF(COUNT(I78:L78)=0,"No data",IF(I78=MAX(I78:L78),"Russia",IF(J78=MAX(I78:L78),"China",IF(K78=MAX(I78:L78),"United States","European Union"))))</x:f>
        <x:v>Russia</x:v>
      </x:c>
      <x:c r="N78" s="384" t="n">
        <x:f>IF(COUNT(I78:L78)=0,"No data",MAX(I78:L78))</x:f>
        <x:v>5.25</x:v>
      </x:c>
      <x:c r="O78" s="20" t="str">
        <x:f>IF(COUNT(I78:L78)=0,"No scored evidence","Scored evidence present")</x:f>
        <x:v>Scored evidence present</x:v>
      </x:c>
      <x:c r="P78" s="20" t="str">
        <x:v>Actor scores are formula rollups from Scoring_Matrix; score only with source-backed evidence.</x:v>
      </x:c>
      <x:c r="Q78" s="352" t="str">
        <x:v>#FCD34D</x:v>
      </x:c>
      <x:c r="R78" s="352" t="str">
        <x:v>#A7F3D0</x:v>
      </x:c>
      <x:c r="S78" s="352" t="str">
        <x:v>#FEF3C7</x:v>
      </x:c>
      <x:c r="T78" s="352" t="str">
        <x:v>#A7F3D0</x:v>
      </x:c>
      <x:c r="U78" s="352" t="str">
        <x:v>#FCD34D</x:v>
      </x:c>
      <x:c r="V78" s="352" t="str">
        <x:v>NER</x:v>
      </x:c>
      <x:c r="W78" s="352" t="str">
        <x:v>Yes</x:v>
      </x:c>
      <x:c r="X78" s="352" t="str">
        <x:f>TEXTJOIN("",TRUE,"{""type"":""Point"",""coordinates"":[",TEXT(H78,"0.000000"),",",TEXT(G78,"0.000000"),"]}")</x:f>
        <x:v>{"type":"Point","coordinates":[8,16]}</x:v>
      </x:c>
      <x:c r="Y78" s="352" t="str">
        <x:v>{"country":"Niger","iso3":"NER","region":"Africa","russia_score":"5.25","china_score":"2","american_score":"2.75","eu_score":"2","dominant_actor":"Russia","dominant_score":"5.25","dominant_colour":"#FCD34D"}</x:v>
      </x:c>
      <x:c r="Z78" s="352" t="str">
        <x:v>ResurgamHub-mentioned country/area; join Leaflet polygons by ISO3=NER.</x:v>
      </x:c>
    </x:row>
    <x:row r="79">
      <x:c r="A79" s="20" t="str">
        <x:v>Nigeria</x:v>
      </x:c>
      <x:c r="B79" s="20" t="str">
        <x:v>NG</x:v>
      </x:c>
      <x:c r="C79" s="20" t="str">
        <x:v>NGA</x:v>
      </x:c>
      <x:c r="D79" s="20" t="str">
        <x:v>566</x:v>
      </x:c>
      <x:c r="E79" s="20" t="str">
        <x:v>Africa</x:v>
      </x:c>
      <x:c r="F79" s="20" t="str">
        <x:v>Western Africa</x:v>
      </x:c>
      <x:c r="G79" s="20" t="n">
        <x:v>10</x:v>
      </x:c>
      <x:c r="H79" s="20" t="n">
        <x:v>8</x:v>
      </x:c>
      <x:c r="I79" s="384" t="n">
        <x:f>IFERROR(VLOOKUP($C79&amp;"|Russia",Scoring_Matrix!$A$2:$X$493,24,FALSE),"No data")</x:f>
        <x:v>1.75</x:v>
      </x:c>
      <x:c r="J79" s="384" t="n">
        <x:f>IFERROR(VLOOKUP($C79&amp;"|China",Scoring_Matrix!$A$2:$X$493,24,FALSE),"No data")</x:f>
        <x:v>2.75</x:v>
      </x:c>
      <x:c r="K79" s="384" t="n">
        <x:f>IFERROR(VLOOKUP($C79&amp;"|United States",Scoring_Matrix!$A$2:$X$493,24,FALSE),"No data")</x:f>
        <x:v>2.75</x:v>
      </x:c>
      <x:c r="L79" s="384" t="n">
        <x:f>IFERROR(VLOOKUP($C79&amp;"|European Union",Scoring_Matrix!$A$2:$X$493,24,FALSE),"No data")</x:f>
        <x:v>1.75</x:v>
      </x:c>
      <x:c r="M79" s="386" t="str">
        <x:f>IF(COUNT(I79:L79)=0,"No data",IF(I79=MAX(I79:L79),"Russia",IF(J79=MAX(I79:L79),"China",IF(K79=MAX(I79:L79),"United States","European Union"))))</x:f>
        <x:v>China</x:v>
      </x:c>
      <x:c r="N79" s="384" t="n">
        <x:f>IF(COUNT(I79:L79)=0,"No data",MAX(I79:L79))</x:f>
        <x:v>2.75</x:v>
      </x:c>
      <x:c r="O79" s="20" t="str">
        <x:f>IF(COUNT(I79:L79)=0,"No scored evidence","Scored evidence present")</x:f>
        <x:v>Scored evidence present</x:v>
      </x:c>
      <x:c r="P79" s="20" t="str">
        <x:v>Actor scores are formula rollups from Scoring_Matrix; score only with source-backed evidence.</x:v>
      </x:c>
      <x:c r="Q79" s="352" t="str">
        <x:v>#A7F3D0</x:v>
      </x:c>
      <x:c r="R79" s="352" t="str">
        <x:v>#FEF3C7</x:v>
      </x:c>
      <x:c r="S79" s="352" t="str">
        <x:v>#FEF3C7</x:v>
      </x:c>
      <x:c r="T79" s="352" t="str">
        <x:v>#A7F3D0</x:v>
      </x:c>
      <x:c r="U79" s="352" t="str">
        <x:v>#FEF3C7</x:v>
      </x:c>
      <x:c r="V79" s="352" t="str">
        <x:v>NGA</x:v>
      </x:c>
      <x:c r="W79" s="352" t="str">
        <x:v>Yes</x:v>
      </x:c>
      <x:c r="X79" s="352" t="str">
        <x:f>TEXTJOIN("",TRUE,"{""type"":""Point"",""coordinates"":[",TEXT(H79,"0.000000"),",",TEXT(G79,"0.000000"),"]}")</x:f>
        <x:v>{"type":"Point","coordinates":[8,10]}</x:v>
      </x:c>
      <x:c r="Y79" s="352" t="str">
        <x:v>{"country":"Nigeria","iso3":"NGA","region":"Africa","russia_score":"1.75","china_score":"2.75","american_score":"2.75","eu_score":"1.75","dominant_actor":"China","dominant_score":"2.75","dominant_colour":"#FEF3C7"}</x:v>
      </x:c>
      <x:c r="Z79" s="352" t="str">
        <x:v>ResurgamHub-mentioned country/area; join Leaflet polygons by ISO3=NGA.</x:v>
      </x:c>
    </x:row>
    <x:row r="80">
      <x:c r="A80" s="20" t="str">
        <x:v>North Korea</x:v>
      </x:c>
      <x:c r="B80" s="20" t="str">
        <x:v>KP</x:v>
      </x:c>
      <x:c r="C80" s="20" t="str">
        <x:v>PRK</x:v>
      </x:c>
      <x:c r="D80" s="20" t="str">
        <x:v>408</x:v>
      </x:c>
      <x:c r="E80" s="20" t="str">
        <x:v>Asia</x:v>
      </x:c>
      <x:c r="F80" s="20" t="str">
        <x:v>Eastern Asia</x:v>
      </x:c>
      <x:c r="G80" s="20" t="n">
        <x:v>40</x:v>
      </x:c>
      <x:c r="H80" s="20" t="n">
        <x:v>127</x:v>
      </x:c>
      <x:c r="I80" s="384" t="n">
        <x:f>IFERROR(VLOOKUP($C80&amp;"|Russia",Scoring_Matrix!$A$2:$X$493,24,FALSE),"No data")</x:f>
        <x:v>2.5</x:v>
      </x:c>
      <x:c r="J80" s="384" t="n">
        <x:f>IFERROR(VLOOKUP($C80&amp;"|China",Scoring_Matrix!$A$2:$X$493,24,FALSE),"No data")</x:f>
        <x:v>1.5</x:v>
      </x:c>
      <x:c r="K80" s="384" t="n">
        <x:f>IFERROR(VLOOKUP($C80&amp;"|United States",Scoring_Matrix!$A$2:$X$493,24,FALSE),"No data")</x:f>
        <x:v>3</x:v>
      </x:c>
      <x:c r="L80" s="384" t="n">
        <x:f>IFERROR(VLOOKUP($C80&amp;"|European Union",Scoring_Matrix!$A$2:$X$493,24,FALSE),"No data")</x:f>
        <x:v>1</x:v>
      </x:c>
      <x:c r="M80" s="386" t="str">
        <x:f>IF(COUNT(I80:L80)=0,"No data",IF(I80=MAX(I80:L80),"Russia",IF(J80=MAX(I80:L80),"China",IF(K80=MAX(I80:L80),"United States","European Union"))))</x:f>
        <x:v>United States</x:v>
      </x:c>
      <x:c r="N80" s="384" t="n">
        <x:f>IF(COUNT(I80:L80)=0,"No data",MAX(I80:L80))</x:f>
        <x:v>3</x:v>
      </x:c>
      <x:c r="O80" s="20" t="str">
        <x:f>IF(COUNT(I80:L80)=0,"No scored evidence","Scored evidence present")</x:f>
        <x:v>Scored evidence present</x:v>
      </x:c>
      <x:c r="P80" s="20" t="str">
        <x:v>Actor scores are formula rollups from Scoring_Matrix; score only with source-backed evidence.</x:v>
      </x:c>
      <x:c r="Q80" s="352" t="str">
        <x:v>#FEF3C7</x:v>
      </x:c>
      <x:c r="R80" s="352" t="str">
        <x:v>#A7F3D0</x:v>
      </x:c>
      <x:c r="S80" s="352" t="str">
        <x:v>#FEF3C7</x:v>
      </x:c>
      <x:c r="T80" s="352" t="str">
        <x:v>#D1FAE5</x:v>
      </x:c>
      <x:c r="U80" s="352" t="str">
        <x:v>#FEF3C7</x:v>
      </x:c>
      <x:c r="V80" s="352" t="str">
        <x:v>PRK</x:v>
      </x:c>
      <x:c r="W80" s="352" t="str">
        <x:v>Yes</x:v>
      </x:c>
      <x:c r="X80" s="352" t="str">
        <x:f>TEXTJOIN("",TRUE,"{""type"":""Point"",""coordinates"":[",TEXT(H80,"0.000000"),",",TEXT(G80,"0.000000"),"]}")</x:f>
        <x:v>{"type":"Point","coordinates":[127,40]}</x:v>
      </x:c>
      <x:c r="Y80" s="352" t="str">
        <x:v>{"country":"North Korea","iso3":"PRK","region":"Asia","russia_score":"2.5","china_score":"1.5","american_score":"3","eu_score":"1","dominant_actor":"United States","dominant_score":"3","dominant_colour":"#FEF3C7"}</x:v>
      </x:c>
      <x:c r="Z80" s="352" t="str">
        <x:v>ResurgamHub-mentioned country/area; join Leaflet polygons by ISO3=PRK.</x:v>
      </x:c>
    </x:row>
    <x:row r="81">
      <x:c r="A81" s="20" t="str">
        <x:v>Norway</x:v>
      </x:c>
      <x:c r="B81" s="20" t="str">
        <x:v>NO</x:v>
      </x:c>
      <x:c r="C81" s="20" t="str">
        <x:v>NOR</x:v>
      </x:c>
      <x:c r="D81" s="20" t="str">
        <x:v>578</x:v>
      </x:c>
      <x:c r="E81" s="20" t="str">
        <x:v>Europe</x:v>
      </x:c>
      <x:c r="F81" s="20" t="str">
        <x:v>Northern Europe</x:v>
      </x:c>
      <x:c r="G81" s="20" t="n">
        <x:v>62</x:v>
      </x:c>
      <x:c r="H81" s="20" t="n">
        <x:v>10</x:v>
      </x:c>
      <x:c r="I81" s="384" t="n">
        <x:f>IFERROR(VLOOKUP($C81&amp;"|Russia",Scoring_Matrix!$A$2:$X$493,24,FALSE),"No data")</x:f>
        <x:v>2.5</x:v>
      </x:c>
      <x:c r="J81" s="384" t="n">
        <x:f>IFERROR(VLOOKUP($C81&amp;"|China",Scoring_Matrix!$A$2:$X$493,24,FALSE),"No data")</x:f>
        <x:v>1.5</x:v>
      </x:c>
      <x:c r="K81" s="384" t="n">
        <x:f>IFERROR(VLOOKUP($C81&amp;"|United States",Scoring_Matrix!$A$2:$X$493,24,FALSE),"No data")</x:f>
        <x:v>3.5</x:v>
      </x:c>
      <x:c r="L81" s="384" t="n">
        <x:f>IFERROR(VLOOKUP($C81&amp;"|European Union",Scoring_Matrix!$A$2:$X$493,24,FALSE),"No data")</x:f>
        <x:v>2.75</x:v>
      </x:c>
      <x:c r="M81" s="386" t="str">
        <x:f>IF(COUNT(I81:L81)=0,"No data",IF(I81=MAX(I81:L81),"Russia",IF(J81=MAX(I81:L81),"China",IF(K81=MAX(I81:L81),"United States","European Union"))))</x:f>
        <x:v>United States</x:v>
      </x:c>
      <x:c r="N81" s="384" t="n">
        <x:f>IF(COUNT(I81:L81)=0,"No data",MAX(I81:L81))</x:f>
        <x:v>3.5</x:v>
      </x:c>
      <x:c r="O81" s="20" t="str">
        <x:f>IF(COUNT(I81:L81)=0,"No scored evidence","Scored evidence present")</x:f>
        <x:v>Scored evidence present</x:v>
      </x:c>
      <x:c r="P81" s="20" t="str">
        <x:v>Actor scores are formula rollups from Scoring_Matrix; score only with source-backed evidence.</x:v>
      </x:c>
      <x:c r="Q81" s="352" t="str">
        <x:v>#FEF3C7</x:v>
      </x:c>
      <x:c r="R81" s="352" t="str">
        <x:v>#A7F3D0</x:v>
      </x:c>
      <x:c r="S81" s="352" t="str">
        <x:v>#FDE68A</x:v>
      </x:c>
      <x:c r="T81" s="352" t="str">
        <x:v>#FEF3C7</x:v>
      </x:c>
      <x:c r="U81" s="352" t="str">
        <x:v>#FDE68A</x:v>
      </x:c>
      <x:c r="V81" s="352" t="str">
        <x:v>NOR</x:v>
      </x:c>
      <x:c r="W81" s="352" t="str">
        <x:v>Yes</x:v>
      </x:c>
      <x:c r="X81" s="352" t="str">
        <x:f>TEXTJOIN("",TRUE,"{""type"":""Point"",""coordinates"":[",TEXT(H81,"0.000000"),",",TEXT(G81,"0.000000"),"]}")</x:f>
        <x:v>{"type":"Point","coordinates":[10,62]}</x:v>
      </x:c>
      <x:c r="Y81" s="352" t="str">
        <x:v>{"country":"Norway","iso3":"NOR","region":"Europe","russia_score":"2.5","china_score":"1.5","american_score":"3.5","eu_score":"2.75","dominant_actor":"United States","dominant_score":"3.5","dominant_colour":"#FDE68A"}</x:v>
      </x:c>
      <x:c r="Z81" s="352" t="str">
        <x:v>ResurgamHub-mentioned country/area; join Leaflet polygons by ISO3=NOR.</x:v>
      </x:c>
    </x:row>
    <x:row r="82">
      <x:c r="A82" s="20" t="str">
        <x:v>Oman</x:v>
      </x:c>
      <x:c r="B82" s="20" t="str">
        <x:v>OM</x:v>
      </x:c>
      <x:c r="C82" s="20" t="str">
        <x:v>OMN</x:v>
      </x:c>
      <x:c r="D82" s="20" t="str">
        <x:v>512</x:v>
      </x:c>
      <x:c r="E82" s="20" t="str">
        <x:v>Asia</x:v>
      </x:c>
      <x:c r="F82" s="20" t="str">
        <x:v>Western Asia</x:v>
      </x:c>
      <x:c r="G82" s="20" t="n">
        <x:v>21</x:v>
      </x:c>
      <x:c r="H82" s="20" t="n">
        <x:v>57</x:v>
      </x:c>
      <x:c r="I82" s="384" t="n">
        <x:f>IFERROR(VLOOKUP($C82&amp;"|Russia",Scoring_Matrix!$A$2:$X$493,24,FALSE),"No data")</x:f>
        <x:v>0.5</x:v>
      </x:c>
      <x:c r="J82" s="384" t="n">
        <x:f>IFERROR(VLOOKUP($C82&amp;"|China",Scoring_Matrix!$A$2:$X$493,24,FALSE),"No data")</x:f>
        <x:v>1.25</x:v>
      </x:c>
      <x:c r="K82" s="384" t="n">
        <x:f>IFERROR(VLOOKUP($C82&amp;"|United States",Scoring_Matrix!$A$2:$X$493,24,FALSE),"No data")</x:f>
        <x:v>2.5</x:v>
      </x:c>
      <x:c r="L82" s="384" t="n">
        <x:f>IFERROR(VLOOKUP($C82&amp;"|European Union",Scoring_Matrix!$A$2:$X$493,24,FALSE),"No data")</x:f>
        <x:v>1.25</x:v>
      </x:c>
      <x:c r="M82" s="386" t="str">
        <x:f>IF(COUNT(I82:L82)=0,"No data",IF(I82=MAX(I82:L82),"Russia",IF(J82=MAX(I82:L82),"China",IF(K82=MAX(I82:L82),"United States","European Union"))))</x:f>
        <x:v>United States</x:v>
      </x:c>
      <x:c r="N82" s="384" t="n">
        <x:f>IF(COUNT(I82:L82)=0,"No data",MAX(I82:L82))</x:f>
        <x:v>2.5</x:v>
      </x:c>
      <x:c r="O82" s="20" t="str">
        <x:f>IF(COUNT(I82:L82)=0,"No scored evidence","Scored evidence present")</x:f>
        <x:v>Scored evidence present</x:v>
      </x:c>
      <x:c r="P82" s="20" t="str">
        <x:v>Actor scores are formula rollups from Scoring_Matrix; score only with source-backed evidence.</x:v>
      </x:c>
      <x:c r="Q82" s="352" t="str">
        <x:v>#D1FAE5</x:v>
      </x:c>
      <x:c r="R82" s="352" t="str">
        <x:v>#D1FAE5</x:v>
      </x:c>
      <x:c r="S82" s="352" t="str">
        <x:v>#FEF3C7</x:v>
      </x:c>
      <x:c r="T82" s="352" t="str">
        <x:v>#D1FAE5</x:v>
      </x:c>
      <x:c r="U82" s="352" t="str">
        <x:v>#FEF3C7</x:v>
      </x:c>
      <x:c r="V82" s="352" t="str">
        <x:v>OMN</x:v>
      </x:c>
      <x:c r="W82" s="352" t="str">
        <x:v>Yes</x:v>
      </x:c>
      <x:c r="X82" s="352" t="str">
        <x:f>TEXTJOIN("",TRUE,"{""type"":""Point"",""coordinates"":[",TEXT(H82,"0.000000"),",",TEXT(G82,"0.000000"),"]}")</x:f>
        <x:v>{"type":"Point","coordinates":[57,21]}</x:v>
      </x:c>
      <x:c r="Y82" s="352" t="str">
        <x:v>{"country":"Oman","iso3":"OMN","region":"Asia","russia_score":"0.5","china_score":"1.25","american_score":"2.5","eu_score":"1.25","dominant_actor":"United States","dominant_score":"2.5","dominant_colour":"#FEF3C7"}</x:v>
      </x:c>
      <x:c r="Z82" s="352" t="str">
        <x:v>ResurgamHub-mentioned country/area; join Leaflet polygons by ISO3=OMN.</x:v>
      </x:c>
    </x:row>
    <x:row r="83">
      <x:c r="A83" s="20" t="str">
        <x:v>Palau</x:v>
      </x:c>
      <x:c r="B83" s="20" t="str">
        <x:v>PW</x:v>
      </x:c>
      <x:c r="C83" s="20" t="str">
        <x:v>PLW</x:v>
      </x:c>
      <x:c r="D83" s="20" t="str">
        <x:v>585</x:v>
      </x:c>
      <x:c r="E83" s="20" t="str">
        <x:v>Oceania</x:v>
      </x:c>
      <x:c r="F83" s="20" t="str">
        <x:v>Micronesia</x:v>
      </x:c>
      <x:c r="G83" s="20" t="n">
        <x:v>7.5</x:v>
      </x:c>
      <x:c r="H83" s="20" t="n">
        <x:v>134.5</x:v>
      </x:c>
      <x:c r="I83" s="384" t="n">
        <x:f>IFERROR(VLOOKUP($C83&amp;"|Russia",Scoring_Matrix!$A$2:$X$493,24,FALSE),"No data")</x:f>
        <x:v>0.5</x:v>
      </x:c>
      <x:c r="J83" s="384" t="n">
        <x:f>IFERROR(VLOOKUP($C83&amp;"|China",Scoring_Matrix!$A$2:$X$493,24,FALSE),"No data")</x:f>
        <x:v>3.25</x:v>
      </x:c>
      <x:c r="K83" s="384" t="n">
        <x:f>IFERROR(VLOOKUP($C83&amp;"|United States",Scoring_Matrix!$A$2:$X$493,24,FALSE),"No data")</x:f>
        <x:v>1.75</x:v>
      </x:c>
      <x:c r="L83" s="384" t="n">
        <x:f>IFERROR(VLOOKUP($C83&amp;"|European Union",Scoring_Matrix!$A$2:$X$493,24,FALSE),"No data")</x:f>
        <x:v>1</x:v>
      </x:c>
      <x:c r="M83" s="386" t="str">
        <x:f>IF(COUNT(I83:L83)=0,"No data",IF(I83=MAX(I83:L83),"Russia",IF(J83=MAX(I83:L83),"China",IF(K83=MAX(I83:L83),"United States","European Union"))))</x:f>
        <x:v>China</x:v>
      </x:c>
      <x:c r="N83" s="384" t="n">
        <x:f>IF(COUNT(I83:L83)=0,"No data",MAX(I83:L83))</x:f>
        <x:v>3.25</x:v>
      </x:c>
      <x:c r="O83" s="20" t="str">
        <x:f>IF(COUNT(I83:L83)=0,"No scored evidence","Scored evidence present")</x:f>
        <x:v>Scored evidence present</x:v>
      </x:c>
      <x:c r="P83" s="20" t="str">
        <x:v>Actor scores are formula rollups from Scoring_Matrix; score only with source-backed evidence.</x:v>
      </x:c>
      <x:c r="Q83" s="352" t="str">
        <x:v>#D1FAE5</x:v>
      </x:c>
      <x:c r="R83" s="352" t="str">
        <x:v>#FEF3C7</x:v>
      </x:c>
      <x:c r="S83" s="352" t="str">
        <x:v>#A7F3D0</x:v>
      </x:c>
      <x:c r="T83" s="352" t="str">
        <x:v>#D1FAE5</x:v>
      </x:c>
      <x:c r="U83" s="352" t="str">
        <x:v>#FEF3C7</x:v>
      </x:c>
      <x:c r="V83" s="352" t="str">
        <x:v>PLW</x:v>
      </x:c>
      <x:c r="W83" s="352" t="str">
        <x:v>Yes</x:v>
      </x:c>
      <x:c r="X83" s="352" t="str">
        <x:f>TEXTJOIN("",TRUE,"{""type"":""Point"",""coordinates"":[",TEXT(H83,"0.000000"),",",TEXT(G83,"0.000000"),"]}")</x:f>
        <x:v>{"type":"Point","coordinates":[134.5,7.5]}</x:v>
      </x:c>
      <x:c r="Y83" s="352" t="str">
        <x:v>{"country":"Palau","iso3":"PLW","region":"Oceania","russia_score":"0.5","china_score":"3.25","american_score":"1.75","eu_score":"1","dominant_actor":"China","dominant_score":"3.25","dominant_colour":"#FEF3C7"}</x:v>
      </x:c>
      <x:c r="Z83" s="352" t="str">
        <x:v>ResurgamHub-mentioned country/area; join Leaflet polygons by ISO3=PLW.</x:v>
      </x:c>
    </x:row>
    <x:row r="84">
      <x:c r="A84" s="20" t="str">
        <x:v>Palestine</x:v>
      </x:c>
      <x:c r="B84" s="20" t="str">
        <x:v>PS</x:v>
      </x:c>
      <x:c r="C84" s="20" t="str">
        <x:v>PSE</x:v>
      </x:c>
      <x:c r="D84" s="20" t="str">
        <x:v>275</x:v>
      </x:c>
      <x:c r="E84" s="20" t="str">
        <x:v>Asia</x:v>
      </x:c>
      <x:c r="F84" s="20" t="str">
        <x:v>Western Asia</x:v>
      </x:c>
      <x:c r="G84" s="20" t="n">
        <x:v>31.9522</x:v>
      </x:c>
      <x:c r="H84" s="20" t="n">
        <x:v>35.2332</x:v>
      </x:c>
      <x:c r="I84" s="384" t="n">
        <x:f>IFERROR(VLOOKUP($C84&amp;"|Russia",Scoring_Matrix!$A$2:$X$493,24,FALSE),"No data")</x:f>
        <x:v>0.5</x:v>
      </x:c>
      <x:c r="J84" s="384" t="n">
        <x:f>IFERROR(VLOOKUP($C84&amp;"|China",Scoring_Matrix!$A$2:$X$493,24,FALSE),"No data")</x:f>
        <x:v>1.25</x:v>
      </x:c>
      <x:c r="K84" s="384" t="n">
        <x:f>IFERROR(VLOOKUP($C84&amp;"|United States",Scoring_Matrix!$A$2:$X$493,24,FALSE),"No data")</x:f>
        <x:v>2.5</x:v>
      </x:c>
      <x:c r="L84" s="384" t="n">
        <x:f>IFERROR(VLOOKUP($C84&amp;"|European Union",Scoring_Matrix!$A$2:$X$493,24,FALSE),"No data")</x:f>
        <x:v>1.75</x:v>
      </x:c>
      <x:c r="M84" s="386" t="str">
        <x:f>IF(COUNT(I84:L84)=0,"No data",IF(I84=MAX(I84:L84),"Russia",IF(J84=MAX(I84:L84),"China",IF(K84=MAX(I84:L84),"United States","European Union"))))</x:f>
        <x:v>United States</x:v>
      </x:c>
      <x:c r="N84" s="384" t="n">
        <x:f>IF(COUNT(I84:L84)=0,"No data",MAX(I84:L84))</x:f>
        <x:v>2.5</x:v>
      </x:c>
      <x:c r="O84" s="20" t="str">
        <x:f>IF(COUNT(I84:L84)=0,"No scored evidence","Scored evidence present")</x:f>
        <x:v>Scored evidence present</x:v>
      </x:c>
      <x:c r="P84" s="20" t="str">
        <x:v>Actor scores are formula rollups from Scoring_Matrix; score only with source-backed evidence.</x:v>
      </x:c>
      <x:c r="Q84" s="352" t="str">
        <x:v>#D1FAE5</x:v>
      </x:c>
      <x:c r="R84" s="352" t="str">
        <x:v>#D1FAE5</x:v>
      </x:c>
      <x:c r="S84" s="352" t="str">
        <x:v>#FEF3C7</x:v>
      </x:c>
      <x:c r="T84" s="352" t="str">
        <x:v>#A7F3D0</x:v>
      </x:c>
      <x:c r="U84" s="352" t="str">
        <x:v>#FEF3C7</x:v>
      </x:c>
      <x:c r="V84" s="352" t="str">
        <x:v>PSE</x:v>
      </x:c>
      <x:c r="W84" s="352" t="str">
        <x:v>Yes</x:v>
      </x:c>
      <x:c r="X84" s="352" t="str">
        <x:f>TEXTJOIN("",TRUE,"{""type"":""Point"",""coordinates"":[",TEXT(H84,"0.000000"),",",TEXT(G84,"0.000000"),"]}")</x:f>
        <x:v>{"type":"Point","coordinates":[35.2332,31.9522]}</x:v>
      </x:c>
      <x:c r="Y84" s="352" t="str">
        <x:v>{"country":"Palestine","iso3":"PSE","region":"Asia","russia_score":"0.5","china_score":"1.25","american_score":"2.5","eu_score":"1.75","dominant_actor":"United States","dominant_score":"2.5","dominant_colour":"#FEF3C7"}</x:v>
      </x:c>
      <x:c r="Z84" s="352" t="str">
        <x:v>ResurgamHub-mentioned country/area; join Leaflet polygons by ISO3=PSE.</x:v>
      </x:c>
    </x:row>
    <x:row r="85">
      <x:c r="A85" s="20" t="str">
        <x:v>Papua New Guinea</x:v>
      </x:c>
      <x:c r="B85" s="20" t="str">
        <x:v>PG</x:v>
      </x:c>
      <x:c r="C85" s="20" t="str">
        <x:v>PNG</x:v>
      </x:c>
      <x:c r="D85" s="20" t="str">
        <x:v>598</x:v>
      </x:c>
      <x:c r="E85" s="20" t="str">
        <x:v>Oceania</x:v>
      </x:c>
      <x:c r="F85" s="20" t="str">
        <x:v>Melanesia</x:v>
      </x:c>
      <x:c r="G85" s="20" t="n">
        <x:v>-6</x:v>
      </x:c>
      <x:c r="H85" s="20" t="n">
        <x:v>147</x:v>
      </x:c>
      <x:c r="I85" s="384" t="n">
        <x:f>IFERROR(VLOOKUP($C85&amp;"|Russia",Scoring_Matrix!$A$2:$X$493,24,FALSE),"No data")</x:f>
        <x:v>0.5</x:v>
      </x:c>
      <x:c r="J85" s="384" t="n">
        <x:f>IFERROR(VLOOKUP($C85&amp;"|China",Scoring_Matrix!$A$2:$X$493,24,FALSE),"No data")</x:f>
        <x:v>3.25</x:v>
      </x:c>
      <x:c r="K85" s="384" t="n">
        <x:f>IFERROR(VLOOKUP($C85&amp;"|United States",Scoring_Matrix!$A$2:$X$493,24,FALSE),"No data")</x:f>
        <x:v>1.75</x:v>
      </x:c>
      <x:c r="L85" s="384" t="n">
        <x:f>IFERROR(VLOOKUP($C85&amp;"|European Union",Scoring_Matrix!$A$2:$X$493,24,FALSE),"No data")</x:f>
        <x:v>1</x:v>
      </x:c>
      <x:c r="M85" s="386" t="str">
        <x:f>IF(COUNT(I85:L85)=0,"No data",IF(I85=MAX(I85:L85),"Russia",IF(J85=MAX(I85:L85),"China",IF(K85=MAX(I85:L85),"United States","European Union"))))</x:f>
        <x:v>China</x:v>
      </x:c>
      <x:c r="N85" s="384" t="n">
        <x:f>IF(COUNT(I85:L85)=0,"No data",MAX(I85:L85))</x:f>
        <x:v>3.25</x:v>
      </x:c>
      <x:c r="O85" s="20" t="str">
        <x:f>IF(COUNT(I85:L85)=0,"No scored evidence","Scored evidence present")</x:f>
        <x:v>Scored evidence present</x:v>
      </x:c>
      <x:c r="P85" s="20" t="str">
        <x:v>Actor scores are formula rollups from Scoring_Matrix; score only with source-backed evidence.</x:v>
      </x:c>
      <x:c r="Q85" s="352" t="str">
        <x:v>#D1FAE5</x:v>
      </x:c>
      <x:c r="R85" s="352" t="str">
        <x:v>#FEF3C7</x:v>
      </x:c>
      <x:c r="S85" s="352" t="str">
        <x:v>#A7F3D0</x:v>
      </x:c>
      <x:c r="T85" s="352" t="str">
        <x:v>#D1FAE5</x:v>
      </x:c>
      <x:c r="U85" s="352" t="str">
        <x:v>#FEF3C7</x:v>
      </x:c>
      <x:c r="V85" s="352" t="str">
        <x:v>PNG</x:v>
      </x:c>
      <x:c r="W85" s="352" t="str">
        <x:v>Yes</x:v>
      </x:c>
      <x:c r="X85" s="352" t="str">
        <x:f>TEXTJOIN("",TRUE,"{""type"":""Point"",""coordinates"":[",TEXT(H85,"0.000000"),",",TEXT(G85,"0.000000"),"]}")</x:f>
        <x:v>{"type":"Point","coordinates":[147,-6]}</x:v>
      </x:c>
      <x:c r="Y85" s="352" t="str">
        <x:v>{"country":"Papua New Guinea","iso3":"PNG","region":"Oceania","russia_score":"0.5","china_score":"3.25","american_score":"1.75","eu_score":"1","dominant_actor":"China","dominant_score":"3.25","dominant_colour":"#FEF3C7"}</x:v>
      </x:c>
      <x:c r="Z85" s="352" t="str">
        <x:v>ResurgamHub-mentioned country/area; join Leaflet polygons by ISO3=PNG.</x:v>
      </x:c>
    </x:row>
    <x:row r="86">
      <x:c r="A86" s="20" t="str">
        <x:v>Peru</x:v>
      </x:c>
      <x:c r="B86" s="20" t="str">
        <x:v>PE</x:v>
      </x:c>
      <x:c r="C86" s="20" t="str">
        <x:v>PER</x:v>
      </x:c>
      <x:c r="D86" s="20" t="str">
        <x:v>604</x:v>
      </x:c>
      <x:c r="E86" s="20" t="str">
        <x:v>Americas</x:v>
      </x:c>
      <x:c r="F86" s="20" t="str">
        <x:v>South America</x:v>
      </x:c>
      <x:c r="G86" s="20" t="n">
        <x:v>-10</x:v>
      </x:c>
      <x:c r="H86" s="20" t="n">
        <x:v>-76</x:v>
      </x:c>
      <x:c r="I86" s="384" t="n">
        <x:f>IFERROR(VLOOKUP($C86&amp;"|Russia",Scoring_Matrix!$A$2:$X$493,24,FALSE),"No data")</x:f>
        <x:v>1.25</x:v>
      </x:c>
      <x:c r="J86" s="384" t="n">
        <x:f>IFERROR(VLOOKUP($C86&amp;"|China",Scoring_Matrix!$A$2:$X$493,24,FALSE),"No data")</x:f>
        <x:v>1.5</x:v>
      </x:c>
      <x:c r="K86" s="384" t="n">
        <x:f>IFERROR(VLOOKUP($C86&amp;"|United States",Scoring_Matrix!$A$2:$X$493,24,FALSE),"No data")</x:f>
        <x:v>2.75</x:v>
      </x:c>
      <x:c r="L86" s="384" t="n">
        <x:f>IFERROR(VLOOKUP($C86&amp;"|European Union",Scoring_Matrix!$A$2:$X$493,24,FALSE),"No data")</x:f>
        <x:v>1.75</x:v>
      </x:c>
      <x:c r="M86" s="386" t="str">
        <x:f>IF(COUNT(I86:L86)=0,"No data",IF(I86=MAX(I86:L86),"Russia",IF(J86=MAX(I86:L86),"China",IF(K86=MAX(I86:L86),"United States","European Union"))))</x:f>
        <x:v>United States</x:v>
      </x:c>
      <x:c r="N86" s="384" t="n">
        <x:f>IF(COUNT(I86:L86)=0,"No data",MAX(I86:L86))</x:f>
        <x:v>2.75</x:v>
      </x:c>
      <x:c r="O86" s="20" t="str">
        <x:f>IF(COUNT(I86:L86)=0,"No scored evidence","Scored evidence present")</x:f>
        <x:v>Scored evidence present</x:v>
      </x:c>
      <x:c r="P86" s="20" t="str">
        <x:v>Actor scores are formula rollups from Scoring_Matrix; score only with source-backed evidence.</x:v>
      </x:c>
      <x:c r="Q86" s="352" t="str">
        <x:v>#D1FAE5</x:v>
      </x:c>
      <x:c r="R86" s="352" t="str">
        <x:v>#A7F3D0</x:v>
      </x:c>
      <x:c r="S86" s="352" t="str">
        <x:v>#FEF3C7</x:v>
      </x:c>
      <x:c r="T86" s="352" t="str">
        <x:v>#A7F3D0</x:v>
      </x:c>
      <x:c r="U86" s="352" t="str">
        <x:v>#FEF3C7</x:v>
      </x:c>
      <x:c r="V86" s="352" t="str">
        <x:v>PER</x:v>
      </x:c>
      <x:c r="W86" s="352" t="str">
        <x:v>Yes</x:v>
      </x:c>
      <x:c r="X86" s="352" t="str">
        <x:f>TEXTJOIN("",TRUE,"{""type"":""Point"",""coordinates"":[",TEXT(H86,"0.000000"),",",TEXT(G86,"0.000000"),"]}")</x:f>
        <x:v>{"type":"Point","coordinates":[-76,-10]}</x:v>
      </x:c>
      <x:c r="Y86" s="352" t="str">
        <x:v>{"country":"Peru","iso3":"PER","region":"Americas","russia_score":"1.25","china_score":"1.5","american_score":"2.75","eu_score":"1.75","dominant_actor":"United States","dominant_score":"2.75","dominant_colour":"#FEF3C7"}</x:v>
      </x:c>
      <x:c r="Z86" s="352" t="str">
        <x:v>ResurgamHub-mentioned country/area; join Leaflet polygons by ISO3=PER.</x:v>
      </x:c>
    </x:row>
    <x:row r="87">
      <x:c r="A87" s="20" t="str">
        <x:v>Philippines</x:v>
      </x:c>
      <x:c r="B87" s="20" t="str">
        <x:v>PH</x:v>
      </x:c>
      <x:c r="C87" s="20" t="str">
        <x:v>PHL</x:v>
      </x:c>
      <x:c r="D87" s="20" t="str">
        <x:v>608</x:v>
      </x:c>
      <x:c r="E87" s="20" t="str">
        <x:v>Asia</x:v>
      </x:c>
      <x:c r="F87" s="20" t="str">
        <x:v>South-Eastern Asia</x:v>
      </x:c>
      <x:c r="G87" s="20" t="n">
        <x:v>13</x:v>
      </x:c>
      <x:c r="H87" s="20" t="n">
        <x:v>122</x:v>
      </x:c>
      <x:c r="I87" s="384" t="n">
        <x:f>IFERROR(VLOOKUP($C87&amp;"|Russia",Scoring_Matrix!$A$2:$X$493,24,FALSE),"No data")</x:f>
        <x:v>0.5</x:v>
      </x:c>
      <x:c r="J87" s="384" t="n">
        <x:f>IFERROR(VLOOKUP($C87&amp;"|China",Scoring_Matrix!$A$2:$X$493,24,FALSE),"No data")</x:f>
        <x:v>3.75</x:v>
      </x:c>
      <x:c r="K87" s="384" t="n">
        <x:f>IFERROR(VLOOKUP($C87&amp;"|United States",Scoring_Matrix!$A$2:$X$493,24,FALSE),"No data")</x:f>
        <x:v>4.5</x:v>
      </x:c>
      <x:c r="L87" s="384" t="n">
        <x:f>IFERROR(VLOOKUP($C87&amp;"|European Union",Scoring_Matrix!$A$2:$X$493,24,FALSE),"No data")</x:f>
        <x:v>1.5</x:v>
      </x:c>
      <x:c r="M87" s="386" t="str">
        <x:f>IF(COUNT(I87:L87)=0,"No data",IF(I87=MAX(I87:L87),"Russia",IF(J87=MAX(I87:L87),"China",IF(K87=MAX(I87:L87),"United States","European Union"))))</x:f>
        <x:v>United States</x:v>
      </x:c>
      <x:c r="N87" s="384" t="n">
        <x:f>IF(COUNT(I87:L87)=0,"No data",MAX(I87:L87))</x:f>
        <x:v>4.5</x:v>
      </x:c>
      <x:c r="O87" s="20" t="str">
        <x:f>IF(COUNT(I87:L87)=0,"No scored evidence","Scored evidence present")</x:f>
        <x:v>Scored evidence present</x:v>
      </x:c>
      <x:c r="P87" s="20" t="str">
        <x:v>Actor scores are formula rollups from Scoring_Matrix; score only with source-backed evidence.</x:v>
      </x:c>
      <x:c r="Q87" s="352" t="str">
        <x:v>#D1FAE5</x:v>
      </x:c>
      <x:c r="R87" s="352" t="str">
        <x:v>#FDE68A</x:v>
      </x:c>
      <x:c r="S87" s="352" t="str">
        <x:v>#FCD34D</x:v>
      </x:c>
      <x:c r="T87" s="352" t="str">
        <x:v>#A7F3D0</x:v>
      </x:c>
      <x:c r="U87" s="352" t="str">
        <x:v>#FCD34D</x:v>
      </x:c>
      <x:c r="V87" s="352" t="str">
        <x:v>PHL</x:v>
      </x:c>
      <x:c r="W87" s="352" t="str">
        <x:v>Yes</x:v>
      </x:c>
      <x:c r="X87" s="352" t="str">
        <x:f>TEXTJOIN("",TRUE,"{""type"":""Point"",""coordinates"":[",TEXT(H87,"0.000000"),",",TEXT(G87,"0.000000"),"]}")</x:f>
        <x:v>{"type":"Point","coordinates":[122,13]}</x:v>
      </x:c>
      <x:c r="Y87" s="352" t="str">
        <x:v>{"country":"Philippines","iso3":"PHL","region":"Asia","russia_score":"0.5","china_score":"3.75","american_score":"4.5","eu_score":"1.5","dominant_actor":"United States","dominant_score":"4.5","dominant_colour":"#FCD34D"}</x:v>
      </x:c>
      <x:c r="Z87" s="352" t="str">
        <x:v>ResurgamHub-mentioned country/area; join Leaflet polygons by ISO3=PHL.</x:v>
      </x:c>
    </x:row>
    <x:row r="88">
      <x:c r="A88" s="20" t="str">
        <x:v>Poland</x:v>
      </x:c>
      <x:c r="B88" s="20" t="str">
        <x:v>PL</x:v>
      </x:c>
      <x:c r="C88" s="20" t="str">
        <x:v>POL</x:v>
      </x:c>
      <x:c r="D88" s="20" t="str">
        <x:v>616</x:v>
      </x:c>
      <x:c r="E88" s="20" t="str">
        <x:v>Europe</x:v>
      </x:c>
      <x:c r="F88" s="20" t="str">
        <x:v>Eastern Europe</x:v>
      </x:c>
      <x:c r="G88" s="20" t="n">
        <x:v>52</x:v>
      </x:c>
      <x:c r="H88" s="20" t="n">
        <x:v>20</x:v>
      </x:c>
      <x:c r="I88" s="384" t="n">
        <x:f>IFERROR(VLOOKUP($C88&amp;"|Russia",Scoring_Matrix!$A$2:$X$493,24,FALSE),"No data")</x:f>
        <x:v>3</x:v>
      </x:c>
      <x:c r="J88" s="384" t="n">
        <x:f>IFERROR(VLOOKUP($C88&amp;"|China",Scoring_Matrix!$A$2:$X$493,24,FALSE),"No data")</x:f>
        <x:v>1.5</x:v>
      </x:c>
      <x:c r="K88" s="384" t="n">
        <x:f>IFERROR(VLOOKUP($C88&amp;"|United States",Scoring_Matrix!$A$2:$X$493,24,FALSE),"No data")</x:f>
        <x:v>3.5</x:v>
      </x:c>
      <x:c r="L88" s="384" t="n">
        <x:f>IFERROR(VLOOKUP($C88&amp;"|European Union",Scoring_Matrix!$A$2:$X$493,24,FALSE),"No data")</x:f>
        <x:v>4</x:v>
      </x:c>
      <x:c r="M88" s="386" t="str">
        <x:f>IF(COUNT(I88:L88)=0,"No data",IF(I88=MAX(I88:L88),"Russia",IF(J88=MAX(I88:L88),"China",IF(K88=MAX(I88:L88),"United States","European Union"))))</x:f>
        <x:v>European Union</x:v>
      </x:c>
      <x:c r="N88" s="384" t="n">
        <x:f>IF(COUNT(I88:L88)=0,"No data",MAX(I88:L88))</x:f>
        <x:v>4</x:v>
      </x:c>
      <x:c r="O88" s="20" t="str">
        <x:f>IF(COUNT(I88:L88)=0,"No scored evidence","Scored evidence present")</x:f>
        <x:v>Scored evidence present</x:v>
      </x:c>
      <x:c r="P88" s="20" t="str">
        <x:v>Actor scores are formula rollups from Scoring_Matrix; score only with source-backed evidence.</x:v>
      </x:c>
      <x:c r="Q88" s="352" t="str">
        <x:v>#FEF3C7</x:v>
      </x:c>
      <x:c r="R88" s="352" t="str">
        <x:v>#A7F3D0</x:v>
      </x:c>
      <x:c r="S88" s="352" t="str">
        <x:v>#FDE68A</x:v>
      </x:c>
      <x:c r="T88" s="352" t="str">
        <x:v>#FDE68A</x:v>
      </x:c>
      <x:c r="U88" s="352" t="str">
        <x:v>#FDE68A</x:v>
      </x:c>
      <x:c r="V88" s="352" t="str">
        <x:v>POL</x:v>
      </x:c>
      <x:c r="W88" s="352" t="str">
        <x:v>Yes</x:v>
      </x:c>
      <x:c r="X88" s="352" t="str">
        <x:f>TEXTJOIN("",TRUE,"{""type"":""Point"",""coordinates"":[",TEXT(H88,"0.000000"),",",TEXT(G88,"0.000000"),"]}")</x:f>
        <x:v>{"type":"Point","coordinates":[20,52]}</x:v>
      </x:c>
      <x:c r="Y88" s="352" t="str">
        <x:v>{"country":"Poland","iso3":"POL","region":"Europe","russia_score":"3","china_score":"1.5","american_score":"3.5","eu_score":"4","dominant_actor":"European Union","dominant_score":"4","dominant_colour":"#FDE68A"}</x:v>
      </x:c>
      <x:c r="Z88" s="352" t="str">
        <x:v>ResurgamHub-mentioned country/area; join Leaflet polygons by ISO3=POL.</x:v>
      </x:c>
    </x:row>
    <x:row r="89">
      <x:c r="A89" s="20" t="str">
        <x:v>Qatar</x:v>
      </x:c>
      <x:c r="B89" s="20" t="str">
        <x:v>QA</x:v>
      </x:c>
      <x:c r="C89" s="20" t="str">
        <x:v>QAT</x:v>
      </x:c>
      <x:c r="D89" s="20" t="str">
        <x:v>634</x:v>
      </x:c>
      <x:c r="E89" s="20" t="str">
        <x:v>Asia</x:v>
      </x:c>
      <x:c r="F89" s="20" t="str">
        <x:v>Western Asia</x:v>
      </x:c>
      <x:c r="G89" s="20" t="n">
        <x:v>25.5</x:v>
      </x:c>
      <x:c r="H89" s="20" t="n">
        <x:v>51.25</x:v>
      </x:c>
      <x:c r="I89" s="384" t="n">
        <x:f>IFERROR(VLOOKUP($C89&amp;"|Russia",Scoring_Matrix!$A$2:$X$493,24,FALSE),"No data")</x:f>
        <x:v>0.5</x:v>
      </x:c>
      <x:c r="J89" s="384" t="n">
        <x:f>IFERROR(VLOOKUP($C89&amp;"|China",Scoring_Matrix!$A$2:$X$493,24,FALSE),"No data")</x:f>
        <x:v>1.25</x:v>
      </x:c>
      <x:c r="K89" s="384" t="n">
        <x:f>IFERROR(VLOOKUP($C89&amp;"|United States",Scoring_Matrix!$A$2:$X$493,24,FALSE),"No data")</x:f>
        <x:v>4.75</x:v>
      </x:c>
      <x:c r="L89" s="384" t="n">
        <x:f>IFERROR(VLOOKUP($C89&amp;"|European Union",Scoring_Matrix!$A$2:$X$493,24,FALSE),"No data")</x:f>
        <x:v>1.25</x:v>
      </x:c>
      <x:c r="M89" s="386" t="str">
        <x:f>IF(COUNT(I89:L89)=0,"No data",IF(I89=MAX(I89:L89),"Russia",IF(J89=MAX(I89:L89),"China",IF(K89=MAX(I89:L89),"United States","European Union"))))</x:f>
        <x:v>United States</x:v>
      </x:c>
      <x:c r="N89" s="384" t="n">
        <x:f>IF(COUNT(I89:L89)=0,"No data",MAX(I89:L89))</x:f>
        <x:v>4.75</x:v>
      </x:c>
      <x:c r="O89" s="20" t="str">
        <x:f>IF(COUNT(I89:L89)=0,"No scored evidence","Scored evidence present")</x:f>
        <x:v>Scored evidence present</x:v>
      </x:c>
      <x:c r="P89" s="20" t="str">
        <x:v>Actor scores are formula rollups from Scoring_Matrix; score only with source-backed evidence.</x:v>
      </x:c>
      <x:c r="Q89" s="352" t="str">
        <x:v>#D1FAE5</x:v>
      </x:c>
      <x:c r="R89" s="352" t="str">
        <x:v>#D1FAE5</x:v>
      </x:c>
      <x:c r="S89" s="352" t="str">
        <x:v>#FCD34D</x:v>
      </x:c>
      <x:c r="T89" s="352" t="str">
        <x:v>#D1FAE5</x:v>
      </x:c>
      <x:c r="U89" s="352" t="str">
        <x:v>#FCD34D</x:v>
      </x:c>
      <x:c r="V89" s="352" t="str">
        <x:v>QAT</x:v>
      </x:c>
      <x:c r="W89" s="352" t="str">
        <x:v>Yes</x:v>
      </x:c>
      <x:c r="X89" s="352" t="str">
        <x:f>TEXTJOIN("",TRUE,"{""type"":""Point"",""coordinates"":[",TEXT(H89,"0.000000"),",",TEXT(G89,"0.000000"),"]}")</x:f>
        <x:v>{"type":"Point","coordinates":[51.25,25.5]}</x:v>
      </x:c>
      <x:c r="Y89" s="352" t="str">
        <x:v>{"country":"Qatar","iso3":"QAT","region":"Asia","russia_score":"0.5","china_score":"1.25","american_score":"4.75","eu_score":"1.25","dominant_actor":"United States","dominant_score":"4.75","dominant_colour":"#FCD34D"}</x:v>
      </x:c>
      <x:c r="Z89" s="352" t="str">
        <x:v>ResurgamHub-mentioned country/area; join Leaflet polygons by ISO3=QAT.</x:v>
      </x:c>
    </x:row>
    <x:row r="90">
      <x:c r="A90" s="20" t="str">
        <x:v>Republic of the Congo</x:v>
      </x:c>
      <x:c r="B90" s="20" t="str">
        <x:v>CG</x:v>
      </x:c>
      <x:c r="C90" s="20" t="str">
        <x:v>COG</x:v>
      </x:c>
      <x:c r="D90" s="20" t="str">
        <x:v>178</x:v>
      </x:c>
      <x:c r="E90" s="20" t="str">
        <x:v>Africa</x:v>
      </x:c>
      <x:c r="F90" s="20" t="str">
        <x:v>Middle Africa</x:v>
      </x:c>
      <x:c r="G90" s="20" t="n">
        <x:v>-1</x:v>
      </x:c>
      <x:c r="H90" s="20" t="n">
        <x:v>15</x:v>
      </x:c>
      <x:c r="I90" s="384" t="n">
        <x:f>IFERROR(VLOOKUP($C90&amp;"|Russia",Scoring_Matrix!$A$2:$X$493,24,FALSE),"No data")</x:f>
        <x:v>2.25</x:v>
      </x:c>
      <x:c r="J90" s="384" t="n">
        <x:f>IFERROR(VLOOKUP($C90&amp;"|China",Scoring_Matrix!$A$2:$X$493,24,FALSE),"No data")</x:f>
        <x:v>2.25</x:v>
      </x:c>
      <x:c r="K90" s="384" t="n">
        <x:f>IFERROR(VLOOKUP($C90&amp;"|United States",Scoring_Matrix!$A$2:$X$493,24,FALSE),"No data")</x:f>
        <x:v>2.75</x:v>
      </x:c>
      <x:c r="L90" s="384" t="n">
        <x:f>IFERROR(VLOOKUP($C90&amp;"|European Union",Scoring_Matrix!$A$2:$X$493,24,FALSE),"No data")</x:f>
        <x:v>1.5</x:v>
      </x:c>
      <x:c r="M90" s="386" t="str">
        <x:f>IF(COUNT(I90:L90)=0,"No data",IF(I90=MAX(I90:L90),"Russia",IF(J90=MAX(I90:L90),"China",IF(K90=MAX(I90:L90),"United States","European Union"))))</x:f>
        <x:v>United States</x:v>
      </x:c>
      <x:c r="N90" s="384" t="n">
        <x:f>IF(COUNT(I90:L90)=0,"No data",MAX(I90:L90))</x:f>
        <x:v>2.75</x:v>
      </x:c>
      <x:c r="O90" s="20" t="str">
        <x:f>IF(COUNT(I90:L90)=0,"No scored evidence","Scored evidence present")</x:f>
        <x:v>Scored evidence present</x:v>
      </x:c>
      <x:c r="P90" s="20" t="str">
        <x:v>Actor scores are formula rollups from Scoring_Matrix; score only with source-backed evidence.</x:v>
      </x:c>
      <x:c r="Q90" s="352" t="str">
        <x:v>#A7F3D0</x:v>
      </x:c>
      <x:c r="R90" s="352" t="str">
        <x:v>#A7F3D0</x:v>
      </x:c>
      <x:c r="S90" s="352" t="str">
        <x:v>#FEF3C7</x:v>
      </x:c>
      <x:c r="T90" s="352" t="str">
        <x:v>#A7F3D0</x:v>
      </x:c>
      <x:c r="U90" s="352" t="str">
        <x:v>#FEF3C7</x:v>
      </x:c>
      <x:c r="V90" s="352" t="str">
        <x:v>COG</x:v>
      </x:c>
      <x:c r="W90" s="352" t="str">
        <x:v>Yes</x:v>
      </x:c>
      <x:c r="X90" s="352" t="str">
        <x:f>TEXTJOIN("",TRUE,"{""type"":""Point"",""coordinates"":[",TEXT(H90,"0.000000"),",",TEXT(G90,"0.000000"),"]}")</x:f>
        <x:v>{"type":"Point","coordinates":[15,-1]}</x:v>
      </x:c>
      <x:c r="Y90" s="352" t="str">
        <x:v>{"country":"Republic of the Congo","iso3":"COG","region":"Africa","russia_score":"2.25","china_score":"2.25","american_score":"2.75","eu_score":"1.5","dominant_actor":"United States","dominant_score":"2.75","dominant_colour":"#FEF3C7"}</x:v>
      </x:c>
      <x:c r="Z90" s="352" t="str">
        <x:v>ResurgamHub-mentioned country/area; join Leaflet polygons by ISO3=COG.</x:v>
      </x:c>
    </x:row>
    <x:row r="91">
      <x:c r="A91" s="20" t="str">
        <x:v>Romania</x:v>
      </x:c>
      <x:c r="B91" s="20" t="str">
        <x:v>RO</x:v>
      </x:c>
      <x:c r="C91" s="20" t="str">
        <x:v>ROU</x:v>
      </x:c>
      <x:c r="D91" s="20" t="str">
        <x:v>642</x:v>
      </x:c>
      <x:c r="E91" s="20" t="str">
        <x:v>Europe</x:v>
      </x:c>
      <x:c r="F91" s="20" t="str">
        <x:v>Eastern Europe</x:v>
      </x:c>
      <x:c r="G91" s="20" t="n">
        <x:v>46</x:v>
      </x:c>
      <x:c r="H91" s="20" t="n">
        <x:v>25</x:v>
      </x:c>
      <x:c r="I91" s="384" t="n">
        <x:f>IFERROR(VLOOKUP($C91&amp;"|Russia",Scoring_Matrix!$A$2:$X$493,24,FALSE),"No data")</x:f>
        <x:v>2.75</x:v>
      </x:c>
      <x:c r="J91" s="384" t="n">
        <x:f>IFERROR(VLOOKUP($C91&amp;"|China",Scoring_Matrix!$A$2:$X$493,24,FALSE),"No data")</x:f>
        <x:v>1.5</x:v>
      </x:c>
      <x:c r="K91" s="384" t="n">
        <x:f>IFERROR(VLOOKUP($C91&amp;"|United States",Scoring_Matrix!$A$2:$X$493,24,FALSE),"No data")</x:f>
        <x:v>3.5</x:v>
      </x:c>
      <x:c r="L91" s="384" t="n">
        <x:f>IFERROR(VLOOKUP($C91&amp;"|European Union",Scoring_Matrix!$A$2:$X$493,24,FALSE),"No data")</x:f>
        <x:v>4</x:v>
      </x:c>
      <x:c r="M91" s="386" t="str">
        <x:f>IF(COUNT(I91:L91)=0,"No data",IF(I91=MAX(I91:L91),"Russia",IF(J91=MAX(I91:L91),"China",IF(K91=MAX(I91:L91),"United States","European Union"))))</x:f>
        <x:v>European Union</x:v>
      </x:c>
      <x:c r="N91" s="384" t="n">
        <x:f>IF(COUNT(I91:L91)=0,"No data",MAX(I91:L91))</x:f>
        <x:v>4</x:v>
      </x:c>
      <x:c r="O91" s="20" t="str">
        <x:f>IF(COUNT(I91:L91)=0,"No scored evidence","Scored evidence present")</x:f>
        <x:v>Scored evidence present</x:v>
      </x:c>
      <x:c r="P91" s="20" t="str">
        <x:v>Actor scores are formula rollups from Scoring_Matrix; score only with source-backed evidence.</x:v>
      </x:c>
      <x:c r="Q91" s="352" t="str">
        <x:v>#FEF3C7</x:v>
      </x:c>
      <x:c r="R91" s="352" t="str">
        <x:v>#A7F3D0</x:v>
      </x:c>
      <x:c r="S91" s="352" t="str">
        <x:v>#FDE68A</x:v>
      </x:c>
      <x:c r="T91" s="352" t="str">
        <x:v>#FDE68A</x:v>
      </x:c>
      <x:c r="U91" s="352" t="str">
        <x:v>#FDE68A</x:v>
      </x:c>
      <x:c r="V91" s="352" t="str">
        <x:v>ROU</x:v>
      </x:c>
      <x:c r="W91" s="352" t="str">
        <x:v>Yes</x:v>
      </x:c>
      <x:c r="X91" s="352" t="str">
        <x:f>TEXTJOIN("",TRUE,"{""type"":""Point"",""coordinates"":[",TEXT(H91,"0.000000"),",",TEXT(G91,"0.000000"),"]}")</x:f>
        <x:v>{"type":"Point","coordinates":[25,46]}</x:v>
      </x:c>
      <x:c r="Y91" s="352" t="str">
        <x:v>{"country":"Romania","iso3":"ROU","region":"Europe","russia_score":"2.75","china_score":"1.5","american_score":"3.5","eu_score":"4","dominant_actor":"European Union","dominant_score":"4","dominant_colour":"#FDE68A"}</x:v>
      </x:c>
      <x:c r="Z91" s="352" t="str">
        <x:v>ResurgamHub-mentioned country/area; join Leaflet polygons by ISO3=ROU.</x:v>
      </x:c>
    </x:row>
    <x:row r="92">
      <x:c r="A92" s="20" t="str">
        <x:v>Russia</x:v>
      </x:c>
      <x:c r="B92" s="20" t="str">
        <x:v>RU</x:v>
      </x:c>
      <x:c r="C92" s="20" t="str">
        <x:v>RUS</x:v>
      </x:c>
      <x:c r="D92" s="20" t="str">
        <x:v>643</x:v>
      </x:c>
      <x:c r="E92" s="20" t="str">
        <x:v>Europe</x:v>
      </x:c>
      <x:c r="F92" s="20" t="str">
        <x:v>Eastern Europe</x:v>
      </x:c>
      <x:c r="G92" s="20" t="n">
        <x:v>60</x:v>
      </x:c>
      <x:c r="H92" s="20" t="n">
        <x:v>100</x:v>
      </x:c>
      <x:c r="I92" s="384" t="n">
        <x:f>IFERROR(VLOOKUP($C92&amp;"|Russia",Scoring_Matrix!$A$2:$X$493,24,FALSE),"No data")</x:f>
        <x:v>8.25</x:v>
      </x:c>
      <x:c r="J92" s="384" t="n">
        <x:f>IFERROR(VLOOKUP($C92&amp;"|China",Scoring_Matrix!$A$2:$X$493,24,FALSE),"No data")</x:f>
        <x:v>1.5</x:v>
      </x:c>
      <x:c r="K92" s="384" t="n">
        <x:f>IFERROR(VLOOKUP($C92&amp;"|United States",Scoring_Matrix!$A$2:$X$493,24,FALSE),"No data")</x:f>
        <x:v>3.25</x:v>
      </x:c>
      <x:c r="L92" s="384" t="n">
        <x:f>IFERROR(VLOOKUP($C92&amp;"|European Union",Scoring_Matrix!$A$2:$X$493,24,FALSE),"No data")</x:f>
        <x:v>0.75</x:v>
      </x:c>
      <x:c r="M92" s="386" t="str">
        <x:f>IF(COUNT(I92:L92)=0,"No data",IF(I92=MAX(I92:L92),"Russia",IF(J92=MAX(I92:L92),"China",IF(K92=MAX(I92:L92),"United States","European Union"))))</x:f>
        <x:v>Russia</x:v>
      </x:c>
      <x:c r="N92" s="384" t="n">
        <x:f>IF(COUNT(I92:L92)=0,"No data",MAX(I92:L92))</x:f>
        <x:v>8.25</x:v>
      </x:c>
      <x:c r="O92" s="20" t="str">
        <x:f>IF(COUNT(I92:L92)=0,"No scored evidence","Scored evidence present")</x:f>
        <x:v>Scored evidence present</x:v>
      </x:c>
      <x:c r="P92" s="20" t="str">
        <x:v>Actor scores are formula rollups from Scoring_Matrix; score only with source-backed evidence.</x:v>
      </x:c>
      <x:c r="Q92" s="352" t="str">
        <x:v>#F97316</x:v>
      </x:c>
      <x:c r="R92" s="352" t="str">
        <x:v>#A7F3D0</x:v>
      </x:c>
      <x:c r="S92" s="352" t="str">
        <x:v>#FEF3C7</x:v>
      </x:c>
      <x:c r="T92" s="352" t="str">
        <x:v>#D1FAE5</x:v>
      </x:c>
      <x:c r="U92" s="352" t="str">
        <x:v>#F97316</x:v>
      </x:c>
      <x:c r="V92" s="352" t="str">
        <x:v>RUS</x:v>
      </x:c>
      <x:c r="W92" s="352" t="str">
        <x:v>Yes</x:v>
      </x:c>
      <x:c r="X92" s="352" t="str">
        <x:f>TEXTJOIN("",TRUE,"{""type"":""Point"",""coordinates"":[",TEXT(H92,"0.000000"),",",TEXT(G92,"0.000000"),"]}")</x:f>
        <x:v>{"type":"Point","coordinates":[100,60]}</x:v>
      </x:c>
      <x:c r="Y92" s="352" t="str">
        <x:v>{"country":"Russia","iso3":"RUS","region":"Europe","russia_score":"8.25","china_score":"1.5","american_score":"3.25","eu_score":"0.75","dominant_actor":"Russia","dominant_score":"8.25","dominant_colour":"#F97316"}</x:v>
      </x:c>
      <x:c r="Z92" s="352" t="str">
        <x:v>ResurgamHub-mentioned country/area; join Leaflet polygons by ISO3=RUS.</x:v>
      </x:c>
    </x:row>
    <x:row r="93">
      <x:c r="A93" s="20" t="str">
        <x:v>Rwanda</x:v>
      </x:c>
      <x:c r="B93" s="20" t="str">
        <x:v>RW</x:v>
      </x:c>
      <x:c r="C93" s="20" t="str">
        <x:v>RWA</x:v>
      </x:c>
      <x:c r="D93" s="20" t="str">
        <x:v>646</x:v>
      </x:c>
      <x:c r="E93" s="20" t="str">
        <x:v>Africa</x:v>
      </x:c>
      <x:c r="F93" s="20" t="str">
        <x:v>Eastern Africa</x:v>
      </x:c>
      <x:c r="G93" s="20" t="n">
        <x:v>-2</x:v>
      </x:c>
      <x:c r="H93" s="20" t="n">
        <x:v>30</x:v>
      </x:c>
      <x:c r="I93" s="384" t="n">
        <x:f>IFERROR(VLOOKUP($C93&amp;"|Russia",Scoring_Matrix!$A$2:$X$493,24,FALSE),"No data")</x:f>
        <x:v>1.75</x:v>
      </x:c>
      <x:c r="J93" s="384" t="n">
        <x:f>IFERROR(VLOOKUP($C93&amp;"|China",Scoring_Matrix!$A$2:$X$493,24,FALSE),"No data")</x:f>
        <x:v>2</x:v>
      </x:c>
      <x:c r="K93" s="384" t="n">
        <x:f>IFERROR(VLOOKUP($C93&amp;"|United States",Scoring_Matrix!$A$2:$X$493,24,FALSE),"No data")</x:f>
        <x:v>2.75</x:v>
      </x:c>
      <x:c r="L93" s="384" t="n">
        <x:f>IFERROR(VLOOKUP($C93&amp;"|European Union",Scoring_Matrix!$A$2:$X$493,24,FALSE),"No data")</x:f>
        <x:v>1.5</x:v>
      </x:c>
      <x:c r="M93" s="386" t="str">
        <x:f>IF(COUNT(I93:L93)=0,"No data",IF(I93=MAX(I93:L93),"Russia",IF(J93=MAX(I93:L93),"China",IF(K93=MAX(I93:L93),"United States","European Union"))))</x:f>
        <x:v>United States</x:v>
      </x:c>
      <x:c r="N93" s="384" t="n">
        <x:f>IF(COUNT(I93:L93)=0,"No data",MAX(I93:L93))</x:f>
        <x:v>2.75</x:v>
      </x:c>
      <x:c r="O93" s="20" t="str">
        <x:f>IF(COUNT(I93:L93)=0,"No scored evidence","Scored evidence present")</x:f>
        <x:v>Scored evidence present</x:v>
      </x:c>
      <x:c r="P93" s="20" t="str">
        <x:v>Actor scores are formula rollups from Scoring_Matrix; score only with source-backed evidence.</x:v>
      </x:c>
      <x:c r="Q93" s="352" t="str">
        <x:v>#A7F3D0</x:v>
      </x:c>
      <x:c r="R93" s="352" t="str">
        <x:v>#A7F3D0</x:v>
      </x:c>
      <x:c r="S93" s="352" t="str">
        <x:v>#FEF3C7</x:v>
      </x:c>
      <x:c r="T93" s="352" t="str">
        <x:v>#A7F3D0</x:v>
      </x:c>
      <x:c r="U93" s="352" t="str">
        <x:v>#FEF3C7</x:v>
      </x:c>
      <x:c r="V93" s="352" t="str">
        <x:v>RWA</x:v>
      </x:c>
      <x:c r="W93" s="352" t="str">
        <x:v>Yes</x:v>
      </x:c>
      <x:c r="X93" s="352" t="str">
        <x:f>TEXTJOIN("",TRUE,"{""type"":""Point"",""coordinates"":[",TEXT(H93,"0.000000"),",",TEXT(G93,"0.000000"),"]}")</x:f>
        <x:v>{"type":"Point","coordinates":[30,-2]}</x:v>
      </x:c>
      <x:c r="Y93" s="352" t="str">
        <x:v>{"country":"Rwanda","iso3":"RWA","region":"Africa","russia_score":"1.75","china_score":"2","american_score":"2.75","eu_score":"1.5","dominant_actor":"United States","dominant_score":"2.75","dominant_colour":"#FEF3C7"}</x:v>
      </x:c>
      <x:c r="Z93" s="352" t="str">
        <x:v>ResurgamHub-mentioned country/area; join Leaflet polygons by ISO3=RWA.</x:v>
      </x:c>
    </x:row>
    <x:row r="94">
      <x:c r="A94" s="20" t="str">
        <x:v>Samoa</x:v>
      </x:c>
      <x:c r="B94" s="20" t="str">
        <x:v>WS</x:v>
      </x:c>
      <x:c r="C94" s="20" t="str">
        <x:v>WSM</x:v>
      </x:c>
      <x:c r="D94" s="20" t="str">
        <x:v>882</x:v>
      </x:c>
      <x:c r="E94" s="20" t="str">
        <x:v>Oceania</x:v>
      </x:c>
      <x:c r="F94" s="20" t="str">
        <x:v>Polynesia</x:v>
      </x:c>
      <x:c r="G94" s="20" t="n">
        <x:v>-13.58333333</x:v>
      </x:c>
      <x:c r="H94" s="20" t="n">
        <x:v>-172.33333333</x:v>
      </x:c>
      <x:c r="I94" s="384" t="n">
        <x:f>IFERROR(VLOOKUP($C94&amp;"|Russia",Scoring_Matrix!$A$2:$X$493,24,FALSE),"No data")</x:f>
        <x:v>0.5</x:v>
      </x:c>
      <x:c r="J94" s="384" t="n">
        <x:f>IFERROR(VLOOKUP($C94&amp;"|China",Scoring_Matrix!$A$2:$X$493,24,FALSE),"No data")</x:f>
        <x:v>3.25</x:v>
      </x:c>
      <x:c r="K94" s="384" t="n">
        <x:f>IFERROR(VLOOKUP($C94&amp;"|United States",Scoring_Matrix!$A$2:$X$493,24,FALSE),"No data")</x:f>
        <x:v>1.75</x:v>
      </x:c>
      <x:c r="L94" s="384" t="n">
        <x:f>IFERROR(VLOOKUP($C94&amp;"|European Union",Scoring_Matrix!$A$2:$X$493,24,FALSE),"No data")</x:f>
        <x:v>1</x:v>
      </x:c>
      <x:c r="M94" s="386" t="str">
        <x:f>IF(COUNT(I94:L94)=0,"No data",IF(I94=MAX(I94:L94),"Russia",IF(J94=MAX(I94:L94),"China",IF(K94=MAX(I94:L94),"United States","European Union"))))</x:f>
        <x:v>China</x:v>
      </x:c>
      <x:c r="N94" s="384" t="n">
        <x:f>IF(COUNT(I94:L94)=0,"No data",MAX(I94:L94))</x:f>
        <x:v>3.25</x:v>
      </x:c>
      <x:c r="O94" s="20" t="str">
        <x:f>IF(COUNT(I94:L94)=0,"No scored evidence","Scored evidence present")</x:f>
        <x:v>Scored evidence present</x:v>
      </x:c>
      <x:c r="P94" s="20" t="str">
        <x:v>Actor scores are formula rollups from Scoring_Matrix; score only with source-backed evidence.</x:v>
      </x:c>
      <x:c r="Q94" s="352" t="str">
        <x:v>#D1FAE5</x:v>
      </x:c>
      <x:c r="R94" s="352" t="str">
        <x:v>#FEF3C7</x:v>
      </x:c>
      <x:c r="S94" s="352" t="str">
        <x:v>#A7F3D0</x:v>
      </x:c>
      <x:c r="T94" s="352" t="str">
        <x:v>#D1FAE5</x:v>
      </x:c>
      <x:c r="U94" s="352" t="str">
        <x:v>#FEF3C7</x:v>
      </x:c>
      <x:c r="V94" s="352" t="str">
        <x:v>WSM</x:v>
      </x:c>
      <x:c r="W94" s="352" t="str">
        <x:v>Yes</x:v>
      </x:c>
      <x:c r="X94" s="352" t="str">
        <x:f>TEXTJOIN("",TRUE,"{""type"":""Point"",""coordinates"":[",TEXT(H94,"0.000000"),",",TEXT(G94,"0.000000"),"]}")</x:f>
        <x:v>{"type":"Point","coordinates":[-172.333333,-13.583333]}</x:v>
      </x:c>
      <x:c r="Y94" s="352" t="str">
        <x:v>{"country":"Samoa","iso3":"WSM","region":"Oceania","russia_score":"0.5","china_score":"3.25","american_score":"1.75","eu_score":"1","dominant_actor":"China","dominant_score":"3.25","dominant_colour":"#FEF3C7"}</x:v>
      </x:c>
      <x:c r="Z94" s="352" t="str">
        <x:v>ResurgamHub-mentioned country/area; join Leaflet polygons by ISO3=WSM.</x:v>
      </x:c>
    </x:row>
    <x:row r="95">
      <x:c r="A95" s="20" t="str">
        <x:v>Saudi Arabia</x:v>
      </x:c>
      <x:c r="B95" s="20" t="str">
        <x:v>SA</x:v>
      </x:c>
      <x:c r="C95" s="20" t="str">
        <x:v>SAU</x:v>
      </x:c>
      <x:c r="D95" s="20" t="str">
        <x:v>682</x:v>
      </x:c>
      <x:c r="E95" s="20" t="str">
        <x:v>Asia</x:v>
      </x:c>
      <x:c r="F95" s="20" t="str">
        <x:v>Western Asia</x:v>
      </x:c>
      <x:c r="G95" s="20" t="n">
        <x:v>25</x:v>
      </x:c>
      <x:c r="H95" s="20" t="n">
        <x:v>45</x:v>
      </x:c>
      <x:c r="I95" s="384" t="n">
        <x:f>IFERROR(VLOOKUP($C95&amp;"|Russia",Scoring_Matrix!$A$2:$X$493,24,FALSE),"No data")</x:f>
        <x:v>0.5</x:v>
      </x:c>
      <x:c r="J95" s="384" t="n">
        <x:f>IFERROR(VLOOKUP($C95&amp;"|China",Scoring_Matrix!$A$2:$X$493,24,FALSE),"No data")</x:f>
        <x:v>1.25</x:v>
      </x:c>
      <x:c r="K95" s="384" t="n">
        <x:f>IFERROR(VLOOKUP($C95&amp;"|United States",Scoring_Matrix!$A$2:$X$493,24,FALSE),"No data")</x:f>
        <x:v>4.75</x:v>
      </x:c>
      <x:c r="L95" s="384" t="n">
        <x:f>IFERROR(VLOOKUP($C95&amp;"|European Union",Scoring_Matrix!$A$2:$X$493,24,FALSE),"No data")</x:f>
        <x:v>1.25</x:v>
      </x:c>
      <x:c r="M95" s="386" t="str">
        <x:f>IF(COUNT(I95:L95)=0,"No data",IF(I95=MAX(I95:L95),"Russia",IF(J95=MAX(I95:L95),"China",IF(K95=MAX(I95:L95),"United States","European Union"))))</x:f>
        <x:v>United States</x:v>
      </x:c>
      <x:c r="N95" s="384" t="n">
        <x:f>IF(COUNT(I95:L95)=0,"No data",MAX(I95:L95))</x:f>
        <x:v>4.75</x:v>
      </x:c>
      <x:c r="O95" s="20" t="str">
        <x:f>IF(COUNT(I95:L95)=0,"No scored evidence","Scored evidence present")</x:f>
        <x:v>Scored evidence present</x:v>
      </x:c>
      <x:c r="P95" s="20" t="str">
        <x:v>Actor scores are formula rollups from Scoring_Matrix; score only with source-backed evidence.</x:v>
      </x:c>
      <x:c r="Q95" s="352" t="str">
        <x:v>#D1FAE5</x:v>
      </x:c>
      <x:c r="R95" s="352" t="str">
        <x:v>#D1FAE5</x:v>
      </x:c>
      <x:c r="S95" s="352" t="str">
        <x:v>#FCD34D</x:v>
      </x:c>
      <x:c r="T95" s="352" t="str">
        <x:v>#D1FAE5</x:v>
      </x:c>
      <x:c r="U95" s="352" t="str">
        <x:v>#FCD34D</x:v>
      </x:c>
      <x:c r="V95" s="352" t="str">
        <x:v>SAU</x:v>
      </x:c>
      <x:c r="W95" s="352" t="str">
        <x:v>Yes</x:v>
      </x:c>
      <x:c r="X95" s="352" t="str">
        <x:f>TEXTJOIN("",TRUE,"{""type"":""Point"",""coordinates"":[",TEXT(H95,"0.000000"),",",TEXT(G95,"0.000000"),"]}")</x:f>
        <x:v>{"type":"Point","coordinates":[45,25]}</x:v>
      </x:c>
      <x:c r="Y95" s="352" t="str">
        <x:v>{"country":"Saudi Arabia","iso3":"SAU","region":"Asia","russia_score":"0.5","china_score":"1.25","american_score":"4.75","eu_score":"1.25","dominant_actor":"United States","dominant_score":"4.75","dominant_colour":"#FCD34D"}</x:v>
      </x:c>
      <x:c r="Z95" s="352" t="str">
        <x:v>ResurgamHub-mentioned country/area; join Leaflet polygons by ISO3=SAU.</x:v>
      </x:c>
    </x:row>
    <x:row r="96">
      <x:c r="A96" s="20" t="str">
        <x:v>Serbia</x:v>
      </x:c>
      <x:c r="B96" s="20" t="str">
        <x:v>RS</x:v>
      </x:c>
      <x:c r="C96" s="20" t="str">
        <x:v>SRB</x:v>
      </x:c>
      <x:c r="D96" s="20" t="str">
        <x:v>688</x:v>
      </x:c>
      <x:c r="E96" s="20" t="str">
        <x:v>Europe</x:v>
      </x:c>
      <x:c r="F96" s="20" t="str">
        <x:v>Eastern Europe</x:v>
      </x:c>
      <x:c r="G96" s="20" t="n">
        <x:v>44.1305021</x:v>
      </x:c>
      <x:c r="H96" s="20" t="n">
        <x:v>16.4284181</x:v>
      </x:c>
      <x:c r="I96" s="384" t="n">
        <x:f>IFERROR(VLOOKUP($C96&amp;"|Russia",Scoring_Matrix!$A$2:$X$493,24,FALSE),"No data")</x:f>
        <x:v>3.75</x:v>
      </x:c>
      <x:c r="J96" s="384" t="n">
        <x:f>IFERROR(VLOOKUP($C96&amp;"|China",Scoring_Matrix!$A$2:$X$493,24,FALSE),"No data")</x:f>
        <x:v>1.5</x:v>
      </x:c>
      <x:c r="K96" s="384" t="n">
        <x:f>IFERROR(VLOOKUP($C96&amp;"|United States",Scoring_Matrix!$A$2:$X$493,24,FALSE),"No data")</x:f>
        <x:v>2.5</x:v>
      </x:c>
      <x:c r="L96" s="384" t="n">
        <x:f>IFERROR(VLOOKUP($C96&amp;"|European Union",Scoring_Matrix!$A$2:$X$493,24,FALSE),"No data")</x:f>
        <x:v>2.75</x:v>
      </x:c>
      <x:c r="M96" s="386" t="str">
        <x:f>IF(COUNT(I96:L96)=0,"No data",IF(I96=MAX(I96:L96),"Russia",IF(J96=MAX(I96:L96),"China",IF(K96=MAX(I96:L96),"United States","European Union"))))</x:f>
        <x:v>Russia</x:v>
      </x:c>
      <x:c r="N96" s="384" t="n">
        <x:f>IF(COUNT(I96:L96)=0,"No data",MAX(I96:L96))</x:f>
        <x:v>3.75</x:v>
      </x:c>
      <x:c r="O96" s="20" t="str">
        <x:f>IF(COUNT(I96:L96)=0,"No scored evidence","Scored evidence present")</x:f>
        <x:v>Scored evidence present</x:v>
      </x:c>
      <x:c r="P96" s="20" t="str">
        <x:v>Actor scores are formula rollups from Scoring_Matrix; score only with source-backed evidence.</x:v>
      </x:c>
      <x:c r="Q96" s="352" t="str">
        <x:v>#FDE68A</x:v>
      </x:c>
      <x:c r="R96" s="352" t="str">
        <x:v>#A7F3D0</x:v>
      </x:c>
      <x:c r="S96" s="352" t="str">
        <x:v>#FEF3C7</x:v>
      </x:c>
      <x:c r="T96" s="352" t="str">
        <x:v>#FEF3C7</x:v>
      </x:c>
      <x:c r="U96" s="352" t="str">
        <x:v>#FDE68A</x:v>
      </x:c>
      <x:c r="V96" s="352" t="str">
        <x:v>SRB</x:v>
      </x:c>
      <x:c r="W96" s="352" t="str">
        <x:v>Yes</x:v>
      </x:c>
      <x:c r="X96" s="352" t="str">
        <x:f>TEXTJOIN("",TRUE,"{""type"":""Point"",""coordinates"":[",TEXT(H96,"0.000000"),",",TEXT(G96,"0.000000"),"]}")</x:f>
        <x:v>{"type":"Point","coordinates":[16.428418,44.130502]}</x:v>
      </x:c>
      <x:c r="Y96" s="352" t="str">
        <x:v>{"country":"Serbia","iso3":"SRB","region":"Europe","russia_score":"3.75","china_score":"1.5","american_score":"2.5","eu_score":"2.75","dominant_actor":"Russia","dominant_score":"3.75","dominant_colour":"#FDE68A"}</x:v>
      </x:c>
      <x:c r="Z96" s="352" t="str">
        <x:v>ResurgamHub-mentioned country/area; join Leaflet polygons by ISO3=SRB.</x:v>
      </x:c>
    </x:row>
    <x:row r="97">
      <x:c r="A97" s="20" t="str">
        <x:v>Singapore</x:v>
      </x:c>
      <x:c r="B97" s="20" t="str">
        <x:v>SG</x:v>
      </x:c>
      <x:c r="C97" s="20" t="str">
        <x:v>SGP</x:v>
      </x:c>
      <x:c r="D97" s="20" t="str">
        <x:v>702</x:v>
      </x:c>
      <x:c r="E97" s="20" t="str">
        <x:v>Asia</x:v>
      </x:c>
      <x:c r="F97" s="20" t="str">
        <x:v>South-Eastern Asia</x:v>
      </x:c>
      <x:c r="G97" s="20" t="n">
        <x:v>1.36666666</x:v>
      </x:c>
      <x:c r="H97" s="20" t="n">
        <x:v>103.8</x:v>
      </x:c>
      <x:c r="I97" s="384" t="n">
        <x:f>IFERROR(VLOOKUP($C97&amp;"|Russia",Scoring_Matrix!$A$2:$X$493,24,FALSE),"No data")</x:f>
        <x:v>0.5</x:v>
      </x:c>
      <x:c r="J97" s="384" t="n">
        <x:f>IFERROR(VLOOKUP($C97&amp;"|China",Scoring_Matrix!$A$2:$X$493,24,FALSE),"No data")</x:f>
        <x:v>3</x:v>
      </x:c>
      <x:c r="K97" s="384" t="n">
        <x:f>IFERROR(VLOOKUP($C97&amp;"|United States",Scoring_Matrix!$A$2:$X$493,24,FALSE),"No data")</x:f>
        <x:v>2.75</x:v>
      </x:c>
      <x:c r="L97" s="384" t="n">
        <x:f>IFERROR(VLOOKUP($C97&amp;"|European Union",Scoring_Matrix!$A$2:$X$493,24,FALSE),"No data")</x:f>
        <x:v>1.25</x:v>
      </x:c>
      <x:c r="M97" s="386" t="str">
        <x:f>IF(COUNT(I97:L97)=0,"No data",IF(I97=MAX(I97:L97),"Russia",IF(J97=MAX(I97:L97),"China",IF(K97=MAX(I97:L97),"United States","European Union"))))</x:f>
        <x:v>China</x:v>
      </x:c>
      <x:c r="N97" s="384" t="n">
        <x:f>IF(COUNT(I97:L97)=0,"No data",MAX(I97:L97))</x:f>
        <x:v>3</x:v>
      </x:c>
      <x:c r="O97" s="20" t="str">
        <x:f>IF(COUNT(I97:L97)=0,"No scored evidence","Scored evidence present")</x:f>
        <x:v>Scored evidence present</x:v>
      </x:c>
      <x:c r="P97" s="20" t="str">
        <x:v>Actor scores are formula rollups from Scoring_Matrix; score only with source-backed evidence.</x:v>
      </x:c>
      <x:c r="Q97" s="352" t="str">
        <x:v>#D1FAE5</x:v>
      </x:c>
      <x:c r="R97" s="352" t="str">
        <x:v>#FEF3C7</x:v>
      </x:c>
      <x:c r="S97" s="352" t="str">
        <x:v>#FEF3C7</x:v>
      </x:c>
      <x:c r="T97" s="352" t="str">
        <x:v>#D1FAE5</x:v>
      </x:c>
      <x:c r="U97" s="352" t="str">
        <x:v>#FEF3C7</x:v>
      </x:c>
      <x:c r="V97" s="352" t="str">
        <x:v>SGP</x:v>
      </x:c>
      <x:c r="W97" s="352" t="str">
        <x:v>Yes</x:v>
      </x:c>
      <x:c r="X97" s="352" t="str">
        <x:f>TEXTJOIN("",TRUE,"{""type"":""Point"",""coordinates"":[",TEXT(H97,"0.000000"),",",TEXT(G97,"0.000000"),"]}")</x:f>
        <x:v>{"type":"Point","coordinates":[103.8,1.366667]}</x:v>
      </x:c>
      <x:c r="Y97" s="352" t="str">
        <x:v>{"country":"Singapore","iso3":"SGP","region":"Asia","russia_score":"0.5","china_score":"3","american_score":"2.75","eu_score":"1.25","dominant_actor":"China","dominant_score":"3","dominant_colour":"#FEF3C7"}</x:v>
      </x:c>
      <x:c r="Z97" s="352" t="str">
        <x:v>ResurgamHub-mentioned country/area; join Leaflet polygons by ISO3=SGP.</x:v>
      </x:c>
    </x:row>
    <x:row r="98">
      <x:c r="A98" s="20" t="str">
        <x:v>Slovakia</x:v>
      </x:c>
      <x:c r="B98" s="20" t="str">
        <x:v>SK</x:v>
      </x:c>
      <x:c r="C98" s="20" t="str">
        <x:v>SVK</x:v>
      </x:c>
      <x:c r="D98" s="20" t="str">
        <x:v>703</x:v>
      </x:c>
      <x:c r="E98" s="20" t="str">
        <x:v>Europe</x:v>
      </x:c>
      <x:c r="F98" s="20" t="str">
        <x:v>Eastern Europe</x:v>
      </x:c>
      <x:c r="G98" s="20" t="n">
        <x:v>48.66666666</x:v>
      </x:c>
      <x:c r="H98" s="20" t="n">
        <x:v>19.5</x:v>
      </x:c>
      <x:c r="I98" s="384" t="n">
        <x:f>IFERROR(VLOOKUP($C98&amp;"|Russia",Scoring_Matrix!$A$2:$X$493,24,FALSE),"No data")</x:f>
        <x:v>2.75</x:v>
      </x:c>
      <x:c r="J98" s="384" t="n">
        <x:f>IFERROR(VLOOKUP($C98&amp;"|China",Scoring_Matrix!$A$2:$X$493,24,FALSE),"No data")</x:f>
        <x:v>1.5</x:v>
      </x:c>
      <x:c r="K98" s="384" t="n">
        <x:f>IFERROR(VLOOKUP($C98&amp;"|United States",Scoring_Matrix!$A$2:$X$493,24,FALSE),"No data")</x:f>
        <x:v>3.5</x:v>
      </x:c>
      <x:c r="L98" s="384" t="n">
        <x:f>IFERROR(VLOOKUP($C98&amp;"|European Union",Scoring_Matrix!$A$2:$X$493,24,FALSE),"No data")</x:f>
        <x:v>4</x:v>
      </x:c>
      <x:c r="M98" s="386" t="str">
        <x:f>IF(COUNT(I98:L98)=0,"No data",IF(I98=MAX(I98:L98),"Russia",IF(J98=MAX(I98:L98),"China",IF(K98=MAX(I98:L98),"United States","European Union"))))</x:f>
        <x:v>European Union</x:v>
      </x:c>
      <x:c r="N98" s="384" t="n">
        <x:f>IF(COUNT(I98:L98)=0,"No data",MAX(I98:L98))</x:f>
        <x:v>4</x:v>
      </x:c>
      <x:c r="O98" s="20" t="str">
        <x:f>IF(COUNT(I98:L98)=0,"No scored evidence","Scored evidence present")</x:f>
        <x:v>Scored evidence present</x:v>
      </x:c>
      <x:c r="P98" s="20" t="str">
        <x:v>Actor scores are formula rollups from Scoring_Matrix; score only with source-backed evidence.</x:v>
      </x:c>
      <x:c r="Q98" s="352" t="str">
        <x:v>#FEF3C7</x:v>
      </x:c>
      <x:c r="R98" s="352" t="str">
        <x:v>#A7F3D0</x:v>
      </x:c>
      <x:c r="S98" s="352" t="str">
        <x:v>#FDE68A</x:v>
      </x:c>
      <x:c r="T98" s="352" t="str">
        <x:v>#FDE68A</x:v>
      </x:c>
      <x:c r="U98" s="352" t="str">
        <x:v>#FDE68A</x:v>
      </x:c>
      <x:c r="V98" s="352" t="str">
        <x:v>SVK</x:v>
      </x:c>
      <x:c r="W98" s="352" t="str">
        <x:v>Yes</x:v>
      </x:c>
      <x:c r="X98" s="352" t="str">
        <x:f>TEXTJOIN("",TRUE,"{""type"":""Point"",""coordinates"":[",TEXT(H98,"0.000000"),",",TEXT(G98,"0.000000"),"]}")</x:f>
        <x:v>{"type":"Point","coordinates":[19.5,48.666667]}</x:v>
      </x:c>
      <x:c r="Y98" s="352" t="str">
        <x:v>{"country":"Slovakia","iso3":"SVK","region":"Europe","russia_score":"2.75","china_score":"1.5","american_score":"3.5","eu_score":"4","dominant_actor":"European Union","dominant_score":"4","dominant_colour":"#FDE68A"}</x:v>
      </x:c>
      <x:c r="Z98" s="352" t="str">
        <x:v>ResurgamHub-mentioned country/area; join Leaflet polygons by ISO3=SVK.</x:v>
      </x:c>
    </x:row>
    <x:row r="99">
      <x:c r="A99" s="20" t="str">
        <x:v>Solomon Islands</x:v>
      </x:c>
      <x:c r="B99" s="20" t="str">
        <x:v>SB</x:v>
      </x:c>
      <x:c r="C99" s="20" t="str">
        <x:v>SLB</x:v>
      </x:c>
      <x:c r="D99" s="20" t="str">
        <x:v>090</x:v>
      </x:c>
      <x:c r="E99" s="20" t="str">
        <x:v>Oceania</x:v>
      </x:c>
      <x:c r="F99" s="20" t="str">
        <x:v>Melanesia</x:v>
      </x:c>
      <x:c r="G99" s="20" t="n">
        <x:v>-8</x:v>
      </x:c>
      <x:c r="H99" s="20" t="n">
        <x:v>159</x:v>
      </x:c>
      <x:c r="I99" s="384" t="n">
        <x:f>IFERROR(VLOOKUP($C99&amp;"|Russia",Scoring_Matrix!$A$2:$X$493,24,FALSE),"No data")</x:f>
        <x:v>0.5</x:v>
      </x:c>
      <x:c r="J99" s="384" t="n">
        <x:f>IFERROR(VLOOKUP($C99&amp;"|China",Scoring_Matrix!$A$2:$X$493,24,FALSE),"No data")</x:f>
        <x:v>3.25</x:v>
      </x:c>
      <x:c r="K99" s="384" t="n">
        <x:f>IFERROR(VLOOKUP($C99&amp;"|United States",Scoring_Matrix!$A$2:$X$493,24,FALSE),"No data")</x:f>
        <x:v>1.75</x:v>
      </x:c>
      <x:c r="L99" s="384" t="n">
        <x:f>IFERROR(VLOOKUP($C99&amp;"|European Union",Scoring_Matrix!$A$2:$X$493,24,FALSE),"No data")</x:f>
        <x:v>1</x:v>
      </x:c>
      <x:c r="M99" s="386" t="str">
        <x:f>IF(COUNT(I99:L99)=0,"No data",IF(I99=MAX(I99:L99),"Russia",IF(J99=MAX(I99:L99),"China",IF(K99=MAX(I99:L99),"United States","European Union"))))</x:f>
        <x:v>China</x:v>
      </x:c>
      <x:c r="N99" s="384" t="n">
        <x:f>IF(COUNT(I99:L99)=0,"No data",MAX(I99:L99))</x:f>
        <x:v>3.25</x:v>
      </x:c>
      <x:c r="O99" s="20" t="str">
        <x:f>IF(COUNT(I99:L99)=0,"No scored evidence","Scored evidence present")</x:f>
        <x:v>Scored evidence present</x:v>
      </x:c>
      <x:c r="P99" s="20" t="str">
        <x:v>Actor scores are formula rollups from Scoring_Matrix; score only with source-backed evidence.</x:v>
      </x:c>
      <x:c r="Q99" s="352" t="str">
        <x:v>#D1FAE5</x:v>
      </x:c>
      <x:c r="R99" s="352" t="str">
        <x:v>#FEF3C7</x:v>
      </x:c>
      <x:c r="S99" s="352" t="str">
        <x:v>#A7F3D0</x:v>
      </x:c>
      <x:c r="T99" s="352" t="str">
        <x:v>#D1FAE5</x:v>
      </x:c>
      <x:c r="U99" s="352" t="str">
        <x:v>#FEF3C7</x:v>
      </x:c>
      <x:c r="V99" s="352" t="str">
        <x:v>SLB</x:v>
      </x:c>
      <x:c r="W99" s="352" t="str">
        <x:v>Yes</x:v>
      </x:c>
      <x:c r="X99" s="352" t="str">
        <x:f>TEXTJOIN("",TRUE,"{""type"":""Point"",""coordinates"":[",TEXT(H99,"0.000000"),",",TEXT(G99,"0.000000"),"]}")</x:f>
        <x:v>{"type":"Point","coordinates":[159,-8]}</x:v>
      </x:c>
      <x:c r="Y99" s="352" t="str">
        <x:v>{"country":"Solomon Islands","iso3":"SLB","region":"Oceania","russia_score":"0.5","china_score":"3.25","american_score":"1.75","eu_score":"1","dominant_actor":"China","dominant_score":"3.25","dominant_colour":"#FEF3C7"}</x:v>
      </x:c>
      <x:c r="Z99" s="352" t="str">
        <x:v>ResurgamHub-mentioned country/area; join Leaflet polygons by ISO3=SLB.</x:v>
      </x:c>
    </x:row>
    <x:row r="100">
      <x:c r="A100" s="20" t="str">
        <x:v>South Africa</x:v>
      </x:c>
      <x:c r="B100" s="20" t="str">
        <x:v>ZA</x:v>
      </x:c>
      <x:c r="C100" s="20" t="str">
        <x:v>ZAF</x:v>
      </x:c>
      <x:c r="D100" s="20" t="str">
        <x:v>710</x:v>
      </x:c>
      <x:c r="E100" s="20" t="str">
        <x:v>Africa</x:v>
      </x:c>
      <x:c r="F100" s="20" t="str">
        <x:v>Southern Africa</x:v>
      </x:c>
      <x:c r="G100" s="20" t="n">
        <x:v>-29</x:v>
      </x:c>
      <x:c r="H100" s="20" t="n">
        <x:v>24</x:v>
      </x:c>
      <x:c r="I100" s="384" t="n">
        <x:f>IFERROR(VLOOKUP($C100&amp;"|Russia",Scoring_Matrix!$A$2:$X$493,24,FALSE),"No data")</x:f>
        <x:v>2</x:v>
      </x:c>
      <x:c r="J100" s="384" t="n">
        <x:f>IFERROR(VLOOKUP($C100&amp;"|China",Scoring_Matrix!$A$2:$X$493,24,FALSE),"No data")</x:f>
        <x:v>2.75</x:v>
      </x:c>
      <x:c r="K100" s="384" t="n">
        <x:f>IFERROR(VLOOKUP($C100&amp;"|United States",Scoring_Matrix!$A$2:$X$493,24,FALSE),"No data")</x:f>
        <x:v>2.75</x:v>
      </x:c>
      <x:c r="L100" s="384" t="n">
        <x:f>IFERROR(VLOOKUP($C100&amp;"|European Union",Scoring_Matrix!$A$2:$X$493,24,FALSE),"No data")</x:f>
        <x:v>1.5</x:v>
      </x:c>
      <x:c r="M100" s="386" t="str">
        <x:f>IF(COUNT(I100:L100)=0,"No data",IF(I100=MAX(I100:L100),"Russia",IF(J100=MAX(I100:L100),"China",IF(K100=MAX(I100:L100),"United States","European Union"))))</x:f>
        <x:v>China</x:v>
      </x:c>
      <x:c r="N100" s="384" t="n">
        <x:f>IF(COUNT(I100:L100)=0,"No data",MAX(I100:L100))</x:f>
        <x:v>2.75</x:v>
      </x:c>
      <x:c r="O100" s="20" t="str">
        <x:f>IF(COUNT(I100:L100)=0,"No scored evidence","Scored evidence present")</x:f>
        <x:v>Scored evidence present</x:v>
      </x:c>
      <x:c r="P100" s="20" t="str">
        <x:v>Actor scores are formula rollups from Scoring_Matrix; score only with source-backed evidence.</x:v>
      </x:c>
      <x:c r="Q100" s="352" t="str">
        <x:v>#A7F3D0</x:v>
      </x:c>
      <x:c r="R100" s="352" t="str">
        <x:v>#FEF3C7</x:v>
      </x:c>
      <x:c r="S100" s="352" t="str">
        <x:v>#FEF3C7</x:v>
      </x:c>
      <x:c r="T100" s="352" t="str">
        <x:v>#A7F3D0</x:v>
      </x:c>
      <x:c r="U100" s="352" t="str">
        <x:v>#FEF3C7</x:v>
      </x:c>
      <x:c r="V100" s="352" t="str">
        <x:v>ZAF</x:v>
      </x:c>
      <x:c r="W100" s="352" t="str">
        <x:v>Yes</x:v>
      </x:c>
      <x:c r="X100" s="352" t="str">
        <x:f>TEXTJOIN("",TRUE,"{""type"":""Point"",""coordinates"":[",TEXT(H100,"0.000000"),",",TEXT(G100,"0.000000"),"]}")</x:f>
        <x:v>{"type":"Point","coordinates":[24,-29]}</x:v>
      </x:c>
      <x:c r="Y100" s="352" t="str">
        <x:v>{"country":"South Africa","iso3":"ZAF","region":"Africa","russia_score":"2","china_score":"2.75","american_score":"2.75","eu_score":"1.5","dominant_actor":"China","dominant_score":"2.75","dominant_colour":"#FEF3C7"}</x:v>
      </x:c>
      <x:c r="Z100" s="352" t="str">
        <x:v>ResurgamHub-mentioned country/area; join Leaflet polygons by ISO3=ZAF.</x:v>
      </x:c>
    </x:row>
    <x:row r="101">
      <x:c r="A101" s="20" t="str">
        <x:v>South Korea</x:v>
      </x:c>
      <x:c r="B101" s="20" t="str">
        <x:v>KR</x:v>
      </x:c>
      <x:c r="C101" s="20" t="str">
        <x:v>KOR</x:v>
      </x:c>
      <x:c r="D101" s="20" t="str">
        <x:v>410</x:v>
      </x:c>
      <x:c r="E101" s="20" t="str">
        <x:v>Asia</x:v>
      </x:c>
      <x:c r="F101" s="20" t="str">
        <x:v>Eastern Asia</x:v>
      </x:c>
      <x:c r="G101" s="20" t="n">
        <x:v>37</x:v>
      </x:c>
      <x:c r="H101" s="20" t="n">
        <x:v>127.5</x:v>
      </x:c>
      <x:c r="I101" s="384" t="n">
        <x:f>IFERROR(VLOOKUP($C101&amp;"|Russia",Scoring_Matrix!$A$2:$X$493,24,FALSE),"No data")</x:f>
        <x:v>1.25</x:v>
      </x:c>
      <x:c r="J101" s="384" t="n">
        <x:f>IFERROR(VLOOKUP($C101&amp;"|China",Scoring_Matrix!$A$2:$X$493,24,FALSE),"No data")</x:f>
        <x:v>3</x:v>
      </x:c>
      <x:c r="K101" s="384" t="n">
        <x:f>IFERROR(VLOOKUP($C101&amp;"|United States",Scoring_Matrix!$A$2:$X$493,24,FALSE),"No data")</x:f>
        <x:v>5</x:v>
      </x:c>
      <x:c r="L101" s="384" t="n">
        <x:f>IFERROR(VLOOKUP($C101&amp;"|European Union",Scoring_Matrix!$A$2:$X$493,24,FALSE),"No data")</x:f>
        <x:v>1.75</x:v>
      </x:c>
      <x:c r="M101" s="386" t="str">
        <x:f>IF(COUNT(I101:L101)=0,"No data",IF(I101=MAX(I101:L101),"Russia",IF(J101=MAX(I101:L101),"China",IF(K101=MAX(I101:L101),"United States","European Union"))))</x:f>
        <x:v>United States</x:v>
      </x:c>
      <x:c r="N101" s="384" t="n">
        <x:f>IF(COUNT(I101:L101)=0,"No data",MAX(I101:L101))</x:f>
        <x:v>5</x:v>
      </x:c>
      <x:c r="O101" s="20" t="str">
        <x:f>IF(COUNT(I101:L101)=0,"No scored evidence","Scored evidence present")</x:f>
        <x:v>Scored evidence present</x:v>
      </x:c>
      <x:c r="P101" s="20" t="str">
        <x:v>Actor scores are formula rollups from Scoring_Matrix; score only with source-backed evidence.</x:v>
      </x:c>
      <x:c r="Q101" s="352" t="str">
        <x:v>#D1FAE5</x:v>
      </x:c>
      <x:c r="R101" s="352" t="str">
        <x:v>#FEF3C7</x:v>
      </x:c>
      <x:c r="S101" s="352" t="str">
        <x:v>#FCD34D</x:v>
      </x:c>
      <x:c r="T101" s="352" t="str">
        <x:v>#A7F3D0</x:v>
      </x:c>
      <x:c r="U101" s="352" t="str">
        <x:v>#FCD34D</x:v>
      </x:c>
      <x:c r="V101" s="352" t="str">
        <x:v>KOR</x:v>
      </x:c>
      <x:c r="W101" s="352" t="str">
        <x:v>Yes</x:v>
      </x:c>
      <x:c r="X101" s="352" t="str">
        <x:f>TEXTJOIN("",TRUE,"{""type"":""Point"",""coordinates"":[",TEXT(H101,"0.000000"),",",TEXT(G101,"0.000000"),"]}")</x:f>
        <x:v>{"type":"Point","coordinates":[127.5,37]}</x:v>
      </x:c>
      <x:c r="Y101" s="352" t="str">
        <x:v>{"country":"South Korea","iso3":"KOR","region":"Asia","russia_score":"1.25","china_score":"3","american_score":"5","eu_score":"1.75","dominant_actor":"United States","dominant_score":"5","dominant_colour":"#FCD34D"}</x:v>
      </x:c>
      <x:c r="Z101" s="352" t="str">
        <x:v>ResurgamHub-mentioned country/area; join Leaflet polygons by ISO3=KOR.</x:v>
      </x:c>
    </x:row>
    <x:row r="102">
      <x:c r="A102" s="20" t="str">
        <x:v>Spain</x:v>
      </x:c>
      <x:c r="B102" s="20" t="str">
        <x:v>ES</x:v>
      </x:c>
      <x:c r="C102" s="20" t="str">
        <x:v>ESP</x:v>
      </x:c>
      <x:c r="D102" s="20" t="str">
        <x:v>724</x:v>
      </x:c>
      <x:c r="E102" s="20" t="str">
        <x:v>Europe</x:v>
      </x:c>
      <x:c r="F102" s="20" t="str">
        <x:v>Southern Europe</x:v>
      </x:c>
      <x:c r="G102" s="20" t="n">
        <x:v>40</x:v>
      </x:c>
      <x:c r="H102" s="20" t="n">
        <x:v>-4</x:v>
      </x:c>
      <x:c r="I102" s="384" t="n">
        <x:f>IFERROR(VLOOKUP($C102&amp;"|Russia",Scoring_Matrix!$A$2:$X$493,24,FALSE),"No data")</x:f>
        <x:v>2.5</x:v>
      </x:c>
      <x:c r="J102" s="384" t="n">
        <x:f>IFERROR(VLOOKUP($C102&amp;"|China",Scoring_Matrix!$A$2:$X$493,24,FALSE),"No data")</x:f>
        <x:v>2</x:v>
      </x:c>
      <x:c r="K102" s="384" t="n">
        <x:f>IFERROR(VLOOKUP($C102&amp;"|United States",Scoring_Matrix!$A$2:$X$493,24,FALSE),"No data")</x:f>
        <x:v>3.5</x:v>
      </x:c>
      <x:c r="L102" s="384" t="n">
        <x:f>IFERROR(VLOOKUP($C102&amp;"|European Union",Scoring_Matrix!$A$2:$X$493,24,FALSE),"No data")</x:f>
        <x:v>4</x:v>
      </x:c>
      <x:c r="M102" s="386" t="str">
        <x:f>IF(COUNT(I102:L102)=0,"No data",IF(I102=MAX(I102:L102),"Russia",IF(J102=MAX(I102:L102),"China",IF(K102=MAX(I102:L102),"United States","European Union"))))</x:f>
        <x:v>European Union</x:v>
      </x:c>
      <x:c r="N102" s="384" t="n">
        <x:f>IF(COUNT(I102:L102)=0,"No data",MAX(I102:L102))</x:f>
        <x:v>4</x:v>
      </x:c>
      <x:c r="O102" s="20" t="str">
        <x:f>IF(COUNT(I102:L102)=0,"No scored evidence","Scored evidence present")</x:f>
        <x:v>Scored evidence present</x:v>
      </x:c>
      <x:c r="P102" s="20" t="str">
        <x:v>Actor scores are formula rollups from Scoring_Matrix; score only with source-backed evidence.</x:v>
      </x:c>
      <x:c r="Q102" s="352" t="str">
        <x:v>#FEF3C7</x:v>
      </x:c>
      <x:c r="R102" s="352" t="str">
        <x:v>#A7F3D0</x:v>
      </x:c>
      <x:c r="S102" s="352" t="str">
        <x:v>#FDE68A</x:v>
      </x:c>
      <x:c r="T102" s="352" t="str">
        <x:v>#FDE68A</x:v>
      </x:c>
      <x:c r="U102" s="352" t="str">
        <x:v>#FDE68A</x:v>
      </x:c>
      <x:c r="V102" s="352" t="str">
        <x:v>ESP</x:v>
      </x:c>
      <x:c r="W102" s="352" t="str">
        <x:v>Yes</x:v>
      </x:c>
      <x:c r="X102" s="352" t="str">
        <x:f>TEXTJOIN("",TRUE,"{""type"":""Point"",""coordinates"":[",TEXT(H102,"0.000000"),",",TEXT(G102,"0.000000"),"]}")</x:f>
        <x:v>{"type":"Point","coordinates":[-4,40]}</x:v>
      </x:c>
      <x:c r="Y102" s="352" t="str">
        <x:v>{"country":"Spain","iso3":"ESP","region":"Europe","russia_score":"2.5","china_score":"2","american_score":"3.5","eu_score":"4","dominant_actor":"European Union","dominant_score":"4","dominant_colour":"#FDE68A"}</x:v>
      </x:c>
      <x:c r="Z102" s="352" t="str">
        <x:v>ResurgamHub-mentioned country/area; join Leaflet polygons by ISO3=ESP.</x:v>
      </x:c>
    </x:row>
    <x:row r="103">
      <x:c r="A103" s="20" t="str">
        <x:v>Sri Lanka</x:v>
      </x:c>
      <x:c r="B103" s="20" t="str">
        <x:v>LK</x:v>
      </x:c>
      <x:c r="C103" s="20" t="str">
        <x:v>LKA</x:v>
      </x:c>
      <x:c r="D103" s="20" t="str">
        <x:v>144</x:v>
      </x:c>
      <x:c r="E103" s="20" t="str">
        <x:v>Asia</x:v>
      </x:c>
      <x:c r="F103" s="20" t="str">
        <x:v>Southern Asia</x:v>
      </x:c>
      <x:c r="G103" s="20" t="n">
        <x:v>7</x:v>
      </x:c>
      <x:c r="H103" s="20" t="n">
        <x:v>81</x:v>
      </x:c>
      <x:c r="I103" s="384" t="n">
        <x:f>IFERROR(VLOOKUP($C103&amp;"|Russia",Scoring_Matrix!$A$2:$X$493,24,FALSE),"No data")</x:f>
        <x:v>0.5</x:v>
      </x:c>
      <x:c r="J103" s="384" t="n">
        <x:f>IFERROR(VLOOKUP($C103&amp;"|China",Scoring_Matrix!$A$2:$X$493,24,FALSE),"No data")</x:f>
        <x:v>2.75</x:v>
      </x:c>
      <x:c r="K103" s="384" t="n">
        <x:f>IFERROR(VLOOKUP($C103&amp;"|United States",Scoring_Matrix!$A$2:$X$493,24,FALSE),"No data")</x:f>
        <x:v>2</x:v>
      </x:c>
      <x:c r="L103" s="384" t="n">
        <x:f>IFERROR(VLOOKUP($C103&amp;"|European Union",Scoring_Matrix!$A$2:$X$493,24,FALSE),"No data")</x:f>
        <x:v>1.5</x:v>
      </x:c>
      <x:c r="M103" s="386" t="str">
        <x:f>IF(COUNT(I103:L103)=0,"No data",IF(I103=MAX(I103:L103),"Russia",IF(J103=MAX(I103:L103),"China",IF(K103=MAX(I103:L103),"United States","European Union"))))</x:f>
        <x:v>China</x:v>
      </x:c>
      <x:c r="N103" s="384" t="n">
        <x:f>IF(COUNT(I103:L103)=0,"No data",MAX(I103:L103))</x:f>
        <x:v>2.75</x:v>
      </x:c>
      <x:c r="O103" s="20" t="str">
        <x:f>IF(COUNT(I103:L103)=0,"No scored evidence","Scored evidence present")</x:f>
        <x:v>Scored evidence present</x:v>
      </x:c>
      <x:c r="P103" s="20" t="str">
        <x:v>Actor scores are formula rollups from Scoring_Matrix; score only with source-backed evidence.</x:v>
      </x:c>
      <x:c r="Q103" s="352" t="str">
        <x:v>#D1FAE5</x:v>
      </x:c>
      <x:c r="R103" s="352" t="str">
        <x:v>#FEF3C7</x:v>
      </x:c>
      <x:c r="S103" s="352" t="str">
        <x:v>#A7F3D0</x:v>
      </x:c>
      <x:c r="T103" s="352" t="str">
        <x:v>#A7F3D0</x:v>
      </x:c>
      <x:c r="U103" s="352" t="str">
        <x:v>#FEF3C7</x:v>
      </x:c>
      <x:c r="V103" s="352" t="str">
        <x:v>LKA</x:v>
      </x:c>
      <x:c r="W103" s="352" t="str">
        <x:v>Yes</x:v>
      </x:c>
      <x:c r="X103" s="352" t="str">
        <x:f>TEXTJOIN("",TRUE,"{""type"":""Point"",""coordinates"":[",TEXT(H103,"0.000000"),",",TEXT(G103,"0.000000"),"]}")</x:f>
        <x:v>{"type":"Point","coordinates":[81,7]}</x:v>
      </x:c>
      <x:c r="Y103" s="352" t="str">
        <x:v>{"country":"Sri Lanka","iso3":"LKA","region":"Asia","russia_score":"0.5","china_score":"2.75","american_score":"2","eu_score":"1.5","dominant_actor":"China","dominant_score":"2.75","dominant_colour":"#FEF3C7"}</x:v>
      </x:c>
      <x:c r="Z103" s="352" t="str">
        <x:v>ResurgamHub-mentioned country/area; join Leaflet polygons by ISO3=LKA.</x:v>
      </x:c>
    </x:row>
    <x:row r="104">
      <x:c r="A104" s="20" t="str">
        <x:v>Sudan</x:v>
      </x:c>
      <x:c r="B104" s="20" t="str">
        <x:v>SD</x:v>
      </x:c>
      <x:c r="C104" s="20" t="str">
        <x:v>SDN</x:v>
      </x:c>
      <x:c r="D104" s="20" t="str">
        <x:v>729</x:v>
      </x:c>
      <x:c r="E104" s="20" t="str">
        <x:v>Africa</x:v>
      </x:c>
      <x:c r="F104" s="20" t="str">
        <x:v>Northern Africa</x:v>
      </x:c>
      <x:c r="G104" s="20" t="n">
        <x:v>15</x:v>
      </x:c>
      <x:c r="H104" s="20" t="n">
        <x:v>30</x:v>
      </x:c>
      <x:c r="I104" s="384" t="n">
        <x:f>IFERROR(VLOOKUP($C104&amp;"|Russia",Scoring_Matrix!$A$2:$X$493,24,FALSE),"No data")</x:f>
        <x:v>6.25</x:v>
      </x:c>
      <x:c r="J104" s="384" t="n">
        <x:f>IFERROR(VLOOKUP($C104&amp;"|China",Scoring_Matrix!$A$2:$X$493,24,FALSE),"No data")</x:f>
        <x:v>3.25</x:v>
      </x:c>
      <x:c r="K104" s="384" t="n">
        <x:f>IFERROR(VLOOKUP($C104&amp;"|United States",Scoring_Matrix!$A$2:$X$493,24,FALSE),"No data")</x:f>
        <x:v>2.75</x:v>
      </x:c>
      <x:c r="L104" s="384" t="n">
        <x:f>IFERROR(VLOOKUP($C104&amp;"|European Union",Scoring_Matrix!$A$2:$X$493,24,FALSE),"No data")</x:f>
        <x:v>1.5</x:v>
      </x:c>
      <x:c r="M104" s="386" t="str">
        <x:f>IF(COUNT(I104:L104)=0,"No data",IF(I104=MAX(I104:L104),"Russia",IF(J104=MAX(I104:L104),"China",IF(K104=MAX(I104:L104),"United States","European Union"))))</x:f>
        <x:v>Russia</x:v>
      </x:c>
      <x:c r="N104" s="384" t="n">
        <x:f>IF(COUNT(I104:L104)=0,"No data",MAX(I104:L104))</x:f>
        <x:v>6.25</x:v>
      </x:c>
      <x:c r="O104" s="20" t="str">
        <x:f>IF(COUNT(I104:L104)=0,"No scored evidence","Scored evidence present")</x:f>
        <x:v>Scored evidence present</x:v>
      </x:c>
      <x:c r="P104" s="20" t="str">
        <x:v>Actor scores are formula rollups from Scoring_Matrix; score only with source-backed evidence.</x:v>
      </x:c>
      <x:c r="Q104" s="352" t="str">
        <x:v>#FDBA74</x:v>
      </x:c>
      <x:c r="R104" s="352" t="str">
        <x:v>#FEF3C7</x:v>
      </x:c>
      <x:c r="S104" s="352" t="str">
        <x:v>#FEF3C7</x:v>
      </x:c>
      <x:c r="T104" s="352" t="str">
        <x:v>#A7F3D0</x:v>
      </x:c>
      <x:c r="U104" s="352" t="str">
        <x:v>#FDBA74</x:v>
      </x:c>
      <x:c r="V104" s="352" t="str">
        <x:v>SDN</x:v>
      </x:c>
      <x:c r="W104" s="352" t="str">
        <x:v>Yes</x:v>
      </x:c>
      <x:c r="X104" s="352" t="str">
        <x:f>TEXTJOIN("",TRUE,"{""type"":""Point"",""coordinates"":[",TEXT(H104,"0.000000"),",",TEXT(G104,"0.000000"),"]}")</x:f>
        <x:v>{"type":"Point","coordinates":[30,15]}</x:v>
      </x:c>
      <x:c r="Y104" s="352" t="str">
        <x:v>{"country":"Sudan","iso3":"SDN","region":"Africa","russia_score":"6.25","china_score":"3.25","american_score":"2.75","eu_score":"1.5","dominant_actor":"Russia","dominant_score":"6.25","dominant_colour":"#FDBA74"}</x:v>
      </x:c>
      <x:c r="Z104" s="352" t="str">
        <x:v>ResurgamHub-mentioned country/area; join Leaflet polygons by ISO3=SDN.</x:v>
      </x:c>
    </x:row>
    <x:row r="105">
      <x:c r="A105" s="20" t="str">
        <x:v>Sweden</x:v>
      </x:c>
      <x:c r="B105" s="20" t="str">
        <x:v>SE</x:v>
      </x:c>
      <x:c r="C105" s="20" t="str">
        <x:v>SWE</x:v>
      </x:c>
      <x:c r="D105" s="20" t="str">
        <x:v>752</x:v>
      </x:c>
      <x:c r="E105" s="20" t="str">
        <x:v>Europe</x:v>
      </x:c>
      <x:c r="F105" s="20" t="str">
        <x:v>Northern Europe</x:v>
      </x:c>
      <x:c r="G105" s="20" t="n">
        <x:v>62</x:v>
      </x:c>
      <x:c r="H105" s="20" t="n">
        <x:v>15</x:v>
      </x:c>
      <x:c r="I105" s="384" t="n">
        <x:f>IFERROR(VLOOKUP($C105&amp;"|Russia",Scoring_Matrix!$A$2:$X$493,24,FALSE),"No data")</x:f>
        <x:v>2.5</x:v>
      </x:c>
      <x:c r="J105" s="384" t="n">
        <x:f>IFERROR(VLOOKUP($C105&amp;"|China",Scoring_Matrix!$A$2:$X$493,24,FALSE),"No data")</x:f>
        <x:v>1.5</x:v>
      </x:c>
      <x:c r="K105" s="384" t="n">
        <x:f>IFERROR(VLOOKUP($C105&amp;"|United States",Scoring_Matrix!$A$2:$X$493,24,FALSE),"No data")</x:f>
        <x:v>3.5</x:v>
      </x:c>
      <x:c r="L105" s="384" t="n">
        <x:f>IFERROR(VLOOKUP($C105&amp;"|European Union",Scoring_Matrix!$A$2:$X$493,24,FALSE),"No data")</x:f>
        <x:v>4</x:v>
      </x:c>
      <x:c r="M105" s="386" t="str">
        <x:f>IF(COUNT(I105:L105)=0,"No data",IF(I105=MAX(I105:L105),"Russia",IF(J105=MAX(I105:L105),"China",IF(K105=MAX(I105:L105),"United States","European Union"))))</x:f>
        <x:v>European Union</x:v>
      </x:c>
      <x:c r="N105" s="384" t="n">
        <x:f>IF(COUNT(I105:L105)=0,"No data",MAX(I105:L105))</x:f>
        <x:v>4</x:v>
      </x:c>
      <x:c r="O105" s="20" t="str">
        <x:f>IF(COUNT(I105:L105)=0,"No scored evidence","Scored evidence present")</x:f>
        <x:v>Scored evidence present</x:v>
      </x:c>
      <x:c r="P105" s="20" t="str">
        <x:v>Actor scores are formula rollups from Scoring_Matrix; score only with source-backed evidence.</x:v>
      </x:c>
      <x:c r="Q105" s="352" t="str">
        <x:v>#FEF3C7</x:v>
      </x:c>
      <x:c r="R105" s="352" t="str">
        <x:v>#A7F3D0</x:v>
      </x:c>
      <x:c r="S105" s="352" t="str">
        <x:v>#FDE68A</x:v>
      </x:c>
      <x:c r="T105" s="352" t="str">
        <x:v>#FDE68A</x:v>
      </x:c>
      <x:c r="U105" s="352" t="str">
        <x:v>#FDE68A</x:v>
      </x:c>
      <x:c r="V105" s="352" t="str">
        <x:v>SWE</x:v>
      </x:c>
      <x:c r="W105" s="352" t="str">
        <x:v>Yes</x:v>
      </x:c>
      <x:c r="X105" s="352" t="str">
        <x:f>TEXTJOIN("",TRUE,"{""type"":""Point"",""coordinates"":[",TEXT(H105,"0.000000"),",",TEXT(G105,"0.000000"),"]}")</x:f>
        <x:v>{"type":"Point","coordinates":[15,62]}</x:v>
      </x:c>
      <x:c r="Y105" s="352" t="str">
        <x:v>{"country":"Sweden","iso3":"SWE","region":"Europe","russia_score":"2.5","china_score":"1.5","american_score":"3.5","eu_score":"4","dominant_actor":"European Union","dominant_score":"4","dominant_colour":"#FDE68A"}</x:v>
      </x:c>
      <x:c r="Z105" s="352" t="str">
        <x:v>ResurgamHub-mentioned country/area; join Leaflet polygons by ISO3=SWE.</x:v>
      </x:c>
    </x:row>
    <x:row r="106">
      <x:c r="A106" s="20" t="str">
        <x:v>Syria</x:v>
      </x:c>
      <x:c r="B106" s="20" t="str">
        <x:v>SY</x:v>
      </x:c>
      <x:c r="C106" s="20" t="str">
        <x:v>SYR</x:v>
      </x:c>
      <x:c r="D106" s="20" t="str">
        <x:v>760</x:v>
      </x:c>
      <x:c r="E106" s="20" t="str">
        <x:v>Asia</x:v>
      </x:c>
      <x:c r="F106" s="20" t="str">
        <x:v>Western Asia</x:v>
      </x:c>
      <x:c r="G106" s="20" t="n">
        <x:v>35</x:v>
      </x:c>
      <x:c r="H106" s="20" t="n">
        <x:v>38</x:v>
      </x:c>
      <x:c r="I106" s="384" t="n">
        <x:f>IFERROR(VLOOKUP($C106&amp;"|Russia",Scoring_Matrix!$A$2:$X$493,24,FALSE),"No data")</x:f>
        <x:v>6.75</x:v>
      </x:c>
      <x:c r="J106" s="384" t="n">
        <x:f>IFERROR(VLOOKUP($C106&amp;"|China",Scoring_Matrix!$A$2:$X$493,24,FALSE),"No data")</x:f>
        <x:v>1.25</x:v>
      </x:c>
      <x:c r="K106" s="384" t="n">
        <x:f>IFERROR(VLOOKUP($C106&amp;"|United States",Scoring_Matrix!$A$2:$X$493,24,FALSE),"No data")</x:f>
        <x:v>5.75</x:v>
      </x:c>
      <x:c r="L106" s="384" t="n">
        <x:f>IFERROR(VLOOKUP($C106&amp;"|European Union",Scoring_Matrix!$A$2:$X$493,24,FALSE),"No data")</x:f>
        <x:v>1.25</x:v>
      </x:c>
      <x:c r="M106" s="386" t="str">
        <x:f>IF(COUNT(I106:L106)=0,"No data",IF(I106=MAX(I106:L106),"Russia",IF(J106=MAX(I106:L106),"China",IF(K106=MAX(I106:L106),"United States","European Union"))))</x:f>
        <x:v>Russia</x:v>
      </x:c>
      <x:c r="N106" s="384" t="n">
        <x:f>IF(COUNT(I106:L106)=0,"No data",MAX(I106:L106))</x:f>
        <x:v>6.75</x:v>
      </x:c>
      <x:c r="O106" s="20" t="str">
        <x:f>IF(COUNT(I106:L106)=0,"No scored evidence","Scored evidence present")</x:f>
        <x:v>Scored evidence present</x:v>
      </x:c>
      <x:c r="P106" s="20" t="str">
        <x:v>Actor scores are formula rollups from Scoring_Matrix; score only with source-backed evidence.</x:v>
      </x:c>
      <x:c r="Q106" s="352" t="str">
        <x:v>#FB923C</x:v>
      </x:c>
      <x:c r="R106" s="352" t="str">
        <x:v>#D1FAE5</x:v>
      </x:c>
      <x:c r="S106" s="352" t="str">
        <x:v>#FDBA74</x:v>
      </x:c>
      <x:c r="T106" s="352" t="str">
        <x:v>#D1FAE5</x:v>
      </x:c>
      <x:c r="U106" s="352" t="str">
        <x:v>#FB923C</x:v>
      </x:c>
      <x:c r="V106" s="352" t="str">
        <x:v>SYR</x:v>
      </x:c>
      <x:c r="W106" s="352" t="str">
        <x:v>Yes</x:v>
      </x:c>
      <x:c r="X106" s="352" t="str">
        <x:f>TEXTJOIN("",TRUE,"{""type"":""Point"",""coordinates"":[",TEXT(H106,"0.000000"),",",TEXT(G106,"0.000000"),"]}")</x:f>
        <x:v>{"type":"Point","coordinates":[38,35]}</x:v>
      </x:c>
      <x:c r="Y106" s="352" t="str">
        <x:v>{"country":"Syria","iso3":"SYR","region":"Asia","russia_score":"6.75","china_score":"1.25","american_score":"5.75","eu_score":"1.25","dominant_actor":"Russia","dominant_score":"6.75","dominant_colour":"#FB923C"}</x:v>
      </x:c>
      <x:c r="Z106" s="352" t="str">
        <x:v>ResurgamHub-mentioned country/area; join Leaflet polygons by ISO3=SYR.</x:v>
      </x:c>
    </x:row>
    <x:row r="107">
      <x:c r="A107" s="20" t="str">
        <x:v>Taiwan</x:v>
      </x:c>
      <x:c r="B107" s="20" t="str">
        <x:v>TW</x:v>
      </x:c>
      <x:c r="C107" s="20" t="str">
        <x:v>TWN</x:v>
      </x:c>
      <x:c r="D107" s="20" t="str">
        <x:v>158</x:v>
      </x:c>
      <x:c r="E107" s="20" t="str">
        <x:v>Asia</x:v>
      </x:c>
      <x:c r="F107" s="20" t="str">
        <x:v>Eastern Asia</x:v>
      </x:c>
      <x:c r="G107" s="20" t="n">
        <x:v>23.5</x:v>
      </x:c>
      <x:c r="H107" s="20" t="n">
        <x:v>121</x:v>
      </x:c>
      <x:c r="I107" s="384" t="n">
        <x:f>IFERROR(VLOOKUP($C107&amp;"|Russia",Scoring_Matrix!$A$2:$X$493,24,FALSE),"No data")</x:f>
        <x:v>0.5</x:v>
      </x:c>
      <x:c r="J107" s="384" t="n">
        <x:f>IFERROR(VLOOKUP($C107&amp;"|China",Scoring_Matrix!$A$2:$X$493,24,FALSE),"No data")</x:f>
        <x:v>4.25</x:v>
      </x:c>
      <x:c r="K107" s="384" t="n">
        <x:f>IFERROR(VLOOKUP($C107&amp;"|United States",Scoring_Matrix!$A$2:$X$493,24,FALSE),"No data")</x:f>
        <x:v>3.75</x:v>
      </x:c>
      <x:c r="L107" s="384" t="n">
        <x:f>IFERROR(VLOOKUP($C107&amp;"|European Union",Scoring_Matrix!$A$2:$X$493,24,FALSE),"No data")</x:f>
        <x:v>1.25</x:v>
      </x:c>
      <x:c r="M107" s="386" t="str">
        <x:f>IF(COUNT(I107:L107)=0,"No data",IF(I107=MAX(I107:L107),"Russia",IF(J107=MAX(I107:L107),"China",IF(K107=MAX(I107:L107),"United States","European Union"))))</x:f>
        <x:v>China</x:v>
      </x:c>
      <x:c r="N107" s="384" t="n">
        <x:f>IF(COUNT(I107:L107)=0,"No data",MAX(I107:L107))</x:f>
        <x:v>4.25</x:v>
      </x:c>
      <x:c r="O107" s="20" t="str">
        <x:f>IF(COUNT(I107:L107)=0,"No scored evidence","Scored evidence present")</x:f>
        <x:v>Scored evidence present</x:v>
      </x:c>
      <x:c r="P107" s="20" t="str">
        <x:v>Actor scores are formula rollups from Scoring_Matrix; score only with source-backed evidence.</x:v>
      </x:c>
      <x:c r="Q107" s="352" t="str">
        <x:v>#D1FAE5</x:v>
      </x:c>
      <x:c r="R107" s="352" t="str">
        <x:v>#FDE68A</x:v>
      </x:c>
      <x:c r="S107" s="352" t="str">
        <x:v>#FDE68A</x:v>
      </x:c>
      <x:c r="T107" s="352" t="str">
        <x:v>#D1FAE5</x:v>
      </x:c>
      <x:c r="U107" s="352" t="str">
        <x:v>#FDE68A</x:v>
      </x:c>
      <x:c r="V107" s="352" t="str">
        <x:v>TWN</x:v>
      </x:c>
      <x:c r="W107" s="352" t="str">
        <x:v>Yes</x:v>
      </x:c>
      <x:c r="X107" s="352" t="str">
        <x:f>TEXTJOIN("",TRUE,"{""type"":""Point"",""coordinates"":[",TEXT(H107,"0.000000"),",",TEXT(G107,"0.000000"),"]}")</x:f>
        <x:v>{"type":"Point","coordinates":[121,23.5]}</x:v>
      </x:c>
      <x:c r="Y107" s="352" t="str">
        <x:v>{"country":"Taiwan","iso3":"TWN","region":"Asia","russia_score":"0.5","china_score":"4.25","american_score":"3.75","eu_score":"1.25","dominant_actor":"China","dominant_score":"4.25","dominant_colour":"#FDE68A"}</x:v>
      </x:c>
      <x:c r="Z107" s="352" t="str">
        <x:v>ResurgamHub-mentioned country/area; join Leaflet polygons by ISO3=TWN.</x:v>
      </x:c>
    </x:row>
    <x:row r="108">
      <x:c r="A108" s="20" t="str">
        <x:v>Tajikistan</x:v>
      </x:c>
      <x:c r="B108" s="20" t="str">
        <x:v>TJ</x:v>
      </x:c>
      <x:c r="C108" s="20" t="str">
        <x:v>TJK</x:v>
      </x:c>
      <x:c r="D108" s="20" t="str">
        <x:v>762</x:v>
      </x:c>
      <x:c r="E108" s="20" t="str">
        <x:v>Asia</x:v>
      </x:c>
      <x:c r="F108" s="20" t="str">
        <x:v>Central Asia</x:v>
      </x:c>
      <x:c r="G108" s="20" t="n">
        <x:v>39</x:v>
      </x:c>
      <x:c r="H108" s="20" t="n">
        <x:v>71</x:v>
      </x:c>
      <x:c r="I108" s="384" t="n">
        <x:f>IFERROR(VLOOKUP($C108&amp;"|Russia",Scoring_Matrix!$A$2:$X$493,24,FALSE),"No data")</x:f>
        <x:v>1.75</x:v>
      </x:c>
      <x:c r="J108" s="384" t="n">
        <x:f>IFERROR(VLOOKUP($C108&amp;"|China",Scoring_Matrix!$A$2:$X$493,24,FALSE),"No data")</x:f>
        <x:v>2.5</x:v>
      </x:c>
      <x:c r="K108" s="384" t="n">
        <x:f>IFERROR(VLOOKUP($C108&amp;"|United States",Scoring_Matrix!$A$2:$X$493,24,FALSE),"No data")</x:f>
        <x:v>2.25</x:v>
      </x:c>
      <x:c r="L108" s="384" t="n">
        <x:f>IFERROR(VLOOKUP($C108&amp;"|European Union",Scoring_Matrix!$A$2:$X$493,24,FALSE),"No data")</x:f>
        <x:v>1.25</x:v>
      </x:c>
      <x:c r="M108" s="386" t="str">
        <x:f>IF(COUNT(I108:L108)=0,"No data",IF(I108=MAX(I108:L108),"Russia",IF(J108=MAX(I108:L108),"China",IF(K108=MAX(I108:L108),"United States","European Union"))))</x:f>
        <x:v>China</x:v>
      </x:c>
      <x:c r="N108" s="384" t="n">
        <x:f>IF(COUNT(I108:L108)=0,"No data",MAX(I108:L108))</x:f>
        <x:v>2.5</x:v>
      </x:c>
      <x:c r="O108" s="20" t="str">
        <x:f>IF(COUNT(I108:L108)=0,"No scored evidence","Scored evidence present")</x:f>
        <x:v>Scored evidence present</x:v>
      </x:c>
      <x:c r="P108" s="20" t="str">
        <x:v>Actor scores are formula rollups from Scoring_Matrix; score only with source-backed evidence.</x:v>
      </x:c>
      <x:c r="Q108" s="352" t="str">
        <x:v>#A7F3D0</x:v>
      </x:c>
      <x:c r="R108" s="352" t="str">
        <x:v>#FEF3C7</x:v>
      </x:c>
      <x:c r="S108" s="352" t="str">
        <x:v>#A7F3D0</x:v>
      </x:c>
      <x:c r="T108" s="352" t="str">
        <x:v>#D1FAE5</x:v>
      </x:c>
      <x:c r="U108" s="352" t="str">
        <x:v>#FEF3C7</x:v>
      </x:c>
      <x:c r="V108" s="352" t="str">
        <x:v>TJK</x:v>
      </x:c>
      <x:c r="W108" s="352" t="str">
        <x:v>Yes</x:v>
      </x:c>
      <x:c r="X108" s="352" t="str">
        <x:f>TEXTJOIN("",TRUE,"{""type"":""Point"",""coordinates"":[",TEXT(H108,"0.000000"),",",TEXT(G108,"0.000000"),"]}")</x:f>
        <x:v>{"type":"Point","coordinates":[71,39]}</x:v>
      </x:c>
      <x:c r="Y108" s="352" t="str">
        <x:v>{"country":"Tajikistan","iso3":"TJK","region":"Asia","russia_score":"1.75","china_score":"2.5","american_score":"2.25","eu_score":"1.25","dominant_actor":"China","dominant_score":"2.5","dominant_colour":"#FEF3C7"}</x:v>
      </x:c>
      <x:c r="Z108" s="352" t="str">
        <x:v>ResurgamHub-mentioned country/area; join Leaflet polygons by ISO3=TJK.</x:v>
      </x:c>
    </x:row>
    <x:row r="109">
      <x:c r="A109" s="20" t="str">
        <x:v>Thailand</x:v>
      </x:c>
      <x:c r="B109" s="20" t="str">
        <x:v>TH</x:v>
      </x:c>
      <x:c r="C109" s="20" t="str">
        <x:v>THA</x:v>
      </x:c>
      <x:c r="D109" s="20" t="str">
        <x:v>764</x:v>
      </x:c>
      <x:c r="E109" s="20" t="str">
        <x:v>Asia</x:v>
      </x:c>
      <x:c r="F109" s="20" t="str">
        <x:v>South-Eastern Asia</x:v>
      </x:c>
      <x:c r="G109" s="20" t="n">
        <x:v>15</x:v>
      </x:c>
      <x:c r="H109" s="20" t="n">
        <x:v>100</x:v>
      </x:c>
      <x:c r="I109" s="384" t="n">
        <x:f>IFERROR(VLOOKUP($C109&amp;"|Russia",Scoring_Matrix!$A$2:$X$493,24,FALSE),"No data")</x:f>
        <x:v>0.5</x:v>
      </x:c>
      <x:c r="J109" s="384" t="n">
        <x:f>IFERROR(VLOOKUP($C109&amp;"|China",Scoring_Matrix!$A$2:$X$493,24,FALSE),"No data")</x:f>
        <x:v>3.25</x:v>
      </x:c>
      <x:c r="K109" s="384" t="n">
        <x:f>IFERROR(VLOOKUP($C109&amp;"|United States",Scoring_Matrix!$A$2:$X$493,24,FALSE),"No data")</x:f>
        <x:v>2</x:v>
      </x:c>
      <x:c r="L109" s="384" t="n">
        <x:f>IFERROR(VLOOKUP($C109&amp;"|European Union",Scoring_Matrix!$A$2:$X$493,24,FALSE),"No data")</x:f>
        <x:v>1.25</x:v>
      </x:c>
      <x:c r="M109" s="386" t="str">
        <x:f>IF(COUNT(I109:L109)=0,"No data",IF(I109=MAX(I109:L109),"Russia",IF(J109=MAX(I109:L109),"China",IF(K109=MAX(I109:L109),"United States","European Union"))))</x:f>
        <x:v>China</x:v>
      </x:c>
      <x:c r="N109" s="384" t="n">
        <x:f>IF(COUNT(I109:L109)=0,"No data",MAX(I109:L109))</x:f>
        <x:v>3.25</x:v>
      </x:c>
      <x:c r="O109" s="20" t="str">
        <x:f>IF(COUNT(I109:L109)=0,"No scored evidence","Scored evidence present")</x:f>
        <x:v>Scored evidence present</x:v>
      </x:c>
      <x:c r="P109" s="20" t="str">
        <x:v>Actor scores are formula rollups from Scoring_Matrix; score only with source-backed evidence.</x:v>
      </x:c>
      <x:c r="Q109" s="352" t="str">
        <x:v>#D1FAE5</x:v>
      </x:c>
      <x:c r="R109" s="352" t="str">
        <x:v>#FEF3C7</x:v>
      </x:c>
      <x:c r="S109" s="352" t="str">
        <x:v>#A7F3D0</x:v>
      </x:c>
      <x:c r="T109" s="352" t="str">
        <x:v>#D1FAE5</x:v>
      </x:c>
      <x:c r="U109" s="352" t="str">
        <x:v>#FEF3C7</x:v>
      </x:c>
      <x:c r="V109" s="352" t="str">
        <x:v>THA</x:v>
      </x:c>
      <x:c r="W109" s="352" t="str">
        <x:v>Yes</x:v>
      </x:c>
      <x:c r="X109" s="352" t="str">
        <x:f>TEXTJOIN("",TRUE,"{""type"":""Point"",""coordinates"":[",TEXT(H109,"0.000000"),",",TEXT(G109,"0.000000"),"]}")</x:f>
        <x:v>{"type":"Point","coordinates":[100,15]}</x:v>
      </x:c>
      <x:c r="Y109" s="352" t="str">
        <x:v>{"country":"Thailand","iso3":"THA","region":"Asia","russia_score":"0.5","china_score":"3.25","american_score":"2","eu_score":"1.25","dominant_actor":"China","dominant_score":"3.25","dominant_colour":"#FEF3C7"}</x:v>
      </x:c>
      <x:c r="Z109" s="352" t="str">
        <x:v>ResurgamHub-mentioned country/area; join Leaflet polygons by ISO3=THA.</x:v>
      </x:c>
    </x:row>
    <x:row r="110">
      <x:c r="A110" s="20" t="str">
        <x:v>Tonga</x:v>
      </x:c>
      <x:c r="B110" s="20" t="str">
        <x:v>TO</x:v>
      </x:c>
      <x:c r="C110" s="20" t="str">
        <x:v>TON</x:v>
      </x:c>
      <x:c r="D110" s="20" t="str">
        <x:v>776</x:v>
      </x:c>
      <x:c r="E110" s="20" t="str">
        <x:v>Oceania</x:v>
      </x:c>
      <x:c r="F110" s="20" t="str">
        <x:v>Polynesia</x:v>
      </x:c>
      <x:c r="G110" s="20" t="n">
        <x:v>-20</x:v>
      </x:c>
      <x:c r="H110" s="20" t="n">
        <x:v>-175</x:v>
      </x:c>
      <x:c r="I110" s="384" t="n">
        <x:f>IFERROR(VLOOKUP($C110&amp;"|Russia",Scoring_Matrix!$A$2:$X$493,24,FALSE),"No data")</x:f>
        <x:v>0.5</x:v>
      </x:c>
      <x:c r="J110" s="384" t="n">
        <x:f>IFERROR(VLOOKUP($C110&amp;"|China",Scoring_Matrix!$A$2:$X$493,24,FALSE),"No data")</x:f>
        <x:v>3.25</x:v>
      </x:c>
      <x:c r="K110" s="384" t="n">
        <x:f>IFERROR(VLOOKUP($C110&amp;"|United States",Scoring_Matrix!$A$2:$X$493,24,FALSE),"No data")</x:f>
        <x:v>1.75</x:v>
      </x:c>
      <x:c r="L110" s="384" t="n">
        <x:f>IFERROR(VLOOKUP($C110&amp;"|European Union",Scoring_Matrix!$A$2:$X$493,24,FALSE),"No data")</x:f>
        <x:v>1</x:v>
      </x:c>
      <x:c r="M110" s="386" t="str">
        <x:f>IF(COUNT(I110:L110)=0,"No data",IF(I110=MAX(I110:L110),"Russia",IF(J110=MAX(I110:L110),"China",IF(K110=MAX(I110:L110),"United States","European Union"))))</x:f>
        <x:v>China</x:v>
      </x:c>
      <x:c r="N110" s="384" t="n">
        <x:f>IF(COUNT(I110:L110)=0,"No data",MAX(I110:L110))</x:f>
        <x:v>3.25</x:v>
      </x:c>
      <x:c r="O110" s="20" t="str">
        <x:f>IF(COUNT(I110:L110)=0,"No scored evidence","Scored evidence present")</x:f>
        <x:v>Scored evidence present</x:v>
      </x:c>
      <x:c r="P110" s="20" t="str">
        <x:v>Actor scores are formula rollups from Scoring_Matrix; score only with source-backed evidence.</x:v>
      </x:c>
      <x:c r="Q110" s="352" t="str">
        <x:v>#D1FAE5</x:v>
      </x:c>
      <x:c r="R110" s="352" t="str">
        <x:v>#FEF3C7</x:v>
      </x:c>
      <x:c r="S110" s="352" t="str">
        <x:v>#A7F3D0</x:v>
      </x:c>
      <x:c r="T110" s="352" t="str">
        <x:v>#D1FAE5</x:v>
      </x:c>
      <x:c r="U110" s="352" t="str">
        <x:v>#FEF3C7</x:v>
      </x:c>
      <x:c r="V110" s="352" t="str">
        <x:v>TON</x:v>
      </x:c>
      <x:c r="W110" s="352" t="str">
        <x:v>Yes</x:v>
      </x:c>
      <x:c r="X110" s="352" t="str">
        <x:f>TEXTJOIN("",TRUE,"{""type"":""Point"",""coordinates"":[",TEXT(H110,"0.000000"),",",TEXT(G110,"0.000000"),"]}")</x:f>
        <x:v>{"type":"Point","coordinates":[-175,-20]}</x:v>
      </x:c>
      <x:c r="Y110" s="352" t="str">
        <x:v>{"country":"Tonga","iso3":"TON","region":"Oceania","russia_score":"0.5","china_score":"3.25","american_score":"1.75","eu_score":"1","dominant_actor":"China","dominant_score":"3.25","dominant_colour":"#FEF3C7"}</x:v>
      </x:c>
      <x:c r="Z110" s="352" t="str">
        <x:v>ResurgamHub-mentioned country/area; join Leaflet polygons by ISO3=TON.</x:v>
      </x:c>
    </x:row>
    <x:row r="111">
      <x:c r="A111" s="20" t="str">
        <x:v>Turkey</x:v>
      </x:c>
      <x:c r="B111" s="20" t="str">
        <x:v>TR</x:v>
      </x:c>
      <x:c r="C111" s="20" t="str">
        <x:v>TUR</x:v>
      </x:c>
      <x:c r="D111" s="20" t="str">
        <x:v>792</x:v>
      </x:c>
      <x:c r="E111" s="20" t="str">
        <x:v>Asia</x:v>
      </x:c>
      <x:c r="F111" s="20" t="str">
        <x:v>Western Asia</x:v>
      </x:c>
      <x:c r="G111" s="20" t="n">
        <x:v>39</x:v>
      </x:c>
      <x:c r="H111" s="20" t="n">
        <x:v>35</x:v>
      </x:c>
      <x:c r="I111" s="384" t="n">
        <x:f>IFERROR(VLOOKUP($C111&amp;"|Russia",Scoring_Matrix!$A$2:$X$493,24,FALSE),"No data")</x:f>
        <x:v>0.5</x:v>
      </x:c>
      <x:c r="J111" s="384" t="n">
        <x:f>IFERROR(VLOOKUP($C111&amp;"|China",Scoring_Matrix!$A$2:$X$493,24,FALSE),"No data")</x:f>
        <x:v>1.25</x:v>
      </x:c>
      <x:c r="K111" s="384" t="n">
        <x:f>IFERROR(VLOOKUP($C111&amp;"|United States",Scoring_Matrix!$A$2:$X$493,24,FALSE),"No data")</x:f>
        <x:v>3.5</x:v>
      </x:c>
      <x:c r="L111" s="384" t="n">
        <x:f>IFERROR(VLOOKUP($C111&amp;"|European Union",Scoring_Matrix!$A$2:$X$493,24,FALSE),"No data")</x:f>
        <x:v>3</x:v>
      </x:c>
      <x:c r="M111" s="386" t="str">
        <x:f>IF(COUNT(I111:L111)=0,"No data",IF(I111=MAX(I111:L111),"Russia",IF(J111=MAX(I111:L111),"China",IF(K111=MAX(I111:L111),"United States","European Union"))))</x:f>
        <x:v>United States</x:v>
      </x:c>
      <x:c r="N111" s="384" t="n">
        <x:f>IF(COUNT(I111:L111)=0,"No data",MAX(I111:L111))</x:f>
        <x:v>3.5</x:v>
      </x:c>
      <x:c r="O111" s="20" t="str">
        <x:f>IF(COUNT(I111:L111)=0,"No scored evidence","Scored evidence present")</x:f>
        <x:v>Scored evidence present</x:v>
      </x:c>
      <x:c r="P111" s="20" t="str">
        <x:v>Actor scores are formula rollups from Scoring_Matrix; score only with source-backed evidence.</x:v>
      </x:c>
      <x:c r="Q111" s="352" t="str">
        <x:v>#D1FAE5</x:v>
      </x:c>
      <x:c r="R111" s="352" t="str">
        <x:v>#D1FAE5</x:v>
      </x:c>
      <x:c r="S111" s="352" t="str">
        <x:v>#FDE68A</x:v>
      </x:c>
      <x:c r="T111" s="352" t="str">
        <x:v>#FEF3C7</x:v>
      </x:c>
      <x:c r="U111" s="352" t="str">
        <x:v>#FDE68A</x:v>
      </x:c>
      <x:c r="V111" s="352" t="str">
        <x:v>TUR</x:v>
      </x:c>
      <x:c r="W111" s="352" t="str">
        <x:v>Yes</x:v>
      </x:c>
      <x:c r="X111" s="352" t="str">
        <x:f>TEXTJOIN("",TRUE,"{""type"":""Point"",""coordinates"":[",TEXT(H111,"0.000000"),",",TEXT(G111,"0.000000"),"]}")</x:f>
        <x:v>{"type":"Point","coordinates":[35,39]}</x:v>
      </x:c>
      <x:c r="Y111" s="352" t="str">
        <x:v>{"country":"Turkey","iso3":"TUR","region":"Asia","russia_score":"0.5","china_score":"1.25","american_score":"3.5","eu_score":"3","dominant_actor":"United States","dominant_score":"3.5","dominant_colour":"#FDE68A"}</x:v>
      </x:c>
      <x:c r="Z111" s="352" t="str">
        <x:v>ResurgamHub-mentioned country/area; join Leaflet polygons by ISO3=TUR.</x:v>
      </x:c>
    </x:row>
    <x:row r="112">
      <x:c r="A112" s="20" t="str">
        <x:v>Turkmenistan</x:v>
      </x:c>
      <x:c r="B112" s="20" t="str">
        <x:v>TM</x:v>
      </x:c>
      <x:c r="C112" s="20" t="str">
        <x:v>TKM</x:v>
      </x:c>
      <x:c r="D112" s="20" t="str">
        <x:v>795</x:v>
      </x:c>
      <x:c r="E112" s="20" t="str">
        <x:v>Asia</x:v>
      </x:c>
      <x:c r="F112" s="20" t="str">
        <x:v>Central Asia</x:v>
      </x:c>
      <x:c r="G112" s="20" t="n">
        <x:v>40</x:v>
      </x:c>
      <x:c r="H112" s="20" t="n">
        <x:v>60</x:v>
      </x:c>
      <x:c r="I112" s="384" t="n">
        <x:f>IFERROR(VLOOKUP($C112&amp;"|Russia",Scoring_Matrix!$A$2:$X$493,24,FALSE),"No data")</x:f>
        <x:v>1.75</x:v>
      </x:c>
      <x:c r="J112" s="384" t="n">
        <x:f>IFERROR(VLOOKUP($C112&amp;"|China",Scoring_Matrix!$A$2:$X$493,24,FALSE),"No data")</x:f>
        <x:v>2.5</x:v>
      </x:c>
      <x:c r="K112" s="384" t="n">
        <x:f>IFERROR(VLOOKUP($C112&amp;"|United States",Scoring_Matrix!$A$2:$X$493,24,FALSE),"No data")</x:f>
        <x:v>2.25</x:v>
      </x:c>
      <x:c r="L112" s="384" t="n">
        <x:f>IFERROR(VLOOKUP($C112&amp;"|European Union",Scoring_Matrix!$A$2:$X$493,24,FALSE),"No data")</x:f>
        <x:v>1.25</x:v>
      </x:c>
      <x:c r="M112" s="386" t="str">
        <x:f>IF(COUNT(I112:L112)=0,"No data",IF(I112=MAX(I112:L112),"Russia",IF(J112=MAX(I112:L112),"China",IF(K112=MAX(I112:L112),"United States","European Union"))))</x:f>
        <x:v>China</x:v>
      </x:c>
      <x:c r="N112" s="384" t="n">
        <x:f>IF(COUNT(I112:L112)=0,"No data",MAX(I112:L112))</x:f>
        <x:v>2.5</x:v>
      </x:c>
      <x:c r="O112" s="20" t="str">
        <x:f>IF(COUNT(I112:L112)=0,"No scored evidence","Scored evidence present")</x:f>
        <x:v>Scored evidence present</x:v>
      </x:c>
      <x:c r="P112" s="20" t="str">
        <x:v>Actor scores are formula rollups from Scoring_Matrix; score only with source-backed evidence.</x:v>
      </x:c>
      <x:c r="Q112" s="352" t="str">
        <x:v>#A7F3D0</x:v>
      </x:c>
      <x:c r="R112" s="352" t="str">
        <x:v>#FEF3C7</x:v>
      </x:c>
      <x:c r="S112" s="352" t="str">
        <x:v>#A7F3D0</x:v>
      </x:c>
      <x:c r="T112" s="352" t="str">
        <x:v>#D1FAE5</x:v>
      </x:c>
      <x:c r="U112" s="352" t="str">
        <x:v>#FEF3C7</x:v>
      </x:c>
      <x:c r="V112" s="352" t="str">
        <x:v>TKM</x:v>
      </x:c>
      <x:c r="W112" s="352" t="str">
        <x:v>Yes</x:v>
      </x:c>
      <x:c r="X112" s="352" t="str">
        <x:f>TEXTJOIN("",TRUE,"{""type"":""Point"",""coordinates"":[",TEXT(H112,"0.000000"),",",TEXT(G112,"0.000000"),"]}")</x:f>
        <x:v>{"type":"Point","coordinates":[60,40]}</x:v>
      </x:c>
      <x:c r="Y112" s="352" t="str">
        <x:v>{"country":"Turkmenistan","iso3":"TKM","region":"Asia","russia_score":"1.75","china_score":"2.5","american_score":"2.25","eu_score":"1.25","dominant_actor":"China","dominant_score":"2.5","dominant_colour":"#FEF3C7"}</x:v>
      </x:c>
      <x:c r="Z112" s="352" t="str">
        <x:v>ResurgamHub-mentioned country/area; join Leaflet polygons by ISO3=TKM.</x:v>
      </x:c>
    </x:row>
    <x:row r="113">
      <x:c r="A113" s="20" t="str">
        <x:v>Tuvalu</x:v>
      </x:c>
      <x:c r="B113" s="20" t="str">
        <x:v>TV</x:v>
      </x:c>
      <x:c r="C113" s="20" t="str">
        <x:v>TUV</x:v>
      </x:c>
      <x:c r="D113" s="20" t="str">
        <x:v>798</x:v>
      </x:c>
      <x:c r="E113" s="20" t="str">
        <x:v>Oceania</x:v>
      </x:c>
      <x:c r="F113" s="20" t="str">
        <x:v>Polynesia</x:v>
      </x:c>
      <x:c r="G113" s="20" t="n">
        <x:v>-8</x:v>
      </x:c>
      <x:c r="H113" s="20" t="n">
        <x:v>178</x:v>
      </x:c>
      <x:c r="I113" s="384" t="n">
        <x:f>IFERROR(VLOOKUP($C113&amp;"|Russia",Scoring_Matrix!$A$2:$X$493,24,FALSE),"No data")</x:f>
        <x:v>0.5</x:v>
      </x:c>
      <x:c r="J113" s="384" t="n">
        <x:f>IFERROR(VLOOKUP($C113&amp;"|China",Scoring_Matrix!$A$2:$X$493,24,FALSE),"No data")</x:f>
        <x:v>3.25</x:v>
      </x:c>
      <x:c r="K113" s="384" t="n">
        <x:f>IFERROR(VLOOKUP($C113&amp;"|United States",Scoring_Matrix!$A$2:$X$493,24,FALSE),"No data")</x:f>
        <x:v>1.75</x:v>
      </x:c>
      <x:c r="L113" s="384" t="n">
        <x:f>IFERROR(VLOOKUP($C113&amp;"|European Union",Scoring_Matrix!$A$2:$X$493,24,FALSE),"No data")</x:f>
        <x:v>1</x:v>
      </x:c>
      <x:c r="M113" s="386" t="str">
        <x:f>IF(COUNT(I113:L113)=0,"No data",IF(I113=MAX(I113:L113),"Russia",IF(J113=MAX(I113:L113),"China",IF(K113=MAX(I113:L113),"United States","European Union"))))</x:f>
        <x:v>China</x:v>
      </x:c>
      <x:c r="N113" s="384" t="n">
        <x:f>IF(COUNT(I113:L113)=0,"No data",MAX(I113:L113))</x:f>
        <x:v>3.25</x:v>
      </x:c>
      <x:c r="O113" s="20" t="str">
        <x:f>IF(COUNT(I113:L113)=0,"No scored evidence","Scored evidence present")</x:f>
        <x:v>Scored evidence present</x:v>
      </x:c>
      <x:c r="P113" s="20" t="str">
        <x:v>Actor scores are formula rollups from Scoring_Matrix; score only with source-backed evidence.</x:v>
      </x:c>
      <x:c r="Q113" s="352" t="str">
        <x:v>#D1FAE5</x:v>
      </x:c>
      <x:c r="R113" s="352" t="str">
        <x:v>#FEF3C7</x:v>
      </x:c>
      <x:c r="S113" s="352" t="str">
        <x:v>#A7F3D0</x:v>
      </x:c>
      <x:c r="T113" s="352" t="str">
        <x:v>#D1FAE5</x:v>
      </x:c>
      <x:c r="U113" s="352" t="str">
        <x:v>#FEF3C7</x:v>
      </x:c>
      <x:c r="V113" s="352" t="str">
        <x:v>TUV</x:v>
      </x:c>
      <x:c r="W113" s="352" t="str">
        <x:v>Yes</x:v>
      </x:c>
      <x:c r="X113" s="352" t="str">
        <x:f>TEXTJOIN("",TRUE,"{""type"":""Point"",""coordinates"":[",TEXT(H113,"0.000000"),",",TEXT(G113,"0.000000"),"]}")</x:f>
        <x:v>{"type":"Point","coordinates":[178,-8]}</x:v>
      </x:c>
      <x:c r="Y113" s="352" t="str">
        <x:v>{"country":"Tuvalu","iso3":"TUV","region":"Oceania","russia_score":"0.5","china_score":"3.25","american_score":"1.75","eu_score":"1","dominant_actor":"China","dominant_score":"3.25","dominant_colour":"#FEF3C7"}</x:v>
      </x:c>
      <x:c r="Z113" s="352" t="str">
        <x:v>ResurgamHub-mentioned country/area; join Leaflet polygons by ISO3=TUV.</x:v>
      </x:c>
    </x:row>
    <x:row r="114">
      <x:c r="A114" s="20" t="str">
        <x:v>Uganda</x:v>
      </x:c>
      <x:c r="B114" s="20" t="str">
        <x:v>UG</x:v>
      </x:c>
      <x:c r="C114" s="20" t="str">
        <x:v>UGA</x:v>
      </x:c>
      <x:c r="D114" s="20" t="str">
        <x:v>800</x:v>
      </x:c>
      <x:c r="E114" s="20" t="str">
        <x:v>Africa</x:v>
      </x:c>
      <x:c r="F114" s="20" t="str">
        <x:v>Eastern Africa</x:v>
      </x:c>
      <x:c r="G114" s="20" t="n">
        <x:v>1</x:v>
      </x:c>
      <x:c r="H114" s="20" t="n">
        <x:v>32</x:v>
      </x:c>
      <x:c r="I114" s="384" t="n">
        <x:f>IFERROR(VLOOKUP($C114&amp;"|Russia",Scoring_Matrix!$A$2:$X$493,24,FALSE),"No data")</x:f>
        <x:v>1.75</x:v>
      </x:c>
      <x:c r="J114" s="384" t="n">
        <x:f>IFERROR(VLOOKUP($C114&amp;"|China",Scoring_Matrix!$A$2:$X$493,24,FALSE),"No data")</x:f>
        <x:v>2</x:v>
      </x:c>
      <x:c r="K114" s="384" t="n">
        <x:f>IFERROR(VLOOKUP($C114&amp;"|United States",Scoring_Matrix!$A$2:$X$493,24,FALSE),"No data")</x:f>
        <x:v>2.75</x:v>
      </x:c>
      <x:c r="L114" s="384" t="n">
        <x:f>IFERROR(VLOOKUP($C114&amp;"|European Union",Scoring_Matrix!$A$2:$X$493,24,FALSE),"No data")</x:f>
        <x:v>1.5</x:v>
      </x:c>
      <x:c r="M114" s="386" t="str">
        <x:f>IF(COUNT(I114:L114)=0,"No data",IF(I114=MAX(I114:L114),"Russia",IF(J114=MAX(I114:L114),"China",IF(K114=MAX(I114:L114),"United States","European Union"))))</x:f>
        <x:v>United States</x:v>
      </x:c>
      <x:c r="N114" s="384" t="n">
        <x:f>IF(COUNT(I114:L114)=0,"No data",MAX(I114:L114))</x:f>
        <x:v>2.75</x:v>
      </x:c>
      <x:c r="O114" s="20" t="str">
        <x:f>IF(COUNT(I114:L114)=0,"No scored evidence","Scored evidence present")</x:f>
        <x:v>Scored evidence present</x:v>
      </x:c>
      <x:c r="P114" s="20" t="str">
        <x:v>Actor scores are formula rollups from Scoring_Matrix; score only with source-backed evidence.</x:v>
      </x:c>
      <x:c r="Q114" s="352" t="str">
        <x:v>#A7F3D0</x:v>
      </x:c>
      <x:c r="R114" s="352" t="str">
        <x:v>#A7F3D0</x:v>
      </x:c>
      <x:c r="S114" s="352" t="str">
        <x:v>#FEF3C7</x:v>
      </x:c>
      <x:c r="T114" s="352" t="str">
        <x:v>#A7F3D0</x:v>
      </x:c>
      <x:c r="U114" s="352" t="str">
        <x:v>#FEF3C7</x:v>
      </x:c>
      <x:c r="V114" s="352" t="str">
        <x:v>UGA</x:v>
      </x:c>
      <x:c r="W114" s="352" t="str">
        <x:v>Yes</x:v>
      </x:c>
      <x:c r="X114" s="352" t="str">
        <x:f>TEXTJOIN("",TRUE,"{""type"":""Point"",""coordinates"":[",TEXT(H114,"0.000000"),",",TEXT(G114,"0.000000"),"]}")</x:f>
        <x:v>{"type":"Point","coordinates":[32,1]}</x:v>
      </x:c>
      <x:c r="Y114" s="352" t="str">
        <x:v>{"country":"Uganda","iso3":"UGA","region":"Africa","russia_score":"1.75","china_score":"2","american_score":"2.75","eu_score":"1.5","dominant_actor":"United States","dominant_score":"2.75","dominant_colour":"#FEF3C7"}</x:v>
      </x:c>
      <x:c r="Z114" s="352" t="str">
        <x:v>ResurgamHub-mentioned country/area; join Leaflet polygons by ISO3=UGA.</x:v>
      </x:c>
    </x:row>
    <x:row r="115">
      <x:c r="A115" s="20" t="str">
        <x:v>Ukraine</x:v>
      </x:c>
      <x:c r="B115" s="20" t="str">
        <x:v>UA</x:v>
      </x:c>
      <x:c r="C115" s="20" t="str">
        <x:v>UKR</x:v>
      </x:c>
      <x:c r="D115" s="20" t="str">
        <x:v>804</x:v>
      </x:c>
      <x:c r="E115" s="20" t="str">
        <x:v>Europe</x:v>
      </x:c>
      <x:c r="F115" s="20" t="str">
        <x:v>Eastern Europe</x:v>
      </x:c>
      <x:c r="G115" s="20" t="n">
        <x:v>49</x:v>
      </x:c>
      <x:c r="H115" s="20" t="n">
        <x:v>32</x:v>
      </x:c>
      <x:c r="I115" s="384" t="n">
        <x:f>IFERROR(VLOOKUP($C115&amp;"|Russia",Scoring_Matrix!$A$2:$X$493,24,FALSE),"No data")</x:f>
        <x:v>9</x:v>
      </x:c>
      <x:c r="J115" s="384" t="n">
        <x:f>IFERROR(VLOOKUP($C115&amp;"|China",Scoring_Matrix!$A$2:$X$493,24,FALSE),"No data")</x:f>
        <x:v>1.5</x:v>
      </x:c>
      <x:c r="K115" s="384" t="n">
        <x:f>IFERROR(VLOOKUP($C115&amp;"|United States",Scoring_Matrix!$A$2:$X$493,24,FALSE),"No data")</x:f>
        <x:v>6</x:v>
      </x:c>
      <x:c r="L115" s="384" t="n">
        <x:f>IFERROR(VLOOKUP($C115&amp;"|European Union",Scoring_Matrix!$A$2:$X$493,24,FALSE),"No data")</x:f>
        <x:v>4.75</x:v>
      </x:c>
      <x:c r="M115" s="386" t="str">
        <x:f>IF(COUNT(I115:L115)=0,"No data",IF(I115=MAX(I115:L115),"Russia",IF(J115=MAX(I115:L115),"China",IF(K115=MAX(I115:L115),"United States","European Union"))))</x:f>
        <x:v>Russia</x:v>
      </x:c>
      <x:c r="N115" s="384" t="n">
        <x:f>IF(COUNT(I115:L115)=0,"No data",MAX(I115:L115))</x:f>
        <x:v>9</x:v>
      </x:c>
      <x:c r="O115" s="20" t="str">
        <x:f>IF(COUNT(I115:L115)=0,"No scored evidence","Scored evidence present")</x:f>
        <x:v>Scored evidence present</x:v>
      </x:c>
      <x:c r="P115" s="20" t="str">
        <x:v>Actor scores are formula rollups from Scoring_Matrix; score only with source-backed evidence.</x:v>
      </x:c>
      <x:c r="Q115" s="352" t="str">
        <x:v>#EF4444</x:v>
      </x:c>
      <x:c r="R115" s="352" t="str">
        <x:v>#A7F3D0</x:v>
      </x:c>
      <x:c r="S115" s="352" t="str">
        <x:v>#FDBA74</x:v>
      </x:c>
      <x:c r="T115" s="352" t="str">
        <x:v>#FCD34D</x:v>
      </x:c>
      <x:c r="U115" s="352" t="str">
        <x:v>#EF4444</x:v>
      </x:c>
      <x:c r="V115" s="352" t="str">
        <x:v>UKR</x:v>
      </x:c>
      <x:c r="W115" s="352" t="str">
        <x:v>Yes</x:v>
      </x:c>
      <x:c r="X115" s="352" t="str">
        <x:f>TEXTJOIN("",TRUE,"{""type"":""Point"",""coordinates"":[",TEXT(H115,"0.000000"),",",TEXT(G115,"0.000000"),"]}")</x:f>
        <x:v>{"type":"Point","coordinates":[32,49]}</x:v>
      </x:c>
      <x:c r="Y115" s="352" t="str">
        <x:v>{"country":"Ukraine","iso3":"UKR","region":"Europe","russia_score":"9","china_score":"1.5","american_score":"6","eu_score":"4.75","dominant_actor":"Russia","dominant_score":"9","dominant_colour":"#EF4444"}</x:v>
      </x:c>
      <x:c r="Z115" s="352" t="str">
        <x:v>ResurgamHub-mentioned country/area; join Leaflet polygons by ISO3=UKR.</x:v>
      </x:c>
    </x:row>
    <x:row r="116">
      <x:c r="A116" s="20" t="str">
        <x:v>United Arab Emirates</x:v>
      </x:c>
      <x:c r="B116" s="20" t="str">
        <x:v>AE</x:v>
      </x:c>
      <x:c r="C116" s="20" t="str">
        <x:v>ARE</x:v>
      </x:c>
      <x:c r="D116" s="20" t="str">
        <x:v>784</x:v>
      </x:c>
      <x:c r="E116" s="20" t="str">
        <x:v>Asia</x:v>
      </x:c>
      <x:c r="F116" s="20" t="str">
        <x:v>Western Asia</x:v>
      </x:c>
      <x:c r="G116" s="20" t="n">
        <x:v>24</x:v>
      </x:c>
      <x:c r="H116" s="20" t="n">
        <x:v>54</x:v>
      </x:c>
      <x:c r="I116" s="384" t="n">
        <x:f>IFERROR(VLOOKUP($C116&amp;"|Russia",Scoring_Matrix!$A$2:$X$493,24,FALSE),"No data")</x:f>
        <x:v>0.5</x:v>
      </x:c>
      <x:c r="J116" s="384" t="n">
        <x:f>IFERROR(VLOOKUP($C116&amp;"|China",Scoring_Matrix!$A$2:$X$493,24,FALSE),"No data")</x:f>
        <x:v>1.25</x:v>
      </x:c>
      <x:c r="K116" s="384" t="n">
        <x:f>IFERROR(VLOOKUP($C116&amp;"|United States",Scoring_Matrix!$A$2:$X$493,24,FALSE),"No data")</x:f>
        <x:v>4.75</x:v>
      </x:c>
      <x:c r="L116" s="384" t="n">
        <x:f>IFERROR(VLOOKUP($C116&amp;"|European Union",Scoring_Matrix!$A$2:$X$493,24,FALSE),"No data")</x:f>
        <x:v>1.25</x:v>
      </x:c>
      <x:c r="M116" s="386" t="str">
        <x:f>IF(COUNT(I116:L116)=0,"No data",IF(I116=MAX(I116:L116),"Russia",IF(J116=MAX(I116:L116),"China",IF(K116=MAX(I116:L116),"United States","European Union"))))</x:f>
        <x:v>United States</x:v>
      </x:c>
      <x:c r="N116" s="384" t="n">
        <x:f>IF(COUNT(I116:L116)=0,"No data",MAX(I116:L116))</x:f>
        <x:v>4.75</x:v>
      </x:c>
      <x:c r="O116" s="20" t="str">
        <x:f>IF(COUNT(I116:L116)=0,"No scored evidence","Scored evidence present")</x:f>
        <x:v>Scored evidence present</x:v>
      </x:c>
      <x:c r="P116" s="20" t="str">
        <x:v>Actor scores are formula rollups from Scoring_Matrix; score only with source-backed evidence.</x:v>
      </x:c>
      <x:c r="Q116" s="352" t="str">
        <x:v>#D1FAE5</x:v>
      </x:c>
      <x:c r="R116" s="352" t="str">
        <x:v>#D1FAE5</x:v>
      </x:c>
      <x:c r="S116" s="352" t="str">
        <x:v>#FCD34D</x:v>
      </x:c>
      <x:c r="T116" s="352" t="str">
        <x:v>#D1FAE5</x:v>
      </x:c>
      <x:c r="U116" s="352" t="str">
        <x:v>#FCD34D</x:v>
      </x:c>
      <x:c r="V116" s="352" t="str">
        <x:v>ARE</x:v>
      </x:c>
      <x:c r="W116" s="352" t="str">
        <x:v>Yes</x:v>
      </x:c>
      <x:c r="X116" s="352" t="str">
        <x:f>TEXTJOIN("",TRUE,"{""type"":""Point"",""coordinates"":[",TEXT(H116,"0.000000"),",",TEXT(G116,"0.000000"),"]}")</x:f>
        <x:v>{"type":"Point","coordinates":[54,24]}</x:v>
      </x:c>
      <x:c r="Y116" s="352" t="str">
        <x:v>{"country":"United Arab Emirates","iso3":"ARE","region":"Asia","russia_score":"0.5","china_score":"1.25","american_score":"4.75","eu_score":"1.25","dominant_actor":"United States","dominant_score":"4.75","dominant_colour":"#FCD34D"}</x:v>
      </x:c>
      <x:c r="Z116" s="352" t="str">
        <x:v>ResurgamHub-mentioned country/area; join Leaflet polygons by ISO3=ARE.</x:v>
      </x:c>
    </x:row>
    <x:row r="117">
      <x:c r="A117" s="20" t="str">
        <x:v>United Kingdom</x:v>
      </x:c>
      <x:c r="B117" s="20" t="str">
        <x:v>GB</x:v>
      </x:c>
      <x:c r="C117" s="20" t="str">
        <x:v>GBR</x:v>
      </x:c>
      <x:c r="D117" s="20" t="str">
        <x:v>826</x:v>
      </x:c>
      <x:c r="E117" s="20" t="str">
        <x:v>Europe</x:v>
      </x:c>
      <x:c r="F117" s="20" t="str">
        <x:v>Northern Europe</x:v>
      </x:c>
      <x:c r="G117" s="20" t="n">
        <x:v>54</x:v>
      </x:c>
      <x:c r="H117" s="20" t="n">
        <x:v>-2</x:v>
      </x:c>
      <x:c r="I117" s="384" t="n">
        <x:f>IFERROR(VLOOKUP($C117&amp;"|Russia",Scoring_Matrix!$A$2:$X$493,24,FALSE),"No data")</x:f>
        <x:v>3</x:v>
      </x:c>
      <x:c r="J117" s="384" t="n">
        <x:f>IFERROR(VLOOKUP($C117&amp;"|China",Scoring_Matrix!$A$2:$X$493,24,FALSE),"No data")</x:f>
        <x:v>2.5</x:v>
      </x:c>
      <x:c r="K117" s="384" t="n">
        <x:f>IFERROR(VLOOKUP($C117&amp;"|United States",Scoring_Matrix!$A$2:$X$493,24,FALSE),"No data")</x:f>
        <x:v>4.25</x:v>
      </x:c>
      <x:c r="L117" s="384" t="n">
        <x:f>IFERROR(VLOOKUP($C117&amp;"|European Union",Scoring_Matrix!$A$2:$X$493,24,FALSE),"No data")</x:f>
        <x:v>2.75</x:v>
      </x:c>
      <x:c r="M117" s="386" t="str">
        <x:f>IF(COUNT(I117:L117)=0,"No data",IF(I117=MAX(I117:L117),"Russia",IF(J117=MAX(I117:L117),"China",IF(K117=MAX(I117:L117),"United States","European Union"))))</x:f>
        <x:v>United States</x:v>
      </x:c>
      <x:c r="N117" s="384" t="n">
        <x:f>IF(COUNT(I117:L117)=0,"No data",MAX(I117:L117))</x:f>
        <x:v>4.25</x:v>
      </x:c>
      <x:c r="O117" s="20" t="str">
        <x:f>IF(COUNT(I117:L117)=0,"No scored evidence","Scored evidence present")</x:f>
        <x:v>Scored evidence present</x:v>
      </x:c>
      <x:c r="P117" s="20" t="str">
        <x:v>Actor scores are formula rollups from Scoring_Matrix; score only with source-backed evidence.</x:v>
      </x:c>
      <x:c r="Q117" s="352" t="str">
        <x:v>#FEF3C7</x:v>
      </x:c>
      <x:c r="R117" s="352" t="str">
        <x:v>#FEF3C7</x:v>
      </x:c>
      <x:c r="S117" s="352" t="str">
        <x:v>#FDE68A</x:v>
      </x:c>
      <x:c r="T117" s="352" t="str">
        <x:v>#FEF3C7</x:v>
      </x:c>
      <x:c r="U117" s="352" t="str">
        <x:v>#FDE68A</x:v>
      </x:c>
      <x:c r="V117" s="352" t="str">
        <x:v>GBR</x:v>
      </x:c>
      <x:c r="W117" s="352" t="str">
        <x:v>Yes</x:v>
      </x:c>
      <x:c r="X117" s="352" t="str">
        <x:f>TEXTJOIN("",TRUE,"{""type"":""Point"",""coordinates"":[",TEXT(H117,"0.000000"),",",TEXT(G117,"0.000000"),"]}")</x:f>
        <x:v>{"type":"Point","coordinates":[-2,54]}</x:v>
      </x:c>
      <x:c r="Y117" s="352" t="str">
        <x:v>{"country":"United Kingdom","iso3":"GBR","region":"Europe","russia_score":"3","china_score":"2.5","american_score":"4.25","eu_score":"2.75","dominant_actor":"United States","dominant_score":"4.25","dominant_colour":"#FDE68A"}</x:v>
      </x:c>
      <x:c r="Z117" s="352" t="str">
        <x:v>ResurgamHub-mentioned country/area; join Leaflet polygons by ISO3=GBR.</x:v>
      </x:c>
    </x:row>
    <x:row r="118">
      <x:c r="A118" s="20" t="str">
        <x:v>United States</x:v>
      </x:c>
      <x:c r="B118" s="20" t="str">
        <x:v>US</x:v>
      </x:c>
      <x:c r="C118" s="20" t="str">
        <x:v>USA</x:v>
      </x:c>
      <x:c r="D118" s="20" t="str">
        <x:v>840</x:v>
      </x:c>
      <x:c r="E118" s="20" t="str">
        <x:v>Americas</x:v>
      </x:c>
      <x:c r="F118" s="20" t="str">
        <x:v>Northern America</x:v>
      </x:c>
      <x:c r="G118" s="20" t="n">
        <x:v>38</x:v>
      </x:c>
      <x:c r="H118" s="20" t="n">
        <x:v>-97</x:v>
      </x:c>
      <x:c r="I118" s="384" t="n">
        <x:f>IFERROR(VLOOKUP($C118&amp;"|Russia",Scoring_Matrix!$A$2:$X$493,24,FALSE),"No data")</x:f>
        <x:v>3.25</x:v>
      </x:c>
      <x:c r="J118" s="384" t="n">
        <x:f>IFERROR(VLOOKUP($C118&amp;"|China",Scoring_Matrix!$A$2:$X$493,24,FALSE),"No data")</x:f>
        <x:v>3</x:v>
      </x:c>
      <x:c r="K118" s="384" t="n">
        <x:f>IFERROR(VLOOKUP($C118&amp;"|United States",Scoring_Matrix!$A$2:$X$493,24,FALSE),"No data")</x:f>
        <x:v>7.75</x:v>
      </x:c>
      <x:c r="L118" s="384" t="n">
        <x:f>IFERROR(VLOOKUP($C118&amp;"|European Union",Scoring_Matrix!$A$2:$X$493,24,FALSE),"No data")</x:f>
        <x:v>1.5</x:v>
      </x:c>
      <x:c r="M118" s="386" t="str">
        <x:f>IF(COUNT(I118:L118)=0,"No data",IF(I118=MAX(I118:L118),"Russia",IF(J118=MAX(I118:L118),"China",IF(K118=MAX(I118:L118),"United States","European Union"))))</x:f>
        <x:v>United States</x:v>
      </x:c>
      <x:c r="N118" s="384" t="n">
        <x:f>IF(COUNT(I118:L118)=0,"No data",MAX(I118:L118))</x:f>
        <x:v>7.75</x:v>
      </x:c>
      <x:c r="O118" s="20" t="str">
        <x:f>IF(COUNT(I118:L118)=0,"No scored evidence","Scored evidence present")</x:f>
        <x:v>Scored evidence present</x:v>
      </x:c>
      <x:c r="P118" s="20" t="str">
        <x:v>Actor scores are formula rollups from Scoring_Matrix; score only with source-backed evidence.</x:v>
      </x:c>
      <x:c r="Q118" s="352" t="str">
        <x:v>#FEF3C7</x:v>
      </x:c>
      <x:c r="R118" s="352" t="str">
        <x:v>#FEF3C7</x:v>
      </x:c>
      <x:c r="S118" s="352" t="str">
        <x:v>#F97316</x:v>
      </x:c>
      <x:c r="T118" s="352" t="str">
        <x:v>#A7F3D0</x:v>
      </x:c>
      <x:c r="U118" s="352" t="str">
        <x:v>#F97316</x:v>
      </x:c>
      <x:c r="V118" s="352" t="str">
        <x:v>USA</x:v>
      </x:c>
      <x:c r="W118" s="352" t="str">
        <x:v>Yes</x:v>
      </x:c>
      <x:c r="X118" s="352" t="str">
        <x:f>TEXTJOIN("",TRUE,"{""type"":""Point"",""coordinates"":[",TEXT(H118,"0.000000"),",",TEXT(G118,"0.000000"),"]}")</x:f>
        <x:v>{"type":"Point","coordinates":[-97,38]}</x:v>
      </x:c>
      <x:c r="Y118" s="352" t="str">
        <x:v>{"country":"United States","iso3":"USA","region":"Americas","russia_score":"3.25","china_score":"3","american_score":"7.75","eu_score":"1.5","dominant_actor":"United States","dominant_score":"7.75","dominant_colour":"#F97316"}</x:v>
      </x:c>
      <x:c r="Z118" s="352" t="str">
        <x:v>ResurgamHub-mentioned country/area; join Leaflet polygons by ISO3=USA.</x:v>
      </x:c>
    </x:row>
    <x:row r="119">
      <x:c r="A119" s="20" t="str">
        <x:v>Uzbekistan</x:v>
      </x:c>
      <x:c r="B119" s="20" t="str">
        <x:v>UZ</x:v>
      </x:c>
      <x:c r="C119" s="20" t="str">
        <x:v>UZB</x:v>
      </x:c>
      <x:c r="D119" s="20" t="str">
        <x:v>860</x:v>
      </x:c>
      <x:c r="E119" s="20" t="str">
        <x:v>Asia</x:v>
      </x:c>
      <x:c r="F119" s="20" t="str">
        <x:v>Central Asia</x:v>
      </x:c>
      <x:c r="G119" s="20" t="n">
        <x:v>41</x:v>
      </x:c>
      <x:c r="H119" s="20" t="n">
        <x:v>64</x:v>
      </x:c>
      <x:c r="I119" s="384" t="n">
        <x:f>IFERROR(VLOOKUP($C119&amp;"|Russia",Scoring_Matrix!$A$2:$X$493,24,FALSE),"No data")</x:f>
        <x:v>1.75</x:v>
      </x:c>
      <x:c r="J119" s="384" t="n">
        <x:f>IFERROR(VLOOKUP($C119&amp;"|China",Scoring_Matrix!$A$2:$X$493,24,FALSE),"No data")</x:f>
        <x:v>2.5</x:v>
      </x:c>
      <x:c r="K119" s="384" t="n">
        <x:f>IFERROR(VLOOKUP($C119&amp;"|United States",Scoring_Matrix!$A$2:$X$493,24,FALSE),"No data")</x:f>
        <x:v>2.25</x:v>
      </x:c>
      <x:c r="L119" s="384" t="n">
        <x:f>IFERROR(VLOOKUP($C119&amp;"|European Union",Scoring_Matrix!$A$2:$X$493,24,FALSE),"No data")</x:f>
        <x:v>1.25</x:v>
      </x:c>
      <x:c r="M119" s="386" t="str">
        <x:f>IF(COUNT(I119:L119)=0,"No data",IF(I119=MAX(I119:L119),"Russia",IF(J119=MAX(I119:L119),"China",IF(K119=MAX(I119:L119),"United States","European Union"))))</x:f>
        <x:v>China</x:v>
      </x:c>
      <x:c r="N119" s="384" t="n">
        <x:f>IF(COUNT(I119:L119)=0,"No data",MAX(I119:L119))</x:f>
        <x:v>2.5</x:v>
      </x:c>
      <x:c r="O119" s="20" t="str">
        <x:f>IF(COUNT(I119:L119)=0,"No scored evidence","Scored evidence present")</x:f>
        <x:v>Scored evidence present</x:v>
      </x:c>
      <x:c r="P119" s="20" t="str">
        <x:v>Actor scores are formula rollups from Scoring_Matrix; score only with source-backed evidence.</x:v>
      </x:c>
      <x:c r="Q119" s="352" t="str">
        <x:v>#A7F3D0</x:v>
      </x:c>
      <x:c r="R119" s="352" t="str">
        <x:v>#FEF3C7</x:v>
      </x:c>
      <x:c r="S119" s="352" t="str">
        <x:v>#A7F3D0</x:v>
      </x:c>
      <x:c r="T119" s="352" t="str">
        <x:v>#D1FAE5</x:v>
      </x:c>
      <x:c r="U119" s="352" t="str">
        <x:v>#FEF3C7</x:v>
      </x:c>
      <x:c r="V119" s="352" t="str">
        <x:v>UZB</x:v>
      </x:c>
      <x:c r="W119" s="352" t="str">
        <x:v>Yes</x:v>
      </x:c>
      <x:c r="X119" s="352" t="str">
        <x:f>TEXTJOIN("",TRUE,"{""type"":""Point"",""coordinates"":[",TEXT(H119,"0.000000"),",",TEXT(G119,"0.000000"),"]}")</x:f>
        <x:v>{"type":"Point","coordinates":[64,41]}</x:v>
      </x:c>
      <x:c r="Y119" s="352" t="str">
        <x:v>{"country":"Uzbekistan","iso3":"UZB","region":"Asia","russia_score":"1.75","china_score":"2.5","american_score":"2.25","eu_score":"1.25","dominant_actor":"China","dominant_score":"2.5","dominant_colour":"#FEF3C7"}</x:v>
      </x:c>
      <x:c r="Z119" s="352" t="str">
        <x:v>ResurgamHub-mentioned country/area; join Leaflet polygons by ISO3=UZB.</x:v>
      </x:c>
    </x:row>
    <x:row r="120">
      <x:c r="A120" s="20" t="str">
        <x:v>Vanuatu</x:v>
      </x:c>
      <x:c r="B120" s="20" t="str">
        <x:v>VU</x:v>
      </x:c>
      <x:c r="C120" s="20" t="str">
        <x:v>VUT</x:v>
      </x:c>
      <x:c r="D120" s="20" t="str">
        <x:v>548</x:v>
      </x:c>
      <x:c r="E120" s="20" t="str">
        <x:v>Oceania</x:v>
      </x:c>
      <x:c r="F120" s="20" t="str">
        <x:v>Melanesia</x:v>
      </x:c>
      <x:c r="G120" s="20" t="n">
        <x:v>-16</x:v>
      </x:c>
      <x:c r="H120" s="20" t="n">
        <x:v>167</x:v>
      </x:c>
      <x:c r="I120" s="384" t="n">
        <x:f>IFERROR(VLOOKUP($C120&amp;"|Russia",Scoring_Matrix!$A$2:$X$493,24,FALSE),"No data")</x:f>
        <x:v>0.5</x:v>
      </x:c>
      <x:c r="J120" s="384" t="n">
        <x:f>IFERROR(VLOOKUP($C120&amp;"|China",Scoring_Matrix!$A$2:$X$493,24,FALSE),"No data")</x:f>
        <x:v>3.25</x:v>
      </x:c>
      <x:c r="K120" s="384" t="n">
        <x:f>IFERROR(VLOOKUP($C120&amp;"|United States",Scoring_Matrix!$A$2:$X$493,24,FALSE),"No data")</x:f>
        <x:v>1.75</x:v>
      </x:c>
      <x:c r="L120" s="384" t="n">
        <x:f>IFERROR(VLOOKUP($C120&amp;"|European Union",Scoring_Matrix!$A$2:$X$493,24,FALSE),"No data")</x:f>
        <x:v>1</x:v>
      </x:c>
      <x:c r="M120" s="386" t="str">
        <x:f>IF(COUNT(I120:L120)=0,"No data",IF(I120=MAX(I120:L120),"Russia",IF(J120=MAX(I120:L120),"China",IF(K120=MAX(I120:L120),"United States","European Union"))))</x:f>
        <x:v>China</x:v>
      </x:c>
      <x:c r="N120" s="384" t="n">
        <x:f>IF(COUNT(I120:L120)=0,"No data",MAX(I120:L120))</x:f>
        <x:v>3.25</x:v>
      </x:c>
      <x:c r="O120" s="20" t="str">
        <x:f>IF(COUNT(I120:L120)=0,"No scored evidence","Scored evidence present")</x:f>
        <x:v>Scored evidence present</x:v>
      </x:c>
      <x:c r="P120" s="20" t="str">
        <x:v>Actor scores are formula rollups from Scoring_Matrix; score only with source-backed evidence.</x:v>
      </x:c>
      <x:c r="Q120" s="352" t="str">
        <x:v>#D1FAE5</x:v>
      </x:c>
      <x:c r="R120" s="352" t="str">
        <x:v>#FEF3C7</x:v>
      </x:c>
      <x:c r="S120" s="352" t="str">
        <x:v>#A7F3D0</x:v>
      </x:c>
      <x:c r="T120" s="352" t="str">
        <x:v>#D1FAE5</x:v>
      </x:c>
      <x:c r="U120" s="352" t="str">
        <x:v>#FEF3C7</x:v>
      </x:c>
      <x:c r="V120" s="352" t="str">
        <x:v>VUT</x:v>
      </x:c>
      <x:c r="W120" s="352" t="str">
        <x:v>Yes</x:v>
      </x:c>
      <x:c r="X120" s="352" t="str">
        <x:f>TEXTJOIN("",TRUE,"{""type"":""Point"",""coordinates"":[",TEXT(H120,"0.000000"),",",TEXT(G120,"0.000000"),"]}")</x:f>
        <x:v>{"type":"Point","coordinates":[167,-16]}</x:v>
      </x:c>
      <x:c r="Y120" s="352" t="str">
        <x:v>{"country":"Vanuatu","iso3":"VUT","region":"Oceania","russia_score":"0.5","china_score":"3.25","american_score":"1.75","eu_score":"1","dominant_actor":"China","dominant_score":"3.25","dominant_colour":"#FEF3C7"}</x:v>
      </x:c>
      <x:c r="Z120" s="352" t="str">
        <x:v>ResurgamHub-mentioned country/area; join Leaflet polygons by ISO3=VUT.</x:v>
      </x:c>
    </x:row>
    <x:row r="121">
      <x:c r="A121" s="20" t="str">
        <x:v>Venezuela</x:v>
      </x:c>
      <x:c r="B121" s="20" t="str">
        <x:v>VE</x:v>
      </x:c>
      <x:c r="C121" s="20" t="str">
        <x:v>VEN</x:v>
      </x:c>
      <x:c r="D121" s="20" t="str">
        <x:v>862</x:v>
      </x:c>
      <x:c r="E121" s="20" t="str">
        <x:v>Americas</x:v>
      </x:c>
      <x:c r="F121" s="20" t="str">
        <x:v>South America</x:v>
      </x:c>
      <x:c r="G121" s="20" t="n">
        <x:v>8</x:v>
      </x:c>
      <x:c r="H121" s="20" t="n">
        <x:v>-66</x:v>
      </x:c>
      <x:c r="I121" s="384" t="n">
        <x:f>IFERROR(VLOOKUP($C121&amp;"|Russia",Scoring_Matrix!$A$2:$X$493,24,FALSE),"No data")</x:f>
        <x:v>4.25</x:v>
      </x:c>
      <x:c r="J121" s="384" t="n">
        <x:f>IFERROR(VLOOKUP($C121&amp;"|China",Scoring_Matrix!$A$2:$X$493,24,FALSE),"No data")</x:f>
        <x:v>1.75</x:v>
      </x:c>
      <x:c r="K121" s="384" t="n">
        <x:f>IFERROR(VLOOKUP($C121&amp;"|United States",Scoring_Matrix!$A$2:$X$493,24,FALSE),"No data")</x:f>
        <x:v>4.5</x:v>
      </x:c>
      <x:c r="L121" s="384" t="n">
        <x:f>IFERROR(VLOOKUP($C121&amp;"|European Union",Scoring_Matrix!$A$2:$X$493,24,FALSE),"No data")</x:f>
        <x:v>1.5</x:v>
      </x:c>
      <x:c r="M121" s="386" t="str">
        <x:f>IF(COUNT(I121:L121)=0,"No data",IF(I121=MAX(I121:L121),"Russia",IF(J121=MAX(I121:L121),"China",IF(K121=MAX(I121:L121),"United States","European Union"))))</x:f>
        <x:v>United States</x:v>
      </x:c>
      <x:c r="N121" s="384" t="n">
        <x:f>IF(COUNT(I121:L121)=0,"No data",MAX(I121:L121))</x:f>
        <x:v>4.5</x:v>
      </x:c>
      <x:c r="O121" s="20" t="str">
        <x:f>IF(COUNT(I121:L121)=0,"No scored evidence","Scored evidence present")</x:f>
        <x:v>Scored evidence present</x:v>
      </x:c>
      <x:c r="P121" s="20" t="str">
        <x:v>Actor scores are formula rollups from Scoring_Matrix; score only with source-backed evidence.</x:v>
      </x:c>
      <x:c r="Q121" s="352" t="str">
        <x:v>#FDE68A</x:v>
      </x:c>
      <x:c r="R121" s="352" t="str">
        <x:v>#A7F3D0</x:v>
      </x:c>
      <x:c r="S121" s="352" t="str">
        <x:v>#FCD34D</x:v>
      </x:c>
      <x:c r="T121" s="352" t="str">
        <x:v>#A7F3D0</x:v>
      </x:c>
      <x:c r="U121" s="352" t="str">
        <x:v>#FCD34D</x:v>
      </x:c>
      <x:c r="V121" s="352" t="str">
        <x:v>VEN</x:v>
      </x:c>
      <x:c r="W121" s="352" t="str">
        <x:v>Yes</x:v>
      </x:c>
      <x:c r="X121" s="352" t="str">
        <x:f>TEXTJOIN("",TRUE,"{""type"":""Point"",""coordinates"":[",TEXT(H121,"0.000000"),",",TEXT(G121,"0.000000"),"]}")</x:f>
        <x:v>{"type":"Point","coordinates":[-66,8]}</x:v>
      </x:c>
      <x:c r="Y121" s="352" t="str">
        <x:v>{"country":"Venezuela","iso3":"VEN","region":"Americas","russia_score":"4.25","china_score":"1.75","american_score":"4.5","eu_score":"1.5","dominant_actor":"United States","dominant_score":"4.5","dominant_colour":"#FCD34D"}</x:v>
      </x:c>
      <x:c r="Z121" s="352" t="str">
        <x:v>ResurgamHub-mentioned country/area; join Leaflet polygons by ISO3=VEN.</x:v>
      </x:c>
    </x:row>
    <x:row r="122">
      <x:c r="A122" s="20" t="str">
        <x:v>Vietnam</x:v>
      </x:c>
      <x:c r="B122" s="20" t="str">
        <x:v>VN</x:v>
      </x:c>
      <x:c r="C122" s="20" t="str">
        <x:v>VNM</x:v>
      </x:c>
      <x:c r="D122" s="20" t="str">
        <x:v>704</x:v>
      </x:c>
      <x:c r="E122" s="20" t="str">
        <x:v>Asia</x:v>
      </x:c>
      <x:c r="F122" s="20" t="str">
        <x:v>South-Eastern Asia</x:v>
      </x:c>
      <x:c r="G122" s="20" t="n">
        <x:v>16.16666666</x:v>
      </x:c>
      <x:c r="H122" s="20" t="n">
        <x:v>107.83333333</x:v>
      </x:c>
      <x:c r="I122" s="384" t="n">
        <x:f>IFERROR(VLOOKUP($C122&amp;"|Russia",Scoring_Matrix!$A$2:$X$493,24,FALSE),"No data")</x:f>
        <x:v>0.5</x:v>
      </x:c>
      <x:c r="J122" s="384" t="n">
        <x:f>IFERROR(VLOOKUP($C122&amp;"|China",Scoring_Matrix!$A$2:$X$493,24,FALSE),"No data")</x:f>
        <x:v>3.5</x:v>
      </x:c>
      <x:c r="K122" s="384" t="n">
        <x:f>IFERROR(VLOOKUP($C122&amp;"|United States",Scoring_Matrix!$A$2:$X$493,24,FALSE),"No data")</x:f>
        <x:v>2</x:v>
      </x:c>
      <x:c r="L122" s="384" t="n">
        <x:f>IFERROR(VLOOKUP($C122&amp;"|European Union",Scoring_Matrix!$A$2:$X$493,24,FALSE),"No data")</x:f>
        <x:v>1.25</x:v>
      </x:c>
      <x:c r="M122" s="386" t="str">
        <x:f>IF(COUNT(I122:L122)=0,"No data",IF(I122=MAX(I122:L122),"Russia",IF(J122=MAX(I122:L122),"China",IF(K122=MAX(I122:L122),"United States","European Union"))))</x:f>
        <x:v>China</x:v>
      </x:c>
      <x:c r="N122" s="384" t="n">
        <x:f>IF(COUNT(I122:L122)=0,"No data",MAX(I122:L122))</x:f>
        <x:v>3.5</x:v>
      </x:c>
      <x:c r="O122" s="20" t="str">
        <x:f>IF(COUNT(I122:L122)=0,"No scored evidence","Scored evidence present")</x:f>
        <x:v>Scored evidence present</x:v>
      </x:c>
      <x:c r="P122" s="20" t="str">
        <x:v>Actor scores are formula rollups from Scoring_Matrix; score only with source-backed evidence.</x:v>
      </x:c>
      <x:c r="Q122" s="352" t="str">
        <x:v>#D1FAE5</x:v>
      </x:c>
      <x:c r="R122" s="352" t="str">
        <x:v>#FDE68A</x:v>
      </x:c>
      <x:c r="S122" s="352" t="str">
        <x:v>#A7F3D0</x:v>
      </x:c>
      <x:c r="T122" s="352" t="str">
        <x:v>#D1FAE5</x:v>
      </x:c>
      <x:c r="U122" s="352" t="str">
        <x:v>#FDE68A</x:v>
      </x:c>
      <x:c r="V122" s="352" t="str">
        <x:v>VNM</x:v>
      </x:c>
      <x:c r="W122" s="352" t="str">
        <x:v>Yes</x:v>
      </x:c>
      <x:c r="X122" s="352" t="str">
        <x:f>TEXTJOIN("",TRUE,"{""type"":""Point"",""coordinates"":[",TEXT(H122,"0.000000"),",",TEXT(G122,"0.000000"),"]}")</x:f>
        <x:v>{"type":"Point","coordinates":[107.833333,16.166667]}</x:v>
      </x:c>
      <x:c r="Y122" s="352" t="str">
        <x:v>{"country":"Vietnam","iso3":"VNM","region":"Asia","russia_score":"0.5","china_score":"3.5","american_score":"2","eu_score":"1.25","dominant_actor":"China","dominant_score":"3.5","dominant_colour":"#FDE68A"}</x:v>
      </x:c>
      <x:c r="Z122" s="352" t="str">
        <x:v>ResurgamHub-mentioned country/area; join Leaflet polygons by ISO3=VNM.</x:v>
      </x:c>
    </x:row>
    <x:row r="123">
      <x:c r="A123" s="20" t="str">
        <x:v>Western Sahara</x:v>
      </x:c>
      <x:c r="B123" s="20" t="str">
        <x:v>EH</x:v>
      </x:c>
      <x:c r="C123" s="20" t="str">
        <x:v>ESH</x:v>
      </x:c>
      <x:c r="D123" s="20" t="str">
        <x:v>732</x:v>
      </x:c>
      <x:c r="E123" s="20" t="str">
        <x:v>Africa</x:v>
      </x:c>
      <x:c r="F123" s="20" t="str">
        <x:v>Northern Africa</x:v>
      </x:c>
      <x:c r="G123" s="20" t="n">
        <x:v>24.5</x:v>
      </x:c>
      <x:c r="H123" s="20" t="n">
        <x:v>-13</x:v>
      </x:c>
      <x:c r="I123" s="384" t="n">
        <x:f>IFERROR(VLOOKUP($C123&amp;"|Russia",Scoring_Matrix!$A$2:$X$493,24,FALSE),"No data")</x:f>
        <x:v>1.75</x:v>
      </x:c>
      <x:c r="J123" s="384" t="n">
        <x:f>IFERROR(VLOOKUP($C123&amp;"|China",Scoring_Matrix!$A$2:$X$493,24,FALSE),"No data")</x:f>
        <x:v>2</x:v>
      </x:c>
      <x:c r="K123" s="384" t="n">
        <x:f>IFERROR(VLOOKUP($C123&amp;"|United States",Scoring_Matrix!$A$2:$X$493,24,FALSE),"No data")</x:f>
        <x:v>2.75</x:v>
      </x:c>
      <x:c r="L123" s="384" t="n">
        <x:f>IFERROR(VLOOKUP($C123&amp;"|European Union",Scoring_Matrix!$A$2:$X$493,24,FALSE),"No data")</x:f>
        <x:v>1.5</x:v>
      </x:c>
      <x:c r="M123" s="386" t="str">
        <x:f>IF(COUNT(I123:L123)=0,"No data",IF(I123=MAX(I123:L123),"Russia",IF(J123=MAX(I123:L123),"China",IF(K123=MAX(I123:L123),"United States","European Union"))))</x:f>
        <x:v>United States</x:v>
      </x:c>
      <x:c r="N123" s="384" t="n">
        <x:f>IF(COUNT(I123:L123)=0,"No data",MAX(I123:L123))</x:f>
        <x:v>2.75</x:v>
      </x:c>
      <x:c r="O123" s="20" t="str">
        <x:f>IF(COUNT(I123:L123)=0,"No scored evidence","Scored evidence present")</x:f>
        <x:v>Scored evidence present</x:v>
      </x:c>
      <x:c r="P123" s="20" t="str">
        <x:v>Actor scores are formula rollups from Scoring_Matrix; score only with source-backed evidence.</x:v>
      </x:c>
      <x:c r="Q123" s="352" t="str">
        <x:v>#A7F3D0</x:v>
      </x:c>
      <x:c r="R123" s="352" t="str">
        <x:v>#A7F3D0</x:v>
      </x:c>
      <x:c r="S123" s="352" t="str">
        <x:v>#FEF3C7</x:v>
      </x:c>
      <x:c r="T123" s="352" t="str">
        <x:v>#A7F3D0</x:v>
      </x:c>
      <x:c r="U123" s="352" t="str">
        <x:v>#FEF3C7</x:v>
      </x:c>
      <x:c r="V123" s="352" t="str">
        <x:v>ESH</x:v>
      </x:c>
      <x:c r="W123" s="352" t="str">
        <x:v>Yes</x:v>
      </x:c>
      <x:c r="X123" s="352" t="str">
        <x:f>TEXTJOIN("",TRUE,"{""type"":""Point"",""coordinates"":[",TEXT(H123,"0.000000"),",",TEXT(G123,"0.000000"),"]}")</x:f>
        <x:v>{"type":"Point","coordinates":[-13,24.5]}</x:v>
      </x:c>
      <x:c r="Y123" s="352" t="str">
        <x:v>{"country":"Western Sahara","iso3":"ESH","region":"Africa","russia_score":"1.75","china_score":"2","american_score":"2.75","eu_score":"1.5","dominant_actor":"United States","dominant_score":"2.75","dominant_colour":"#FEF3C7"}</x:v>
      </x:c>
      <x:c r="Z123" s="352" t="str">
        <x:v>ResurgamHub-mentioned country/area; join Leaflet polygons by ISO3=ESH.</x:v>
      </x:c>
    </x:row>
    <x:row r="124">
      <x:c r="A124" s="20" t="str">
        <x:v>Zimbabwe</x:v>
      </x:c>
      <x:c r="B124" s="20" t="str">
        <x:v>ZW</x:v>
      </x:c>
      <x:c r="C124" s="20" t="str">
        <x:v>ZWE</x:v>
      </x:c>
      <x:c r="D124" s="20" t="str">
        <x:v>716</x:v>
      </x:c>
      <x:c r="E124" s="20" t="str">
        <x:v>Africa</x:v>
      </x:c>
      <x:c r="F124" s="20" t="str">
        <x:v>Eastern Africa</x:v>
      </x:c>
      <x:c r="G124" s="20" t="n">
        <x:v>-20</x:v>
      </x:c>
      <x:c r="H124" s="20" t="n">
        <x:v>30</x:v>
      </x:c>
      <x:c r="I124" s="384" t="n">
        <x:f>IFERROR(VLOOKUP($C124&amp;"|Russia",Scoring_Matrix!$A$2:$X$493,24,FALSE),"No data")</x:f>
        <x:v>3</x:v>
      </x:c>
      <x:c r="J124" s="384" t="n">
        <x:f>IFERROR(VLOOKUP($C124&amp;"|China",Scoring_Matrix!$A$2:$X$493,24,FALSE),"No data")</x:f>
        <x:v>2.75</x:v>
      </x:c>
      <x:c r="K124" s="384" t="n">
        <x:f>IFERROR(VLOOKUP($C124&amp;"|United States",Scoring_Matrix!$A$2:$X$493,24,FALSE),"No data")</x:f>
        <x:v>2.75</x:v>
      </x:c>
      <x:c r="L124" s="384" t="n">
        <x:f>IFERROR(VLOOKUP($C124&amp;"|European Union",Scoring_Matrix!$A$2:$X$493,24,FALSE),"No data")</x:f>
        <x:v>1.75</x:v>
      </x:c>
      <x:c r="M124" s="386" t="str">
        <x:f>IF(COUNT(I124:L124)=0,"No data",IF(I124=MAX(I124:L124),"Russia",IF(J124=MAX(I124:L124),"China",IF(K124=MAX(I124:L124),"United States","European Union"))))</x:f>
        <x:v>Russia</x:v>
      </x:c>
      <x:c r="N124" s="384" t="n">
        <x:f>IF(COUNT(I124:L124)=0,"No data",MAX(I124:L124))</x:f>
        <x:v>3</x:v>
      </x:c>
      <x:c r="O124" s="20" t="str">
        <x:f>IF(COUNT(I124:L124)=0,"No scored evidence","Scored evidence present")</x:f>
        <x:v>Scored evidence present</x:v>
      </x:c>
      <x:c r="P124" s="20" t="str">
        <x:v>Actor scores are formula rollups from Scoring_Matrix; score only with source-backed evidence.</x:v>
      </x:c>
      <x:c r="Q124" s="352" t="str">
        <x:v>#FEF3C7</x:v>
      </x:c>
      <x:c r="R124" s="352" t="str">
        <x:v>#FEF3C7</x:v>
      </x:c>
      <x:c r="S124" s="352" t="str">
        <x:v>#FEF3C7</x:v>
      </x:c>
      <x:c r="T124" s="352" t="str">
        <x:v>#A7F3D0</x:v>
      </x:c>
      <x:c r="U124" s="352" t="str">
        <x:v>#FEF3C7</x:v>
      </x:c>
      <x:c r="V124" s="352" t="str">
        <x:v>ZWE</x:v>
      </x:c>
      <x:c r="W124" s="352" t="str">
        <x:v>Yes</x:v>
      </x:c>
      <x:c r="X124" s="352" t="str">
        <x:f>TEXTJOIN("",TRUE,"{""type"":""Point"",""coordinates"":[",TEXT(H124,"0.000000"),",",TEXT(G124,"0.000000"),"]}")</x:f>
        <x:v>{"type":"Point","coordinates":[30,-20]}</x:v>
      </x:c>
      <x:c r="Y124" s="352" t="str">
        <x:v>{"country":"Zimbabwe","iso3":"ZWE","region":"Africa","russia_score":"3","china_score":"2.75","american_score":"2.75","eu_score":"1.75","dominant_actor":"Russia","dominant_score":"3","dominant_colour":"#FEF3C7"}</x:v>
      </x:c>
      <x:c r="Z124" s="352" t="str">
        <x:v>ResurgamHub-mentioned country/area; join Leaflet polygons by ISO3=ZWE.</x:v>
      </x:c>
    </x:row>
    <x:row r="125">
      <x:c r="A125"/>
      <x:c r="B125"/>
      <x:c r="C125"/>
      <x:c r="D125"/>
      <x:c r="E125"/>
      <x:c r="F125"/>
      <x:c r="G125"/>
      <x:c r="H125"/>
      <x:c r="I125" s="56"/>
      <x:c r="J125" s="56"/>
      <x:c r="K125" s="56"/>
      <x:c r="L125" s="56"/>
      <x:c r="M125" s="38"/>
      <x:c r="N125" s="56"/>
      <x:c r="O125"/>
      <x:c r="P125"/>
      <x:c r="Q125" s="352"/>
      <x:c r="R125" s="352"/>
      <x:c r="S125" s="352"/>
      <x:c r="T125" s="352"/>
      <x:c r="U125" s="352"/>
      <x:c r="V125" s="352"/>
      <x:c r="W125" s="352"/>
      <x:c r="X125" s="352"/>
      <x:c r="Y125" s="352"/>
      <x:c r="Z125" s="352"/>
    </x:row>
    <x:row r="126">
      <x:c r="A126"/>
      <x:c r="B126"/>
      <x:c r="C126"/>
      <x:c r="D126"/>
      <x:c r="E126"/>
      <x:c r="F126"/>
      <x:c r="G126"/>
      <x:c r="H126"/>
      <x:c r="I126" s="56"/>
      <x:c r="J126" s="56"/>
      <x:c r="K126" s="56"/>
      <x:c r="L126" s="56"/>
      <x:c r="M126" s="38"/>
      <x:c r="N126" s="56"/>
      <x:c r="O126"/>
      <x:c r="P126"/>
      <x:c r="Q126" s="352"/>
      <x:c r="R126" s="352"/>
      <x:c r="S126" s="352"/>
      <x:c r="T126" s="352"/>
      <x:c r="U126" s="352"/>
      <x:c r="V126" s="352"/>
      <x:c r="W126" s="352"/>
      <x:c r="X126" s="352"/>
      <x:c r="Y126" s="352"/>
      <x:c r="Z126" s="352"/>
    </x:row>
    <x:row r="127">
      <x:c r="A127"/>
      <x:c r="B127"/>
      <x:c r="C127"/>
      <x:c r="D127"/>
      <x:c r="E127"/>
      <x:c r="F127"/>
      <x:c r="G127"/>
      <x:c r="H127"/>
      <x:c r="I127" s="56"/>
      <x:c r="J127" s="56"/>
      <x:c r="K127" s="56"/>
      <x:c r="L127" s="56"/>
      <x:c r="M127" s="38"/>
      <x:c r="N127" s="56"/>
      <x:c r="O127"/>
      <x:c r="P127"/>
      <x:c r="Q127" s="352"/>
      <x:c r="R127" s="352"/>
      <x:c r="S127" s="352"/>
      <x:c r="T127" s="352"/>
      <x:c r="U127" s="352"/>
      <x:c r="V127" s="352"/>
      <x:c r="W127" s="352"/>
      <x:c r="X127" s="352"/>
      <x:c r="Y127" s="352"/>
      <x:c r="Z127" s="352"/>
    </x:row>
    <x:row r="128">
      <x:c r="A128"/>
      <x:c r="B128"/>
      <x:c r="C128"/>
      <x:c r="D128"/>
      <x:c r="E128"/>
      <x:c r="F128"/>
      <x:c r="G128"/>
      <x:c r="H128"/>
      <x:c r="I128" s="56"/>
      <x:c r="J128" s="56"/>
      <x:c r="K128" s="56"/>
      <x:c r="L128" s="56"/>
      <x:c r="M128" s="38"/>
      <x:c r="N128" s="56"/>
      <x:c r="O128"/>
      <x:c r="P128"/>
      <x:c r="Q128" s="352"/>
      <x:c r="R128" s="352"/>
      <x:c r="S128" s="352"/>
      <x:c r="T128" s="352"/>
      <x:c r="U128" s="352"/>
      <x:c r="V128" s="352"/>
      <x:c r="W128" s="352"/>
      <x:c r="X128" s="352"/>
      <x:c r="Y128" s="352"/>
      <x:c r="Z128" s="352"/>
    </x:row>
    <x:row r="129">
      <x:c r="A129"/>
      <x:c r="B129"/>
      <x:c r="C129"/>
      <x:c r="D129"/>
      <x:c r="E129"/>
      <x:c r="F129"/>
      <x:c r="G129"/>
      <x:c r="H129"/>
      <x:c r="I129" s="56"/>
      <x:c r="J129" s="56"/>
      <x:c r="K129" s="56"/>
      <x:c r="L129" s="56"/>
      <x:c r="M129" s="38"/>
      <x:c r="N129" s="56"/>
      <x:c r="O129"/>
      <x:c r="P129"/>
      <x:c r="Q129" s="352"/>
      <x:c r="R129" s="352"/>
      <x:c r="S129" s="352"/>
      <x:c r="T129" s="352"/>
      <x:c r="U129" s="352"/>
      <x:c r="V129" s="352"/>
      <x:c r="W129" s="352"/>
      <x:c r="X129" s="352"/>
      <x:c r="Y129" s="352"/>
      <x:c r="Z129" s="352"/>
    </x:row>
    <x:row r="130">
      <x:c r="A130"/>
      <x:c r="B130"/>
      <x:c r="C130"/>
      <x:c r="D130"/>
      <x:c r="E130"/>
      <x:c r="F130"/>
      <x:c r="G130"/>
      <x:c r="H130"/>
      <x:c r="I130" s="56"/>
      <x:c r="J130" s="56"/>
      <x:c r="K130" s="56"/>
      <x:c r="L130" s="56"/>
      <x:c r="M130" s="38"/>
      <x:c r="N130" s="56"/>
      <x:c r="O130"/>
      <x:c r="P130"/>
      <x:c r="Q130" s="352"/>
      <x:c r="R130" s="352"/>
      <x:c r="S130" s="352"/>
      <x:c r="T130" s="352"/>
      <x:c r="U130" s="352"/>
      <x:c r="V130" s="352"/>
      <x:c r="W130" s="352"/>
      <x:c r="X130" s="352"/>
      <x:c r="Y130" s="352"/>
      <x:c r="Z130" s="352"/>
    </x:row>
    <x:row r="131">
      <x:c r="A131"/>
      <x:c r="B131"/>
      <x:c r="C131"/>
      <x:c r="D131"/>
      <x:c r="E131"/>
      <x:c r="F131"/>
      <x:c r="G131"/>
      <x:c r="H131"/>
      <x:c r="I131" s="56"/>
      <x:c r="J131" s="56"/>
      <x:c r="K131" s="56"/>
      <x:c r="L131" s="56"/>
      <x:c r="M131" s="38"/>
      <x:c r="N131" s="56"/>
      <x:c r="O131"/>
      <x:c r="P131"/>
      <x:c r="Q131" s="352"/>
      <x:c r="R131" s="352"/>
      <x:c r="S131" s="352"/>
      <x:c r="T131" s="352"/>
      <x:c r="U131" s="352"/>
      <x:c r="V131" s="352"/>
      <x:c r="W131" s="352"/>
      <x:c r="X131" s="352"/>
      <x:c r="Y131" s="352"/>
      <x:c r="Z131" s="352"/>
    </x:row>
    <x:row r="132">
      <x:c r="A132"/>
      <x:c r="B132"/>
      <x:c r="C132"/>
      <x:c r="D132"/>
      <x:c r="E132"/>
      <x:c r="F132"/>
      <x:c r="G132"/>
      <x:c r="H132"/>
      <x:c r="I132" s="56"/>
      <x:c r="J132" s="56"/>
      <x:c r="K132" s="56"/>
      <x:c r="L132" s="56"/>
      <x:c r="M132" s="38"/>
      <x:c r="N132" s="56"/>
      <x:c r="O132"/>
      <x:c r="P132"/>
      <x:c r="Q132" s="352"/>
      <x:c r="R132" s="352"/>
      <x:c r="S132" s="352"/>
      <x:c r="T132" s="352"/>
      <x:c r="U132" s="352"/>
      <x:c r="V132" s="352"/>
      <x:c r="W132" s="352"/>
      <x:c r="X132" s="352"/>
      <x:c r="Y132" s="352"/>
      <x:c r="Z132" s="352"/>
    </x:row>
    <x:row r="133">
      <x:c r="A133"/>
      <x:c r="B133"/>
      <x:c r="C133"/>
      <x:c r="D133"/>
      <x:c r="E133"/>
      <x:c r="F133"/>
      <x:c r="G133"/>
      <x:c r="H133"/>
      <x:c r="I133" s="56"/>
      <x:c r="J133" s="56"/>
      <x:c r="K133" s="56"/>
      <x:c r="L133" s="56"/>
      <x:c r="M133" s="38"/>
      <x:c r="N133" s="56"/>
      <x:c r="O133"/>
      <x:c r="P133"/>
      <x:c r="Q133" s="352"/>
      <x:c r="R133" s="352"/>
      <x:c r="S133" s="352"/>
      <x:c r="T133" s="352"/>
      <x:c r="U133" s="352"/>
      <x:c r="V133" s="352"/>
      <x:c r="W133" s="352"/>
      <x:c r="X133" s="352"/>
      <x:c r="Y133" s="352"/>
      <x:c r="Z133" s="352"/>
    </x:row>
    <x:row r="134">
      <x:c r="A134"/>
      <x:c r="B134"/>
      <x:c r="C134"/>
      <x:c r="D134"/>
      <x:c r="E134"/>
      <x:c r="F134"/>
      <x:c r="G134"/>
      <x:c r="H134"/>
      <x:c r="I134" s="56"/>
      <x:c r="J134" s="56"/>
      <x:c r="K134" s="56"/>
      <x:c r="L134" s="56"/>
      <x:c r="M134" s="38"/>
      <x:c r="N134" s="56"/>
      <x:c r="O134"/>
      <x:c r="P134"/>
      <x:c r="Q134" s="352"/>
      <x:c r="R134" s="352"/>
      <x:c r="S134" s="352"/>
      <x:c r="T134" s="352"/>
      <x:c r="U134" s="352"/>
      <x:c r="V134" s="352"/>
      <x:c r="W134" s="352"/>
      <x:c r="X134" s="352"/>
      <x:c r="Y134" s="352"/>
      <x:c r="Z134" s="352"/>
    </x:row>
    <x:row r="135">
      <x:c r="A135"/>
      <x:c r="B135"/>
      <x:c r="C135"/>
      <x:c r="D135"/>
      <x:c r="E135"/>
      <x:c r="F135"/>
      <x:c r="G135"/>
      <x:c r="H135"/>
      <x:c r="I135" s="56"/>
      <x:c r="J135" s="56"/>
      <x:c r="K135" s="56"/>
      <x:c r="L135" s="56"/>
      <x:c r="M135" s="38"/>
      <x:c r="N135" s="56"/>
      <x:c r="O135"/>
      <x:c r="P135"/>
      <x:c r="Q135" s="352"/>
      <x:c r="R135" s="352"/>
      <x:c r="S135" s="352"/>
      <x:c r="T135" s="352"/>
      <x:c r="U135" s="352"/>
      <x:c r="V135" s="352"/>
      <x:c r="W135" s="352"/>
      <x:c r="X135" s="352"/>
      <x:c r="Y135" s="352"/>
      <x:c r="Z135" s="352"/>
    </x:row>
    <x:row r="136">
      <x:c r="A136"/>
      <x:c r="B136"/>
      <x:c r="C136"/>
      <x:c r="D136"/>
      <x:c r="E136"/>
      <x:c r="F136"/>
      <x:c r="G136"/>
      <x:c r="H136"/>
      <x:c r="I136" s="56"/>
      <x:c r="J136" s="56"/>
      <x:c r="K136" s="56"/>
      <x:c r="L136" s="56"/>
      <x:c r="M136" s="38"/>
      <x:c r="N136" s="56"/>
      <x:c r="O136"/>
      <x:c r="P136"/>
      <x:c r="Q136" s="352"/>
      <x:c r="R136" s="352"/>
      <x:c r="S136" s="352"/>
      <x:c r="T136" s="352"/>
      <x:c r="U136" s="352"/>
      <x:c r="V136" s="352"/>
      <x:c r="W136" s="352"/>
      <x:c r="X136" s="352"/>
      <x:c r="Y136" s="352"/>
      <x:c r="Z136" s="352"/>
    </x:row>
    <x:row r="137">
      <x:c r="A137"/>
      <x:c r="B137"/>
      <x:c r="C137"/>
      <x:c r="D137"/>
      <x:c r="E137"/>
      <x:c r="F137"/>
      <x:c r="G137"/>
      <x:c r="H137"/>
      <x:c r="I137" s="56"/>
      <x:c r="J137" s="56"/>
      <x:c r="K137" s="56"/>
      <x:c r="L137" s="56"/>
      <x:c r="M137" s="38"/>
      <x:c r="N137" s="56"/>
      <x:c r="O137"/>
      <x:c r="P137"/>
      <x:c r="Q137" s="352"/>
      <x:c r="R137" s="352"/>
      <x:c r="S137" s="352"/>
      <x:c r="T137" s="352"/>
      <x:c r="U137" s="352"/>
      <x:c r="V137" s="352"/>
      <x:c r="W137" s="352"/>
      <x:c r="X137" s="352"/>
      <x:c r="Y137" s="352"/>
      <x:c r="Z137" s="352"/>
    </x:row>
    <x:row r="138">
      <x:c r="A138"/>
      <x:c r="B138"/>
      <x:c r="C138"/>
      <x:c r="D138"/>
      <x:c r="E138"/>
      <x:c r="F138"/>
      <x:c r="G138"/>
      <x:c r="H138"/>
      <x:c r="I138" s="56"/>
      <x:c r="J138" s="56"/>
      <x:c r="K138" s="56"/>
      <x:c r="L138" s="56"/>
      <x:c r="M138" s="38"/>
      <x:c r="N138" s="56"/>
      <x:c r="O138"/>
      <x:c r="P138"/>
      <x:c r="Q138" s="352"/>
      <x:c r="R138" s="352"/>
      <x:c r="S138" s="352"/>
      <x:c r="T138" s="352"/>
      <x:c r="U138" s="352"/>
      <x:c r="V138" s="352"/>
      <x:c r="W138" s="352"/>
      <x:c r="X138" s="352"/>
      <x:c r="Y138" s="352"/>
      <x:c r="Z138" s="352"/>
    </x:row>
    <x:row r="139">
      <x:c r="A139"/>
      <x:c r="B139"/>
      <x:c r="C139"/>
      <x:c r="D139"/>
      <x:c r="E139"/>
      <x:c r="F139"/>
      <x:c r="G139"/>
      <x:c r="H139"/>
      <x:c r="I139" s="56"/>
      <x:c r="J139" s="56"/>
      <x:c r="K139" s="56"/>
      <x:c r="L139" s="56"/>
      <x:c r="M139" s="38"/>
      <x:c r="N139" s="56"/>
      <x:c r="O139"/>
      <x:c r="P139"/>
      <x:c r="Q139" s="352"/>
      <x:c r="R139" s="352"/>
      <x:c r="S139" s="352"/>
      <x:c r="T139" s="352"/>
      <x:c r="U139" s="352"/>
      <x:c r="V139" s="352"/>
      <x:c r="W139" s="352"/>
      <x:c r="X139" s="352"/>
      <x:c r="Y139" s="352"/>
      <x:c r="Z139" s="352"/>
    </x:row>
    <x:row r="140">
      <x:c r="A140"/>
      <x:c r="B140"/>
      <x:c r="C140"/>
      <x:c r="D140"/>
      <x:c r="E140"/>
      <x:c r="F140"/>
      <x:c r="G140"/>
      <x:c r="H140"/>
      <x:c r="I140" s="56"/>
      <x:c r="J140" s="56"/>
      <x:c r="K140" s="56"/>
      <x:c r="L140" s="56"/>
      <x:c r="M140" s="38"/>
      <x:c r="N140" s="56"/>
      <x:c r="O140"/>
      <x:c r="P140"/>
      <x:c r="Q140" s="352"/>
      <x:c r="R140" s="352"/>
      <x:c r="S140" s="352"/>
      <x:c r="T140" s="352"/>
      <x:c r="U140" s="352"/>
      <x:c r="V140" s="352"/>
      <x:c r="W140" s="352"/>
      <x:c r="X140" s="352"/>
      <x:c r="Y140" s="352"/>
      <x:c r="Z140" s="352"/>
    </x:row>
    <x:row r="141">
      <x:c r="A141"/>
      <x:c r="B141"/>
      <x:c r="C141"/>
      <x:c r="D141"/>
      <x:c r="E141"/>
      <x:c r="F141"/>
      <x:c r="G141"/>
      <x:c r="H141"/>
      <x:c r="I141" s="56"/>
      <x:c r="J141" s="56"/>
      <x:c r="K141" s="56"/>
      <x:c r="L141" s="56"/>
      <x:c r="M141" s="38"/>
      <x:c r="N141" s="56"/>
      <x:c r="O141"/>
      <x:c r="P141"/>
      <x:c r="Q141" s="352"/>
      <x:c r="R141" s="352"/>
      <x:c r="S141" s="352"/>
      <x:c r="T141" s="352"/>
      <x:c r="U141" s="352"/>
      <x:c r="V141" s="352"/>
      <x:c r="W141" s="352"/>
      <x:c r="X141" s="352"/>
      <x:c r="Y141" s="352"/>
      <x:c r="Z141" s="352"/>
    </x:row>
    <x:row r="142">
      <x:c r="A142"/>
      <x:c r="B142"/>
      <x:c r="C142"/>
      <x:c r="D142"/>
      <x:c r="E142"/>
      <x:c r="F142"/>
      <x:c r="G142"/>
      <x:c r="H142"/>
      <x:c r="I142" s="56"/>
      <x:c r="J142" s="56"/>
      <x:c r="K142" s="56"/>
      <x:c r="L142" s="56"/>
      <x:c r="M142" s="38"/>
      <x:c r="N142" s="56"/>
      <x:c r="O142"/>
      <x:c r="P142"/>
      <x:c r="Q142" s="352"/>
      <x:c r="R142" s="352"/>
      <x:c r="S142" s="352"/>
      <x:c r="T142" s="352"/>
      <x:c r="U142" s="352"/>
      <x:c r="V142" s="352"/>
      <x:c r="W142" s="352"/>
      <x:c r="X142" s="352"/>
      <x:c r="Y142" s="352"/>
      <x:c r="Z142" s="352"/>
    </x:row>
    <x:row r="143">
      <x:c r="A143"/>
      <x:c r="B143"/>
      <x:c r="C143"/>
      <x:c r="D143"/>
      <x:c r="E143"/>
      <x:c r="F143"/>
      <x:c r="G143"/>
      <x:c r="H143"/>
      <x:c r="I143" s="56"/>
      <x:c r="J143" s="56"/>
      <x:c r="K143" s="56"/>
      <x:c r="L143" s="56"/>
      <x:c r="M143" s="38"/>
      <x:c r="N143" s="56"/>
      <x:c r="O143"/>
      <x:c r="P143"/>
      <x:c r="Q143" s="352"/>
      <x:c r="R143" s="352"/>
      <x:c r="S143" s="352"/>
      <x:c r="T143" s="352"/>
      <x:c r="U143" s="352"/>
      <x:c r="V143" s="352"/>
      <x:c r="W143" s="352"/>
      <x:c r="X143" s="352"/>
      <x:c r="Y143" s="352"/>
      <x:c r="Z143" s="352"/>
    </x:row>
    <x:row r="144">
      <x:c r="A144"/>
      <x:c r="B144"/>
      <x:c r="C144"/>
      <x:c r="D144"/>
      <x:c r="E144"/>
      <x:c r="F144"/>
      <x:c r="G144"/>
      <x:c r="H144"/>
      <x:c r="I144" s="56"/>
      <x:c r="J144" s="56"/>
      <x:c r="K144" s="56"/>
      <x:c r="L144" s="56"/>
      <x:c r="M144" s="38"/>
      <x:c r="N144" s="56"/>
      <x:c r="O144"/>
      <x:c r="P144"/>
      <x:c r="Q144" s="352"/>
      <x:c r="R144" s="352"/>
      <x:c r="S144" s="352"/>
      <x:c r="T144" s="352"/>
      <x:c r="U144" s="352"/>
      <x:c r="V144" s="352"/>
      <x:c r="W144" s="352"/>
      <x:c r="X144" s="352"/>
      <x:c r="Y144" s="352"/>
      <x:c r="Z144" s="352"/>
    </x:row>
    <x:row r="145">
      <x:c r="A145"/>
      <x:c r="B145"/>
      <x:c r="C145"/>
      <x:c r="D145"/>
      <x:c r="E145"/>
      <x:c r="F145"/>
      <x:c r="G145"/>
      <x:c r="H145"/>
      <x:c r="I145" s="56"/>
      <x:c r="J145" s="56"/>
      <x:c r="K145" s="56"/>
      <x:c r="L145" s="56"/>
      <x:c r="M145" s="38"/>
      <x:c r="N145" s="56"/>
      <x:c r="O145"/>
      <x:c r="P145"/>
      <x:c r="Q145" s="352"/>
      <x:c r="R145" s="352"/>
      <x:c r="S145" s="352"/>
      <x:c r="T145" s="352"/>
      <x:c r="U145" s="352"/>
      <x:c r="V145" s="352"/>
      <x:c r="W145" s="352"/>
      <x:c r="X145" s="352"/>
      <x:c r="Y145" s="352"/>
      <x:c r="Z145" s="352"/>
    </x:row>
    <x:row r="146">
      <x:c r="A146"/>
      <x:c r="B146"/>
      <x:c r="C146"/>
      <x:c r="D146"/>
      <x:c r="E146"/>
      <x:c r="F146"/>
      <x:c r="G146"/>
      <x:c r="H146"/>
      <x:c r="I146" s="56"/>
      <x:c r="J146" s="56"/>
      <x:c r="K146" s="56"/>
      <x:c r="L146" s="56"/>
      <x:c r="M146" s="38"/>
      <x:c r="N146" s="56"/>
      <x:c r="O146"/>
      <x:c r="P146"/>
      <x:c r="Q146" s="352"/>
      <x:c r="R146" s="352"/>
      <x:c r="S146" s="352"/>
      <x:c r="T146" s="352"/>
      <x:c r="U146" s="352"/>
      <x:c r="V146" s="352"/>
      <x:c r="W146" s="352"/>
      <x:c r="X146" s="352"/>
      <x:c r="Y146" s="352"/>
      <x:c r="Z146" s="352"/>
    </x:row>
    <x:row r="147">
      <x:c r="A147"/>
      <x:c r="B147"/>
      <x:c r="C147"/>
      <x:c r="D147"/>
      <x:c r="E147"/>
      <x:c r="F147"/>
      <x:c r="G147"/>
      <x:c r="H147"/>
      <x:c r="I147" s="56"/>
      <x:c r="J147" s="56"/>
      <x:c r="K147" s="56"/>
      <x:c r="L147" s="56"/>
      <x:c r="M147" s="38"/>
      <x:c r="N147" s="56"/>
      <x:c r="O147"/>
      <x:c r="P147"/>
      <x:c r="Q147" s="352"/>
      <x:c r="R147" s="352"/>
      <x:c r="S147" s="352"/>
      <x:c r="T147" s="352"/>
      <x:c r="U147" s="352"/>
      <x:c r="V147" s="352"/>
      <x:c r="W147" s="352"/>
      <x:c r="X147" s="352"/>
      <x:c r="Y147" s="352"/>
      <x:c r="Z147" s="352"/>
    </x:row>
    <x:row r="148">
      <x:c r="A148"/>
      <x:c r="B148"/>
      <x:c r="C148"/>
      <x:c r="D148"/>
      <x:c r="E148"/>
      <x:c r="F148"/>
      <x:c r="G148"/>
      <x:c r="H148"/>
      <x:c r="I148" s="56"/>
      <x:c r="J148" s="56"/>
      <x:c r="K148" s="56"/>
      <x:c r="L148" s="56"/>
      <x:c r="M148" s="38"/>
      <x:c r="N148" s="56"/>
      <x:c r="O148"/>
      <x:c r="P148"/>
      <x:c r="Q148" s="352"/>
      <x:c r="R148" s="352"/>
      <x:c r="S148" s="352"/>
      <x:c r="T148" s="352"/>
      <x:c r="U148" s="352"/>
      <x:c r="V148" s="352"/>
      <x:c r="W148" s="352"/>
      <x:c r="X148" s="352"/>
      <x:c r="Y148" s="352"/>
      <x:c r="Z148" s="352"/>
    </x:row>
    <x:row r="149">
      <x:c r="A149"/>
      <x:c r="B149"/>
      <x:c r="C149"/>
      <x:c r="D149"/>
      <x:c r="E149"/>
      <x:c r="F149"/>
      <x:c r="G149"/>
      <x:c r="H149"/>
      <x:c r="I149" s="56"/>
      <x:c r="J149" s="56"/>
      <x:c r="K149" s="56"/>
      <x:c r="L149" s="56"/>
      <x:c r="M149" s="38"/>
      <x:c r="N149" s="56"/>
      <x:c r="O149"/>
      <x:c r="P149"/>
      <x:c r="Q149" s="352"/>
      <x:c r="R149" s="352"/>
      <x:c r="S149" s="352"/>
      <x:c r="T149" s="352"/>
      <x:c r="U149" s="352"/>
      <x:c r="V149" s="352"/>
      <x:c r="W149" s="352"/>
      <x:c r="X149" s="352"/>
      <x:c r="Y149" s="352"/>
      <x:c r="Z149" s="352"/>
    </x:row>
    <x:row r="150">
      <x:c r="A150"/>
      <x:c r="B150"/>
      <x:c r="C150"/>
      <x:c r="D150"/>
      <x:c r="E150"/>
      <x:c r="F150"/>
      <x:c r="G150"/>
      <x:c r="H150"/>
      <x:c r="I150" s="56"/>
      <x:c r="J150" s="56"/>
      <x:c r="K150" s="56"/>
      <x:c r="L150" s="56"/>
      <x:c r="M150" s="38"/>
      <x:c r="N150" s="56"/>
      <x:c r="O150"/>
      <x:c r="P150"/>
      <x:c r="Q150" s="352"/>
      <x:c r="R150" s="352"/>
      <x:c r="S150" s="352"/>
      <x:c r="T150" s="352"/>
      <x:c r="U150" s="352"/>
      <x:c r="V150" s="352"/>
      <x:c r="W150" s="352"/>
      <x:c r="X150" s="352"/>
      <x:c r="Y150" s="352"/>
      <x:c r="Z150" s="352"/>
    </x:row>
    <x:row r="151">
      <x:c r="A151"/>
      <x:c r="B151"/>
      <x:c r="C151"/>
      <x:c r="D151"/>
      <x:c r="E151"/>
      <x:c r="F151"/>
      <x:c r="G151"/>
      <x:c r="H151"/>
      <x:c r="I151" s="56"/>
      <x:c r="J151" s="56"/>
      <x:c r="K151" s="56"/>
      <x:c r="L151" s="56"/>
      <x:c r="M151" s="38"/>
      <x:c r="N151" s="56"/>
      <x:c r="O151"/>
      <x:c r="P151"/>
      <x:c r="Q151" s="352"/>
      <x:c r="R151" s="352"/>
      <x:c r="S151" s="352"/>
      <x:c r="T151" s="352"/>
      <x:c r="U151" s="352"/>
      <x:c r="V151" s="352"/>
      <x:c r="W151" s="352"/>
      <x:c r="X151" s="352"/>
      <x:c r="Y151" s="352"/>
      <x:c r="Z151" s="352"/>
    </x:row>
    <x:row r="152">
      <x:c r="A152"/>
      <x:c r="B152"/>
      <x:c r="C152"/>
      <x:c r="D152"/>
      <x:c r="E152"/>
      <x:c r="F152"/>
      <x:c r="G152"/>
      <x:c r="H152"/>
      <x:c r="I152" s="56"/>
      <x:c r="J152" s="56"/>
      <x:c r="K152" s="56"/>
      <x:c r="L152" s="56"/>
      <x:c r="M152" s="38"/>
      <x:c r="N152" s="56"/>
      <x:c r="O152"/>
      <x:c r="P152"/>
      <x:c r="Q152" s="352"/>
      <x:c r="R152" s="352"/>
      <x:c r="S152" s="352"/>
      <x:c r="T152" s="352"/>
      <x:c r="U152" s="352"/>
      <x:c r="V152" s="352"/>
      <x:c r="W152" s="352"/>
      <x:c r="X152" s="352"/>
      <x:c r="Y152" s="352"/>
      <x:c r="Z152" s="352"/>
    </x:row>
    <x:row r="153">
      <x:c r="A153"/>
      <x:c r="B153"/>
      <x:c r="C153"/>
      <x:c r="D153"/>
      <x:c r="E153"/>
      <x:c r="F153"/>
      <x:c r="G153"/>
      <x:c r="H153"/>
      <x:c r="I153" s="56"/>
      <x:c r="J153" s="56"/>
      <x:c r="K153" s="56"/>
      <x:c r="L153" s="56"/>
      <x:c r="M153" s="38"/>
      <x:c r="N153" s="56"/>
      <x:c r="O153"/>
      <x:c r="P153"/>
      <x:c r="Q153" s="352"/>
      <x:c r="R153" s="352"/>
      <x:c r="S153" s="352"/>
      <x:c r="T153" s="352"/>
      <x:c r="U153" s="352"/>
      <x:c r="V153" s="352"/>
      <x:c r="W153" s="352"/>
      <x:c r="X153" s="352"/>
      <x:c r="Y153" s="352"/>
      <x:c r="Z153" s="352"/>
    </x:row>
    <x:row r="154">
      <x:c r="A154"/>
      <x:c r="B154"/>
      <x:c r="C154"/>
      <x:c r="D154"/>
      <x:c r="E154"/>
      <x:c r="F154"/>
      <x:c r="G154"/>
      <x:c r="H154"/>
      <x:c r="I154" s="56"/>
      <x:c r="J154" s="56"/>
      <x:c r="K154" s="56"/>
      <x:c r="L154" s="56"/>
      <x:c r="M154" s="38"/>
      <x:c r="N154" s="56"/>
      <x:c r="O154"/>
      <x:c r="P154"/>
      <x:c r="Q154" s="352"/>
      <x:c r="R154" s="352"/>
      <x:c r="S154" s="352"/>
      <x:c r="T154" s="352"/>
      <x:c r="U154" s="352"/>
      <x:c r="V154" s="352"/>
      <x:c r="W154" s="352"/>
      <x:c r="X154" s="352"/>
      <x:c r="Y154" s="352"/>
      <x:c r="Z154" s="352"/>
    </x:row>
    <x:row r="155">
      <x:c r="A155"/>
      <x:c r="B155"/>
      <x:c r="C155"/>
      <x:c r="D155"/>
      <x:c r="E155"/>
      <x:c r="F155"/>
      <x:c r="G155"/>
      <x:c r="H155"/>
      <x:c r="I155" s="56"/>
      <x:c r="J155" s="56"/>
      <x:c r="K155" s="56"/>
      <x:c r="L155" s="56"/>
      <x:c r="M155" s="38"/>
      <x:c r="N155" s="56"/>
      <x:c r="O155"/>
      <x:c r="P155"/>
      <x:c r="Q155" s="352"/>
      <x:c r="R155" s="352"/>
      <x:c r="S155" s="352"/>
      <x:c r="T155" s="352"/>
      <x:c r="U155" s="352"/>
      <x:c r="V155" s="352"/>
      <x:c r="W155" s="352"/>
      <x:c r="X155" s="352"/>
      <x:c r="Y155" s="352"/>
      <x:c r="Z155" s="352"/>
    </x:row>
    <x:row r="156">
      <x:c r="A156"/>
      <x:c r="B156"/>
      <x:c r="C156"/>
      <x:c r="D156"/>
      <x:c r="E156"/>
      <x:c r="F156"/>
      <x:c r="G156"/>
      <x:c r="H156"/>
      <x:c r="I156" s="56"/>
      <x:c r="J156" s="56"/>
      <x:c r="K156" s="56"/>
      <x:c r="L156" s="56"/>
      <x:c r="M156" s="38"/>
      <x:c r="N156" s="56"/>
      <x:c r="O156"/>
      <x:c r="P156"/>
      <x:c r="Q156" s="352"/>
      <x:c r="R156" s="352"/>
      <x:c r="S156" s="352"/>
      <x:c r="T156" s="352"/>
      <x:c r="U156" s="352"/>
      <x:c r="V156" s="352"/>
      <x:c r="W156" s="352"/>
      <x:c r="X156" s="352"/>
      <x:c r="Y156" s="352"/>
      <x:c r="Z156" s="352"/>
    </x:row>
    <x:row r="157">
      <x:c r="A157"/>
      <x:c r="B157"/>
      <x:c r="C157"/>
      <x:c r="D157"/>
      <x:c r="E157"/>
      <x:c r="F157"/>
      <x:c r="G157"/>
      <x:c r="H157"/>
      <x:c r="I157" s="56"/>
      <x:c r="J157" s="56"/>
      <x:c r="K157" s="56"/>
      <x:c r="L157" s="56"/>
      <x:c r="M157" s="38"/>
      <x:c r="N157" s="56"/>
      <x:c r="O157"/>
      <x:c r="P157"/>
      <x:c r="Q157" s="352"/>
      <x:c r="R157" s="352"/>
      <x:c r="S157" s="352"/>
      <x:c r="T157" s="352"/>
      <x:c r="U157" s="352"/>
      <x:c r="V157" s="352"/>
      <x:c r="W157" s="352"/>
      <x:c r="X157" s="352"/>
      <x:c r="Y157" s="352"/>
      <x:c r="Z157" s="352"/>
    </x:row>
    <x:row r="158">
      <x:c r="A158"/>
      <x:c r="B158"/>
      <x:c r="C158"/>
      <x:c r="D158"/>
      <x:c r="E158"/>
      <x:c r="F158"/>
      <x:c r="G158"/>
      <x:c r="H158"/>
      <x:c r="I158" s="56"/>
      <x:c r="J158" s="56"/>
      <x:c r="K158" s="56"/>
      <x:c r="L158" s="56"/>
      <x:c r="M158" s="38"/>
      <x:c r="N158" s="56"/>
      <x:c r="O158"/>
      <x:c r="P158"/>
      <x:c r="Q158" s="352"/>
      <x:c r="R158" s="352"/>
      <x:c r="S158" s="352"/>
      <x:c r="T158" s="352"/>
      <x:c r="U158" s="352"/>
      <x:c r="V158" s="352"/>
      <x:c r="W158" s="352"/>
      <x:c r="X158" s="352"/>
      <x:c r="Y158" s="352"/>
      <x:c r="Z158" s="352"/>
    </x:row>
    <x:row r="159">
      <x:c r="A159"/>
      <x:c r="B159"/>
      <x:c r="C159"/>
      <x:c r="D159"/>
      <x:c r="E159"/>
      <x:c r="F159"/>
      <x:c r="G159"/>
      <x:c r="H159"/>
      <x:c r="I159" s="56"/>
      <x:c r="J159" s="56"/>
      <x:c r="K159" s="56"/>
      <x:c r="L159" s="56"/>
      <x:c r="M159" s="38"/>
      <x:c r="N159" s="56"/>
      <x:c r="O159"/>
      <x:c r="P159"/>
      <x:c r="Q159" s="352"/>
      <x:c r="R159" s="352"/>
      <x:c r="S159" s="352"/>
      <x:c r="T159" s="352"/>
      <x:c r="U159" s="352"/>
      <x:c r="V159" s="352"/>
      <x:c r="W159" s="352"/>
      <x:c r="X159" s="352"/>
      <x:c r="Y159" s="352"/>
      <x:c r="Z159" s="352"/>
    </x:row>
    <x:row r="160">
      <x:c r="A160"/>
      <x:c r="B160"/>
      <x:c r="C160"/>
      <x:c r="D160"/>
      <x:c r="E160"/>
      <x:c r="F160"/>
      <x:c r="G160"/>
      <x:c r="H160"/>
      <x:c r="I160" s="56"/>
      <x:c r="J160" s="56"/>
      <x:c r="K160" s="56"/>
      <x:c r="L160" s="56"/>
      <x:c r="M160" s="38"/>
      <x:c r="N160" s="56"/>
      <x:c r="O160"/>
      <x:c r="P160"/>
      <x:c r="Q160" s="352"/>
      <x:c r="R160" s="352"/>
      <x:c r="S160" s="352"/>
      <x:c r="T160" s="352"/>
      <x:c r="U160" s="352"/>
      <x:c r="V160" s="352"/>
      <x:c r="W160" s="352"/>
      <x:c r="X160" s="352"/>
      <x:c r="Y160" s="352"/>
      <x:c r="Z160" s="352"/>
    </x:row>
    <x:row r="161">
      <x:c r="A161"/>
      <x:c r="B161"/>
      <x:c r="C161"/>
      <x:c r="D161"/>
      <x:c r="E161"/>
      <x:c r="F161"/>
      <x:c r="G161"/>
      <x:c r="H161"/>
      <x:c r="I161" s="56"/>
      <x:c r="J161" s="56"/>
      <x:c r="K161" s="56"/>
      <x:c r="L161" s="56"/>
      <x:c r="M161" s="38"/>
      <x:c r="N161" s="56"/>
      <x:c r="O161"/>
      <x:c r="P161"/>
      <x:c r="Q161" s="352"/>
      <x:c r="R161" s="352"/>
      <x:c r="S161" s="352"/>
      <x:c r="T161" s="352"/>
      <x:c r="U161" s="352"/>
      <x:c r="V161" s="352"/>
      <x:c r="W161" s="352"/>
      <x:c r="X161" s="352"/>
      <x:c r="Y161" s="352"/>
      <x:c r="Z161" s="352"/>
    </x:row>
    <x:row r="162">
      <x:c r="A162"/>
      <x:c r="B162"/>
      <x:c r="C162"/>
      <x:c r="D162"/>
      <x:c r="E162"/>
      <x:c r="F162"/>
      <x:c r="G162"/>
      <x:c r="H162"/>
      <x:c r="I162" s="56"/>
      <x:c r="J162" s="56"/>
      <x:c r="K162" s="56"/>
      <x:c r="L162" s="56"/>
      <x:c r="M162" s="38"/>
      <x:c r="N162" s="56"/>
      <x:c r="O162"/>
      <x:c r="P162"/>
      <x:c r="Q162" s="352"/>
      <x:c r="R162" s="352"/>
      <x:c r="S162" s="352"/>
      <x:c r="T162" s="352"/>
      <x:c r="U162" s="352"/>
      <x:c r="V162" s="352"/>
      <x:c r="W162" s="352"/>
      <x:c r="X162" s="352"/>
      <x:c r="Y162" s="352"/>
      <x:c r="Z162" s="352"/>
    </x:row>
    <x:row r="163">
      <x:c r="A163"/>
      <x:c r="B163"/>
      <x:c r="C163"/>
      <x:c r="D163"/>
      <x:c r="E163"/>
      <x:c r="F163"/>
      <x:c r="G163"/>
      <x:c r="H163"/>
      <x:c r="I163" s="56"/>
      <x:c r="J163" s="56"/>
      <x:c r="K163" s="56"/>
      <x:c r="L163" s="56"/>
      <x:c r="M163" s="38"/>
      <x:c r="N163" s="56"/>
      <x:c r="O163"/>
      <x:c r="P163"/>
      <x:c r="Q163" s="352"/>
      <x:c r="R163" s="352"/>
      <x:c r="S163" s="352"/>
      <x:c r="T163" s="352"/>
      <x:c r="U163" s="352"/>
      <x:c r="V163" s="352"/>
      <x:c r="W163" s="352"/>
      <x:c r="X163" s="352"/>
      <x:c r="Y163" s="352"/>
      <x:c r="Z163" s="352"/>
    </x:row>
    <x:row r="164">
      <x:c r="A164"/>
      <x:c r="B164"/>
      <x:c r="C164"/>
      <x:c r="D164"/>
      <x:c r="E164"/>
      <x:c r="F164"/>
      <x:c r="G164"/>
      <x:c r="H164"/>
      <x:c r="I164" s="56"/>
      <x:c r="J164" s="56"/>
      <x:c r="K164" s="56"/>
      <x:c r="L164" s="56"/>
      <x:c r="M164" s="38"/>
      <x:c r="N164" s="56"/>
      <x:c r="O164"/>
      <x:c r="P164"/>
      <x:c r="Q164" s="352"/>
      <x:c r="R164" s="352"/>
      <x:c r="S164" s="352"/>
      <x:c r="T164" s="352"/>
      <x:c r="U164" s="352"/>
      <x:c r="V164" s="352"/>
      <x:c r="W164" s="352"/>
      <x:c r="X164" s="352"/>
      <x:c r="Y164" s="352"/>
      <x:c r="Z164" s="352"/>
    </x:row>
    <x:row r="165">
      <x:c r="A165"/>
      <x:c r="B165"/>
      <x:c r="C165"/>
      <x:c r="D165"/>
      <x:c r="E165"/>
      <x:c r="F165"/>
      <x:c r="G165"/>
      <x:c r="H165"/>
      <x:c r="I165" s="56"/>
      <x:c r="J165" s="56"/>
      <x:c r="K165" s="56"/>
      <x:c r="L165" s="56"/>
      <x:c r="M165" s="38"/>
      <x:c r="N165" s="56"/>
      <x:c r="O165"/>
      <x:c r="P165"/>
      <x:c r="Q165" s="352"/>
      <x:c r="R165" s="352"/>
      <x:c r="S165" s="352"/>
      <x:c r="T165" s="352"/>
      <x:c r="U165" s="352"/>
      <x:c r="V165" s="352"/>
      <x:c r="W165" s="352"/>
      <x:c r="X165" s="352"/>
      <x:c r="Y165" s="352"/>
      <x:c r="Z165" s="352"/>
    </x:row>
    <x:row r="166">
      <x:c r="A166"/>
      <x:c r="B166"/>
      <x:c r="C166"/>
      <x:c r="D166"/>
      <x:c r="E166"/>
      <x:c r="F166"/>
      <x:c r="G166"/>
      <x:c r="H166"/>
      <x:c r="I166" s="56"/>
      <x:c r="J166" s="56"/>
      <x:c r="K166" s="56"/>
      <x:c r="L166" s="56"/>
      <x:c r="M166" s="38"/>
      <x:c r="N166" s="56"/>
      <x:c r="O166"/>
      <x:c r="P166"/>
      <x:c r="Q166" s="352"/>
      <x:c r="R166" s="352"/>
      <x:c r="S166" s="352"/>
      <x:c r="T166" s="352"/>
      <x:c r="U166" s="352"/>
      <x:c r="V166" s="352"/>
      <x:c r="W166" s="352"/>
      <x:c r="X166" s="352"/>
      <x:c r="Y166" s="352"/>
      <x:c r="Z166" s="352"/>
    </x:row>
    <x:row r="167">
      <x:c r="A167"/>
      <x:c r="B167"/>
      <x:c r="C167"/>
      <x:c r="D167"/>
      <x:c r="E167"/>
      <x:c r="F167"/>
      <x:c r="G167"/>
      <x:c r="H167"/>
      <x:c r="I167" s="56"/>
      <x:c r="J167" s="56"/>
      <x:c r="K167" s="56"/>
      <x:c r="L167" s="56"/>
      <x:c r="M167" s="38"/>
      <x:c r="N167" s="56"/>
      <x:c r="O167"/>
      <x:c r="P167"/>
      <x:c r="Q167" s="352"/>
      <x:c r="R167" s="352"/>
      <x:c r="S167" s="352"/>
      <x:c r="T167" s="352"/>
      <x:c r="U167" s="352"/>
      <x:c r="V167" s="352"/>
      <x:c r="W167" s="352"/>
      <x:c r="X167" s="352"/>
      <x:c r="Y167" s="352"/>
      <x:c r="Z167" s="352"/>
    </x:row>
    <x:row r="168">
      <x:c r="A168"/>
      <x:c r="B168"/>
      <x:c r="C168"/>
      <x:c r="D168"/>
      <x:c r="E168"/>
      <x:c r="F168"/>
      <x:c r="G168"/>
      <x:c r="H168"/>
      <x:c r="I168" s="56"/>
      <x:c r="J168" s="56"/>
      <x:c r="K168" s="56"/>
      <x:c r="L168" s="56"/>
      <x:c r="M168" s="38"/>
      <x:c r="N168" s="56"/>
      <x:c r="O168"/>
      <x:c r="P168"/>
      <x:c r="Q168" s="352"/>
      <x:c r="R168" s="352"/>
      <x:c r="S168" s="352"/>
      <x:c r="T168" s="352"/>
      <x:c r="U168" s="352"/>
      <x:c r="V168" s="352"/>
      <x:c r="W168" s="352"/>
      <x:c r="X168" s="352"/>
      <x:c r="Y168" s="352"/>
      <x:c r="Z168" s="352"/>
    </x:row>
    <x:row r="169">
      <x:c r="A169"/>
      <x:c r="B169"/>
      <x:c r="C169"/>
      <x:c r="D169"/>
      <x:c r="E169"/>
      <x:c r="F169"/>
      <x:c r="G169"/>
      <x:c r="H169"/>
      <x:c r="I169" s="56"/>
      <x:c r="J169" s="56"/>
      <x:c r="K169" s="56"/>
      <x:c r="L169" s="56"/>
      <x:c r="M169" s="38"/>
      <x:c r="N169" s="56"/>
      <x:c r="O169"/>
      <x:c r="P169"/>
      <x:c r="Q169" s="352"/>
      <x:c r="R169" s="352"/>
      <x:c r="S169" s="352"/>
      <x:c r="T169" s="352"/>
      <x:c r="U169" s="352"/>
      <x:c r="V169" s="352"/>
      <x:c r="W169" s="352"/>
      <x:c r="X169" s="352"/>
      <x:c r="Y169" s="352"/>
      <x:c r="Z169" s="352"/>
    </x:row>
    <x:row r="170">
      <x:c r="A170"/>
      <x:c r="B170"/>
      <x:c r="C170"/>
      <x:c r="D170"/>
      <x:c r="E170"/>
      <x:c r="F170"/>
      <x:c r="G170"/>
      <x:c r="H170"/>
      <x:c r="I170" s="56"/>
      <x:c r="J170" s="56"/>
      <x:c r="K170" s="56"/>
      <x:c r="L170" s="56"/>
      <x:c r="M170" s="38"/>
      <x:c r="N170" s="56"/>
      <x:c r="O170"/>
      <x:c r="P170"/>
      <x:c r="Q170" s="352"/>
      <x:c r="R170" s="352"/>
      <x:c r="S170" s="352"/>
      <x:c r="T170" s="352"/>
      <x:c r="U170" s="352"/>
      <x:c r="V170" s="352"/>
      <x:c r="W170" s="352"/>
      <x:c r="X170" s="352"/>
      <x:c r="Y170" s="352"/>
      <x:c r="Z170" s="352"/>
    </x:row>
    <x:row r="171">
      <x:c r="A171"/>
      <x:c r="B171"/>
      <x:c r="C171"/>
      <x:c r="D171"/>
      <x:c r="E171"/>
      <x:c r="F171"/>
      <x:c r="G171"/>
      <x:c r="H171"/>
      <x:c r="I171" s="56"/>
      <x:c r="J171" s="56"/>
      <x:c r="K171" s="56"/>
      <x:c r="L171" s="56"/>
      <x:c r="M171" s="38"/>
      <x:c r="N171" s="56"/>
      <x:c r="O171"/>
      <x:c r="P171"/>
      <x:c r="Q171" s="352"/>
      <x:c r="R171" s="352"/>
      <x:c r="S171" s="352"/>
      <x:c r="T171" s="352"/>
      <x:c r="U171" s="352"/>
      <x:c r="V171" s="352"/>
      <x:c r="W171" s="352"/>
      <x:c r="X171" s="352"/>
      <x:c r="Y171" s="352"/>
      <x:c r="Z171" s="352"/>
    </x:row>
    <x:row r="172">
      <x:c r="A172"/>
      <x:c r="B172"/>
      <x:c r="C172"/>
      <x:c r="D172"/>
      <x:c r="E172"/>
      <x:c r="F172"/>
      <x:c r="G172"/>
      <x:c r="H172"/>
      <x:c r="I172" s="56"/>
      <x:c r="J172" s="56"/>
      <x:c r="K172" s="56"/>
      <x:c r="L172" s="56"/>
      <x:c r="M172" s="38"/>
      <x:c r="N172" s="56"/>
      <x:c r="O172"/>
      <x:c r="P172"/>
      <x:c r="Q172" s="352"/>
      <x:c r="R172" s="352"/>
      <x:c r="S172" s="352"/>
      <x:c r="T172" s="352"/>
      <x:c r="U172" s="352"/>
      <x:c r="V172" s="352"/>
      <x:c r="W172" s="352"/>
      <x:c r="X172" s="352"/>
      <x:c r="Y172" s="352"/>
      <x:c r="Z172" s="352"/>
    </x:row>
    <x:row r="173">
      <x:c r="A173"/>
      <x:c r="B173"/>
      <x:c r="C173"/>
      <x:c r="D173"/>
      <x:c r="E173"/>
      <x:c r="F173"/>
      <x:c r="G173"/>
      <x:c r="H173"/>
      <x:c r="I173" s="56"/>
      <x:c r="J173" s="56"/>
      <x:c r="K173" s="56"/>
      <x:c r="L173" s="56"/>
      <x:c r="M173" s="38"/>
      <x:c r="N173" s="56"/>
      <x:c r="O173"/>
      <x:c r="P173"/>
      <x:c r="Q173" s="352"/>
      <x:c r="R173" s="352"/>
      <x:c r="S173" s="352"/>
      <x:c r="T173" s="352"/>
      <x:c r="U173" s="352"/>
      <x:c r="V173" s="352"/>
      <x:c r="W173" s="352"/>
      <x:c r="X173" s="352"/>
      <x:c r="Y173" s="352"/>
      <x:c r="Z173" s="352"/>
    </x:row>
    <x:row r="174">
      <x:c r="A174"/>
      <x:c r="B174"/>
      <x:c r="C174"/>
      <x:c r="D174"/>
      <x:c r="E174"/>
      <x:c r="F174"/>
      <x:c r="G174"/>
      <x:c r="H174"/>
      <x:c r="I174" s="56"/>
      <x:c r="J174" s="56"/>
      <x:c r="K174" s="56"/>
      <x:c r="L174" s="56"/>
      <x:c r="M174" s="38"/>
      <x:c r="N174" s="56"/>
      <x:c r="O174"/>
      <x:c r="P174"/>
      <x:c r="Q174" s="352"/>
      <x:c r="R174" s="352"/>
      <x:c r="S174" s="352"/>
      <x:c r="T174" s="352"/>
      <x:c r="U174" s="352"/>
      <x:c r="V174" s="352"/>
      <x:c r="W174" s="352"/>
      <x:c r="X174" s="352"/>
      <x:c r="Y174" s="352"/>
      <x:c r="Z174" s="352"/>
    </x:row>
    <x:row r="175">
      <x:c r="A175"/>
      <x:c r="B175"/>
      <x:c r="C175"/>
      <x:c r="D175"/>
      <x:c r="E175"/>
      <x:c r="F175"/>
      <x:c r="G175"/>
      <x:c r="H175"/>
      <x:c r="I175" s="56"/>
      <x:c r="J175" s="56"/>
      <x:c r="K175" s="56"/>
      <x:c r="L175" s="56"/>
      <x:c r="M175" s="38"/>
      <x:c r="N175" s="56"/>
      <x:c r="O175"/>
      <x:c r="P175"/>
      <x:c r="Q175" s="352"/>
      <x:c r="R175" s="352"/>
      <x:c r="S175" s="352"/>
      <x:c r="T175" s="352"/>
      <x:c r="U175" s="352"/>
      <x:c r="V175" s="352"/>
      <x:c r="W175" s="352"/>
      <x:c r="X175" s="352"/>
      <x:c r="Y175" s="352"/>
      <x:c r="Z175" s="352"/>
    </x:row>
    <x:row r="176">
      <x:c r="A176"/>
      <x:c r="B176"/>
      <x:c r="C176"/>
      <x:c r="D176"/>
      <x:c r="E176"/>
      <x:c r="F176"/>
      <x:c r="G176"/>
      <x:c r="H176"/>
      <x:c r="I176" s="56"/>
      <x:c r="J176" s="56"/>
      <x:c r="K176" s="56"/>
      <x:c r="L176" s="56"/>
      <x:c r="M176" s="38"/>
      <x:c r="N176" s="56"/>
      <x:c r="O176"/>
      <x:c r="P176"/>
      <x:c r="Q176" s="352"/>
      <x:c r="R176" s="352"/>
      <x:c r="S176" s="352"/>
      <x:c r="T176" s="352"/>
      <x:c r="U176" s="352"/>
      <x:c r="V176" s="352"/>
      <x:c r="W176" s="352"/>
      <x:c r="X176" s="352"/>
      <x:c r="Y176" s="352"/>
      <x:c r="Z176" s="352"/>
    </x:row>
    <x:row r="177">
      <x:c r="A177"/>
      <x:c r="B177"/>
      <x:c r="C177"/>
      <x:c r="D177"/>
      <x:c r="E177"/>
      <x:c r="F177"/>
      <x:c r="G177"/>
      <x:c r="H177"/>
      <x:c r="I177" s="56"/>
      <x:c r="J177" s="56"/>
      <x:c r="K177" s="56"/>
      <x:c r="L177" s="56"/>
      <x:c r="M177" s="38"/>
      <x:c r="N177" s="56"/>
      <x:c r="O177"/>
      <x:c r="P177"/>
      <x:c r="Q177" s="352"/>
      <x:c r="R177" s="352"/>
      <x:c r="S177" s="352"/>
      <x:c r="T177" s="352"/>
      <x:c r="U177" s="352"/>
      <x:c r="V177" s="352"/>
      <x:c r="W177" s="352"/>
      <x:c r="X177" s="352"/>
      <x:c r="Y177" s="352"/>
      <x:c r="Z177" s="352"/>
    </x:row>
    <x:row r="178">
      <x:c r="A178"/>
      <x:c r="B178"/>
      <x:c r="C178"/>
      <x:c r="D178"/>
      <x:c r="E178"/>
      <x:c r="F178"/>
      <x:c r="G178"/>
      <x:c r="H178"/>
      <x:c r="I178" s="56"/>
      <x:c r="J178" s="56"/>
      <x:c r="K178" s="56"/>
      <x:c r="L178" s="56"/>
      <x:c r="M178" s="38"/>
      <x:c r="N178" s="56"/>
      <x:c r="O178"/>
      <x:c r="P178"/>
      <x:c r="Q178" s="352"/>
      <x:c r="R178" s="352"/>
      <x:c r="S178" s="352"/>
      <x:c r="T178" s="352"/>
      <x:c r="U178" s="352"/>
      <x:c r="V178" s="352"/>
      <x:c r="W178" s="352"/>
      <x:c r="X178" s="352"/>
      <x:c r="Y178" s="352"/>
      <x:c r="Z178" s="352"/>
    </x:row>
    <x:row r="179">
      <x:c r="A179"/>
      <x:c r="B179"/>
      <x:c r="C179"/>
      <x:c r="D179"/>
      <x:c r="E179"/>
      <x:c r="F179"/>
      <x:c r="G179"/>
      <x:c r="H179"/>
      <x:c r="I179" s="56"/>
      <x:c r="J179" s="56"/>
      <x:c r="K179" s="56"/>
      <x:c r="L179" s="56"/>
      <x:c r="M179" s="38"/>
      <x:c r="N179" s="56"/>
      <x:c r="O179"/>
      <x:c r="P179"/>
      <x:c r="Q179" s="352"/>
      <x:c r="R179" s="352"/>
      <x:c r="S179" s="352"/>
      <x:c r="T179" s="352"/>
      <x:c r="U179" s="352"/>
      <x:c r="V179" s="352"/>
      <x:c r="W179" s="352"/>
      <x:c r="X179" s="352"/>
      <x:c r="Y179" s="352"/>
      <x:c r="Z179" s="352"/>
    </x:row>
    <x:row r="180">
      <x:c r="A180"/>
      <x:c r="B180"/>
      <x:c r="C180"/>
      <x:c r="D180"/>
      <x:c r="E180"/>
      <x:c r="F180"/>
      <x:c r="G180"/>
      <x:c r="H180"/>
      <x:c r="I180" s="56"/>
      <x:c r="J180" s="56"/>
      <x:c r="K180" s="56"/>
      <x:c r="L180" s="56"/>
      <x:c r="M180" s="38"/>
      <x:c r="N180" s="56"/>
      <x:c r="O180"/>
      <x:c r="P180"/>
      <x:c r="Q180" s="352"/>
      <x:c r="R180" s="352"/>
      <x:c r="S180" s="352"/>
      <x:c r="T180" s="352"/>
      <x:c r="U180" s="352"/>
      <x:c r="V180" s="352"/>
      <x:c r="W180" s="352"/>
      <x:c r="X180" s="352"/>
      <x:c r="Y180" s="352"/>
      <x:c r="Z180" s="352"/>
    </x:row>
    <x:row r="181">
      <x:c r="A181"/>
      <x:c r="B181"/>
      <x:c r="C181"/>
      <x:c r="D181"/>
      <x:c r="E181"/>
      <x:c r="F181"/>
      <x:c r="G181"/>
      <x:c r="H181"/>
      <x:c r="I181" s="56"/>
      <x:c r="J181" s="56"/>
      <x:c r="K181" s="56"/>
      <x:c r="L181" s="56"/>
      <x:c r="M181" s="38"/>
      <x:c r="N181" s="56"/>
      <x:c r="O181"/>
      <x:c r="P181"/>
      <x:c r="Q181" s="352"/>
      <x:c r="R181" s="352"/>
      <x:c r="S181" s="352"/>
      <x:c r="T181" s="352"/>
      <x:c r="U181" s="352"/>
      <x:c r="V181" s="352"/>
      <x:c r="W181" s="352"/>
      <x:c r="X181" s="352"/>
      <x:c r="Y181" s="352"/>
      <x:c r="Z181" s="352"/>
    </x:row>
    <x:row r="182">
      <x:c r="A182"/>
      <x:c r="B182"/>
      <x:c r="C182"/>
      <x:c r="D182"/>
      <x:c r="E182"/>
      <x:c r="F182"/>
      <x:c r="G182"/>
      <x:c r="H182"/>
      <x:c r="I182" s="56"/>
      <x:c r="J182" s="56"/>
      <x:c r="K182" s="56"/>
      <x:c r="L182" s="56"/>
      <x:c r="M182" s="38"/>
      <x:c r="N182" s="56"/>
      <x:c r="O182"/>
      <x:c r="P182"/>
      <x:c r="Q182" s="352"/>
      <x:c r="R182" s="352"/>
      <x:c r="S182" s="352"/>
      <x:c r="T182" s="352"/>
      <x:c r="U182" s="352"/>
      <x:c r="V182" s="352"/>
      <x:c r="W182" s="352"/>
      <x:c r="X182" s="352"/>
      <x:c r="Y182" s="352"/>
      <x:c r="Z182" s="352"/>
    </x:row>
    <x:row r="183">
      <x:c r="A183"/>
      <x:c r="B183"/>
      <x:c r="C183"/>
      <x:c r="D183"/>
      <x:c r="E183"/>
      <x:c r="F183"/>
      <x:c r="G183"/>
      <x:c r="H183"/>
      <x:c r="I183" s="56"/>
      <x:c r="J183" s="56"/>
      <x:c r="K183" s="56"/>
      <x:c r="L183" s="56"/>
      <x:c r="M183" s="38"/>
      <x:c r="N183" s="56"/>
      <x:c r="O183"/>
      <x:c r="P183"/>
      <x:c r="Q183" s="352"/>
      <x:c r="R183" s="352"/>
      <x:c r="S183" s="352"/>
      <x:c r="T183" s="352"/>
      <x:c r="U183" s="352"/>
      <x:c r="V183" s="352"/>
      <x:c r="W183" s="352"/>
      <x:c r="X183" s="352"/>
      <x:c r="Y183" s="352"/>
      <x:c r="Z183" s="352"/>
    </x:row>
    <x:row r="184">
      <x:c r="A184"/>
      <x:c r="B184"/>
      <x:c r="C184"/>
      <x:c r="D184"/>
      <x:c r="E184"/>
      <x:c r="F184"/>
      <x:c r="G184"/>
      <x:c r="H184"/>
      <x:c r="I184" s="56"/>
      <x:c r="J184" s="56"/>
      <x:c r="K184" s="56"/>
      <x:c r="L184" s="56"/>
      <x:c r="M184" s="38"/>
      <x:c r="N184" s="56"/>
      <x:c r="O184"/>
      <x:c r="P184"/>
      <x:c r="Q184" s="352"/>
      <x:c r="R184" s="352"/>
      <x:c r="S184" s="352"/>
      <x:c r="T184" s="352"/>
      <x:c r="U184" s="352"/>
      <x:c r="V184" s="352"/>
      <x:c r="W184" s="352"/>
      <x:c r="X184" s="352"/>
      <x:c r="Y184" s="352"/>
      <x:c r="Z184" s="352"/>
    </x:row>
    <x:row r="185">
      <x:c r="A185"/>
      <x:c r="B185"/>
      <x:c r="C185"/>
      <x:c r="D185"/>
      <x:c r="E185"/>
      <x:c r="F185"/>
      <x:c r="G185"/>
      <x:c r="H185"/>
      <x:c r="I185" s="56"/>
      <x:c r="J185" s="56"/>
      <x:c r="K185" s="56"/>
      <x:c r="L185" s="56"/>
      <x:c r="M185" s="38"/>
      <x:c r="N185" s="56"/>
      <x:c r="O185"/>
      <x:c r="P185"/>
      <x:c r="Q185" s="352"/>
      <x:c r="R185" s="352"/>
      <x:c r="S185" s="352"/>
      <x:c r="T185" s="352"/>
      <x:c r="U185" s="352"/>
      <x:c r="V185" s="352"/>
      <x:c r="W185" s="352"/>
      <x:c r="X185" s="352"/>
      <x:c r="Y185" s="352"/>
      <x:c r="Z185" s="352"/>
    </x:row>
    <x:row r="186">
      <x:c r="A186"/>
      <x:c r="B186"/>
      <x:c r="C186"/>
      <x:c r="D186"/>
      <x:c r="E186"/>
      <x:c r="F186"/>
      <x:c r="G186"/>
      <x:c r="H186"/>
      <x:c r="I186" s="56"/>
      <x:c r="J186" s="56"/>
      <x:c r="K186" s="56"/>
      <x:c r="L186" s="56"/>
      <x:c r="M186" s="38"/>
      <x:c r="N186" s="56"/>
      <x:c r="O186"/>
      <x:c r="P186"/>
      <x:c r="Q186" s="352"/>
      <x:c r="R186" s="352"/>
      <x:c r="S186" s="352"/>
      <x:c r="T186" s="352"/>
      <x:c r="U186" s="352"/>
      <x:c r="V186" s="352"/>
      <x:c r="W186" s="352"/>
      <x:c r="X186" s="352"/>
      <x:c r="Y186" s="352"/>
      <x:c r="Z186" s="352"/>
    </x:row>
    <x:row r="187">
      <x:c r="A187"/>
      <x:c r="B187"/>
      <x:c r="C187"/>
      <x:c r="D187"/>
      <x:c r="E187"/>
      <x:c r="F187"/>
      <x:c r="G187"/>
      <x:c r="H187"/>
      <x:c r="I187" s="56"/>
      <x:c r="J187" s="56"/>
      <x:c r="K187" s="56"/>
      <x:c r="L187" s="56"/>
      <x:c r="M187" s="38"/>
      <x:c r="N187" s="56"/>
      <x:c r="O187"/>
      <x:c r="P187"/>
      <x:c r="Q187" s="352"/>
      <x:c r="R187" s="352"/>
      <x:c r="S187" s="352"/>
      <x:c r="T187" s="352"/>
      <x:c r="U187" s="352"/>
      <x:c r="V187" s="352"/>
      <x:c r="W187" s="352"/>
      <x:c r="X187" s="352"/>
      <x:c r="Y187" s="352"/>
      <x:c r="Z187" s="352"/>
    </x:row>
    <x:row r="188">
      <x:c r="A188"/>
      <x:c r="B188"/>
      <x:c r="C188"/>
      <x:c r="D188"/>
      <x:c r="E188"/>
      <x:c r="F188"/>
      <x:c r="G188"/>
      <x:c r="H188"/>
      <x:c r="I188" s="56"/>
      <x:c r="J188" s="56"/>
      <x:c r="K188" s="56"/>
      <x:c r="L188" s="56"/>
      <x:c r="M188" s="38"/>
      <x:c r="N188" s="56"/>
      <x:c r="O188"/>
      <x:c r="P188"/>
      <x:c r="Q188" s="352"/>
      <x:c r="R188" s="352"/>
      <x:c r="S188" s="352"/>
      <x:c r="T188" s="352"/>
      <x:c r="U188" s="352"/>
      <x:c r="V188" s="352"/>
      <x:c r="W188" s="352"/>
      <x:c r="X188" s="352"/>
      <x:c r="Y188" s="352"/>
      <x:c r="Z188" s="352"/>
    </x:row>
    <x:row r="189">
      <x:c r="A189"/>
      <x:c r="B189"/>
      <x:c r="C189"/>
      <x:c r="D189"/>
      <x:c r="E189"/>
      <x:c r="F189"/>
      <x:c r="G189"/>
      <x:c r="H189"/>
      <x:c r="I189" s="56"/>
      <x:c r="J189" s="56"/>
      <x:c r="K189" s="56"/>
      <x:c r="L189" s="56"/>
      <x:c r="M189" s="38"/>
      <x:c r="N189" s="56"/>
      <x:c r="O189"/>
      <x:c r="P189"/>
      <x:c r="Q189" s="352"/>
      <x:c r="R189" s="352"/>
      <x:c r="S189" s="352"/>
      <x:c r="T189" s="352"/>
      <x:c r="U189" s="352"/>
      <x:c r="V189" s="352"/>
      <x:c r="W189" s="352"/>
      <x:c r="X189" s="352"/>
      <x:c r="Y189" s="352"/>
      <x:c r="Z189" s="352"/>
    </x:row>
    <x:row r="190">
      <x:c r="A190"/>
      <x:c r="B190"/>
      <x:c r="C190"/>
      <x:c r="D190"/>
      <x:c r="E190"/>
      <x:c r="F190"/>
      <x:c r="G190"/>
      <x:c r="H190"/>
      <x:c r="I190" s="56"/>
      <x:c r="J190" s="56"/>
      <x:c r="K190" s="56"/>
      <x:c r="L190" s="56"/>
      <x:c r="M190" s="38"/>
      <x:c r="N190" s="56"/>
      <x:c r="O190"/>
      <x:c r="P190"/>
      <x:c r="Q190" s="352"/>
      <x:c r="R190" s="352"/>
      <x:c r="S190" s="352"/>
      <x:c r="T190" s="352"/>
      <x:c r="U190" s="352"/>
      <x:c r="V190" s="352"/>
      <x:c r="W190" s="352"/>
      <x:c r="X190" s="352"/>
      <x:c r="Y190" s="352"/>
      <x:c r="Z190" s="352"/>
    </x:row>
    <x:row r="191">
      <x:c r="A191"/>
      <x:c r="B191"/>
      <x:c r="C191"/>
      <x:c r="D191"/>
      <x:c r="E191"/>
      <x:c r="F191"/>
      <x:c r="G191"/>
      <x:c r="H191"/>
      <x:c r="I191" s="56"/>
      <x:c r="J191" s="56"/>
      <x:c r="K191" s="56"/>
      <x:c r="L191" s="56"/>
      <x:c r="M191" s="38"/>
      <x:c r="N191" s="56"/>
      <x:c r="O191"/>
      <x:c r="P191"/>
      <x:c r="Q191" s="352"/>
      <x:c r="R191" s="352"/>
      <x:c r="S191" s="352"/>
      <x:c r="T191" s="352"/>
      <x:c r="U191" s="352"/>
      <x:c r="V191" s="352"/>
      <x:c r="W191" s="352"/>
      <x:c r="X191" s="352"/>
      <x:c r="Y191" s="352"/>
      <x:c r="Z191" s="352"/>
    </x:row>
    <x:row r="192">
      <x:c r="A192"/>
      <x:c r="B192"/>
      <x:c r="C192"/>
      <x:c r="D192"/>
      <x:c r="E192"/>
      <x:c r="F192"/>
      <x:c r="G192"/>
      <x:c r="H192"/>
      <x:c r="I192" s="56"/>
      <x:c r="J192" s="56"/>
      <x:c r="K192" s="56"/>
      <x:c r="L192" s="56"/>
      <x:c r="M192" s="38"/>
      <x:c r="N192" s="56"/>
      <x:c r="O192"/>
      <x:c r="P192"/>
      <x:c r="Q192" s="352"/>
      <x:c r="R192" s="352"/>
      <x:c r="S192" s="352"/>
      <x:c r="T192" s="352"/>
      <x:c r="U192" s="352"/>
      <x:c r="V192" s="352"/>
      <x:c r="W192" s="352"/>
      <x:c r="X192" s="352"/>
      <x:c r="Y192" s="352"/>
      <x:c r="Z192" s="352"/>
    </x:row>
    <x:row r="193">
      <x:c r="A193"/>
      <x:c r="B193"/>
      <x:c r="C193"/>
      <x:c r="D193"/>
      <x:c r="E193"/>
      <x:c r="F193"/>
      <x:c r="G193"/>
      <x:c r="H193"/>
      <x:c r="I193" s="56"/>
      <x:c r="J193" s="56"/>
      <x:c r="K193" s="56"/>
      <x:c r="L193" s="56"/>
      <x:c r="M193" s="38"/>
      <x:c r="N193" s="56"/>
      <x:c r="O193"/>
      <x:c r="P193"/>
      <x:c r="Q193" s="352"/>
      <x:c r="R193" s="352"/>
      <x:c r="S193" s="352"/>
      <x:c r="T193" s="352"/>
      <x:c r="U193" s="352"/>
      <x:c r="V193" s="352"/>
      <x:c r="W193" s="352"/>
      <x:c r="X193" s="352"/>
      <x:c r="Y193" s="352"/>
      <x:c r="Z193" s="352"/>
    </x:row>
    <x:row r="194">
      <x:c r="A194"/>
      <x:c r="B194"/>
      <x:c r="C194"/>
      <x:c r="D194"/>
      <x:c r="E194"/>
      <x:c r="F194"/>
      <x:c r="G194"/>
      <x:c r="H194"/>
      <x:c r="I194" s="56"/>
      <x:c r="J194" s="56"/>
      <x:c r="K194" s="56"/>
      <x:c r="L194" s="56"/>
      <x:c r="M194" s="38"/>
      <x:c r="N194" s="56"/>
      <x:c r="O194"/>
      <x:c r="P194"/>
      <x:c r="Q194" s="352"/>
      <x:c r="R194" s="352"/>
      <x:c r="S194" s="352"/>
      <x:c r="T194" s="352"/>
      <x:c r="U194" s="352"/>
      <x:c r="V194" s="352"/>
      <x:c r="W194" s="352"/>
      <x:c r="X194" s="352"/>
      <x:c r="Y194" s="352"/>
      <x:c r="Z194" s="352"/>
    </x:row>
    <x:row r="195">
      <x:c r="A195"/>
      <x:c r="B195"/>
      <x:c r="C195"/>
      <x:c r="D195"/>
      <x:c r="E195"/>
      <x:c r="F195"/>
      <x:c r="G195"/>
      <x:c r="H195"/>
      <x:c r="I195" s="56"/>
      <x:c r="J195" s="56"/>
      <x:c r="K195" s="56"/>
      <x:c r="L195" s="56"/>
      <x:c r="M195" s="38"/>
      <x:c r="N195" s="56"/>
      <x:c r="O195"/>
      <x:c r="P195"/>
      <x:c r="Q195" s="352"/>
      <x:c r="R195" s="352"/>
      <x:c r="S195" s="352"/>
      <x:c r="T195" s="352"/>
      <x:c r="U195" s="352"/>
      <x:c r="V195" s="352"/>
      <x:c r="W195" s="352"/>
      <x:c r="X195" s="352"/>
      <x:c r="Y195" s="352"/>
      <x:c r="Z195" s="352"/>
    </x:row>
    <x:row r="196">
      <x:c r="A196"/>
      <x:c r="B196"/>
      <x:c r="C196"/>
      <x:c r="D196"/>
      <x:c r="E196"/>
      <x:c r="F196"/>
      <x:c r="G196"/>
      <x:c r="H196"/>
      <x:c r="I196" s="56"/>
      <x:c r="J196" s="56"/>
      <x:c r="K196" s="56"/>
      <x:c r="L196" s="56"/>
      <x:c r="M196" s="38"/>
      <x:c r="N196" s="56"/>
      <x:c r="O196"/>
      <x:c r="P196"/>
      <x:c r="Q196" s="352"/>
      <x:c r="R196" s="352"/>
      <x:c r="S196" s="352"/>
      <x:c r="T196" s="352"/>
      <x:c r="U196" s="352"/>
      <x:c r="V196" s="352"/>
      <x:c r="W196" s="352"/>
      <x:c r="X196" s="352"/>
      <x:c r="Y196" s="352"/>
      <x:c r="Z196" s="352"/>
    </x:row>
    <x:row r="197">
      <x:c r="A197"/>
      <x:c r="B197"/>
      <x:c r="C197"/>
      <x:c r="D197"/>
      <x:c r="E197"/>
      <x:c r="F197"/>
      <x:c r="G197"/>
      <x:c r="H197"/>
      <x:c r="I197" s="56"/>
      <x:c r="J197" s="56"/>
      <x:c r="K197" s="56"/>
      <x:c r="L197" s="56"/>
      <x:c r="M197" s="38"/>
      <x:c r="N197" s="56"/>
      <x:c r="O197"/>
      <x:c r="P197"/>
      <x:c r="Q197" s="352"/>
      <x:c r="R197" s="352"/>
      <x:c r="S197" s="352"/>
      <x:c r="T197" s="352"/>
      <x:c r="U197" s="352"/>
      <x:c r="V197" s="352"/>
      <x:c r="W197" s="352"/>
      <x:c r="X197" s="352"/>
      <x:c r="Y197" s="352"/>
      <x:c r="Z197" s="352"/>
    </x:row>
    <x:row r="198">
      <x:c r="A198"/>
      <x:c r="B198"/>
      <x:c r="C198"/>
      <x:c r="D198"/>
      <x:c r="E198"/>
      <x:c r="F198"/>
      <x:c r="G198"/>
      <x:c r="H198"/>
      <x:c r="I198" s="56"/>
      <x:c r="J198" s="56"/>
      <x:c r="K198" s="56"/>
      <x:c r="L198" s="56"/>
      <x:c r="M198" s="38"/>
      <x:c r="N198" s="56"/>
      <x:c r="O198"/>
      <x:c r="P198"/>
      <x:c r="Q198" s="352"/>
      <x:c r="R198" s="352"/>
      <x:c r="S198" s="352"/>
      <x:c r="T198" s="352"/>
      <x:c r="U198" s="352"/>
      <x:c r="V198" s="352"/>
      <x:c r="W198" s="352"/>
      <x:c r="X198" s="352"/>
      <x:c r="Y198" s="352"/>
      <x:c r="Z198" s="352"/>
    </x:row>
    <x:row r="199">
      <x:c r="A199"/>
      <x:c r="B199"/>
      <x:c r="C199"/>
      <x:c r="D199"/>
      <x:c r="E199"/>
      <x:c r="F199"/>
      <x:c r="G199"/>
      <x:c r="H199"/>
      <x:c r="I199" s="56"/>
      <x:c r="J199" s="56"/>
      <x:c r="K199" s="56"/>
      <x:c r="L199" s="56"/>
      <x:c r="M199" s="38"/>
      <x:c r="N199" s="56"/>
      <x:c r="O199"/>
      <x:c r="P199"/>
      <x:c r="Q199" s="352"/>
      <x:c r="R199" s="352"/>
      <x:c r="S199" s="352"/>
      <x:c r="T199" s="352"/>
      <x:c r="U199" s="352"/>
      <x:c r="V199" s="352"/>
      <x:c r="W199" s="352"/>
      <x:c r="X199" s="352"/>
      <x:c r="Y199" s="352"/>
      <x:c r="Z199" s="352"/>
    </x:row>
    <x:row r="200">
      <x:c r="A200"/>
      <x:c r="B200"/>
      <x:c r="C200"/>
      <x:c r="D200"/>
      <x:c r="E200"/>
      <x:c r="F200"/>
      <x:c r="G200"/>
      <x:c r="H200"/>
      <x:c r="I200" s="56"/>
      <x:c r="J200" s="56"/>
      <x:c r="K200" s="56"/>
      <x:c r="L200" s="56"/>
      <x:c r="M200" s="38"/>
      <x:c r="N200" s="56"/>
      <x:c r="O200"/>
      <x:c r="P200"/>
      <x:c r="Q200" s="352"/>
      <x:c r="R200" s="352"/>
      <x:c r="S200" s="352"/>
      <x:c r="T200" s="352"/>
      <x:c r="U200" s="352"/>
      <x:c r="V200" s="352"/>
      <x:c r="W200" s="352"/>
      <x:c r="X200" s="352"/>
      <x:c r="Y200" s="352"/>
      <x:c r="Z200" s="352"/>
    </x:row>
    <x:row r="201">
      <x:c r="A201"/>
      <x:c r="B201"/>
      <x:c r="C201"/>
      <x:c r="D201"/>
      <x:c r="E201"/>
      <x:c r="F201"/>
      <x:c r="G201"/>
      <x:c r="H201"/>
      <x:c r="I201" s="56"/>
      <x:c r="J201" s="56"/>
      <x:c r="K201" s="56"/>
      <x:c r="L201" s="56"/>
      <x:c r="M201" s="38"/>
      <x:c r="N201" s="56"/>
      <x:c r="O201"/>
      <x:c r="P201"/>
      <x:c r="Q201" s="352"/>
      <x:c r="R201" s="352"/>
      <x:c r="S201" s="352"/>
      <x:c r="T201" s="352"/>
      <x:c r="U201" s="352"/>
      <x:c r="V201" s="352"/>
      <x:c r="W201" s="352"/>
      <x:c r="X201" s="352"/>
      <x:c r="Y201" s="352"/>
      <x:c r="Z201" s="352"/>
    </x:row>
    <x:row r="202">
      <x:c r="A202"/>
      <x:c r="B202"/>
      <x:c r="C202"/>
      <x:c r="D202"/>
      <x:c r="E202"/>
      <x:c r="F202"/>
      <x:c r="G202"/>
      <x:c r="H202"/>
      <x:c r="I202" s="56"/>
      <x:c r="J202" s="56"/>
      <x:c r="K202" s="56"/>
      <x:c r="L202" s="56"/>
      <x:c r="M202" s="38"/>
      <x:c r="N202" s="56"/>
      <x:c r="O202"/>
      <x:c r="P202"/>
      <x:c r="Q202" s="352"/>
      <x:c r="R202" s="352"/>
      <x:c r="S202" s="352"/>
      <x:c r="T202" s="352"/>
      <x:c r="U202" s="352"/>
      <x:c r="V202" s="352"/>
      <x:c r="W202" s="352"/>
      <x:c r="X202" s="352"/>
      <x:c r="Y202" s="352"/>
      <x:c r="Z202" s="352"/>
    </x:row>
    <x:row r="203">
      <x:c r="A203"/>
      <x:c r="B203"/>
      <x:c r="C203"/>
      <x:c r="D203"/>
      <x:c r="E203"/>
      <x:c r="F203"/>
      <x:c r="G203"/>
      <x:c r="H203"/>
      <x:c r="I203" s="56"/>
      <x:c r="J203" s="56"/>
      <x:c r="K203" s="56"/>
      <x:c r="L203" s="56"/>
      <x:c r="M203" s="38"/>
      <x:c r="N203" s="56"/>
      <x:c r="O203"/>
      <x:c r="P203"/>
      <x:c r="Q203" s="352"/>
      <x:c r="R203" s="352"/>
      <x:c r="S203" s="352"/>
      <x:c r="T203" s="352"/>
      <x:c r="U203" s="352"/>
      <x:c r="V203" s="352"/>
      <x:c r="W203" s="352"/>
      <x:c r="X203" s="352"/>
      <x:c r="Y203" s="352"/>
      <x:c r="Z203" s="352"/>
    </x:row>
    <x:row r="204">
      <x:c r="A204"/>
      <x:c r="B204"/>
      <x:c r="C204"/>
      <x:c r="D204"/>
      <x:c r="E204"/>
      <x:c r="F204"/>
      <x:c r="G204"/>
      <x:c r="H204"/>
      <x:c r="I204" s="56"/>
      <x:c r="J204" s="56"/>
      <x:c r="K204" s="56"/>
      <x:c r="L204" s="56"/>
      <x:c r="M204" s="38"/>
      <x:c r="N204" s="56"/>
      <x:c r="O204"/>
      <x:c r="P204"/>
      <x:c r="Q204" s="352"/>
      <x:c r="R204" s="352"/>
      <x:c r="S204" s="352"/>
      <x:c r="T204" s="352"/>
      <x:c r="U204" s="352"/>
      <x:c r="V204" s="352"/>
      <x:c r="W204" s="352"/>
      <x:c r="X204" s="352"/>
      <x:c r="Y204" s="352"/>
      <x:c r="Z204" s="352"/>
    </x:row>
    <x:row r="205">
      <x:c r="A205"/>
      <x:c r="B205"/>
      <x:c r="C205"/>
      <x:c r="D205"/>
      <x:c r="E205"/>
      <x:c r="F205"/>
      <x:c r="G205"/>
      <x:c r="H205"/>
      <x:c r="I205" s="56"/>
      <x:c r="J205" s="56"/>
      <x:c r="K205" s="56"/>
      <x:c r="L205" s="56"/>
      <x:c r="M205" s="38"/>
      <x:c r="N205" s="56"/>
      <x:c r="O205"/>
      <x:c r="P205"/>
      <x:c r="Q205" s="352"/>
      <x:c r="R205" s="352"/>
      <x:c r="S205" s="352"/>
      <x:c r="T205" s="352"/>
      <x:c r="U205" s="352"/>
      <x:c r="V205" s="352"/>
      <x:c r="W205" s="352"/>
      <x:c r="X205" s="352"/>
      <x:c r="Y205" s="352"/>
      <x:c r="Z205" s="352"/>
    </x:row>
    <x:row r="206">
      <x:c r="A206"/>
      <x:c r="B206"/>
      <x:c r="C206"/>
      <x:c r="D206"/>
      <x:c r="E206"/>
      <x:c r="F206"/>
      <x:c r="G206"/>
      <x:c r="H206"/>
      <x:c r="I206" s="56"/>
      <x:c r="J206" s="56"/>
      <x:c r="K206" s="56"/>
      <x:c r="L206" s="56"/>
      <x:c r="M206" s="38"/>
      <x:c r="N206" s="56"/>
      <x:c r="O206"/>
      <x:c r="P206"/>
      <x:c r="Q206" s="352"/>
      <x:c r="R206" s="352"/>
      <x:c r="S206" s="352"/>
      <x:c r="T206" s="352"/>
      <x:c r="U206" s="352"/>
      <x:c r="V206" s="352"/>
      <x:c r="W206" s="352"/>
      <x:c r="X206" s="352"/>
      <x:c r="Y206" s="352"/>
      <x:c r="Z206" s="352"/>
    </x:row>
    <x:row r="207">
      <x:c r="A207"/>
      <x:c r="B207"/>
      <x:c r="C207"/>
      <x:c r="D207"/>
      <x:c r="E207"/>
      <x:c r="F207"/>
      <x:c r="G207"/>
      <x:c r="H207"/>
      <x:c r="I207" s="56"/>
      <x:c r="J207" s="56"/>
      <x:c r="K207" s="56"/>
      <x:c r="L207" s="56"/>
      <x:c r="M207" s="38"/>
      <x:c r="N207" s="56"/>
      <x:c r="O207"/>
      <x:c r="P207"/>
      <x:c r="Q207" s="352"/>
      <x:c r="R207" s="352"/>
      <x:c r="S207" s="352"/>
      <x:c r="T207" s="352"/>
      <x:c r="U207" s="352"/>
      <x:c r="V207" s="352"/>
      <x:c r="W207" s="352"/>
      <x:c r="X207" s="352"/>
      <x:c r="Y207" s="352"/>
      <x:c r="Z207" s="352"/>
    </x:row>
    <x:row r="208">
      <x:c r="A208"/>
      <x:c r="B208"/>
      <x:c r="C208"/>
      <x:c r="D208"/>
      <x:c r="E208"/>
      <x:c r="F208"/>
      <x:c r="G208"/>
      <x:c r="H208"/>
      <x:c r="I208" s="56"/>
      <x:c r="J208" s="56"/>
      <x:c r="K208" s="56"/>
      <x:c r="L208" s="56"/>
      <x:c r="M208" s="38"/>
      <x:c r="N208" s="56"/>
      <x:c r="O208"/>
      <x:c r="P208"/>
      <x:c r="Q208" s="352"/>
      <x:c r="R208" s="352"/>
      <x:c r="S208" s="352"/>
      <x:c r="T208" s="352"/>
      <x:c r="U208" s="352"/>
      <x:c r="V208" s="352"/>
      <x:c r="W208" s="352"/>
      <x:c r="X208" s="352"/>
      <x:c r="Y208" s="352"/>
      <x:c r="Z208" s="352"/>
    </x:row>
    <x:row r="209">
      <x:c r="A209"/>
      <x:c r="B209"/>
      <x:c r="C209"/>
      <x:c r="D209"/>
      <x:c r="E209"/>
      <x:c r="F209"/>
      <x:c r="G209"/>
      <x:c r="H209"/>
      <x:c r="I209" s="56"/>
      <x:c r="J209" s="56"/>
      <x:c r="K209" s="56"/>
      <x:c r="L209" s="56"/>
      <x:c r="M209" s="38"/>
      <x:c r="N209" s="56"/>
      <x:c r="O209"/>
      <x:c r="P209"/>
      <x:c r="Q209" s="352"/>
      <x:c r="R209" s="352"/>
      <x:c r="S209" s="352"/>
      <x:c r="T209" s="352"/>
      <x:c r="U209" s="352"/>
      <x:c r="V209" s="352"/>
      <x:c r="W209" s="352"/>
      <x:c r="X209" s="352"/>
      <x:c r="Y209" s="352"/>
      <x:c r="Z209" s="352"/>
    </x:row>
    <x:row r="210">
      <x:c r="A210"/>
      <x:c r="B210"/>
      <x:c r="C210"/>
      <x:c r="D210"/>
      <x:c r="E210"/>
      <x:c r="F210"/>
      <x:c r="G210"/>
      <x:c r="H210"/>
      <x:c r="I210" s="56"/>
      <x:c r="J210" s="56"/>
      <x:c r="K210" s="56"/>
      <x:c r="L210" s="56"/>
      <x:c r="M210" s="38"/>
      <x:c r="N210" s="56"/>
      <x:c r="O210"/>
      <x:c r="P210"/>
      <x:c r="Q210" s="352"/>
      <x:c r="R210" s="352"/>
      <x:c r="S210" s="352"/>
      <x:c r="T210" s="352"/>
      <x:c r="U210" s="352"/>
      <x:c r="V210" s="352"/>
      <x:c r="W210" s="352"/>
      <x:c r="X210" s="352"/>
      <x:c r="Y210" s="352"/>
      <x:c r="Z210" s="352"/>
    </x:row>
    <x:row r="211">
      <x:c r="A211"/>
      <x:c r="B211"/>
      <x:c r="C211"/>
      <x:c r="D211"/>
      <x:c r="E211"/>
      <x:c r="F211"/>
      <x:c r="G211"/>
      <x:c r="H211"/>
      <x:c r="I211" s="56"/>
      <x:c r="J211" s="56"/>
      <x:c r="K211" s="56"/>
      <x:c r="L211" s="56"/>
      <x:c r="M211" s="38"/>
      <x:c r="N211" s="56"/>
      <x:c r="O211"/>
      <x:c r="P211"/>
      <x:c r="Q211" s="352"/>
      <x:c r="R211" s="352"/>
      <x:c r="S211" s="352"/>
      <x:c r="T211" s="352"/>
      <x:c r="U211" s="352"/>
      <x:c r="V211" s="352"/>
      <x:c r="W211" s="352"/>
      <x:c r="X211" s="352"/>
      <x:c r="Y211" s="352"/>
      <x:c r="Z211" s="352"/>
    </x:row>
    <x:row r="212">
      <x:c r="A212"/>
      <x:c r="B212"/>
      <x:c r="C212"/>
      <x:c r="D212"/>
      <x:c r="E212"/>
      <x:c r="F212"/>
      <x:c r="G212"/>
      <x:c r="H212"/>
      <x:c r="I212" s="56"/>
      <x:c r="J212" s="56"/>
      <x:c r="K212" s="56"/>
      <x:c r="L212" s="56"/>
      <x:c r="M212" s="38"/>
      <x:c r="N212" s="56"/>
      <x:c r="O212"/>
      <x:c r="P212"/>
      <x:c r="Q212" s="352"/>
      <x:c r="R212" s="352"/>
      <x:c r="S212" s="352"/>
      <x:c r="T212" s="352"/>
      <x:c r="U212" s="352"/>
      <x:c r="V212" s="352"/>
      <x:c r="W212" s="352"/>
      <x:c r="X212" s="352"/>
      <x:c r="Y212" s="352"/>
      <x:c r="Z212" s="352"/>
    </x:row>
    <x:row r="213">
      <x:c r="A213"/>
      <x:c r="B213"/>
      <x:c r="C213"/>
      <x:c r="D213"/>
      <x:c r="E213"/>
      <x:c r="F213"/>
      <x:c r="G213"/>
      <x:c r="H213"/>
      <x:c r="I213" s="56"/>
      <x:c r="J213" s="56"/>
      <x:c r="K213" s="56"/>
      <x:c r="L213" s="56"/>
      <x:c r="M213" s="38"/>
      <x:c r="N213" s="56"/>
      <x:c r="O213"/>
      <x:c r="P213"/>
      <x:c r="Q213" s="352"/>
      <x:c r="R213" s="352"/>
      <x:c r="S213" s="352"/>
      <x:c r="T213" s="352"/>
      <x:c r="U213" s="352"/>
      <x:c r="V213" s="352"/>
      <x:c r="W213" s="352"/>
      <x:c r="X213" s="352"/>
      <x:c r="Y213" s="352"/>
      <x:c r="Z213" s="352"/>
    </x:row>
    <x:row r="214">
      <x:c r="A214"/>
      <x:c r="B214"/>
      <x:c r="C214"/>
      <x:c r="D214"/>
      <x:c r="E214"/>
      <x:c r="F214"/>
      <x:c r="G214"/>
      <x:c r="H214"/>
      <x:c r="I214" s="56"/>
      <x:c r="J214" s="56"/>
      <x:c r="K214" s="56"/>
      <x:c r="L214" s="56"/>
      <x:c r="M214" s="38"/>
      <x:c r="N214" s="56"/>
      <x:c r="O214"/>
      <x:c r="P214"/>
      <x:c r="Q214" s="352"/>
      <x:c r="R214" s="352"/>
      <x:c r="S214" s="352"/>
      <x:c r="T214" s="352"/>
      <x:c r="U214" s="352"/>
      <x:c r="V214" s="352"/>
      <x:c r="W214" s="352"/>
      <x:c r="X214" s="352"/>
      <x:c r="Y214" s="352"/>
      <x:c r="Z214" s="352"/>
    </x:row>
    <x:row r="215">
      <x:c r="A215"/>
      <x:c r="B215"/>
      <x:c r="C215"/>
      <x:c r="D215"/>
      <x:c r="E215"/>
      <x:c r="F215"/>
      <x:c r="G215"/>
      <x:c r="H215"/>
      <x:c r="I215" s="56"/>
      <x:c r="J215" s="56"/>
      <x:c r="K215" s="56"/>
      <x:c r="L215" s="56"/>
      <x:c r="M215" s="38"/>
      <x:c r="N215" s="56"/>
      <x:c r="O215"/>
      <x:c r="P215"/>
      <x:c r="Q215" s="352"/>
      <x:c r="R215" s="352"/>
      <x:c r="S215" s="352"/>
      <x:c r="T215" s="352"/>
      <x:c r="U215" s="352"/>
      <x:c r="V215" s="352"/>
      <x:c r="W215" s="352"/>
      <x:c r="X215" s="352"/>
      <x:c r="Y215" s="352"/>
      <x:c r="Z215" s="352"/>
    </x:row>
    <x:row r="216">
      <x:c r="A216"/>
      <x:c r="B216"/>
      <x:c r="C216"/>
      <x:c r="D216"/>
      <x:c r="E216"/>
      <x:c r="F216"/>
      <x:c r="G216"/>
      <x:c r="H216"/>
      <x:c r="I216" s="56"/>
      <x:c r="J216" s="56"/>
      <x:c r="K216" s="56"/>
      <x:c r="L216" s="56"/>
      <x:c r="M216" s="38"/>
      <x:c r="N216" s="56"/>
      <x:c r="O216"/>
      <x:c r="P216"/>
      <x:c r="Q216" s="352"/>
      <x:c r="R216" s="352"/>
      <x:c r="S216" s="352"/>
      <x:c r="T216" s="352"/>
      <x:c r="U216" s="352"/>
      <x:c r="V216" s="352"/>
      <x:c r="W216" s="352"/>
      <x:c r="X216" s="352"/>
      <x:c r="Y216" s="352"/>
      <x:c r="Z216" s="352"/>
    </x:row>
    <x:row r="217">
      <x:c r="A217"/>
      <x:c r="B217"/>
      <x:c r="C217"/>
      <x:c r="D217"/>
      <x:c r="E217"/>
      <x:c r="F217"/>
      <x:c r="G217"/>
      <x:c r="H217"/>
      <x:c r="I217" s="56"/>
      <x:c r="J217" s="56"/>
      <x:c r="K217" s="56"/>
      <x:c r="L217" s="56"/>
      <x:c r="M217" s="38"/>
      <x:c r="N217" s="56"/>
      <x:c r="O217"/>
      <x:c r="P217"/>
      <x:c r="Q217" s="352"/>
      <x:c r="R217" s="352"/>
      <x:c r="S217" s="352"/>
      <x:c r="T217" s="352"/>
      <x:c r="U217" s="352"/>
      <x:c r="V217" s="352"/>
      <x:c r="W217" s="352"/>
      <x:c r="X217" s="352"/>
      <x:c r="Y217" s="352"/>
      <x:c r="Z217" s="352"/>
    </x:row>
    <x:row r="218">
      <x:c r="A218"/>
      <x:c r="B218"/>
      <x:c r="C218"/>
      <x:c r="D218"/>
      <x:c r="E218"/>
      <x:c r="F218"/>
      <x:c r="G218"/>
      <x:c r="H218"/>
      <x:c r="I218" s="56"/>
      <x:c r="J218" s="56"/>
      <x:c r="K218" s="56"/>
      <x:c r="L218" s="56"/>
      <x:c r="M218" s="38"/>
      <x:c r="N218" s="56"/>
      <x:c r="O218"/>
      <x:c r="P218"/>
      <x:c r="Q218" s="352"/>
      <x:c r="R218" s="352"/>
      <x:c r="S218" s="352"/>
      <x:c r="T218" s="352"/>
      <x:c r="U218" s="352"/>
      <x:c r="V218" s="352"/>
      <x:c r="W218" s="352"/>
      <x:c r="X218" s="352"/>
      <x:c r="Y218" s="352"/>
      <x:c r="Z218" s="352"/>
    </x:row>
    <x:row r="219">
      <x:c r="A219"/>
      <x:c r="B219"/>
      <x:c r="C219"/>
      <x:c r="D219"/>
      <x:c r="E219"/>
      <x:c r="F219"/>
      <x:c r="G219"/>
      <x:c r="H219"/>
      <x:c r="I219" s="56"/>
      <x:c r="J219" s="56"/>
      <x:c r="K219" s="56"/>
      <x:c r="L219" s="56"/>
      <x:c r="M219" s="38"/>
      <x:c r="N219" s="56"/>
      <x:c r="O219"/>
      <x:c r="P219"/>
      <x:c r="Q219" s="352"/>
      <x:c r="R219" s="352"/>
      <x:c r="S219" s="352"/>
      <x:c r="T219" s="352"/>
      <x:c r="U219" s="352"/>
      <x:c r="V219" s="352"/>
      <x:c r="W219" s="352"/>
      <x:c r="X219" s="352"/>
      <x:c r="Y219" s="352"/>
      <x:c r="Z219" s="352"/>
    </x:row>
    <x:row r="220">
      <x:c r="A220"/>
      <x:c r="B220"/>
      <x:c r="C220"/>
      <x:c r="D220"/>
      <x:c r="E220"/>
      <x:c r="F220"/>
      <x:c r="G220"/>
      <x:c r="H220"/>
      <x:c r="I220" s="56"/>
      <x:c r="J220" s="56"/>
      <x:c r="K220" s="56"/>
      <x:c r="L220" s="56"/>
      <x:c r="M220" s="38"/>
      <x:c r="N220" s="56"/>
      <x:c r="O220"/>
      <x:c r="P220"/>
      <x:c r="Q220" s="352"/>
      <x:c r="R220" s="352"/>
      <x:c r="S220" s="352"/>
      <x:c r="T220" s="352"/>
      <x:c r="U220" s="352"/>
      <x:c r="V220" s="352"/>
      <x:c r="W220" s="352"/>
      <x:c r="X220" s="352"/>
      <x:c r="Y220" s="352"/>
      <x:c r="Z220" s="352"/>
    </x:row>
    <x:row r="221">
      <x:c r="A221"/>
      <x:c r="B221"/>
      <x:c r="C221"/>
      <x:c r="D221"/>
      <x:c r="E221"/>
      <x:c r="F221"/>
      <x:c r="G221"/>
      <x:c r="H221"/>
      <x:c r="I221" s="56"/>
      <x:c r="J221" s="56"/>
      <x:c r="K221" s="56"/>
      <x:c r="L221" s="56"/>
      <x:c r="M221" s="38"/>
      <x:c r="N221" s="56"/>
      <x:c r="O221"/>
      <x:c r="P221"/>
      <x:c r="Q221" s="352"/>
      <x:c r="R221" s="352"/>
      <x:c r="S221" s="352"/>
      <x:c r="T221" s="352"/>
      <x:c r="U221" s="352"/>
      <x:c r="V221" s="352"/>
      <x:c r="W221" s="352"/>
      <x:c r="X221" s="352"/>
      <x:c r="Y221" s="352"/>
      <x:c r="Z221" s="352"/>
    </x:row>
    <x:row r="222">
      <x:c r="A222"/>
      <x:c r="B222"/>
      <x:c r="C222"/>
      <x:c r="D222"/>
      <x:c r="E222"/>
      <x:c r="F222"/>
      <x:c r="G222"/>
      <x:c r="H222"/>
      <x:c r="I222" s="56"/>
      <x:c r="J222" s="56"/>
      <x:c r="K222" s="56"/>
      <x:c r="L222" s="56"/>
      <x:c r="M222" s="38"/>
      <x:c r="N222" s="56"/>
      <x:c r="O222"/>
      <x:c r="P222"/>
      <x:c r="Q222" s="352"/>
      <x:c r="R222" s="352"/>
      <x:c r="S222" s="352"/>
      <x:c r="T222" s="352"/>
      <x:c r="U222" s="352"/>
      <x:c r="V222" s="352"/>
      <x:c r="W222" s="352"/>
      <x:c r="X222" s="352"/>
      <x:c r="Y222" s="352"/>
      <x:c r="Z222" s="352"/>
    </x:row>
    <x:row r="223">
      <x:c r="A223"/>
      <x:c r="B223"/>
      <x:c r="C223"/>
      <x:c r="D223"/>
      <x:c r="E223"/>
      <x:c r="F223"/>
      <x:c r="G223"/>
      <x:c r="H223"/>
      <x:c r="I223" s="56"/>
      <x:c r="J223" s="56"/>
      <x:c r="K223" s="56"/>
      <x:c r="L223" s="56"/>
      <x:c r="M223" s="38"/>
      <x:c r="N223" s="56"/>
      <x:c r="O223"/>
      <x:c r="P223"/>
      <x:c r="Q223" s="352"/>
      <x:c r="R223" s="352"/>
      <x:c r="S223" s="352"/>
      <x:c r="T223" s="352"/>
      <x:c r="U223" s="352"/>
      <x:c r="V223" s="352"/>
      <x:c r="W223" s="352"/>
      <x:c r="X223" s="352"/>
      <x:c r="Y223" s="352"/>
      <x:c r="Z223" s="352"/>
    </x:row>
    <x:row r="224">
      <x:c r="A224"/>
      <x:c r="B224"/>
      <x:c r="C224"/>
      <x:c r="D224"/>
      <x:c r="E224"/>
      <x:c r="F224"/>
      <x:c r="G224"/>
      <x:c r="H224"/>
      <x:c r="I224" s="56"/>
      <x:c r="J224" s="56"/>
      <x:c r="K224" s="56"/>
      <x:c r="L224" s="56"/>
      <x:c r="M224" s="38"/>
      <x:c r="N224" s="56"/>
      <x:c r="O224"/>
      <x:c r="P224"/>
      <x:c r="Q224" s="352"/>
      <x:c r="R224" s="352"/>
      <x:c r="S224" s="352"/>
      <x:c r="T224" s="352"/>
      <x:c r="U224" s="352"/>
      <x:c r="V224" s="352"/>
      <x:c r="W224" s="352"/>
      <x:c r="X224" s="352"/>
      <x:c r="Y224" s="352"/>
      <x:c r="Z224" s="352"/>
    </x:row>
    <x:row r="225">
      <x:c r="A225"/>
      <x:c r="B225"/>
      <x:c r="C225"/>
      <x:c r="D225"/>
      <x:c r="E225"/>
      <x:c r="F225"/>
      <x:c r="G225"/>
      <x:c r="H225"/>
      <x:c r="I225" s="56"/>
      <x:c r="J225" s="56"/>
      <x:c r="K225" s="56"/>
      <x:c r="L225" s="56"/>
      <x:c r="M225" s="38"/>
      <x:c r="N225" s="56"/>
      <x:c r="O225"/>
      <x:c r="P225"/>
      <x:c r="Q225" s="352"/>
      <x:c r="R225" s="352"/>
      <x:c r="S225" s="352"/>
      <x:c r="T225" s="352"/>
      <x:c r="U225" s="352"/>
      <x:c r="V225" s="352"/>
      <x:c r="W225" s="352"/>
      <x:c r="X225" s="352"/>
      <x:c r="Y225" s="352"/>
      <x:c r="Z225" s="352"/>
    </x:row>
    <x:row r="226">
      <x:c r="A226"/>
      <x:c r="B226"/>
      <x:c r="C226"/>
      <x:c r="D226"/>
      <x:c r="E226"/>
      <x:c r="F226"/>
      <x:c r="G226"/>
      <x:c r="H226"/>
      <x:c r="I226" s="56"/>
      <x:c r="J226" s="56"/>
      <x:c r="K226" s="56"/>
      <x:c r="L226" s="56"/>
      <x:c r="M226" s="38"/>
      <x:c r="N226" s="56"/>
      <x:c r="O226"/>
      <x:c r="P226"/>
      <x:c r="Q226" s="352"/>
      <x:c r="R226" s="352"/>
      <x:c r="S226" s="352"/>
      <x:c r="T226" s="352"/>
      <x:c r="U226" s="352"/>
      <x:c r="V226" s="352"/>
      <x:c r="W226" s="352"/>
      <x:c r="X226" s="352"/>
      <x:c r="Y226" s="352"/>
      <x:c r="Z226" s="352"/>
    </x:row>
    <x:row r="227">
      <x:c r="A227"/>
      <x:c r="B227"/>
      <x:c r="C227"/>
      <x:c r="D227"/>
      <x:c r="E227"/>
      <x:c r="F227"/>
      <x:c r="G227"/>
      <x:c r="H227"/>
      <x:c r="I227" s="56"/>
      <x:c r="J227" s="56"/>
      <x:c r="K227" s="56"/>
      <x:c r="L227" s="56"/>
      <x:c r="M227" s="38"/>
      <x:c r="N227" s="56"/>
      <x:c r="O227"/>
      <x:c r="P227"/>
      <x:c r="Q227" s="352"/>
      <x:c r="R227" s="352"/>
      <x:c r="S227" s="352"/>
      <x:c r="T227" s="352"/>
      <x:c r="U227" s="352"/>
      <x:c r="V227" s="352"/>
      <x:c r="W227" s="352"/>
      <x:c r="X227" s="352"/>
      <x:c r="Y227" s="352"/>
      <x:c r="Z227" s="352"/>
    </x:row>
    <x:row r="228">
      <x:c r="A228"/>
      <x:c r="B228"/>
      <x:c r="C228"/>
      <x:c r="D228"/>
      <x:c r="E228"/>
      <x:c r="F228"/>
      <x:c r="G228"/>
      <x:c r="H228"/>
      <x:c r="I228" s="56"/>
      <x:c r="J228" s="56"/>
      <x:c r="K228" s="56"/>
      <x:c r="L228" s="56"/>
      <x:c r="M228" s="38"/>
      <x:c r="N228" s="56"/>
      <x:c r="O228"/>
      <x:c r="P228"/>
      <x:c r="Q228" s="352"/>
      <x:c r="R228" s="352"/>
      <x:c r="S228" s="352"/>
      <x:c r="T228" s="352"/>
      <x:c r="U228" s="352"/>
      <x:c r="V228" s="352"/>
      <x:c r="W228" s="352"/>
      <x:c r="X228" s="352"/>
      <x:c r="Y228" s="352"/>
      <x:c r="Z228" s="352"/>
    </x:row>
    <x:row r="229">
      <x:c r="A229"/>
      <x:c r="B229"/>
      <x:c r="C229"/>
      <x:c r="D229"/>
      <x:c r="E229"/>
      <x:c r="F229"/>
      <x:c r="G229"/>
      <x:c r="H229"/>
      <x:c r="I229" s="56"/>
      <x:c r="J229" s="56"/>
      <x:c r="K229" s="56"/>
      <x:c r="L229" s="56"/>
      <x:c r="M229" s="38"/>
      <x:c r="N229" s="56"/>
      <x:c r="O229"/>
      <x:c r="P229"/>
      <x:c r="Q229" s="352"/>
      <x:c r="R229" s="352"/>
      <x:c r="S229" s="352"/>
      <x:c r="T229" s="352"/>
      <x:c r="U229" s="352"/>
      <x:c r="V229" s="352"/>
      <x:c r="W229" s="352"/>
      <x:c r="X229" s="352"/>
      <x:c r="Y229" s="352"/>
      <x:c r="Z229" s="352"/>
    </x:row>
    <x:row r="230">
      <x:c r="A230"/>
      <x:c r="B230"/>
      <x:c r="C230"/>
      <x:c r="D230"/>
      <x:c r="E230"/>
      <x:c r="F230"/>
      <x:c r="G230"/>
      <x:c r="H230"/>
      <x:c r="I230" s="56"/>
      <x:c r="J230" s="56"/>
      <x:c r="K230" s="56"/>
      <x:c r="L230" s="56"/>
      <x:c r="M230" s="38"/>
      <x:c r="N230" s="56"/>
      <x:c r="O230"/>
      <x:c r="P230"/>
      <x:c r="Q230" s="352"/>
      <x:c r="R230" s="352"/>
      <x:c r="S230" s="352"/>
      <x:c r="T230" s="352"/>
      <x:c r="U230" s="352"/>
      <x:c r="V230" s="352"/>
      <x:c r="W230" s="352"/>
      <x:c r="X230" s="352"/>
      <x:c r="Y230" s="352"/>
      <x:c r="Z230" s="352"/>
    </x:row>
    <x:row r="231">
      <x:c r="A231"/>
      <x:c r="B231"/>
      <x:c r="C231"/>
      <x:c r="D231"/>
      <x:c r="E231"/>
      <x:c r="F231"/>
      <x:c r="G231"/>
      <x:c r="H231"/>
      <x:c r="I231" s="56"/>
      <x:c r="J231" s="56"/>
      <x:c r="K231" s="56"/>
      <x:c r="L231" s="56"/>
      <x:c r="M231" s="38"/>
      <x:c r="N231" s="56"/>
      <x:c r="O231"/>
      <x:c r="P231"/>
      <x:c r="Q231" s="352"/>
      <x:c r="R231" s="352"/>
      <x:c r="S231" s="352"/>
      <x:c r="T231" s="352"/>
      <x:c r="U231" s="352"/>
      <x:c r="V231" s="352"/>
      <x:c r="W231" s="352"/>
      <x:c r="X231" s="352"/>
      <x:c r="Y231" s="352"/>
      <x:c r="Z231" s="352"/>
    </x:row>
    <x:row r="232">
      <x:c r="A232"/>
      <x:c r="B232"/>
      <x:c r="C232"/>
      <x:c r="D232"/>
      <x:c r="E232"/>
      <x:c r="F232"/>
      <x:c r="G232"/>
      <x:c r="H232"/>
      <x:c r="I232" s="56"/>
      <x:c r="J232" s="56"/>
      <x:c r="K232" s="56"/>
      <x:c r="L232" s="56"/>
      <x:c r="M232" s="38"/>
      <x:c r="N232" s="56"/>
      <x:c r="O232"/>
      <x:c r="P232"/>
      <x:c r="Q232" s="352"/>
      <x:c r="R232" s="352"/>
      <x:c r="S232" s="352"/>
      <x:c r="T232" s="352"/>
      <x:c r="U232" s="352"/>
      <x:c r="V232" s="352"/>
      <x:c r="W232" s="352"/>
      <x:c r="X232" s="352"/>
      <x:c r="Y232" s="352"/>
      <x:c r="Z232" s="352"/>
    </x:row>
    <x:row r="233">
      <x:c r="A233"/>
      <x:c r="B233"/>
      <x:c r="C233"/>
      <x:c r="D233"/>
      <x:c r="E233"/>
      <x:c r="F233"/>
      <x:c r="G233"/>
      <x:c r="H233"/>
      <x:c r="I233" s="56"/>
      <x:c r="J233" s="56"/>
      <x:c r="K233" s="56"/>
      <x:c r="L233" s="56"/>
      <x:c r="M233" s="38"/>
      <x:c r="N233" s="56"/>
      <x:c r="O233"/>
      <x:c r="P233"/>
      <x:c r="Q233" s="352"/>
      <x:c r="R233" s="352"/>
      <x:c r="S233" s="352"/>
      <x:c r="T233" s="352"/>
      <x:c r="U233" s="352"/>
      <x:c r="V233" s="352"/>
      <x:c r="W233" s="352"/>
      <x:c r="X233" s="352"/>
      <x:c r="Y233" s="352"/>
      <x:c r="Z233" s="352"/>
    </x:row>
    <x:row r="234">
      <x:c r="A234"/>
      <x:c r="B234"/>
      <x:c r="C234"/>
      <x:c r="D234"/>
      <x:c r="E234"/>
      <x:c r="F234"/>
      <x:c r="G234"/>
      <x:c r="H234"/>
      <x:c r="I234" s="56"/>
      <x:c r="J234" s="56"/>
      <x:c r="K234" s="56"/>
      <x:c r="L234" s="56"/>
      <x:c r="M234" s="38"/>
      <x:c r="N234" s="56"/>
      <x:c r="O234"/>
      <x:c r="P234"/>
      <x:c r="Q234" s="352"/>
      <x:c r="R234" s="352"/>
      <x:c r="S234" s="352"/>
      <x:c r="T234" s="352"/>
      <x:c r="U234" s="352"/>
      <x:c r="V234" s="352"/>
      <x:c r="W234" s="352"/>
      <x:c r="X234" s="352"/>
      <x:c r="Y234" s="352"/>
      <x:c r="Z234" s="352"/>
    </x:row>
    <x:row r="235">
      <x:c r="A235"/>
      <x:c r="B235"/>
      <x:c r="C235"/>
      <x:c r="D235"/>
      <x:c r="E235"/>
      <x:c r="F235"/>
      <x:c r="G235"/>
      <x:c r="H235"/>
      <x:c r="I235" s="56"/>
      <x:c r="J235" s="56"/>
      <x:c r="K235" s="56"/>
      <x:c r="L235" s="56"/>
      <x:c r="M235" s="38"/>
      <x:c r="N235" s="56"/>
      <x:c r="O235"/>
      <x:c r="P235"/>
      <x:c r="Q235" s="352"/>
      <x:c r="R235" s="352"/>
      <x:c r="S235" s="352"/>
      <x:c r="T235" s="352"/>
      <x:c r="U235" s="352"/>
      <x:c r="V235" s="352"/>
      <x:c r="W235" s="352"/>
      <x:c r="X235" s="352"/>
      <x:c r="Y235" s="352"/>
      <x:c r="Z235" s="352"/>
    </x:row>
    <x:row r="236">
      <x:c r="A236"/>
      <x:c r="B236"/>
      <x:c r="C236"/>
      <x:c r="D236"/>
      <x:c r="E236"/>
      <x:c r="F236"/>
      <x:c r="G236"/>
      <x:c r="H236"/>
      <x:c r="I236" s="56"/>
      <x:c r="J236" s="56"/>
      <x:c r="K236" s="56"/>
      <x:c r="L236" s="56"/>
      <x:c r="M236" s="38"/>
      <x:c r="N236" s="56"/>
      <x:c r="O236"/>
      <x:c r="P236"/>
      <x:c r="Q236" s="352"/>
      <x:c r="R236" s="352"/>
      <x:c r="S236" s="352"/>
      <x:c r="T236" s="352"/>
      <x:c r="U236" s="352"/>
      <x:c r="V236" s="352"/>
      <x:c r="W236" s="352"/>
      <x:c r="X236" s="352"/>
      <x:c r="Y236" s="352"/>
      <x:c r="Z236" s="352"/>
    </x:row>
    <x:row r="237">
      <x:c r="A237"/>
      <x:c r="B237"/>
      <x:c r="C237"/>
      <x:c r="D237"/>
      <x:c r="E237"/>
      <x:c r="F237"/>
      <x:c r="G237"/>
      <x:c r="H237"/>
      <x:c r="I237" s="56"/>
      <x:c r="J237" s="56"/>
      <x:c r="K237" s="56"/>
      <x:c r="L237" s="56"/>
      <x:c r="M237" s="38"/>
      <x:c r="N237" s="56"/>
      <x:c r="O237"/>
      <x:c r="P237"/>
      <x:c r="Q237" s="352"/>
      <x:c r="R237" s="352"/>
      <x:c r="S237" s="352"/>
      <x:c r="T237" s="352"/>
      <x:c r="U237" s="352"/>
      <x:c r="V237" s="352"/>
      <x:c r="W237" s="352"/>
      <x:c r="X237" s="352"/>
      <x:c r="Y237" s="352"/>
      <x:c r="Z237" s="352"/>
    </x:row>
    <x:row r="238">
      <x:c r="A238"/>
      <x:c r="B238"/>
      <x:c r="C238"/>
      <x:c r="D238"/>
      <x:c r="E238"/>
      <x:c r="F238"/>
      <x:c r="G238"/>
      <x:c r="H238"/>
      <x:c r="I238" s="56"/>
      <x:c r="J238" s="56"/>
      <x:c r="K238" s="56"/>
      <x:c r="L238" s="56"/>
      <x:c r="M238" s="38"/>
      <x:c r="N238" s="56"/>
      <x:c r="O238"/>
      <x:c r="P238"/>
      <x:c r="Q238" s="352"/>
      <x:c r="R238" s="352"/>
      <x:c r="S238" s="352"/>
      <x:c r="T238" s="352"/>
      <x:c r="U238" s="352"/>
      <x:c r="V238" s="352"/>
      <x:c r="W238" s="352"/>
      <x:c r="X238" s="352"/>
      <x:c r="Y238" s="352"/>
      <x:c r="Z238" s="352"/>
    </x:row>
    <x:row r="239">
      <x:c r="A239"/>
      <x:c r="B239"/>
      <x:c r="C239"/>
      <x:c r="D239"/>
      <x:c r="E239"/>
      <x:c r="F239"/>
      <x:c r="G239"/>
      <x:c r="H239"/>
      <x:c r="I239" s="56"/>
      <x:c r="J239" s="56"/>
      <x:c r="K239" s="56"/>
      <x:c r="L239" s="56"/>
      <x:c r="M239" s="38"/>
      <x:c r="N239" s="56"/>
      <x:c r="O239"/>
      <x:c r="P239"/>
      <x:c r="Q239" s="352"/>
      <x:c r="R239" s="352"/>
      <x:c r="S239" s="352"/>
      <x:c r="T239" s="352"/>
      <x:c r="U239" s="352"/>
      <x:c r="V239" s="352"/>
      <x:c r="W239" s="352"/>
      <x:c r="X239" s="352"/>
      <x:c r="Y239" s="352"/>
      <x:c r="Z239" s="352"/>
    </x:row>
    <x:row r="240">
      <x:c r="A240"/>
      <x:c r="B240"/>
      <x:c r="C240"/>
      <x:c r="D240"/>
      <x:c r="E240"/>
      <x:c r="F240"/>
      <x:c r="G240"/>
      <x:c r="H240"/>
      <x:c r="I240" s="56"/>
      <x:c r="J240" s="56"/>
      <x:c r="K240" s="56"/>
      <x:c r="L240" s="56"/>
      <x:c r="M240" s="38"/>
      <x:c r="N240" s="56"/>
      <x:c r="O240"/>
      <x:c r="P240"/>
      <x:c r="Q240" s="352"/>
      <x:c r="R240" s="352"/>
      <x:c r="S240" s="352"/>
      <x:c r="T240" s="352"/>
      <x:c r="U240" s="352"/>
      <x:c r="V240" s="352"/>
      <x:c r="W240" s="352"/>
      <x:c r="X240" s="352"/>
      <x:c r="Y240" s="352"/>
      <x:c r="Z240" s="352"/>
    </x:row>
    <x:row r="241">
      <x:c r="A241"/>
      <x:c r="B241"/>
      <x:c r="C241"/>
      <x:c r="D241"/>
      <x:c r="E241"/>
      <x:c r="F241"/>
      <x:c r="G241"/>
      <x:c r="H241"/>
      <x:c r="I241" s="56"/>
      <x:c r="J241" s="56"/>
      <x:c r="K241" s="56"/>
      <x:c r="L241" s="56"/>
      <x:c r="M241" s="38"/>
      <x:c r="N241" s="56"/>
      <x:c r="O241"/>
      <x:c r="P241"/>
      <x:c r="Q241" s="352"/>
      <x:c r="R241" s="352"/>
      <x:c r="S241" s="352"/>
      <x:c r="T241" s="352"/>
      <x:c r="U241" s="352"/>
      <x:c r="V241" s="352"/>
      <x:c r="W241" s="352"/>
      <x:c r="X241" s="352"/>
      <x:c r="Y241" s="352"/>
      <x:c r="Z241" s="352"/>
    </x:row>
    <x:row r="242">
      <x:c r="A242"/>
      <x:c r="B242"/>
      <x:c r="C242"/>
      <x:c r="D242"/>
      <x:c r="E242"/>
      <x:c r="F242"/>
      <x:c r="G242"/>
      <x:c r="H242"/>
      <x:c r="I242" s="56"/>
      <x:c r="J242" s="56"/>
      <x:c r="K242" s="56"/>
      <x:c r="L242" s="56"/>
      <x:c r="M242" s="38"/>
      <x:c r="N242" s="56"/>
      <x:c r="O242"/>
      <x:c r="P242"/>
      <x:c r="Q242" s="352"/>
      <x:c r="R242" s="352"/>
      <x:c r="S242" s="352"/>
      <x:c r="T242" s="352"/>
      <x:c r="U242" s="352"/>
      <x:c r="V242" s="352"/>
      <x:c r="W242" s="352"/>
      <x:c r="X242" s="352"/>
      <x:c r="Y242" s="352"/>
      <x:c r="Z242" s="352"/>
    </x:row>
    <x:row r="243">
      <x:c r="A243"/>
      <x:c r="B243"/>
      <x:c r="C243"/>
      <x:c r="D243"/>
      <x:c r="E243"/>
      <x:c r="F243"/>
      <x:c r="G243"/>
      <x:c r="H243"/>
      <x:c r="I243" s="56"/>
      <x:c r="J243" s="56"/>
      <x:c r="K243" s="56"/>
      <x:c r="L243" s="56"/>
      <x:c r="M243" s="38"/>
      <x:c r="N243" s="56"/>
      <x:c r="O243"/>
      <x:c r="P243"/>
      <x:c r="Q243" s="352"/>
      <x:c r="R243" s="352"/>
      <x:c r="S243" s="352"/>
      <x:c r="T243" s="352"/>
      <x:c r="U243" s="352"/>
      <x:c r="V243" s="352"/>
      <x:c r="W243" s="352"/>
      <x:c r="X243" s="352"/>
      <x:c r="Y243" s="352"/>
      <x:c r="Z243" s="352"/>
    </x:row>
    <x:row r="244">
      <x:c r="A244"/>
      <x:c r="B244"/>
      <x:c r="C244"/>
      <x:c r="D244"/>
      <x:c r="E244"/>
      <x:c r="F244"/>
      <x:c r="G244"/>
      <x:c r="H244"/>
      <x:c r="I244" s="56"/>
      <x:c r="J244" s="56"/>
      <x:c r="K244" s="56"/>
      <x:c r="L244" s="56"/>
      <x:c r="M244" s="38"/>
      <x:c r="N244" s="56"/>
      <x:c r="O244"/>
      <x:c r="P244"/>
      <x:c r="Q244" s="352"/>
      <x:c r="R244" s="352"/>
      <x:c r="S244" s="352"/>
      <x:c r="T244" s="352"/>
      <x:c r="U244" s="352"/>
      <x:c r="V244" s="352"/>
      <x:c r="W244" s="352"/>
      <x:c r="X244" s="352"/>
      <x:c r="Y244" s="352"/>
      <x:c r="Z244" s="352"/>
    </x:row>
    <x:row r="245">
      <x:c r="A245"/>
      <x:c r="B245"/>
      <x:c r="C245"/>
      <x:c r="D245"/>
      <x:c r="E245"/>
      <x:c r="F245"/>
      <x:c r="G245"/>
      <x:c r="H245"/>
      <x:c r="I245" s="56"/>
      <x:c r="J245" s="56"/>
      <x:c r="K245" s="56"/>
      <x:c r="L245" s="56"/>
      <x:c r="M245" s="38"/>
      <x:c r="N245" s="56"/>
      <x:c r="O245"/>
      <x:c r="P245"/>
      <x:c r="Q245" s="352"/>
      <x:c r="R245" s="352"/>
      <x:c r="S245" s="352"/>
      <x:c r="T245" s="352"/>
      <x:c r="U245" s="352"/>
      <x:c r="V245" s="352"/>
      <x:c r="W245" s="352"/>
      <x:c r="X245" s="352"/>
      <x:c r="Y245" s="352"/>
      <x:c r="Z245" s="352"/>
    </x:row>
    <x:row r="246">
      <x:c r="A246"/>
      <x:c r="B246"/>
      <x:c r="C246"/>
      <x:c r="D246"/>
      <x:c r="E246"/>
      <x:c r="F246"/>
      <x:c r="G246"/>
      <x:c r="H246"/>
      <x:c r="I246" s="56"/>
      <x:c r="J246" s="56"/>
      <x:c r="K246" s="56"/>
      <x:c r="L246" s="56"/>
      <x:c r="M246" s="38"/>
      <x:c r="N246" s="56"/>
      <x:c r="O246"/>
      <x:c r="P246"/>
      <x:c r="Q246" s="352"/>
      <x:c r="R246" s="352"/>
      <x:c r="S246" s="352"/>
      <x:c r="T246" s="352"/>
      <x:c r="U246" s="352"/>
      <x:c r="V246" s="352"/>
      <x:c r="W246" s="352"/>
      <x:c r="X246" s="352"/>
      <x:c r="Y246" s="352"/>
      <x:c r="Z246" s="352"/>
    </x:row>
    <x:row r="247">
      <x:c r="A247"/>
      <x:c r="B247"/>
      <x:c r="C247"/>
      <x:c r="D247"/>
      <x:c r="E247"/>
      <x:c r="F247"/>
      <x:c r="G247"/>
      <x:c r="H247"/>
      <x:c r="I247" s="56"/>
      <x:c r="J247" s="56"/>
      <x:c r="K247" s="56"/>
      <x:c r="L247" s="56"/>
      <x:c r="M247" s="38"/>
      <x:c r="N247" s="56"/>
      <x:c r="O247"/>
      <x:c r="P247"/>
      <x:c r="Q247" s="352"/>
      <x:c r="R247" s="352"/>
      <x:c r="S247" s="352"/>
      <x:c r="T247" s="352"/>
      <x:c r="U247" s="352"/>
      <x:c r="V247" s="352"/>
      <x:c r="W247" s="352"/>
      <x:c r="X247" s="352"/>
      <x:c r="Y247" s="352"/>
      <x:c r="Z247" s="352"/>
    </x:row>
    <x:row r="248">
      <x:c r="A248"/>
      <x:c r="B248"/>
      <x:c r="C248"/>
      <x:c r="D248"/>
      <x:c r="E248"/>
      <x:c r="F248"/>
      <x:c r="G248"/>
      <x:c r="H248"/>
      <x:c r="I248" s="56"/>
      <x:c r="J248" s="56"/>
      <x:c r="K248" s="56"/>
      <x:c r="L248" s="56"/>
      <x:c r="M248" s="38"/>
      <x:c r="N248" s="56"/>
      <x:c r="O248"/>
      <x:c r="P248"/>
      <x:c r="Q248" s="352"/>
      <x:c r="R248" s="352"/>
      <x:c r="S248" s="352"/>
      <x:c r="T248" s="352"/>
      <x:c r="U248" s="352"/>
      <x:c r="V248" s="352"/>
      <x:c r="W248" s="352"/>
      <x:c r="X248" s="352"/>
      <x:c r="Y248" s="352"/>
      <x:c r="Z248" s="352"/>
    </x:row>
    <x:row r="249">
      <x:c r="A249"/>
      <x:c r="B249"/>
      <x:c r="C249"/>
      <x:c r="D249"/>
      <x:c r="E249"/>
      <x:c r="F249"/>
      <x:c r="G249"/>
      <x:c r="H249"/>
      <x:c r="I249" s="56"/>
      <x:c r="J249" s="56"/>
      <x:c r="K249" s="56"/>
      <x:c r="L249" s="56"/>
      <x:c r="M249" s="38"/>
      <x:c r="N249" s="56"/>
      <x:c r="O249"/>
      <x:c r="P249"/>
      <x:c r="Q249" s="352"/>
      <x:c r="R249" s="352"/>
      <x:c r="S249" s="352"/>
      <x:c r="T249" s="352"/>
      <x:c r="U249" s="352"/>
      <x:c r="V249" s="352"/>
      <x:c r="W249" s="352"/>
      <x:c r="X249" s="352"/>
      <x:c r="Y249" s="352"/>
      <x:c r="Z249" s="352"/>
    </x:row>
    <x:row r="250">
      <x:c r="A250"/>
      <x:c r="B250"/>
      <x:c r="C250"/>
      <x:c r="D250"/>
      <x:c r="E250"/>
      <x:c r="F250"/>
      <x:c r="G250"/>
      <x:c r="H250"/>
      <x:c r="I250" s="56"/>
      <x:c r="J250" s="56"/>
      <x:c r="K250" s="56"/>
      <x:c r="L250" s="56"/>
      <x:c r="M250" s="38"/>
      <x:c r="N250" s="56"/>
      <x:c r="O250"/>
      <x:c r="P250"/>
      <x:c r="Q250" s="352"/>
      <x:c r="R250" s="352"/>
      <x:c r="S250" s="352"/>
      <x:c r="T250" s="352"/>
      <x:c r="U250" s="352"/>
      <x:c r="V250" s="352"/>
      <x:c r="W250" s="352"/>
      <x:c r="X250" s="352"/>
      <x:c r="Y250" s="352"/>
      <x:c r="Z250" s="352"/>
    </x:row>
  </x:sheetData>
  <x:conditionalFormatting sqref="I2:L250">
    <x:cfRule type="expression" dxfId="128" priority="18">
      <x:formula>OR(I2="",I2="No data")</x:formula>
    </x:cfRule>
    <x:cfRule type="expression" dxfId="129" priority="19">
      <x:formula>I2=0</x:formula>
    </x:cfRule>
    <x:cfRule type="expression" dxfId="130" priority="20">
      <x:formula>I2=1</x:formula>
    </x:cfRule>
    <x:cfRule type="expression" dxfId="131" priority="21">
      <x:formula>I2=2</x:formula>
    </x:cfRule>
    <x:cfRule type="expression" dxfId="132" priority="22">
      <x:formula>I2=3</x:formula>
    </x:cfRule>
    <x:cfRule type="expression" dxfId="133" priority="23">
      <x:formula>I2=4</x:formula>
    </x:cfRule>
    <x:cfRule type="expression" dxfId="134" priority="24">
      <x:formula>I2=5</x:formula>
    </x:cfRule>
    <x:cfRule type="expression" dxfId="135" priority="25">
      <x:formula>I2=6</x:formula>
    </x:cfRule>
    <x:cfRule type="expression" dxfId="136" priority="26">
      <x:formula>I2=7</x:formula>
    </x:cfRule>
    <x:cfRule type="expression" dxfId="137" priority="27">
      <x:formula>I2=8</x:formula>
    </x:cfRule>
    <x:cfRule type="expression" dxfId="138" priority="28">
      <x:formula>I2=9</x:formula>
    </x:cfRule>
    <x:cfRule type="expression" dxfId="139" priority="29">
      <x:formula>I2=10</x:formula>
    </x:cfRule>
  </x:conditionalFormatting>
  <x:conditionalFormatting sqref="N2:N250">
    <x:cfRule type="expression" dxfId="140" priority="30">
      <x:formula>OR(N2="",N2="No data")</x:formula>
    </x:cfRule>
    <x:cfRule type="expression" dxfId="141" priority="31">
      <x:formula>N2=0</x:formula>
    </x:cfRule>
    <x:cfRule type="expression" dxfId="142" priority="32">
      <x:formula>N2=1</x:formula>
    </x:cfRule>
    <x:cfRule type="expression" dxfId="143" priority="33">
      <x:formula>N2=2</x:formula>
    </x:cfRule>
    <x:cfRule type="expression" dxfId="144" priority="34">
      <x:formula>N2=3</x:formula>
    </x:cfRule>
    <x:cfRule type="expression" dxfId="145" priority="35">
      <x:formula>N2=4</x:formula>
    </x:cfRule>
    <x:cfRule type="expression" dxfId="146" priority="36">
      <x:formula>N2=5</x:formula>
    </x:cfRule>
    <x:cfRule type="expression" dxfId="147" priority="37">
      <x:formula>N2=6</x:formula>
    </x:cfRule>
    <x:cfRule type="expression" dxfId="148" priority="38">
      <x:formula>N2=7</x:formula>
    </x:cfRule>
    <x:cfRule type="expression" dxfId="149" priority="39">
      <x:formula>N2=8</x:formula>
    </x:cfRule>
    <x:cfRule type="expression" dxfId="150" priority="40">
      <x:formula>N2=9</x:formula>
    </x:cfRule>
    <x:cfRule type="expression" dxfId="151" priority="41">
      <x:formula>N2=10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9dd53bcaff414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24" hidden="0" customWidth="1"/>
    <x:col min="5" max="5" width="24" hidden="0" customWidth="1"/>
    <x:col min="6" max="6" width="70" hidden="0" customWidth="1"/>
    <x:col min="7" max="7" width="28" hidden="0" customWidth="1"/>
    <x:col min="8" max="8" width="70" hidden="0" customWidth="1"/>
    <x:col min="9" max="9" width="14" hidden="0" customWidth="1"/>
  </x:cols>
  <x:sheetData>
    <x:row r="1" ht="28" customHeight="1">
      <x:c r="A1" s="26" t="str">
        <x:v>Source_ID</x:v>
      </x:c>
      <x:c r="B1" s="26" t="str">
        <x:v>Source_Name</x:v>
      </x:c>
      <x:c r="C1" s="26" t="str">
        <x:v>Workbook_Scope</x:v>
      </x:c>
      <x:c r="D1" s="26" t="str">
        <x:v>Actor</x:v>
      </x:c>
      <x:c r="E1" s="26" t="str">
        <x:v>Subfactor</x:v>
      </x:c>
      <x:c r="F1" s="26" t="str">
        <x:v>URL</x:v>
      </x:c>
      <x:c r="G1" s="26" t="str">
        <x:v>Source_Type</x:v>
      </x:c>
      <x:c r="H1" s="26" t="str">
        <x:v>Notes</x:v>
      </x:c>
      <x:c r="I1" s="26" t="str">
        <x:v>Last_Checked</x:v>
      </x:c>
    </x:row>
    <x:row r="2">
      <x:c r="A2" t="str">
        <x:v>SRC001</x:v>
      </x:c>
      <x:c r="B2" t="str">
        <x:v>UNSD M49 country/area codes</x:v>
      </x:c>
      <x:c r="C2" t="str">
        <x:v>Country_Master</x:v>
      </x:c>
      <x:c r="D2" t="str">
        <x:v>All</x:v>
      </x:c>
      <x:c r="E2" t="str">
        <x:v>Country identifiers</x:v>
      </x:c>
      <x:c r="F2" t="str">
        <x:v>https://unstats.un.org/unsd/methodology/m49/overview</x:v>
      </x:c>
      <x:c r="G2" t="str">
        <x:v>Official dataset</x:v>
      </x:c>
      <x:c r="H2" t="str">
        <x:v>Country/area names, M49, ISO-alpha2/alpha3, regions and subregions.</x:v>
      </x:c>
      <x:c r="I2" t="str">
        <x:v>2026-05-19</x:v>
      </x:c>
    </x:row>
    <x:row r="3">
      <x:c r="A3" t="str">
        <x:v>SRC002</x:v>
      </x:c>
      <x:c r="B3" t="str">
        <x:v>REST Countries</x:v>
      </x:c>
      <x:c r="C3" t="str">
        <x:v>Country_Master</x:v>
      </x:c>
      <x:c r="D3" t="str">
        <x:v>All</x:v>
      </x:c>
      <x:c r="E3" t="str">
        <x:v>Centroid coordinates</x:v>
      </x:c>
      <x:c r="F3" t="str">
        <x:v>https://restcountries.com/</x:v>
      </x:c>
      <x:c r="G3" t="str">
        <x:v>Open country metadata API</x:v>
      </x:c>
      <x:c r="H3" t="str">
        <x:v>Approximate latitude/longitude centroids used only for map placement.</x:v>
      </x:c>
      <x:c r="I3" t="str">
        <x:v>2026-05-19</x:v>
      </x:c>
    </x:row>
    <x:row r="4">
      <x:c r="A4" t="str">
        <x:v>SRC003</x:v>
      </x:c>
      <x:c r="B4" t="str">
        <x:v>EUvsDisinfo About</x:v>
      </x:c>
      <x:c r="C4" t="str">
        <x:v>Propaganda ecosystem source register</x:v>
      </x:c>
      <x:c r="D4" t="str">
        <x:v>Russia</x:v>
      </x:c>
      <x:c r="E4" t="str">
        <x:v>Propaganda ecosystems</x:v>
      </x:c>
      <x:c r="F4" t="str">
        <x:v>https://euvsdisinfo.eu/about/</x:v>
      </x:c>
      <x:c r="G4" t="str">
        <x:v>Official EU project page</x:v>
      </x:c>
      <x:c r="H4" t="str">
        <x:v>Explains East StratCom Task Force and EUvsDisinfo scope for Kremlin disinformation monitoring.</x:v>
      </x:c>
      <x:c r="I4" t="str">
        <x:v>2026-05-19</x:v>
      </x:c>
    </x:row>
    <x:row r="5">
      <x:c r="A5" t="str">
        <x:v>SRC004</x:v>
      </x:c>
      <x:c r="B5" t="str">
        <x:v>EUvsDisinfo / FIMI Explorer</x:v>
      </x:c>
      <x:c r="C5" t="str">
        <x:v>Propaganda ecosystem source register</x:v>
      </x:c>
      <x:c r="D5" t="str">
        <x:v>Russia; China</x:v>
      </x:c>
      <x:c r="E5" t="str">
        <x:v>Propaganda ecosystems</x:v>
      </x:c>
      <x:c r="F5" t="str">
        <x:v>https://euvsdisinfo.eu/</x:v>
      </x:c>
      <x:c r="G5" t="str">
        <x:v>Official EU database/dashboard</x:v>
      </x:c>
      <x:c r="H5" t="str">
        <x:v>Public EU disinformation/FIMI database and reports portal.</x:v>
      </x:c>
      <x:c r="I5" t="str">
        <x:v>2026-05-19</x:v>
      </x:c>
    </x:row>
    <x:row r="6">
      <x:c r="A6" t="str">
        <x:v>SRC005</x:v>
      </x:c>
      <x:c r="B6" t="str">
        <x:v>4th EEAS Annual Report on FIMI Threats</x:v>
      </x:c>
      <x:c r="C6" t="str">
        <x:v>Propaganda/election source register</x:v>
      </x:c>
      <x:c r="D6" t="str">
        <x:v>Russia; China</x:v>
      </x:c>
      <x:c r="E6" t="str">
        <x:v>Propaganda ecosystems; Election interference</x:v>
      </x:c>
      <x:c r="F6" t="str">
        <x:v>https://www.eeas.europa.eu/eeas/4th-eeas-annual-report-foreign-information-manipulation-and-interference-threats_en</x:v>
      </x:c>
      <x:c r="G6" t="str">
        <x:v>Official EU report</x:v>
      </x:c>
      <x:c r="H6" t="str">
        <x:v>Annual EEAS report on foreign information manipulation and interference threats.</x:v>
      </x:c>
      <x:c r="I6" t="str">
        <x:v>2026-05-19</x:v>
      </x:c>
    </x:row>
    <x:row r="7">
      <x:c r="A7" t="str">
        <x:v>SRC006</x:v>
      </x:c>
      <x:c r="B7" t="str">
        <x:v>2026 ODNI Annual Threat Assessment</x:v>
      </x:c>
      <x:c r="C7" t="str">
        <x:v>Election/cyber source register</x:v>
      </x:c>
      <x:c r="D7" t="str">
        <x:v>Russia; China; United States; EU</x:v>
      </x:c>
      <x:c r="E7" t="str">
        <x:v>Election interference; Propaganda ecosystems</x:v>
      </x:c>
      <x:c r="F7" t="str">
        <x:v>https://www.dni.gov/index.php/newsroom/reports-publications/reports-publications-2026/4141-2026-annual-threat-assessment.</x:v>
      </x:c>
      <x:c r="G7" t="str">
        <x:v>Official U.S. intelligence assessment</x:v>
      </x:c>
      <x:c r="H7" t="str">
        <x:v>Use for state threat context; add country-specific evidence before scoring.</x:v>
      </x:c>
      <x:c r="I7" t="str">
        <x:v>2026-05-19</x:v>
      </x:c>
    </x:row>
    <x:row r="8">
      <x:c r="A8" t="str">
        <x:v>SRC007</x:v>
      </x:c>
      <x:c r="B8" t="str">
        <x:v>U.S. Treasury Wagner Mali sanctions</x:v>
      </x:c>
      <x:c r="C8" t="str">
        <x:v>PMC/security source register</x:v>
      </x:c>
      <x:c r="D8" t="str">
        <x:v>Russia</x:v>
      </x:c>
      <x:c r="E8" t="str">
        <x:v>PMC presence; Security contractors</x:v>
      </x:c>
      <x:c r="F8" t="str">
        <x:v>https://home.treasury.gov/news/press-releases/jy1502</x:v>
      </x:c>
      <x:c r="G8" t="str">
        <x:v>Official sanctions release</x:v>
      </x:c>
      <x:c r="H8" t="str">
        <x:v>Identifies Wagner Group activity and senior Wagner representative in Mali.</x:v>
      </x:c>
      <x:c r="I8" t="str">
        <x:v>2026-05-19</x:v>
      </x:c>
    </x:row>
    <x:row r="9">
      <x:c r="A9" t="str">
        <x:v>SRC008</x:v>
      </x:c>
      <x:c r="B9" t="str">
        <x:v>Council of the EU Wagner sanctions</x:v>
      </x:c>
      <x:c r="C9" t="str">
        <x:v>PMC/security source register</x:v>
      </x:c>
      <x:c r="D9" t="str">
        <x:v>Russia</x:v>
      </x:c>
      <x:c r="E9" t="str">
        <x:v>PMC presence; Security contractors</x:v>
      </x:c>
      <x:c r="F9" t="str">
        <x:v>https://www.consilium.europa.eu/en/press/press-releases/2023/02/25/wagner-group-council-adds-11-individuals-and-7-entities-to-eu-sanctions-lists/</x:v>
      </x:c>
      <x:c r="G9" t="str">
        <x:v>Official EU sanctions release</x:v>
      </x:c>
      <x:c r="H9" t="str">
        <x:v>Lists Wagner presence in Ukraine, Libya, CAR, Mali and Sudan, and rights-abuse/security context.</x:v>
      </x:c>
      <x:c r="I9" t="str">
        <x:v>2026-05-19</x:v>
      </x:c>
    </x:row>
    <x:row r="10">
      <x:c r="A10" t="str">
        <x:v>SRC009</x:v>
      </x:c>
      <x:c r="B10" t="str">
        <x:v>MERICS — Guardians of the Belt and Road</x:v>
      </x:c>
      <x:c r="C10" t="str">
        <x:v>Security contractor source register</x:v>
      </x:c>
      <x:c r="D10" t="str">
        <x:v>China</x:v>
      </x:c>
      <x:c r="E10" t="str">
        <x:v>Security contractors</x:v>
      </x:c>
      <x:c r="F10" t="str">
        <x:v>https://merics.org/en/report/guardians-belt-and-road</x:v>
      </x:c>
      <x:c r="G10" t="str">
        <x:v>Research institute report</x:v>
      </x:c>
      <x:c r="H10" t="str">
        <x:v>Analysis of Chinese private security companies overseas and BRI-linked protection activity.</x:v>
      </x:c>
      <x:c r="I10" t="str">
        <x:v>2026-05-19</x:v>
      </x:c>
    </x:row>
    <x:row r="11">
      <x:c r="A11" t="str">
        <x:v>SRC010</x:v>
      </x:c>
      <x:c r="B11" t="str">
        <x:v>Carnegie — Chinese Security Contractors in Africa</x:v>
      </x:c>
      <x:c r="C11" t="str">
        <x:v>Security contractor source register</x:v>
      </x:c>
      <x:c r="D11" t="str">
        <x:v>China</x:v>
      </x:c>
      <x:c r="E11" t="str">
        <x:v>Security contractors</x:v>
      </x:c>
      <x:c r="F11" t="str">
        <x:v>https://carnegieendowment.org/europe/research/2020/10/chinese-security-contractors-in-africa</x:v>
      </x:c>
      <x:c r="G11" t="str">
        <x:v>Research institute report</x:v>
      </x:c>
      <x:c r="H11" t="str">
        <x:v>Analysis of Chinese security contractors protecting BRI projects, citizens, diplomats and sites in Africa.</x:v>
      </x:c>
      <x:c r="I11" t="str">
        <x:v>2026-05-19</x:v>
      </x:c>
    </x:row>
    <x:row r="12">
      <x:c r="A12" t="str">
        <x:v>SRC011</x:v>
      </x:c>
      <x:c r="B12" t="str">
        <x:v>EEAS EU Election Observation Missions</x:v>
      </x:c>
      <x:c r="C12" t="str">
        <x:v>EU election source register</x:v>
      </x:c>
      <x:c r="D12" t="str">
        <x:v>European Union</x:v>
      </x:c>
      <x:c r="E12" t="str">
        <x:v>Election interference</x:v>
      </x:c>
      <x:c r="F12" t="str">
        <x:v>https://www.eeas.europa.eu/eeas/eu-election-observation-missions-1_en</x:v>
      </x:c>
      <x:c r="G12" t="str">
        <x:v>Official EU page</x:v>
      </x:c>
      <x:c r="H12" t="str">
        <x:v>EU election observation and democracy support mission reference; classify as observation/support, not interference, unless evidence indicates coercive activity.</x:v>
      </x:c>
      <x:c r="I12" t="str">
        <x:v>2026-05-19</x:v>
      </x:c>
    </x:row>
    <x:row r="13">
      <x:c r="A13" t="str">
        <x:v>SRC012</x:v>
      </x:c>
      <x:c r="B13" t="str">
        <x:v>European Parliament Election Observation</x:v>
      </x:c>
      <x:c r="C13" t="str">
        <x:v>EU election source register</x:v>
      </x:c>
      <x:c r="D13" t="str">
        <x:v>European Union</x:v>
      </x:c>
      <x:c r="E13" t="str">
        <x:v>Election interference</x:v>
      </x:c>
      <x:c r="F13" t="str">
        <x:v>https://www.europarl.europa.eu/intcoop/election_observation/default_en.htm</x:v>
      </x:c>
      <x:c r="G13" t="str">
        <x:v>Official EU page</x:v>
      </x:c>
      <x:c r="H13" t="str">
        <x:v>European Parliament role in election observation delegations outside the EU.</x:v>
      </x:c>
      <x:c r="I13" t="str">
        <x:v>2026-05-19</x:v>
      </x:c>
    </x:row>
    <x:row r="14">
      <x:c r="A14" t="str">
        <x:v>SRC013</x:v>
      </x:c>
      <x:c r="B14" t="str">
        <x:v>USAGM Research and Reports</x:v>
      </x:c>
      <x:c r="C14" t="str">
        <x:v>U.S. media/public diplomacy source register</x:v>
      </x:c>
      <x:c r="D14" t="str">
        <x:v>United States</x:v>
      </x:c>
      <x:c r="E14" t="str">
        <x:v>Propaganda ecosystems</x:v>
      </x:c>
      <x:c r="F14" t="str">
        <x:v>https://www.usagm.gov/our-work/strategy-and-results/strategic-priorities/research-reports/</x:v>
      </x:c>
      <x:c r="G14" t="str">
        <x:v>Official U.S. agency page</x:v>
      </x:c>
      <x:c r="H14" t="str">
        <x:v>Public reports on U.S. global media operations, audience, budget and performance.</x:v>
      </x:c>
      <x:c r="I14" t="str">
        <x:v>2026-05-19</x:v>
      </x:c>
    </x:row>
    <x:row r="15">
      <x:c r="A15" t="str">
        <x:v>SRC014</x:v>
      </x:c>
      <x:c r="B15" t="str">
        <x:v>U.S. Overseas Loans and Grants Greenbook</x:v>
      </x:c>
      <x:c r="C15" t="str">
        <x:v>U.S. assistance source register</x:v>
      </x:c>
      <x:c r="D15" t="str">
        <x:v>United States</x:v>
      </x:c>
      <x:c r="E15" t="str">
        <x:v>Election interference; Security contractors</x:v>
      </x:c>
      <x:c r="F15" t="str">
        <x:v>https://catalog.data.gov/dataset/u-s-overseas-loans-and-grants-greenbook-data</x:v>
      </x:c>
      <x:c r="G15" t="str">
        <x:v>Official U.S. dataset catalog</x:v>
      </x:c>
      <x:c r="H15" t="str">
        <x:v>Authoritative U.S. foreign assistance dataset by country; use to locate relevant country-level assistance.</x:v>
      </x:c>
      <x:c r="I15" t="str">
        <x:v>2026-05-19</x:v>
      </x:c>
    </x:row>
    <x:row r="16">
      <x:c r="A16" t="str">
        <x:v>SRC015</x:v>
      </x:c>
      <x:c r="B16" t="str">
        <x:v>Security Assistance Monitor</x:v>
      </x:c>
      <x:c r="C16" t="str">
        <x:v>U.S. security source register</x:v>
      </x:c>
      <x:c r="D16" t="str">
        <x:v>United States</x:v>
      </x:c>
      <x:c r="E16" t="str">
        <x:v>Security contractors; PMC presence</x:v>
      </x:c>
      <x:c r="F16" t="str">
        <x:v>https://internationalpolicy.org/programs/sam/</x:v>
      </x:c>
      <x:c r="G16" t="str">
        <x:v>Public-interest data compilation from official sources</x:v>
      </x:c>
      <x:c r="H16" t="str">
        <x:v>Country-searchable U.S. security assistance, arms sales and training data; add original document URLs where possible.</x:v>
      </x:c>
      <x:c r="I16" t="str">
        <x:v>2026-05-19</x:v>
      </x:c>
    </x:row>
    <x:row r="17">
      <x:c r="A17" t="str">
        <x:v>SRC016</x:v>
      </x:c>
      <x:c r="B17" t="str">
        <x:v>NED Grantmaking</x:v>
      </x:c>
      <x:c r="C17" t="str">
        <x:v>U.S. democracy source register</x:v>
      </x:c>
      <x:c r="D17" t="str">
        <x:v>United States</x:v>
      </x:c>
      <x:c r="E17" t="str">
        <x:v>Election interference</x:v>
      </x:c>
      <x:c r="F17" t="str">
        <x:v>https://www.ned.org/ned-grantmaking/</x:v>
      </x:c>
      <x:c r="G17" t="str">
        <x:v>Grantmaking disclosure</x:v>
      </x:c>
      <x:c r="H17" t="str">
        <x:v>Country/thematic democracy grantmaking; classify carefully and distinguish democracy support from interference.</x:v>
      </x:c>
      <x:c r="I17" t="str">
        <x:v>2026-05-19</x:v>
      </x:c>
    </x:row>
    <x:row r="18">
      <x:c r="A18" s="352" t="str">
        <x:v>SRC017</x:v>
      </x:c>
      <x:c r="B18" s="352" t="str">
        <x:v>Leaflet documentation</x:v>
      </x:c>
      <x:c r="C18" s="352" t="str">
        <x:v>Map_Data / GeoJSON_Export</x:v>
      </x:c>
      <x:c r="D18" s="352" t="str">
        <x:v>All</x:v>
      </x:c>
      <x:c r="E18" s="352" t="str">
        <x:v>Leaflet map rendering</x:v>
      </x:c>
      <x:c r="F18" s="352" t="str">
        <x:v>https://leafletjs.com/reference.html</x:v>
      </x:c>
      <x:c r="G18" s="352" t="str">
        <x:v>Official documentation</x:v>
      </x:c>
      <x:c r="H18" s="352" t="str">
        <x:v>Leaflet supports GeoJSON layers; workbook exports point features and ISO3 join keys.</x:v>
      </x:c>
      <x:c r="I18" s="352" t="str">
        <x:v>2026-05-19</x:v>
      </x:c>
    </x:row>
    <x:row r="19">
      <x:c r="A19" t="str">
        <x:v>SRC018</x:v>
      </x:c>
      <x:c r="B19" t="str">
        <x:v>ResurgamHub country mention scan</x:v>
      </x:c>
      <x:c r="C19" t="str">
        <x:v>Country_Config / Map_Data / GeoJSON_Export</x:v>
      </x:c>
      <x:c r="D19" t="str">
        <x:v>All</x:v>
      </x:c>
      <x:c r="E19" t="str">
        <x:v>Country scope</x:v>
      </x:c>
      <x:c r="F19" t="str">
        <x:v>https://resurgamhub.org/</x:v>
      </x:c>
      <x:c r="G19" t="str">
        <x:v>Project website scan</x:v>
      </x:c>
      <x:c r="H19" t="str">
        <x:v>Normalized 123 country/country-area mentions; non-country terms excluded to Excluded_Not_Countries.</x:v>
      </x:c>
      <x:c r="I19" t="str">
        <x:v>2026-05-19</x:v>
      </x:c>
    </x:row>
    <x:row r="20">
      <x:c r="A20" t="str">
        <x:v>SRC019</x:v>
      </x:c>
      <x:c r="B20" t="str">
        <x:v>EEAS Public Diplomacy and International Cultural Relations</x:v>
      </x:c>
      <x:c r="C20" t="str">
        <x:v>Scoring_Matrix</x:v>
      </x:c>
      <x:c r="D20" t="str">
        <x:v>European Union</x:v>
      </x:c>
      <x:c r="E20" t="str">
        <x:v>Propaganda ecosystems</x:v>
      </x:c>
      <x:c r="F20" t="str">
        <x:v>https://www.eeas.europa.eu/eeas/public-diplomacy_en</x:v>
      </x:c>
      <x:c r="G20" t="str">
        <x:v>Official EU page</x:v>
      </x:c>
      <x:c r="H20" t="str">
        <x:v>EU public diplomacy / international cultural relations reference used for EU propaganda-ecosystem screening.</x:v>
      </x:c>
      <x:c r="I20" t="str">
        <x:v>2026-05-20</x:v>
      </x:c>
    </x:row>
    <x:row r="21">
      <x:c r="A21" t="str">
        <x:v>SRC020</x:v>
      </x:c>
      <x:c r="B21" t="str">
        <x:v>EEAS CSDP Missions and Operations</x:v>
      </x:c>
      <x:c r="C21" t="str">
        <x:v>Scoring_Matrix</x:v>
      </x:c>
      <x:c r="D21" t="str">
        <x:v>European Union</x:v>
      </x:c>
      <x:c r="E21" t="str">
        <x:v>PMC presence; Security contractors</x:v>
      </x:c>
      <x:c r="F21" t="str">
        <x:v>https://www.eeas.europa.eu/eeas/missions-and-operations_en</x:v>
      </x:c>
      <x:c r="G21" t="str">
        <x:v>Official EU page</x:v>
      </x:c>
      <x:c r="H21" t="str">
        <x:v>CSDP mission/operation footprint used for EU security-contractor screening; not treated as PMC evidence by itself.</x:v>
      </x:c>
      <x:c r="I21" t="str">
        <x:v>2026-05-20</x:v>
      </x:c>
    </x:row>
    <x:row r="22">
      <x:c r="A22" t="str">
        <x:v>SRC021</x:v>
      </x:c>
      <x:c r="B22" t="str">
        <x:v>European Commission Global Gateway</x:v>
      </x:c>
      <x:c r="C22" t="str">
        <x:v>Scoring_Matrix</x:v>
      </x:c>
      <x:c r="D22" t="str">
        <x:v>European Union</x:v>
      </x:c>
      <x:c r="E22" t="str">
        <x:v>Propaganda ecosystems; Security contractors</x:v>
      </x:c>
      <x:c r="F22" t="str">
        <x:v>https://commission.europa.eu/topics/international-partnerships/global-gateway_en</x:v>
      </x:c>
      <x:c r="G22" t="str">
        <x:v>Official EU page</x:v>
      </x:c>
      <x:c r="H22" t="str">
        <x:v>EU external investment and partnership source used as contextual support for EU overseas footprint screening.</x:v>
      </x:c>
      <x:c r="I22" t="str">
        <x:v>2026-05-20</x:v>
      </x:c>
    </x:row>
    <x:row r="23">
      <x:c r="A23" t="str">
        <x:v>SRC022</x:v>
      </x:c>
      <x:c r="B23" t="str">
        <x:v>ODNI 2026 Annual Threat Assessment PDF</x:v>
      </x:c>
      <x:c r="C23" t="str">
        <x:v>Scoring_Matrix</x:v>
      </x:c>
      <x:c r="D23" t="str">
        <x:v>Russia; China</x:v>
      </x:c>
      <x:c r="E23" t="str">
        <x:v>Propaganda ecosystems; Election interference</x:v>
      </x:c>
      <x:c r="F23" t="str">
        <x:v>https://www.dni.gov/files/ODNI/documents/assessments/ATA-2026-Unclassified-Report.pdf</x:v>
      </x:c>
      <x:c r="G23" t="str">
        <x:v>Official U.S. intelligence assessment</x:v>
      </x:c>
      <x:c r="H23" t="str">
        <x:v>State threat context used alongside EEAS/FIMI sources for Russia/China influence screening.</x:v>
      </x:c>
      <x:c r="I23" t="str">
        <x:v>2026-05-20</x:v>
      </x:c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</x:sheetData>
  <x:pageMargins left="0.7" right="0.7" top="0.75" bottom="0.75" header="0.3" footer="0.3"/>
  <x:tableParts count="1">
    <x:tablePart xmlns:r="http://schemas.openxmlformats.org/officeDocument/2006/relationships" r:id="Rcf28c89123b6478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3" max="3" width="24" hidden="0" customWidth="1"/>
    <x:col min="5" max="5" width="26" hidden="0" customWidth="1"/>
    <x:col min="7" max="7" width="22" hidden="0" customWidth="1"/>
    <x:col min="9" max="9" width="10" hidden="0" customWidth="1"/>
    <x:col min="10" max="10" width="70" hidden="0" customWidth="1"/>
  </x:cols>
  <x:sheetData>
    <x:row r="1" ht="28" customHeight="1">
      <x:c r="A1" s="26" t="str">
        <x:v>Actors</x:v>
      </x:c>
      <x:c r="B1" s="20"/>
      <x:c r="C1" s="26" t="str">
        <x:v>Main_Factors</x:v>
      </x:c>
      <x:c r="D1" s="20"/>
      <x:c r="E1" s="26" t="str">
        <x:v>Subfactors</x:v>
      </x:c>
      <x:c r="F1" s="20"/>
      <x:c r="G1" s="26" t="str">
        <x:v>Evidence_Statuses</x:v>
      </x:c>
      <x:c r="H1" s="20"/>
      <x:c r="I1" s="131" t="str">
        <x:v>Score</x:v>
      </x:c>
      <x:c r="J1" s="131" t="str">
        <x:v>Meaning</x:v>
      </x:c>
    </x:row>
    <x:row r="2">
      <x:c r="A2" s="20" t="str">
        <x:v>Russia</x:v>
      </x:c>
      <x:c r="B2" s="20"/>
      <x:c r="C2" s="20" t="str">
        <x:v>Russian influence</x:v>
      </x:c>
      <x:c r="D2" s="20"/>
      <x:c r="E2" s="20" t="str">
        <x:v>Propaganda ecosystems</x:v>
      </x:c>
      <x:c r="F2" s="20"/>
      <x:c r="G2" s="20" t="str">
        <x:v>Not assessed</x:v>
      </x:c>
      <x:c r="H2" s="20"/>
      <x:c r="I2" s="281" t="n">
        <x:v>0</x:v>
      </x:c>
      <x:c r="J2" s="280" t="str">
        <x:v>No verified presence / absent in available country-specific evidence.</x:v>
      </x:c>
    </x:row>
    <x:row r="3">
      <x:c r="A3" s="20" t="str">
        <x:v>China</x:v>
      </x:c>
      <x:c r="B3" s="20"/>
      <x:c r="C3" s="20" t="str">
        <x:v>Chinese influence</x:v>
      </x:c>
      <x:c r="D3" s="20"/>
      <x:c r="E3" s="20" t="str">
        <x:v>PMC presence</x:v>
      </x:c>
      <x:c r="F3" s="20"/>
      <x:c r="G3" s="20" t="str">
        <x:v>Candidate source</x:v>
      </x:c>
      <x:c r="H3" s="20"/>
      <x:c r="I3" s="284" t="n">
        <x:v>1</x:v>
      </x:c>
      <x:c r="J3" s="283" t="str">
        <x:v>Trace / isolated indicator; very weak footprint.</x:v>
      </x:c>
    </x:row>
    <x:row r="4">
      <x:c r="A4" s="20" t="str">
        <x:v>United States</x:v>
      </x:c>
      <x:c r="B4" s="20"/>
      <x:c r="C4" s="20" t="str">
        <x:v>American influence</x:v>
      </x:c>
      <x:c r="D4" s="20"/>
      <x:c r="E4" s="20" t="str">
        <x:v>Election interference</x:v>
      </x:c>
      <x:c r="F4" s="20"/>
      <x:c r="G4" s="20" t="str">
        <x:v>Verified</x:v>
      </x:c>
      <x:c r="H4" s="20"/>
      <x:c r="I4" s="287" t="n">
        <x:v>2</x:v>
      </x:c>
      <x:c r="J4" s="286" t="str">
        <x:v>Low but identifiable influence or presence.</x:v>
      </x:c>
    </x:row>
    <x:row r="5">
      <x:c r="A5" s="20" t="str">
        <x:v>European Union</x:v>
      </x:c>
      <x:c r="B5" s="20"/>
      <x:c r="C5" s="20" t="str">
        <x:v>EU influence</x:v>
      </x:c>
      <x:c r="D5" s="20"/>
      <x:c r="E5" s="20" t="str">
        <x:v>Security contractors</x:v>
      </x:c>
      <x:c r="F5" s="20"/>
      <x:c r="G5" s="20" t="str">
        <x:v>Rejected</x:v>
      </x:c>
      <x:c r="H5" s="20"/>
      <x:c r="I5" s="290" t="n">
        <x:v>3</x:v>
      </x:c>
      <x:c r="J5" s="289" t="str">
        <x:v>Limited but recurring evidence.</x:v>
      </x:c>
    </x:row>
    <x:row r="6">
      <x:c r="A6" s="20"/>
      <x:c r="B6" s="20"/>
      <x:c r="C6" s="20"/>
      <x:c r="D6" s="20"/>
      <x:c r="E6" s="20"/>
      <x:c r="F6" s="20"/>
      <x:c r="G6" s="20" t="str">
        <x:v>Needs review</x:v>
      </x:c>
      <x:c r="H6" s="20"/>
      <x:c r="I6" s="293" t="n">
        <x:v>4</x:v>
      </x:c>
      <x:c r="J6" s="292" t="str">
        <x:v>Moderate influence; recurring and credible evidence.</x:v>
      </x:c>
    </x:row>
    <x:row r="7">
      <x:c r="A7" s="20"/>
      <x:c r="B7" s="20"/>
      <x:c r="C7" s="20"/>
      <x:c r="D7" s="20"/>
      <x:c r="E7" s="20"/>
      <x:c r="F7" s="20"/>
      <x:c r="G7" s="20" t="str">
        <x:v>No source</x:v>
      </x:c>
      <x:c r="H7" s="20"/>
      <x:c r="I7" s="296" t="n">
        <x:v>5</x:v>
      </x:c>
      <x:c r="J7" s="295" t="str">
        <x:v>Significant influence in one channel or limited multi-channel activity.</x:v>
      </x:c>
    </x:row>
    <x:row r="8">
      <x:c r="A8" s="20"/>
      <x:c r="B8" s="20"/>
      <x:c r="C8" s="20"/>
      <x:c r="D8" s="20"/>
      <x:c r="E8" s="20"/>
      <x:c r="F8" s="20"/>
      <x:c r="G8" s="20" t="str">
        <x:v>Partial source</x:v>
      </x:c>
      <x:c r="H8" s="20"/>
      <x:c r="I8" s="299" t="n">
        <x:v>6</x:v>
      </x:c>
      <x:c r="J8" s="298" t="str">
        <x:v>High influence; sustained, visible, or strategically relevant evidence.</x:v>
      </x:c>
    </x:row>
    <x:row r="9">
      <x:c r="A9" s="20"/>
      <x:c r="B9" s="20"/>
      <x:c r="C9" s="20"/>
      <x:c r="D9" s="20"/>
      <x:c r="E9" s="20"/>
      <x:c r="F9" s="20"/>
      <x:c r="G9" s="20" t="str">
        <x:v>Source-complete</x:v>
      </x:c>
      <x:c r="H9" s="20"/>
      <x:c r="I9" s="302" t="n">
        <x:v>7</x:v>
      </x:c>
      <x:c r="J9" s="301" t="str">
        <x:v>Very high influence; strong multi-channel footprint.</x:v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305" t="n">
        <x:v>8</x:v>
      </x:c>
      <x:c r="J10" s="304" t="str">
        <x:v>Entrenched influence; institutionally or network significant.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308" t="n">
        <x:v>9</x:v>
      </x:c>
      <x:c r="J11" s="307" t="str">
        <x:v>Dominant in key influence channels; major political-security-information role.</x:v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311" t="n">
        <x:v>10</x:v>
      </x:c>
      <x:c r="J12" s="310" t="str">
        <x:v>Systemic / commanding influence; central to the country’s political-security-information environment.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8" hidden="0" customWidth="1"/>
  </x:cols>
  <x:sheetData>
    <x:row r="1" ht="28" customHeight="1">
      <x:c r="A1" s="369" t="str">
        <x:v>Workbook verification checks</x:v>
      </x:c>
      <x:c r="B1" s="369"/>
      <x:c r="C1" s="369"/>
      <x:c r="D1" s="369"/>
    </x:row>
    <x:row r="2">
      <x:c r="A2"/>
      <x:c r="B2"/>
      <x:c r="C2"/>
      <x:c r="D2"/>
    </x:row>
    <x:row r="3" ht="28" customHeight="1">
      <x:c r="A3" s="370" t="str">
        <x:v>Check</x:v>
      </x:c>
      <x:c r="B3" s="370" t="str">
        <x:v>Formula / Value</x:v>
      </x:c>
      <x:c r="C3" s="370" t="str">
        <x:v>Expected</x:v>
      </x:c>
      <x:c r="D3" s="370" t="str">
        <x:v>Status</x:v>
      </x:c>
    </x:row>
    <x:row r="4">
      <x:c r="A4" t="str">
        <x:v>Country rows</x:v>
      </x:c>
      <x:c r="B4" t="n">
        <x:f>COUNTA(Country_Master!A2:A124)</x:f>
        <x:v>123</x:v>
      </x:c>
      <x:c r="C4" t="n">
        <x:v>123</x:v>
      </x:c>
      <x:c r="D4" t="str">
        <x:f>IF(B4=C4,"OK","Review")</x:f>
        <x:v>OK</x:v>
      </x:c>
    </x:row>
    <x:row r="5">
      <x:c r="A5" t="str">
        <x:v>Actor count</x:v>
      </x:c>
      <x:c r="B5" t="n">
        <x:f>COUNTA(Lookups!A2:A5)</x:f>
        <x:v>4</x:v>
      </x:c>
      <x:c r="C5" t="n">
        <x:v>4</x:v>
      </x:c>
      <x:c r="D5" t="str">
        <x:f>IF(B5=C5,"OK","Review")</x:f>
        <x:v>OK</x:v>
      </x:c>
    </x:row>
    <x:row r="6">
      <x:c r="A6" t="str">
        <x:v>Subfactor count</x:v>
      </x:c>
      <x:c r="B6" t="n">
        <x:f>COUNTA(Lookups!C2:C5)</x:f>
        <x:v>4</x:v>
      </x:c>
      <x:c r="C6" t="n">
        <x:v>4</x:v>
      </x:c>
      <x:c r="D6" t="str">
        <x:f>IF(B6=C6,"OK","Review")</x:f>
        <x:v>OK</x:v>
      </x:c>
    </x:row>
    <x:row r="7">
      <x:c r="A7" t="str">
        <x:v>Scoring rows</x:v>
      </x:c>
      <x:c r="B7" t="n">
        <x:f>COUNTA(Scoring_Matrix!A2:A493)</x:f>
        <x:v>492</x:v>
      </x:c>
      <x:c r="C7" t="n">
        <x:v>492</x:v>
      </x:c>
      <x:c r="D7" t="str">
        <x:f>IF(B7=C7,"OK","Review")</x:f>
        <x:v>OK</x:v>
      </x:c>
    </x:row>
    <x:row r="8">
      <x:c r="A8" t="str">
        <x:v>Evidence slots</x:v>
      </x:c>
      <x:c r="B8" t="n">
        <x:f>COUNTA(Evidence_Log!A2:A1969)</x:f>
        <x:v>1968</x:v>
      </x:c>
      <x:c r="C8" t="n">
        <x:v>1968</x:v>
      </x:c>
      <x:c r="D8" t="str">
        <x:f>IF(B8=C8,"OK","Review")</x:f>
        <x:v>OK</x:v>
      </x:c>
    </x:row>
    <x:row r="9">
      <x:c r="A9" t="str">
        <x:v>Weight total</x:v>
      </x:c>
      <x:c r="B9" t="n">
        <x:f>SUM(Factor_Model!B4:B7)</x:f>
        <x:v>1</x:v>
      </x:c>
      <x:c r="C9" t="n">
        <x:v>1</x:v>
      </x:c>
      <x:c r="D9" t="str">
        <x:f>IF(B9=C9,"OK","Review")</x:f>
        <x:v>OK</x:v>
      </x:c>
    </x:row>
    <x:row r="10">
      <x:c r="A10" t="str">
        <x:v>Missing country source URLs</x:v>
      </x:c>
      <x:c r="B10" t="n">
        <x:f>COUNTBLANK(Country_Master!M2:M124)</x:f>
        <x:v>0</x:v>
      </x:c>
      <x:c r="C10" t="n">
        <x:v>0</x:v>
      </x:c>
      <x:c r="D10" t="str">
        <x:f>IF(B10=C10,"OK","Review")</x:f>
        <x:v>OK</x:v>
      </x:c>
    </x:row>
    <x:row r="11">
      <x:c r="A11" s="352" t="str">
        <x:v>Leaflet Country_Config rows</x:v>
      </x:c>
      <x:c r="B11" s="352" t="n">
        <x:f>COUNTA(Country_Config!A2:A124)</x:f>
        <x:v>123</x:v>
      </x:c>
      <x:c r="C11" s="352" t="n">
        <x:v>123</x:v>
      </x:c>
      <x:c r="D11" s="352" t="str">
        <x:f>IF(B11=C11,"OK","Review")</x:f>
        <x:v>OK</x:v>
      </x:c>
    </x:row>
    <x:row r="12">
      <x:c r="A12" s="352" t="str">
        <x:v>Leaflet selectable rows</x:v>
      </x:c>
      <x:c r="B12" s="352" t="n">
        <x:f>COUNTIF(Country_Config!F2:F124,"Yes")</x:f>
        <x:v>123</x:v>
      </x:c>
      <x:c r="C12" s="352" t="n">
        <x:v>123</x:v>
      </x:c>
      <x:c r="D12" s="352" t="str">
        <x:f>IF(B12=C12,"OK","Review")</x:f>
        <x:v>OK</x:v>
      </x:c>
    </x:row>
    <x:row r="13">
      <x:c r="A13" s="352" t="str">
        <x:v>GeoJSON feature rows</x:v>
      </x:c>
      <x:c r="B13" s="352" t="n">
        <x:f>COUNTA(GeoJSON_Export!A7:A129)</x:f>
        <x:v>123</x:v>
      </x:c>
      <x:c r="C13" s="352" t="n">
        <x:v>123</x:v>
      </x:c>
      <x:c r="D13" s="352" t="str">
        <x:f>IF(B13=C13,"OK","Review")</x:f>
        <x:v>OK</x:v>
      </x:c>
    </x:row>
    <x:row r="14">
      <x:c r="A14" t="str">
        <x:v>Excluded non-country rows copied</x:v>
      </x:c>
      <x:c r="B14" t="n">
        <x:f>COUNTA(Excluded_Not_Countries!A2:A20)</x:f>
        <x:v>11</x:v>
      </x:c>
      <x:c r="C14" t="n">
        <x:v>11</x:v>
      </x:c>
      <x:c r="D14" t="str">
        <x:f>IF(B14=C14,"OK","Review")</x:f>
        <x:v>OK</x:v>
      </x:c>
    </x:row>
    <x:row r="15">
      <x:c r="A15" t="str">
        <x:v>Scoring numeric scores</x:v>
      </x:c>
      <x:c r="B15" t="n">
        <x:f>COUNT(Scoring_Matrix!$K$2:$K$493)+COUNT(Scoring_Matrix!$N$2:$N$493)+COUNT(Scoring_Matrix!$Q$2:$Q$493)+COUNT(Scoring_Matrix!$T$2:$T$493)</x:f>
        <x:v>1968</x:v>
      </x:c>
      <x:c r="C15" t="n">
        <x:v>1968</x:v>
      </x:c>
      <x:c r="D15" t="str">
        <x:f>IF(B15=C15,"OK","Check")</x:f>
        <x:v>OK</x:v>
      </x:c>
    </x:row>
    <x:row r="16">
      <x:c r="A16" t="str">
        <x:v>Scoring confidence values</x:v>
      </x:c>
      <x:c r="B16" t="n">
        <x:f>COUNT(Scoring_Matrix!$L$2:$L$493)+COUNT(Scoring_Matrix!$O$2:$O$493)+COUNT(Scoring_Matrix!$R$2:$R$493)+COUNT(Scoring_Matrix!$U$2:$U$493)</x:f>
        <x:v>1968</x:v>
      </x:c>
      <x:c r="C16" t="n">
        <x:v>1968</x:v>
      </x:c>
      <x:c r="D16" t="str">
        <x:f>IF(B16=C16,"OK","Check")</x:f>
        <x:v>OK</x:v>
      </x:c>
    </x:row>
    <x:row r="17">
      <x:c r="A17" t="str">
        <x:v>Scoring source URLs</x:v>
      </x:c>
      <x:c r="B17" t="n">
        <x:f>COUNTA(Scoring_Matrix!$M$2:$M$493)+COUNTA(Scoring_Matrix!$P$2:$P$493)+COUNTA(Scoring_Matrix!$S$2:$S$493)+COUNTA(Scoring_Matrix!$V$2:$V$493)</x:f>
        <x:v>1968</x:v>
      </x:c>
      <x:c r="C17" t="n">
        <x:v>1968</x:v>
      </x:c>
      <x:c r="D17" t="str">
        <x:f>IF(B17=C17,"OK","Check")</x:f>
        <x:v>OK</x:v>
      </x:c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80" hidden="0" customWidth="1"/>
  </x:cols>
  <x:sheetData>
    <x:row r="1" ht="28" customHeight="1">
      <x:c r="A1" s="26" t="str">
        <x:v>Version</x:v>
      </x:c>
      <x:c r="B1" s="26" t="str">
        <x:v>Date</x:v>
      </x:c>
      <x:c r="C1" s="26" t="str">
        <x:v>Change</x:v>
      </x:c>
      <x:c r="D1" s="26" t="str">
        <x:v>Notes</x:v>
      </x:c>
    </x:row>
    <x:row r="2">
      <x:c r="A2" t="str">
        <x:v>v2</x:v>
      </x:c>
      <x:c r="B2" t="str">
        <x:v>2026-05-19</x:v>
      </x:c>
      <x:c r="C2" t="str">
        <x:v>Restructured to actor-level influence model</x:v>
      </x:c>
      <x:c r="D2" t="str">
        <x:v>Added Russia, China, United States and European Union main factors with four common subfactors.</x:v>
      </x:c>
    </x:row>
    <x:row r="3">
      <x:c r="A3" t="str">
        <x:v>v1</x:v>
      </x:c>
      <x:c r="B3" t="str">
        <x:v>2026-05-19</x:v>
      </x:c>
      <x:c r="C3" t="str">
        <x:v>Initial all-country workbook</x:v>
      </x:c>
      <x:c r="D3" t="str">
        <x:v>Country master and source-ready scoring structure.</x:v>
      </x:c>
    </x:row>
    <x:row r="4">
      <x:c r="A4" t="str">
        <x:v>2026-05-19</x:v>
      </x:c>
      <x:c r="B4" t="str">
        <x:v>Updated scoring scale</x:v>
      </x:c>
      <x:c r="C4" t="str">
        <x:v>Changed influence/evidence score fields from 0–5 to 0–10, added numeric 0–10 validation and a dedicated rubric.</x:v>
      </x:c>
      <x:c r="D4" t="str">
        <x:v>GPT-5.5 Pro</x:v>
      </x:c>
    </x:row>
    <x:row r="5">
      <x:c r="A5" s="20" t="str">
        <x:v>v3</x:v>
      </x:c>
      <x:c r="B5" s="20" t="str">
        <x:v>2026-05-19</x:v>
      </x:c>
      <x:c r="C5" s="20" t="str">
        <x:v>Added colour-coded 0–10 scoring</x:v>
      </x:c>
      <x:c r="D5" s="20" t="str">
        <x:v>Applied conditional score bands to Scoring_Matrix, Evidence_Log and Map_Data; added Score_Color_Legend and coloured rubric rows.</x:v>
      </x:c>
    </x:row>
    <x:row r="6">
      <x:c r="A6" s="20" t="str">
        <x:v>v4</x:v>
      </x:c>
      <x:c r="B6" s="20" t="str">
        <x:v>2026-05-19</x:v>
      </x:c>
      <x:c r="C6" s="20" t="str">
        <x:v>Added point-by-point colours</x:v>
      </x:c>
      <x:c r="D6" s="20" t="str">
        <x:v>Each score value 0–10 now has its own distinct colour; blanks / No data remain neutral.</x:v>
      </x:c>
    </x:row>
    <x:row r="7">
      <x:c r="A7" s="361" t="str">
        <x:v>2026-05-19</x:v>
      </x:c>
      <x:c r="B7" s="20" t="str">
        <x:v>ChatGPT</x:v>
      </x:c>
      <x:c r="C7" s="20" t="str">
        <x:v>Renewed Leaflet scope to all possible country/area rows</x:v>
      </x:c>
      <x:c r="D7" s="20" t="str">
        <x:v>Added Country_Config with 249 rows, appended Map_Data Leaflet columns Q:Z, added GeoJSON_Export and Map_Code.</x:v>
      </x:c>
    </x:row>
    <x:row r="8">
      <x:c r="A8" s="20" t="str">
        <x:v>v5</x:v>
      </x:c>
      <x:c r="B8" s="20" t="str">
        <x:v>2026-05-19</x:v>
      </x:c>
      <x:c r="C8" s="20" t="str">
        <x:v>Standardized USA as one selectable country</x:v>
      </x:c>
      <x:c r="D8" s="20" t="str">
        <x:v>United States country row renamed to USA; U.S. states excluded as subnational units while all other Leaflet country/area rows remain.</x:v>
      </x:c>
    </x:row>
    <x:row r="9">
      <x:c r="A9" t="str">
        <x:v>v6</x:v>
      </x:c>
      <x:c r="B9" t="str">
        <x:v>2026-05-19</x:v>
      </x:c>
      <x:c r="C9" t="str">
        <x:v>Filtered workbook to ResurgamHub-mentioned countries only</x:v>
      </x:c>
      <x:c r="D9" t="str">
        <x:v>Country_Master, Country_Config, Map_Data, Scoring_Matrix, Evidence_Log and GeoJSON_Export now use only 123 normalized country/country-area mentions.</x:v>
      </x:c>
    </x:row>
    <x:row r="10">
      <x:c r="A10" t="str">
        <x:v>v7</x:v>
      </x:c>
      <x:c r="B10" t="str">
        <x:v>2026-05-20</x:v>
      </x:c>
      <x:c r="C10" t="str">
        <x:v>Filled Scoring_Matrix and Evidence_Log</x:v>
      </x:c>
      <x:c r="D10" t="str">
        <x:v>Added numeric 0–10 subfactor scores, 0–5 confidence ratings, and source URLs for all 1,968 actor/country/subfactor entries.</x:v>
      </x:c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48" hidden="0" customWidth="1"/>
    <x:col min="5" max="5" width="45" hidden="0" customWidth="1"/>
  </x:cols>
  <x:sheetData>
    <x:row r="1">
      <x:c r="A1" s="58" t="str">
        <x:v>0–10 scoring rubric</x:v>
      </x:c>
      <x:c r="B1" s="58"/>
      <x:c r="C1" s="58"/>
      <x:c r="D1" s="58"/>
      <x:c r="E1" s="58"/>
    </x:row>
    <x:row r="3">
      <x:c r="A3" s="238" t="str">
        <x:v>Score</x:v>
      </x:c>
      <x:c r="B3" s="238" t="str">
        <x:v>Band</x:v>
      </x:c>
      <x:c r="C3" s="238" t="str">
        <x:v>Meaning</x:v>
      </x:c>
      <x:c r="D3" s="238" t="str">
        <x:v>Use when evidence shows</x:v>
      </x:c>
      <x:c r="E3" s="238" t="str">
        <x:v>Verification rule</x:v>
      </x:c>
    </x:row>
    <x:row r="4">
      <x:c r="A4" s="264" t="n">
        <x:v>0</x:v>
      </x:c>
      <x:c r="B4" s="157" t="str">
        <x:v>Absent / none</x:v>
      </x:c>
      <x:c r="C4" s="157" t="str">
        <x:v>No verified presence.</x:v>
      </x:c>
      <x:c r="D4" s="157" t="str">
        <x:v>No country-specific verified evidence of the actor/subfactor.</x:v>
      </x:c>
      <x:c r="E4" s="157" t="str">
        <x:v>Keep as 0 only when absence is verified; otherwise leave blank / No data.</x:v>
      </x:c>
    </x:row>
    <x:row r="5">
      <x:c r="A5" s="265" t="n">
        <x:v>1</x:v>
      </x:c>
      <x:c r="B5" s="161" t="str">
        <x:v>Low</x:v>
      </x:c>
      <x:c r="C5" s="161" t="str">
        <x:v>Trace or isolated indicator.</x:v>
      </x:c>
      <x:c r="D5" s="161" t="str">
        <x:v>One weak, old, or indirect source-backed indicator.</x:v>
      </x:c>
      <x:c r="E5" s="161" t="str">
        <x:v>Needs source URL and note explaining weakness.</x:v>
      </x:c>
    </x:row>
    <x:row r="6">
      <x:c r="A6" s="266" t="n">
        <x:v>2</x:v>
      </x:c>
      <x:c r="B6" s="165" t="str">
        <x:v>Low</x:v>
      </x:c>
      <x:c r="C6" s="165" t="str">
        <x:v>Identifiable but limited footprint.</x:v>
      </x:c>
      <x:c r="D6" s="165" t="str">
        <x:v>One credible country-specific source or a small number of limited indicators.</x:v>
      </x:c>
      <x:c r="E6" s="165" t="str">
        <x:v>Needs source URL and confidence rating.</x:v>
      </x:c>
    </x:row>
    <x:row r="7">
      <x:c r="A7" s="267" t="n">
        <x:v>3</x:v>
      </x:c>
      <x:c r="B7" s="169" t="str">
        <x:v>Moderate</x:v>
      </x:c>
      <x:c r="C7" s="169" t="str">
        <x:v>Limited recurring evidence.</x:v>
      </x:c>
      <x:c r="D7" s="169" t="str">
        <x:v>More than one source-backed indicator, but narrow in channel, time, or scope.</x:v>
      </x:c>
      <x:c r="E7" s="169" t="str">
        <x:v>Needs source URL(s) and analyst note.</x:v>
      </x:c>
    </x:row>
    <x:row r="8">
      <x:c r="A8" s="268" t="n">
        <x:v>4</x:v>
      </x:c>
      <x:c r="B8" s="173" t="str">
        <x:v>Moderate</x:v>
      </x:c>
      <x:c r="C8" s="173" t="str">
        <x:v>Recurring and credible activity.</x:v>
      </x:c>
      <x:c r="D8" s="173" t="str">
        <x:v>Repeated activity or visible footprint, but not yet strategically central.</x:v>
      </x:c>
      <x:c r="E8" s="173" t="str">
        <x:v>Needs country-specific evidence and review status.</x:v>
      </x:c>
    </x:row>
    <x:row r="9">
      <x:c r="A9" s="269" t="n">
        <x:v>5</x:v>
      </x:c>
      <x:c r="B9" s="178" t="str">
        <x:v>Significant</x:v>
      </x:c>
      <x:c r="C9" s="178" t="str">
        <x:v>Significant influence in one channel or limited multi-channel activity.</x:v>
      </x:c>
      <x:c r="D9" s="178" t="str">
        <x:v>Strong single-channel influence or several lower-intensity channels.</x:v>
      </x:c>
      <x:c r="E9" s="178" t="str">
        <x:v>Source-backed score; mark Partial source unless all subfactor URLs exist.</x:v>
      </x:c>
    </x:row>
    <x:row r="10">
      <x:c r="A10" s="270" t="n">
        <x:v>6</x:v>
      </x:c>
      <x:c r="B10" s="180" t="str">
        <x:v>High</x:v>
      </x:c>
      <x:c r="C10" s="180" t="str">
        <x:v>Sustained, visible, or strategically relevant evidence.</x:v>
      </x:c>
      <x:c r="D10" s="180" t="str">
        <x:v>Sustained activity with political, security, or information relevance.</x:v>
      </x:c>
      <x:c r="E10" s="180" t="str">
        <x:v>Needs credible source URL and confidence.</x:v>
      </x:c>
    </x:row>
    <x:row r="11">
      <x:c r="A11" s="271" t="n">
        <x:v>7</x:v>
      </x:c>
      <x:c r="B11" s="183" t="str">
        <x:v>Very high</x:v>
      </x:c>
      <x:c r="C11" s="183" t="str">
        <x:v>Strong multi-channel footprint.</x:v>
      </x:c>
      <x:c r="D11" s="183" t="str">
        <x:v>Influence spans several mechanisms or has durable institutional/network links.</x:v>
      </x:c>
      <x:c r="E11" s="183" t="str">
        <x:v>Needs multiple or strong official/credible sources.</x:v>
      </x:c>
    </x:row>
    <x:row r="12">
      <x:c r="A12" s="272" t="n">
        <x:v>8</x:v>
      </x:c>
      <x:c r="B12" s="186" t="str">
        <x:v>Entrenched</x:v>
      </x:c>
      <x:c r="C12" s="186" t="str">
        <x:v>Institutionally or network significant.</x:v>
      </x:c>
      <x:c r="D12" s="186" t="str">
        <x:v>Entrenched role in institutions, strategic sectors, media/security networks, or elections.</x:v>
      </x:c>
      <x:c r="E12" s="186" t="str">
        <x:v>Needs strong source base and source-complete review preferred.</x:v>
      </x:c>
    </x:row>
    <x:row r="13">
      <x:c r="A13" s="273" t="n">
        <x:v>9</x:v>
      </x:c>
      <x:c r="B13" s="189" t="str">
        <x:v>Dominant</x:v>
      </x:c>
      <x:c r="C13" s="189" t="str">
        <x:v>Major role in key influence channels.</x:v>
      </x:c>
      <x:c r="D13" s="189" t="str">
        <x:v>Actor is dominant in at least one key channel or highly influential across several.</x:v>
      </x:c>
      <x:c r="E13" s="189" t="str">
        <x:v>Needs high confidence and explicit source justification.</x:v>
      </x:c>
    </x:row>
    <x:row r="14">
      <x:c r="A14" s="274" t="n">
        <x:v>10</x:v>
      </x:c>
      <x:c r="B14" s="192" t="str">
        <x:v>Systemic</x:v>
      </x:c>
      <x:c r="C14" s="192" t="str">
        <x:v>Central / commanding influence.</x:v>
      </x:c>
      <x:c r="D14" s="192" t="str">
        <x:v>Actor/subfactor is central to the country’s political-security-information environment.</x:v>
      </x:c>
      <x:c r="E14" s="192" t="str">
        <x:v>Use rarely; requires robust source-backed justification.</x:v>
      </x:c>
    </x:row>
    <x:row r="15">
      <x:c r="A15" s="145"/>
      <x:c r="B15" s="145"/>
      <x:c r="C15" s="145"/>
      <x:c r="D15" s="145"/>
      <x:c r="E15" s="145"/>
    </x:row>
    <x:row r="16">
      <x:c r="A16" s="275" t="str">
        <x:v>Scoring principle</x:v>
      </x:c>
      <x:c r="B16" s="275" t="str">
        <x:v>Do not fabricate</x:v>
      </x:c>
      <x:c r="C16" s="275" t="str">
        <x:v>Blank means not assessed / no source-backed score yet.</x:v>
      </x:c>
      <x:c r="D16" s="275" t="str">
        <x:v>0 means verified absence or verified negligible presence.</x:v>
      </x:c>
      <x:c r="E16" s="275" t="str">
        <x:v>All country scores require country-specific URLs.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4" hidden="0" customWidth="1"/>
    <x:col min="4" max="4" width="45" hidden="0" customWidth="1"/>
    <x:col min="5" max="5" width="64" hidden="0" customWidth="1"/>
    <x:col min="6" max="6" width="16" hidden="0" customWidth="1"/>
  </x:cols>
  <x:sheetData>
    <x:row r="1" ht="28" hidden="0" customHeight="1">
      <x:c r="A1" s="127" t="str">
        <x:v>0–10 influence score colour legend — every point has a distinct colour</x:v>
      </x:c>
      <x:c r="B1" s="127"/>
      <x:c r="C1" s="127"/>
      <x:c r="D1" s="127"/>
      <x:c r="E1" s="127"/>
    </x:row>
    <x:row r="2" ht="22" hidden="0" customHeight="1">
      <x:c r="A2"/>
      <x:c r="B2"/>
      <x:c r="C2"/>
      <x:c r="D2"/>
    </x:row>
    <x:row r="3" ht="24" hidden="0" customHeight="1">
      <x:c r="A3" s="131" t="str">
        <x:v>Score value</x:v>
      </x:c>
      <x:c r="B3" s="131" t="str">
        <x:v>Colour swatch</x:v>
      </x:c>
      <x:c r="C3" s="131" t="str">
        <x:v>Hex colour</x:v>
      </x:c>
      <x:c r="D3" s="131" t="str">
        <x:v>Meaning</x:v>
      </x:c>
      <x:c r="E3" s="131" t="str">
        <x:v>How to use it</x:v>
      </x:c>
      <x:c r="F3" s="351" t="str">
        <x:v>Hex_NoHash</x:v>
      </x:c>
    </x:row>
    <x:row r="4" ht="22" hidden="0" customHeight="1">
      <x:c r="A4" s="154" t="str">
        <x:v>Blank / No data</x:v>
      </x:c>
      <x:c r="B4" s="154" t="str">
        <x:v>Neutral</x:v>
      </x:c>
      <x:c r="C4" s="154" t="str">
        <x:v>#F8FAFC</x:v>
      </x:c>
      <x:c r="D4" s="154" t="str">
        <x:v>Not assessed or no source-backed score yet</x:v>
      </x:c>
      <x:c r="E4" s="154" t="str">
        <x:v>Leave neutral until a country-specific source URL supports a numeric score.</x:v>
      </x:c>
      <x:c r="F4" t="str">
        <x:v>F8FAFC</x:v>
      </x:c>
    </x:row>
    <x:row r="5" ht="22" hidden="0" customHeight="1">
      <x:c r="A5" s="158" t="n">
        <x:v>0</x:v>
      </x:c>
      <x:c r="B5" s="158" t="str">
        <x:v>Grey</x:v>
      </x:c>
      <x:c r="C5" s="157" t="str">
        <x:v>#E5E7EB</x:v>
      </x:c>
      <x:c r="D5" s="157" t="str">
        <x:v>Verified absent / none</x:v>
      </x:c>
      <x:c r="E5" s="157" t="str">
        <x:v>Use only where absence or negligible presence is verified.</x:v>
      </x:c>
      <x:c r="F5" t="str">
        <x:v>E5E7EB</x:v>
      </x:c>
    </x:row>
    <x:row r="6" ht="22" hidden="0" customHeight="1">
      <x:c r="A6" s="162" t="n">
        <x:v>1</x:v>
      </x:c>
      <x:c r="B6" s="162" t="str">
        <x:v>Very light green</x:v>
      </x:c>
      <x:c r="C6" s="161" t="str">
        <x:v>#D1FAE5</x:v>
      </x:c>
      <x:c r="D6" s="161" t="str">
        <x:v>Trace or isolated indicator</x:v>
      </x:c>
      <x:c r="E6" s="161" t="str">
        <x:v>One weak, old, indirect, or isolated country-specific indicator.</x:v>
      </x:c>
      <x:c r="F6" t="str">
        <x:v>D1FAE5</x:v>
      </x:c>
    </x:row>
    <x:row r="7" ht="22" hidden="0" customHeight="1">
      <x:c r="A7" s="166" t="n">
        <x:v>2</x:v>
      </x:c>
      <x:c r="B7" s="166" t="str">
        <x:v>Light green</x:v>
      </x:c>
      <x:c r="C7" s="165" t="str">
        <x:v>#A7F3D0</x:v>
      </x:c>
      <x:c r="D7" s="165" t="str">
        <x:v>Identifiable but limited footprint</x:v>
      </x:c>
      <x:c r="E7" s="165" t="str">
        <x:v>One credible source or a few limited country-specific indicators.</x:v>
      </x:c>
      <x:c r="F7" t="str">
        <x:v>A7F3D0</x:v>
      </x:c>
    </x:row>
    <x:row r="8" ht="22" hidden="0" customHeight="1">
      <x:c r="A8" s="170" t="n">
        <x:v>3</x:v>
      </x:c>
      <x:c r="B8" s="170" t="str">
        <x:v>Light yellow</x:v>
      </x:c>
      <x:c r="C8" s="169" t="str">
        <x:v>#FEF3C7</x:v>
      </x:c>
      <x:c r="D8" s="169" t="str">
        <x:v>Limited recurring evidence</x:v>
      </x:c>
      <x:c r="E8" s="169" t="str">
        <x:v>Repeated but narrow, limited, or low-intensity evidence.</x:v>
      </x:c>
      <x:c r="F8" t="str">
        <x:v>FEF3C7</x:v>
      </x:c>
    </x:row>
    <x:row r="9" ht="22" hidden="0" customHeight="1">
      <x:c r="A9" s="174" t="n">
        <x:v>4</x:v>
      </x:c>
      <x:c r="B9" s="174" t="str">
        <x:v>Yellow</x:v>
      </x:c>
      <x:c r="C9" s="173" t="str">
        <x:v>#FDE68A</x:v>
      </x:c>
      <x:c r="D9" s="173" t="str">
        <x:v>Recurring and credible activity</x:v>
      </x:c>
      <x:c r="E9" s="173" t="str">
        <x:v>Recurring activity with credible evidence, not strategically central.</x:v>
      </x:c>
      <x:c r="F9" t="str">
        <x:v>FDE68A</x:v>
      </x:c>
    </x:row>
    <x:row r="10" ht="22" hidden="0" customHeight="1">
      <x:c r="A10" s="177" t="n">
        <x:v>5</x:v>
      </x:c>
      <x:c r="B10" s="177" t="str">
        <x:v>Gold</x:v>
      </x:c>
      <x:c r="C10" s="177" t="str">
        <x:v>#FCD34D</x:v>
      </x:c>
      <x:c r="D10" s="177" t="str">
        <x:v>Significant influence in one channel</x:v>
      </x:c>
      <x:c r="E10" s="178" t="str">
        <x:v>Strong single-channel influence or limited multi-channel evidence.</x:v>
      </x:c>
      <x:c r="F10" t="str">
        <x:v>FCD34D</x:v>
      </x:c>
    </x:row>
    <x:row r="11" ht="22" customHeight="1">
      <x:c r="A11" s="181" t="n">
        <x:v>6</x:v>
      </x:c>
      <x:c r="B11" s="181" t="str">
        <x:v>Light orange</x:v>
      </x:c>
      <x:c r="C11" s="180" t="str">
        <x:v>#FDBA74</x:v>
      </x:c>
      <x:c r="D11" s="180" t="str">
        <x:v>Sustained / strategically relevant evidence</x:v>
      </x:c>
      <x:c r="E11" s="180" t="str">
        <x:v>Sustained activity with political, security, or information relevance.</x:v>
      </x:c>
      <x:c r="F11" t="str">
        <x:v>FDBA74</x:v>
      </x:c>
    </x:row>
    <x:row r="12" ht="22" customHeight="1">
      <x:c r="A12" s="184" t="n">
        <x:v>7</x:v>
      </x:c>
      <x:c r="B12" s="184" t="str">
        <x:v>Orange</x:v>
      </x:c>
      <x:c r="C12" s="183" t="str">
        <x:v>#FB923C</x:v>
      </x:c>
      <x:c r="D12" s="183" t="str">
        <x:v>Strong multi-channel footprint</x:v>
      </x:c>
      <x:c r="E12" s="183" t="str">
        <x:v>Several mechanisms, durable links, or strong network footprint.</x:v>
      </x:c>
      <x:c r="F12" t="str">
        <x:v>FB923C</x:v>
      </x:c>
    </x:row>
    <x:row r="13" ht="22" customHeight="1">
      <x:c r="A13" s="187" t="n">
        <x:v>8</x:v>
      </x:c>
      <x:c r="B13" s="187" t="str">
        <x:v>Deep orange</x:v>
      </x:c>
      <x:c r="C13" s="186" t="str">
        <x:v>#F97316</x:v>
      </x:c>
      <x:c r="D13" s="186" t="str">
        <x:v>Entrenched institutional or network role</x:v>
      </x:c>
      <x:c r="E13" s="186" t="str">
        <x:v>Entrenched role in institutions, strategic sectors, media, security, or elections.</x:v>
      </x:c>
      <x:c r="F13" t="str">
        <x:v>F97316</x:v>
      </x:c>
    </x:row>
    <x:row r="14" ht="22" customHeight="1">
      <x:c r="A14" s="190" t="n">
        <x:v>9</x:v>
      </x:c>
      <x:c r="B14" s="190" t="str">
        <x:v>Red</x:v>
      </x:c>
      <x:c r="C14" s="189" t="str">
        <x:v>#EF4444</x:v>
      </x:c>
      <x:c r="D14" s="189" t="str">
        <x:v>Dominant in one or more key influence channels</x:v>
      </x:c>
      <x:c r="E14" s="189" t="str">
        <x:v>Dominant in a key channel or highly influential across several channels.</x:v>
      </x:c>
      <x:c r="F14" t="str">
        <x:v>EF4444</x:v>
      </x:c>
    </x:row>
    <x:row r="15" ht="22" customHeight="1">
      <x:c r="A15" s="193" t="n">
        <x:v>10</x:v>
      </x:c>
      <x:c r="B15" s="193" t="str">
        <x:v>Dark red</x:v>
      </x:c>
      <x:c r="C15" s="192" t="str">
        <x:v>#B91C1C</x:v>
      </x:c>
      <x:c r="D15" s="192" t="str">
        <x:v>Central / systemic influence</x:v>
      </x:c>
      <x:c r="E15" s="192" t="str">
        <x:v>Use rarely; requires robust source-backed justification.</x:v>
      </x:c>
      <x:c r="F15" t="str">
        <x:v>B91C1C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56" hidden="0" customWidth="1"/>
  </x:cols>
  <x:sheetData>
    <x:row r="1">
      <x:c r="A1" s="370" t="str">
        <x:v>Country</x:v>
      </x:c>
      <x:c r="B1" s="370" t="str">
        <x:v>ISO3</x:v>
      </x:c>
      <x:c r="C1" s="370" t="str">
        <x:v>Region</x:v>
      </x:c>
      <x:c r="D1" s="370" t="str">
        <x:v>Latitude</x:v>
      </x:c>
      <x:c r="E1" s="370" t="str">
        <x:v>Longitude</x:v>
      </x:c>
      <x:c r="F1" s="370" t="str">
        <x:v>Include_on_Map</x:v>
      </x:c>
      <x:c r="G1" s="370" t="str">
        <x:v>Leaflet_Join_Key</x:v>
      </x:c>
      <x:c r="H1" s="370" t="str">
        <x:v>Notes</x:v>
      </x:c>
    </x:row>
    <x:row r="2">
      <x:c r="A2" s="352" t="str">
        <x:v>Afghanistan</x:v>
      </x:c>
      <x:c r="B2" s="352" t="str">
        <x:v>AFG</x:v>
      </x:c>
      <x:c r="C2" s="352" t="str">
        <x:v>Asia-Pacific</x:v>
      </x:c>
      <x:c r="D2" s="352" t="n">
        <x:v>33</x:v>
      </x:c>
      <x:c r="E2" s="352" t="n">
        <x:v>65</x:v>
      </x:c>
      <x:c r="F2" s="352" t="str">
        <x:v>Yes</x:v>
      </x:c>
      <x:c r="G2" s="352" t="str">
        <x:v>AFG</x:v>
      </x:c>
      <x:c r="H2" s="352" t="str">
        <x:v>Included because mentioned by ResurgamHub source group: Middle East ceasefire.</x:v>
      </x:c>
    </x:row>
    <x:row r="3">
      <x:c r="A3" s="352" t="str">
        <x:v>Algeria</x:v>
      </x:c>
      <x:c r="B3" s="352" t="str">
        <x:v>DZA</x:v>
      </x:c>
      <x:c r="C3" s="352" t="str">
        <x:v>Africa</x:v>
      </x:c>
      <x:c r="D3" s="352" t="n">
        <x:v>28</x:v>
      </x:c>
      <x:c r="E3" s="352" t="n">
        <x:v>3</x:v>
      </x:c>
      <x:c r="F3" s="352" t="str">
        <x:v>Yes</x:v>
      </x:c>
      <x:c r="G3" s="352" t="str">
        <x:v>DZA</x:v>
      </x:c>
      <x:c r="H3" s="352" t="str">
        <x:v>Included because mentioned by ResurgamHub source group: Africa hybrid war.</x:v>
      </x:c>
    </x:row>
    <x:row r="4">
      <x:c r="A4" s="352" t="str">
        <x:v>Argentina</x:v>
      </x:c>
      <x:c r="B4" s="352" t="str">
        <x:v>ARG</x:v>
      </x:c>
      <x:c r="C4" s="352" t="str">
        <x:v>Americas</x:v>
      </x:c>
      <x:c r="D4" s="352" t="n">
        <x:v>-34</x:v>
      </x:c>
      <x:c r="E4" s="352" t="n">
        <x:v>-64</x:v>
      </x:c>
      <x:c r="F4" s="352" t="str">
        <x:v>Yes</x:v>
      </x:c>
      <x:c r="G4" s="352" t="str">
        <x:v>ARG</x:v>
      </x:c>
      <x:c r="H4" s="352" t="str">
        <x:v>Included because mentioned by ResurgamHub source group: Africa hybrid war.</x:v>
      </x:c>
    </x:row>
    <x:row r="5">
      <x:c r="A5" s="352" t="str">
        <x:v>Armenia</x:v>
      </x:c>
      <x:c r="B5" s="352" t="str">
        <x:v>ARM</x:v>
      </x:c>
      <x:c r="C5" s="352" t="str">
        <x:v>Asia-Pacific</x:v>
      </x:c>
      <x:c r="D5" s="352" t="n">
        <x:v>40</x:v>
      </x:c>
      <x:c r="E5" s="352" t="n">
        <x:v>45</x:v>
      </x:c>
      <x:c r="F5" s="352" t="str">
        <x:v>Yes</x:v>
      </x:c>
      <x:c r="G5" s="352" t="str">
        <x:v>ARM</x:v>
      </x:c>
      <x:c r="H5" s="352" t="str">
        <x:v>Included because mentioned by ResurgamHub source group: South Caucasus.</x:v>
      </x:c>
    </x:row>
    <x:row r="6">
      <x:c r="A6" s="352" t="str">
        <x:v>Australia</x:v>
      </x:c>
      <x:c r="B6" s="352" t="str">
        <x:v>AUS</x:v>
      </x:c>
      <x:c r="C6" s="352" t="str">
        <x:v>Asia-Pacific</x:v>
      </x:c>
      <x:c r="D6" s="352" t="n">
        <x:v>-27</x:v>
      </x:c>
      <x:c r="E6" s="352" t="n">
        <x:v>133</x:v>
      </x:c>
      <x:c r="F6" s="352" t="str">
        <x:v>Yes</x:v>
      </x:c>
      <x:c r="G6" s="352" t="str">
        <x:v>AUS</x:v>
      </x:c>
      <x:c r="H6" s="352" t="str">
        <x:v>Included because mentioned by ResurgamHub source group: Oceania/China.</x:v>
      </x:c>
    </x:row>
    <x:row r="7">
      <x:c r="A7" s="352" t="str">
        <x:v>Austria</x:v>
      </x:c>
      <x:c r="B7" s="352" t="str">
        <x:v>AUT</x:v>
      </x:c>
      <x:c r="C7" s="352" t="str">
        <x:v>Europe</x:v>
      </x:c>
      <x:c r="D7" s="352" t="n">
        <x:v>47.33333333</x:v>
      </x:c>
      <x:c r="E7" s="352" t="n">
        <x:v>13.33333333</x:v>
      </x:c>
      <x:c r="F7" s="352" t="str">
        <x:v>Yes</x:v>
      </x:c>
      <x:c r="G7" s="352" t="str">
        <x:v>AUT</x:v>
      </x:c>
      <x:c r="H7" s="352" t="str">
        <x:v>Included because mentioned by ResurgamHub source group: Black Sea energy.</x:v>
      </x:c>
    </x:row>
    <x:row r="8">
      <x:c r="A8" s="352" t="str">
        <x:v>Azerbaijan</x:v>
      </x:c>
      <x:c r="B8" s="352" t="str">
        <x:v>AZE</x:v>
      </x:c>
      <x:c r="C8" s="352" t="str">
        <x:v>Asia-Pacific</x:v>
      </x:c>
      <x:c r="D8" s="352" t="n">
        <x:v>40.5</x:v>
      </x:c>
      <x:c r="E8" s="352" t="n">
        <x:v>47.5</x:v>
      </x:c>
      <x:c r="F8" s="352" t="str">
        <x:v>Yes</x:v>
      </x:c>
      <x:c r="G8" s="352" t="str">
        <x:v>AZE</x:v>
      </x:c>
      <x:c r="H8" s="352" t="str">
        <x:v>Included because mentioned by ResurgamHub source group: South Caucasus.</x:v>
      </x:c>
    </x:row>
    <x:row r="9">
      <x:c r="A9" s="352" t="str">
        <x:v>Bahrain</x:v>
      </x:c>
      <x:c r="B9" s="352" t="str">
        <x:v>BHR</x:v>
      </x:c>
      <x:c r="C9" s="352" t="str">
        <x:v>Asia-Pacific</x:v>
      </x:c>
      <x:c r="D9" s="352" t="n">
        <x:v>26</x:v>
      </x:c>
      <x:c r="E9" s="352" t="n">
        <x:v>50.55</x:v>
      </x:c>
      <x:c r="F9" s="352" t="str">
        <x:v>Yes</x:v>
      </x:c>
      <x:c r="G9" s="352" t="str">
        <x:v>BHR</x:v>
      </x:c>
      <x:c r="H9" s="352" t="str">
        <x:v>Included because mentioned by ResurgamHub source group: Iran conflict / Europe.</x:v>
      </x:c>
    </x:row>
    <x:row r="10">
      <x:c r="A10" s="352" t="str">
        <x:v>Belarus</x:v>
      </x:c>
      <x:c r="B10" s="352" t="str">
        <x:v>BLR</x:v>
      </x:c>
      <x:c r="C10" s="352" t="str">
        <x:v>Europe</x:v>
      </x:c>
      <x:c r="D10" s="352" t="n">
        <x:v>53</x:v>
      </x:c>
      <x:c r="E10" s="352" t="n">
        <x:v>28</x:v>
      </x:c>
      <x:c r="F10" s="352" t="str">
        <x:v>Yes</x:v>
      </x:c>
      <x:c r="G10" s="352" t="str">
        <x:v>BLR</x:v>
      </x:c>
      <x:c r="H10" s="352" t="str">
        <x:v>Included because mentioned by ResurgamHub source group: Europe/Ukraine/Belarus.</x:v>
      </x:c>
    </x:row>
    <x:row r="11">
      <x:c r="A11" s="352" t="str">
        <x:v>Benin</x:v>
      </x:c>
      <x:c r="B11" s="352" t="str">
        <x:v>BEN</x:v>
      </x:c>
      <x:c r="C11" s="352" t="str">
        <x:v>Africa</x:v>
      </x:c>
      <x:c r="D11" s="352" t="n">
        <x:v>9.5</x:v>
      </x:c>
      <x:c r="E11" s="352" t="n">
        <x:v>2.25</x:v>
      </x:c>
      <x:c r="F11" s="352" t="str">
        <x:v>Yes</x:v>
      </x:c>
      <x:c r="G11" s="352" t="str">
        <x:v>BEN</x:v>
      </x:c>
      <x:c r="H11" s="352" t="str">
        <x:v>Included because mentioned by ResurgamHub source group: Africa hybrid war.</x:v>
      </x:c>
    </x:row>
    <x:row r="12">
      <x:c r="A12" s="352" t="str">
        <x:v>Bolivia</x:v>
      </x:c>
      <x:c r="B12" s="352" t="str">
        <x:v>BOL</x:v>
      </x:c>
      <x:c r="C12" s="352" t="str">
        <x:v>Americas</x:v>
      </x:c>
      <x:c r="D12" s="352" t="n">
        <x:v>-17</x:v>
      </x:c>
      <x:c r="E12" s="352" t="n">
        <x:v>-65</x:v>
      </x:c>
      <x:c r="F12" s="352" t="str">
        <x:v>Yes</x:v>
      </x:c>
      <x:c r="G12" s="352" t="str">
        <x:v>BOL</x:v>
      </x:c>
      <x:c r="H12" s="352" t="str">
        <x:v>Included because mentioned by ResurgamHub source group: Chile article.</x:v>
      </x:c>
    </x:row>
    <x:row r="13">
      <x:c r="A13" s="352" t="str">
        <x:v>Brazil</x:v>
      </x:c>
      <x:c r="B13" s="352" t="str">
        <x:v>BRA</x:v>
      </x:c>
      <x:c r="C13" s="352" t="str">
        <x:v>Americas</x:v>
      </x:c>
      <x:c r="D13" s="352" t="n">
        <x:v>-10</x:v>
      </x:c>
      <x:c r="E13" s="352" t="n">
        <x:v>-55</x:v>
      </x:c>
      <x:c r="F13" s="352" t="str">
        <x:v>Yes</x:v>
      </x:c>
      <x:c r="G13" s="352" t="str">
        <x:v>BRA</x:v>
      </x:c>
      <x:c r="H13" s="352" t="str">
        <x:v>Included because mentioned by ResurgamHub source group: Gripen article.</x:v>
      </x:c>
    </x:row>
    <x:row r="14">
      <x:c r="A14" s="352" t="str">
        <x:v>Bulgaria</x:v>
      </x:c>
      <x:c r="B14" s="352" t="str">
        <x:v>BGR</x:v>
      </x:c>
      <x:c r="C14" s="352" t="str">
        <x:v>Europe</x:v>
      </x:c>
      <x:c r="D14" s="352" t="n">
        <x:v>43</x:v>
      </x:c>
      <x:c r="E14" s="352" t="n">
        <x:v>25</x:v>
      </x:c>
      <x:c r="F14" s="352" t="str">
        <x:v>Yes</x:v>
      </x:c>
      <x:c r="G14" s="352" t="str">
        <x:v>BGR</x:v>
      </x:c>
      <x:c r="H14" s="352" t="str">
        <x:v>Included because mentioned by ResurgamHub source group: Black Sea energy.</x:v>
      </x:c>
    </x:row>
    <x:row r="15">
      <x:c r="A15" s="352" t="str">
        <x:v>Burkina Faso</x:v>
      </x:c>
      <x:c r="B15" s="352" t="str">
        <x:v>BFA</x:v>
      </x:c>
      <x:c r="C15" s="352" t="str">
        <x:v>Africa</x:v>
      </x:c>
      <x:c r="D15" s="352" t="n">
        <x:v>13</x:v>
      </x:c>
      <x:c r="E15" s="352" t="n">
        <x:v>-2</x:v>
      </x:c>
      <x:c r="F15" s="352" t="str">
        <x:v>Yes</x:v>
      </x:c>
      <x:c r="G15" s="352" t="str">
        <x:v>BFA</x:v>
      </x:c>
      <x:c r="H15" s="352" t="str">
        <x:v>Included because mentioned by ResurgamHub source group: Africa hybrid war.</x:v>
      </x:c>
    </x:row>
    <x:row r="16">
      <x:c r="A16" s="352" t="str">
        <x:v>Burundi</x:v>
      </x:c>
      <x:c r="B16" s="352" t="str">
        <x:v>BDI</x:v>
      </x:c>
      <x:c r="C16" s="352" t="str">
        <x:v>Africa</x:v>
      </x:c>
      <x:c r="D16" s="352" t="n">
        <x:v>-3.5</x:v>
      </x:c>
      <x:c r="E16" s="352" t="n">
        <x:v>30</x:v>
      </x:c>
      <x:c r="F16" s="352" t="str">
        <x:v>Yes</x:v>
      </x:c>
      <x:c r="G16" s="352" t="str">
        <x:v>BDI</x:v>
      </x:c>
      <x:c r="H16" s="352" t="str">
        <x:v>Included because mentioned by ResurgamHub source group: Africa hybrid war.</x:v>
      </x:c>
    </x:row>
    <x:row r="17">
      <x:c r="A17" s="352" t="str">
        <x:v>Cambodia</x:v>
      </x:c>
      <x:c r="B17" s="352" t="str">
        <x:v>KHM</x:v>
      </x:c>
      <x:c r="C17" s="352" t="str">
        <x:v>Asia-Pacific</x:v>
      </x:c>
      <x:c r="D17" s="352" t="n">
        <x:v>13</x:v>
      </x:c>
      <x:c r="E17" s="352" t="n">
        <x:v>105</x:v>
      </x:c>
      <x:c r="F17" s="352" t="str">
        <x:v>Yes</x:v>
      </x:c>
      <x:c r="G17" s="352" t="str">
        <x:v>KHM</x:v>
      </x:c>
      <x:c r="H17" s="352" t="str">
        <x:v>Included because mentioned by ResurgamHub source group: Gripen article.</x:v>
      </x:c>
    </x:row>
    <x:row r="18">
      <x:c r="A18" s="352" t="str">
        <x:v>Cameroon</x:v>
      </x:c>
      <x:c r="B18" s="352" t="str">
        <x:v>CMR</x:v>
      </x:c>
      <x:c r="C18" s="352" t="str">
        <x:v>Africa</x:v>
      </x:c>
      <x:c r="D18" s="352" t="n">
        <x:v>6</x:v>
      </x:c>
      <x:c r="E18" s="352" t="n">
        <x:v>12</x:v>
      </x:c>
      <x:c r="F18" s="352" t="str">
        <x:v>Yes</x:v>
      </x:c>
      <x:c r="G18" s="352" t="str">
        <x:v>CMR</x:v>
      </x:c>
      <x:c r="H18" s="352" t="str">
        <x:v>Included because mentioned by ResurgamHub source group: Africa hybrid war.</x:v>
      </x:c>
    </x:row>
    <x:row r="19">
      <x:c r="A19" s="352" t="str">
        <x:v>Canada</x:v>
      </x:c>
      <x:c r="B19" s="352" t="str">
        <x:v>CAN</x:v>
      </x:c>
      <x:c r="C19" s="352" t="str">
        <x:v>Americas</x:v>
      </x:c>
      <x:c r="D19" s="352" t="n">
        <x:v>60</x:v>
      </x:c>
      <x:c r="E19" s="352" t="n">
        <x:v>-95</x:v>
      </x:c>
      <x:c r="F19" s="352" t="str">
        <x:v>Yes</x:v>
      </x:c>
      <x:c r="G19" s="352" t="str">
        <x:v>CAN</x:v>
      </x:c>
      <x:c r="H19" s="352" t="str">
        <x:v>Included because mentioned by ResurgamHub source group: USA/North America.</x:v>
      </x:c>
    </x:row>
    <x:row r="20">
      <x:c r="A20" s="352" t="str">
        <x:v>Central African Republic</x:v>
      </x:c>
      <x:c r="B20" s="352" t="str">
        <x:v>CAF</x:v>
      </x:c>
      <x:c r="C20" s="352" t="str">
        <x:v>Africa</x:v>
      </x:c>
      <x:c r="D20" s="352" t="n">
        <x:v>7</x:v>
      </x:c>
      <x:c r="E20" s="352" t="n">
        <x:v>21</x:v>
      </x:c>
      <x:c r="F20" s="352" t="str">
        <x:v>Yes</x:v>
      </x:c>
      <x:c r="G20" s="352" t="str">
        <x:v>CAF</x:v>
      </x:c>
      <x:c r="H20" s="352" t="str">
        <x:v>Included because mentioned by ResurgamHub source group: Africa hybrid war.</x:v>
      </x:c>
    </x:row>
    <x:row r="21">
      <x:c r="A21" s="352" t="str">
        <x:v>Chad</x:v>
      </x:c>
      <x:c r="B21" s="352" t="str">
        <x:v>TCD</x:v>
      </x:c>
      <x:c r="C21" s="352" t="str">
        <x:v>Africa</x:v>
      </x:c>
      <x:c r="D21" s="352" t="n">
        <x:v>15</x:v>
      </x:c>
      <x:c r="E21" s="352" t="n">
        <x:v>19</x:v>
      </x:c>
      <x:c r="F21" s="352" t="str">
        <x:v>Yes</x:v>
      </x:c>
      <x:c r="G21" s="352" t="str">
        <x:v>TCD</x:v>
      </x:c>
      <x:c r="H21" s="352" t="str">
        <x:v>Included because mentioned by ResurgamHub source group: Africa hybrid war.</x:v>
      </x:c>
    </x:row>
    <x:row r="22">
      <x:c r="A22" s="352" t="str">
        <x:v>Chile</x:v>
      </x:c>
      <x:c r="B22" s="352" t="str">
        <x:v>CHL</x:v>
      </x:c>
      <x:c r="C22" s="352" t="str">
        <x:v>Americas</x:v>
      </x:c>
      <x:c r="D22" s="352" t="n">
        <x:v>-30</x:v>
      </x:c>
      <x:c r="E22" s="352" t="n">
        <x:v>-71</x:v>
      </x:c>
      <x:c r="F22" s="352" t="str">
        <x:v>Yes</x:v>
      </x:c>
      <x:c r="G22" s="352" t="str">
        <x:v>CHL</x:v>
      </x:c>
      <x:c r="H22" s="352" t="str">
        <x:v>Included because mentioned by ResurgamHub source group: Chile article.</x:v>
      </x:c>
    </x:row>
    <x:row r="23">
      <x:c r="A23" s="352" t="str">
        <x:v>China</x:v>
      </x:c>
      <x:c r="B23" s="352" t="str">
        <x:v>CHN</x:v>
      </x:c>
      <x:c r="C23" s="352" t="str">
        <x:v>Asia-Pacific</x:v>
      </x:c>
      <x:c r="D23" s="352" t="n">
        <x:v>35</x:v>
      </x:c>
      <x:c r="E23" s="352" t="n">
        <x:v>105</x:v>
      </x:c>
      <x:c r="F23" s="352" t="str">
        <x:v>Yes</x:v>
      </x:c>
      <x:c r="G23" s="352" t="str">
        <x:v>CHN</x:v>
      </x:c>
      <x:c r="H23" s="352" t="str">
        <x:v>Included because mentioned by ResurgamHub source group: Homepage/About.</x:v>
      </x:c>
    </x:row>
    <x:row r="24">
      <x:c r="A24" s="352" t="str">
        <x:v>Colombia</x:v>
      </x:c>
      <x:c r="B24" s="352" t="str">
        <x:v>COL</x:v>
      </x:c>
      <x:c r="C24" s="352" t="str">
        <x:v>Americas</x:v>
      </x:c>
      <x:c r="D24" s="352" t="n">
        <x:v>4</x:v>
      </x:c>
      <x:c r="E24" s="352" t="n">
        <x:v>-72</x:v>
      </x:c>
      <x:c r="F24" s="352" t="str">
        <x:v>Yes</x:v>
      </x:c>
      <x:c r="G24" s="352" t="str">
        <x:v>COL</x:v>
      </x:c>
      <x:c r="H24" s="352" t="str">
        <x:v>Included because mentioned by ResurgamHub source group: Gripen article.</x:v>
      </x:c>
    </x:row>
    <x:row r="25">
      <x:c r="A25" s="352" t="str">
        <x:v>Cook Islands</x:v>
      </x:c>
      <x:c r="B25" s="352" t="str">
        <x:v>COK</x:v>
      </x:c>
      <x:c r="C25" s="352" t="str">
        <x:v>Asia-Pacific</x:v>
      </x:c>
      <x:c r="D25" s="352" t="n">
        <x:v>-21.23333333</x:v>
      </x:c>
      <x:c r="E25" s="352" t="n">
        <x:v>-159.76666666</x:v>
      </x:c>
      <x:c r="F25" s="352" t="str">
        <x:v>Yes</x:v>
      </x:c>
      <x:c r="G25" s="352" t="str">
        <x:v>COK</x:v>
      </x:c>
      <x:c r="H25" s="352" t="str">
        <x:v>Included because mentioned by ResurgamHub source group: Oceania/China. Country/area rather than UN-member-only sovereign-state row; compatible with country-area map treatment.</x:v>
      </x:c>
    </x:row>
    <x:row r="26">
      <x:c r="A26" s="352" t="str">
        <x:v>Cuba</x:v>
      </x:c>
      <x:c r="B26" s="352" t="str">
        <x:v>CUB</x:v>
      </x:c>
      <x:c r="C26" s="352" t="str">
        <x:v>Americas</x:v>
      </x:c>
      <x:c r="D26" s="352" t="n">
        <x:v>21.5</x:v>
      </x:c>
      <x:c r="E26" s="352" t="n">
        <x:v>-80</x:v>
      </x:c>
      <x:c r="F26" s="352" t="str">
        <x:v>Yes</x:v>
      </x:c>
      <x:c r="G26" s="352" t="str">
        <x:v>CUB</x:v>
      </x:c>
      <x:c r="H26" s="352" t="str">
        <x:v>Included because mentioned by ResurgamHub source group: Venezuela/Cuba.</x:v>
      </x:c>
    </x:row>
    <x:row r="27">
      <x:c r="A27" s="352" t="str">
        <x:v>Cyprus</x:v>
      </x:c>
      <x:c r="B27" s="352" t="str">
        <x:v>CYP</x:v>
      </x:c>
      <x:c r="C27" s="352" t="str">
        <x:v>Europe</x:v>
      </x:c>
      <x:c r="D27" s="352" t="n">
        <x:v>35</x:v>
      </x:c>
      <x:c r="E27" s="352" t="n">
        <x:v>33</x:v>
      </x:c>
      <x:c r="F27" s="352" t="str">
        <x:v>Yes</x:v>
      </x:c>
      <x:c r="G27" s="352" t="str">
        <x:v>CYP</x:v>
      </x:c>
      <x:c r="H27" s="352" t="str">
        <x:v>Included because mentioned by ResurgamHub source group: Iran conflict / Europe.</x:v>
      </x:c>
    </x:row>
    <x:row r="28">
      <x:c r="A28" s="352" t="str">
        <x:v>Czechia</x:v>
      </x:c>
      <x:c r="B28" s="352" t="str">
        <x:v>CZE</x:v>
      </x:c>
      <x:c r="C28" s="352" t="str">
        <x:v>Europe</x:v>
      </x:c>
      <x:c r="D28" s="352" t="n">
        <x:v>49.75</x:v>
      </x:c>
      <x:c r="E28" s="352" t="n">
        <x:v>15.5</x:v>
      </x:c>
      <x:c r="F28" s="352" t="str">
        <x:v>Yes</x:v>
      </x:c>
      <x:c r="G28" s="352" t="str">
        <x:v>CZE</x:v>
      </x:c>
      <x:c r="H28" s="352" t="str">
        <x:v>Included because mentioned by ResurgamHub source group: Homepage/About. Normalized from Czech Republic / Czechia.</x:v>
      </x:c>
    </x:row>
    <x:row r="29">
      <x:c r="A29" s="352" t="str">
        <x:v>Democratic Republic of the Congo</x:v>
      </x:c>
      <x:c r="B29" s="352" t="str">
        <x:v>COD</x:v>
      </x:c>
      <x:c r="C29" s="352" t="str">
        <x:v>Africa</x:v>
      </x:c>
      <x:c r="D29" s="352" t="n">
        <x:v>0</x:v>
      </x:c>
      <x:c r="E29" s="352" t="n">
        <x:v>25</x:v>
      </x:c>
      <x:c r="F29" s="352" t="str">
        <x:v>Yes</x:v>
      </x:c>
      <x:c r="G29" s="352" t="str">
        <x:v>COD</x:v>
      </x:c>
      <x:c r="H29" s="352" t="str">
        <x:v>Included because mentioned by ResurgamHub source group: Africa hybrid war.</x:v>
      </x:c>
    </x:row>
    <x:row r="30">
      <x:c r="A30" s="352" t="str">
        <x:v>Egypt</x:v>
      </x:c>
      <x:c r="B30" s="352" t="str">
        <x:v>EGY</x:v>
      </x:c>
      <x:c r="C30" s="352" t="str">
        <x:v>Africa</x:v>
      </x:c>
      <x:c r="D30" s="352" t="n">
        <x:v>27</x:v>
      </x:c>
      <x:c r="E30" s="352" t="n">
        <x:v>30</x:v>
      </x:c>
      <x:c r="F30" s="352" t="str">
        <x:v>Yes</x:v>
      </x:c>
      <x:c r="G30" s="352" t="str">
        <x:v>EGY</x:v>
      </x:c>
      <x:c r="H30" s="352" t="str">
        <x:v>Included because mentioned by ResurgamHub source group: Africa hybrid war.</x:v>
      </x:c>
    </x:row>
    <x:row r="31">
      <x:c r="A31" s="352" t="str">
        <x:v>El Salvador</x:v>
      </x:c>
      <x:c r="B31" s="352" t="str">
        <x:v>SLV</x:v>
      </x:c>
      <x:c r="C31" s="352" t="str">
        <x:v>Americas</x:v>
      </x:c>
      <x:c r="D31" s="352" t="n">
        <x:v>13.83333333</x:v>
      </x:c>
      <x:c r="E31" s="352" t="n">
        <x:v>-88.91666666</x:v>
      </x:c>
      <x:c r="F31" s="352" t="str">
        <x:v>Yes</x:v>
      </x:c>
      <x:c r="G31" s="352" t="str">
        <x:v>SLV</x:v>
      </x:c>
      <x:c r="H31" s="352" t="str">
        <x:v>Included because mentioned by ResurgamHub source group: Chile article.</x:v>
      </x:c>
    </x:row>
    <x:row r="32">
      <x:c r="A32" s="352" t="str">
        <x:v>Eritrea</x:v>
      </x:c>
      <x:c r="B32" s="352" t="str">
        <x:v>ERI</x:v>
      </x:c>
      <x:c r="C32" s="352" t="str">
        <x:v>Africa</x:v>
      </x:c>
      <x:c r="D32" s="352" t="n">
        <x:v>15</x:v>
      </x:c>
      <x:c r="E32" s="352" t="n">
        <x:v>39</x:v>
      </x:c>
      <x:c r="F32" s="352" t="str">
        <x:v>Yes</x:v>
      </x:c>
      <x:c r="G32" s="352" t="str">
        <x:v>ERI</x:v>
      </x:c>
      <x:c r="H32" s="352" t="str">
        <x:v>Included because mentioned by ResurgamHub source group: Africa hybrid war.</x:v>
      </x:c>
    </x:row>
    <x:row r="33">
      <x:c r="A33" s="352" t="str">
        <x:v>Estonia</x:v>
      </x:c>
      <x:c r="B33" s="352" t="str">
        <x:v>EST</x:v>
      </x:c>
      <x:c r="C33" s="352" t="str">
        <x:v>Europe</x:v>
      </x:c>
      <x:c r="D33" s="352" t="n">
        <x:v>59</x:v>
      </x:c>
      <x:c r="E33" s="352" t="n">
        <x:v>26</x:v>
      </x:c>
      <x:c r="F33" s="352" t="str">
        <x:v>Yes</x:v>
      </x:c>
      <x:c r="G33" s="352" t="str">
        <x:v>EST</x:v>
      </x:c>
      <x:c r="H33" s="352" t="str">
        <x:v>Included because mentioned by ResurgamHub source group: USA/North America.</x:v>
      </x:c>
    </x:row>
    <x:row r="34">
      <x:c r="A34" s="352" t="str">
        <x:v>Federated States of Micronesia</x:v>
      </x:c>
      <x:c r="B34" s="352" t="str">
        <x:v>FSM</x:v>
      </x:c>
      <x:c r="C34" s="352" t="str">
        <x:v>Asia-Pacific</x:v>
      </x:c>
      <x:c r="D34" s="352" t="n">
        <x:v>6.91666666</x:v>
      </x:c>
      <x:c r="E34" s="352" t="n">
        <x:v>158.25</x:v>
      </x:c>
      <x:c r="F34" s="352" t="str">
        <x:v>Yes</x:v>
      </x:c>
      <x:c r="G34" s="352" t="str">
        <x:v>FSM</x:v>
      </x:c>
      <x:c r="H34" s="352" t="str">
        <x:v>Included because mentioned by ResurgamHub source group: Oceania/China.</x:v>
      </x:c>
    </x:row>
    <x:row r="35">
      <x:c r="A35" s="352" t="str">
        <x:v>Fiji</x:v>
      </x:c>
      <x:c r="B35" s="352" t="str">
        <x:v>FJI</x:v>
      </x:c>
      <x:c r="C35" s="352" t="str">
        <x:v>Asia-Pacific</x:v>
      </x:c>
      <x:c r="D35" s="352" t="n">
        <x:v>-18</x:v>
      </x:c>
      <x:c r="E35" s="352" t="n">
        <x:v>175</x:v>
      </x:c>
      <x:c r="F35" s="352" t="str">
        <x:v>Yes</x:v>
      </x:c>
      <x:c r="G35" s="352" t="str">
        <x:v>FJI</x:v>
      </x:c>
      <x:c r="H35" s="352" t="str">
        <x:v>Included because mentioned by ResurgamHub source group: Oceania/China.</x:v>
      </x:c>
    </x:row>
    <x:row r="36">
      <x:c r="A36" s="352" t="str">
        <x:v>Finland</x:v>
      </x:c>
      <x:c r="B36" s="352" t="str">
        <x:v>FIN</x:v>
      </x:c>
      <x:c r="C36" s="352" t="str">
        <x:v>Europe</x:v>
      </x:c>
      <x:c r="D36" s="352" t="n">
        <x:v>64</x:v>
      </x:c>
      <x:c r="E36" s="352" t="n">
        <x:v>26</x:v>
      </x:c>
      <x:c r="F36" s="352" t="str">
        <x:v>Yes</x:v>
      </x:c>
      <x:c r="G36" s="352" t="str">
        <x:v>FIN</x:v>
      </x:c>
      <x:c r="H36" s="352" t="str">
        <x:v>Included because mentioned by ResurgamHub source group: Finland article.</x:v>
      </x:c>
    </x:row>
    <x:row r="37">
      <x:c r="A37" s="352" t="str">
        <x:v>France</x:v>
      </x:c>
      <x:c r="B37" s="352" t="str">
        <x:v>FRA</x:v>
      </x:c>
      <x:c r="C37" s="352" t="str">
        <x:v>Europe</x:v>
      </x:c>
      <x:c r="D37" s="352" t="n">
        <x:v>46</x:v>
      </x:c>
      <x:c r="E37" s="352" t="n">
        <x:v>2</x:v>
      </x:c>
      <x:c r="F37" s="352" t="str">
        <x:v>Yes</x:v>
      </x:c>
      <x:c r="G37" s="352" t="str">
        <x:v>FRA</x:v>
      </x:c>
      <x:c r="H37" s="352" t="str">
        <x:v>Included because mentioned by ResurgamHub source group: Homepage/About.</x:v>
      </x:c>
    </x:row>
    <x:row r="38">
      <x:c r="A38" s="352" t="str">
        <x:v>Georgia</x:v>
      </x:c>
      <x:c r="B38" s="352" t="str">
        <x:v>GEO</x:v>
      </x:c>
      <x:c r="C38" s="352" t="str">
        <x:v>Asia-Pacific</x:v>
      </x:c>
      <x:c r="D38" s="352" t="n">
        <x:v>42</x:v>
      </x:c>
      <x:c r="E38" s="352" t="n">
        <x:v>43.5</x:v>
      </x:c>
      <x:c r="F38" s="352" t="str">
        <x:v>Yes</x:v>
      </x:c>
      <x:c r="G38" s="352" t="str">
        <x:v>GEO</x:v>
      </x:c>
      <x:c r="H38" s="352" t="str">
        <x:v>Included because mentioned by ResurgamHub source group: Black Sea energy.</x:v>
      </x:c>
    </x:row>
    <x:row r="39">
      <x:c r="A39" s="352" t="str">
        <x:v>Germany</x:v>
      </x:c>
      <x:c r="B39" s="352" t="str">
        <x:v>DEU</x:v>
      </x:c>
      <x:c r="C39" s="352" t="str">
        <x:v>Europe</x:v>
      </x:c>
      <x:c r="D39" s="352" t="n">
        <x:v>51</x:v>
      </x:c>
      <x:c r="E39" s="352" t="n">
        <x:v>9</x:v>
      </x:c>
      <x:c r="F39" s="352" t="str">
        <x:v>Yes</x:v>
      </x:c>
      <x:c r="G39" s="352" t="str">
        <x:v>DEU</x:v>
      </x:c>
      <x:c r="H39" s="352" t="str">
        <x:v>Included because mentioned by ResurgamHub source group: Homepage/About.</x:v>
      </x:c>
    </x:row>
    <x:row r="40">
      <x:c r="A40" s="352" t="str">
        <x:v>Ghana</x:v>
      </x:c>
      <x:c r="B40" s="352" t="str">
        <x:v>GHA</x:v>
      </x:c>
      <x:c r="C40" s="352" t="str">
        <x:v>Africa</x:v>
      </x:c>
      <x:c r="D40" s="352" t="n">
        <x:v>8</x:v>
      </x:c>
      <x:c r="E40" s="352" t="n">
        <x:v>-2</x:v>
      </x:c>
      <x:c r="F40" s="352" t="str">
        <x:v>Yes</x:v>
      </x:c>
      <x:c r="G40" s="352" t="str">
        <x:v>GHA</x:v>
      </x:c>
      <x:c r="H40" s="352" t="str">
        <x:v>Included because mentioned by ResurgamHub source group: Africa hybrid war.</x:v>
      </x:c>
    </x:row>
    <x:row r="41">
      <x:c r="A41" s="352" t="str">
        <x:v>Greece</x:v>
      </x:c>
      <x:c r="B41" s="352" t="str">
        <x:v>GRC</x:v>
      </x:c>
      <x:c r="C41" s="352" t="str">
        <x:v>Europe</x:v>
      </x:c>
      <x:c r="D41" s="352" t="n">
        <x:v>39</x:v>
      </x:c>
      <x:c r="E41" s="352" t="n">
        <x:v>22</x:v>
      </x:c>
      <x:c r="F41" s="352" t="str">
        <x:v>Yes</x:v>
      </x:c>
      <x:c r="G41" s="352" t="str">
        <x:v>GRC</x:v>
      </x:c>
      <x:c r="H41" s="352" t="str">
        <x:v>Included because mentioned by ResurgamHub source group: Black Sea energy.</x:v>
      </x:c>
    </x:row>
    <x:row r="42">
      <x:c r="A42" s="352" t="str">
        <x:v>Guinea</x:v>
      </x:c>
      <x:c r="B42" s="352" t="str">
        <x:v>GIN</x:v>
      </x:c>
      <x:c r="C42" s="352" t="str">
        <x:v>Africa</x:v>
      </x:c>
      <x:c r="D42" s="352" t="n">
        <x:v>11</x:v>
      </x:c>
      <x:c r="E42" s="352" t="n">
        <x:v>-10</x:v>
      </x:c>
      <x:c r="F42" s="352" t="str">
        <x:v>Yes</x:v>
      </x:c>
      <x:c r="G42" s="352" t="str">
        <x:v>GIN</x:v>
      </x:c>
      <x:c r="H42" s="352" t="str">
        <x:v>Included because mentioned by ResurgamHub source group: Africa hybrid war.</x:v>
      </x:c>
    </x:row>
    <x:row r="43">
      <x:c r="A43" s="352" t="str">
        <x:v>Guyana</x:v>
      </x:c>
      <x:c r="B43" s="352" t="str">
        <x:v>GUY</x:v>
      </x:c>
      <x:c r="C43" s="352" t="str">
        <x:v>Americas</x:v>
      </x:c>
      <x:c r="D43" s="352" t="n">
        <x:v>5</x:v>
      </x:c>
      <x:c r="E43" s="352" t="n">
        <x:v>-59</x:v>
      </x:c>
      <x:c r="F43" s="352" t="str">
        <x:v>Yes</x:v>
      </x:c>
      <x:c r="G43" s="352" t="str">
        <x:v>GUY</x:v>
      </x:c>
      <x:c r="H43" s="352" t="str">
        <x:v>Included because mentioned by ResurgamHub source group: USA/North America.</x:v>
      </x:c>
    </x:row>
    <x:row r="44">
      <x:c r="A44" s="352" t="str">
        <x:v>Hungary</x:v>
      </x:c>
      <x:c r="B44" s="352" t="str">
        <x:v>HUN</x:v>
      </x:c>
      <x:c r="C44" s="352" t="str">
        <x:v>Europe</x:v>
      </x:c>
      <x:c r="D44" s="352" t="n">
        <x:v>47</x:v>
      </x:c>
      <x:c r="E44" s="352" t="n">
        <x:v>20</x:v>
      </x:c>
      <x:c r="F44" s="352" t="str">
        <x:v>Yes</x:v>
      </x:c>
      <x:c r="G44" s="352" t="str">
        <x:v>HUN</x:v>
      </x:c>
      <x:c r="H44" s="352" t="str">
        <x:v>Included because mentioned by ResurgamHub source group: Gripen article.</x:v>
      </x:c>
    </x:row>
    <x:row r="45">
      <x:c r="A45" s="352" t="str">
        <x:v>India</x:v>
      </x:c>
      <x:c r="B45" s="352" t="str">
        <x:v>IND</x:v>
      </x:c>
      <x:c r="C45" s="352" t="str">
        <x:v>Asia-Pacific</x:v>
      </x:c>
      <x:c r="D45" s="352" t="n">
        <x:v>20</x:v>
      </x:c>
      <x:c r="E45" s="352" t="n">
        <x:v>77</x:v>
      </x:c>
      <x:c r="F45" s="352" t="str">
        <x:v>Yes</x:v>
      </x:c>
      <x:c r="G45" s="352" t="str">
        <x:v>IND</x:v>
      </x:c>
      <x:c r="H45" s="352" t="str">
        <x:v>Included because mentioned by ResurgamHub source group: Iran conflict / Europe.</x:v>
      </x:c>
    </x:row>
    <x:row r="46">
      <x:c r="A46" s="352" t="str">
        <x:v>Indonesia</x:v>
      </x:c>
      <x:c r="B46" s="352" t="str">
        <x:v>IDN</x:v>
      </x:c>
      <x:c r="C46" s="352" t="str">
        <x:v>Asia-Pacific</x:v>
      </x:c>
      <x:c r="D46" s="352" t="n">
        <x:v>-5</x:v>
      </x:c>
      <x:c r="E46" s="352" t="n">
        <x:v>120</x:v>
      </x:c>
      <x:c r="F46" s="352" t="str">
        <x:v>Yes</x:v>
      </x:c>
      <x:c r="G46" s="352" t="str">
        <x:v>IDN</x:v>
      </x:c>
      <x:c r="H46" s="352" t="str">
        <x:v>Included because mentioned by ResurgamHub source group: Pacific NATO / Asia.</x:v>
      </x:c>
    </x:row>
    <x:row r="47">
      <x:c r="A47" s="352" t="str">
        <x:v>Iran</x:v>
      </x:c>
      <x:c r="B47" s="352" t="str">
        <x:v>IRN</x:v>
      </x:c>
      <x:c r="C47" s="352" t="str">
        <x:v>Asia-Pacific</x:v>
      </x:c>
      <x:c r="D47" s="352" t="n">
        <x:v>32</x:v>
      </x:c>
      <x:c r="E47" s="352" t="n">
        <x:v>53</x:v>
      </x:c>
      <x:c r="F47" s="352" t="str">
        <x:v>Yes</x:v>
      </x:c>
      <x:c r="G47" s="352" t="str">
        <x:v>IRN</x:v>
      </x:c>
      <x:c r="H47" s="352" t="str">
        <x:v>Included because mentioned by ResurgamHub source group: Homepage/About.</x:v>
      </x:c>
    </x:row>
    <x:row r="48">
      <x:c r="A48" s="352" t="str">
        <x:v>Iraq</x:v>
      </x:c>
      <x:c r="B48" s="352" t="str">
        <x:v>IRQ</x:v>
      </x:c>
      <x:c r="C48" s="352" t="str">
        <x:v>Asia-Pacific</x:v>
      </x:c>
      <x:c r="D48" s="352" t="n">
        <x:v>33</x:v>
      </x:c>
      <x:c r="E48" s="352" t="n">
        <x:v>44</x:v>
      </x:c>
      <x:c r="F48" s="352" t="str">
        <x:v>Yes</x:v>
      </x:c>
      <x:c r="G48" s="352" t="str">
        <x:v>IRQ</x:v>
      </x:c>
      <x:c r="H48" s="352" t="str">
        <x:v>Included because mentioned by ResurgamHub source group: Iran conflict / Europe.</x:v>
      </x:c>
    </x:row>
    <x:row r="49">
      <x:c r="A49" s="352" t="str">
        <x:v>Israel</x:v>
      </x:c>
      <x:c r="B49" s="352" t="str">
        <x:v>ISR</x:v>
      </x:c>
      <x:c r="C49" s="352" t="str">
        <x:v>Asia-Pacific</x:v>
      </x:c>
      <x:c r="D49" s="352" t="n">
        <x:v>31.5</x:v>
      </x:c>
      <x:c r="E49" s="352" t="n">
        <x:v>34.75</x:v>
      </x:c>
      <x:c r="F49" s="352" t="str">
        <x:v>Yes</x:v>
      </x:c>
      <x:c r="G49" s="352" t="str">
        <x:v>ISR</x:v>
      </x:c>
      <x:c r="H49" s="352" t="str">
        <x:v>Included because mentioned by ResurgamHub source group: Middle East ceasefire.</x:v>
      </x:c>
    </x:row>
    <x:row r="50">
      <x:c r="A50" s="352" t="str">
        <x:v>Italy</x:v>
      </x:c>
      <x:c r="B50" s="352" t="str">
        <x:v>ITA</x:v>
      </x:c>
      <x:c r="C50" s="352" t="str">
        <x:v>Europe</x:v>
      </x:c>
      <x:c r="D50" s="352" t="n">
        <x:v>42.83333333</x:v>
      </x:c>
      <x:c r="E50" s="352" t="n">
        <x:v>12.83333333</x:v>
      </x:c>
      <x:c r="F50" s="352" t="str">
        <x:v>Yes</x:v>
      </x:c>
      <x:c r="G50" s="352" t="str">
        <x:v>ITA</x:v>
      </x:c>
      <x:c r="H50" s="352" t="str">
        <x:v>Included because mentioned by ResurgamHub source group: Middle East ceasefire.</x:v>
      </x:c>
    </x:row>
    <x:row r="51">
      <x:c r="A51" s="352" t="str">
        <x:v>Japan</x:v>
      </x:c>
      <x:c r="B51" s="352" t="str">
        <x:v>JPN</x:v>
      </x:c>
      <x:c r="C51" s="352" t="str">
        <x:v>Asia-Pacific</x:v>
      </x:c>
      <x:c r="D51" s="352" t="n">
        <x:v>36</x:v>
      </x:c>
      <x:c r="E51" s="352" t="n">
        <x:v>138</x:v>
      </x:c>
      <x:c r="F51" s="352" t="str">
        <x:v>Yes</x:v>
      </x:c>
      <x:c r="G51" s="352" t="str">
        <x:v>JPN</x:v>
      </x:c>
      <x:c r="H51" s="352" t="str">
        <x:v>Included because mentioned by ResurgamHub source group: Homepage/About.</x:v>
      </x:c>
    </x:row>
    <x:row r="52">
      <x:c r="A52" s="352" t="str">
        <x:v>Jordan</x:v>
      </x:c>
      <x:c r="B52" s="352" t="str">
        <x:v>JOR</x:v>
      </x:c>
      <x:c r="C52" s="352" t="str">
        <x:v>Asia-Pacific</x:v>
      </x:c>
      <x:c r="D52" s="352" t="n">
        <x:v>31</x:v>
      </x:c>
      <x:c r="E52" s="352" t="n">
        <x:v>36</x:v>
      </x:c>
      <x:c r="F52" s="352" t="str">
        <x:v>Yes</x:v>
      </x:c>
      <x:c r="G52" s="352" t="str">
        <x:v>JOR</x:v>
      </x:c>
      <x:c r="H52" s="352" t="str">
        <x:v>Included because mentioned by ResurgamHub source group: Middle East ceasefire.</x:v>
      </x:c>
    </x:row>
    <x:row r="53">
      <x:c r="A53" s="352" t="str">
        <x:v>Kazakhstan</x:v>
      </x:c>
      <x:c r="B53" s="352" t="str">
        <x:v>KAZ</x:v>
      </x:c>
      <x:c r="C53" s="352" t="str">
        <x:v>Asia-Pacific</x:v>
      </x:c>
      <x:c r="D53" s="352" t="n">
        <x:v>48</x:v>
      </x:c>
      <x:c r="E53" s="352" t="n">
        <x:v>68</x:v>
      </x:c>
      <x:c r="F53" s="352" t="str">
        <x:v>Yes</x:v>
      </x:c>
      <x:c r="G53" s="352" t="str">
        <x:v>KAZ</x:v>
      </x:c>
      <x:c r="H53" s="352" t="str">
        <x:v>Included because mentioned by ResurgamHub source group: Central Asia/all materials.</x:v>
      </x:c>
    </x:row>
    <x:row r="54">
      <x:c r="A54" s="352" t="str">
        <x:v>Kenya</x:v>
      </x:c>
      <x:c r="B54" s="352" t="str">
        <x:v>KEN</x:v>
      </x:c>
      <x:c r="C54" s="352" t="str">
        <x:v>Africa</x:v>
      </x:c>
      <x:c r="D54" s="352" t="n">
        <x:v>1</x:v>
      </x:c>
      <x:c r="E54" s="352" t="n">
        <x:v>38</x:v>
      </x:c>
      <x:c r="F54" s="352" t="str">
        <x:v>Yes</x:v>
      </x:c>
      <x:c r="G54" s="352" t="str">
        <x:v>KEN</x:v>
      </x:c>
      <x:c r="H54" s="352" t="str">
        <x:v>Included because mentioned by ResurgamHub source group: Africa hybrid war.</x:v>
      </x:c>
    </x:row>
    <x:row r="55">
      <x:c r="A55" s="352" t="str">
        <x:v>Kiribati</x:v>
      </x:c>
      <x:c r="B55" s="352" t="str">
        <x:v>KIR</x:v>
      </x:c>
      <x:c r="C55" s="352" t="str">
        <x:v>Asia-Pacific</x:v>
      </x:c>
      <x:c r="D55" s="352" t="n">
        <x:v>1.41666666</x:v>
      </x:c>
      <x:c r="E55" s="352" t="n">
        <x:v>173</x:v>
      </x:c>
      <x:c r="F55" s="352" t="str">
        <x:v>Yes</x:v>
      </x:c>
      <x:c r="G55" s="352" t="str">
        <x:v>KIR</x:v>
      </x:c>
      <x:c r="H55" s="352" t="str">
        <x:v>Included because mentioned by ResurgamHub source group: Oceania/China.</x:v>
      </x:c>
    </x:row>
    <x:row r="56">
      <x:c r="A56" s="352" t="str">
        <x:v>Kuwait</x:v>
      </x:c>
      <x:c r="B56" s="352" t="str">
        <x:v>KWT</x:v>
      </x:c>
      <x:c r="C56" s="352" t="str">
        <x:v>Asia-Pacific</x:v>
      </x:c>
      <x:c r="D56" s="352" t="n">
        <x:v>29.5</x:v>
      </x:c>
      <x:c r="E56" s="352" t="n">
        <x:v>45.75</x:v>
      </x:c>
      <x:c r="F56" s="352" t="str">
        <x:v>Yes</x:v>
      </x:c>
      <x:c r="G56" s="352" t="str">
        <x:v>KWT</x:v>
      </x:c>
      <x:c r="H56" s="352" t="str">
        <x:v>Included because mentioned by ResurgamHub source group: Iran conflict / Europe.</x:v>
      </x:c>
    </x:row>
    <x:row r="57">
      <x:c r="A57" s="352" t="str">
        <x:v>Kyrgyzstan</x:v>
      </x:c>
      <x:c r="B57" s="352" t="str">
        <x:v>KGZ</x:v>
      </x:c>
      <x:c r="C57" s="352" t="str">
        <x:v>Asia-Pacific</x:v>
      </x:c>
      <x:c r="D57" s="352" t="n">
        <x:v>41</x:v>
      </x:c>
      <x:c r="E57" s="352" t="n">
        <x:v>75</x:v>
      </x:c>
      <x:c r="F57" s="352" t="str">
        <x:v>Yes</x:v>
      </x:c>
      <x:c r="G57" s="352" t="str">
        <x:v>KGZ</x:v>
      </x:c>
      <x:c r="H57" s="352" t="str">
        <x:v>Included because mentioned by ResurgamHub source group: Central Asia/all materials. Normalized from Kyrgyz Republic / Kyrgyzstan.</x:v>
      </x:c>
    </x:row>
    <x:row r="58">
      <x:c r="A58" s="352" t="str">
        <x:v>Latvia</x:v>
      </x:c>
      <x:c r="B58" s="352" t="str">
        <x:v>LVA</x:v>
      </x:c>
      <x:c r="C58" s="352" t="str">
        <x:v>Europe</x:v>
      </x:c>
      <x:c r="D58" s="352" t="n">
        <x:v>57</x:v>
      </x:c>
      <x:c r="E58" s="352" t="n">
        <x:v>25</x:v>
      </x:c>
      <x:c r="F58" s="352" t="str">
        <x:v>Yes</x:v>
      </x:c>
      <x:c r="G58" s="352" t="str">
        <x:v>LVA</x:v>
      </x:c>
      <x:c r="H58" s="352" t="str">
        <x:v>Included because mentioned by ResurgamHub source group: USA/North America.</x:v>
      </x:c>
    </x:row>
    <x:row r="59">
      <x:c r="A59" s="352" t="str">
        <x:v>Lebanon</x:v>
      </x:c>
      <x:c r="B59" s="352" t="str">
        <x:v>LBN</x:v>
      </x:c>
      <x:c r="C59" s="352" t="str">
        <x:v>Asia-Pacific</x:v>
      </x:c>
      <x:c r="D59" s="352" t="n">
        <x:v>33.83333333</x:v>
      </x:c>
      <x:c r="E59" s="352" t="n">
        <x:v>35.83333333</x:v>
      </x:c>
      <x:c r="F59" s="352" t="str">
        <x:v>Yes</x:v>
      </x:c>
      <x:c r="G59" s="352" t="str">
        <x:v>LBN</x:v>
      </x:c>
      <x:c r="H59" s="352" t="str">
        <x:v>Included because mentioned by ResurgamHub source group: Middle East ceasefire.</x:v>
      </x:c>
    </x:row>
    <x:row r="60">
      <x:c r="A60" s="352" t="str">
        <x:v>Liberia</x:v>
      </x:c>
      <x:c r="B60" s="352" t="str">
        <x:v>LBR</x:v>
      </x:c>
      <x:c r="C60" s="352" t="str">
        <x:v>Africa</x:v>
      </x:c>
      <x:c r="D60" s="352" t="n">
        <x:v>6.5</x:v>
      </x:c>
      <x:c r="E60" s="352" t="n">
        <x:v>-9.5</x:v>
      </x:c>
      <x:c r="F60" s="352" t="str">
        <x:v>Yes</x:v>
      </x:c>
      <x:c r="G60" s="352" t="str">
        <x:v>LBR</x:v>
      </x:c>
      <x:c r="H60" s="352" t="str">
        <x:v>Included because mentioned by ResurgamHub source group: Africa hybrid war.</x:v>
      </x:c>
    </x:row>
    <x:row r="61">
      <x:c r="A61" s="352" t="str">
        <x:v>Libya</x:v>
      </x:c>
      <x:c r="B61" s="352" t="str">
        <x:v>LBY</x:v>
      </x:c>
      <x:c r="C61" s="352" t="str">
        <x:v>Africa</x:v>
      </x:c>
      <x:c r="D61" s="352" t="n">
        <x:v>25</x:v>
      </x:c>
      <x:c r="E61" s="352" t="n">
        <x:v>17</x:v>
      </x:c>
      <x:c r="F61" s="352" t="str">
        <x:v>Yes</x:v>
      </x:c>
      <x:c r="G61" s="352" t="str">
        <x:v>LBY</x:v>
      </x:c>
      <x:c r="H61" s="352" t="str">
        <x:v>Included because mentioned by ResurgamHub source group: Africa hybrid war.</x:v>
      </x:c>
    </x:row>
    <x:row r="62">
      <x:c r="A62" s="352" t="str">
        <x:v>Lithuania</x:v>
      </x:c>
      <x:c r="B62" s="352" t="str">
        <x:v>LTU</x:v>
      </x:c>
      <x:c r="C62" s="352" t="str">
        <x:v>Europe</x:v>
      </x:c>
      <x:c r="D62" s="352" t="n">
        <x:v>56</x:v>
      </x:c>
      <x:c r="E62" s="352" t="n">
        <x:v>24</x:v>
      </x:c>
      <x:c r="F62" s="352" t="str">
        <x:v>Yes</x:v>
      </x:c>
      <x:c r="G62" s="352" t="str">
        <x:v>LTU</x:v>
      </x:c>
      <x:c r="H62" s="352" t="str">
        <x:v>Included because mentioned by ResurgamHub source group: USA/North America.</x:v>
      </x:c>
    </x:row>
    <x:row r="63">
      <x:c r="A63" s="352" t="str">
        <x:v>Madagascar</x:v>
      </x:c>
      <x:c r="B63" s="352" t="str">
        <x:v>MDG</x:v>
      </x:c>
      <x:c r="C63" s="352" t="str">
        <x:v>Africa</x:v>
      </x:c>
      <x:c r="D63" s="352" t="n">
        <x:v>-20</x:v>
      </x:c>
      <x:c r="E63" s="352" t="n">
        <x:v>47</x:v>
      </x:c>
      <x:c r="F63" s="352" t="str">
        <x:v>Yes</x:v>
      </x:c>
      <x:c r="G63" s="352" t="str">
        <x:v>MDG</x:v>
      </x:c>
      <x:c r="H63" s="352" t="str">
        <x:v>Included because mentioned by ResurgamHub source group: Africa hybrid war.</x:v>
      </x:c>
    </x:row>
    <x:row r="64">
      <x:c r="A64" s="352" t="str">
        <x:v>Malaysia</x:v>
      </x:c>
      <x:c r="B64" s="352" t="str">
        <x:v>MYS</x:v>
      </x:c>
      <x:c r="C64" s="352" t="str">
        <x:v>Asia-Pacific</x:v>
      </x:c>
      <x:c r="D64" s="352" t="n">
        <x:v>2.5</x:v>
      </x:c>
      <x:c r="E64" s="352" t="n">
        <x:v>112.5</x:v>
      </x:c>
      <x:c r="F64" s="352" t="str">
        <x:v>Yes</x:v>
      </x:c>
      <x:c r="G64" s="352" t="str">
        <x:v>MYS</x:v>
      </x:c>
      <x:c r="H64" s="352" t="str">
        <x:v>Included because mentioned by ResurgamHub source group: Pacific NATO / Asia.</x:v>
      </x:c>
    </x:row>
    <x:row r="65">
      <x:c r="A65" s="352" t="str">
        <x:v>Mali</x:v>
      </x:c>
      <x:c r="B65" s="352" t="str">
        <x:v>MLI</x:v>
      </x:c>
      <x:c r="C65" s="352" t="str">
        <x:v>Africa</x:v>
      </x:c>
      <x:c r="D65" s="352" t="n">
        <x:v>17</x:v>
      </x:c>
      <x:c r="E65" s="352" t="n">
        <x:v>-4</x:v>
      </x:c>
      <x:c r="F65" s="352" t="str">
        <x:v>Yes</x:v>
      </x:c>
      <x:c r="G65" s="352" t="str">
        <x:v>MLI</x:v>
      </x:c>
      <x:c r="H65" s="352" t="str">
        <x:v>Included because mentioned by ResurgamHub source group: Africa hybrid war.</x:v>
      </x:c>
    </x:row>
    <x:row r="66">
      <x:c r="A66" s="352" t="str">
        <x:v>Marshall Islands</x:v>
      </x:c>
      <x:c r="B66" s="352" t="str">
        <x:v>MHL</x:v>
      </x:c>
      <x:c r="C66" s="352" t="str">
        <x:v>Asia-Pacific</x:v>
      </x:c>
      <x:c r="D66" s="352" t="n">
        <x:v>9</x:v>
      </x:c>
      <x:c r="E66" s="352" t="n">
        <x:v>168</x:v>
      </x:c>
      <x:c r="F66" s="352" t="str">
        <x:v>Yes</x:v>
      </x:c>
      <x:c r="G66" s="352" t="str">
        <x:v>MHL</x:v>
      </x:c>
      <x:c r="H66" s="352" t="str">
        <x:v>Included because mentioned by ResurgamHub source group: Oceania/China.</x:v>
      </x:c>
    </x:row>
    <x:row r="67">
      <x:c r="A67" s="352" t="str">
        <x:v>Mauritania</x:v>
      </x:c>
      <x:c r="B67" s="352" t="str">
        <x:v>MRT</x:v>
      </x:c>
      <x:c r="C67" s="352" t="str">
        <x:v>Africa</x:v>
      </x:c>
      <x:c r="D67" s="352" t="n">
        <x:v>20</x:v>
      </x:c>
      <x:c r="E67" s="352" t="n">
        <x:v>-12</x:v>
      </x:c>
      <x:c r="F67" s="352" t="str">
        <x:v>Yes</x:v>
      </x:c>
      <x:c r="G67" s="352" t="str">
        <x:v>MRT</x:v>
      </x:c>
      <x:c r="H67" s="352" t="str">
        <x:v>Included because mentioned by ResurgamHub source group: Africa hybrid war.</x:v>
      </x:c>
    </x:row>
    <x:row r="68">
      <x:c r="A68" s="352" t="str">
        <x:v>Moldova</x:v>
      </x:c>
      <x:c r="B68" s="352" t="str">
        <x:v>MDA</x:v>
      </x:c>
      <x:c r="C68" s="352" t="str">
        <x:v>Europe</x:v>
      </x:c>
      <x:c r="D68" s="352" t="n">
        <x:v>47</x:v>
      </x:c>
      <x:c r="E68" s="352" t="n">
        <x:v>29</x:v>
      </x:c>
      <x:c r="F68" s="352" t="str">
        <x:v>Yes</x:v>
      </x:c>
      <x:c r="G68" s="352" t="str">
        <x:v>MDA</x:v>
      </x:c>
      <x:c r="H68" s="352" t="str">
        <x:v>Included because mentioned by ResurgamHub source group: Black Sea energy.</x:v>
      </x:c>
    </x:row>
    <x:row r="69">
      <x:c r="A69" s="352" t="str">
        <x:v>Mongolia</x:v>
      </x:c>
      <x:c r="B69" s="352" t="str">
        <x:v>MNG</x:v>
      </x:c>
      <x:c r="C69" s="352" t="str">
        <x:v>Asia-Pacific</x:v>
      </x:c>
      <x:c r="D69" s="352" t="n">
        <x:v>46</x:v>
      </x:c>
      <x:c r="E69" s="352" t="n">
        <x:v>105</x:v>
      </x:c>
      <x:c r="F69" s="352" t="str">
        <x:v>Yes</x:v>
      </x:c>
      <x:c r="G69" s="352" t="str">
        <x:v>MNG</x:v>
      </x:c>
      <x:c r="H69" s="352" t="str">
        <x:v>Included because mentioned by ResurgamHub source group: Central Asia/all materials.</x:v>
      </x:c>
    </x:row>
    <x:row r="70">
      <x:c r="A70" s="352" t="str">
        <x:v>Morocco</x:v>
      </x:c>
      <x:c r="B70" s="352" t="str">
        <x:v>MAR</x:v>
      </x:c>
      <x:c r="C70" s="352" t="str">
        <x:v>Africa</x:v>
      </x:c>
      <x:c r="D70" s="352" t="n">
        <x:v>32</x:v>
      </x:c>
      <x:c r="E70" s="352" t="n">
        <x:v>-5</x:v>
      </x:c>
      <x:c r="F70" s="352" t="str">
        <x:v>Yes</x:v>
      </x:c>
      <x:c r="G70" s="352" t="str">
        <x:v>MAR</x:v>
      </x:c>
      <x:c r="H70" s="352" t="str">
        <x:v>Included because mentioned by ResurgamHub source group: Algeria article.</x:v>
      </x:c>
    </x:row>
    <x:row r="71">
      <x:c r="A71" s="352" t="str">
        <x:v>Mozambique</x:v>
      </x:c>
      <x:c r="B71" s="352" t="str">
        <x:v>MOZ</x:v>
      </x:c>
      <x:c r="C71" s="352" t="str">
        <x:v>Africa</x:v>
      </x:c>
      <x:c r="D71" s="352" t="n">
        <x:v>-18.25</x:v>
      </x:c>
      <x:c r="E71" s="352" t="n">
        <x:v>35</x:v>
      </x:c>
      <x:c r="F71" s="352" t="str">
        <x:v>Yes</x:v>
      </x:c>
      <x:c r="G71" s="352" t="str">
        <x:v>MOZ</x:v>
      </x:c>
      <x:c r="H71" s="352" t="str">
        <x:v>Included because mentioned by ResurgamHub source group: Africa hybrid war.</x:v>
      </x:c>
    </x:row>
    <x:row r="72">
      <x:c r="A72" s="352" t="str">
        <x:v>Myanmar</x:v>
      </x:c>
      <x:c r="B72" s="352" t="str">
        <x:v>MMR</x:v>
      </x:c>
      <x:c r="C72" s="352" t="str">
        <x:v>Asia-Pacific</x:v>
      </x:c>
      <x:c r="D72" s="352" t="n">
        <x:v>22</x:v>
      </x:c>
      <x:c r="E72" s="352" t="n">
        <x:v>98</x:v>
      </x:c>
      <x:c r="F72" s="352" t="str">
        <x:v>Yes</x:v>
      </x:c>
      <x:c r="G72" s="352" t="str">
        <x:v>MMR</x:v>
      </x:c>
      <x:c r="H72" s="352" t="str">
        <x:v>Included because mentioned by ResurgamHub source group: Pacific NATO / Asia.</x:v>
      </x:c>
    </x:row>
    <x:row r="73">
      <x:c r="A73" s="352" t="str">
        <x:v>Nauru</x:v>
      </x:c>
      <x:c r="B73" s="352" t="str">
        <x:v>NRU</x:v>
      </x:c>
      <x:c r="C73" s="352" t="str">
        <x:v>Asia-Pacific</x:v>
      </x:c>
      <x:c r="D73" s="352" t="n">
        <x:v>-0.53333333</x:v>
      </x:c>
      <x:c r="E73" s="352" t="n">
        <x:v>166.91666666</x:v>
      </x:c>
      <x:c r="F73" s="352" t="str">
        <x:v>Yes</x:v>
      </x:c>
      <x:c r="G73" s="352" t="str">
        <x:v>NRU</x:v>
      </x:c>
      <x:c r="H73" s="352" t="str">
        <x:v>Included because mentioned by ResurgamHub source group: Oceania/China.</x:v>
      </x:c>
    </x:row>
    <x:row r="74">
      <x:c r="A74" s="352" t="str">
        <x:v>Netherlands</x:v>
      </x:c>
      <x:c r="B74" s="352" t="str">
        <x:v>NLD</x:v>
      </x:c>
      <x:c r="C74" s="352" t="str">
        <x:v>Europe</x:v>
      </x:c>
      <x:c r="D74" s="352" t="n">
        <x:v>52.5</x:v>
      </x:c>
      <x:c r="E74" s="352" t="n">
        <x:v>5.75</x:v>
      </x:c>
      <x:c r="F74" s="352" t="str">
        <x:v>Yes</x:v>
      </x:c>
      <x:c r="G74" s="352" t="str">
        <x:v>NLD</x:v>
      </x:c>
      <x:c r="H74" s="352" t="str">
        <x:v>Included because mentioned by ResurgamHub source group: Iran conflict / Europe.</x:v>
      </x:c>
    </x:row>
    <x:row r="75">
      <x:c r="A75" s="352" t="str">
        <x:v>New Caledonia</x:v>
      </x:c>
      <x:c r="B75" s="352" t="str">
        <x:v>NCL</x:v>
      </x:c>
      <x:c r="C75" s="352" t="str">
        <x:v>Asia-Pacific</x:v>
      </x:c>
      <x:c r="D75" s="352" t="n">
        <x:v>-21.5</x:v>
      </x:c>
      <x:c r="E75" s="352" t="n">
        <x:v>165.5</x:v>
      </x:c>
      <x:c r="F75" s="352" t="str">
        <x:v>Yes</x:v>
      </x:c>
      <x:c r="G75" s="352" t="str">
        <x:v>NCL</x:v>
      </x:c>
      <x:c r="H75" s="352" t="str">
        <x:v>Included because mentioned by ResurgamHub source group: Homepage/About. Country/area rather than UN-member-only sovereign-state row; compatible with country-area map treatment.</x:v>
      </x:c>
    </x:row>
    <x:row r="76">
      <x:c r="A76" s="352" t="str">
        <x:v>New Zealand</x:v>
      </x:c>
      <x:c r="B76" s="352" t="str">
        <x:v>NZL</x:v>
      </x:c>
      <x:c r="C76" s="352" t="str">
        <x:v>Asia-Pacific</x:v>
      </x:c>
      <x:c r="D76" s="352" t="n">
        <x:v>-41</x:v>
      </x:c>
      <x:c r="E76" s="352" t="n">
        <x:v>174</x:v>
      </x:c>
      <x:c r="F76" s="352" t="str">
        <x:v>Yes</x:v>
      </x:c>
      <x:c r="G76" s="352" t="str">
        <x:v>NZL</x:v>
      </x:c>
      <x:c r="H76" s="352" t="str">
        <x:v>Included because mentioned by ResurgamHub source group: Oceania/China.</x:v>
      </x:c>
    </x:row>
    <x:row r="77">
      <x:c r="A77" s="352" t="str">
        <x:v>Nicaragua</x:v>
      </x:c>
      <x:c r="B77" s="352" t="str">
        <x:v>NIC</x:v>
      </x:c>
      <x:c r="C77" s="352" t="str">
        <x:v>Americas</x:v>
      </x:c>
      <x:c r="D77" s="352" t="n">
        <x:v>13</x:v>
      </x:c>
      <x:c r="E77" s="352" t="n">
        <x:v>-85</x:v>
      </x:c>
      <x:c r="F77" s="352" t="str">
        <x:v>Yes</x:v>
      </x:c>
      <x:c r="G77" s="352" t="str">
        <x:v>NIC</x:v>
      </x:c>
      <x:c r="H77" s="352" t="str">
        <x:v>Included because mentioned by ResurgamHub source group: Chile article.</x:v>
      </x:c>
    </x:row>
    <x:row r="78">
      <x:c r="A78" s="352" t="str">
        <x:v>Niger</x:v>
      </x:c>
      <x:c r="B78" s="352" t="str">
        <x:v>NER</x:v>
      </x:c>
      <x:c r="C78" s="352" t="str">
        <x:v>Africa</x:v>
      </x:c>
      <x:c r="D78" s="352" t="n">
        <x:v>16</x:v>
      </x:c>
      <x:c r="E78" s="352" t="n">
        <x:v>8</x:v>
      </x:c>
      <x:c r="F78" s="352" t="str">
        <x:v>Yes</x:v>
      </x:c>
      <x:c r="G78" s="352" t="str">
        <x:v>NER</x:v>
      </x:c>
      <x:c r="H78" s="352" t="str">
        <x:v>Included because mentioned by ResurgamHub source group: Africa hybrid war.</x:v>
      </x:c>
    </x:row>
    <x:row r="79">
      <x:c r="A79" s="352" t="str">
        <x:v>Nigeria</x:v>
      </x:c>
      <x:c r="B79" s="352" t="str">
        <x:v>NGA</x:v>
      </x:c>
      <x:c r="C79" s="352" t="str">
        <x:v>Africa</x:v>
      </x:c>
      <x:c r="D79" s="352" t="n">
        <x:v>10</x:v>
      </x:c>
      <x:c r="E79" s="352" t="n">
        <x:v>8</x:v>
      </x:c>
      <x:c r="F79" s="352" t="str">
        <x:v>Yes</x:v>
      </x:c>
      <x:c r="G79" s="352" t="str">
        <x:v>NGA</x:v>
      </x:c>
      <x:c r="H79" s="352" t="str">
        <x:v>Included because mentioned by ResurgamHub source group: Africa hybrid war.</x:v>
      </x:c>
    </x:row>
    <x:row r="80">
      <x:c r="A80" s="352" t="str">
        <x:v>North Korea</x:v>
      </x:c>
      <x:c r="B80" s="352" t="str">
        <x:v>PRK</x:v>
      </x:c>
      <x:c r="C80" s="352" t="str">
        <x:v>Asia-Pacific</x:v>
      </x:c>
      <x:c r="D80" s="352" t="n">
        <x:v>40</x:v>
      </x:c>
      <x:c r="E80" s="352" t="n">
        <x:v>127</x:v>
      </x:c>
      <x:c r="F80" s="352" t="str">
        <x:v>Yes</x:v>
      </x:c>
      <x:c r="G80" s="352" t="str">
        <x:v>PRK</x:v>
      </x:c>
      <x:c r="H80" s="352" t="str">
        <x:v>Included because mentioned by ResurgamHub source group: Homepage/About. Normalized from North Korea / DPRK.</x:v>
      </x:c>
    </x:row>
    <x:row r="81">
      <x:c r="A81" s="352" t="str">
        <x:v>Norway</x:v>
      </x:c>
      <x:c r="B81" s="352" t="str">
        <x:v>NOR</x:v>
      </x:c>
      <x:c r="C81" s="352" t="str">
        <x:v>Europe</x:v>
      </x:c>
      <x:c r="D81" s="352" t="n">
        <x:v>62</x:v>
      </x:c>
      <x:c r="E81" s="352" t="n">
        <x:v>10</x:v>
      </x:c>
      <x:c r="F81" s="352" t="str">
        <x:v>Yes</x:v>
      </x:c>
      <x:c r="G81" s="352" t="str">
        <x:v>NOR</x:v>
      </x:c>
      <x:c r="H81" s="352" t="str">
        <x:v>Included because mentioned by ResurgamHub source group: Europe/Ukraine/Belarus.</x:v>
      </x:c>
    </x:row>
    <x:row r="82">
      <x:c r="A82" s="352" t="str">
        <x:v>Oman</x:v>
      </x:c>
      <x:c r="B82" s="352" t="str">
        <x:v>OMN</x:v>
      </x:c>
      <x:c r="C82" s="352" t="str">
        <x:v>Asia-Pacific</x:v>
      </x:c>
      <x:c r="D82" s="352" t="n">
        <x:v>21</x:v>
      </x:c>
      <x:c r="E82" s="352" t="n">
        <x:v>57</x:v>
      </x:c>
      <x:c r="F82" s="352" t="str">
        <x:v>Yes</x:v>
      </x:c>
      <x:c r="G82" s="352" t="str">
        <x:v>OMN</x:v>
      </x:c>
      <x:c r="H82" s="352" t="str">
        <x:v>Included because mentioned by ResurgamHub source group: Algeria article.</x:v>
      </x:c>
    </x:row>
    <x:row r="83">
      <x:c r="A83" s="352" t="str">
        <x:v>Palau</x:v>
      </x:c>
      <x:c r="B83" s="352" t="str">
        <x:v>PLW</x:v>
      </x:c>
      <x:c r="C83" s="352" t="str">
        <x:v>Asia-Pacific</x:v>
      </x:c>
      <x:c r="D83" s="352" t="n">
        <x:v>7.5</x:v>
      </x:c>
      <x:c r="E83" s="352" t="n">
        <x:v>134.5</x:v>
      </x:c>
      <x:c r="F83" s="352" t="str">
        <x:v>Yes</x:v>
      </x:c>
      <x:c r="G83" s="352" t="str">
        <x:v>PLW</x:v>
      </x:c>
      <x:c r="H83" s="352" t="str">
        <x:v>Included because mentioned by ResurgamHub source group: Oceania/China.</x:v>
      </x:c>
    </x:row>
    <x:row r="84">
      <x:c r="A84" s="352" t="str">
        <x:v>Palestine</x:v>
      </x:c>
      <x:c r="B84" s="352" t="str">
        <x:v>PSE</x:v>
      </x:c>
      <x:c r="C84" s="352" t="str">
        <x:v>Asia-Pacific</x:v>
      </x:c>
      <x:c r="D84" s="352" t="n">
        <x:v>31.9522</x:v>
      </x:c>
      <x:c r="E84" s="352" t="n">
        <x:v>35.2332</x:v>
      </x:c>
      <x:c r="F84" s="352" t="str">
        <x:v>Yes</x:v>
      </x:c>
      <x:c r="G84" s="352" t="str">
        <x:v>PSE</x:v>
      </x:c>
      <x:c r="H84" s="352" t="str">
        <x:v>Included because mentioned by ResurgamHub source group: Middle East ceasefire. Country/area rather than UN-member-only sovereign-state row; compatible with country-area map treatment.</x:v>
      </x:c>
    </x:row>
    <x:row r="85">
      <x:c r="A85" s="352" t="str">
        <x:v>Papua New Guinea</x:v>
      </x:c>
      <x:c r="B85" s="352" t="str">
        <x:v>PNG</x:v>
      </x:c>
      <x:c r="C85" s="352" t="str">
        <x:v>Asia-Pacific</x:v>
      </x:c>
      <x:c r="D85" s="352" t="n">
        <x:v>-6</x:v>
      </x:c>
      <x:c r="E85" s="352" t="n">
        <x:v>147</x:v>
      </x:c>
      <x:c r="F85" s="352" t="str">
        <x:v>Yes</x:v>
      </x:c>
      <x:c r="G85" s="352" t="str">
        <x:v>PNG</x:v>
      </x:c>
      <x:c r="H85" s="352" t="str">
        <x:v>Included because mentioned by ResurgamHub source group: Oceania/China.</x:v>
      </x:c>
    </x:row>
    <x:row r="86">
      <x:c r="A86" s="352" t="str">
        <x:v>Peru</x:v>
      </x:c>
      <x:c r="B86" s="352" t="str">
        <x:v>PER</x:v>
      </x:c>
      <x:c r="C86" s="352" t="str">
        <x:v>Americas</x:v>
      </x:c>
      <x:c r="D86" s="352" t="n">
        <x:v>-10</x:v>
      </x:c>
      <x:c r="E86" s="352" t="n">
        <x:v>-76</x:v>
      </x:c>
      <x:c r="F86" s="352" t="str">
        <x:v>Yes</x:v>
      </x:c>
      <x:c r="G86" s="352" t="str">
        <x:v>PER</x:v>
      </x:c>
      <x:c r="H86" s="352" t="str">
        <x:v>Included because mentioned by ResurgamHub source group: Gripen article.</x:v>
      </x:c>
    </x:row>
    <x:row r="87">
      <x:c r="A87" s="352" t="str">
        <x:v>Philippines</x:v>
      </x:c>
      <x:c r="B87" s="352" t="str">
        <x:v>PHL</x:v>
      </x:c>
      <x:c r="C87" s="352" t="str">
        <x:v>Asia-Pacific</x:v>
      </x:c>
      <x:c r="D87" s="352" t="n">
        <x:v>13</x:v>
      </x:c>
      <x:c r="E87" s="352" t="n">
        <x:v>122</x:v>
      </x:c>
      <x:c r="F87" s="352" t="str">
        <x:v>Yes</x:v>
      </x:c>
      <x:c r="G87" s="352" t="str">
        <x:v>PHL</x:v>
      </x:c>
      <x:c r="H87" s="352" t="str">
        <x:v>Included because mentioned by ResurgamHub source group: China-Japan/Taiwan.</x:v>
      </x:c>
    </x:row>
    <x:row r="88">
      <x:c r="A88" s="352" t="str">
        <x:v>Poland</x:v>
      </x:c>
      <x:c r="B88" s="352" t="str">
        <x:v>POL</x:v>
      </x:c>
      <x:c r="C88" s="352" t="str">
        <x:v>Europe</x:v>
      </x:c>
      <x:c r="D88" s="352" t="n">
        <x:v>52</x:v>
      </x:c>
      <x:c r="E88" s="352" t="n">
        <x:v>20</x:v>
      </x:c>
      <x:c r="F88" s="352" t="str">
        <x:v>Yes</x:v>
      </x:c>
      <x:c r="G88" s="352" t="str">
        <x:v>POL</x:v>
      </x:c>
      <x:c r="H88" s="352" t="str">
        <x:v>Included because mentioned by ResurgamHub source group: Europe/Ukraine/Belarus.</x:v>
      </x:c>
    </x:row>
    <x:row r="89">
      <x:c r="A89" s="352" t="str">
        <x:v>Qatar</x:v>
      </x:c>
      <x:c r="B89" s="352" t="str">
        <x:v>QAT</x:v>
      </x:c>
      <x:c r="C89" s="352" t="str">
        <x:v>Asia-Pacific</x:v>
      </x:c>
      <x:c r="D89" s="352" t="n">
        <x:v>25.5</x:v>
      </x:c>
      <x:c r="E89" s="352" t="n">
        <x:v>51.25</x:v>
      </x:c>
      <x:c r="F89" s="352" t="str">
        <x:v>Yes</x:v>
      </x:c>
      <x:c r="G89" s="352" t="str">
        <x:v>QAT</x:v>
      </x:c>
      <x:c r="H89" s="352" t="str">
        <x:v>Included because mentioned by ResurgamHub source group: Middle East ceasefire.</x:v>
      </x:c>
    </x:row>
    <x:row r="90">
      <x:c r="A90" s="352" t="str">
        <x:v>Republic of the Congo</x:v>
      </x:c>
      <x:c r="B90" s="352" t="str">
        <x:v>COG</x:v>
      </x:c>
      <x:c r="C90" s="352" t="str">
        <x:v>Africa</x:v>
      </x:c>
      <x:c r="D90" s="352" t="n">
        <x:v>-1</x:v>
      </x:c>
      <x:c r="E90" s="352" t="n">
        <x:v>15</x:v>
      </x:c>
      <x:c r="F90" s="352" t="str">
        <x:v>Yes</x:v>
      </x:c>
      <x:c r="G90" s="352" t="str">
        <x:v>COG</x:v>
      </x:c>
      <x:c r="H90" s="352" t="str">
        <x:v>Included because mentioned by ResurgamHub source group: Africa hybrid war.</x:v>
      </x:c>
    </x:row>
    <x:row r="91">
      <x:c r="A91" s="352" t="str">
        <x:v>Romania</x:v>
      </x:c>
      <x:c r="B91" s="352" t="str">
        <x:v>ROU</x:v>
      </x:c>
      <x:c r="C91" s="352" t="str">
        <x:v>Europe</x:v>
      </x:c>
      <x:c r="D91" s="352" t="n">
        <x:v>46</x:v>
      </x:c>
      <x:c r="E91" s="352" t="n">
        <x:v>25</x:v>
      </x:c>
      <x:c r="F91" s="352" t="str">
        <x:v>Yes</x:v>
      </x:c>
      <x:c r="G91" s="352" t="str">
        <x:v>ROU</x:v>
      </x:c>
      <x:c r="H91" s="352" t="str">
        <x:v>Included because mentioned by ResurgamHub source group: Black Sea energy.</x:v>
      </x:c>
    </x:row>
    <x:row r="92">
      <x:c r="A92" s="352" t="str">
        <x:v>Russia</x:v>
      </x:c>
      <x:c r="B92" s="352" t="str">
        <x:v>RUS</x:v>
      </x:c>
      <x:c r="C92" s="352" t="str">
        <x:v>Europe</x:v>
      </x:c>
      <x:c r="D92" s="352" t="n">
        <x:v>60</x:v>
      </x:c>
      <x:c r="E92" s="352" t="n">
        <x:v>100</x:v>
      </x:c>
      <x:c r="F92" s="352" t="str">
        <x:v>Yes</x:v>
      </x:c>
      <x:c r="G92" s="352" t="str">
        <x:v>RUS</x:v>
      </x:c>
      <x:c r="H92" s="352" t="str">
        <x:v>Included because mentioned by ResurgamHub source group: Homepage/About. Normalized from ResurgamHub terms Moscovia / Muscovy / Russian Federation.</x:v>
      </x:c>
    </x:row>
    <x:row r="93">
      <x:c r="A93" s="352" t="str">
        <x:v>Rwanda</x:v>
      </x:c>
      <x:c r="B93" s="352" t="str">
        <x:v>RWA</x:v>
      </x:c>
      <x:c r="C93" s="352" t="str">
        <x:v>Africa</x:v>
      </x:c>
      <x:c r="D93" s="352" t="n">
        <x:v>-2</x:v>
      </x:c>
      <x:c r="E93" s="352" t="n">
        <x:v>30</x:v>
      </x:c>
      <x:c r="F93" s="352" t="str">
        <x:v>Yes</x:v>
      </x:c>
      <x:c r="G93" s="352" t="str">
        <x:v>RWA</x:v>
      </x:c>
      <x:c r="H93" s="352" t="str">
        <x:v>Included because mentioned by ResurgamHub source group: Africa hybrid war.</x:v>
      </x:c>
    </x:row>
    <x:row r="94">
      <x:c r="A94" s="352" t="str">
        <x:v>Samoa</x:v>
      </x:c>
      <x:c r="B94" s="352" t="str">
        <x:v>WSM</x:v>
      </x:c>
      <x:c r="C94" s="352" t="str">
        <x:v>Asia-Pacific</x:v>
      </x:c>
      <x:c r="D94" s="352" t="n">
        <x:v>-13.58333333</x:v>
      </x:c>
      <x:c r="E94" s="352" t="n">
        <x:v>-172.33333333</x:v>
      </x:c>
      <x:c r="F94" s="352" t="str">
        <x:v>Yes</x:v>
      </x:c>
      <x:c r="G94" s="352" t="str">
        <x:v>WSM</x:v>
      </x:c>
      <x:c r="H94" s="352" t="str">
        <x:v>Included because mentioned by ResurgamHub source group: Oceania/China.</x:v>
      </x:c>
    </x:row>
    <x:row r="95">
      <x:c r="A95" s="352" t="str">
        <x:v>Saudi Arabia</x:v>
      </x:c>
      <x:c r="B95" s="352" t="str">
        <x:v>SAU</x:v>
      </x:c>
      <x:c r="C95" s="352" t="str">
        <x:v>Asia-Pacific</x:v>
      </x:c>
      <x:c r="D95" s="352" t="n">
        <x:v>25</x:v>
      </x:c>
      <x:c r="E95" s="352" t="n">
        <x:v>45</x:v>
      </x:c>
      <x:c r="F95" s="352" t="str">
        <x:v>Yes</x:v>
      </x:c>
      <x:c r="G95" s="352" t="str">
        <x:v>SAU</x:v>
      </x:c>
      <x:c r="H95" s="352" t="str">
        <x:v>Included because mentioned by ResurgamHub source group: Iran conflict / Europe.</x:v>
      </x:c>
    </x:row>
    <x:row r="96">
      <x:c r="A96" s="352" t="str">
        <x:v>Serbia</x:v>
      </x:c>
      <x:c r="B96" s="352" t="str">
        <x:v>SRB</x:v>
      </x:c>
      <x:c r="C96" s="352" t="str">
        <x:v>Europe</x:v>
      </x:c>
      <x:c r="D96" s="352" t="n">
        <x:v>44.1305021</x:v>
      </x:c>
      <x:c r="E96" s="352" t="n">
        <x:v>16.4284181</x:v>
      </x:c>
      <x:c r="F96" s="352" t="str">
        <x:v>Yes</x:v>
      </x:c>
      <x:c r="G96" s="352" t="str">
        <x:v>SRB</x:v>
      </x:c>
      <x:c r="H96" s="352" t="str">
        <x:v>Included because mentioned by ResurgamHub source group: Europe/Ukraine/Belarus.</x:v>
      </x:c>
    </x:row>
    <x:row r="97">
      <x:c r="A97" s="352" t="str">
        <x:v>Singapore</x:v>
      </x:c>
      <x:c r="B97" s="352" t="str">
        <x:v>SGP</x:v>
      </x:c>
      <x:c r="C97" s="352" t="str">
        <x:v>Asia-Pacific</x:v>
      </x:c>
      <x:c r="D97" s="352" t="n">
        <x:v>1.36666666</x:v>
      </x:c>
      <x:c r="E97" s="352" t="n">
        <x:v>103.8</x:v>
      </x:c>
      <x:c r="F97" s="352" t="str">
        <x:v>Yes</x:v>
      </x:c>
      <x:c r="G97" s="352" t="str">
        <x:v>SGP</x:v>
      </x:c>
      <x:c r="H97" s="352" t="str">
        <x:v>Included because mentioned by ResurgamHub source group: Pacific NATO / Asia.</x:v>
      </x:c>
    </x:row>
    <x:row r="98">
      <x:c r="A98" s="352" t="str">
        <x:v>Slovakia</x:v>
      </x:c>
      <x:c r="B98" s="352" t="str">
        <x:v>SVK</x:v>
      </x:c>
      <x:c r="C98" s="352" t="str">
        <x:v>Europe</x:v>
      </x:c>
      <x:c r="D98" s="352" t="n">
        <x:v>48.66666666</x:v>
      </x:c>
      <x:c r="E98" s="352" t="n">
        <x:v>19.5</x:v>
      </x:c>
      <x:c r="F98" s="352" t="str">
        <x:v>Yes</x:v>
      </x:c>
      <x:c r="G98" s="352" t="str">
        <x:v>SVK</x:v>
      </x:c>
      <x:c r="H98" s="352" t="str">
        <x:v>Included because mentioned by ResurgamHub source group: Black Sea energy.</x:v>
      </x:c>
    </x:row>
    <x:row r="99">
      <x:c r="A99" s="352" t="str">
        <x:v>Solomon Islands</x:v>
      </x:c>
      <x:c r="B99" s="352" t="str">
        <x:v>SLB</x:v>
      </x:c>
      <x:c r="C99" s="352" t="str">
        <x:v>Asia-Pacific</x:v>
      </x:c>
      <x:c r="D99" s="352" t="n">
        <x:v>-8</x:v>
      </x:c>
      <x:c r="E99" s="352" t="n">
        <x:v>159</x:v>
      </x:c>
      <x:c r="F99" s="352" t="str">
        <x:v>Yes</x:v>
      </x:c>
      <x:c r="G99" s="352" t="str">
        <x:v>SLB</x:v>
      </x:c>
      <x:c r="H99" s="352" t="str">
        <x:v>Included because mentioned by ResurgamHub source group: Oceania/China.</x:v>
      </x:c>
    </x:row>
    <x:row r="100">
      <x:c r="A100" s="352" t="str">
        <x:v>South Africa</x:v>
      </x:c>
      <x:c r="B100" s="352" t="str">
        <x:v>ZAF</x:v>
      </x:c>
      <x:c r="C100" s="352" t="str">
        <x:v>Africa</x:v>
      </x:c>
      <x:c r="D100" s="352" t="n">
        <x:v>-29</x:v>
      </x:c>
      <x:c r="E100" s="352" t="n">
        <x:v>24</x:v>
      </x:c>
      <x:c r="F100" s="352" t="str">
        <x:v>Yes</x:v>
      </x:c>
      <x:c r="G100" s="352" t="str">
        <x:v>ZAF</x:v>
      </x:c>
      <x:c r="H100" s="352" t="str">
        <x:v>Included because mentioned by ResurgamHub source group: Africa hybrid war.</x:v>
      </x:c>
    </x:row>
    <x:row r="101">
      <x:c r="A101" s="352" t="str">
        <x:v>South Korea</x:v>
      </x:c>
      <x:c r="B101" s="352" t="str">
        <x:v>KOR</x:v>
      </x:c>
      <x:c r="C101" s="352" t="str">
        <x:v>Asia-Pacific</x:v>
      </x:c>
      <x:c r="D101" s="352" t="n">
        <x:v>37</x:v>
      </x:c>
      <x:c r="E101" s="352" t="n">
        <x:v>127.5</x:v>
      </x:c>
      <x:c r="F101" s="352" t="str">
        <x:v>Yes</x:v>
      </x:c>
      <x:c r="G101" s="352" t="str">
        <x:v>KOR</x:v>
      </x:c>
      <x:c r="H101" s="352" t="str">
        <x:v>Included because mentioned by ResurgamHub source group: Homepage/About. Normalized from Republic of Korea / South Korea.</x:v>
      </x:c>
    </x:row>
    <x:row r="102">
      <x:c r="A102" s="352" t="str">
        <x:v>Spain</x:v>
      </x:c>
      <x:c r="B102" s="352" t="str">
        <x:v>ESP</x:v>
      </x:c>
      <x:c r="C102" s="352" t="str">
        <x:v>Europe</x:v>
      </x:c>
      <x:c r="D102" s="352" t="n">
        <x:v>40</x:v>
      </x:c>
      <x:c r="E102" s="352" t="n">
        <x:v>-4</x:v>
      </x:c>
      <x:c r="F102" s="352" t="str">
        <x:v>Yes</x:v>
      </x:c>
      <x:c r="G102" s="352" t="str">
        <x:v>ESP</x:v>
      </x:c>
      <x:c r="H102" s="352" t="str">
        <x:v>Included because mentioned by ResurgamHub source group: Homepage/About.</x:v>
      </x:c>
    </x:row>
    <x:row r="103">
      <x:c r="A103" s="352" t="str">
        <x:v>Sri Lanka</x:v>
      </x:c>
      <x:c r="B103" s="352" t="str">
        <x:v>LKA</x:v>
      </x:c>
      <x:c r="C103" s="352" t="str">
        <x:v>Asia-Pacific</x:v>
      </x:c>
      <x:c r="D103" s="352" t="n">
        <x:v>7</x:v>
      </x:c>
      <x:c r="E103" s="352" t="n">
        <x:v>81</x:v>
      </x:c>
      <x:c r="F103" s="352" t="str">
        <x:v>Yes</x:v>
      </x:c>
      <x:c r="G103" s="352" t="str">
        <x:v>LKA</x:v>
      </x:c>
      <x:c r="H103" s="352" t="str">
        <x:v>Included because mentioned by ResurgamHub source group: Oceania/China.</x:v>
      </x:c>
    </x:row>
    <x:row r="104">
      <x:c r="A104" s="352" t="str">
        <x:v>Sudan</x:v>
      </x:c>
      <x:c r="B104" s="352" t="str">
        <x:v>SDN</x:v>
      </x:c>
      <x:c r="C104" s="352" t="str">
        <x:v>Africa</x:v>
      </x:c>
      <x:c r="D104" s="352" t="n">
        <x:v>15</x:v>
      </x:c>
      <x:c r="E104" s="352" t="n">
        <x:v>30</x:v>
      </x:c>
      <x:c r="F104" s="352" t="str">
        <x:v>Yes</x:v>
      </x:c>
      <x:c r="G104" s="352" t="str">
        <x:v>SDN</x:v>
      </x:c>
      <x:c r="H104" s="352" t="str">
        <x:v>Included because mentioned by ResurgamHub source group: Africa hybrid war.</x:v>
      </x:c>
    </x:row>
    <x:row r="105">
      <x:c r="A105" s="352" t="str">
        <x:v>Sweden</x:v>
      </x:c>
      <x:c r="B105" s="352" t="str">
        <x:v>SWE</x:v>
      </x:c>
      <x:c r="C105" s="352" t="str">
        <x:v>Europe</x:v>
      </x:c>
      <x:c r="D105" s="352" t="n">
        <x:v>62</x:v>
      </x:c>
      <x:c r="E105" s="352" t="n">
        <x:v>15</x:v>
      </x:c>
      <x:c r="F105" s="352" t="str">
        <x:v>Yes</x:v>
      </x:c>
      <x:c r="G105" s="352" t="str">
        <x:v>SWE</x:v>
      </x:c>
      <x:c r="H105" s="352" t="str">
        <x:v>Included because mentioned by ResurgamHub source group: Gripen article.</x:v>
      </x:c>
    </x:row>
    <x:row r="106">
      <x:c r="A106" s="352" t="str">
        <x:v>Syria</x:v>
      </x:c>
      <x:c r="B106" s="352" t="str">
        <x:v>SYR</x:v>
      </x:c>
      <x:c r="C106" s="352" t="str">
        <x:v>Asia-Pacific</x:v>
      </x:c>
      <x:c r="D106" s="352" t="n">
        <x:v>35</x:v>
      </x:c>
      <x:c r="E106" s="352" t="n">
        <x:v>38</x:v>
      </x:c>
      <x:c r="F106" s="352" t="str">
        <x:v>Yes</x:v>
      </x:c>
      <x:c r="G106" s="352" t="str">
        <x:v>SYR</x:v>
      </x:c>
      <x:c r="H106" s="352" t="str">
        <x:v>Included because mentioned by ResurgamHub source group: Europe/Ukraine/Belarus.</x:v>
      </x:c>
    </x:row>
    <x:row r="107">
      <x:c r="A107" s="352" t="str">
        <x:v>Taiwan</x:v>
      </x:c>
      <x:c r="B107" s="352" t="str">
        <x:v>TWN</x:v>
      </x:c>
      <x:c r="C107" s="352" t="str">
        <x:v>Asia-Pacific</x:v>
      </x:c>
      <x:c r="D107" s="352" t="n">
        <x:v>23.5</x:v>
      </x:c>
      <x:c r="E107" s="352" t="n">
        <x:v>121</x:v>
      </x:c>
      <x:c r="F107" s="352" t="str">
        <x:v>Yes</x:v>
      </x:c>
      <x:c r="G107" s="352" t="str">
        <x:v>TWN</x:v>
      </x:c>
      <x:c r="H107" s="352" t="str">
        <x:v>Included because mentioned by ResurgamHub source group: Oceania/China. Country/area rather than UN-member-only sovereign-state row; compatible with country-area map treatment.</x:v>
      </x:c>
    </x:row>
    <x:row r="108">
      <x:c r="A108" s="352" t="str">
        <x:v>Tajikistan</x:v>
      </x:c>
      <x:c r="B108" s="352" t="str">
        <x:v>TJK</x:v>
      </x:c>
      <x:c r="C108" s="352" t="str">
        <x:v>Asia-Pacific</x:v>
      </x:c>
      <x:c r="D108" s="352" t="n">
        <x:v>39</x:v>
      </x:c>
      <x:c r="E108" s="352" t="n">
        <x:v>71</x:v>
      </x:c>
      <x:c r="F108" s="352" t="str">
        <x:v>Yes</x:v>
      </x:c>
      <x:c r="G108" s="352" t="str">
        <x:v>TJK</x:v>
      </x:c>
      <x:c r="H108" s="352" t="str">
        <x:v>Included because mentioned by ResurgamHub source group: Central Asia/all materials.</x:v>
      </x:c>
    </x:row>
    <x:row r="109">
      <x:c r="A109" s="352" t="str">
        <x:v>Thailand</x:v>
      </x:c>
      <x:c r="B109" s="352" t="str">
        <x:v>THA</x:v>
      </x:c>
      <x:c r="C109" s="352" t="str">
        <x:v>Asia-Pacific</x:v>
      </x:c>
      <x:c r="D109" s="352" t="n">
        <x:v>15</x:v>
      </x:c>
      <x:c r="E109" s="352" t="n">
        <x:v>100</x:v>
      </x:c>
      <x:c r="F109" s="352" t="str">
        <x:v>Yes</x:v>
      </x:c>
      <x:c r="G109" s="352" t="str">
        <x:v>THA</x:v>
      </x:c>
      <x:c r="H109" s="352" t="str">
        <x:v>Included because mentioned by ResurgamHub source group: Gripen article.</x:v>
      </x:c>
    </x:row>
    <x:row r="110">
      <x:c r="A110" s="352" t="str">
        <x:v>Tonga</x:v>
      </x:c>
      <x:c r="B110" s="352" t="str">
        <x:v>TON</x:v>
      </x:c>
      <x:c r="C110" s="352" t="str">
        <x:v>Asia-Pacific</x:v>
      </x:c>
      <x:c r="D110" s="352" t="n">
        <x:v>-20</x:v>
      </x:c>
      <x:c r="E110" s="352" t="n">
        <x:v>-175</x:v>
      </x:c>
      <x:c r="F110" s="352" t="str">
        <x:v>Yes</x:v>
      </x:c>
      <x:c r="G110" s="352" t="str">
        <x:v>TON</x:v>
      </x:c>
      <x:c r="H110" s="352" t="str">
        <x:v>Included because mentioned by ResurgamHub source group: Oceania/China.</x:v>
      </x:c>
    </x:row>
    <x:row r="111">
      <x:c r="A111" s="352" t="str">
        <x:v>Turkey</x:v>
      </x:c>
      <x:c r="B111" s="352" t="str">
        <x:v>TUR</x:v>
      </x:c>
      <x:c r="C111" s="352" t="str">
        <x:v>Asia-Pacific</x:v>
      </x:c>
      <x:c r="D111" s="352" t="n">
        <x:v>39</x:v>
      </x:c>
      <x:c r="E111" s="352" t="n">
        <x:v>35</x:v>
      </x:c>
      <x:c r="F111" s="352" t="str">
        <x:v>Yes</x:v>
      </x:c>
      <x:c r="G111" s="352" t="str">
        <x:v>TUR</x:v>
      </x:c>
      <x:c r="H111" s="352" t="str">
        <x:v>Included because mentioned by ResurgamHub source group: Middle East ceasefire.</x:v>
      </x:c>
    </x:row>
    <x:row r="112">
      <x:c r="A112" s="352" t="str">
        <x:v>Turkmenistan</x:v>
      </x:c>
      <x:c r="B112" s="352" t="str">
        <x:v>TKM</x:v>
      </x:c>
      <x:c r="C112" s="352" t="str">
        <x:v>Asia-Pacific</x:v>
      </x:c>
      <x:c r="D112" s="352" t="n">
        <x:v>40</x:v>
      </x:c>
      <x:c r="E112" s="352" t="n">
        <x:v>60</x:v>
      </x:c>
      <x:c r="F112" s="352" t="str">
        <x:v>Yes</x:v>
      </x:c>
      <x:c r="G112" s="352" t="str">
        <x:v>TKM</x:v>
      </x:c>
      <x:c r="H112" s="352" t="str">
        <x:v>Included because mentioned by ResurgamHub source group: Central Asia/all materials.</x:v>
      </x:c>
    </x:row>
    <x:row r="113">
      <x:c r="A113" s="352" t="str">
        <x:v>Tuvalu</x:v>
      </x:c>
      <x:c r="B113" s="352" t="str">
        <x:v>TUV</x:v>
      </x:c>
      <x:c r="C113" s="352" t="str">
        <x:v>Asia-Pacific</x:v>
      </x:c>
      <x:c r="D113" s="352" t="n">
        <x:v>-8</x:v>
      </x:c>
      <x:c r="E113" s="352" t="n">
        <x:v>178</x:v>
      </x:c>
      <x:c r="F113" s="352" t="str">
        <x:v>Yes</x:v>
      </x:c>
      <x:c r="G113" s="352" t="str">
        <x:v>TUV</x:v>
      </x:c>
      <x:c r="H113" s="352" t="str">
        <x:v>Included because mentioned by ResurgamHub source group: Oceania/China.</x:v>
      </x:c>
    </x:row>
    <x:row r="114">
      <x:c r="A114" s="352" t="str">
        <x:v>Uganda</x:v>
      </x:c>
      <x:c r="B114" s="352" t="str">
        <x:v>UGA</x:v>
      </x:c>
      <x:c r="C114" s="352" t="str">
        <x:v>Africa</x:v>
      </x:c>
      <x:c r="D114" s="352" t="n">
        <x:v>1</x:v>
      </x:c>
      <x:c r="E114" s="352" t="n">
        <x:v>32</x:v>
      </x:c>
      <x:c r="F114" s="352" t="str">
        <x:v>Yes</x:v>
      </x:c>
      <x:c r="G114" s="352" t="str">
        <x:v>UGA</x:v>
      </x:c>
      <x:c r="H114" s="352" t="str">
        <x:v>Included because mentioned by ResurgamHub source group: Africa hybrid war.</x:v>
      </x:c>
    </x:row>
    <x:row r="115">
      <x:c r="A115" s="352" t="str">
        <x:v>Ukraine</x:v>
      </x:c>
      <x:c r="B115" s="352" t="str">
        <x:v>UKR</x:v>
      </x:c>
      <x:c r="C115" s="352" t="str">
        <x:v>Europe</x:v>
      </x:c>
      <x:c r="D115" s="352" t="n">
        <x:v>49</x:v>
      </x:c>
      <x:c r="E115" s="352" t="n">
        <x:v>32</x:v>
      </x:c>
      <x:c r="F115" s="352" t="str">
        <x:v>Yes</x:v>
      </x:c>
      <x:c r="G115" s="352" t="str">
        <x:v>UKR</x:v>
      </x:c>
      <x:c r="H115" s="352" t="str">
        <x:v>Included because mentioned by ResurgamHub source group: Homepage/About.</x:v>
      </x:c>
    </x:row>
    <x:row r="116">
      <x:c r="A116" s="352" t="str">
        <x:v>United Arab Emirates</x:v>
      </x:c>
      <x:c r="B116" s="352" t="str">
        <x:v>ARE</x:v>
      </x:c>
      <x:c r="C116" s="352" t="str">
        <x:v>Asia-Pacific</x:v>
      </x:c>
      <x:c r="D116" s="352" t="n">
        <x:v>24</x:v>
      </x:c>
      <x:c r="E116" s="352" t="n">
        <x:v>54</x:v>
      </x:c>
      <x:c r="F116" s="352" t="str">
        <x:v>Yes</x:v>
      </x:c>
      <x:c r="G116" s="352" t="str">
        <x:v>ARE</x:v>
      </x:c>
      <x:c r="H116" s="352" t="str">
        <x:v>Included because mentioned by ResurgamHub source group: Iran conflict / Europe.</x:v>
      </x:c>
    </x:row>
    <x:row r="117">
      <x:c r="A117" s="352" t="str">
        <x:v>United Kingdom</x:v>
      </x:c>
      <x:c r="B117" s="352" t="str">
        <x:v>GBR</x:v>
      </x:c>
      <x:c r="C117" s="352" t="str">
        <x:v>Europe</x:v>
      </x:c>
      <x:c r="D117" s="352" t="n">
        <x:v>54</x:v>
      </x:c>
      <x:c r="E117" s="352" t="n">
        <x:v>-2</x:v>
      </x:c>
      <x:c r="F117" s="352" t="str">
        <x:v>Yes</x:v>
      </x:c>
      <x:c r="G117" s="352" t="str">
        <x:v>GBR</x:v>
      </x:c>
      <x:c r="H117" s="352" t="str">
        <x:v>Included because mentioned by ResurgamHub source group: Homepage/About. Use UK/GBR for Great Britain/Britain/England/Scotland/Wales references unless subnational layer is added.</x:v>
      </x:c>
    </x:row>
    <x:row r="118">
      <x:c r="A118" s="352" t="str">
        <x:v>United States</x:v>
      </x:c>
      <x:c r="B118" s="352" t="str">
        <x:v>USA</x:v>
      </x:c>
      <x:c r="C118" s="352" t="str">
        <x:v>Americas</x:v>
      </x:c>
      <x:c r="D118" s="352" t="n">
        <x:v>38</x:v>
      </x:c>
      <x:c r="E118" s="352" t="n">
        <x:v>-97</x:v>
      </x:c>
      <x:c r="F118" s="352" t="str">
        <x:v>Yes</x:v>
      </x:c>
      <x:c r="G118" s="352" t="str">
        <x:v>USA</x:v>
      </x:c>
      <x:c r="H118" s="352" t="str">
        <x:v>Included because mentioned by ResurgamHub source group: Homepage/About. Normalized from USA / United States / America.</x:v>
      </x:c>
    </x:row>
    <x:row r="119">
      <x:c r="A119" s="352" t="str">
        <x:v>Uzbekistan</x:v>
      </x:c>
      <x:c r="B119" s="352" t="str">
        <x:v>UZB</x:v>
      </x:c>
      <x:c r="C119" s="352" t="str">
        <x:v>Asia-Pacific</x:v>
      </x:c>
      <x:c r="D119" s="352" t="n">
        <x:v>41</x:v>
      </x:c>
      <x:c r="E119" s="352" t="n">
        <x:v>64</x:v>
      </x:c>
      <x:c r="F119" s="352" t="str">
        <x:v>Yes</x:v>
      </x:c>
      <x:c r="G119" s="352" t="str">
        <x:v>UZB</x:v>
      </x:c>
      <x:c r="H119" s="352" t="str">
        <x:v>Included because mentioned by ResurgamHub source group: Central Asia/all materials.</x:v>
      </x:c>
    </x:row>
    <x:row r="120">
      <x:c r="A120" s="352" t="str">
        <x:v>Vanuatu</x:v>
      </x:c>
      <x:c r="B120" s="352" t="str">
        <x:v>VUT</x:v>
      </x:c>
      <x:c r="C120" s="352" t="str">
        <x:v>Asia-Pacific</x:v>
      </x:c>
      <x:c r="D120" s="352" t="n">
        <x:v>-16</x:v>
      </x:c>
      <x:c r="E120" s="352" t="n">
        <x:v>167</x:v>
      </x:c>
      <x:c r="F120" s="352" t="str">
        <x:v>Yes</x:v>
      </x:c>
      <x:c r="G120" s="352" t="str">
        <x:v>VUT</x:v>
      </x:c>
      <x:c r="H120" s="352" t="str">
        <x:v>Included because mentioned by ResurgamHub source group: Oceania/China.</x:v>
      </x:c>
    </x:row>
    <x:row r="121">
      <x:c r="A121" s="352" t="str">
        <x:v>Venezuela</x:v>
      </x:c>
      <x:c r="B121" s="352" t="str">
        <x:v>VEN</x:v>
      </x:c>
      <x:c r="C121" s="352" t="str">
        <x:v>Americas</x:v>
      </x:c>
      <x:c r="D121" s="352" t="n">
        <x:v>8</x:v>
      </x:c>
      <x:c r="E121" s="352" t="n">
        <x:v>-66</x:v>
      </x:c>
      <x:c r="F121" s="352" t="str">
        <x:v>Yes</x:v>
      </x:c>
      <x:c r="G121" s="352" t="str">
        <x:v>VEN</x:v>
      </x:c>
      <x:c r="H121" s="352" t="str">
        <x:v>Included because mentioned by ResurgamHub source group: Venezuela/Cuba.</x:v>
      </x:c>
    </x:row>
    <x:row r="122">
      <x:c r="A122" s="352" t="str">
        <x:v>Vietnam</x:v>
      </x:c>
      <x:c r="B122" s="352" t="str">
        <x:v>VNM</x:v>
      </x:c>
      <x:c r="C122" s="352" t="str">
        <x:v>Asia-Pacific</x:v>
      </x:c>
      <x:c r="D122" s="352" t="n">
        <x:v>16.16666666</x:v>
      </x:c>
      <x:c r="E122" s="352" t="n">
        <x:v>107.83333333</x:v>
      </x:c>
      <x:c r="F122" s="352" t="str">
        <x:v>Yes</x:v>
      </x:c>
      <x:c r="G122" s="352" t="str">
        <x:v>VNM</x:v>
      </x:c>
      <x:c r="H122" s="352" t="str">
        <x:v>Included because mentioned by ResurgamHub source group: Pacific NATO / Asia.</x:v>
      </x:c>
    </x:row>
    <x:row r="123">
      <x:c r="A123" s="352" t="str">
        <x:v>Western Sahara</x:v>
      </x:c>
      <x:c r="B123" s="352" t="str">
        <x:v>ESH</x:v>
      </x:c>
      <x:c r="C123" s="352" t="str">
        <x:v>Africa</x:v>
      </x:c>
      <x:c r="D123" s="352" t="n">
        <x:v>24.5</x:v>
      </x:c>
      <x:c r="E123" s="352" t="n">
        <x:v>-13</x:v>
      </x:c>
      <x:c r="F123" s="352" t="str">
        <x:v>Yes</x:v>
      </x:c>
      <x:c r="G123" s="352" t="str">
        <x:v>ESH</x:v>
      </x:c>
      <x:c r="H123" s="352" t="str">
        <x:v>Included because mentioned by ResurgamHub source group: Algeria article. Country/area rather than UN-member-only sovereign-state row; compatible with country-area map treatment.</x:v>
      </x:c>
    </x:row>
    <x:row r="124">
      <x:c r="A124" s="352" t="str">
        <x:v>Zimbabwe</x:v>
      </x:c>
      <x:c r="B124" s="352" t="str">
        <x:v>ZWE</x:v>
      </x:c>
      <x:c r="C124" s="352" t="str">
        <x:v>Africa</x:v>
      </x:c>
      <x:c r="D124" s="352" t="n">
        <x:v>-20</x:v>
      </x:c>
      <x:c r="E124" s="352" t="n">
        <x:v>30</x:v>
      </x:c>
      <x:c r="F124" s="352" t="str">
        <x:v>Yes</x:v>
      </x:c>
      <x:c r="G124" s="352" t="str">
        <x:v>ZWE</x:v>
      </x:c>
      <x:c r="H124" s="352" t="str">
        <x:v>Included because mentioned by ResurgamHub source group: Africa hybrid war.</x:v>
      </x:c>
    </x:row>
    <x:row r="125">
      <x:c r="A125" s="352"/>
      <x:c r="B125" s="352"/>
      <x:c r="C125" s="352"/>
      <x:c r="D125" s="352"/>
      <x:c r="E125" s="352"/>
      <x:c r="F125" s="352"/>
      <x:c r="G125" s="352"/>
      <x:c r="H125" s="352"/>
    </x:row>
    <x:row r="126">
      <x:c r="A126" s="352"/>
      <x:c r="B126" s="352"/>
      <x:c r="C126" s="352"/>
      <x:c r="D126" s="352"/>
      <x:c r="E126" s="352"/>
      <x:c r="F126" s="352"/>
      <x:c r="G126" s="352"/>
      <x:c r="H126" s="352"/>
    </x:row>
    <x:row r="127">
      <x:c r="A127" s="352"/>
      <x:c r="B127" s="352"/>
      <x:c r="C127" s="352"/>
      <x:c r="D127" s="352"/>
      <x:c r="E127" s="352"/>
      <x:c r="F127" s="352"/>
      <x:c r="G127" s="352"/>
      <x:c r="H127" s="352"/>
    </x:row>
    <x:row r="128">
      <x:c r="A128" s="352"/>
      <x:c r="B128" s="352"/>
      <x:c r="C128" s="352"/>
      <x:c r="D128" s="352"/>
      <x:c r="E128" s="352"/>
      <x:c r="F128" s="352"/>
      <x:c r="G128" s="352"/>
      <x:c r="H128" s="352"/>
    </x:row>
    <x:row r="129">
      <x:c r="A129" s="352"/>
      <x:c r="B129" s="352"/>
      <x:c r="C129" s="352"/>
      <x:c r="D129" s="352"/>
      <x:c r="E129" s="352"/>
      <x:c r="F129" s="352"/>
      <x:c r="G129" s="352"/>
      <x:c r="H129" s="352"/>
    </x:row>
    <x:row r="130">
      <x:c r="A130" s="352"/>
      <x:c r="B130" s="352"/>
      <x:c r="C130" s="352"/>
      <x:c r="D130" s="352"/>
      <x:c r="E130" s="352"/>
      <x:c r="F130" s="352"/>
      <x:c r="G130" s="352"/>
      <x:c r="H130" s="352"/>
    </x:row>
    <x:row r="131">
      <x:c r="A131" s="352"/>
      <x:c r="B131" s="352"/>
      <x:c r="C131" s="352"/>
      <x:c r="D131" s="352"/>
      <x:c r="E131" s="352"/>
      <x:c r="F131" s="352"/>
      <x:c r="G131" s="352"/>
      <x:c r="H131" s="352"/>
    </x:row>
    <x:row r="132">
      <x:c r="A132" s="352"/>
      <x:c r="B132" s="352"/>
      <x:c r="C132" s="352"/>
      <x:c r="D132" s="352"/>
      <x:c r="E132" s="352"/>
      <x:c r="F132" s="352"/>
      <x:c r="G132" s="352"/>
      <x:c r="H132" s="352"/>
    </x:row>
    <x:row r="133">
      <x:c r="A133" s="352"/>
      <x:c r="B133" s="352"/>
      <x:c r="C133" s="352"/>
      <x:c r="D133" s="352"/>
      <x:c r="E133" s="352"/>
      <x:c r="F133" s="352"/>
      <x:c r="G133" s="352"/>
      <x:c r="H133" s="352"/>
    </x:row>
    <x:row r="134">
      <x:c r="A134" s="352"/>
      <x:c r="B134" s="352"/>
      <x:c r="C134" s="352"/>
      <x:c r="D134" s="352"/>
      <x:c r="E134" s="352"/>
      <x:c r="F134" s="352"/>
      <x:c r="G134" s="352"/>
      <x:c r="H134" s="352"/>
    </x:row>
    <x:row r="135">
      <x:c r="A135" s="352"/>
      <x:c r="B135" s="352"/>
      <x:c r="C135" s="352"/>
      <x:c r="D135" s="352"/>
      <x:c r="E135" s="352"/>
      <x:c r="F135" s="352"/>
      <x:c r="G135" s="352"/>
      <x:c r="H135" s="352"/>
    </x:row>
    <x:row r="136">
      <x:c r="A136" s="352"/>
      <x:c r="B136" s="352"/>
      <x:c r="C136" s="352"/>
      <x:c r="D136" s="352"/>
      <x:c r="E136" s="352"/>
      <x:c r="F136" s="352"/>
      <x:c r="G136" s="352"/>
      <x:c r="H136" s="352"/>
    </x:row>
    <x:row r="137">
      <x:c r="A137" s="352"/>
      <x:c r="B137" s="352"/>
      <x:c r="C137" s="352"/>
      <x:c r="D137" s="352"/>
      <x:c r="E137" s="352"/>
      <x:c r="F137" s="352"/>
      <x:c r="G137" s="352"/>
      <x:c r="H137" s="352"/>
    </x:row>
    <x:row r="138">
      <x:c r="A138" s="352"/>
      <x:c r="B138" s="352"/>
      <x:c r="C138" s="352"/>
      <x:c r="D138" s="352"/>
      <x:c r="E138" s="352"/>
      <x:c r="F138" s="352"/>
      <x:c r="G138" s="352"/>
      <x:c r="H138" s="352"/>
    </x:row>
    <x:row r="139">
      <x:c r="A139" s="352"/>
      <x:c r="B139" s="352"/>
      <x:c r="C139" s="352"/>
      <x:c r="D139" s="352"/>
      <x:c r="E139" s="352"/>
      <x:c r="F139" s="352"/>
      <x:c r="G139" s="352"/>
      <x:c r="H139" s="352"/>
    </x:row>
    <x:row r="140">
      <x:c r="A140" s="352"/>
      <x:c r="B140" s="352"/>
      <x:c r="C140" s="352"/>
      <x:c r="D140" s="352"/>
      <x:c r="E140" s="352"/>
      <x:c r="F140" s="352"/>
      <x:c r="G140" s="352"/>
      <x:c r="H140" s="352"/>
    </x:row>
    <x:row r="141">
      <x:c r="A141" s="352"/>
      <x:c r="B141" s="352"/>
      <x:c r="C141" s="352"/>
      <x:c r="D141" s="352"/>
      <x:c r="E141" s="352"/>
      <x:c r="F141" s="352"/>
      <x:c r="G141" s="352"/>
      <x:c r="H141" s="352"/>
    </x:row>
    <x:row r="142">
      <x:c r="A142" s="352"/>
      <x:c r="B142" s="352"/>
      <x:c r="C142" s="352"/>
      <x:c r="D142" s="352"/>
      <x:c r="E142" s="352"/>
      <x:c r="F142" s="352"/>
      <x:c r="G142" s="352"/>
      <x:c r="H142" s="352"/>
    </x:row>
    <x:row r="143">
      <x:c r="A143" s="352"/>
      <x:c r="B143" s="352"/>
      <x:c r="C143" s="352"/>
      <x:c r="D143" s="352"/>
      <x:c r="E143" s="352"/>
      <x:c r="F143" s="352"/>
      <x:c r="G143" s="352"/>
      <x:c r="H143" s="352"/>
    </x:row>
    <x:row r="144">
      <x:c r="A144" s="352"/>
      <x:c r="B144" s="352"/>
      <x:c r="C144" s="352"/>
      <x:c r="D144" s="352"/>
      <x:c r="E144" s="352"/>
      <x:c r="F144" s="352"/>
      <x:c r="G144" s="352"/>
      <x:c r="H144" s="352"/>
    </x:row>
    <x:row r="145">
      <x:c r="A145" s="352"/>
      <x:c r="B145" s="352"/>
      <x:c r="C145" s="352"/>
      <x:c r="D145" s="352"/>
      <x:c r="E145" s="352"/>
      <x:c r="F145" s="352"/>
      <x:c r="G145" s="352"/>
      <x:c r="H145" s="352"/>
    </x:row>
    <x:row r="146">
      <x:c r="A146" s="352"/>
      <x:c r="B146" s="352"/>
      <x:c r="C146" s="352"/>
      <x:c r="D146" s="352"/>
      <x:c r="E146" s="352"/>
      <x:c r="F146" s="352"/>
      <x:c r="G146" s="352"/>
      <x:c r="H146" s="352"/>
    </x:row>
    <x:row r="147">
      <x:c r="A147" s="352"/>
      <x:c r="B147" s="352"/>
      <x:c r="C147" s="352"/>
      <x:c r="D147" s="352"/>
      <x:c r="E147" s="352"/>
      <x:c r="F147" s="352"/>
      <x:c r="G147" s="352"/>
      <x:c r="H147" s="352"/>
    </x:row>
    <x:row r="148">
      <x:c r="A148" s="352"/>
      <x:c r="B148" s="352"/>
      <x:c r="C148" s="352"/>
      <x:c r="D148" s="352"/>
      <x:c r="E148" s="352"/>
      <x:c r="F148" s="352"/>
      <x:c r="G148" s="352"/>
      <x:c r="H148" s="352"/>
    </x:row>
    <x:row r="149">
      <x:c r="A149" s="352"/>
      <x:c r="B149" s="352"/>
      <x:c r="C149" s="352"/>
      <x:c r="D149" s="352"/>
      <x:c r="E149" s="352"/>
      <x:c r="F149" s="352"/>
      <x:c r="G149" s="352"/>
      <x:c r="H149" s="352"/>
    </x:row>
    <x:row r="150">
      <x:c r="A150" s="352"/>
      <x:c r="B150" s="352"/>
      <x:c r="C150" s="352"/>
      <x:c r="D150" s="352"/>
      <x:c r="E150" s="352"/>
      <x:c r="F150" s="352"/>
      <x:c r="G150" s="352"/>
      <x:c r="H150" s="352"/>
    </x:row>
    <x:row r="151">
      <x:c r="A151" s="352"/>
      <x:c r="B151" s="352"/>
      <x:c r="C151" s="352"/>
      <x:c r="D151" s="352"/>
      <x:c r="E151" s="352"/>
      <x:c r="F151" s="352"/>
      <x:c r="G151" s="352"/>
      <x:c r="H151" s="352"/>
    </x:row>
    <x:row r="152">
      <x:c r="A152" s="352"/>
      <x:c r="B152" s="352"/>
      <x:c r="C152" s="352"/>
      <x:c r="D152" s="352"/>
      <x:c r="E152" s="352"/>
      <x:c r="F152" s="352"/>
      <x:c r="G152" s="352"/>
      <x:c r="H152" s="352"/>
    </x:row>
    <x:row r="153">
      <x:c r="A153" s="352"/>
      <x:c r="B153" s="352"/>
      <x:c r="C153" s="352"/>
      <x:c r="D153" s="352"/>
      <x:c r="E153" s="352"/>
      <x:c r="F153" s="352"/>
      <x:c r="G153" s="352"/>
      <x:c r="H153" s="352"/>
    </x:row>
    <x:row r="154">
      <x:c r="A154" s="352"/>
      <x:c r="B154" s="352"/>
      <x:c r="C154" s="352"/>
      <x:c r="D154" s="352"/>
      <x:c r="E154" s="352"/>
      <x:c r="F154" s="352"/>
      <x:c r="G154" s="352"/>
      <x:c r="H154" s="352"/>
    </x:row>
    <x:row r="155">
      <x:c r="A155" s="352"/>
      <x:c r="B155" s="352"/>
      <x:c r="C155" s="352"/>
      <x:c r="D155" s="352"/>
      <x:c r="E155" s="352"/>
      <x:c r="F155" s="352"/>
      <x:c r="G155" s="352"/>
      <x:c r="H155" s="352"/>
    </x:row>
    <x:row r="156">
      <x:c r="A156" s="352"/>
      <x:c r="B156" s="352"/>
      <x:c r="C156" s="352"/>
      <x:c r="D156" s="352"/>
      <x:c r="E156" s="352"/>
      <x:c r="F156" s="352"/>
      <x:c r="G156" s="352"/>
      <x:c r="H156" s="352"/>
    </x:row>
    <x:row r="157">
      <x:c r="A157" s="352"/>
      <x:c r="B157" s="352"/>
      <x:c r="C157" s="352"/>
      <x:c r="D157" s="352"/>
      <x:c r="E157" s="352"/>
      <x:c r="F157" s="352"/>
      <x:c r="G157" s="352"/>
      <x:c r="H157" s="352"/>
    </x:row>
    <x:row r="158">
      <x:c r="A158" s="352"/>
      <x:c r="B158" s="352"/>
      <x:c r="C158" s="352"/>
      <x:c r="D158" s="352"/>
      <x:c r="E158" s="352"/>
      <x:c r="F158" s="352"/>
      <x:c r="G158" s="352"/>
      <x:c r="H158" s="352"/>
    </x:row>
    <x:row r="159">
      <x:c r="A159" s="352"/>
      <x:c r="B159" s="352"/>
      <x:c r="C159" s="352"/>
      <x:c r="D159" s="352"/>
      <x:c r="E159" s="352"/>
      <x:c r="F159" s="352"/>
      <x:c r="G159" s="352"/>
      <x:c r="H159" s="352"/>
    </x:row>
    <x:row r="160">
      <x:c r="A160" s="352"/>
      <x:c r="B160" s="352"/>
      <x:c r="C160" s="352"/>
      <x:c r="D160" s="352"/>
      <x:c r="E160" s="352"/>
      <x:c r="F160" s="352"/>
      <x:c r="G160" s="352"/>
      <x:c r="H160" s="352"/>
    </x:row>
    <x:row r="161">
      <x:c r="A161" s="352"/>
      <x:c r="B161" s="352"/>
      <x:c r="C161" s="352"/>
      <x:c r="D161" s="352"/>
      <x:c r="E161" s="352"/>
      <x:c r="F161" s="352"/>
      <x:c r="G161" s="352"/>
      <x:c r="H161" s="352"/>
    </x:row>
    <x:row r="162">
      <x:c r="A162" s="352"/>
      <x:c r="B162" s="352"/>
      <x:c r="C162" s="352"/>
      <x:c r="D162" s="352"/>
      <x:c r="E162" s="352"/>
      <x:c r="F162" s="352"/>
      <x:c r="G162" s="352"/>
      <x:c r="H162" s="352"/>
    </x:row>
    <x:row r="163">
      <x:c r="A163" s="352"/>
      <x:c r="B163" s="352"/>
      <x:c r="C163" s="352"/>
      <x:c r="D163" s="352"/>
      <x:c r="E163" s="352"/>
      <x:c r="F163" s="352"/>
      <x:c r="G163" s="352"/>
      <x:c r="H163" s="352"/>
    </x:row>
    <x:row r="164">
      <x:c r="A164" s="352"/>
      <x:c r="B164" s="352"/>
      <x:c r="C164" s="352"/>
      <x:c r="D164" s="352"/>
      <x:c r="E164" s="352"/>
      <x:c r="F164" s="352"/>
      <x:c r="G164" s="352"/>
      <x:c r="H164" s="352"/>
    </x:row>
    <x:row r="165">
      <x:c r="A165" s="352"/>
      <x:c r="B165" s="352"/>
      <x:c r="C165" s="352"/>
      <x:c r="D165" s="352"/>
      <x:c r="E165" s="352"/>
      <x:c r="F165" s="352"/>
      <x:c r="G165" s="352"/>
      <x:c r="H165" s="352"/>
    </x:row>
    <x:row r="166">
      <x:c r="A166" s="352"/>
      <x:c r="B166" s="352"/>
      <x:c r="C166" s="352"/>
      <x:c r="D166" s="352"/>
      <x:c r="E166" s="352"/>
      <x:c r="F166" s="352"/>
      <x:c r="G166" s="352"/>
      <x:c r="H166" s="352"/>
    </x:row>
    <x:row r="167">
      <x:c r="A167" s="352"/>
      <x:c r="B167" s="352"/>
      <x:c r="C167" s="352"/>
      <x:c r="D167" s="352"/>
      <x:c r="E167" s="352"/>
      <x:c r="F167" s="352"/>
      <x:c r="G167" s="352"/>
      <x:c r="H167" s="352"/>
    </x:row>
    <x:row r="168">
      <x:c r="A168" s="352"/>
      <x:c r="B168" s="352"/>
      <x:c r="C168" s="352"/>
      <x:c r="D168" s="352"/>
      <x:c r="E168" s="352"/>
      <x:c r="F168" s="352"/>
      <x:c r="G168" s="352"/>
      <x:c r="H168" s="352"/>
    </x:row>
    <x:row r="169">
      <x:c r="A169" s="352"/>
      <x:c r="B169" s="352"/>
      <x:c r="C169" s="352"/>
      <x:c r="D169" s="352"/>
      <x:c r="E169" s="352"/>
      <x:c r="F169" s="352"/>
      <x:c r="G169" s="352"/>
      <x:c r="H169" s="352"/>
    </x:row>
    <x:row r="170">
      <x:c r="A170" s="352"/>
      <x:c r="B170" s="352"/>
      <x:c r="C170" s="352"/>
      <x:c r="D170" s="352"/>
      <x:c r="E170" s="352"/>
      <x:c r="F170" s="352"/>
      <x:c r="G170" s="352"/>
      <x:c r="H170" s="352"/>
    </x:row>
    <x:row r="171">
      <x:c r="A171" s="352"/>
      <x:c r="B171" s="352"/>
      <x:c r="C171" s="352"/>
      <x:c r="D171" s="352"/>
      <x:c r="E171" s="352"/>
      <x:c r="F171" s="352"/>
      <x:c r="G171" s="352"/>
      <x:c r="H171" s="352"/>
    </x:row>
    <x:row r="172">
      <x:c r="A172" s="352"/>
      <x:c r="B172" s="352"/>
      <x:c r="C172" s="352"/>
      <x:c r="D172" s="352"/>
      <x:c r="E172" s="352"/>
      <x:c r="F172" s="352"/>
      <x:c r="G172" s="352"/>
      <x:c r="H172" s="352"/>
    </x:row>
    <x:row r="173">
      <x:c r="A173" s="352"/>
      <x:c r="B173" s="352"/>
      <x:c r="C173" s="352"/>
      <x:c r="D173" s="352"/>
      <x:c r="E173" s="352"/>
      <x:c r="F173" s="352"/>
      <x:c r="G173" s="352"/>
      <x:c r="H173" s="352"/>
    </x:row>
    <x:row r="174">
      <x:c r="A174" s="352"/>
      <x:c r="B174" s="352"/>
      <x:c r="C174" s="352"/>
      <x:c r="D174" s="352"/>
      <x:c r="E174" s="352"/>
      <x:c r="F174" s="352"/>
      <x:c r="G174" s="352"/>
      <x:c r="H174" s="352"/>
    </x:row>
    <x:row r="175">
      <x:c r="A175" s="352"/>
      <x:c r="B175" s="352"/>
      <x:c r="C175" s="352"/>
      <x:c r="D175" s="352"/>
      <x:c r="E175" s="352"/>
      <x:c r="F175" s="352"/>
      <x:c r="G175" s="352"/>
      <x:c r="H175" s="352"/>
    </x:row>
    <x:row r="176">
      <x:c r="A176" s="352"/>
      <x:c r="B176" s="352"/>
      <x:c r="C176" s="352"/>
      <x:c r="D176" s="352"/>
      <x:c r="E176" s="352"/>
      <x:c r="F176" s="352"/>
      <x:c r="G176" s="352"/>
      <x:c r="H176" s="352"/>
    </x:row>
    <x:row r="177">
      <x:c r="A177" s="352"/>
      <x:c r="B177" s="352"/>
      <x:c r="C177" s="352"/>
      <x:c r="D177" s="352"/>
      <x:c r="E177" s="352"/>
      <x:c r="F177" s="352"/>
      <x:c r="G177" s="352"/>
      <x:c r="H177" s="352"/>
    </x:row>
    <x:row r="178">
      <x:c r="A178" s="352"/>
      <x:c r="B178" s="352"/>
      <x:c r="C178" s="352"/>
      <x:c r="D178" s="352"/>
      <x:c r="E178" s="352"/>
      <x:c r="F178" s="352"/>
      <x:c r="G178" s="352"/>
      <x:c r="H178" s="352"/>
    </x:row>
    <x:row r="179">
      <x:c r="A179" s="352"/>
      <x:c r="B179" s="352"/>
      <x:c r="C179" s="352"/>
      <x:c r="D179" s="352"/>
      <x:c r="E179" s="352"/>
      <x:c r="F179" s="352"/>
      <x:c r="G179" s="352"/>
      <x:c r="H179" s="352"/>
    </x:row>
    <x:row r="180">
      <x:c r="A180" s="352"/>
      <x:c r="B180" s="352"/>
      <x:c r="C180" s="352"/>
      <x:c r="D180" s="352"/>
      <x:c r="E180" s="352"/>
      <x:c r="F180" s="352"/>
      <x:c r="G180" s="352"/>
      <x:c r="H180" s="352"/>
    </x:row>
    <x:row r="181">
      <x:c r="A181" s="352"/>
      <x:c r="B181" s="352"/>
      <x:c r="C181" s="352"/>
      <x:c r="D181" s="352"/>
      <x:c r="E181" s="352"/>
      <x:c r="F181" s="352"/>
      <x:c r="G181" s="352"/>
      <x:c r="H181" s="352"/>
    </x:row>
    <x:row r="182">
      <x:c r="A182" s="352"/>
      <x:c r="B182" s="352"/>
      <x:c r="C182" s="352"/>
      <x:c r="D182" s="352"/>
      <x:c r="E182" s="352"/>
      <x:c r="F182" s="352"/>
      <x:c r="G182" s="352"/>
      <x:c r="H182" s="352"/>
    </x:row>
    <x:row r="183">
      <x:c r="A183" s="352"/>
      <x:c r="B183" s="352"/>
      <x:c r="C183" s="352"/>
      <x:c r="D183" s="352"/>
      <x:c r="E183" s="352"/>
      <x:c r="F183" s="352"/>
      <x:c r="G183" s="352"/>
      <x:c r="H183" s="352"/>
    </x:row>
    <x:row r="184">
      <x:c r="A184" s="352"/>
      <x:c r="B184" s="352"/>
      <x:c r="C184" s="352"/>
      <x:c r="D184" s="352"/>
      <x:c r="E184" s="352"/>
      <x:c r="F184" s="352"/>
      <x:c r="G184" s="352"/>
      <x:c r="H184" s="352"/>
    </x:row>
    <x:row r="185">
      <x:c r="A185" s="352"/>
      <x:c r="B185" s="352"/>
      <x:c r="C185" s="352"/>
      <x:c r="D185" s="352"/>
      <x:c r="E185" s="352"/>
      <x:c r="F185" s="352"/>
      <x:c r="G185" s="352"/>
      <x:c r="H185" s="352"/>
    </x:row>
    <x:row r="186">
      <x:c r="A186" s="352"/>
      <x:c r="B186" s="352"/>
      <x:c r="C186" s="352"/>
      <x:c r="D186" s="352"/>
      <x:c r="E186" s="352"/>
      <x:c r="F186" s="352"/>
      <x:c r="G186" s="352"/>
      <x:c r="H186" s="352"/>
    </x:row>
    <x:row r="187">
      <x:c r="A187" s="352"/>
      <x:c r="B187" s="352"/>
      <x:c r="C187" s="352"/>
      <x:c r="D187" s="352"/>
      <x:c r="E187" s="352"/>
      <x:c r="F187" s="352"/>
      <x:c r="G187" s="352"/>
      <x:c r="H187" s="352"/>
    </x:row>
    <x:row r="188">
      <x:c r="A188" s="352"/>
      <x:c r="B188" s="352"/>
      <x:c r="C188" s="352"/>
      <x:c r="D188" s="352"/>
      <x:c r="E188" s="352"/>
      <x:c r="F188" s="352"/>
      <x:c r="G188" s="352"/>
      <x:c r="H188" s="352"/>
    </x:row>
    <x:row r="189">
      <x:c r="A189" s="352"/>
      <x:c r="B189" s="352"/>
      <x:c r="C189" s="352"/>
      <x:c r="D189" s="352"/>
      <x:c r="E189" s="352"/>
      <x:c r="F189" s="352"/>
      <x:c r="G189" s="352"/>
      <x:c r="H189" s="352"/>
    </x:row>
    <x:row r="190">
      <x:c r="A190" s="352"/>
      <x:c r="B190" s="352"/>
      <x:c r="C190" s="352"/>
      <x:c r="D190" s="352"/>
      <x:c r="E190" s="352"/>
      <x:c r="F190" s="352"/>
      <x:c r="G190" s="352"/>
      <x:c r="H190" s="352"/>
    </x:row>
    <x:row r="191">
      <x:c r="A191" s="352"/>
      <x:c r="B191" s="352"/>
      <x:c r="C191" s="352"/>
      <x:c r="D191" s="352"/>
      <x:c r="E191" s="352"/>
      <x:c r="F191" s="352"/>
      <x:c r="G191" s="352"/>
      <x:c r="H191" s="352"/>
    </x:row>
    <x:row r="192">
      <x:c r="A192" s="352"/>
      <x:c r="B192" s="352"/>
      <x:c r="C192" s="352"/>
      <x:c r="D192" s="352"/>
      <x:c r="E192" s="352"/>
      <x:c r="F192" s="352"/>
      <x:c r="G192" s="352"/>
      <x:c r="H192" s="352"/>
    </x:row>
    <x:row r="193">
      <x:c r="A193" s="352"/>
      <x:c r="B193" s="352"/>
      <x:c r="C193" s="352"/>
      <x:c r="D193" s="352"/>
      <x:c r="E193" s="352"/>
      <x:c r="F193" s="352"/>
      <x:c r="G193" s="352"/>
      <x:c r="H193" s="352"/>
    </x:row>
    <x:row r="194">
      <x:c r="A194" s="352"/>
      <x:c r="B194" s="352"/>
      <x:c r="C194" s="352"/>
      <x:c r="D194" s="352"/>
      <x:c r="E194" s="352"/>
      <x:c r="F194" s="352"/>
      <x:c r="G194" s="352"/>
      <x:c r="H194" s="352"/>
    </x:row>
    <x:row r="195">
      <x:c r="A195" s="352"/>
      <x:c r="B195" s="352"/>
      <x:c r="C195" s="352"/>
      <x:c r="D195" s="352"/>
      <x:c r="E195" s="352"/>
      <x:c r="F195" s="352"/>
      <x:c r="G195" s="352"/>
      <x:c r="H195" s="352"/>
    </x:row>
    <x:row r="196">
      <x:c r="A196" s="352"/>
      <x:c r="B196" s="352"/>
      <x:c r="C196" s="352"/>
      <x:c r="D196" s="352"/>
      <x:c r="E196" s="352"/>
      <x:c r="F196" s="352"/>
      <x:c r="G196" s="352"/>
      <x:c r="H196" s="352"/>
    </x:row>
    <x:row r="197">
      <x:c r="A197" s="352"/>
      <x:c r="B197" s="352"/>
      <x:c r="C197" s="352"/>
      <x:c r="D197" s="352"/>
      <x:c r="E197" s="352"/>
      <x:c r="F197" s="352"/>
      <x:c r="G197" s="352"/>
      <x:c r="H197" s="352"/>
    </x:row>
    <x:row r="198">
      <x:c r="A198" s="352"/>
      <x:c r="B198" s="352"/>
      <x:c r="C198" s="352"/>
      <x:c r="D198" s="352"/>
      <x:c r="E198" s="352"/>
      <x:c r="F198" s="352"/>
      <x:c r="G198" s="352"/>
      <x:c r="H198" s="352"/>
    </x:row>
    <x:row r="199">
      <x:c r="A199" s="352"/>
      <x:c r="B199" s="352"/>
      <x:c r="C199" s="352"/>
      <x:c r="D199" s="352"/>
      <x:c r="E199" s="352"/>
      <x:c r="F199" s="352"/>
      <x:c r="G199" s="352"/>
      <x:c r="H199" s="352"/>
    </x:row>
    <x:row r="200">
      <x:c r="A200" s="352"/>
      <x:c r="B200" s="352"/>
      <x:c r="C200" s="352"/>
      <x:c r="D200" s="352"/>
      <x:c r="E200" s="352"/>
      <x:c r="F200" s="352"/>
      <x:c r="G200" s="352"/>
      <x:c r="H200" s="352"/>
    </x:row>
    <x:row r="201">
      <x:c r="A201" s="352"/>
      <x:c r="B201" s="352"/>
      <x:c r="C201" s="352"/>
      <x:c r="D201" s="352"/>
      <x:c r="E201" s="352"/>
      <x:c r="F201" s="352"/>
      <x:c r="G201" s="352"/>
      <x:c r="H201" s="352"/>
    </x:row>
    <x:row r="202">
      <x:c r="A202" s="352"/>
      <x:c r="B202" s="352"/>
      <x:c r="C202" s="352"/>
      <x:c r="D202" s="352"/>
      <x:c r="E202" s="352"/>
      <x:c r="F202" s="352"/>
      <x:c r="G202" s="352"/>
      <x:c r="H202" s="352"/>
    </x:row>
    <x:row r="203">
      <x:c r="A203" s="352"/>
      <x:c r="B203" s="352"/>
      <x:c r="C203" s="352"/>
      <x:c r="D203" s="352"/>
      <x:c r="E203" s="352"/>
      <x:c r="F203" s="352"/>
      <x:c r="G203" s="352"/>
      <x:c r="H203" s="352"/>
    </x:row>
    <x:row r="204">
      <x:c r="A204" s="352"/>
      <x:c r="B204" s="352"/>
      <x:c r="C204" s="352"/>
      <x:c r="D204" s="352"/>
      <x:c r="E204" s="352"/>
      <x:c r="F204" s="352"/>
      <x:c r="G204" s="352"/>
      <x:c r="H204" s="352"/>
    </x:row>
    <x:row r="205">
      <x:c r="A205" s="352"/>
      <x:c r="B205" s="352"/>
      <x:c r="C205" s="352"/>
      <x:c r="D205" s="352"/>
      <x:c r="E205" s="352"/>
      <x:c r="F205" s="352"/>
      <x:c r="G205" s="352"/>
      <x:c r="H205" s="352"/>
    </x:row>
    <x:row r="206">
      <x:c r="A206" s="352"/>
      <x:c r="B206" s="352"/>
      <x:c r="C206" s="352"/>
      <x:c r="D206" s="352"/>
      <x:c r="E206" s="352"/>
      <x:c r="F206" s="352"/>
      <x:c r="G206" s="352"/>
      <x:c r="H206" s="352"/>
    </x:row>
    <x:row r="207">
      <x:c r="A207" s="352"/>
      <x:c r="B207" s="352"/>
      <x:c r="C207" s="352"/>
      <x:c r="D207" s="352"/>
      <x:c r="E207" s="352"/>
      <x:c r="F207" s="352"/>
      <x:c r="G207" s="352"/>
      <x:c r="H207" s="352"/>
    </x:row>
    <x:row r="208">
      <x:c r="A208" s="352"/>
      <x:c r="B208" s="352"/>
      <x:c r="C208" s="352"/>
      <x:c r="D208" s="352"/>
      <x:c r="E208" s="352"/>
      <x:c r="F208" s="352"/>
      <x:c r="G208" s="352"/>
      <x:c r="H208" s="352"/>
    </x:row>
    <x:row r="209">
      <x:c r="A209" s="352"/>
      <x:c r="B209" s="352"/>
      <x:c r="C209" s="352"/>
      <x:c r="D209" s="352"/>
      <x:c r="E209" s="352"/>
      <x:c r="F209" s="352"/>
      <x:c r="G209" s="352"/>
      <x:c r="H209" s="352"/>
    </x:row>
    <x:row r="210">
      <x:c r="A210" s="352"/>
      <x:c r="B210" s="352"/>
      <x:c r="C210" s="352"/>
      <x:c r="D210" s="352"/>
      <x:c r="E210" s="352"/>
      <x:c r="F210" s="352"/>
      <x:c r="G210" s="352"/>
      <x:c r="H210" s="352"/>
    </x:row>
    <x:row r="211">
      <x:c r="A211" s="352"/>
      <x:c r="B211" s="352"/>
      <x:c r="C211" s="352"/>
      <x:c r="D211" s="352"/>
      <x:c r="E211" s="352"/>
      <x:c r="F211" s="352"/>
      <x:c r="G211" s="352"/>
      <x:c r="H211" s="352"/>
    </x:row>
    <x:row r="212">
      <x:c r="A212" s="352"/>
      <x:c r="B212" s="352"/>
      <x:c r="C212" s="352"/>
      <x:c r="D212" s="352"/>
      <x:c r="E212" s="352"/>
      <x:c r="F212" s="352"/>
      <x:c r="G212" s="352"/>
      <x:c r="H212" s="352"/>
    </x:row>
    <x:row r="213">
      <x:c r="A213" s="352"/>
      <x:c r="B213" s="352"/>
      <x:c r="C213" s="352"/>
      <x:c r="D213" s="352"/>
      <x:c r="E213" s="352"/>
      <x:c r="F213" s="352"/>
      <x:c r="G213" s="352"/>
      <x:c r="H213" s="352"/>
    </x:row>
    <x:row r="214">
      <x:c r="A214" s="352"/>
      <x:c r="B214" s="352"/>
      <x:c r="C214" s="352"/>
      <x:c r="D214" s="352"/>
      <x:c r="E214" s="352"/>
      <x:c r="F214" s="352"/>
      <x:c r="G214" s="352"/>
      <x:c r="H214" s="352"/>
    </x:row>
    <x:row r="215">
      <x:c r="A215" s="352"/>
      <x:c r="B215" s="352"/>
      <x:c r="C215" s="352"/>
      <x:c r="D215" s="352"/>
      <x:c r="E215" s="352"/>
      <x:c r="F215" s="352"/>
      <x:c r="G215" s="352"/>
      <x:c r="H215" s="352"/>
    </x:row>
    <x:row r="216">
      <x:c r="A216" s="352"/>
      <x:c r="B216" s="352"/>
      <x:c r="C216" s="352"/>
      <x:c r="D216" s="352"/>
      <x:c r="E216" s="352"/>
      <x:c r="F216" s="352"/>
      <x:c r="G216" s="352"/>
      <x:c r="H216" s="352"/>
    </x:row>
    <x:row r="217">
      <x:c r="A217" s="352"/>
      <x:c r="B217" s="352"/>
      <x:c r="C217" s="352"/>
      <x:c r="D217" s="352"/>
      <x:c r="E217" s="352"/>
      <x:c r="F217" s="352"/>
      <x:c r="G217" s="352"/>
      <x:c r="H217" s="352"/>
    </x:row>
    <x:row r="218">
      <x:c r="A218" s="352"/>
      <x:c r="B218" s="352"/>
      <x:c r="C218" s="352"/>
      <x:c r="D218" s="352"/>
      <x:c r="E218" s="352"/>
      <x:c r="F218" s="352"/>
      <x:c r="G218" s="352"/>
      <x:c r="H218" s="352"/>
    </x:row>
    <x:row r="219">
      <x:c r="A219" s="352"/>
      <x:c r="B219" s="352"/>
      <x:c r="C219" s="352"/>
      <x:c r="D219" s="352"/>
      <x:c r="E219" s="352"/>
      <x:c r="F219" s="352"/>
      <x:c r="G219" s="352"/>
      <x:c r="H219" s="352"/>
    </x:row>
    <x:row r="220">
      <x:c r="A220" s="352"/>
      <x:c r="B220" s="352"/>
      <x:c r="C220" s="352"/>
      <x:c r="D220" s="352"/>
      <x:c r="E220" s="352"/>
      <x:c r="F220" s="352"/>
      <x:c r="G220" s="352"/>
      <x:c r="H220" s="352"/>
    </x:row>
    <x:row r="221">
      <x:c r="A221" s="352"/>
      <x:c r="B221" s="352"/>
      <x:c r="C221" s="352"/>
      <x:c r="D221" s="352"/>
      <x:c r="E221" s="352"/>
      <x:c r="F221" s="352"/>
      <x:c r="G221" s="352"/>
      <x:c r="H221" s="352"/>
    </x:row>
    <x:row r="222">
      <x:c r="A222" s="352"/>
      <x:c r="B222" s="352"/>
      <x:c r="C222" s="352"/>
      <x:c r="D222" s="352"/>
      <x:c r="E222" s="352"/>
      <x:c r="F222" s="352"/>
      <x:c r="G222" s="352"/>
      <x:c r="H222" s="352"/>
    </x:row>
    <x:row r="223">
      <x:c r="A223" s="352"/>
      <x:c r="B223" s="352"/>
      <x:c r="C223" s="352"/>
      <x:c r="D223" s="352"/>
      <x:c r="E223" s="352"/>
      <x:c r="F223" s="352"/>
      <x:c r="G223" s="352"/>
      <x:c r="H223" s="352"/>
    </x:row>
    <x:row r="224">
      <x:c r="A224" s="352"/>
      <x:c r="B224" s="352"/>
      <x:c r="C224" s="352"/>
      <x:c r="D224" s="352"/>
      <x:c r="E224" s="352"/>
      <x:c r="F224" s="352"/>
      <x:c r="G224" s="352"/>
      <x:c r="H224" s="352"/>
    </x:row>
    <x:row r="225">
      <x:c r="A225" s="352"/>
      <x:c r="B225" s="352"/>
      <x:c r="C225" s="352"/>
      <x:c r="D225" s="352"/>
      <x:c r="E225" s="352"/>
      <x:c r="F225" s="352"/>
      <x:c r="G225" s="352"/>
      <x:c r="H225" s="352"/>
    </x:row>
    <x:row r="226">
      <x:c r="A226" s="352"/>
      <x:c r="B226" s="352"/>
      <x:c r="C226" s="352"/>
      <x:c r="D226" s="352"/>
      <x:c r="E226" s="352"/>
      <x:c r="F226" s="352"/>
      <x:c r="G226" s="352"/>
      <x:c r="H226" s="352"/>
    </x:row>
    <x:row r="227">
      <x:c r="A227" s="352"/>
      <x:c r="B227" s="352"/>
      <x:c r="C227" s="352"/>
      <x:c r="D227" s="352"/>
      <x:c r="E227" s="352"/>
      <x:c r="F227" s="352"/>
      <x:c r="G227" s="352"/>
      <x:c r="H227" s="352"/>
    </x:row>
    <x:row r="228">
      <x:c r="A228" s="352"/>
      <x:c r="B228" s="352"/>
      <x:c r="C228" s="352"/>
      <x:c r="D228" s="352"/>
      <x:c r="E228" s="352"/>
      <x:c r="F228" s="352"/>
      <x:c r="G228" s="352"/>
      <x:c r="H228" s="352"/>
    </x:row>
    <x:row r="229">
      <x:c r="A229" s="352"/>
      <x:c r="B229" s="352"/>
      <x:c r="C229" s="352"/>
      <x:c r="D229" s="352"/>
      <x:c r="E229" s="352"/>
      <x:c r="F229" s="352"/>
      <x:c r="G229" s="352"/>
      <x:c r="H229" s="352"/>
    </x:row>
    <x:row r="230">
      <x:c r="A230" s="352"/>
      <x:c r="B230" s="352"/>
      <x:c r="C230" s="352"/>
      <x:c r="D230" s="352"/>
      <x:c r="E230" s="352"/>
      <x:c r="F230" s="352"/>
      <x:c r="G230" s="352"/>
      <x:c r="H230" s="352"/>
    </x:row>
    <x:row r="231">
      <x:c r="A231" s="352"/>
      <x:c r="B231" s="352"/>
      <x:c r="C231" s="352"/>
      <x:c r="D231" s="352"/>
      <x:c r="E231" s="352"/>
      <x:c r="F231" s="352"/>
      <x:c r="G231" s="352"/>
      <x:c r="H231" s="352"/>
    </x:row>
    <x:row r="232">
      <x:c r="A232" s="352"/>
      <x:c r="B232" s="352"/>
      <x:c r="C232" s="352"/>
      <x:c r="D232" s="352"/>
      <x:c r="E232" s="352"/>
      <x:c r="F232" s="352"/>
      <x:c r="G232" s="352"/>
      <x:c r="H232" s="352"/>
    </x:row>
    <x:row r="233">
      <x:c r="A233" s="352"/>
      <x:c r="B233" s="352"/>
      <x:c r="C233" s="352"/>
      <x:c r="D233" s="352"/>
      <x:c r="E233" s="352"/>
      <x:c r="F233" s="352"/>
      <x:c r="G233" s="352"/>
      <x:c r="H233" s="352"/>
    </x:row>
    <x:row r="234">
      <x:c r="A234" s="352"/>
      <x:c r="B234" s="352"/>
      <x:c r="C234" s="352"/>
      <x:c r="D234" s="352"/>
      <x:c r="E234" s="352"/>
      <x:c r="F234" s="352"/>
      <x:c r="G234" s="352"/>
      <x:c r="H234" s="352"/>
    </x:row>
    <x:row r="235">
      <x:c r="A235" s="352"/>
      <x:c r="B235" s="352"/>
      <x:c r="C235" s="352"/>
      <x:c r="D235" s="352"/>
      <x:c r="E235" s="352"/>
      <x:c r="F235" s="352"/>
      <x:c r="G235" s="352"/>
      <x:c r="H235" s="352"/>
    </x:row>
    <x:row r="236">
      <x:c r="A236" s="352"/>
      <x:c r="B236" s="352"/>
      <x:c r="C236" s="352"/>
      <x:c r="D236" s="352"/>
      <x:c r="E236" s="352"/>
      <x:c r="F236" s="352"/>
      <x:c r="G236" s="352"/>
      <x:c r="H236" s="352"/>
    </x:row>
    <x:row r="237">
      <x:c r="A237" s="352"/>
      <x:c r="B237" s="352"/>
      <x:c r="C237" s="352"/>
      <x:c r="D237" s="352"/>
      <x:c r="E237" s="352"/>
      <x:c r="F237" s="352"/>
      <x:c r="G237" s="352"/>
      <x:c r="H237" s="352"/>
    </x:row>
    <x:row r="238">
      <x:c r="A238" s="352"/>
      <x:c r="B238" s="352"/>
      <x:c r="C238" s="352"/>
      <x:c r="D238" s="352"/>
      <x:c r="E238" s="352"/>
      <x:c r="F238" s="352"/>
      <x:c r="G238" s="352"/>
      <x:c r="H238" s="352"/>
    </x:row>
    <x:row r="239">
      <x:c r="A239" s="352"/>
      <x:c r="B239" s="352"/>
      <x:c r="C239" s="352"/>
      <x:c r="D239" s="352"/>
      <x:c r="E239" s="352"/>
      <x:c r="F239" s="352"/>
      <x:c r="G239" s="352"/>
      <x:c r="H239" s="352"/>
    </x:row>
    <x:row r="240">
      <x:c r="A240" s="352"/>
      <x:c r="B240" s="352"/>
      <x:c r="C240" s="352"/>
      <x:c r="D240" s="352"/>
      <x:c r="E240" s="352"/>
      <x:c r="F240" s="352"/>
      <x:c r="G240" s="352"/>
      <x:c r="H240" s="352"/>
    </x:row>
    <x:row r="241">
      <x:c r="A241" s="352"/>
      <x:c r="B241" s="352"/>
      <x:c r="C241" s="352"/>
      <x:c r="D241" s="352"/>
      <x:c r="E241" s="352"/>
      <x:c r="F241" s="352"/>
      <x:c r="G241" s="352"/>
      <x:c r="H241" s="352"/>
    </x:row>
    <x:row r="242">
      <x:c r="A242" s="352"/>
      <x:c r="B242" s="352"/>
      <x:c r="C242" s="352"/>
      <x:c r="D242" s="352"/>
      <x:c r="E242" s="352"/>
      <x:c r="F242" s="352"/>
      <x:c r="G242" s="352"/>
      <x:c r="H242" s="352"/>
    </x:row>
    <x:row r="243">
      <x:c r="A243" s="352"/>
      <x:c r="B243" s="352"/>
      <x:c r="C243" s="352"/>
      <x:c r="D243" s="352"/>
      <x:c r="E243" s="352"/>
      <x:c r="F243" s="352"/>
      <x:c r="G243" s="352"/>
      <x:c r="H243" s="352"/>
    </x:row>
    <x:row r="244">
      <x:c r="A244" s="352"/>
      <x:c r="B244" s="352"/>
      <x:c r="C244" s="352"/>
      <x:c r="D244" s="352"/>
      <x:c r="E244" s="352"/>
      <x:c r="F244" s="352"/>
      <x:c r="G244" s="352"/>
      <x:c r="H244" s="352"/>
    </x:row>
    <x:row r="245">
      <x:c r="A245" s="352"/>
      <x:c r="B245" s="352"/>
      <x:c r="C245" s="352"/>
      <x:c r="D245" s="352"/>
      <x:c r="E245" s="352"/>
      <x:c r="F245" s="352"/>
      <x:c r="G245" s="352"/>
      <x:c r="H245" s="352"/>
    </x:row>
    <x:row r="246">
      <x:c r="A246" s="352"/>
      <x:c r="B246" s="352"/>
      <x:c r="C246" s="352"/>
      <x:c r="D246" s="352"/>
      <x:c r="E246" s="352"/>
      <x:c r="F246" s="352"/>
      <x:c r="G246" s="352"/>
      <x:c r="H246" s="352"/>
    </x:row>
    <x:row r="247">
      <x:c r="A247" s="352"/>
      <x:c r="B247" s="352"/>
      <x:c r="C247" s="352"/>
      <x:c r="D247" s="352"/>
      <x:c r="E247" s="352"/>
      <x:c r="F247" s="352"/>
      <x:c r="G247" s="352"/>
      <x:c r="H247" s="352"/>
    </x:row>
    <x:row r="248">
      <x:c r="A248" s="352"/>
      <x:c r="B248" s="352"/>
      <x:c r="C248" s="352"/>
      <x:c r="D248" s="352"/>
      <x:c r="E248" s="352"/>
      <x:c r="F248" s="352"/>
      <x:c r="G248" s="352"/>
      <x:c r="H248" s="352"/>
    </x:row>
    <x:row r="249">
      <x:c r="A249" s="352"/>
      <x:c r="B249" s="352"/>
      <x:c r="C249" s="352"/>
      <x:c r="D249" s="352"/>
      <x:c r="E249" s="352"/>
      <x:c r="F249" s="352"/>
      <x:c r="G249" s="352"/>
      <x:c r="H249" s="352"/>
    </x:row>
    <x:row r="250">
      <x:c r="A250" s="352"/>
      <x:c r="B250" s="352"/>
      <x:c r="C250" s="352"/>
      <x:c r="D250" s="352"/>
      <x:c r="E250" s="352"/>
      <x:c r="F250" s="352"/>
      <x:c r="G250" s="352"/>
      <x:c r="H250" s="352"/>
    </x:row>
  </x:sheetData>
  <x:dataValidations count="1">
    <x:dataValidation type="list" sqref="F2:F250">
      <x:formula1>"Yes,No"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70" hidden="0" customWidth="1"/>
    <x:col min="4" max="4" width="70" hidden="0" customWidth="1"/>
  </x:cols>
  <x:sheetData>
    <x:row r="1" ht="28" customHeight="1">
      <x:c r="A1" s="369" t="str">
        <x:v>Leaflet point GeoJSON export — ResurgamHub-mentioned countries only</x:v>
      </x:c>
      <x:c r="B1" s="369"/>
      <x:c r="C1" s="369"/>
      <x:c r="D1" s="369"/>
    </x:row>
    <x:row r="2">
      <x:c r="A2" s="20"/>
      <x:c r="B2" s="20"/>
      <x:c r="C2" s="20"/>
      <x:c r="D2" s="20"/>
    </x:row>
    <x:row r="3">
      <x:c r="A3" s="366" t="str">
        <x:v>Export note</x:v>
      </x:c>
      <x:c r="B3" s="366" t="str">
        <x:v>Why row-wise</x:v>
      </x:c>
      <x:c r="C3" s="366" t="str">
        <x:v>How to use</x:v>
      </x:c>
      <x:c r="D3" s="366" t="str">
        <x:v>Limit</x:v>
      </x:c>
    </x:row>
    <x:row r="4">
      <x:c r="A4" s="352" t="str">
        <x:v>FeatureCollection prefix/suffix + 123 per-feature rows</x:v>
      </x:c>
      <x:c r="B4" s="352" t="str">
        <x:v>A single large FeatureCollection can exceed Excel's one-cell text limit.</x:v>
      </x:c>
      <x:c r="C4" s="352" t="str">
        <x:v>Copy C5 then D7:D129 then C131 to assemble a FeatureCollection.</x:v>
      </x:c>
      <x:c r="D4" s="352" t="str">
        <x:v>Rows update from Map_Data formulas.</x:v>
      </x:c>
    </x:row>
    <x:row r="5">
      <x:c r="A5" s="352" t="str">
        <x:v>FeatureCollection prefix</x:v>
      </x:c>
      <x:c r="B5" s="352"/>
      <x:c r="C5" s="352" t="str">
        <x:v>{"type":"FeatureCollection","features":[</x:v>
      </x:c>
      <x:c r="D5" s="352" t="str">
        <x:v>Copy before feature rows</x:v>
      </x:c>
    </x:row>
    <x:row r="6">
      <x:c r="A6" s="370" t="str">
        <x:v>Country</x:v>
      </x:c>
      <x:c r="B6" s="370" t="str">
        <x:v>ISO3</x:v>
      </x:c>
      <x:c r="C6" s="370" t="str">
        <x:v>Feature_JSON</x:v>
      </x:c>
      <x:c r="D6" s="370" t="str">
        <x:v>Feature_JSON_With_Comma</x:v>
      </x:c>
    </x:row>
    <x:row r="7">
      <x:c r="A7" s="352" t="str">
        <x:v>Afghanistan</x:v>
      </x:c>
      <x:c r="B7" s="352" t="str">
        <x:v>AFG</x:v>
      </x:c>
      <x:c r="C7" s="352" t="str">
        <x:v>{"type":"Feature","geometry":{"type":"Point","coordinates":[65,33]},"properties":{"country":"Afghanistan","iso3":"AFG","region":"Asia","russia_score":"1","china_score":"1.75","american_score":"7","eu_score":"1.25","dominant_actor":"United States","dominant_score":"7","dominant_colour":"#FB923C"}}</x:v>
      </x:c>
      <x:c r="D7" s="352" t="str">
        <x:v>{"type":"Feature","geometry":{"type":"Point","coordinates":[65,33]},"properties":{"country":"Afghanistan","iso3":"AFG","region":"Asia","russia_score":"1","china_score":"1.75","american_score":"7","eu_score":"1.25","dominant_actor":"United States","dominant_score":"7","dominant_colour":"#FB923C"}},</x:v>
      </x:c>
    </x:row>
    <x:row r="8">
      <x:c r="A8" s="352" t="str">
        <x:v>Algeria</x:v>
      </x:c>
      <x:c r="B8" s="352" t="str">
        <x:v>DZA</x:v>
      </x:c>
      <x:c r="C8" s="352" t="str">
        <x:v>{"type":"Feature","geometry":{"type":"Point","coordinates":[3,28]},"properties":{"country":"Algeria","iso3":"DZA","region":"Africa","russia_score":"2","china_score":"2.5","american_score":"2.75","eu_score":"1.5","dominant_actor":"United States","dominant_score":"2.75","dominant_colour":"#FEF3C7"}}</x:v>
      </x:c>
      <x:c r="D8" s="352" t="str">
        <x:v>{"type":"Feature","geometry":{"type":"Point","coordinates":[3,28]},"properties":{"country":"Algeria","iso3":"DZA","region":"Africa","russia_score":"2","china_score":"2.5","american_score":"2.75","eu_score":"1.5","dominant_actor":"United States","dominant_score":"2.75","dominant_colour":"#FEF3C7"}},</x:v>
      </x:c>
    </x:row>
    <x:row r="9">
      <x:c r="A9" s="352" t="str">
        <x:v>Argentina</x:v>
      </x:c>
      <x:c r="B9" s="352" t="str">
        <x:v>ARG</x:v>
      </x:c>
      <x:c r="C9" s="352" t="str">
        <x:v>{"type":"Feature","geometry":{"type":"Point","coordinates":[-64,-34]},"properties":{"country":"Argentina","iso3":"ARG","region":"Americas","russia_score":"1.25","china_score":"1.5","american_score":"2.75","eu_score":"1.5","dominant_actor":"United States","dominant_score":"2.75","dominant_colour":"#FEF3C7"}}</x:v>
      </x:c>
      <x:c r="D9" s="352" t="str">
        <x:v>{"type":"Feature","geometry":{"type":"Point","coordinates":[-64,-34]},"properties":{"country":"Argentina","iso3":"ARG","region":"Americas","russia_score":"1.25","china_score":"1.5","american_score":"2.75","eu_score":"1.5","dominant_actor":"United States","dominant_score":"2.75","dominant_colour":"#FEF3C7"}},</x:v>
      </x:c>
    </x:row>
    <x:row r="10">
      <x:c r="A10" s="352" t="str">
        <x:v>Armenia</x:v>
      </x:c>
      <x:c r="B10" s="352" t="str">
        <x:v>ARM</x:v>
      </x:c>
      <x:c r="C10" s="352" t="str">
        <x:v>{"type":"Feature","geometry":{"type":"Point","coordinates":[45,40]},"properties":{"country":"Armenia","iso3":"ARM","region":"Asia","russia_score":"1.75","china_score":"1.25","american_score":"3","eu_score":"4","dominant_actor":"European Union","dominant_score":"4","dominant_colour":"#FDE68A"}}</x:v>
      </x:c>
      <x:c r="D10" s="352" t="str">
        <x:v>{"type":"Feature","geometry":{"type":"Point","coordinates":[45,40]},"properties":{"country":"Armenia","iso3":"ARM","region":"Asia","russia_score":"1.75","china_score":"1.25","american_score":"3","eu_score":"4","dominant_actor":"European Union","dominant_score":"4","dominant_colour":"#FDE68A"}},</x:v>
      </x:c>
    </x:row>
    <x:row r="11">
      <x:c r="A11" s="352" t="str">
        <x:v>Australia</x:v>
      </x:c>
      <x:c r="B11" s="352" t="str">
        <x:v>AUS</x:v>
      </x:c>
      <x:c r="C11" s="352" t="str">
        <x:v>{"type":"Feature","geometry":{"type":"Point","coordinates":[133,-27]},"properties":{"country":"Australia","iso3":"AUS","region":"Oceania","russia_score":"1.5","china_score":"2.75","american_score":"4.25","eu_score":"1.75","dominant_actor":"United States","dominant_score":"4.25","dominant_colour":"#FDE68A"}}</x:v>
      </x:c>
      <x:c r="D11" s="352" t="str">
        <x:v>{"type":"Feature","geometry":{"type":"Point","coordinates":[133,-27]},"properties":{"country":"Australia","iso3":"AUS","region":"Oceania","russia_score":"1.5","china_score":"2.75","american_score":"4.25","eu_score":"1.75","dominant_actor":"United States","dominant_score":"4.25","dominant_colour":"#FDE68A"}},</x:v>
      </x:c>
    </x:row>
    <x:row r="12">
      <x:c r="A12" s="352" t="str">
        <x:v>Austria</x:v>
      </x:c>
      <x:c r="B12" s="352" t="str">
        <x:v>AUT</x:v>
      </x:c>
      <x:c r="C12" s="352" t="str">
        <x:v>{"type":"Feature","geometry":{"type":"Point","coordinates":[13.333333,47.333333]},"properties":{"country":"Austria","iso3":"AUT","region":"Europe","russia_score":"2.5","china_score":"1.5","american_score":"3.5","eu_score":"4","dominant_actor":"European Union","dominant_score":"4","dominant_colour":"#FDE68A"}}</x:v>
      </x:c>
      <x:c r="D12" s="352" t="str">
        <x:v>{"type":"Feature","geometry":{"type":"Point","coordinates":[13.333333,47.333333]},"properties":{"country":"Austria","iso3":"AUT","region":"Europe","russia_score":"2.5","china_score":"1.5","american_score":"3.5","eu_score":"4","dominant_actor":"European Union","dominant_score":"4","dominant_colour":"#FDE68A"}},</x:v>
      </x:c>
    </x:row>
    <x:row r="13">
      <x:c r="A13" s="352" t="str">
        <x:v>Azerbaijan</x:v>
      </x:c>
      <x:c r="B13" s="352" t="str">
        <x:v>AZE</x:v>
      </x:c>
      <x:c r="C13" s="352" t="str">
        <x:v>{"type":"Feature","geometry":{"type":"Point","coordinates":[47.5,40.5]},"properties":{"country":"Azerbaijan","iso3":"AZE","region":"Asia","russia_score":"1.5","china_score":"1.25","american_score":"2","eu_score":"1.25","dominant_actor":"United States","dominant_score":"2","dominant_colour":"#A7F3D0"}}</x:v>
      </x:c>
      <x:c r="D13" s="352" t="str">
        <x:v>{"type":"Feature","geometry":{"type":"Point","coordinates":[47.5,40.5]},"properties":{"country":"Azerbaijan","iso3":"AZE","region":"Asia","russia_score":"1.5","china_score":"1.25","american_score":"2","eu_score":"1.25","dominant_actor":"United States","dominant_score":"2","dominant_colour":"#A7F3D0"}},</x:v>
      </x:c>
    </x:row>
    <x:row r="14">
      <x:c r="A14" s="352" t="str">
        <x:v>Bahrain</x:v>
      </x:c>
      <x:c r="B14" s="352" t="str">
        <x:v>BHR</x:v>
      </x:c>
      <x:c r="C14" s="352" t="str">
        <x:v>{"type":"Feature","geometry":{"type":"Point","coordinates":[50.55,26]},"properties":{"country":"Bahrain","iso3":"BHR","region":"Asia","russia_score":"0.5","china_score":"1.25","american_score":"4.75","eu_score":"1.25","dominant_actor":"United States","dominant_score":"4.75","dominant_colour":"#FCD34D"}}</x:v>
      </x:c>
      <x:c r="D14" s="352" t="str">
        <x:v>{"type":"Feature","geometry":{"type":"Point","coordinates":[50.55,26]},"properties":{"country":"Bahrain","iso3":"BHR","region":"Asia","russia_score":"0.5","china_score":"1.25","american_score":"4.75","eu_score":"1.25","dominant_actor":"United States","dominant_score":"4.75","dominant_colour":"#FCD34D"}},</x:v>
      </x:c>
    </x:row>
    <x:row r="15">
      <x:c r="A15" s="352" t="str">
        <x:v>Belarus</x:v>
      </x:c>
      <x:c r="B15" s="352" t="str">
        <x:v>BLR</x:v>
      </x:c>
      <x:c r="C15" s="352" t="str">
        <x:v>{"type":"Feature","geometry":{"type":"Point","coordinates":[28,53]},"properties":{"country":"Belarus","iso3":"BLR","region":"Europe","russia_score":"7","china_score":"1.5","american_score":"3.25","eu_score":"1.5","dominant_actor":"Russia","dominant_score":"7","dominant_colour":"#FB923C"}}</x:v>
      </x:c>
      <x:c r="D15" s="352" t="str">
        <x:v>{"type":"Feature","geometry":{"type":"Point","coordinates":[28,53]},"properties":{"country":"Belarus","iso3":"BLR","region":"Europe","russia_score":"7","china_score":"1.5","american_score":"3.25","eu_score":"1.5","dominant_actor":"Russia","dominant_score":"7","dominant_colour":"#FB923C"}},</x:v>
      </x:c>
    </x:row>
    <x:row r="16">
      <x:c r="A16" s="352" t="str">
        <x:v>Benin</x:v>
      </x:c>
      <x:c r="B16" s="352" t="str">
        <x:v>BEN</x:v>
      </x:c>
      <x:c r="C16" s="352" t="str">
        <x:v>{"type":"Feature","geometry":{"type":"Point","coordinates":[2.25,9.5]},"properties":{"country":"Benin","iso3":"BEN","region":"Africa","russia_score":"1.75","china_score":"2","american_score":"2.75","eu_score":"1.5","dominant_actor":"United States","dominant_score":"2.75","dominant_colour":"#FEF3C7"}}</x:v>
      </x:c>
      <x:c r="D16" s="352" t="str">
        <x:v>{"type":"Feature","geometry":{"type":"Point","coordinates":[2.25,9.5]},"properties":{"country":"Benin","iso3":"BEN","region":"Africa","russia_score":"1.75","china_score":"2","american_score":"2.75","eu_score":"1.5","dominant_actor":"United States","dominant_score":"2.75","dominant_colour":"#FEF3C7"}},</x:v>
      </x:c>
    </x:row>
    <x:row r="17">
      <x:c r="A17" s="352" t="str">
        <x:v>Bolivia</x:v>
      </x:c>
      <x:c r="B17" s="352" t="str">
        <x:v>BOL</x:v>
      </x:c>
      <x:c r="C17" s="352" t="str">
        <x:v>{"type":"Feature","geometry":{"type":"Point","coordinates":[-65,-17]},"properties":{"country":"Bolivia","iso3":"BOL","region":"Americas","russia_score":"2.5","china_score":"1.5","american_score":"3","eu_score":"1.75","dominant_actor":"United States","dominant_score":"3","dominant_colour":"#FEF3C7"}}</x:v>
      </x:c>
      <x:c r="D17" s="352" t="str">
        <x:v>{"type":"Feature","geometry":{"type":"Point","coordinates":[-65,-17]},"properties":{"country":"Bolivia","iso3":"BOL","region":"Americas","russia_score":"2.5","china_score":"1.5","american_score":"3","eu_score":"1.75","dominant_actor":"United States","dominant_score":"3","dominant_colour":"#FEF3C7"}},</x:v>
      </x:c>
    </x:row>
    <x:row r="18">
      <x:c r="A18" s="352" t="str">
        <x:v>Brazil</x:v>
      </x:c>
      <x:c r="B18" s="352" t="str">
        <x:v>BRA</x:v>
      </x:c>
      <x:c r="C18" s="352" t="str">
        <x:v>{"type":"Feature","geometry":{"type":"Point","coordinates":[-55,-10]},"properties":{"country":"Brazil","iso3":"BRA","region":"Americas","russia_score":"1.5","china_score":"1.5","american_score":"2.75","eu_score":"1.5","dominant_actor":"United States","dominant_score":"2.75","dominant_colour":"#FEF3C7"}}</x:v>
      </x:c>
      <x:c r="D18" s="352" t="str">
        <x:v>{"type":"Feature","geometry":{"type":"Point","coordinates":[-55,-10]},"properties":{"country":"Brazil","iso3":"BRA","region":"Americas","russia_score":"1.5","china_score":"1.5","american_score":"2.75","eu_score":"1.5","dominant_actor":"United States","dominant_score":"2.75","dominant_colour":"#FEF3C7"}},</x:v>
      </x:c>
    </x:row>
    <x:row r="19">
      <x:c r="A19" s="352" t="str">
        <x:v>Bulgaria</x:v>
      </x:c>
      <x:c r="B19" s="352" t="str">
        <x:v>BGR</x:v>
      </x:c>
      <x:c r="C19" s="352" t="str">
        <x:v>{"type":"Feature","geometry":{"type":"Point","coordinates":[25,43]},"properties":{"country":"Bulgaria","iso3":"BGR","region":"Europe","russia_score":"2.75","china_score":"1.5","american_score":"3.5","eu_score":"4","dominant_actor":"European Union","dominant_score":"4","dominant_colour":"#FDE68A"}}</x:v>
      </x:c>
      <x:c r="D19" s="352" t="str">
        <x:v>{"type":"Feature","geometry":{"type":"Point","coordinates":[25,43]},"properties":{"country":"Bulgaria","iso3":"BGR","region":"Europe","russia_score":"2.75","china_score":"1.5","american_score":"3.5","eu_score":"4","dominant_actor":"European Union","dominant_score":"4","dominant_colour":"#FDE68A"}},</x:v>
      </x:c>
    </x:row>
    <x:row r="20">
      <x:c r="A20" s="352" t="str">
        <x:v>Burkina Faso</x:v>
      </x:c>
      <x:c r="B20" s="352" t="str">
        <x:v>BFA</x:v>
      </x:c>
      <x:c r="C20" s="352" t="str">
        <x:v>{"type":"Feature","geometry":{"type":"Point","coordinates":[-2,13]},"properties":{"country":"Burkina Faso","iso3":"BFA","region":"Africa","russia_score":"5.25","china_score":"2","american_score":"2.75","eu_score":"1.5","dominant_actor":"Russia","dominant_score":"5.25","dominant_colour":"#FCD34D"}}</x:v>
      </x:c>
      <x:c r="D20" s="352" t="str">
        <x:v>{"type":"Feature","geometry":{"type":"Point","coordinates":[-2,13]},"properties":{"country":"Burkina Faso","iso3":"BFA","region":"Africa","russia_score":"5.25","china_score":"2","american_score":"2.75","eu_score":"1.5","dominant_actor":"Russia","dominant_score":"5.25","dominant_colour":"#FCD34D"}},</x:v>
      </x:c>
    </x:row>
    <x:row r="21">
      <x:c r="A21" s="352" t="str">
        <x:v>Burundi</x:v>
      </x:c>
      <x:c r="B21" s="352" t="str">
        <x:v>BDI</x:v>
      </x:c>
      <x:c r="C21" s="352" t="str">
        <x:v>{"type":"Feature","geometry":{"type":"Point","coordinates":[30,-3.5]},"properties":{"country":"Burundi","iso3":"BDI","region":"Africa","russia_score":"1.75","china_score":"2","american_score":"2.75","eu_score":"1.5","dominant_actor":"United States","dominant_score":"2.75","dominant_colour":"#FEF3C7"}}</x:v>
      </x:c>
      <x:c r="D21" s="352" t="str">
        <x:v>{"type":"Feature","geometry":{"type":"Point","coordinates":[30,-3.5]},"properties":{"country":"Burundi","iso3":"BDI","region":"Africa","russia_score":"1.75","china_score":"2","american_score":"2.75","eu_score":"1.5","dominant_actor":"United States","dominant_score":"2.75","dominant_colour":"#FEF3C7"}},</x:v>
      </x:c>
    </x:row>
    <x:row r="22">
      <x:c r="A22" s="352" t="str">
        <x:v>Cambodia</x:v>
      </x:c>
      <x:c r="B22" s="352" t="str">
        <x:v>KHM</x:v>
      </x:c>
      <x:c r="C22" s="352" t="str">
        <x:v>{"type":"Feature","geometry":{"type":"Point","coordinates":[105,13]},"properties":{"country":"Cambodia","iso3":"KHM","region":"Asia","russia_score":"0.5","china_score":"3.5","american_score":"2","eu_score":"1.25","dominant_actor":"China","dominant_score":"3.5","dominant_colour":"#FDE68A"}}</x:v>
      </x:c>
      <x:c r="D22" s="352" t="str">
        <x:v>{"type":"Feature","geometry":{"type":"Point","coordinates":[105,13]},"properties":{"country":"Cambodia","iso3":"KHM","region":"Asia","russia_score":"0.5","china_score":"3.5","american_score":"2","eu_score":"1.25","dominant_actor":"China","dominant_score":"3.5","dominant_colour":"#FDE68A"}},</x:v>
      </x:c>
    </x:row>
    <x:row r="23">
      <x:c r="A23" s="352" t="str">
        <x:v>Cameroon</x:v>
      </x:c>
      <x:c r="B23" s="352" t="str">
        <x:v>CMR</x:v>
      </x:c>
      <x:c r="C23" s="352" t="str">
        <x:v>{"type":"Feature","geometry":{"type":"Point","coordinates":[12,6]},"properties":{"country":"Cameroon","iso3":"CMR","region":"Africa","russia_score":"1.75","china_score":"2","american_score":"2.75","eu_score":"1.5","dominant_actor":"United States","dominant_score":"2.75","dominant_colour":"#FEF3C7"}}</x:v>
      </x:c>
      <x:c r="D23" s="352" t="str">
        <x:v>{"type":"Feature","geometry":{"type":"Point","coordinates":[12,6]},"properties":{"country":"Cameroon","iso3":"CMR","region":"Africa","russia_score":"1.75","china_score":"2","american_score":"2.75","eu_score":"1.5","dominant_actor":"United States","dominant_score":"2.75","dominant_colour":"#FEF3C7"}},</x:v>
      </x:c>
    </x:row>
    <x:row r="24">
      <x:c r="A24" s="352" t="str">
        <x:v>Canada</x:v>
      </x:c>
      <x:c r="B24" s="352" t="str">
        <x:v>CAN</x:v>
      </x:c>
      <x:c r="C24" s="352" t="str">
        <x:v>{"type":"Feature","geometry":{"type":"Point","coordinates":[-95,60]},"properties":{"country":"Canada","iso3":"CAN","region":"Americas","russia_score":"2.5","china_score":"2.5","american_score":"4","eu_score":"1.75","dominant_actor":"United States","dominant_score":"4","dominant_colour":"#FDE68A"}}</x:v>
      </x:c>
      <x:c r="D24" s="352" t="str">
        <x:v>{"type":"Feature","geometry":{"type":"Point","coordinates":[-95,60]},"properties":{"country":"Canada","iso3":"CAN","region":"Americas","russia_score":"2.5","china_score":"2.5","american_score":"4","eu_score":"1.75","dominant_actor":"United States","dominant_score":"4","dominant_colour":"#FDE68A"}},</x:v>
      </x:c>
    </x:row>
    <x:row r="25">
      <x:c r="A25" s="352" t="str">
        <x:v>Central African Republic</x:v>
      </x:c>
      <x:c r="B25" s="352" t="str">
        <x:v>CAF</x:v>
      </x:c>
      <x:c r="C25" s="352" t="str">
        <x:v>{"type":"Feature","geometry":{"type":"Point","coordinates":[21,7]},"properties":{"country":"Central African Republic","iso3":"CAF","region":"Africa","russia_score":"6.75","china_score":"2","american_score":"2.75","eu_score":"2","dominant_actor":"Russia","dominant_score":"6.75","dominant_colour":"#FB923C"}}</x:v>
      </x:c>
      <x:c r="D25" s="352" t="str">
        <x:v>{"type":"Feature","geometry":{"type":"Point","coordinates":[21,7]},"properties":{"country":"Central African Republic","iso3":"CAF","region":"Africa","russia_score":"6.75","china_score":"2","american_score":"2.75","eu_score":"2","dominant_actor":"Russia","dominant_score":"6.75","dominant_colour":"#FB923C"}},</x:v>
      </x:c>
    </x:row>
    <x:row r="26">
      <x:c r="A26" s="352" t="str">
        <x:v>Chad</x:v>
      </x:c>
      <x:c r="B26" s="352" t="str">
        <x:v>TCD</x:v>
      </x:c>
      <x:c r="C26" s="352" t="str">
        <x:v>{"type":"Feature","geometry":{"type":"Point","coordinates":[19,15]},"properties":{"country":"Chad","iso3":"TCD","region":"Africa","russia_score":"2.75","china_score":"2","american_score":"2.75","eu_score":"1.5","dominant_actor":"Russia","dominant_score":"2.75","dominant_colour":"#FEF3C7"}}</x:v>
      </x:c>
      <x:c r="D26" s="352" t="str">
        <x:v>{"type":"Feature","geometry":{"type":"Point","coordinates":[19,15]},"properties":{"country":"Chad","iso3":"TCD","region":"Africa","russia_score":"2.75","china_score":"2","american_score":"2.75","eu_score":"1.5","dominant_actor":"Russia","dominant_score":"2.75","dominant_colour":"#FEF3C7"}},</x:v>
      </x:c>
    </x:row>
    <x:row r="27">
      <x:c r="A27" s="352" t="str">
        <x:v>Chile</x:v>
      </x:c>
      <x:c r="B27" s="352" t="str">
        <x:v>CHL</x:v>
      </x:c>
      <x:c r="C27" s="352" t="str">
        <x:v>{"type":"Feature","geometry":{"type":"Point","coordinates":[-71,-30]},"properties":{"country":"Chile","iso3":"CHL","region":"Americas","russia_score":"1.25","china_score":"1.5","american_score":"2.75","eu_score":"1.5","dominant_actor":"United States","dominant_score":"2.75","dominant_colour":"#FEF3C7"}}</x:v>
      </x:c>
      <x:c r="D27" s="352" t="str">
        <x:v>{"type":"Feature","geometry":{"type":"Point","coordinates":[-71,-30]},"properties":{"country":"Chile","iso3":"CHL","region":"Americas","russia_score":"1.25","china_score":"1.5","american_score":"2.75","eu_score":"1.5","dominant_actor":"United States","dominant_score":"2.75","dominant_colour":"#FEF3C7"}},</x:v>
      </x:c>
    </x:row>
    <x:row r="28">
      <x:c r="A28" s="352" t="str">
        <x:v>China</x:v>
      </x:c>
      <x:c r="B28" s="352" t="str">
        <x:v>CHN</x:v>
      </x:c>
      <x:c r="C28" s="352" t="str">
        <x:v>{"type":"Feature","geometry":{"type":"Point","coordinates":[105,35]},"properties":{"country":"China","iso3":"CHN","region":"Asia","russia_score":"1.5","china_score":"3","american_score":"3","eu_score":"0.75","dominant_actor":"China","dominant_score":"3","dominant_colour":"#FEF3C7"}}</x:v>
      </x:c>
      <x:c r="D28" s="352" t="str">
        <x:v>{"type":"Feature","geometry":{"type":"Point","coordinates":[105,35]},"properties":{"country":"China","iso3":"CHN","region":"Asia","russia_score":"1.5","china_score":"3","american_score":"3","eu_score":"0.75","dominant_actor":"China","dominant_score":"3","dominant_colour":"#FEF3C7"}},</x:v>
      </x:c>
    </x:row>
    <x:row r="29">
      <x:c r="A29" s="352" t="str">
        <x:v>Colombia</x:v>
      </x:c>
      <x:c r="B29" s="352" t="str">
        <x:v>COL</x:v>
      </x:c>
      <x:c r="C29" s="352" t="str">
        <x:v>{"type":"Feature","geometry":{"type":"Point","coordinates":[-72,4]},"properties":{"country":"Colombia","iso3":"COL","region":"Americas","russia_score":"1.25","china_score":"1.5","american_score":"2.75","eu_score":"1.75","dominant_actor":"United States","dominant_score":"2.75","dominant_colour":"#FEF3C7"}}</x:v>
      </x:c>
      <x:c r="D29" s="352" t="str">
        <x:v>{"type":"Feature","geometry":{"type":"Point","coordinates":[-72,4]},"properties":{"country":"Colombia","iso3":"COL","region":"Americas","russia_score":"1.25","china_score":"1.5","american_score":"2.75","eu_score":"1.75","dominant_actor":"United States","dominant_score":"2.75","dominant_colour":"#FEF3C7"}},</x:v>
      </x:c>
    </x:row>
    <x:row r="30">
      <x:c r="A30" s="352" t="str">
        <x:v>Cook Islands</x:v>
      </x:c>
      <x:c r="B30" s="352" t="str">
        <x:v>COK</x:v>
      </x:c>
      <x:c r="C30" s="352" t="str">
        <x:v>{"type":"Feature","geometry":{"type":"Point","coordinates":[-159.766667,-21.233333]},"properties":{"country":"Cook Islands","iso3":"COK","region":"Oceania","russia_score":"0.5","china_score":"3.25","american_score":"1.75","eu_score":"1","dominant_actor":"China","dominant_score":"3.25","dominant_colour":"#FEF3C7"}}</x:v>
      </x:c>
      <x:c r="D30" s="352" t="str">
        <x:v>{"type":"Feature","geometry":{"type":"Point","coordinates":[-159.766667,-21.233333]},"properties":{"country":"Cook Islands","iso3":"COK","region":"Oceania","russia_score":"0.5","china_score":"3.25","american_score":"1.75","eu_score":"1","dominant_actor":"China","dominant_score":"3.25","dominant_colour":"#FEF3C7"}},</x:v>
      </x:c>
    </x:row>
    <x:row r="31">
      <x:c r="A31" s="352" t="str">
        <x:v>Cuba</x:v>
      </x:c>
      <x:c r="B31" s="352" t="str">
        <x:v>CUB</x:v>
      </x:c>
      <x:c r="C31" s="352" t="str">
        <x:v>{"type":"Feature","geometry":{"type":"Point","coordinates":[-80,21.5]},"properties":{"country":"Cuba","iso3":"CUB","region":"Americas","russia_score":"3.75","china_score":"1.75","american_score":"4.75","eu_score":"1.5","dominant_actor":"United States","dominant_score":"4.75","dominant_colour":"#FCD34D"}}</x:v>
      </x:c>
      <x:c r="D31" s="352" t="str">
        <x:v>{"type":"Feature","geometry":{"type":"Point","coordinates":[-80,21.5]},"properties":{"country":"Cuba","iso3":"CUB","region":"Americas","russia_score":"3.75","china_score":"1.75","american_score":"4.75","eu_score":"1.5","dominant_actor":"United States","dominant_score":"4.75","dominant_colour":"#FCD34D"}},</x:v>
      </x:c>
    </x:row>
    <x:row r="32">
      <x:c r="A32" s="352" t="str">
        <x:v>Cyprus</x:v>
      </x:c>
      <x:c r="B32" s="352" t="str">
        <x:v>CYP</x:v>
      </x:c>
      <x:c r="C32" s="352" t="str">
        <x:v>{"type":"Feature","geometry":{"type":"Point","coordinates":[33,35]},"properties":{"country":"Cyprus","iso3":"CYP","region":"Europe","russia_score":"1.25","china_score":"1.5","american_score":"3.5","eu_score":"4","dominant_actor":"European Union","dominant_score":"4","dominant_colour":"#FDE68A"}}</x:v>
      </x:c>
      <x:c r="D32" s="352" t="str">
        <x:v>{"type":"Feature","geometry":{"type":"Point","coordinates":[33,35]},"properties":{"country":"Cyprus","iso3":"CYP","region":"Europe","russia_score":"1.25","china_score":"1.5","american_score":"3.5","eu_score":"4","dominant_actor":"European Union","dominant_score":"4","dominant_colour":"#FDE68A"}},</x:v>
      </x:c>
    </x:row>
    <x:row r="33">
      <x:c r="A33" s="352" t="str">
        <x:v>Czechia</x:v>
      </x:c>
      <x:c r="B33" s="352" t="str">
        <x:v>CZE</x:v>
      </x:c>
      <x:c r="C33" s="352" t="str">
        <x:v>{"type":"Feature","geometry":{"type":"Point","coordinates":[15.5,49.75]},"properties":{"country":"Czechia","iso3":"CZE","region":"Europe","russia_score":"2.75","china_score":"1.5","american_score":"3.5","eu_score":"4","dominant_actor":"European Union","dominant_score":"4","dominant_colour":"#FDE68A"}}</x:v>
      </x:c>
      <x:c r="D33" s="352" t="str">
        <x:v>{"type":"Feature","geometry":{"type":"Point","coordinates":[15.5,49.75]},"properties":{"country":"Czechia","iso3":"CZE","region":"Europe","russia_score":"2.75","china_score":"1.5","american_score":"3.5","eu_score":"4","dominant_actor":"European Union","dominant_score":"4","dominant_colour":"#FDE68A"}},</x:v>
      </x:c>
    </x:row>
    <x:row r="34">
      <x:c r="A34" s="352" t="str">
        <x:v>Democratic Republic of the Congo</x:v>
      </x:c>
      <x:c r="B34" s="352" t="str">
        <x:v>COD</x:v>
      </x:c>
      <x:c r="C34" s="352" t="str">
        <x:v>{"type":"Feature","geometry":{"type":"Point","coordinates":[25,]},"properties":{"country":"Democratic Republic of the Congo","iso3":"COD","region":"Africa","russia_score":"2.75","china_score":"2.75","american_score":"2.75","eu_score":"1.5","dominant_actor":"Russia","dominant_score":"2.75","dominant_colour":"#FEF3C7"}}</x:v>
      </x:c>
      <x:c r="D34" s="352" t="str">
        <x:v>{"type":"Feature","geometry":{"type":"Point","coordinates":[25,]},"properties":{"country":"Democratic Republic of the Congo","iso3":"COD","region":"Africa","russia_score":"2.75","china_score":"2.75","american_score":"2.75","eu_score":"1.5","dominant_actor":"Russia","dominant_score":"2.75","dominant_colour":"#FEF3C7"}},</x:v>
      </x:c>
    </x:row>
    <x:row r="35">
      <x:c r="A35" s="352" t="str">
        <x:v>Egypt</x:v>
      </x:c>
      <x:c r="B35" s="352" t="str">
        <x:v>EGY</x:v>
      </x:c>
      <x:c r="C35" s="352" t="str">
        <x:v>{"type":"Feature","geometry":{"type":"Point","coordinates":[30,27]},"properties":{"country":"Egypt","iso3":"EGY","region":"Africa","russia_score":"2","china_score":"2.5","american_score":"2.75","eu_score":"1.5","dominant_actor":"United States","dominant_score":"2.75","dominant_colour":"#FEF3C7"}}</x:v>
      </x:c>
      <x:c r="D35" s="352" t="str">
        <x:v>{"type":"Feature","geometry":{"type":"Point","coordinates":[30,27]},"properties":{"country":"Egypt","iso3":"EGY","region":"Africa","russia_score":"2","china_score":"2.5","american_score":"2.75","eu_score":"1.5","dominant_actor":"United States","dominant_score":"2.75","dominant_colour":"#FEF3C7"}},</x:v>
      </x:c>
    </x:row>
    <x:row r="36">
      <x:c r="A36" s="352" t="str">
        <x:v>El Salvador</x:v>
      </x:c>
      <x:c r="B36" s="352" t="str">
        <x:v>SLV</x:v>
      </x:c>
      <x:c r="C36" s="352" t="str">
        <x:v>{"type":"Feature","geometry":{"type":"Point","coordinates":[-88.916667,13.833333]},"properties":{"country":"El Salvador","iso3":"SLV","region":"Americas","russia_score":"1","china_score":"1.25","american_score":"2.75","eu_score":"1.75","dominant_actor":"United States","dominant_score":"2.75","dominant_colour":"#FEF3C7"}}</x:v>
      </x:c>
      <x:c r="D36" s="352" t="str">
        <x:v>{"type":"Feature","geometry":{"type":"Point","coordinates":[-88.916667,13.833333]},"properties":{"country":"El Salvador","iso3":"SLV","region":"Americas","russia_score":"1","china_score":"1.25","american_score":"2.75","eu_score":"1.75","dominant_actor":"United States","dominant_score":"2.75","dominant_colour":"#FEF3C7"}},</x:v>
      </x:c>
    </x:row>
    <x:row r="37">
      <x:c r="A37" s="352" t="str">
        <x:v>Eritrea</x:v>
      </x:c>
      <x:c r="B37" s="352" t="str">
        <x:v>ERI</x:v>
      </x:c>
      <x:c r="C37" s="352" t="str">
        <x:v>{"type":"Feature","geometry":{"type":"Point","coordinates":[39,15]},"properties":{"country":"Eritrea","iso3":"ERI","region":"Africa","russia_score":"1.75","china_score":"2","american_score":"2.75","eu_score":"1.5","dominant_actor":"United States","dominant_score":"2.75","dominant_colour":"#FEF3C7"}}</x:v>
      </x:c>
      <x:c r="D37" s="352" t="str">
        <x:v>{"type":"Feature","geometry":{"type":"Point","coordinates":[39,15]},"properties":{"country":"Eritrea","iso3":"ERI","region":"Africa","russia_score":"1.75","china_score":"2","american_score":"2.75","eu_score":"1.5","dominant_actor":"United States","dominant_score":"2.75","dominant_colour":"#FEF3C7"}},</x:v>
      </x:c>
    </x:row>
    <x:row r="38">
      <x:c r="A38" s="352" t="str">
        <x:v>Estonia</x:v>
      </x:c>
      <x:c r="B38" s="352" t="str">
        <x:v>EST</x:v>
      </x:c>
      <x:c r="C38" s="352" t="str">
        <x:v>{"type":"Feature","geometry":{"type":"Point","coordinates":[26,59]},"properties":{"country":"Estonia","iso3":"EST","region":"Europe","russia_score":"3.25","china_score":"1.5","american_score":"3.5","eu_score":"4","dominant_actor":"European Union","dominant_score":"4","dominant_colour":"#FDE68A"}}</x:v>
      </x:c>
      <x:c r="D38" s="352" t="str">
        <x:v>{"type":"Feature","geometry":{"type":"Point","coordinates":[26,59]},"properties":{"country":"Estonia","iso3":"EST","region":"Europe","russia_score":"3.25","china_score":"1.5","american_score":"3.5","eu_score":"4","dominant_actor":"European Union","dominant_score":"4","dominant_colour":"#FDE68A"}},</x:v>
      </x:c>
    </x:row>
    <x:row r="39">
      <x:c r="A39" s="352" t="str">
        <x:v>Federated States of Micronesia</x:v>
      </x:c>
      <x:c r="B39" s="352" t="str">
        <x:v>FSM</x:v>
      </x:c>
      <x:c r="C39" s="352" t="str">
        <x:v>{"type":"Feature","geometry":{"type":"Point","coordinates":[158.25,6.916667]},"properties":{"country":"Federated States of Micronesia","iso3":"FSM","region":"Oceania","russia_score":"0.5","china_score":"3.25","american_score":"1.75","eu_score":"1","dominant_actor":"China","dominant_score":"3.25","dominant_colour":"#FEF3C7"}}</x:v>
      </x:c>
      <x:c r="D39" s="352" t="str">
        <x:v>{"type":"Feature","geometry":{"type":"Point","coordinates":[158.25,6.916667]},"properties":{"country":"Federated States of Micronesia","iso3":"FSM","region":"Oceania","russia_score":"0.5","china_score":"3.25","american_score":"1.75","eu_score":"1","dominant_actor":"China","dominant_score":"3.25","dominant_colour":"#FEF3C7"}},</x:v>
      </x:c>
    </x:row>
    <x:row r="40">
      <x:c r="A40" s="352" t="str">
        <x:v>Fiji</x:v>
      </x:c>
      <x:c r="B40" s="352" t="str">
        <x:v>FJI</x:v>
      </x:c>
      <x:c r="C40" s="352" t="str">
        <x:v>{"type":"Feature","geometry":{"type":"Point","coordinates":[175,-18]},"properties":{"country":"Fiji","iso3":"FJI","region":"Oceania","russia_score":"0.5","china_score":"3.25","american_score":"1.75","eu_score":"1","dominant_actor":"China","dominant_score":"3.25","dominant_colour":"#FEF3C7"}}</x:v>
      </x:c>
      <x:c r="D40" s="352" t="str">
        <x:v>{"type":"Feature","geometry":{"type":"Point","coordinates":[175,-18]},"properties":{"country":"Fiji","iso3":"FJI","region":"Oceania","russia_score":"0.5","china_score":"3.25","american_score":"1.75","eu_score":"1","dominant_actor":"China","dominant_score":"3.25","dominant_colour":"#FEF3C7"}},</x:v>
      </x:c>
    </x:row>
    <x:row r="41">
      <x:c r="A41" s="352" t="str">
        <x:v>Finland</x:v>
      </x:c>
      <x:c r="B41" s="352" t="str">
        <x:v>FIN</x:v>
      </x:c>
      <x:c r="C41" s="352" t="str">
        <x:v>{"type":"Feature","geometry":{"type":"Point","coordinates":[26,64]},"properties":{"country":"Finland","iso3":"FIN","region":"Europe","russia_score":"2.5","china_score":"1.5","american_score":"3.5","eu_score":"4","dominant_actor":"European Union","dominant_score":"4","dominant_colour":"#FDE68A"}}</x:v>
      </x:c>
      <x:c r="D41" s="352" t="str">
        <x:v>{"type":"Feature","geometry":{"type":"Point","coordinates":[26,64]},"properties":{"country":"Finland","iso3":"FIN","region":"Europe","russia_score":"2.5","china_score":"1.5","american_score":"3.5","eu_score":"4","dominant_actor":"European Union","dominant_score":"4","dominant_colour":"#FDE68A"}},</x:v>
      </x:c>
    </x:row>
    <x:row r="42">
      <x:c r="A42" s="352" t="str">
        <x:v>France</x:v>
      </x:c>
      <x:c r="B42" s="352" t="str">
        <x:v>FRA</x:v>
      </x:c>
      <x:c r="C42" s="352" t="str">
        <x:v>{"type":"Feature","geometry":{"type":"Point","coordinates":[2,46]},"properties":{"country":"France","iso3":"FRA","region":"Europe","russia_score":"3","china_score":"2","american_score":"3.5","eu_score":"4","dominant_actor":"European Union","dominant_score":"4","dominant_colour":"#FDE68A"}}</x:v>
      </x:c>
      <x:c r="D42" s="352" t="str">
        <x:v>{"type":"Feature","geometry":{"type":"Point","coordinates":[2,46]},"properties":{"country":"France","iso3":"FRA","region":"Europe","russia_score":"3","china_score":"2","american_score":"3.5","eu_score":"4","dominant_actor":"European Union","dominant_score":"4","dominant_colour":"#FDE68A"}},</x:v>
      </x:c>
    </x:row>
    <x:row r="43">
      <x:c r="A43" s="352" t="str">
        <x:v>Georgia</x:v>
      </x:c>
      <x:c r="B43" s="352" t="str">
        <x:v>GEO</x:v>
      </x:c>
      <x:c r="C43" s="352" t="str">
        <x:v>{"type":"Feature","geometry":{"type":"Point","coordinates":[43.5,42]},"properties":{"country":"Georgia","iso3":"GEO","region":"Asia","russia_score":"3.75","china_score":"1.25","american_score":"3.25","eu_score":"4","dominant_actor":"European Union","dominant_score":"4","dominant_colour":"#FDE68A"}}</x:v>
      </x:c>
      <x:c r="D43" s="352" t="str">
        <x:v>{"type":"Feature","geometry":{"type":"Point","coordinates":[43.5,42]},"properties":{"country":"Georgia","iso3":"GEO","region":"Asia","russia_score":"3.75","china_score":"1.25","american_score":"3.25","eu_score":"4","dominant_actor":"European Union","dominant_score":"4","dominant_colour":"#FDE68A"}},</x:v>
      </x:c>
    </x:row>
    <x:row r="44">
      <x:c r="A44" s="352" t="str">
        <x:v>Germany</x:v>
      </x:c>
      <x:c r="B44" s="352" t="str">
        <x:v>DEU</x:v>
      </x:c>
      <x:c r="C44" s="352" t="str">
        <x:v>{"type":"Feature","geometry":{"type":"Point","coordinates":[9,51]},"properties":{"country":"Germany","iso3":"DEU","region":"Europe","russia_score":"3","china_score":"2","american_score":"3.5","eu_score":"4","dominant_actor":"European Union","dominant_score":"4","dominant_colour":"#FDE68A"}}</x:v>
      </x:c>
      <x:c r="D44" s="352" t="str">
        <x:v>{"type":"Feature","geometry":{"type":"Point","coordinates":[9,51]},"properties":{"country":"Germany","iso3":"DEU","region":"Europe","russia_score":"3","china_score":"2","american_score":"3.5","eu_score":"4","dominant_actor":"European Union","dominant_score":"4","dominant_colour":"#FDE68A"}},</x:v>
      </x:c>
    </x:row>
    <x:row r="45">
      <x:c r="A45" s="352" t="str">
        <x:v>Ghana</x:v>
      </x:c>
      <x:c r="B45" s="352" t="str">
        <x:v>GHA</x:v>
      </x:c>
      <x:c r="C45" s="352" t="str">
        <x:v>{"type":"Feature","geometry":{"type":"Point","coordinates":[-2,8]},"properties":{"country":"Ghana","iso3":"GHA","region":"Africa","russia_score":"1.75","china_score":"2.25","american_score":"2.75","eu_score":"1.5","dominant_actor":"United States","dominant_score":"2.75","dominant_colour":"#FEF3C7"}}</x:v>
      </x:c>
      <x:c r="D45" s="352" t="str">
        <x:v>{"type":"Feature","geometry":{"type":"Point","coordinates":[-2,8]},"properties":{"country":"Ghana","iso3":"GHA","region":"Africa","russia_score":"1.75","china_score":"2.25","american_score":"2.75","eu_score":"1.5","dominant_actor":"United States","dominant_score":"2.75","dominant_colour":"#FEF3C7"}},</x:v>
      </x:c>
    </x:row>
    <x:row r="46">
      <x:c r="A46" s="352" t="str">
        <x:v>Greece</x:v>
      </x:c>
      <x:c r="B46" s="352" t="str">
        <x:v>GRC</x:v>
      </x:c>
      <x:c r="C46" s="352" t="str">
        <x:v>{"type":"Feature","geometry":{"type":"Point","coordinates":[22,39]},"properties":{"country":"Greece","iso3":"GRC","region":"Europe","russia_score":"2.5","china_score":"1.5","american_score":"3.5","eu_score":"4","dominant_actor":"European Union","dominant_score":"4","dominant_colour":"#FDE68A"}}</x:v>
      </x:c>
      <x:c r="D46" s="352" t="str">
        <x:v>{"type":"Feature","geometry":{"type":"Point","coordinates":[22,39]},"properties":{"country":"Greece","iso3":"GRC","region":"Europe","russia_score":"2.5","china_score":"1.5","american_score":"3.5","eu_score":"4","dominant_actor":"European Union","dominant_score":"4","dominant_colour":"#FDE68A"}},</x:v>
      </x:c>
    </x:row>
    <x:row r="47">
      <x:c r="A47" s="352" t="str">
        <x:v>Guinea</x:v>
      </x:c>
      <x:c r="B47" s="352" t="str">
        <x:v>GIN</x:v>
      </x:c>
      <x:c r="C47" s="352" t="str">
        <x:v>{"type":"Feature","geometry":{"type":"Point","coordinates":[-10,11]},"properties":{"country":"Guinea","iso3":"GIN","region":"Africa","russia_score":"1.75","china_score":"2","american_score":"2.75","eu_score":"1.5","dominant_actor":"United States","dominant_score":"2.75","dominant_colour":"#FEF3C7"}}</x:v>
      </x:c>
      <x:c r="D47" s="352" t="str">
        <x:v>{"type":"Feature","geometry":{"type":"Point","coordinates":[-10,11]},"properties":{"country":"Guinea","iso3":"GIN","region":"Africa","russia_score":"1.75","china_score":"2","american_score":"2.75","eu_score":"1.5","dominant_actor":"United States","dominant_score":"2.75","dominant_colour":"#FEF3C7"}},</x:v>
      </x:c>
    </x:row>
    <x:row r="48">
      <x:c r="A48" s="352" t="str">
        <x:v>Guyana</x:v>
      </x:c>
      <x:c r="B48" s="352" t="str">
        <x:v>GUY</x:v>
      </x:c>
      <x:c r="C48" s="352" t="str">
        <x:v>{"type":"Feature","geometry":{"type":"Point","coordinates":[-59,5]},"properties":{"country":"Guyana","iso3":"GUY","region":"Americas","russia_score":"1","china_score":"1.25","american_score":"2.75","eu_score":"1.5","dominant_actor":"United States","dominant_score":"2.75","dominant_colour":"#FEF3C7"}}</x:v>
      </x:c>
      <x:c r="D48" s="352" t="str">
        <x:v>{"type":"Feature","geometry":{"type":"Point","coordinates":[-59,5]},"properties":{"country":"Guyana","iso3":"GUY","region":"Americas","russia_score":"1","china_score":"1.25","american_score":"2.75","eu_score":"1.5","dominant_actor":"United States","dominant_score":"2.75","dominant_colour":"#FEF3C7"}},</x:v>
      </x:c>
    </x:row>
    <x:row r="49">
      <x:c r="A49" s="352" t="str">
        <x:v>Hungary</x:v>
      </x:c>
      <x:c r="B49" s="352" t="str">
        <x:v>HUN</x:v>
      </x:c>
      <x:c r="C49" s="352" t="str">
        <x:v>{"type":"Feature","geometry":{"type":"Point","coordinates":[20,47]},"properties":{"country":"Hungary","iso3":"HUN","region":"Europe","russia_score":"3","china_score":"1.5","american_score":"3.5","eu_score":"4","dominant_actor":"European Union","dominant_score":"4","dominant_colour":"#FDE68A"}}</x:v>
      </x:c>
      <x:c r="D49" s="352" t="str">
        <x:v>{"type":"Feature","geometry":{"type":"Point","coordinates":[20,47]},"properties":{"country":"Hungary","iso3":"HUN","region":"Europe","russia_score":"3","china_score":"1.5","american_score":"3.5","eu_score":"4","dominant_actor":"European Union","dominant_score":"4","dominant_colour":"#FDE68A"}},</x:v>
      </x:c>
    </x:row>
    <x:row r="50">
      <x:c r="A50" s="352" t="str">
        <x:v>India</x:v>
      </x:c>
      <x:c r="B50" s="352" t="str">
        <x:v>IND</x:v>
      </x:c>
      <x:c r="C50" s="352" t="str">
        <x:v>{"type":"Feature","geometry":{"type":"Point","coordinates":[77,20]},"properties":{"country":"India","iso3":"IND","region":"Asia","russia_score":"0.5","china_score":"2.5","american_score":"2.75","eu_score":"1.25","dominant_actor":"United States","dominant_score":"2.75","dominant_colour":"#FEF3C7"}}</x:v>
      </x:c>
      <x:c r="D50" s="352" t="str">
        <x:v>{"type":"Feature","geometry":{"type":"Point","coordinates":[77,20]},"properties":{"country":"India","iso3":"IND","region":"Asia","russia_score":"0.5","china_score":"2.5","american_score":"2.75","eu_score":"1.25","dominant_actor":"United States","dominant_score":"2.75","dominant_colour":"#FEF3C7"}},</x:v>
      </x:c>
    </x:row>
    <x:row r="51">
      <x:c r="A51" s="352" t="str">
        <x:v>Indonesia</x:v>
      </x:c>
      <x:c r="B51" s="352" t="str">
        <x:v>IDN</x:v>
      </x:c>
      <x:c r="C51" s="352" t="str">
        <x:v>{"type":"Feature","geometry":{"type":"Point","coordinates":[120,-5]},"properties":{"country":"Indonesia","iso3":"IDN","region":"Asia","russia_score":"0.5","china_score":"3.25","american_score":"2","eu_score":"1.25","dominant_actor":"China","dominant_score":"3.25","dominant_colour":"#FEF3C7"}}</x:v>
      </x:c>
      <x:c r="D51" s="352" t="str">
        <x:v>{"type":"Feature","geometry":{"type":"Point","coordinates":[120,-5]},"properties":{"country":"Indonesia","iso3":"IDN","region":"Asia","russia_score":"0.5","china_score":"3.25","american_score":"2","eu_score":"1.25","dominant_actor":"China","dominant_score":"3.25","dominant_colour":"#FEF3C7"}},</x:v>
      </x:c>
    </x:row>
    <x:row r="52">
      <x:c r="A52" s="352" t="str">
        <x:v>Iran</x:v>
      </x:c>
      <x:c r="B52" s="352" t="str">
        <x:v>IRN</x:v>
      </x:c>
      <x:c r="C52" s="352" t="str">
        <x:v>{"type":"Feature","geometry":{"type":"Point","coordinates":[53,32]},"properties":{"country":"Iran","iso3":"IRN","region":"Asia","russia_score":"3.75","china_score":"1.25","american_score":"3.25","eu_score":"1.25","dominant_actor":"Russia","dominant_score":"3.75","dominant_colour":"#FDE68A"}}</x:v>
      </x:c>
      <x:c r="D52" s="352" t="str">
        <x:v>{"type":"Feature","geometry":{"type":"Point","coordinates":[53,32]},"properties":{"country":"Iran","iso3":"IRN","region":"Asia","russia_score":"3.75","china_score":"1.25","american_score":"3.25","eu_score":"1.25","dominant_actor":"Russia","dominant_score":"3.75","dominant_colour":"#FDE68A"}},</x:v>
      </x:c>
    </x:row>
    <x:row r="53">
      <x:c r="A53" s="352" t="str">
        <x:v>Iraq</x:v>
      </x:c>
      <x:c r="B53" s="352" t="str">
        <x:v>IRQ</x:v>
      </x:c>
      <x:c r="C53" s="352" t="str">
        <x:v>{"type":"Feature","geometry":{"type":"Point","coordinates":[44,33]},"properties":{"country":"Iraq","iso3":"IRQ","region":"Asia","russia_score":"1.5","china_score":"2.75","american_score":"6.75","eu_score":"2","dominant_actor":"United States","dominant_score":"6.75","dominant_colour":"#FB923C"}}</x:v>
      </x:c>
      <x:c r="D53" s="352" t="str">
        <x:v>{"type":"Feature","geometry":{"type":"Point","coordinates":[44,33]},"properties":{"country":"Iraq","iso3":"IRQ","region":"Asia","russia_score":"1.5","china_score":"2.75","american_score":"6.75","eu_score":"2","dominant_actor":"United States","dominant_score":"6.75","dominant_colour":"#FB923C"}},</x:v>
      </x:c>
    </x:row>
    <x:row r="54">
      <x:c r="A54" s="352" t="str">
        <x:v>Israel</x:v>
      </x:c>
      <x:c r="B54" s="352" t="str">
        <x:v>ISR</x:v>
      </x:c>
      <x:c r="C54" s="352" t="str">
        <x:v>{"type":"Feature","geometry":{"type":"Point","coordinates":[34.75,31.5]},"properties":{"country":"Israel","iso3":"ISR","region":"Asia","russia_score":"0.5","china_score":"1.25","american_score":"5","eu_score":"1.25","dominant_actor":"United States","dominant_score":"5","dominant_colour":"#FCD34D"}}</x:v>
      </x:c>
      <x:c r="D54" s="352" t="str">
        <x:v>{"type":"Feature","geometry":{"type":"Point","coordinates":[34.75,31.5]},"properties":{"country":"Israel","iso3":"ISR","region":"Asia","russia_score":"0.5","china_score":"1.25","american_score":"5","eu_score":"1.25","dominant_actor":"United States","dominant_score":"5","dominant_colour":"#FCD34D"}},</x:v>
      </x:c>
    </x:row>
    <x:row r="55">
      <x:c r="A55" s="352" t="str">
        <x:v>Italy</x:v>
      </x:c>
      <x:c r="B55" s="352" t="str">
        <x:v>ITA</x:v>
      </x:c>
      <x:c r="C55" s="352" t="str">
        <x:v>{"type":"Feature","geometry":{"type":"Point","coordinates":[12.833333,42.833333]},"properties":{"country":"Italy","iso3":"ITA","region":"Europe","russia_score":"2.5","china_score":"2","american_score":"3.5","eu_score":"4","dominant_actor":"European Union","dominant_score":"4","dominant_colour":"#FDE68A"}}</x:v>
      </x:c>
      <x:c r="D55" s="352" t="str">
        <x:v>{"type":"Feature","geometry":{"type":"Point","coordinates":[12.833333,42.833333]},"properties":{"country":"Italy","iso3":"ITA","region":"Europe","russia_score":"2.5","china_score":"2","american_score":"3.5","eu_score":"4","dominant_actor":"European Union","dominant_score":"4","dominant_colour":"#FDE68A"}},</x:v>
      </x:c>
    </x:row>
    <x:row r="56">
      <x:c r="A56" s="352" t="str">
        <x:v>Japan</x:v>
      </x:c>
      <x:c r="B56" s="352" t="str">
        <x:v>JPN</x:v>
      </x:c>
      <x:c r="C56" s="352" t="str">
        <x:v>{"type":"Feature","geometry":{"type":"Point","coordinates":[138,36]},"properties":{"country":"Japan","iso3":"JPN","region":"Asia","russia_score":"1.25","china_score":"3.25","american_score":"5","eu_score":"1.75","dominant_actor":"United States","dominant_score":"5","dominant_colour":"#FCD34D"}}</x:v>
      </x:c>
      <x:c r="D56" s="352" t="str">
        <x:v>{"type":"Feature","geometry":{"type":"Point","coordinates":[138,36]},"properties":{"country":"Japan","iso3":"JPN","region":"Asia","russia_score":"1.25","china_score":"3.25","american_score":"5","eu_score":"1.75","dominant_actor":"United States","dominant_score":"5","dominant_colour":"#FCD34D"}},</x:v>
      </x:c>
    </x:row>
    <x:row r="57">
      <x:c r="A57" s="352" t="str">
        <x:v>Jordan</x:v>
      </x:c>
      <x:c r="B57" s="352" t="str">
        <x:v>JOR</x:v>
      </x:c>
      <x:c r="C57" s="352" t="str">
        <x:v>{"type":"Feature","geometry":{"type":"Point","coordinates":[36,31]},"properties":{"country":"Jordan","iso3":"JOR","region":"Asia","russia_score":"0.5","china_score":"1.25","american_score":"4.75","eu_score":"1.5","dominant_actor":"United States","dominant_score":"4.75","dominant_colour":"#FCD34D"}}</x:v>
      </x:c>
      <x:c r="D57" s="352" t="str">
        <x:v>{"type":"Feature","geometry":{"type":"Point","coordinates":[36,31]},"properties":{"country":"Jordan","iso3":"JOR","region":"Asia","russia_score":"0.5","china_score":"1.25","american_score":"4.75","eu_score":"1.5","dominant_actor":"United States","dominant_score":"4.75","dominant_colour":"#FCD34D"}},</x:v>
      </x:c>
    </x:row>
    <x:row r="58">
      <x:c r="A58" s="352" t="str">
        <x:v>Kazakhstan</x:v>
      </x:c>
      <x:c r="B58" s="352" t="str">
        <x:v>KAZ</x:v>
      </x:c>
      <x:c r="C58" s="352" t="str">
        <x:v>{"type":"Feature","geometry":{"type":"Point","coordinates":[68,48]},"properties":{"country":"Kazakhstan","iso3":"KAZ","region":"Asia","russia_score":"1.75","china_score":"2.5","american_score":"2.25","eu_score":"1.25","dominant_actor":"China","dominant_score":"2.5","dominant_colour":"#FEF3C7"}}</x:v>
      </x:c>
      <x:c r="D58" s="352" t="str">
        <x:v>{"type":"Feature","geometry":{"type":"Point","coordinates":[68,48]},"properties":{"country":"Kazakhstan","iso3":"KAZ","region":"Asia","russia_score":"1.75","china_score":"2.5","american_score":"2.25","eu_score":"1.25","dominant_actor":"China","dominant_score":"2.5","dominant_colour":"#FEF3C7"}},</x:v>
      </x:c>
    </x:row>
    <x:row r="59">
      <x:c r="A59" s="352" t="str">
        <x:v>Kenya</x:v>
      </x:c>
      <x:c r="B59" s="352" t="str">
        <x:v>KEN</x:v>
      </x:c>
      <x:c r="C59" s="352" t="str">
        <x:v>{"type":"Feature","geometry":{"type":"Point","coordinates":[38,1]},"properties":{"country":"Kenya","iso3":"KEN","region":"Africa","russia_score":"1.75","china_score":"3","american_score":"2.75","eu_score":"1.75","dominant_actor":"China","dominant_score":"3","dominant_colour":"#FEF3C7"}}</x:v>
      </x:c>
      <x:c r="D59" s="352" t="str">
        <x:v>{"type":"Feature","geometry":{"type":"Point","coordinates":[38,1]},"properties":{"country":"Kenya","iso3":"KEN","region":"Africa","russia_score":"1.75","china_score":"3","american_score":"2.75","eu_score":"1.75","dominant_actor":"China","dominant_score":"3","dominant_colour":"#FEF3C7"}},</x:v>
      </x:c>
    </x:row>
    <x:row r="60">
      <x:c r="A60" s="352" t="str">
        <x:v>Kiribati</x:v>
      </x:c>
      <x:c r="B60" s="352" t="str">
        <x:v>KIR</x:v>
      </x:c>
      <x:c r="C60" s="352" t="str">
        <x:v>{"type":"Feature","geometry":{"type":"Point","coordinates":[173,1.416667]},"properties":{"country":"Kiribati","iso3":"KIR","region":"Oceania","russia_score":"0.5","china_score":"3.25","american_score":"1.75","eu_score":"1","dominant_actor":"China","dominant_score":"3.25","dominant_colour":"#FEF3C7"}}</x:v>
      </x:c>
      <x:c r="D60" s="352" t="str">
        <x:v>{"type":"Feature","geometry":{"type":"Point","coordinates":[173,1.416667]},"properties":{"country":"Kiribati","iso3":"KIR","region":"Oceania","russia_score":"0.5","china_score":"3.25","american_score":"1.75","eu_score":"1","dominant_actor":"China","dominant_score":"3.25","dominant_colour":"#FEF3C7"}},</x:v>
      </x:c>
    </x:row>
    <x:row r="61">
      <x:c r="A61" s="352" t="str">
        <x:v>Kuwait</x:v>
      </x:c>
      <x:c r="B61" s="352" t="str">
        <x:v>KWT</x:v>
      </x:c>
      <x:c r="C61" s="352" t="str">
        <x:v>{"type":"Feature","geometry":{"type":"Point","coordinates":[45.75,29.5]},"properties":{"country":"Kuwait","iso3":"KWT","region":"Asia","russia_score":"0.5","china_score":"1.25","american_score":"4.75","eu_score":"1.25","dominant_actor":"United States","dominant_score":"4.75","dominant_colour":"#FCD34D"}}</x:v>
      </x:c>
      <x:c r="D61" s="352" t="str">
        <x:v>{"type":"Feature","geometry":{"type":"Point","coordinates":[45.75,29.5]},"properties":{"country":"Kuwait","iso3":"KWT","region":"Asia","russia_score":"0.5","china_score":"1.25","american_score":"4.75","eu_score":"1.25","dominant_actor":"United States","dominant_score":"4.75","dominant_colour":"#FCD34D"}},</x:v>
      </x:c>
    </x:row>
    <x:row r="62">
      <x:c r="A62" s="352" t="str">
        <x:v>Kyrgyzstan</x:v>
      </x:c>
      <x:c r="B62" s="352" t="str">
        <x:v>KGZ</x:v>
      </x:c>
      <x:c r="C62" s="352" t="str">
        <x:v>{"type":"Feature","geometry":{"type":"Point","coordinates":[75,41]},"properties":{"country":"Kyrgyzstan","iso3":"KGZ","region":"Asia","russia_score":"1.75","china_score":"2.5","american_score":"2.25","eu_score":"1.25","dominant_actor":"China","dominant_score":"2.5","dominant_colour":"#FEF3C7"}}</x:v>
      </x:c>
      <x:c r="D62" s="352" t="str">
        <x:v>{"type":"Feature","geometry":{"type":"Point","coordinates":[75,41]},"properties":{"country":"Kyrgyzstan","iso3":"KGZ","region":"Asia","russia_score":"1.75","china_score":"2.5","american_score":"2.25","eu_score":"1.25","dominant_actor":"China","dominant_score":"2.5","dominant_colour":"#FEF3C7"}},</x:v>
      </x:c>
    </x:row>
    <x:row r="63">
      <x:c r="A63" s="352" t="str">
        <x:v>Latvia</x:v>
      </x:c>
      <x:c r="B63" s="352" t="str">
        <x:v>LVA</x:v>
      </x:c>
      <x:c r="C63" s="352" t="str">
        <x:v>{"type":"Feature","geometry":{"type":"Point","coordinates":[25,57]},"properties":{"country":"Latvia","iso3":"LVA","region":"Europe","russia_score":"3.25","china_score":"1.5","american_score":"3.5","eu_score":"4","dominant_actor":"European Union","dominant_score":"4","dominant_colour":"#FDE68A"}}</x:v>
      </x:c>
      <x:c r="D63" s="352" t="str">
        <x:v>{"type":"Feature","geometry":{"type":"Point","coordinates":[25,57]},"properties":{"country":"Latvia","iso3":"LVA","region":"Europe","russia_score":"3.25","china_score":"1.5","american_score":"3.5","eu_score":"4","dominant_actor":"European Union","dominant_score":"4","dominant_colour":"#FDE68A"}},</x:v>
      </x:c>
    </x:row>
    <x:row r="64">
      <x:c r="A64" s="352" t="str">
        <x:v>Lebanon</x:v>
      </x:c>
      <x:c r="B64" s="352" t="str">
        <x:v>LBN</x:v>
      </x:c>
      <x:c r="C64" s="352" t="str">
        <x:v>{"type":"Feature","geometry":{"type":"Point","coordinates":[35.833333,33.833333]},"properties":{"country":"Lebanon","iso3":"LBN","region":"Asia","russia_score":"0.5","china_score":"1.25","american_score":"2.5","eu_score":"1.25","dominant_actor":"United States","dominant_score":"2.5","dominant_colour":"#FEF3C7"}}</x:v>
      </x:c>
      <x:c r="D64" s="352" t="str">
        <x:v>{"type":"Feature","geometry":{"type":"Point","coordinates":[35.833333,33.833333]},"properties":{"country":"Lebanon","iso3":"LBN","region":"Asia","russia_score":"0.5","china_score":"1.25","american_score":"2.5","eu_score":"1.25","dominant_actor":"United States","dominant_score":"2.5","dominant_colour":"#FEF3C7"}},</x:v>
      </x:c>
    </x:row>
    <x:row r="65">
      <x:c r="A65" s="352" t="str">
        <x:v>Liberia</x:v>
      </x:c>
      <x:c r="B65" s="352" t="str">
        <x:v>LBR</x:v>
      </x:c>
      <x:c r="C65" s="352" t="str">
        <x:v>{"type":"Feature","geometry":{"type":"Point","coordinates":[-9.5,6.5]},"properties":{"country":"Liberia","iso3":"LBR","region":"Africa","russia_score":"1.75","china_score":"2","american_score":"2.75","eu_score":"1.5","dominant_actor":"United States","dominant_score":"2.75","dominant_colour":"#FEF3C7"}}</x:v>
      </x:c>
      <x:c r="D65" s="352" t="str">
        <x:v>{"type":"Feature","geometry":{"type":"Point","coordinates":[-9.5,6.5]},"properties":{"country":"Liberia","iso3":"LBR","region":"Africa","russia_score":"1.75","china_score":"2","american_score":"2.75","eu_score":"1.5","dominant_actor":"United States","dominant_score":"2.75","dominant_colour":"#FEF3C7"}},</x:v>
      </x:c>
    </x:row>
    <x:row r="66">
      <x:c r="A66" s="352" t="str">
        <x:v>Libya</x:v>
      </x:c>
      <x:c r="B66" s="352" t="str">
        <x:v>LBY</x:v>
      </x:c>
      <x:c r="C66" s="352" t="str">
        <x:v>{"type":"Feature","geometry":{"type":"Point","coordinates":[17,25]},"properties":{"country":"Libya","iso3":"LBY","region":"Africa","russia_score":"6.25","china_score":"2","american_score":"2.75","eu_score":"2.25","dominant_actor":"Russia","dominant_score":"6.25","dominant_colour":"#FDBA74"}}</x:v>
      </x:c>
      <x:c r="D66" s="352" t="str">
        <x:v>{"type":"Feature","geometry":{"type":"Point","coordinates":[17,25]},"properties":{"country":"Libya","iso3":"LBY","region":"Africa","russia_score":"6.25","china_score":"2","american_score":"2.75","eu_score":"2.25","dominant_actor":"Russia","dominant_score":"6.25","dominant_colour":"#FDBA74"}},</x:v>
      </x:c>
    </x:row>
    <x:row r="67">
      <x:c r="A67" s="352" t="str">
        <x:v>Lithuania</x:v>
      </x:c>
      <x:c r="B67" s="352" t="str">
        <x:v>LTU</x:v>
      </x:c>
      <x:c r="C67" s="352" t="str">
        <x:v>{"type":"Feature","geometry":{"type":"Point","coordinates":[24,56]},"properties":{"country":"Lithuania","iso3":"LTU","region":"Europe","russia_score":"3.25","china_score":"1.5","american_score":"3.5","eu_score":"4","dominant_actor":"European Union","dominant_score":"4","dominant_colour":"#FDE68A"}}</x:v>
      </x:c>
      <x:c r="D67" s="352" t="str">
        <x:v>{"type":"Feature","geometry":{"type":"Point","coordinates":[24,56]},"properties":{"country":"Lithuania","iso3":"LTU","region":"Europe","russia_score":"3.25","china_score":"1.5","american_score":"3.5","eu_score":"4","dominant_actor":"European Union","dominant_score":"4","dominant_colour":"#FDE68A"}},</x:v>
      </x:c>
    </x:row>
    <x:row r="68">
      <x:c r="A68" s="352" t="str">
        <x:v>Madagascar</x:v>
      </x:c>
      <x:c r="B68" s="352" t="str">
        <x:v>MDG</x:v>
      </x:c>
      <x:c r="C68" s="352" t="str">
        <x:v>{"type":"Feature","geometry":{"type":"Point","coordinates":[47,-20]},"properties":{"country":"Madagascar","iso3":"MDG","region":"Africa","russia_score":"3.25","china_score":"2","american_score":"2.75","eu_score":"1.5","dominant_actor":"Russia","dominant_score":"3.25","dominant_colour":"#FEF3C7"}}</x:v>
      </x:c>
      <x:c r="D68" s="352" t="str">
        <x:v>{"type":"Feature","geometry":{"type":"Point","coordinates":[47,-20]},"properties":{"country":"Madagascar","iso3":"MDG","region":"Africa","russia_score":"3.25","china_score":"2","american_score":"2.75","eu_score":"1.5","dominant_actor":"Russia","dominant_score":"3.25","dominant_colour":"#FEF3C7"}},</x:v>
      </x:c>
    </x:row>
    <x:row r="69">
      <x:c r="A69" s="352" t="str">
        <x:v>Malaysia</x:v>
      </x:c>
      <x:c r="B69" s="352" t="str">
        <x:v>MYS</x:v>
      </x:c>
      <x:c r="C69" s="352" t="str">
        <x:v>{"type":"Feature","geometry":{"type":"Point","coordinates":[112.5,2.5]},"properties":{"country":"Malaysia","iso3":"MYS","region":"Asia","russia_score":"0.5","china_score":"3.25","american_score":"2","eu_score":"1.5","dominant_actor":"China","dominant_score":"3.25","dominant_colour":"#FEF3C7"}}</x:v>
      </x:c>
      <x:c r="D69" s="352" t="str">
        <x:v>{"type":"Feature","geometry":{"type":"Point","coordinates":[112.5,2.5]},"properties":{"country":"Malaysia","iso3":"MYS","region":"Asia","russia_score":"0.5","china_score":"3.25","american_score":"2","eu_score":"1.5","dominant_actor":"China","dominant_score":"3.25","dominant_colour":"#FEF3C7"}},</x:v>
      </x:c>
    </x:row>
    <x:row r="70">
      <x:c r="A70" s="352" t="str">
        <x:v>Mali</x:v>
      </x:c>
      <x:c r="B70" s="352" t="str">
        <x:v>MLI</x:v>
      </x:c>
      <x:c r="C70" s="352" t="str">
        <x:v>{"type":"Feature","geometry":{"type":"Point","coordinates":[-4,17]},"properties":{"country":"Mali","iso3":"MLI","region":"Africa","russia_score":"6.5","china_score":"2","american_score":"2.75","eu_score":"2","dominant_actor":"Russia","dominant_score":"6.5","dominant_colour":"#FB923C"}}</x:v>
      </x:c>
      <x:c r="D70" s="352" t="str">
        <x:v>{"type":"Feature","geometry":{"type":"Point","coordinates":[-4,17]},"properties":{"country":"Mali","iso3":"MLI","region":"Africa","russia_score":"6.5","china_score":"2","american_score":"2.75","eu_score":"2","dominant_actor":"Russia","dominant_score":"6.5","dominant_colour":"#FB923C"}},</x:v>
      </x:c>
    </x:row>
    <x:row r="71">
      <x:c r="A71" s="352" t="str">
        <x:v>Marshall Islands</x:v>
      </x:c>
      <x:c r="B71" s="352" t="str">
        <x:v>MHL</x:v>
      </x:c>
      <x:c r="C71" s="352" t="str">
        <x:v>{"type":"Feature","geometry":{"type":"Point","coordinates":[168,9]},"properties":{"country":"Marshall Islands","iso3":"MHL","region":"Oceania","russia_score":"0.5","china_score":"3.25","american_score":"1.75","eu_score":"1","dominant_actor":"China","dominant_score":"3.25","dominant_colour":"#FEF3C7"}}</x:v>
      </x:c>
      <x:c r="D71" s="352" t="str">
        <x:v>{"type":"Feature","geometry":{"type":"Point","coordinates":[168,9]},"properties":{"country":"Marshall Islands","iso3":"MHL","region":"Oceania","russia_score":"0.5","china_score":"3.25","american_score":"1.75","eu_score":"1","dominant_actor":"China","dominant_score":"3.25","dominant_colour":"#FEF3C7"}},</x:v>
      </x:c>
    </x:row>
    <x:row r="72">
      <x:c r="A72" s="352" t="str">
        <x:v>Mauritania</x:v>
      </x:c>
      <x:c r="B72" s="352" t="str">
        <x:v>MRT</x:v>
      </x:c>
      <x:c r="C72" s="352" t="str">
        <x:v>{"type":"Feature","geometry":{"type":"Point","coordinates":[-12,20]},"properties":{"country":"Mauritania","iso3":"MRT","region":"Africa","russia_score":"1.75","china_score":"2","american_score":"2.75","eu_score":"1.5","dominant_actor":"United States","dominant_score":"2.75","dominant_colour":"#FEF3C7"}}</x:v>
      </x:c>
      <x:c r="D72" s="352" t="str">
        <x:v>{"type":"Feature","geometry":{"type":"Point","coordinates":[-12,20]},"properties":{"country":"Mauritania","iso3":"MRT","region":"Africa","russia_score":"1.75","china_score":"2","american_score":"2.75","eu_score":"1.5","dominant_actor":"United States","dominant_score":"2.75","dominant_colour":"#FEF3C7"}},</x:v>
      </x:c>
    </x:row>
    <x:row r="73">
      <x:c r="A73" s="352" t="str">
        <x:v>Moldova</x:v>
      </x:c>
      <x:c r="B73" s="352" t="str">
        <x:v>MDA</x:v>
      </x:c>
      <x:c r="C73" s="352" t="str">
        <x:v>{"type":"Feature","geometry":{"type":"Point","coordinates":[29,47]},"properties":{"country":"Moldova","iso3":"MDA","region":"Europe","russia_score":"4","china_score":"1.5","american_score":"3.25","eu_score":"4.25","dominant_actor":"European Union","dominant_score":"4.25","dominant_colour":"#FDE68A"}}</x:v>
      </x:c>
      <x:c r="D73" s="352" t="str">
        <x:v>{"type":"Feature","geometry":{"type":"Point","coordinates":[29,47]},"properties":{"country":"Moldova","iso3":"MDA","region":"Europe","russia_score":"4","china_score":"1.5","american_score":"3.25","eu_score":"4.25","dominant_actor":"European Union","dominant_score":"4.25","dominant_colour":"#FDE68A"}},</x:v>
      </x:c>
    </x:row>
    <x:row r="74">
      <x:c r="A74" s="352" t="str">
        <x:v>Mongolia</x:v>
      </x:c>
      <x:c r="B74" s="352" t="str">
        <x:v>MNG</x:v>
      </x:c>
      <x:c r="C74" s="352" t="str">
        <x:v>{"type":"Feature","geometry":{"type":"Point","coordinates":[105,46]},"properties":{"country":"Mongolia","iso3":"MNG","region":"Asia","russia_score":"0.5","china_score":"1.25","american_score":"2","eu_score":"1.25","dominant_actor":"United States","dominant_score":"2","dominant_colour":"#A7F3D0"}}</x:v>
      </x:c>
      <x:c r="D74" s="352" t="str">
        <x:v>{"type":"Feature","geometry":{"type":"Point","coordinates":[105,46]},"properties":{"country":"Mongolia","iso3":"MNG","region":"Asia","russia_score":"0.5","china_score":"1.25","american_score":"2","eu_score":"1.25","dominant_actor":"United States","dominant_score":"2","dominant_colour":"#A7F3D0"}},</x:v>
      </x:c>
    </x:row>
    <x:row r="75">
      <x:c r="A75" s="352" t="str">
        <x:v>Morocco</x:v>
      </x:c>
      <x:c r="B75" s="352" t="str">
        <x:v>MAR</x:v>
      </x:c>
      <x:c r="C75" s="352" t="str">
        <x:v>{"type":"Feature","geometry":{"type":"Point","coordinates":[-5,32]},"properties":{"country":"Morocco","iso3":"MAR","region":"Africa","russia_score":"2","china_score":"2","american_score":"2.75","eu_score":"1.5","dominant_actor":"United States","dominant_score":"2.75","dominant_colour":"#FEF3C7"}}</x:v>
      </x:c>
      <x:c r="D75" s="352" t="str">
        <x:v>{"type":"Feature","geometry":{"type":"Point","coordinates":[-5,32]},"properties":{"country":"Morocco","iso3":"MAR","region":"Africa","russia_score":"2","china_score":"2","american_score":"2.75","eu_score":"1.5","dominant_actor":"United States","dominant_score":"2.75","dominant_colour":"#FEF3C7"}},</x:v>
      </x:c>
    </x:row>
    <x:row r="76">
      <x:c r="A76" s="352" t="str">
        <x:v>Mozambique</x:v>
      </x:c>
      <x:c r="B76" s="352" t="str">
        <x:v>MOZ</x:v>
      </x:c>
      <x:c r="C76" s="352" t="str">
        <x:v>{"type":"Feature","geometry":{"type":"Point","coordinates":[35,-18.25]},"properties":{"country":"Mozambique","iso3":"MOZ","region":"Africa","russia_score":"3.75","china_score":"2.75","american_score":"2.75","eu_score":"1.5","dominant_actor":"Russia","dominant_score":"3.75","dominant_colour":"#FDE68A"}}</x:v>
      </x:c>
      <x:c r="D76" s="352" t="str">
        <x:v>{"type":"Feature","geometry":{"type":"Point","coordinates":[35,-18.25]},"properties":{"country":"Mozambique","iso3":"MOZ","region":"Africa","russia_score":"3.75","china_score":"2.75","american_score":"2.75","eu_score":"1.5","dominant_actor":"Russia","dominant_score":"3.75","dominant_colour":"#FDE68A"}},</x:v>
      </x:c>
    </x:row>
    <x:row r="77">
      <x:c r="A77" s="352" t="str">
        <x:v>Myanmar</x:v>
      </x:c>
      <x:c r="B77" s="352" t="str">
        <x:v>MMR</x:v>
      </x:c>
      <x:c r="C77" s="352" t="str">
        <x:v>{"type":"Feature","geometry":{"type":"Point","coordinates":[98,22]},"properties":{"country":"Myanmar","iso3":"MMR","region":"Asia","russia_score":"0.5","china_score":"3.75","american_score":"2.25","eu_score":"1.25","dominant_actor":"China","dominant_score":"3.75","dominant_colour":"#FDE68A"}}</x:v>
      </x:c>
      <x:c r="D77" s="352" t="str">
        <x:v>{"type":"Feature","geometry":{"type":"Point","coordinates":[98,22]},"properties":{"country":"Myanmar","iso3":"MMR","region":"Asia","russia_score":"0.5","china_score":"3.75","american_score":"2.25","eu_score":"1.25","dominant_actor":"China","dominant_score":"3.75","dominant_colour":"#FDE68A"}},</x:v>
      </x:c>
    </x:row>
    <x:row r="78">
      <x:c r="A78" s="352" t="str">
        <x:v>Nauru</x:v>
      </x:c>
      <x:c r="B78" s="352" t="str">
        <x:v>NRU</x:v>
      </x:c>
      <x:c r="C78" s="352" t="str">
        <x:v>{"type":"Feature","geometry":{"type":"Point","coordinates":[166.916667,-0.533333]},"properties":{"country":"Nauru","iso3":"NRU","region":"Oceania","russia_score":"0.5","china_score":"3.25","american_score":"1.75","eu_score":"1","dominant_actor":"China","dominant_score":"3.25","dominant_colour":"#FEF3C7"}}</x:v>
      </x:c>
      <x:c r="D78" s="352" t="str">
        <x:v>{"type":"Feature","geometry":{"type":"Point","coordinates":[166.916667,-0.533333]},"properties":{"country":"Nauru","iso3":"NRU","region":"Oceania","russia_score":"0.5","china_score":"3.25","american_score":"1.75","eu_score":"1","dominant_actor":"China","dominant_score":"3.25","dominant_colour":"#FEF3C7"}},</x:v>
      </x:c>
    </x:row>
    <x:row r="79">
      <x:c r="A79" s="352" t="str">
        <x:v>Netherlands</x:v>
      </x:c>
      <x:c r="B79" s="352" t="str">
        <x:v>NLD</x:v>
      </x:c>
      <x:c r="C79" s="352" t="str">
        <x:v>{"type":"Feature","geometry":{"type":"Point","coordinates":[5.75,52.5]},"properties":{"country":"Netherlands","iso3":"NLD","region":"Europe","russia_score":"2.5","china_score":"2","american_score":"3.5","eu_score":"4","dominant_actor":"European Union","dominant_score":"4","dominant_colour":"#FDE68A"}}</x:v>
      </x:c>
      <x:c r="D79" s="352" t="str">
        <x:v>{"type":"Feature","geometry":{"type":"Point","coordinates":[5.75,52.5]},"properties":{"country":"Netherlands","iso3":"NLD","region":"Europe","russia_score":"2.5","china_score":"2","american_score":"3.5","eu_score":"4","dominant_actor":"European Union","dominant_score":"4","dominant_colour":"#FDE68A"}},</x:v>
      </x:c>
    </x:row>
    <x:row r="80">
      <x:c r="A80" s="352" t="str">
        <x:v>New Caledonia</x:v>
      </x:c>
      <x:c r="B80" s="352" t="str">
        <x:v>NCL</x:v>
      </x:c>
      <x:c r="C80" s="352" t="str">
        <x:v>{"type":"Feature","geometry":{"type":"Point","coordinates":[165.5,-21.5]},"properties":{"country":"New Caledonia","iso3":"NCL","region":"Oceania","russia_score":"0.5","china_score":"3.25","american_score":"1.75","eu_score":"1","dominant_actor":"China","dominant_score":"3.25","dominant_colour":"#FEF3C7"}}</x:v>
      </x:c>
      <x:c r="D80" s="352" t="str">
        <x:v>{"type":"Feature","geometry":{"type":"Point","coordinates":[165.5,-21.5]},"properties":{"country":"New Caledonia","iso3":"NCL","region":"Oceania","russia_score":"0.5","china_score":"3.25","american_score":"1.75","eu_score":"1","dominant_actor":"China","dominant_score":"3.25","dominant_colour":"#FEF3C7"}},</x:v>
      </x:c>
    </x:row>
    <x:row r="81">
      <x:c r="A81" s="352" t="str">
        <x:v>New Zealand</x:v>
      </x:c>
      <x:c r="B81" s="352" t="str">
        <x:v>NZL</x:v>
      </x:c>
      <x:c r="C81" s="352" t="str">
        <x:v>{"type":"Feature","geometry":{"type":"Point","coordinates":[174,-41]},"properties":{"country":"New Zealand","iso3":"NZL","region":"Oceania","russia_score":"0.5","china_score":"2.75","american_score":"3","eu_score":"1.25","dominant_actor":"United States","dominant_score":"3","dominant_colour":"#FEF3C7"}}</x:v>
      </x:c>
      <x:c r="D81" s="352" t="str">
        <x:v>{"type":"Feature","geometry":{"type":"Point","coordinates":[174,-41]},"properties":{"country":"New Zealand","iso3":"NZL","region":"Oceania","russia_score":"0.5","china_score":"2.75","american_score":"3","eu_score":"1.25","dominant_actor":"United States","dominant_score":"3","dominant_colour":"#FEF3C7"}},</x:v>
      </x:c>
    </x:row>
    <x:row r="82">
      <x:c r="A82" s="352" t="str">
        <x:v>Nicaragua</x:v>
      </x:c>
      <x:c r="B82" s="352" t="str">
        <x:v>NIC</x:v>
      </x:c>
      <x:c r="C82" s="352" t="str">
        <x:v>{"type":"Feature","geometry":{"type":"Point","coordinates":[-85,13]},"properties":{"country":"Nicaragua","iso3":"NIC","region":"Americas","russia_score":"2.75","china_score":"1.75","american_score":"4.25","eu_score":"1.5","dominant_actor":"United States","dominant_score":"4.25","dominant_colour":"#FDE68A"}}</x:v>
      </x:c>
      <x:c r="D82" s="352" t="str">
        <x:v>{"type":"Feature","geometry":{"type":"Point","coordinates":[-85,13]},"properties":{"country":"Nicaragua","iso3":"NIC","region":"Americas","russia_score":"2.75","china_score":"1.75","american_score":"4.25","eu_score":"1.5","dominant_actor":"United States","dominant_score":"4.25","dominant_colour":"#FDE68A"}},</x:v>
      </x:c>
    </x:row>
    <x:row r="83">
      <x:c r="A83" s="352" t="str">
        <x:v>Niger</x:v>
      </x:c>
      <x:c r="B83" s="352" t="str">
        <x:v>NER</x:v>
      </x:c>
      <x:c r="C83" s="352" t="str">
        <x:v>{"type":"Feature","geometry":{"type":"Point","coordinates":[8,16]},"properties":{"country":"Niger","iso3":"NER","region":"Africa","russia_score":"5.25","china_score":"2","american_score":"2.75","eu_score":"2","dominant_actor":"Russia","dominant_score":"5.25","dominant_colour":"#FCD34D"}}</x:v>
      </x:c>
      <x:c r="D83" s="352" t="str">
        <x:v>{"type":"Feature","geometry":{"type":"Point","coordinates":[8,16]},"properties":{"country":"Niger","iso3":"NER","region":"Africa","russia_score":"5.25","china_score":"2","american_score":"2.75","eu_score":"2","dominant_actor":"Russia","dominant_score":"5.25","dominant_colour":"#FCD34D"}},</x:v>
      </x:c>
    </x:row>
    <x:row r="84">
      <x:c r="A84" s="352" t="str">
        <x:v>Nigeria</x:v>
      </x:c>
      <x:c r="B84" s="352" t="str">
        <x:v>NGA</x:v>
      </x:c>
      <x:c r="C84" s="352" t="str">
        <x:v>{"type":"Feature","geometry":{"type":"Point","coordinates":[8,10]},"properties":{"country":"Nigeria","iso3":"NGA","region":"Africa","russia_score":"1.75","china_score":"2.75","american_score":"2.75","eu_score":"1.75","dominant_actor":"China","dominant_score":"2.75","dominant_colour":"#FEF3C7"}}</x:v>
      </x:c>
      <x:c r="D84" s="352" t="str">
        <x:v>{"type":"Feature","geometry":{"type":"Point","coordinates":[8,10]},"properties":{"country":"Nigeria","iso3":"NGA","region":"Africa","russia_score":"1.75","china_score":"2.75","american_score":"2.75","eu_score":"1.75","dominant_actor":"China","dominant_score":"2.75","dominant_colour":"#FEF3C7"}},</x:v>
      </x:c>
    </x:row>
    <x:row r="85">
      <x:c r="A85" s="352" t="str">
        <x:v>North Korea</x:v>
      </x:c>
      <x:c r="B85" s="352" t="str">
        <x:v>PRK</x:v>
      </x:c>
      <x:c r="C85" s="352" t="str">
        <x:v>{"type":"Feature","geometry":{"type":"Point","coordinates":[127,40]},"properties":{"country":"North Korea","iso3":"PRK","region":"Asia","russia_score":"2.5","china_score":"1.5","american_score":"3","eu_score":"1","dominant_actor":"United States","dominant_score":"3","dominant_colour":"#FEF3C7"}}</x:v>
      </x:c>
      <x:c r="D85" s="352" t="str">
        <x:v>{"type":"Feature","geometry":{"type":"Point","coordinates":[127,40]},"properties":{"country":"North Korea","iso3":"PRK","region":"Asia","russia_score":"2.5","china_score":"1.5","american_score":"3","eu_score":"1","dominant_actor":"United States","dominant_score":"3","dominant_colour":"#FEF3C7"}},</x:v>
      </x:c>
    </x:row>
    <x:row r="86">
      <x:c r="A86" s="352" t="str">
        <x:v>Norway</x:v>
      </x:c>
      <x:c r="B86" s="352" t="str">
        <x:v>NOR</x:v>
      </x:c>
      <x:c r="C86" s="352" t="str">
        <x:v>{"type":"Feature","geometry":{"type":"Point","coordinates":[10,62]},"properties":{"country":"Norway","iso3":"NOR","region":"Europe","russia_score":"2.5","china_score":"1.5","american_score":"3.5","eu_score":"2.75","dominant_actor":"United States","dominant_score":"3.5","dominant_colour":"#FDE68A"}}</x:v>
      </x:c>
      <x:c r="D86" s="352" t="str">
        <x:v>{"type":"Feature","geometry":{"type":"Point","coordinates":[10,62]},"properties":{"country":"Norway","iso3":"NOR","region":"Europe","russia_score":"2.5","china_score":"1.5","american_score":"3.5","eu_score":"2.75","dominant_actor":"United States","dominant_score":"3.5","dominant_colour":"#FDE68A"}},</x:v>
      </x:c>
    </x:row>
    <x:row r="87">
      <x:c r="A87" s="352" t="str">
        <x:v>Oman</x:v>
      </x:c>
      <x:c r="B87" s="352" t="str">
        <x:v>OMN</x:v>
      </x:c>
      <x:c r="C87" s="352" t="str">
        <x:v>{"type":"Feature","geometry":{"type":"Point","coordinates":[57,21]},"properties":{"country":"Oman","iso3":"OMN","region":"Asia","russia_score":"0.5","china_score":"1.25","american_score":"2.5","eu_score":"1.25","dominant_actor":"United States","dominant_score":"2.5","dominant_colour":"#FEF3C7"}}</x:v>
      </x:c>
      <x:c r="D87" s="352" t="str">
        <x:v>{"type":"Feature","geometry":{"type":"Point","coordinates":[57,21]},"properties":{"country":"Oman","iso3":"OMN","region":"Asia","russia_score":"0.5","china_score":"1.25","american_score":"2.5","eu_score":"1.25","dominant_actor":"United States","dominant_score":"2.5","dominant_colour":"#FEF3C7"}},</x:v>
      </x:c>
    </x:row>
    <x:row r="88">
      <x:c r="A88" s="352" t="str">
        <x:v>Palau</x:v>
      </x:c>
      <x:c r="B88" s="352" t="str">
        <x:v>PLW</x:v>
      </x:c>
      <x:c r="C88" s="352" t="str">
        <x:v>{"type":"Feature","geometry":{"type":"Point","coordinates":[134.5,7.5]},"properties":{"country":"Palau","iso3":"PLW","region":"Oceania","russia_score":"0.5","china_score":"3.25","american_score":"1.75","eu_score":"1","dominant_actor":"China","dominant_score":"3.25","dominant_colour":"#FEF3C7"}}</x:v>
      </x:c>
      <x:c r="D88" s="352" t="str">
        <x:v>{"type":"Feature","geometry":{"type":"Point","coordinates":[134.5,7.5]},"properties":{"country":"Palau","iso3":"PLW","region":"Oceania","russia_score":"0.5","china_score":"3.25","american_score":"1.75","eu_score":"1","dominant_actor":"China","dominant_score":"3.25","dominant_colour":"#FEF3C7"}},</x:v>
      </x:c>
    </x:row>
    <x:row r="89">
      <x:c r="A89" s="352" t="str">
        <x:v>Palestine</x:v>
      </x:c>
      <x:c r="B89" s="352" t="str">
        <x:v>PSE</x:v>
      </x:c>
      <x:c r="C89" s="352" t="str">
        <x:v>{"type":"Feature","geometry":{"type":"Point","coordinates":[35.2332,31.9522]},"properties":{"country":"Palestine","iso3":"PSE","region":"Asia","russia_score":"0.5","china_score":"1.25","american_score":"2.5","eu_score":"1.75","dominant_actor":"United States","dominant_score":"2.5","dominant_colour":"#FEF3C7"}}</x:v>
      </x:c>
      <x:c r="D89" s="352" t="str">
        <x:v>{"type":"Feature","geometry":{"type":"Point","coordinates":[35.2332,31.9522]},"properties":{"country":"Palestine","iso3":"PSE","region":"Asia","russia_score":"0.5","china_score":"1.25","american_score":"2.5","eu_score":"1.75","dominant_actor":"United States","dominant_score":"2.5","dominant_colour":"#FEF3C7"}},</x:v>
      </x:c>
    </x:row>
    <x:row r="90">
      <x:c r="A90" s="352" t="str">
        <x:v>Papua New Guinea</x:v>
      </x:c>
      <x:c r="B90" s="352" t="str">
        <x:v>PNG</x:v>
      </x:c>
      <x:c r="C90" s="352" t="str">
        <x:v>{"type":"Feature","geometry":{"type":"Point","coordinates":[147,-6]},"properties":{"country":"Papua New Guinea","iso3":"PNG","region":"Oceania","russia_score":"0.5","china_score":"3.25","american_score":"1.75","eu_score":"1","dominant_actor":"China","dominant_score":"3.25","dominant_colour":"#FEF3C7"}}</x:v>
      </x:c>
      <x:c r="D90" s="352" t="str">
        <x:v>{"type":"Feature","geometry":{"type":"Point","coordinates":[147,-6]},"properties":{"country":"Papua New Guinea","iso3":"PNG","region":"Oceania","russia_score":"0.5","china_score":"3.25","american_score":"1.75","eu_score":"1","dominant_actor":"China","dominant_score":"3.25","dominant_colour":"#FEF3C7"}},</x:v>
      </x:c>
    </x:row>
    <x:row r="91">
      <x:c r="A91" s="352" t="str">
        <x:v>Peru</x:v>
      </x:c>
      <x:c r="B91" s="352" t="str">
        <x:v>PER</x:v>
      </x:c>
      <x:c r="C91" s="352" t="str">
        <x:v>{"type":"Feature","geometry":{"type":"Point","coordinates":[-76,-10]},"properties":{"country":"Peru","iso3":"PER","region":"Americas","russia_score":"1.25","china_score":"1.5","american_score":"2.75","eu_score":"1.75","dominant_actor":"United States","dominant_score":"2.75","dominant_colour":"#FEF3C7"}}</x:v>
      </x:c>
      <x:c r="D91" s="352" t="str">
        <x:v>{"type":"Feature","geometry":{"type":"Point","coordinates":[-76,-10]},"properties":{"country":"Peru","iso3":"PER","region":"Americas","russia_score":"1.25","china_score":"1.5","american_score":"2.75","eu_score":"1.75","dominant_actor":"United States","dominant_score":"2.75","dominant_colour":"#FEF3C7"}},</x:v>
      </x:c>
    </x:row>
    <x:row r="92">
      <x:c r="A92" s="352" t="str">
        <x:v>Philippines</x:v>
      </x:c>
      <x:c r="B92" s="352" t="str">
        <x:v>PHL</x:v>
      </x:c>
      <x:c r="C92" s="352" t="str">
        <x:v>{"type":"Feature","geometry":{"type":"Point","coordinates":[122,13]},"properties":{"country":"Philippines","iso3":"PHL","region":"Asia","russia_score":"0.5","china_score":"3.75","american_score":"4.5","eu_score":"1.5","dominant_actor":"United States","dominant_score":"4.5","dominant_colour":"#FCD34D"}}</x:v>
      </x:c>
      <x:c r="D92" s="352" t="str">
        <x:v>{"type":"Feature","geometry":{"type":"Point","coordinates":[122,13]},"properties":{"country":"Philippines","iso3":"PHL","region":"Asia","russia_score":"0.5","china_score":"3.75","american_score":"4.5","eu_score":"1.5","dominant_actor":"United States","dominant_score":"4.5","dominant_colour":"#FCD34D"}},</x:v>
      </x:c>
    </x:row>
    <x:row r="93">
      <x:c r="A93" s="352" t="str">
        <x:v>Poland</x:v>
      </x:c>
      <x:c r="B93" s="352" t="str">
        <x:v>POL</x:v>
      </x:c>
      <x:c r="C93" s="352" t="str">
        <x:v>{"type":"Feature","geometry":{"type":"Point","coordinates":[20,52]},"properties":{"country":"Poland","iso3":"POL","region":"Europe","russia_score":"3","china_score":"1.5","american_score":"3.5","eu_score":"4","dominant_actor":"European Union","dominant_score":"4","dominant_colour":"#FDE68A"}}</x:v>
      </x:c>
      <x:c r="D93" s="352" t="str">
        <x:v>{"type":"Feature","geometry":{"type":"Point","coordinates":[20,52]},"properties":{"country":"Poland","iso3":"POL","region":"Europe","russia_score":"3","china_score":"1.5","american_score":"3.5","eu_score":"4","dominant_actor":"European Union","dominant_score":"4","dominant_colour":"#FDE68A"}},</x:v>
      </x:c>
    </x:row>
    <x:row r="94">
      <x:c r="A94" s="352" t="str">
        <x:v>Qatar</x:v>
      </x:c>
      <x:c r="B94" s="352" t="str">
        <x:v>QAT</x:v>
      </x:c>
      <x:c r="C94" s="352" t="str">
        <x:v>{"type":"Feature","geometry":{"type":"Point","coordinates":[51.25,25.5]},"properties":{"country":"Qatar","iso3":"QAT","region":"Asia","russia_score":"0.5","china_score":"1.25","american_score":"4.75","eu_score":"1.25","dominant_actor":"United States","dominant_score":"4.75","dominant_colour":"#FCD34D"}}</x:v>
      </x:c>
      <x:c r="D94" s="352" t="str">
        <x:v>{"type":"Feature","geometry":{"type":"Point","coordinates":[51.25,25.5]},"properties":{"country":"Qatar","iso3":"QAT","region":"Asia","russia_score":"0.5","china_score":"1.25","american_score":"4.75","eu_score":"1.25","dominant_actor":"United States","dominant_score":"4.75","dominant_colour":"#FCD34D"}},</x:v>
      </x:c>
    </x:row>
    <x:row r="95">
      <x:c r="A95" s="352" t="str">
        <x:v>Republic of the Congo</x:v>
      </x:c>
      <x:c r="B95" s="352" t="str">
        <x:v>COG</x:v>
      </x:c>
      <x:c r="C95" s="352" t="str">
        <x:v>{"type":"Feature","geometry":{"type":"Point","coordinates":[15,-1]},"properties":{"country":"Republic of the Congo","iso3":"COG","region":"Africa","russia_score":"2.25","china_score":"2.25","american_score":"2.75","eu_score":"1.5","dominant_actor":"United States","dominant_score":"2.75","dominant_colour":"#FEF3C7"}}</x:v>
      </x:c>
      <x:c r="D95" s="352" t="str">
        <x:v>{"type":"Feature","geometry":{"type":"Point","coordinates":[15,-1]},"properties":{"country":"Republic of the Congo","iso3":"COG","region":"Africa","russia_score":"2.25","china_score":"2.25","american_score":"2.75","eu_score":"1.5","dominant_actor":"United States","dominant_score":"2.75","dominant_colour":"#FEF3C7"}},</x:v>
      </x:c>
    </x:row>
    <x:row r="96">
      <x:c r="A96" s="352" t="str">
        <x:v>Romania</x:v>
      </x:c>
      <x:c r="B96" s="352" t="str">
        <x:v>ROU</x:v>
      </x:c>
      <x:c r="C96" s="352" t="str">
        <x:v>{"type":"Feature","geometry":{"type":"Point","coordinates":[25,46]},"properties":{"country":"Romania","iso3":"ROU","region":"Europe","russia_score":"2.75","china_score":"1.5","american_score":"3.5","eu_score":"4","dominant_actor":"European Union","dominant_score":"4","dominant_colour":"#FDE68A"}}</x:v>
      </x:c>
      <x:c r="D96" s="352" t="str">
        <x:v>{"type":"Feature","geometry":{"type":"Point","coordinates":[25,46]},"properties":{"country":"Romania","iso3":"ROU","region":"Europe","russia_score":"2.75","china_score":"1.5","american_score":"3.5","eu_score":"4","dominant_actor":"European Union","dominant_score":"4","dominant_colour":"#FDE68A"}},</x:v>
      </x:c>
    </x:row>
    <x:row r="97">
      <x:c r="A97" s="352" t="str">
        <x:v>Russia</x:v>
      </x:c>
      <x:c r="B97" s="352" t="str">
        <x:v>RUS</x:v>
      </x:c>
      <x:c r="C97" s="352" t="str">
        <x:v>{"type":"Feature","geometry":{"type":"Point","coordinates":[100,60]},"properties":{"country":"Russia","iso3":"RUS","region":"Europe","russia_score":"8.25","china_score":"1.5","american_score":"3.25","eu_score":"0.75","dominant_actor":"Russia","dominant_score":"8.25","dominant_colour":"#F97316"}}</x:v>
      </x:c>
      <x:c r="D97" s="352" t="str">
        <x:v>{"type":"Feature","geometry":{"type":"Point","coordinates":[100,60]},"properties":{"country":"Russia","iso3":"RUS","region":"Europe","russia_score":"8.25","china_score":"1.5","american_score":"3.25","eu_score":"0.75","dominant_actor":"Russia","dominant_score":"8.25","dominant_colour":"#F97316"}},</x:v>
      </x:c>
    </x:row>
    <x:row r="98">
      <x:c r="A98" s="352" t="str">
        <x:v>Rwanda</x:v>
      </x:c>
      <x:c r="B98" s="352" t="str">
        <x:v>RWA</x:v>
      </x:c>
      <x:c r="C98" s="352" t="str">
        <x:v>{"type":"Feature","geometry":{"type":"Point","coordinates":[30,-2]},"properties":{"country":"Rwanda","iso3":"RWA","region":"Africa","russia_score":"1.75","china_score":"2","american_score":"2.75","eu_score":"1.5","dominant_actor":"United States","dominant_score":"2.75","dominant_colour":"#FEF3C7"}}</x:v>
      </x:c>
      <x:c r="D98" s="352" t="str">
        <x:v>{"type":"Feature","geometry":{"type":"Point","coordinates":[30,-2]},"properties":{"country":"Rwanda","iso3":"RWA","region":"Africa","russia_score":"1.75","china_score":"2","american_score":"2.75","eu_score":"1.5","dominant_actor":"United States","dominant_score":"2.75","dominant_colour":"#FEF3C7"}},</x:v>
      </x:c>
    </x:row>
    <x:row r="99">
      <x:c r="A99" s="352" t="str">
        <x:v>Samoa</x:v>
      </x:c>
      <x:c r="B99" s="352" t="str">
        <x:v>WSM</x:v>
      </x:c>
      <x:c r="C99" s="352" t="str">
        <x:v>{"type":"Feature","geometry":{"type":"Point","coordinates":[-172.333333,-13.583333]},"properties":{"country":"Samoa","iso3":"WSM","region":"Oceania","russia_score":"0.5","china_score":"3.25","american_score":"1.75","eu_score":"1","dominant_actor":"China","dominant_score":"3.25","dominant_colour":"#FEF3C7"}}</x:v>
      </x:c>
      <x:c r="D99" s="352" t="str">
        <x:v>{"type":"Feature","geometry":{"type":"Point","coordinates":[-172.333333,-13.583333]},"properties":{"country":"Samoa","iso3":"WSM","region":"Oceania","russia_score":"0.5","china_score":"3.25","american_score":"1.75","eu_score":"1","dominant_actor":"China","dominant_score":"3.25","dominant_colour":"#FEF3C7"}},</x:v>
      </x:c>
    </x:row>
    <x:row r="100">
      <x:c r="A100" s="352" t="str">
        <x:v>Saudi Arabia</x:v>
      </x:c>
      <x:c r="B100" s="352" t="str">
        <x:v>SAU</x:v>
      </x:c>
      <x:c r="C100" s="352" t="str">
        <x:v>{"type":"Feature","geometry":{"type":"Point","coordinates":[45,25]},"properties":{"country":"Saudi Arabia","iso3":"SAU","region":"Asia","russia_score":"0.5","china_score":"1.25","american_score":"4.75","eu_score":"1.25","dominant_actor":"United States","dominant_score":"4.75","dominant_colour":"#FCD34D"}}</x:v>
      </x:c>
      <x:c r="D100" s="352" t="str">
        <x:v>{"type":"Feature","geometry":{"type":"Point","coordinates":[45,25]},"properties":{"country":"Saudi Arabia","iso3":"SAU","region":"Asia","russia_score":"0.5","china_score":"1.25","american_score":"4.75","eu_score":"1.25","dominant_actor":"United States","dominant_score":"4.75","dominant_colour":"#FCD34D"}},</x:v>
      </x:c>
    </x:row>
    <x:row r="101">
      <x:c r="A101" s="352" t="str">
        <x:v>Serbia</x:v>
      </x:c>
      <x:c r="B101" s="352" t="str">
        <x:v>SRB</x:v>
      </x:c>
      <x:c r="C101" s="352" t="str">
        <x:v>{"type":"Feature","geometry":{"type":"Point","coordinates":[16.428418,44.130502]},"properties":{"country":"Serbia","iso3":"SRB","region":"Europe","russia_score":"3.75","china_score":"1.5","american_score":"2.5","eu_score":"2.75","dominant_actor":"Russia","dominant_score":"3.75","dominant_colour":"#FDE68A"}}</x:v>
      </x:c>
      <x:c r="D101" s="352" t="str">
        <x:v>{"type":"Feature","geometry":{"type":"Point","coordinates":[16.428418,44.130502]},"properties":{"country":"Serbia","iso3":"SRB","region":"Europe","russia_score":"3.75","china_score":"1.5","american_score":"2.5","eu_score":"2.75","dominant_actor":"Russia","dominant_score":"3.75","dominant_colour":"#FDE68A"}},</x:v>
      </x:c>
    </x:row>
    <x:row r="102">
      <x:c r="A102" s="352" t="str">
        <x:v>Singapore</x:v>
      </x:c>
      <x:c r="B102" s="352" t="str">
        <x:v>SGP</x:v>
      </x:c>
      <x:c r="C102" s="352" t="str">
        <x:v>{"type":"Feature","geometry":{"type":"Point","coordinates":[103.8,1.366667]},"properties":{"country":"Singapore","iso3":"SGP","region":"Asia","russia_score":"0.5","china_score":"3","american_score":"2.75","eu_score":"1.25","dominant_actor":"China","dominant_score":"3","dominant_colour":"#FEF3C7"}}</x:v>
      </x:c>
      <x:c r="D102" s="352" t="str">
        <x:v>{"type":"Feature","geometry":{"type":"Point","coordinates":[103.8,1.366667]},"properties":{"country":"Singapore","iso3":"SGP","region":"Asia","russia_score":"0.5","china_score":"3","american_score":"2.75","eu_score":"1.25","dominant_actor":"China","dominant_score":"3","dominant_colour":"#FEF3C7"}},</x:v>
      </x:c>
    </x:row>
    <x:row r="103">
      <x:c r="A103" s="352" t="str">
        <x:v>Slovakia</x:v>
      </x:c>
      <x:c r="B103" s="352" t="str">
        <x:v>SVK</x:v>
      </x:c>
      <x:c r="C103" s="352" t="str">
        <x:v>{"type":"Feature","geometry":{"type":"Point","coordinates":[19.5,48.666667]},"properties":{"country":"Slovakia","iso3":"SVK","region":"Europe","russia_score":"2.75","china_score":"1.5","american_score":"3.5","eu_score":"4","dominant_actor":"European Union","dominant_score":"4","dominant_colour":"#FDE68A"}}</x:v>
      </x:c>
      <x:c r="D103" s="352" t="str">
        <x:v>{"type":"Feature","geometry":{"type":"Point","coordinates":[19.5,48.666667]},"properties":{"country":"Slovakia","iso3":"SVK","region":"Europe","russia_score":"2.75","china_score":"1.5","american_score":"3.5","eu_score":"4","dominant_actor":"European Union","dominant_score":"4","dominant_colour":"#FDE68A"}},</x:v>
      </x:c>
    </x:row>
    <x:row r="104">
      <x:c r="A104" s="352" t="str">
        <x:v>Solomon Islands</x:v>
      </x:c>
      <x:c r="B104" s="352" t="str">
        <x:v>SLB</x:v>
      </x:c>
      <x:c r="C104" s="352" t="str">
        <x:v>{"type":"Feature","geometry":{"type":"Point","coordinates":[159,-8]},"properties":{"country":"Solomon Islands","iso3":"SLB","region":"Oceania","russia_score":"0.5","china_score":"3.25","american_score":"1.75","eu_score":"1","dominant_actor":"China","dominant_score":"3.25","dominant_colour":"#FEF3C7"}}</x:v>
      </x:c>
      <x:c r="D104" s="352" t="str">
        <x:v>{"type":"Feature","geometry":{"type":"Point","coordinates":[159,-8]},"properties":{"country":"Solomon Islands","iso3":"SLB","region":"Oceania","russia_score":"0.5","china_score":"3.25","american_score":"1.75","eu_score":"1","dominant_actor":"China","dominant_score":"3.25","dominant_colour":"#FEF3C7"}},</x:v>
      </x:c>
    </x:row>
    <x:row r="105">
      <x:c r="A105" s="352" t="str">
        <x:v>South Africa</x:v>
      </x:c>
      <x:c r="B105" s="352" t="str">
        <x:v>ZAF</x:v>
      </x:c>
      <x:c r="C105" s="352" t="str">
        <x:v>{"type":"Feature","geometry":{"type":"Point","coordinates":[24,-29]},"properties":{"country":"South Africa","iso3":"ZAF","region":"Africa","russia_score":"2","china_score":"2.75","american_score":"2.75","eu_score":"1.5","dominant_actor":"China","dominant_score":"2.75","dominant_colour":"#FEF3C7"}}</x:v>
      </x:c>
      <x:c r="D105" s="352" t="str">
        <x:v>{"type":"Feature","geometry":{"type":"Point","coordinates":[24,-29]},"properties":{"country":"South Africa","iso3":"ZAF","region":"Africa","russia_score":"2","china_score":"2.75","american_score":"2.75","eu_score":"1.5","dominant_actor":"China","dominant_score":"2.75","dominant_colour":"#FEF3C7"}},</x:v>
      </x:c>
    </x:row>
    <x:row r="106">
      <x:c r="A106" s="352" t="str">
        <x:v>South Korea</x:v>
      </x:c>
      <x:c r="B106" s="352" t="str">
        <x:v>KOR</x:v>
      </x:c>
      <x:c r="C106" s="352" t="str">
        <x:v>{"type":"Feature","geometry":{"type":"Point","coordinates":[127.5,37]},"properties":{"country":"South Korea","iso3":"KOR","region":"Asia","russia_score":"1.25","china_score":"3","american_score":"5","eu_score":"1.75","dominant_actor":"United States","dominant_score":"5","dominant_colour":"#FCD34D"}}</x:v>
      </x:c>
      <x:c r="D106" s="352" t="str">
        <x:v>{"type":"Feature","geometry":{"type":"Point","coordinates":[127.5,37]},"properties":{"country":"South Korea","iso3":"KOR","region":"Asia","russia_score":"1.25","china_score":"3","american_score":"5","eu_score":"1.75","dominant_actor":"United States","dominant_score":"5","dominant_colour":"#FCD34D"}},</x:v>
      </x:c>
    </x:row>
    <x:row r="107">
      <x:c r="A107" s="352" t="str">
        <x:v>Spain</x:v>
      </x:c>
      <x:c r="B107" s="352" t="str">
        <x:v>ESP</x:v>
      </x:c>
      <x:c r="C107" s="352" t="str">
        <x:v>{"type":"Feature","geometry":{"type":"Point","coordinates":[-4,40]},"properties":{"country":"Spain","iso3":"ESP","region":"Europe","russia_score":"2.5","china_score":"2","american_score":"3.5","eu_score":"4","dominant_actor":"European Union","dominant_score":"4","dominant_colour":"#FDE68A"}}</x:v>
      </x:c>
      <x:c r="D107" s="352" t="str">
        <x:v>{"type":"Feature","geometry":{"type":"Point","coordinates":[-4,40]},"properties":{"country":"Spain","iso3":"ESP","region":"Europe","russia_score":"2.5","china_score":"2","american_score":"3.5","eu_score":"4","dominant_actor":"European Union","dominant_score":"4","dominant_colour":"#FDE68A"}},</x:v>
      </x:c>
    </x:row>
    <x:row r="108">
      <x:c r="A108" s="352" t="str">
        <x:v>Sri Lanka</x:v>
      </x:c>
      <x:c r="B108" s="352" t="str">
        <x:v>LKA</x:v>
      </x:c>
      <x:c r="C108" s="352" t="str">
        <x:v>{"type":"Feature","geometry":{"type":"Point","coordinates":[81,7]},"properties":{"country":"Sri Lanka","iso3":"LKA","region":"Asia","russia_score":"0.5","china_score":"2.75","american_score":"2","eu_score":"1.5","dominant_actor":"China","dominant_score":"2.75","dominant_colour":"#FEF3C7"}}</x:v>
      </x:c>
      <x:c r="D108" s="352" t="str">
        <x:v>{"type":"Feature","geometry":{"type":"Point","coordinates":[81,7]},"properties":{"country":"Sri Lanka","iso3":"LKA","region":"Asia","russia_score":"0.5","china_score":"2.75","american_score":"2","eu_score":"1.5","dominant_actor":"China","dominant_score":"2.75","dominant_colour":"#FEF3C7"}},</x:v>
      </x:c>
    </x:row>
    <x:row r="109">
      <x:c r="A109" s="352" t="str">
        <x:v>Sudan</x:v>
      </x:c>
      <x:c r="B109" s="352" t="str">
        <x:v>SDN</x:v>
      </x:c>
      <x:c r="C109" s="352" t="str">
        <x:v>{"type":"Feature","geometry":{"type":"Point","coordinates":[30,15]},"properties":{"country":"Sudan","iso3":"SDN","region":"Africa","russia_score":"6.25","china_score":"3.25","american_score":"2.75","eu_score":"1.5","dominant_actor":"Russia","dominant_score":"6.25","dominant_colour":"#FDBA74"}}</x:v>
      </x:c>
      <x:c r="D109" s="352" t="str">
        <x:v>{"type":"Feature","geometry":{"type":"Point","coordinates":[30,15]},"properties":{"country":"Sudan","iso3":"SDN","region":"Africa","russia_score":"6.25","china_score":"3.25","american_score":"2.75","eu_score":"1.5","dominant_actor":"Russia","dominant_score":"6.25","dominant_colour":"#FDBA74"}},</x:v>
      </x:c>
    </x:row>
    <x:row r="110">
      <x:c r="A110" s="352" t="str">
        <x:v>Sweden</x:v>
      </x:c>
      <x:c r="B110" s="352" t="str">
        <x:v>SWE</x:v>
      </x:c>
      <x:c r="C110" s="352" t="str">
        <x:v>{"type":"Feature","geometry":{"type":"Point","coordinates":[15,62]},"properties":{"country":"Sweden","iso3":"SWE","region":"Europe","russia_score":"2.5","china_score":"1.5","american_score":"3.5","eu_score":"4","dominant_actor":"European Union","dominant_score":"4","dominant_colour":"#FDE68A"}}</x:v>
      </x:c>
      <x:c r="D110" s="352" t="str">
        <x:v>{"type":"Feature","geometry":{"type":"Point","coordinates":[15,62]},"properties":{"country":"Sweden","iso3":"SWE","region":"Europe","russia_score":"2.5","china_score":"1.5","american_score":"3.5","eu_score":"4","dominant_actor":"European Union","dominant_score":"4","dominant_colour":"#FDE68A"}},</x:v>
      </x:c>
    </x:row>
    <x:row r="111">
      <x:c r="A111" s="352" t="str">
        <x:v>Syria</x:v>
      </x:c>
      <x:c r="B111" s="352" t="str">
        <x:v>SYR</x:v>
      </x:c>
      <x:c r="C111" s="352" t="str">
        <x:v>{"type":"Feature","geometry":{"type":"Point","coordinates":[38,35]},"properties":{"country":"Syria","iso3":"SYR","region":"Asia","russia_score":"6.75","china_score":"1.25","american_score":"5.75","eu_score":"1.25","dominant_actor":"Russia","dominant_score":"6.75","dominant_colour":"#FB923C"}}</x:v>
      </x:c>
      <x:c r="D111" s="352" t="str">
        <x:v>{"type":"Feature","geometry":{"type":"Point","coordinates":[38,35]},"properties":{"country":"Syria","iso3":"SYR","region":"Asia","russia_score":"6.75","china_score":"1.25","american_score":"5.75","eu_score":"1.25","dominant_actor":"Russia","dominant_score":"6.75","dominant_colour":"#FB923C"}},</x:v>
      </x:c>
    </x:row>
    <x:row r="112">
      <x:c r="A112" s="352" t="str">
        <x:v>Taiwan</x:v>
      </x:c>
      <x:c r="B112" s="352" t="str">
        <x:v>TWN</x:v>
      </x:c>
      <x:c r="C112" s="352" t="str">
        <x:v>{"type":"Feature","geometry":{"type":"Point","coordinates":[121,23.5]},"properties":{"country":"Taiwan","iso3":"TWN","region":"Asia","russia_score":"0.5","china_score":"4.25","american_score":"3.75","eu_score":"1.25","dominant_actor":"China","dominant_score":"4.25","dominant_colour":"#FDE68A"}}</x:v>
      </x:c>
      <x:c r="D112" s="352" t="str">
        <x:v>{"type":"Feature","geometry":{"type":"Point","coordinates":[121,23.5]},"properties":{"country":"Taiwan","iso3":"TWN","region":"Asia","russia_score":"0.5","china_score":"4.25","american_score":"3.75","eu_score":"1.25","dominant_actor":"China","dominant_score":"4.25","dominant_colour":"#FDE68A"}},</x:v>
      </x:c>
    </x:row>
    <x:row r="113">
      <x:c r="A113" s="352" t="str">
        <x:v>Tajikistan</x:v>
      </x:c>
      <x:c r="B113" s="352" t="str">
        <x:v>TJK</x:v>
      </x:c>
      <x:c r="C113" s="352" t="str">
        <x:v>{"type":"Feature","geometry":{"type":"Point","coordinates":[71,39]},"properties":{"country":"Tajikistan","iso3":"TJK","region":"Asia","russia_score":"1.75","china_score":"2.5","american_score":"2.25","eu_score":"1.25","dominant_actor":"China","dominant_score":"2.5","dominant_colour":"#FEF3C7"}}</x:v>
      </x:c>
      <x:c r="D113" s="352" t="str">
        <x:v>{"type":"Feature","geometry":{"type":"Point","coordinates":[71,39]},"properties":{"country":"Tajikistan","iso3":"TJK","region":"Asia","russia_score":"1.75","china_score":"2.5","american_score":"2.25","eu_score":"1.25","dominant_actor":"China","dominant_score":"2.5","dominant_colour":"#FEF3C7"}},</x:v>
      </x:c>
    </x:row>
    <x:row r="114">
      <x:c r="A114" s="352" t="str">
        <x:v>Thailand</x:v>
      </x:c>
      <x:c r="B114" s="352" t="str">
        <x:v>THA</x:v>
      </x:c>
      <x:c r="C114" s="352" t="str">
        <x:v>{"type":"Feature","geometry":{"type":"Point","coordinates":[100,15]},"properties":{"country":"Thailand","iso3":"THA","region":"Asia","russia_score":"0.5","china_score":"3.25","american_score":"2","eu_score":"1.25","dominant_actor":"China","dominant_score":"3.25","dominant_colour":"#FEF3C7"}}</x:v>
      </x:c>
      <x:c r="D114" s="352" t="str">
        <x:v>{"type":"Feature","geometry":{"type":"Point","coordinates":[100,15]},"properties":{"country":"Thailand","iso3":"THA","region":"Asia","russia_score":"0.5","china_score":"3.25","american_score":"2","eu_score":"1.25","dominant_actor":"China","dominant_score":"3.25","dominant_colour":"#FEF3C7"}},</x:v>
      </x:c>
    </x:row>
    <x:row r="115">
      <x:c r="A115" s="352" t="str">
        <x:v>Tonga</x:v>
      </x:c>
      <x:c r="B115" s="352" t="str">
        <x:v>TON</x:v>
      </x:c>
      <x:c r="C115" s="352" t="str">
        <x:v>{"type":"Feature","geometry":{"type":"Point","coordinates":[-175,-20]},"properties":{"country":"Tonga","iso3":"TON","region":"Oceania","russia_score":"0.5","china_score":"3.25","american_score":"1.75","eu_score":"1","dominant_actor":"China","dominant_score":"3.25","dominant_colour":"#FEF3C7"}}</x:v>
      </x:c>
      <x:c r="D115" s="352" t="str">
        <x:v>{"type":"Feature","geometry":{"type":"Point","coordinates":[-175,-20]},"properties":{"country":"Tonga","iso3":"TON","region":"Oceania","russia_score":"0.5","china_score":"3.25","american_score":"1.75","eu_score":"1","dominant_actor":"China","dominant_score":"3.25","dominant_colour":"#FEF3C7"}},</x:v>
      </x:c>
    </x:row>
    <x:row r="116">
      <x:c r="A116" s="352" t="str">
        <x:v>Turkey</x:v>
      </x:c>
      <x:c r="B116" s="352" t="str">
        <x:v>TUR</x:v>
      </x:c>
      <x:c r="C116" s="352" t="str">
        <x:v>{"type":"Feature","geometry":{"type":"Point","coordinates":[35,39]},"properties":{"country":"Turkey","iso3":"TUR","region":"Asia","russia_score":"0.5","china_score":"1.25","american_score":"3.5","eu_score":"3","dominant_actor":"United States","dominant_score":"3.5","dominant_colour":"#FDE68A"}}</x:v>
      </x:c>
      <x:c r="D116" s="352" t="str">
        <x:v>{"type":"Feature","geometry":{"type":"Point","coordinates":[35,39]},"properties":{"country":"Turkey","iso3":"TUR","region":"Asia","russia_score":"0.5","china_score":"1.25","american_score":"3.5","eu_score":"3","dominant_actor":"United States","dominant_score":"3.5","dominant_colour":"#FDE68A"}},</x:v>
      </x:c>
    </x:row>
    <x:row r="117">
      <x:c r="A117" s="352" t="str">
        <x:v>Turkmenistan</x:v>
      </x:c>
      <x:c r="B117" s="352" t="str">
        <x:v>TKM</x:v>
      </x:c>
      <x:c r="C117" s="352" t="str">
        <x:v>{"type":"Feature","geometry":{"type":"Point","coordinates":[60,40]},"properties":{"country":"Turkmenistan","iso3":"TKM","region":"Asia","russia_score":"1.75","china_score":"2.5","american_score":"2.25","eu_score":"1.25","dominant_actor":"China","dominant_score":"2.5","dominant_colour":"#FEF3C7"}}</x:v>
      </x:c>
      <x:c r="D117" s="352" t="str">
        <x:v>{"type":"Feature","geometry":{"type":"Point","coordinates":[60,40]},"properties":{"country":"Turkmenistan","iso3":"TKM","region":"Asia","russia_score":"1.75","china_score":"2.5","american_score":"2.25","eu_score":"1.25","dominant_actor":"China","dominant_score":"2.5","dominant_colour":"#FEF3C7"}},</x:v>
      </x:c>
    </x:row>
    <x:row r="118">
      <x:c r="A118" s="352" t="str">
        <x:v>Tuvalu</x:v>
      </x:c>
      <x:c r="B118" s="352" t="str">
        <x:v>TUV</x:v>
      </x:c>
      <x:c r="C118" s="352" t="str">
        <x:v>{"type":"Feature","geometry":{"type":"Point","coordinates":[178,-8]},"properties":{"country":"Tuvalu","iso3":"TUV","region":"Oceania","russia_score":"0.5","china_score":"3.25","american_score":"1.75","eu_score":"1","dominant_actor":"China","dominant_score":"3.25","dominant_colour":"#FEF3C7"}}</x:v>
      </x:c>
      <x:c r="D118" s="352" t="str">
        <x:v>{"type":"Feature","geometry":{"type":"Point","coordinates":[178,-8]},"properties":{"country":"Tuvalu","iso3":"TUV","region":"Oceania","russia_score":"0.5","china_score":"3.25","american_score":"1.75","eu_score":"1","dominant_actor":"China","dominant_score":"3.25","dominant_colour":"#FEF3C7"}},</x:v>
      </x:c>
    </x:row>
    <x:row r="119">
      <x:c r="A119" s="352" t="str">
        <x:v>Uganda</x:v>
      </x:c>
      <x:c r="B119" s="352" t="str">
        <x:v>UGA</x:v>
      </x:c>
      <x:c r="C119" s="352" t="str">
        <x:v>{"type":"Feature","geometry":{"type":"Point","coordinates":[32,1]},"properties":{"country":"Uganda","iso3":"UGA","region":"Africa","russia_score":"1.75","china_score":"2","american_score":"2.75","eu_score":"1.5","dominant_actor":"United States","dominant_score":"2.75","dominant_colour":"#FEF3C7"}}</x:v>
      </x:c>
      <x:c r="D119" s="352" t="str">
        <x:v>{"type":"Feature","geometry":{"type":"Point","coordinates":[32,1]},"properties":{"country":"Uganda","iso3":"UGA","region":"Africa","russia_score":"1.75","china_score":"2","american_score":"2.75","eu_score":"1.5","dominant_actor":"United States","dominant_score":"2.75","dominant_colour":"#FEF3C7"}},</x:v>
      </x:c>
    </x:row>
    <x:row r="120">
      <x:c r="A120" s="352" t="str">
        <x:v>Ukraine</x:v>
      </x:c>
      <x:c r="B120" s="352" t="str">
        <x:v>UKR</x:v>
      </x:c>
      <x:c r="C120" s="352" t="str">
        <x:v>{"type":"Feature","geometry":{"type":"Point","coordinates":[32,49]},"properties":{"country":"Ukraine","iso3":"UKR","region":"Europe","russia_score":"9","china_score":"1.5","american_score":"6","eu_score":"4.75","dominant_actor":"Russia","dominant_score":"9","dominant_colour":"#EF4444"}}</x:v>
      </x:c>
      <x:c r="D120" s="352" t="str">
        <x:v>{"type":"Feature","geometry":{"type":"Point","coordinates":[32,49]},"properties":{"country":"Ukraine","iso3":"UKR","region":"Europe","russia_score":"9","china_score":"1.5","american_score":"6","eu_score":"4.75","dominant_actor":"Russia","dominant_score":"9","dominant_colour":"#EF4444"}},</x:v>
      </x:c>
    </x:row>
    <x:row r="121">
      <x:c r="A121" s="352" t="str">
        <x:v>United Arab Emirates</x:v>
      </x:c>
      <x:c r="B121" s="352" t="str">
        <x:v>ARE</x:v>
      </x:c>
      <x:c r="C121" s="352" t="str">
        <x:v>{"type":"Feature","geometry":{"type":"Point","coordinates":[54,24]},"properties":{"country":"United Arab Emirates","iso3":"ARE","region":"Asia","russia_score":"0.5","china_score":"1.25","american_score":"4.75","eu_score":"1.25","dominant_actor":"United States","dominant_score":"4.75","dominant_colour":"#FCD34D"}}</x:v>
      </x:c>
      <x:c r="D121" s="352" t="str">
        <x:v>{"type":"Feature","geometry":{"type":"Point","coordinates":[54,24]},"properties":{"country":"United Arab Emirates","iso3":"ARE","region":"Asia","russia_score":"0.5","china_score":"1.25","american_score":"4.75","eu_score":"1.25","dominant_actor":"United States","dominant_score":"4.75","dominant_colour":"#FCD34D"}},</x:v>
      </x:c>
    </x:row>
    <x:row r="122">
      <x:c r="A122" s="352" t="str">
        <x:v>United Kingdom</x:v>
      </x:c>
      <x:c r="B122" s="352" t="str">
        <x:v>GBR</x:v>
      </x:c>
      <x:c r="C122" s="352" t="str">
        <x:v>{"type":"Feature","geometry":{"type":"Point","coordinates":[-2,54]},"properties":{"country":"United Kingdom","iso3":"GBR","region":"Europe","russia_score":"3","china_score":"2.5","american_score":"4.25","eu_score":"2.75","dominant_actor":"United States","dominant_score":"4.25","dominant_colour":"#FDE68A"}}</x:v>
      </x:c>
      <x:c r="D122" s="352" t="str">
        <x:v>{"type":"Feature","geometry":{"type":"Point","coordinates":[-2,54]},"properties":{"country":"United Kingdom","iso3":"GBR","region":"Europe","russia_score":"3","china_score":"2.5","american_score":"4.25","eu_score":"2.75","dominant_actor":"United States","dominant_score":"4.25","dominant_colour":"#FDE68A"}},</x:v>
      </x:c>
    </x:row>
    <x:row r="123">
      <x:c r="A123" s="352" t="str">
        <x:v>United States</x:v>
      </x:c>
      <x:c r="B123" s="352" t="str">
        <x:v>USA</x:v>
      </x:c>
      <x:c r="C123" s="352" t="str">
        <x:v>{"type":"Feature","geometry":{"type":"Point","coordinates":[-97,38]},"properties":{"country":"United States","iso3":"USA","region":"Americas","russia_score":"3.25","china_score":"3","american_score":"7.75","eu_score":"1.5","dominant_actor":"United States","dominant_score":"7.75","dominant_colour":"#F97316"}}</x:v>
      </x:c>
      <x:c r="D123" s="352" t="str">
        <x:v>{"type":"Feature","geometry":{"type":"Point","coordinates":[-97,38]},"properties":{"country":"United States","iso3":"USA","region":"Americas","russia_score":"3.25","china_score":"3","american_score":"7.75","eu_score":"1.5","dominant_actor":"United States","dominant_score":"7.75","dominant_colour":"#F97316"}},</x:v>
      </x:c>
    </x:row>
    <x:row r="124">
      <x:c r="A124" s="352" t="str">
        <x:v>Uzbekistan</x:v>
      </x:c>
      <x:c r="B124" s="352" t="str">
        <x:v>UZB</x:v>
      </x:c>
      <x:c r="C124" s="352" t="str">
        <x:v>{"type":"Feature","geometry":{"type":"Point","coordinates":[64,41]},"properties":{"country":"Uzbekistan","iso3":"UZB","region":"Asia","russia_score":"1.75","china_score":"2.5","american_score":"2.25","eu_score":"1.25","dominant_actor":"China","dominant_score":"2.5","dominant_colour":"#FEF3C7"}}</x:v>
      </x:c>
      <x:c r="D124" s="352" t="str">
        <x:v>{"type":"Feature","geometry":{"type":"Point","coordinates":[64,41]},"properties":{"country":"Uzbekistan","iso3":"UZB","region":"Asia","russia_score":"1.75","china_score":"2.5","american_score":"2.25","eu_score":"1.25","dominant_actor":"China","dominant_score":"2.5","dominant_colour":"#FEF3C7"}},</x:v>
      </x:c>
    </x:row>
    <x:row r="125">
      <x:c r="A125" s="352" t="str">
        <x:v>Vanuatu</x:v>
      </x:c>
      <x:c r="B125" s="352" t="str">
        <x:v>VUT</x:v>
      </x:c>
      <x:c r="C125" s="352" t="str">
        <x:v>{"type":"Feature","geometry":{"type":"Point","coordinates":[167,-16]},"properties":{"country":"Vanuatu","iso3":"VUT","region":"Oceania","russia_score":"0.5","china_score":"3.25","american_score":"1.75","eu_score":"1","dominant_actor":"China","dominant_score":"3.25","dominant_colour":"#FEF3C7"}}</x:v>
      </x:c>
      <x:c r="D125" s="352" t="str">
        <x:v>{"type":"Feature","geometry":{"type":"Point","coordinates":[167,-16]},"properties":{"country":"Vanuatu","iso3":"VUT","region":"Oceania","russia_score":"0.5","china_score":"3.25","american_score":"1.75","eu_score":"1","dominant_actor":"China","dominant_score":"3.25","dominant_colour":"#FEF3C7"}},</x:v>
      </x:c>
    </x:row>
    <x:row r="126">
      <x:c r="A126" s="352" t="str">
        <x:v>Venezuela</x:v>
      </x:c>
      <x:c r="B126" s="352" t="str">
        <x:v>VEN</x:v>
      </x:c>
      <x:c r="C126" s="352" t="str">
        <x:v>{"type":"Feature","geometry":{"type":"Point","coordinates":[-66,8]},"properties":{"country":"Venezuela","iso3":"VEN","region":"Americas","russia_score":"4.25","china_score":"1.75","american_score":"4.5","eu_score":"1.5","dominant_actor":"United States","dominant_score":"4.5","dominant_colour":"#FCD34D"}}</x:v>
      </x:c>
      <x:c r="D126" s="352" t="str">
        <x:v>{"type":"Feature","geometry":{"type":"Point","coordinates":[-66,8]},"properties":{"country":"Venezuela","iso3":"VEN","region":"Americas","russia_score":"4.25","china_score":"1.75","american_score":"4.5","eu_score":"1.5","dominant_actor":"United States","dominant_score":"4.5","dominant_colour":"#FCD34D"}},</x:v>
      </x:c>
    </x:row>
    <x:row r="127">
      <x:c r="A127" s="352" t="str">
        <x:v>Vietnam</x:v>
      </x:c>
      <x:c r="B127" s="352" t="str">
        <x:v>VNM</x:v>
      </x:c>
      <x:c r="C127" s="352" t="str">
        <x:v>{"type":"Feature","geometry":{"type":"Point","coordinates":[107.833333,16.166667]},"properties":{"country":"Vietnam","iso3":"VNM","region":"Asia","russia_score":"0.5","china_score":"3.5","american_score":"2","eu_score":"1.25","dominant_actor":"China","dominant_score":"3.5","dominant_colour":"#FDE68A"}}</x:v>
      </x:c>
      <x:c r="D127" s="352" t="str">
        <x:v>{"type":"Feature","geometry":{"type":"Point","coordinates":[107.833333,16.166667]},"properties":{"country":"Vietnam","iso3":"VNM","region":"Asia","russia_score":"0.5","china_score":"3.5","american_score":"2","eu_score":"1.25","dominant_actor":"China","dominant_score":"3.5","dominant_colour":"#FDE68A"}},</x:v>
      </x:c>
    </x:row>
    <x:row r="128">
      <x:c r="A128" s="352" t="str">
        <x:v>Western Sahara</x:v>
      </x:c>
      <x:c r="B128" s="352" t="str">
        <x:v>ESH</x:v>
      </x:c>
      <x:c r="C128" s="352" t="str">
        <x:v>{"type":"Feature","geometry":{"type":"Point","coordinates":[-13,24.5]},"properties":{"country":"Western Sahara","iso3":"ESH","region":"Africa","russia_score":"1.75","china_score":"2","american_score":"2.75","eu_score":"1.5","dominant_actor":"United States","dominant_score":"2.75","dominant_colour":"#FEF3C7"}}</x:v>
      </x:c>
      <x:c r="D128" s="352" t="str">
        <x:v>{"type":"Feature","geometry":{"type":"Point","coordinates":[-13,24.5]},"properties":{"country":"Western Sahara","iso3":"ESH","region":"Africa","russia_score":"1.75","china_score":"2","american_score":"2.75","eu_score":"1.5","dominant_actor":"United States","dominant_score":"2.75","dominant_colour":"#FEF3C7"}},</x:v>
      </x:c>
    </x:row>
    <x:row r="129">
      <x:c r="A129" s="352" t="str">
        <x:v>Zimbabwe</x:v>
      </x:c>
      <x:c r="B129" s="352" t="str">
        <x:v>ZWE</x:v>
      </x:c>
      <x:c r="C129" s="352" t="str">
        <x:v>{"type":"Feature","geometry":{"type":"Point","coordinates":[30,-20]},"properties":{"country":"Zimbabwe","iso3":"ZWE","region":"Africa","russia_score":"3","china_score":"2.75","american_score":"2.75","eu_score":"1.75","dominant_actor":"Russia","dominant_score":"3","dominant_colour":"#FEF3C7"}}</x:v>
      </x:c>
      <x:c r="D129" s="352" t="str">
        <x:v>{"type":"Feature","geometry":{"type":"Point","coordinates":[30,-20]},"properties":{"country":"Zimbabwe","iso3":"ZWE","region":"Africa","russia_score":"3","china_score":"2.75","american_score":"2.75","eu_score":"1.75","dominant_actor":"Russia","dominant_score":"3","dominant_colour":"#FEF3C7"}}</x:v>
      </x:c>
    </x:row>
    <x:row r="130">
      <x:c r="A130" s="352"/>
      <x:c r="B130" s="352"/>
      <x:c r="C130" s="352"/>
      <x:c r="D130" s="352"/>
    </x:row>
    <x:row r="131">
      <x:c r="A131" s="352" t="str">
        <x:v>FeatureCollection suffix</x:v>
      </x:c>
      <x:c r="B131" s="352"/>
      <x:c r="C131" s="352" t="str">
        <x:v>]}</x:v>
      </x:c>
      <x:c r="D131" s="352" t="str">
        <x:v>Copy after feature rows</x:v>
      </x:c>
    </x:row>
    <x:row r="132">
      <x:c r="A132" s="352"/>
      <x:c r="B132" s="352"/>
      <x:c r="C132" s="352"/>
      <x:c r="D132" s="352"/>
    </x:row>
    <x:row r="133">
      <x:c r="A133" s="352"/>
      <x:c r="B133" s="352"/>
      <x:c r="C133" s="352"/>
      <x:c r="D133" s="352"/>
    </x:row>
    <x:row r="134">
      <x:c r="A134" s="352"/>
      <x:c r="B134" s="352"/>
      <x:c r="C134" s="352"/>
      <x:c r="D134" s="352"/>
    </x:row>
    <x:row r="135">
      <x:c r="A135" s="352"/>
      <x:c r="B135" s="352"/>
      <x:c r="C135" s="352"/>
      <x:c r="D135" s="352"/>
    </x:row>
    <x:row r="136">
      <x:c r="A136" s="352"/>
      <x:c r="B136" s="352"/>
      <x:c r="C136" s="352"/>
      <x:c r="D136" s="352"/>
    </x:row>
    <x:row r="137">
      <x:c r="A137" s="352"/>
      <x:c r="B137" s="352"/>
      <x:c r="C137" s="352"/>
      <x:c r="D137" s="352"/>
    </x:row>
    <x:row r="138">
      <x:c r="A138" s="352"/>
      <x:c r="B138" s="352"/>
      <x:c r="C138" s="352"/>
      <x:c r="D138" s="352"/>
    </x:row>
    <x:row r="139">
      <x:c r="A139" s="352"/>
      <x:c r="B139" s="352"/>
      <x:c r="C139" s="352"/>
      <x:c r="D139" s="352"/>
    </x:row>
    <x:row r="140">
      <x:c r="A140" s="352"/>
      <x:c r="B140" s="352"/>
      <x:c r="C140" s="352"/>
      <x:c r="D140" s="352"/>
    </x:row>
    <x:row r="141">
      <x:c r="A141" s="352"/>
      <x:c r="B141" s="352"/>
      <x:c r="C141" s="352"/>
      <x:c r="D141" s="352"/>
    </x:row>
    <x:row r="142">
      <x:c r="A142" s="352"/>
      <x:c r="B142" s="352"/>
      <x:c r="C142" s="352"/>
      <x:c r="D142" s="352"/>
    </x:row>
    <x:row r="143">
      <x:c r="A143" s="352"/>
      <x:c r="B143" s="352"/>
      <x:c r="C143" s="352"/>
      <x:c r="D143" s="352"/>
    </x:row>
    <x:row r="144">
      <x:c r="A144" s="352"/>
      <x:c r="B144" s="352"/>
      <x:c r="C144" s="352"/>
      <x:c r="D144" s="352"/>
    </x:row>
    <x:row r="145">
      <x:c r="A145" s="352"/>
      <x:c r="B145" s="352"/>
      <x:c r="C145" s="352"/>
      <x:c r="D145" s="352"/>
    </x:row>
    <x:row r="146">
      <x:c r="A146" s="352"/>
      <x:c r="B146" s="352"/>
      <x:c r="C146" s="352"/>
      <x:c r="D146" s="352"/>
    </x:row>
    <x:row r="147">
      <x:c r="A147" s="352"/>
      <x:c r="B147" s="352"/>
      <x:c r="C147" s="352"/>
      <x:c r="D147" s="352"/>
    </x:row>
    <x:row r="148">
      <x:c r="A148" s="352"/>
      <x:c r="B148" s="352"/>
      <x:c r="C148" s="352"/>
      <x:c r="D148" s="352"/>
    </x:row>
    <x:row r="149">
      <x:c r="A149" s="352"/>
      <x:c r="B149" s="352"/>
      <x:c r="C149" s="352"/>
      <x:c r="D149" s="352"/>
    </x:row>
    <x:row r="150">
      <x:c r="A150" s="352"/>
      <x:c r="B150" s="352"/>
      <x:c r="C150" s="352"/>
      <x:c r="D150" s="352"/>
    </x:row>
    <x:row r="151">
      <x:c r="A151" s="352"/>
      <x:c r="B151" s="352"/>
      <x:c r="C151" s="352"/>
      <x:c r="D151" s="352"/>
    </x:row>
    <x:row r="152">
      <x:c r="A152" s="352"/>
      <x:c r="B152" s="352"/>
      <x:c r="C152" s="352"/>
      <x:c r="D152" s="352"/>
    </x:row>
    <x:row r="153">
      <x:c r="A153" s="352"/>
      <x:c r="B153" s="352"/>
      <x:c r="C153" s="352"/>
      <x:c r="D153" s="352"/>
    </x:row>
    <x:row r="154">
      <x:c r="A154" s="352"/>
      <x:c r="B154" s="352"/>
      <x:c r="C154" s="352"/>
      <x:c r="D154" s="352"/>
    </x:row>
    <x:row r="155">
      <x:c r="A155" s="352"/>
      <x:c r="B155" s="352"/>
      <x:c r="C155" s="352"/>
      <x:c r="D155" s="352"/>
    </x:row>
    <x:row r="156">
      <x:c r="A156" s="352"/>
      <x:c r="B156" s="352"/>
      <x:c r="C156" s="352"/>
      <x:c r="D156" s="352"/>
    </x:row>
    <x:row r="157">
      <x:c r="A157" s="352"/>
      <x:c r="B157" s="352"/>
      <x:c r="C157" s="352"/>
      <x:c r="D157" s="352"/>
    </x:row>
    <x:row r="158">
      <x:c r="A158" s="352"/>
      <x:c r="B158" s="352"/>
      <x:c r="C158" s="352"/>
      <x:c r="D158" s="352"/>
    </x:row>
    <x:row r="159">
      <x:c r="A159" s="352"/>
      <x:c r="B159" s="352"/>
      <x:c r="C159" s="352"/>
      <x:c r="D159" s="352"/>
    </x:row>
    <x:row r="160">
      <x:c r="A160" s="352"/>
      <x:c r="B160" s="352"/>
      <x:c r="C160" s="352"/>
      <x:c r="D160" s="352"/>
    </x:row>
    <x:row r="161">
      <x:c r="A161" s="352"/>
      <x:c r="B161" s="352"/>
      <x:c r="C161" s="352"/>
      <x:c r="D161" s="352"/>
    </x:row>
    <x:row r="162">
      <x:c r="A162" s="352"/>
      <x:c r="B162" s="352"/>
      <x:c r="C162" s="352"/>
      <x:c r="D162" s="352"/>
    </x:row>
    <x:row r="163">
      <x:c r="A163" s="352"/>
      <x:c r="B163" s="352"/>
      <x:c r="C163" s="352"/>
      <x:c r="D163" s="352"/>
    </x:row>
    <x:row r="164">
      <x:c r="A164" s="352"/>
      <x:c r="B164" s="352"/>
      <x:c r="C164" s="352"/>
      <x:c r="D164" s="352"/>
    </x:row>
    <x:row r="165">
      <x:c r="A165" s="352"/>
      <x:c r="B165" s="352"/>
      <x:c r="C165" s="352"/>
      <x:c r="D165" s="352"/>
    </x:row>
    <x:row r="166">
      <x:c r="A166" s="352"/>
      <x:c r="B166" s="352"/>
      <x:c r="C166" s="352"/>
      <x:c r="D166" s="352"/>
    </x:row>
    <x:row r="167">
      <x:c r="A167" s="352"/>
      <x:c r="B167" s="352"/>
      <x:c r="C167" s="352"/>
      <x:c r="D167" s="352"/>
    </x:row>
    <x:row r="168">
      <x:c r="A168" s="352"/>
      <x:c r="B168" s="352"/>
      <x:c r="C168" s="352"/>
      <x:c r="D168" s="352"/>
    </x:row>
    <x:row r="169">
      <x:c r="A169" s="352"/>
      <x:c r="B169" s="352"/>
      <x:c r="C169" s="352"/>
      <x:c r="D169" s="352"/>
    </x:row>
    <x:row r="170">
      <x:c r="A170" s="352"/>
      <x:c r="B170" s="352"/>
      <x:c r="C170" s="352"/>
      <x:c r="D170" s="352"/>
    </x:row>
    <x:row r="171">
      <x:c r="A171" s="352"/>
      <x:c r="B171" s="352"/>
      <x:c r="C171" s="352"/>
      <x:c r="D171" s="352"/>
    </x:row>
    <x:row r="172">
      <x:c r="A172" s="352"/>
      <x:c r="B172" s="352"/>
      <x:c r="C172" s="352"/>
      <x:c r="D172" s="352"/>
    </x:row>
    <x:row r="173">
      <x:c r="A173" s="352"/>
      <x:c r="B173" s="352"/>
      <x:c r="C173" s="352"/>
      <x:c r="D173" s="352"/>
    </x:row>
    <x:row r="174">
      <x:c r="A174" s="352"/>
      <x:c r="B174" s="352"/>
      <x:c r="C174" s="352"/>
      <x:c r="D174" s="352"/>
    </x:row>
    <x:row r="175">
      <x:c r="A175" s="352"/>
      <x:c r="B175" s="352"/>
      <x:c r="C175" s="352"/>
      <x:c r="D175" s="352"/>
    </x:row>
    <x:row r="176">
      <x:c r="A176" s="352"/>
      <x:c r="B176" s="352"/>
      <x:c r="C176" s="352"/>
      <x:c r="D176" s="352"/>
    </x:row>
    <x:row r="177">
      <x:c r="A177" s="352"/>
      <x:c r="B177" s="352"/>
      <x:c r="C177" s="352"/>
      <x:c r="D177" s="352"/>
    </x:row>
    <x:row r="178">
      <x:c r="A178" s="352"/>
      <x:c r="B178" s="352"/>
      <x:c r="C178" s="352"/>
      <x:c r="D178" s="352"/>
    </x:row>
    <x:row r="179">
      <x:c r="A179" s="352"/>
      <x:c r="B179" s="352"/>
      <x:c r="C179" s="352"/>
      <x:c r="D179" s="352"/>
    </x:row>
    <x:row r="180">
      <x:c r="A180" s="352"/>
      <x:c r="B180" s="352"/>
      <x:c r="C180" s="352"/>
      <x:c r="D180" s="352"/>
    </x:row>
    <x:row r="181">
      <x:c r="A181" s="352"/>
      <x:c r="B181" s="352"/>
      <x:c r="C181" s="352"/>
      <x:c r="D181" s="352"/>
    </x:row>
    <x:row r="182">
      <x:c r="A182" s="352"/>
      <x:c r="B182" s="352"/>
      <x:c r="C182" s="352"/>
      <x:c r="D182" s="352"/>
    </x:row>
    <x:row r="183">
      <x:c r="A183" s="352"/>
      <x:c r="B183" s="352"/>
      <x:c r="C183" s="352"/>
      <x:c r="D183" s="352"/>
    </x:row>
    <x:row r="184">
      <x:c r="A184" s="352"/>
      <x:c r="B184" s="352"/>
      <x:c r="C184" s="352"/>
      <x:c r="D184" s="352"/>
    </x:row>
    <x:row r="185">
      <x:c r="A185" s="352"/>
      <x:c r="B185" s="352"/>
      <x:c r="C185" s="352"/>
      <x:c r="D185" s="352"/>
    </x:row>
    <x:row r="186">
      <x:c r="A186" s="352"/>
      <x:c r="B186" s="352"/>
      <x:c r="C186" s="352"/>
      <x:c r="D186" s="352"/>
    </x:row>
    <x:row r="187">
      <x:c r="A187" s="352"/>
      <x:c r="B187" s="352"/>
      <x:c r="C187" s="352"/>
      <x:c r="D187" s="352"/>
    </x:row>
    <x:row r="188">
      <x:c r="A188" s="352"/>
      <x:c r="B188" s="352"/>
      <x:c r="C188" s="352"/>
      <x:c r="D188" s="352"/>
    </x:row>
    <x:row r="189">
      <x:c r="A189" s="352"/>
      <x:c r="B189" s="352"/>
      <x:c r="C189" s="352"/>
      <x:c r="D189" s="352"/>
    </x:row>
    <x:row r="190">
      <x:c r="A190" s="352"/>
      <x:c r="B190" s="352"/>
      <x:c r="C190" s="352"/>
      <x:c r="D190" s="352"/>
    </x:row>
    <x:row r="191">
      <x:c r="A191" s="352"/>
      <x:c r="B191" s="352"/>
      <x:c r="C191" s="352"/>
      <x:c r="D191" s="352"/>
    </x:row>
    <x:row r="192">
      <x:c r="A192" s="352"/>
      <x:c r="B192" s="352"/>
      <x:c r="C192" s="352"/>
      <x:c r="D192" s="352"/>
    </x:row>
    <x:row r="193">
      <x:c r="A193" s="352"/>
      <x:c r="B193" s="352"/>
      <x:c r="C193" s="352"/>
      <x:c r="D193" s="352"/>
    </x:row>
    <x:row r="194">
      <x:c r="A194" s="352"/>
      <x:c r="B194" s="352"/>
      <x:c r="C194" s="352"/>
      <x:c r="D194" s="352"/>
    </x:row>
    <x:row r="195">
      <x:c r="A195" s="352"/>
      <x:c r="B195" s="352"/>
      <x:c r="C195" s="352"/>
      <x:c r="D195" s="352"/>
    </x:row>
    <x:row r="196">
      <x:c r="A196" s="352"/>
      <x:c r="B196" s="352"/>
      <x:c r="C196" s="352"/>
      <x:c r="D196" s="352"/>
    </x:row>
    <x:row r="197">
      <x:c r="A197" s="352"/>
      <x:c r="B197" s="352"/>
      <x:c r="C197" s="352"/>
      <x:c r="D197" s="352"/>
    </x:row>
    <x:row r="198">
      <x:c r="A198" s="352"/>
      <x:c r="B198" s="352"/>
      <x:c r="C198" s="352"/>
      <x:c r="D198" s="352"/>
    </x:row>
    <x:row r="199">
      <x:c r="A199" s="352"/>
      <x:c r="B199" s="352"/>
      <x:c r="C199" s="352"/>
      <x:c r="D199" s="352"/>
    </x:row>
    <x:row r="200">
      <x:c r="A200" s="352"/>
      <x:c r="B200" s="352"/>
      <x:c r="C200" s="352"/>
      <x:c r="D200" s="352"/>
    </x:row>
    <x:row r="201">
      <x:c r="A201" s="352"/>
      <x:c r="B201" s="352"/>
      <x:c r="C201" s="352"/>
      <x:c r="D201" s="352"/>
    </x:row>
    <x:row r="202">
      <x:c r="A202" s="352"/>
      <x:c r="B202" s="352"/>
      <x:c r="C202" s="352"/>
      <x:c r="D202" s="352"/>
    </x:row>
    <x:row r="203">
      <x:c r="A203" s="352"/>
      <x:c r="B203" s="352"/>
      <x:c r="C203" s="352"/>
      <x:c r="D203" s="352"/>
    </x:row>
    <x:row r="204">
      <x:c r="A204" s="352"/>
      <x:c r="B204" s="352"/>
      <x:c r="C204" s="352"/>
      <x:c r="D204" s="352"/>
    </x:row>
    <x:row r="205">
      <x:c r="A205" s="352"/>
      <x:c r="B205" s="352"/>
      <x:c r="C205" s="352"/>
      <x:c r="D205" s="352"/>
    </x:row>
    <x:row r="206">
      <x:c r="A206" s="352"/>
      <x:c r="B206" s="352"/>
      <x:c r="C206" s="352"/>
      <x:c r="D206" s="352"/>
    </x:row>
    <x:row r="207">
      <x:c r="A207" s="352"/>
      <x:c r="B207" s="352"/>
      <x:c r="C207" s="352"/>
      <x:c r="D207" s="352"/>
    </x:row>
    <x:row r="208">
      <x:c r="A208" s="352"/>
      <x:c r="B208" s="352"/>
      <x:c r="C208" s="352"/>
      <x:c r="D208" s="352"/>
    </x:row>
    <x:row r="209">
      <x:c r="A209" s="352"/>
      <x:c r="B209" s="352"/>
      <x:c r="C209" s="352"/>
      <x:c r="D209" s="352"/>
    </x:row>
    <x:row r="210">
      <x:c r="A210" s="352"/>
      <x:c r="B210" s="352"/>
      <x:c r="C210" s="352"/>
      <x:c r="D210" s="352"/>
    </x:row>
    <x:row r="211">
      <x:c r="A211" s="352"/>
      <x:c r="B211" s="352"/>
      <x:c r="C211" s="352"/>
      <x:c r="D211" s="352"/>
    </x:row>
    <x:row r="212">
      <x:c r="A212" s="352"/>
      <x:c r="B212" s="352"/>
      <x:c r="C212" s="352"/>
      <x:c r="D212" s="352"/>
    </x:row>
    <x:row r="213">
      <x:c r="A213" s="352"/>
      <x:c r="B213" s="352"/>
      <x:c r="C213" s="352"/>
      <x:c r="D213" s="352"/>
    </x:row>
    <x:row r="214">
      <x:c r="A214" s="352"/>
      <x:c r="B214" s="352"/>
      <x:c r="C214" s="352"/>
      <x:c r="D214" s="352"/>
    </x:row>
    <x:row r="215">
      <x:c r="A215" s="352"/>
      <x:c r="B215" s="352"/>
      <x:c r="C215" s="352"/>
      <x:c r="D215" s="352"/>
    </x:row>
    <x:row r="216">
      <x:c r="A216" s="352"/>
      <x:c r="B216" s="352"/>
      <x:c r="C216" s="352"/>
      <x:c r="D216" s="352"/>
    </x:row>
    <x:row r="217">
      <x:c r="A217" s="352"/>
      <x:c r="B217" s="352"/>
      <x:c r="C217" s="352"/>
      <x:c r="D217" s="352"/>
    </x:row>
    <x:row r="218">
      <x:c r="A218" s="352"/>
      <x:c r="B218" s="352"/>
      <x:c r="C218" s="352"/>
      <x:c r="D218" s="352"/>
    </x:row>
    <x:row r="219">
      <x:c r="A219" s="352"/>
      <x:c r="B219" s="352"/>
      <x:c r="C219" s="352"/>
      <x:c r="D219" s="352"/>
    </x:row>
    <x:row r="220">
      <x:c r="A220" s="352"/>
      <x:c r="B220" s="352"/>
      <x:c r="C220" s="352"/>
      <x:c r="D220" s="352"/>
    </x:row>
    <x:row r="221">
      <x:c r="A221" s="352"/>
      <x:c r="B221" s="352"/>
      <x:c r="C221" s="352"/>
      <x:c r="D221" s="352"/>
    </x:row>
    <x:row r="222">
      <x:c r="A222" s="352"/>
      <x:c r="B222" s="352"/>
      <x:c r="C222" s="352"/>
      <x:c r="D222" s="352"/>
    </x:row>
    <x:row r="223">
      <x:c r="A223" s="352"/>
      <x:c r="B223" s="352"/>
      <x:c r="C223" s="352"/>
      <x:c r="D223" s="352"/>
    </x:row>
    <x:row r="224">
      <x:c r="A224" s="352"/>
      <x:c r="B224" s="352"/>
      <x:c r="C224" s="352"/>
      <x:c r="D224" s="352"/>
    </x:row>
    <x:row r="225">
      <x:c r="A225" s="352"/>
      <x:c r="B225" s="352"/>
      <x:c r="C225" s="352"/>
      <x:c r="D225" s="352"/>
    </x:row>
    <x:row r="226">
      <x:c r="A226" s="352"/>
      <x:c r="B226" s="352"/>
      <x:c r="C226" s="352"/>
      <x:c r="D226" s="352"/>
    </x:row>
    <x:row r="227">
      <x:c r="A227" s="352"/>
      <x:c r="B227" s="352"/>
      <x:c r="C227" s="352"/>
      <x:c r="D227" s="352"/>
    </x:row>
    <x:row r="228">
      <x:c r="A228" s="352"/>
      <x:c r="B228" s="352"/>
      <x:c r="C228" s="352"/>
      <x:c r="D228" s="352"/>
    </x:row>
    <x:row r="229">
      <x:c r="A229" s="352"/>
      <x:c r="B229" s="352"/>
      <x:c r="C229" s="352"/>
      <x:c r="D229" s="352"/>
    </x:row>
    <x:row r="230">
      <x:c r="A230" s="352"/>
      <x:c r="B230" s="352"/>
      <x:c r="C230" s="352"/>
      <x:c r="D230" s="352"/>
    </x:row>
    <x:row r="231">
      <x:c r="A231" s="352"/>
      <x:c r="B231" s="352"/>
      <x:c r="C231" s="352"/>
      <x:c r="D231" s="352"/>
    </x:row>
    <x:row r="232">
      <x:c r="A232" s="352"/>
      <x:c r="B232" s="352"/>
      <x:c r="C232" s="352"/>
      <x:c r="D232" s="352"/>
    </x:row>
    <x:row r="233">
      <x:c r="A233" s="352"/>
      <x:c r="B233" s="352"/>
      <x:c r="C233" s="352"/>
      <x:c r="D233" s="352"/>
    </x:row>
    <x:row r="234">
      <x:c r="A234" s="352"/>
      <x:c r="B234" s="352"/>
      <x:c r="C234" s="352"/>
      <x:c r="D234" s="352"/>
    </x:row>
    <x:row r="235">
      <x:c r="A235" s="352"/>
      <x:c r="B235" s="352"/>
      <x:c r="C235" s="352"/>
      <x:c r="D235" s="352"/>
    </x:row>
    <x:row r="236">
      <x:c r="A236" s="352"/>
      <x:c r="B236" s="352"/>
      <x:c r="C236" s="352"/>
      <x:c r="D236" s="352"/>
    </x:row>
    <x:row r="237">
      <x:c r="A237" s="352"/>
      <x:c r="B237" s="352"/>
      <x:c r="C237" s="352"/>
      <x:c r="D237" s="352"/>
    </x:row>
    <x:row r="238">
      <x:c r="A238" s="352"/>
      <x:c r="B238" s="352"/>
      <x:c r="C238" s="352"/>
      <x:c r="D238" s="352"/>
    </x:row>
    <x:row r="239">
      <x:c r="A239" s="352"/>
      <x:c r="B239" s="352"/>
      <x:c r="C239" s="352"/>
      <x:c r="D239" s="352"/>
    </x:row>
    <x:row r="240">
      <x:c r="A240" s="352"/>
      <x:c r="B240" s="352"/>
      <x:c r="C240" s="352"/>
      <x:c r="D240" s="352"/>
    </x:row>
    <x:row r="241">
      <x:c r="A241" s="352"/>
      <x:c r="B241" s="352"/>
      <x:c r="C241" s="352"/>
      <x:c r="D241" s="352"/>
    </x:row>
    <x:row r="242">
      <x:c r="A242" s="352"/>
      <x:c r="B242" s="352"/>
      <x:c r="C242" s="352"/>
      <x:c r="D242" s="352"/>
    </x:row>
    <x:row r="243">
      <x:c r="A243" s="352"/>
      <x:c r="B243" s="352"/>
      <x:c r="C243" s="352"/>
      <x:c r="D243" s="352"/>
    </x:row>
    <x:row r="244">
      <x:c r="A244" s="352"/>
      <x:c r="B244" s="352"/>
      <x:c r="C244" s="352"/>
      <x:c r="D244" s="352"/>
    </x:row>
    <x:row r="245">
      <x:c r="A245" s="352"/>
      <x:c r="B245" s="352"/>
      <x:c r="C245" s="352"/>
      <x:c r="D245" s="352"/>
    </x:row>
    <x:row r="246">
      <x:c r="A246" s="352"/>
      <x:c r="B246" s="352"/>
      <x:c r="C246" s="352"/>
      <x:c r="D246" s="352"/>
    </x:row>
    <x:row r="247">
      <x:c r="A247" s="352"/>
      <x:c r="B247" s="352"/>
      <x:c r="C247" s="352"/>
      <x:c r="D247" s="352"/>
    </x:row>
    <x:row r="248">
      <x:c r="A248" s="352"/>
      <x:c r="B248" s="352"/>
      <x:c r="C248" s="352"/>
      <x:c r="D248" s="352"/>
    </x:row>
    <x:row r="249">
      <x:c r="A249" s="352"/>
      <x:c r="B249" s="352"/>
      <x:c r="C249" s="352"/>
      <x:c r="D249" s="352"/>
    </x:row>
    <x:row r="250">
      <x:c r="A250" s="352"/>
      <x:c r="B250" s="352"/>
      <x:c r="C250" s="352"/>
      <x:c r="D250" s="352"/>
    </x:row>
    <x:row r="251">
      <x:c r="A251" s="352"/>
      <x:c r="B251" s="352"/>
      <x:c r="C251" s="352"/>
      <x:c r="D251" s="352"/>
    </x:row>
    <x:row r="252">
      <x:c r="A252" s="352"/>
      <x:c r="B252" s="352"/>
      <x:c r="C252" s="352"/>
      <x:c r="D252" s="352"/>
    </x:row>
    <x:row r="253">
      <x:c r="A253" s="352"/>
      <x:c r="B253" s="352"/>
      <x:c r="C253" s="352"/>
      <x:c r="D253" s="352"/>
    </x:row>
    <x:row r="254">
      <x:c r="A254" s="352"/>
      <x:c r="B254" s="352"/>
      <x:c r="C254" s="352"/>
      <x:c r="D254" s="352"/>
    </x:row>
    <x:row r="255">
      <x:c r="A255" s="352"/>
      <x:c r="B255" s="352"/>
      <x:c r="C255" s="352"/>
      <x:c r="D255" s="352"/>
    </x:row>
    <x:row r="256">
      <x:c r="A256" s="352"/>
      <x:c r="B256" s="352"/>
      <x:c r="C256" s="352"/>
      <x:c r="D256" s="352"/>
    </x:row>
    <x:row r="257">
      <x:c r="A257" s="352"/>
      <x:c r="B257" s="352"/>
      <x:c r="C257" s="352"/>
      <x:c r="D257" s="352"/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 ht="28" customHeight="1">
      <x:c r="A1" s="369" t="str">
        <x:v>Leaflet usage notes</x:v>
      </x:c>
      <x:c r="B1" s="369"/>
    </x:row>
    <x:row r="2">
      <x:c r="A2"/>
      <x:c r="B2"/>
    </x:row>
    <x:row r="3">
      <x:c r="A3" s="370" t="str">
        <x:v>Snippet / note</x:v>
      </x:c>
      <x:c r="B3" s="370" t="str">
        <x:v>Code / text</x:v>
      </x:c>
    </x:row>
    <x:row r="4">
      <x:c r="A4" s="352" t="str">
        <x:v>Point layer</x:v>
      </x:c>
      <x:c r="B4" s="352" t="str">
        <x:v>const geojson = { type: 'FeatureCollection', features: [ /* paste GeoJSON_Export!D7:D129 here */ ] };\nL.geoJSON(geojson, {\n  pointToLayer: (feature, latlng) =&gt; L.circleMarker(latlng, { radius: 6, fillColor: feature.properties.dominant_colour || '#F8FAFC', fillOpacity: 0.8, stroke: true, weight: 1 }),\n  onEachFeature: (feature, layer) =&gt; {\n    const p = feature.properties;\n    layer.bindPopup(`${p.country}&lt;br&gt;Dominant: ${p.dominant_actor}&lt;br&gt;Score: ${p.dominant_score}`);\n  }\n}).addTo(map);</x:v>
      </x:c>
    </x:row>
    <x:row r="5">
      <x:c r="A5" s="352" t="str">
        <x:v>Colour style</x:v>
      </x:c>
      <x:c r="B5" s="352" t="str">
        <x:v>Use feature.properties.dominant_colour for marker fill or polygon fill. Blank/no data uses neutral #F8FAFC.</x:v>
      </x:c>
    </x:row>
    <x:row r="6">
      <x:c r="A6" s="352" t="str">
        <x:v>Polygon join</x:v>
      </x:c>
      <x:c r="B6" s="352" t="str">
        <x:v>For country polygons, join a boundary GeoJSON/tileset by ISO3 using Map_Data!C or Country_Config!B. Leaflet can render any valid GeoJSON polygon layer.</x:v>
      </x:c>
    </x:row>
    <x:row r="7">
      <x:c r="A7" s="352" t="str">
        <x:v>Why no single full JSON cell</x:v>
      </x:c>
      <x:c r="B7" s="352" t="str">
        <x:v>123 feature rows can exceed Excel's one-cell text limit after scoring/source notes, so the export is row-wise with prefix/suffix.</x:v>
      </x:c>
    </x:row>
    <x:row r="8">
      <x:c r="A8" s="20" t="str">
        <x:v>USA handling</x:v>
      </x:c>
      <x:c r="B8" s="20" t="str">
        <x:v>Join the United States by ISO3=USA. The workbook intentionally has one USA country feature only, not 50 U.S. state features.</x:v>
      </x:c>
    </x:row>
    <x:row r="9">
      <x:c r="A9" t="str">
        <x:v>Scope</x:v>
      </x:c>
      <x:c r="B9" t="str">
        <x:v>Workbook is filtered to the ResurgamHub_Countries sheet only.</x:v>
      </x:c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</x:sheetData>
  <x:mergeCells>
    <x:mergeCell ref="A1:B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46" hidden="0" customWidth="1"/>
    <x:col min="9" max="9" width="56" hidden="0" customWidth="1"/>
    <x:col min="10" max="10" width="32" hidden="0" customWidth="1"/>
  </x:cols>
  <x:sheetData>
    <x:row r="1">
      <x:c r="A1" s="370" t="str">
        <x:v>#</x:v>
      </x:c>
      <x:c r="B1" s="370" t="str">
        <x:v>Normalized_Country_or_Area</x:v>
      </x:c>
      <x:c r="C1" s="370" t="str">
        <x:v>ISO3</x:v>
      </x:c>
      <x:c r="D1" s="370" t="str">
        <x:v>Type</x:v>
      </x:c>
      <x:c r="E1" s="370" t="str">
        <x:v>Region</x:v>
      </x:c>
      <x:c r="F1" s="370" t="str">
        <x:v>Include_for_Leaflet</x:v>
      </x:c>
      <x:c r="G1" s="370" t="str">
        <x:v>Evidence_Source_Group</x:v>
      </x:c>
      <x:c r="H1" s="370" t="str">
        <x:v>Example_Source_URL</x:v>
      </x:c>
      <x:c r="I1" s="370" t="str">
        <x:v>Source_Group_Note</x:v>
      </x:c>
      <x:c r="J1" s="370" t="str">
        <x:v>Normalization_Note</x:v>
      </x:c>
    </x:row>
    <x:row r="2">
      <x:c r="A2" s="20" t="n">
        <x:v>1</x:v>
      </x:c>
      <x:c r="B2" s="20" t="str">
        <x:v>Afghanistan</x:v>
      </x:c>
      <x:c r="C2" s="20" t="str">
        <x:v>AFG</x:v>
      </x:c>
      <x:c r="D2" s="20" t="str">
        <x:v>Country</x:v>
      </x:c>
      <x:c r="E2" s="20" t="str">
        <x:v>Asia-Pacific</x:v>
      </x:c>
      <x:c r="F2" s="20" t="str">
        <x:v>Yes</x:v>
      </x:c>
      <x:c r="G2" s="20" t="str">
        <x:v>Middle East ceasefire</x:v>
      </x:c>
      <x:c r="H2" s="20" t="str">
        <x:v>https://resurgamhub.org/analytics/middle-east/middle-east-ceasefire-what-does-it-mean-for-ukraine-and-the-world-</x:v>
      </x:c>
      <x:c r="I2" s="20" t="str">
        <x:v>Middle East ceasefire article: Israel, Palestine/Gaza, U.S., Ukraine, Russia, Iran, Qatar, Egypt, Turkey, Jordan, Italy, Lebanon, Afghanistan.</x:v>
      </x:c>
      <x:c r="J2" s="20"/>
    </x:row>
    <x:row r="3">
      <x:c r="A3" s="20" t="n">
        <x:v>2</x:v>
      </x:c>
      <x:c r="B3" s="20" t="str">
        <x:v>Algeria</x:v>
      </x:c>
      <x:c r="C3" s="20" t="str">
        <x:v>DZA</x:v>
      </x:c>
      <x:c r="D3" s="20" t="str">
        <x:v>Country</x:v>
      </x:c>
      <x:c r="E3" s="20" t="str">
        <x:v>Africa</x:v>
      </x:c>
      <x:c r="F3" s="20" t="str">
        <x:v>Yes</x:v>
      </x:c>
      <x:c r="G3" s="20" t="str">
        <x:v>Africa hybrid war</x:v>
      </x:c>
      <x:c r="H3" s="20" t="str">
        <x:v>https://resurgamhub.org/analytics/africa/all/after-france-how-africa-became-the-battlefield-of-the-russian-french-hybrid-war</x:v>
      </x:c>
      <x:c r="I3" s="20" t="str">
        <x:v>Africa article: French/Russian influence, Wagner/PMC footprint, disinformation, Sahel/Africa examples.</x:v>
      </x:c>
      <x:c r="J3" s="20"/>
    </x:row>
    <x:row r="4">
      <x:c r="A4" s="20" t="n">
        <x:v>3</x:v>
      </x:c>
      <x:c r="B4" s="20" t="str">
        <x:v>Argentina</x:v>
      </x:c>
      <x:c r="C4" s="20" t="str">
        <x:v>ARG</x:v>
      </x:c>
      <x:c r="D4" s="20" t="str">
        <x:v>Country</x:v>
      </x:c>
      <x:c r="E4" s="20" t="str">
        <x:v>Americas</x:v>
      </x:c>
      <x:c r="F4" s="20" t="str">
        <x:v>Yes</x:v>
      </x:c>
      <x:c r="G4" s="20" t="str">
        <x:v>Africa hybrid war</x:v>
      </x:c>
      <x:c r="H4" s="20" t="str">
        <x:v>https://resurgamhub.org/analytics/africa/all/after-france-how-africa-became-the-battlefield-of-the-russian-french-hybrid-war</x:v>
      </x:c>
      <x:c r="I4" s="20" t="str">
        <x:v>Africa article: French/Russian influence, Wagner/PMC footprint, disinformation, Sahel/Africa examples.</x:v>
      </x:c>
      <x:c r="J4" s="20"/>
    </x:row>
    <x:row r="5">
      <x:c r="A5" s="20" t="n">
        <x:v>4</x:v>
      </x:c>
      <x:c r="B5" s="20" t="str">
        <x:v>Armenia</x:v>
      </x:c>
      <x:c r="C5" s="20" t="str">
        <x:v>ARM</x:v>
      </x:c>
      <x:c r="D5" s="20" t="str">
        <x:v>Country</x:v>
      </x:c>
      <x:c r="E5" s="20" t="str">
        <x:v>Asia-Pacific</x:v>
      </x:c>
      <x:c r="F5" s="20" t="str">
        <x:v>Yes</x:v>
      </x:c>
      <x:c r="G5" s="20" t="str">
        <x:v>South Caucasus</x:v>
      </x:c>
      <x:c r="H5" s="20" t="str">
        <x:v>https://resurgamhub.org/analytics/asia/asia/the-day-russia-lost-the-south-caucasus-the-washington-declaration-is-changing-the-balance-of-power-in-the-region</x:v>
      </x:c>
      <x:c r="I5" s="20" t="str">
        <x:v>South Caucasus article: Armenia, Azerbaijan, Georgia, Russia, U.S., Ukraine, Iran, Turkey.</x:v>
      </x:c>
      <x:c r="J5" s="20"/>
    </x:row>
    <x:row r="6">
      <x:c r="A6" s="20" t="n">
        <x:v>5</x:v>
      </x:c>
      <x:c r="B6" s="20" t="str">
        <x:v>Australia</x:v>
      </x:c>
      <x:c r="C6" s="20" t="str">
        <x:v>AUS</x:v>
      </x:c>
      <x:c r="D6" s="20" t="str">
        <x:v>Country</x:v>
      </x:c>
      <x:c r="E6" s="20" t="str">
        <x:v>Asia-Pacific</x:v>
      </x:c>
      <x:c r="F6" s="20" t="str">
        <x:v>Yes</x:v>
      </x:c>
      <x:c r="G6" s="20" t="str">
        <x:v>Oceania/China</x:v>
      </x:c>
      <x:c r="H6" s="20" t="str">
        <x:v>https://resurgamhub.org/analytics/asia/china/threats/china-s-strategy-toward-the-states-of-oceania-how-the-celestial-empire-is-reshaping-the-balance-of-power-in-the-pacific-region</x:v>
      </x:c>
      <x:c r="I6" s="20" t="str">
        <x:v>China/Oceania article: Pacific island states, China–Taiwan diplomacy, U.S./Australia/New Zealand/Japan/UK/South Korea context.</x:v>
      </x:c>
      <x:c r="J6" s="20"/>
    </x:row>
    <x:row r="7">
      <x:c r="A7" s="20" t="n">
        <x:v>6</x:v>
      </x:c>
      <x:c r="B7" s="20" t="str">
        <x:v>Austria</x:v>
      </x:c>
      <x:c r="C7" s="20" t="str">
        <x:v>AUT</x:v>
      </x:c>
      <x:c r="D7" s="20" t="str">
        <x:v>Country</x:v>
      </x:c>
      <x:c r="E7" s="20" t="str">
        <x:v>Europe</x:v>
      </x:c>
      <x:c r="F7" s="20" t="str">
        <x:v>Yes</x:v>
      </x:c>
      <x:c r="G7" s="20" t="str">
        <x:v>Black Sea energy</x:v>
      </x:c>
      <x:c r="H7" s="20" t="str">
        <x:v>https://resurgamhub.org/analytics/europe/eu/the-energy-revolution-in-the-black-sea-the-formation-of-a-new-centre-of-european-energy</x:v>
      </x:c>
      <x:c r="I7" s="20" t="str">
        <x:v>Black Sea energy article: Turkey, Romania, Bulgaria, Greece, Hungary, Austria, Slovakia, Moldova, Ukraine, Georgia.</x:v>
      </x:c>
      <x:c r="J7" s="20"/>
    </x:row>
    <x:row r="8">
      <x:c r="A8" s="20" t="n">
        <x:v>7</x:v>
      </x:c>
      <x:c r="B8" s="20" t="str">
        <x:v>Azerbaijan</x:v>
      </x:c>
      <x:c r="C8" s="20" t="str">
        <x:v>AZE</x:v>
      </x:c>
      <x:c r="D8" s="20" t="str">
        <x:v>Country</x:v>
      </x:c>
      <x:c r="E8" s="20" t="str">
        <x:v>Asia-Pacific</x:v>
      </x:c>
      <x:c r="F8" s="20" t="str">
        <x:v>Yes</x:v>
      </x:c>
      <x:c r="G8" s="20" t="str">
        <x:v>South Caucasus</x:v>
      </x:c>
      <x:c r="H8" s="20" t="str">
        <x:v>https://resurgamhub.org/analytics/asia/asia/the-day-russia-lost-the-south-caucasus-the-washington-declaration-is-changing-the-balance-of-power-in-the-region</x:v>
      </x:c>
      <x:c r="I8" s="20" t="str">
        <x:v>South Caucasus article: Armenia, Azerbaijan, Georgia, Russia, U.S., Ukraine, Iran, Turkey.</x:v>
      </x:c>
      <x:c r="J8" s="20"/>
    </x:row>
    <x:row r="9">
      <x:c r="A9" s="20" t="n">
        <x:v>8</x:v>
      </x:c>
      <x:c r="B9" s="20" t="str">
        <x:v>Bahrain</x:v>
      </x:c>
      <x:c r="C9" s="20" t="str">
        <x:v>BHR</x:v>
      </x:c>
      <x:c r="D9" s="20" t="str">
        <x:v>Country</x:v>
      </x:c>
      <x:c r="E9" s="20" t="str">
        <x:v>Asia-Pacific</x:v>
      </x:c>
      <x:c r="F9" s="20" t="str">
        <x:v>Yes</x:v>
      </x:c>
      <x:c r="G9" s="20" t="str">
        <x:v>Iran conflict / Europe</x:v>
      </x:c>
      <x:c r="H9" s="20" t="str">
        <x:v>https://resurgamhub.org/analytics/europe/eu/europe-s-response-to-the-iran-conflict</x:v>
      </x:c>
      <x:c r="I9" s="20" t="str">
        <x:v>Europe response to Iran conflict: U.S., Israel, Iran, Cyprus, E3 countries, Qatar, Jordan, Iraq, Bahrain, Kuwait, Saudi Arabia, UAE, Netherlands, India.</x:v>
      </x:c>
      <x:c r="J9" s="20"/>
    </x:row>
    <x:row r="10">
      <x:c r="A10" s="20" t="n">
        <x:v>9</x:v>
      </x:c>
      <x:c r="B10" s="20" t="str">
        <x:v>Belarus</x:v>
      </x:c>
      <x:c r="C10" s="20" t="str">
        <x:v>BLR</x:v>
      </x:c>
      <x:c r="D10" s="20" t="str">
        <x:v>Country</x:v>
      </x:c>
      <x:c r="E10" s="20" t="str">
        <x:v>Europe</x:v>
      </x:c>
      <x:c r="F10" s="20" t="str">
        <x:v>Yes</x:v>
      </x:c>
      <x:c r="G10" s="20" t="str">
        <x:v>Europe/Ukraine/Belarus</x:v>
      </x:c>
      <x:c r="H10" s="20" t="str">
        <x:v>https://resurgamhub.org/analytics/europe</x:v>
      </x:c>
      <x:c r="I10" s="20" t="str">
        <x:v>Europe category and Ukraine/Belarus articles: Ukraine, Belarus, Lithuania, Sweden, Moldova, Slovakia, Serbia, United Kingdom, Hungary, Poland.</x:v>
      </x:c>
      <x:c r="J10" s="20"/>
    </x:row>
    <x:row r="11">
      <x:c r="A11" s="20" t="n">
        <x:v>10</x:v>
      </x:c>
      <x:c r="B11" s="20" t="str">
        <x:v>Benin</x:v>
      </x:c>
      <x:c r="C11" s="20" t="str">
        <x:v>BEN</x:v>
      </x:c>
      <x:c r="D11" s="20" t="str">
        <x:v>Country</x:v>
      </x:c>
      <x:c r="E11" s="20" t="str">
        <x:v>Africa</x:v>
      </x:c>
      <x:c r="F11" s="20" t="str">
        <x:v>Yes</x:v>
      </x:c>
      <x:c r="G11" s="20" t="str">
        <x:v>Africa hybrid war</x:v>
      </x:c>
      <x:c r="H11" s="20" t="str">
        <x:v>https://resurgamhub.org/analytics/africa/all/after-france-how-africa-became-the-battlefield-of-the-russian-french-hybrid-war</x:v>
      </x:c>
      <x:c r="I11" s="20" t="str">
        <x:v>Africa article: French/Russian influence, Wagner/PMC footprint, disinformation, Sahel/Africa examples.</x:v>
      </x:c>
      <x:c r="J11" s="20"/>
    </x:row>
    <x:row r="12">
      <x:c r="A12" s="20" t="n">
        <x:v>11</x:v>
      </x:c>
      <x:c r="B12" s="20" t="str">
        <x:v>Bolivia</x:v>
      </x:c>
      <x:c r="C12" s="20" t="str">
        <x:v>BOL</x:v>
      </x:c>
      <x:c r="D12" s="20" t="str">
        <x:v>Country</x:v>
      </x:c>
      <x:c r="E12" s="20" t="str">
        <x:v>Americas</x:v>
      </x:c>
      <x:c r="F12" s="20" t="str">
        <x:v>Yes</x:v>
      </x:c>
      <x:c r="G12" s="20" t="str">
        <x:v>Chile article</x:v>
      </x:c>
      <x:c r="H12" s="20" t="str">
        <x:v>https://resurgamhub.org/analytics/south-america/all/chile-s-new-political-reality-under-kast-reshaping-domestic-aolicy-and-foreign-policy-orientation</x:v>
      </x:c>
      <x:c r="I12" s="20" t="str">
        <x:v>Chile article: Chile, Ukraine, Russia, Brazil, Colombia, Bolivia, China, U.S., EU, Peru, Nicaragua, El Salvador, Argentina.</x:v>
      </x:c>
      <x:c r="J12" s="20"/>
    </x:row>
    <x:row r="13">
      <x:c r="A13" s="20" t="n">
        <x:v>12</x:v>
      </x:c>
      <x:c r="B13" s="20" t="str">
        <x:v>Brazil</x:v>
      </x:c>
      <x:c r="C13" s="20" t="str">
        <x:v>BRA</x:v>
      </x:c>
      <x:c r="D13" s="20" t="str">
        <x:v>Country</x:v>
      </x:c>
      <x:c r="E13" s="20" t="str">
        <x:v>Americas</x:v>
      </x:c>
      <x:c r="F13" s="20" t="str">
        <x:v>Yes</x:v>
      </x:c>
      <x:c r="G13" s="20" t="str">
        <x:v>Gripen article</x:v>
      </x:c>
      <x:c r="H13" s="20" t="str">
        <x:v>https://resurgamhub.org/analytics/europe/eu/the-combat-test-and-comeback-of-the-jas-39-gripen-what-do-we-know-about-the-swedish-up-in-the-air-aircraft-</x:v>
      </x:c>
      <x:c r="I13" s="20" t="str">
        <x:v>Gripen article: Sweden, Brazil, Czechia, Hungary, South Africa, Thailand, Colombia, Peru, Cambodia.</x:v>
      </x:c>
      <x:c r="J13" s="20"/>
    </x:row>
    <x:row r="14">
      <x:c r="A14" s="20" t="n">
        <x:v>13</x:v>
      </x:c>
      <x:c r="B14" s="20" t="str">
        <x:v>Bulgaria</x:v>
      </x:c>
      <x:c r="C14" s="20" t="str">
        <x:v>BGR</x:v>
      </x:c>
      <x:c r="D14" s="20" t="str">
        <x:v>Country</x:v>
      </x:c>
      <x:c r="E14" s="20" t="str">
        <x:v>Europe</x:v>
      </x:c>
      <x:c r="F14" s="20" t="str">
        <x:v>Yes</x:v>
      </x:c>
      <x:c r="G14" s="20" t="str">
        <x:v>Black Sea energy</x:v>
      </x:c>
      <x:c r="H14" s="20" t="str">
        <x:v>https://resurgamhub.org/analytics/europe/eu/the-energy-revolution-in-the-black-sea-the-formation-of-a-new-centre-of-european-energy</x:v>
      </x:c>
      <x:c r="I14" s="20" t="str">
        <x:v>Black Sea energy article: Turkey, Romania, Bulgaria, Greece, Hungary, Austria, Slovakia, Moldova, Ukraine, Georgia.</x:v>
      </x:c>
      <x:c r="J14" s="20"/>
    </x:row>
    <x:row r="15">
      <x:c r="A15" s="20" t="n">
        <x:v>14</x:v>
      </x:c>
      <x:c r="B15" s="20" t="str">
        <x:v>Burkina Faso</x:v>
      </x:c>
      <x:c r="C15" s="20" t="str">
        <x:v>BFA</x:v>
      </x:c>
      <x:c r="D15" s="20" t="str">
        <x:v>Country</x:v>
      </x:c>
      <x:c r="E15" s="20" t="str">
        <x:v>Africa</x:v>
      </x:c>
      <x:c r="F15" s="20" t="str">
        <x:v>Yes</x:v>
      </x:c>
      <x:c r="G15" s="20" t="str">
        <x:v>Africa hybrid war</x:v>
      </x:c>
      <x:c r="H15" s="20" t="str">
        <x:v>https://resurgamhub.org/analytics/africa/all/after-france-how-africa-became-the-battlefield-of-the-russian-french-hybrid-war</x:v>
      </x:c>
      <x:c r="I15" s="20" t="str">
        <x:v>Africa article: French/Russian influence, Wagner/PMC footprint, disinformation, Sahel/Africa examples.</x:v>
      </x:c>
      <x:c r="J15" s="20"/>
    </x:row>
    <x:row r="16">
      <x:c r="A16" s="20" t="n">
        <x:v>15</x:v>
      </x:c>
      <x:c r="B16" s="20" t="str">
        <x:v>Burundi</x:v>
      </x:c>
      <x:c r="C16" s="20" t="str">
        <x:v>BDI</x:v>
      </x:c>
      <x:c r="D16" s="20" t="str">
        <x:v>Country</x:v>
      </x:c>
      <x:c r="E16" s="20" t="str">
        <x:v>Africa</x:v>
      </x:c>
      <x:c r="F16" s="20" t="str">
        <x:v>Yes</x:v>
      </x:c>
      <x:c r="G16" s="20" t="str">
        <x:v>Africa hybrid war</x:v>
      </x:c>
      <x:c r="H16" s="20" t="str">
        <x:v>https://resurgamhub.org/analytics/africa/all/after-france-how-africa-became-the-battlefield-of-the-russian-french-hybrid-war</x:v>
      </x:c>
      <x:c r="I16" s="20" t="str">
        <x:v>Africa article: French/Russian influence, Wagner/PMC footprint, disinformation, Sahel/Africa examples.</x:v>
      </x:c>
      <x:c r="J16" s="20"/>
    </x:row>
    <x:row r="17">
      <x:c r="A17" s="20" t="n">
        <x:v>16</x:v>
      </x:c>
      <x:c r="B17" s="20" t="str">
        <x:v>Cambodia</x:v>
      </x:c>
      <x:c r="C17" s="20" t="str">
        <x:v>KHM</x:v>
      </x:c>
      <x:c r="D17" s="20" t="str">
        <x:v>Country</x:v>
      </x:c>
      <x:c r="E17" s="20" t="str">
        <x:v>Asia-Pacific</x:v>
      </x:c>
      <x:c r="F17" s="20" t="str">
        <x:v>Yes</x:v>
      </x:c>
      <x:c r="G17" s="20" t="str">
        <x:v>Gripen article</x:v>
      </x:c>
      <x:c r="H17" s="20" t="str">
        <x:v>https://resurgamhub.org/analytics/europe/eu/the-combat-test-and-comeback-of-the-jas-39-gripen-what-do-we-know-about-the-swedish-up-in-the-air-aircraft-</x:v>
      </x:c>
      <x:c r="I17" s="20" t="str">
        <x:v>Gripen article: Sweden, Brazil, Czechia, Hungary, South Africa, Thailand, Colombia, Peru, Cambodia.</x:v>
      </x:c>
      <x:c r="J17" s="20"/>
    </x:row>
    <x:row r="18">
      <x:c r="A18" s="20" t="n">
        <x:v>17</x:v>
      </x:c>
      <x:c r="B18" s="20" t="str">
        <x:v>Cameroon</x:v>
      </x:c>
      <x:c r="C18" s="20" t="str">
        <x:v>CMR</x:v>
      </x:c>
      <x:c r="D18" s="20" t="str">
        <x:v>Country</x:v>
      </x:c>
      <x:c r="E18" s="20" t="str">
        <x:v>Africa</x:v>
      </x:c>
      <x:c r="F18" s="20" t="str">
        <x:v>Yes</x:v>
      </x:c>
      <x:c r="G18" s="20" t="str">
        <x:v>Africa hybrid war</x:v>
      </x:c>
      <x:c r="H18" s="20" t="str">
        <x:v>https://resurgamhub.org/analytics/africa/all/after-france-how-africa-became-the-battlefield-of-the-russian-french-hybrid-war</x:v>
      </x:c>
      <x:c r="I18" s="20" t="str">
        <x:v>Africa article: French/Russian influence, Wagner/PMC footprint, disinformation, Sahel/Africa examples.</x:v>
      </x:c>
      <x:c r="J18" s="20"/>
    </x:row>
    <x:row r="19">
      <x:c r="A19" s="20" t="n">
        <x:v>18</x:v>
      </x:c>
      <x:c r="B19" s="20" t="str">
        <x:v>Canada</x:v>
      </x:c>
      <x:c r="C19" s="20" t="str">
        <x:v>CAN</x:v>
      </x:c>
      <x:c r="D19" s="20" t="str">
        <x:v>Country</x:v>
      </x:c>
      <x:c r="E19" s="20" t="str">
        <x:v>Americas</x:v>
      </x:c>
      <x:c r="F19" s="20" t="str">
        <x:v>Yes</x:v>
      </x:c>
      <x:c r="G19" s="20" t="str">
        <x:v>USA/North America</x:v>
      </x:c>
      <x:c r="H19" s="20" t="str">
        <x:v>https://resurgamhub.org/analytics/north-america</x:v>
      </x:c>
      <x:c r="I19" s="20" t="str">
        <x:v>North America category and USA tag: United States, Ukraine, Russia/Moscovia, Canada, Brazil, Guyana, Armenia, Azerbaijan, Baltics.</x:v>
      </x:c>
      <x:c r="J19" s="20"/>
    </x:row>
    <x:row r="20">
      <x:c r="A20" s="20" t="n">
        <x:v>19</x:v>
      </x:c>
      <x:c r="B20" s="20" t="str">
        <x:v>Central African Republic</x:v>
      </x:c>
      <x:c r="C20" s="20" t="str">
        <x:v>CAF</x:v>
      </x:c>
      <x:c r="D20" s="20" t="str">
        <x:v>Country</x:v>
      </x:c>
      <x:c r="E20" s="20" t="str">
        <x:v>Africa</x:v>
      </x:c>
      <x:c r="F20" s="20" t="str">
        <x:v>Yes</x:v>
      </x:c>
      <x:c r="G20" s="20" t="str">
        <x:v>Africa hybrid war</x:v>
      </x:c>
      <x:c r="H20" s="20" t="str">
        <x:v>https://resurgamhub.org/analytics/africa/all/after-france-how-africa-became-the-battlefield-of-the-russian-french-hybrid-war</x:v>
      </x:c>
      <x:c r="I20" s="20" t="str">
        <x:v>Africa article: French/Russian influence, Wagner/PMC footprint, disinformation, Sahel/Africa examples.</x:v>
      </x:c>
      <x:c r="J20" s="20"/>
    </x:row>
    <x:row r="21">
      <x:c r="A21" s="20" t="n">
        <x:v>20</x:v>
      </x:c>
      <x:c r="B21" s="20" t="str">
        <x:v>Chad</x:v>
      </x:c>
      <x:c r="C21" s="20" t="str">
        <x:v>TCD</x:v>
      </x:c>
      <x:c r="D21" s="20" t="str">
        <x:v>Country</x:v>
      </x:c>
      <x:c r="E21" s="20" t="str">
        <x:v>Africa</x:v>
      </x:c>
      <x:c r="F21" s="20" t="str">
        <x:v>Yes</x:v>
      </x:c>
      <x:c r="G21" s="20" t="str">
        <x:v>Africa hybrid war</x:v>
      </x:c>
      <x:c r="H21" s="20" t="str">
        <x:v>https://resurgamhub.org/analytics/africa/all/after-france-how-africa-became-the-battlefield-of-the-russian-french-hybrid-war</x:v>
      </x:c>
      <x:c r="I21" s="20" t="str">
        <x:v>Africa article: French/Russian influence, Wagner/PMC footprint, disinformation, Sahel/Africa examples.</x:v>
      </x:c>
      <x:c r="J21" s="20"/>
    </x:row>
    <x:row r="22">
      <x:c r="A22" s="20" t="n">
        <x:v>21</x:v>
      </x:c>
      <x:c r="B22" s="20" t="str">
        <x:v>Chile</x:v>
      </x:c>
      <x:c r="C22" s="20" t="str">
        <x:v>CHL</x:v>
      </x:c>
      <x:c r="D22" s="20" t="str">
        <x:v>Country</x:v>
      </x:c>
      <x:c r="E22" s="20" t="str">
        <x:v>Americas</x:v>
      </x:c>
      <x:c r="F22" s="20" t="str">
        <x:v>Yes</x:v>
      </x:c>
      <x:c r="G22" s="20" t="str">
        <x:v>Chile article</x:v>
      </x:c>
      <x:c r="H22" s="20" t="str">
        <x:v>https://resurgamhub.org/analytics/south-america/all/chile-s-new-political-reality-under-kast-reshaping-domestic-aolicy-and-foreign-policy-orientation</x:v>
      </x:c>
      <x:c r="I22" s="20" t="str">
        <x:v>Chile article: Chile, Ukraine, Russia, Brazil, Colombia, Bolivia, China, U.S., EU, Peru, Nicaragua, El Salvador, Argentina.</x:v>
      </x:c>
      <x:c r="J22" s="20"/>
    </x:row>
    <x:row r="23">
      <x:c r="A23" s="20" t="n">
        <x:v>22</x:v>
      </x:c>
      <x:c r="B23" s="20" t="str">
        <x:v>China</x:v>
      </x:c>
      <x:c r="C23" s="20" t="str">
        <x:v>CHN</x:v>
      </x:c>
      <x:c r="D23" s="20" t="str">
        <x:v>Country</x:v>
      </x:c>
      <x:c r="E23" s="20" t="str">
        <x:v>Asia-Pacific</x:v>
      </x:c>
      <x:c r="F23" s="20" t="str">
        <x:v>Yes</x:v>
      </x:c>
      <x:c r="G23" s="20" t="str">
        <x:v>Homepage/About</x:v>
      </x:c>
      <x:c r="H23" s="20" t="str">
        <x:v>https://resurgamhub.org/</x:v>
      </x:c>
      <x:c r="I23" s="20" t="str">
        <x:v>Homepage/about page: core regions, current article cards, Resurgam in media, and axis-of-evil framing.</x:v>
      </x:c>
      <x:c r="J23" s="20"/>
    </x:row>
    <x:row r="24">
      <x:c r="A24" s="20" t="n">
        <x:v>23</x:v>
      </x:c>
      <x:c r="B24" s="20" t="str">
        <x:v>Colombia</x:v>
      </x:c>
      <x:c r="C24" s="20" t="str">
        <x:v>COL</x:v>
      </x:c>
      <x:c r="D24" s="20" t="str">
        <x:v>Country</x:v>
      </x:c>
      <x:c r="E24" s="20" t="str">
        <x:v>Americas</x:v>
      </x:c>
      <x:c r="F24" s="20" t="str">
        <x:v>Yes</x:v>
      </x:c>
      <x:c r="G24" s="20" t="str">
        <x:v>Gripen article</x:v>
      </x:c>
      <x:c r="H24" s="20" t="str">
        <x:v>https://resurgamhub.org/analytics/europe/eu/the-combat-test-and-comeback-of-the-jas-39-gripen-what-do-we-know-about-the-swedish-up-in-the-air-aircraft-</x:v>
      </x:c>
      <x:c r="I24" s="20" t="str">
        <x:v>Gripen article: Sweden, Brazil, Czechia, Hungary, South Africa, Thailand, Colombia, Peru, Cambodia.</x:v>
      </x:c>
      <x:c r="J24" s="20"/>
    </x:row>
    <x:row r="25">
      <x:c r="A25" s="20" t="n">
        <x:v>24</x:v>
      </x:c>
      <x:c r="B25" s="20" t="str">
        <x:v>Cook Islands</x:v>
      </x:c>
      <x:c r="C25" s="20" t="str">
        <x:v>COK</x:v>
      </x:c>
      <x:c r="D25" s="20" t="str">
        <x:v>Country/area</x:v>
      </x:c>
      <x:c r="E25" s="20" t="str">
        <x:v>Asia-Pacific</x:v>
      </x:c>
      <x:c r="F25" s="20" t="str">
        <x:v>Yes</x:v>
      </x:c>
      <x:c r="G25" s="20" t="str">
        <x:v>Oceania/China</x:v>
      </x:c>
      <x:c r="H25" s="20" t="str">
        <x:v>https://resurgamhub.org/analytics/asia/china/threats/china-s-strategy-toward-the-states-of-oceania-how-the-celestial-empire-is-reshaping-the-balance-of-power-in-the-pacific-region</x:v>
      </x:c>
      <x:c r="I25" s="20" t="str">
        <x:v>China/Oceania article: Pacific island states, China–Taiwan diplomacy, U.S./Australia/New Zealand/Japan/UK/South Korea context.</x:v>
      </x:c>
      <x:c r="J25" s="20" t="str">
        <x:v>Country/area rather than UN-member-only sovereign-state row; compatible with country-area map treatment.</x:v>
      </x:c>
    </x:row>
    <x:row r="26">
      <x:c r="A26" s="20" t="n">
        <x:v>25</x:v>
      </x:c>
      <x:c r="B26" s="20" t="str">
        <x:v>Cuba</x:v>
      </x:c>
      <x:c r="C26" s="20" t="str">
        <x:v>CUB</x:v>
      </x:c>
      <x:c r="D26" s="20" t="str">
        <x:v>Country</x:v>
      </x:c>
      <x:c r="E26" s="20" t="str">
        <x:v>Americas</x:v>
      </x:c>
      <x:c r="F26" s="20" t="str">
        <x:v>Yes</x:v>
      </x:c>
      <x:c r="G26" s="20" t="str">
        <x:v>Venezuela/Cuba</x:v>
      </x:c>
      <x:c r="H26" s="20" t="str">
        <x:v>https://resurgamhub.org/analytics/north-america/usa/international-relations/next-after-venezuela-the-trump-administration-s-policy-towards-cuba</x:v>
      </x:c>
      <x:c r="I26" s="20" t="str">
        <x:v>Cuba/Venezuela article: United States, Cuba, Venezuela, Ukraine, Western Hemisphere.</x:v>
      </x:c>
      <x:c r="J26" s="20"/>
    </x:row>
    <x:row r="27">
      <x:c r="A27" s="20" t="n">
        <x:v>26</x:v>
      </x:c>
      <x:c r="B27" s="20" t="str">
        <x:v>Cyprus</x:v>
      </x:c>
      <x:c r="C27" s="20" t="str">
        <x:v>CYP</x:v>
      </x:c>
      <x:c r="D27" s="20" t="str">
        <x:v>Country</x:v>
      </x:c>
      <x:c r="E27" s="20" t="str">
        <x:v>Europe</x:v>
      </x:c>
      <x:c r="F27" s="20" t="str">
        <x:v>Yes</x:v>
      </x:c>
      <x:c r="G27" s="20" t="str">
        <x:v>Iran conflict / Europe</x:v>
      </x:c>
      <x:c r="H27" s="20" t="str">
        <x:v>https://resurgamhub.org/analytics/europe/eu/europe-s-response-to-the-iran-conflict</x:v>
      </x:c>
      <x:c r="I27" s="20" t="str">
        <x:v>Europe response to Iran conflict: U.S., Israel, Iran, Cyprus, E3 countries, Qatar, Jordan, Iraq, Bahrain, Kuwait, Saudi Arabia, UAE, Netherlands, India.</x:v>
      </x:c>
      <x:c r="J27" s="20"/>
    </x:row>
    <x:row r="28">
      <x:c r="A28" s="20" t="n">
        <x:v>27</x:v>
      </x:c>
      <x:c r="B28" s="20" t="str">
        <x:v>Czechia</x:v>
      </x:c>
      <x:c r="C28" s="20" t="str">
        <x:v>CZE</x:v>
      </x:c>
      <x:c r="D28" s="20" t="str">
        <x:v>Country</x:v>
      </x:c>
      <x:c r="E28" s="20" t="str">
        <x:v>Europe</x:v>
      </x:c>
      <x:c r="F28" s="20" t="str">
        <x:v>Yes</x:v>
      </x:c>
      <x:c r="G28" s="20" t="str">
        <x:v>Homepage/About</x:v>
      </x:c>
      <x:c r="H28" s="20" t="str">
        <x:v>https://resurgamhub.org/</x:v>
      </x:c>
      <x:c r="I28" s="20" t="str">
        <x:v>Homepage/about page: core regions, current article cards, Resurgam in media, and axis-of-evil framing.</x:v>
      </x:c>
      <x:c r="J28" s="20" t="str">
        <x:v>Normalized from Czech Republic / Czechia.</x:v>
      </x:c>
    </x:row>
    <x:row r="29">
      <x:c r="A29" s="20" t="n">
        <x:v>28</x:v>
      </x:c>
      <x:c r="B29" s="20" t="str">
        <x:v>Democratic Republic of the Congo</x:v>
      </x:c>
      <x:c r="C29" s="20" t="str">
        <x:v>COD</x:v>
      </x:c>
      <x:c r="D29" s="20" t="str">
        <x:v>Country</x:v>
      </x:c>
      <x:c r="E29" s="20" t="str">
        <x:v>Africa</x:v>
      </x:c>
      <x:c r="F29" s="20" t="str">
        <x:v>Yes</x:v>
      </x:c>
      <x:c r="G29" s="20" t="str">
        <x:v>Africa hybrid war</x:v>
      </x:c>
      <x:c r="H29" s="20" t="str">
        <x:v>https://resurgamhub.org/analytics/africa/all/after-france-how-africa-became-the-battlefield-of-the-russian-french-hybrid-war</x:v>
      </x:c>
      <x:c r="I29" s="20" t="str">
        <x:v>Africa article: French/Russian influence, Wagner/PMC footprint, disinformation, Sahel/Africa examples.</x:v>
      </x:c>
      <x:c r="J29" s="20"/>
    </x:row>
    <x:row r="30">
      <x:c r="A30" s="20" t="n">
        <x:v>29</x:v>
      </x:c>
      <x:c r="B30" s="20" t="str">
        <x:v>Egypt</x:v>
      </x:c>
      <x:c r="C30" s="20" t="str">
        <x:v>EGY</x:v>
      </x:c>
      <x:c r="D30" s="20" t="str">
        <x:v>Country</x:v>
      </x:c>
      <x:c r="E30" s="20" t="str">
        <x:v>Africa</x:v>
      </x:c>
      <x:c r="F30" s="20" t="str">
        <x:v>Yes</x:v>
      </x:c>
      <x:c r="G30" s="20" t="str">
        <x:v>Africa hybrid war</x:v>
      </x:c>
      <x:c r="H30" s="20" t="str">
        <x:v>https://resurgamhub.org/analytics/africa/all/after-france-how-africa-became-the-battlefield-of-the-russian-french-hybrid-war</x:v>
      </x:c>
      <x:c r="I30" s="20" t="str">
        <x:v>Africa article: French/Russian influence, Wagner/PMC footprint, disinformation, Sahel/Africa examples.</x:v>
      </x:c>
      <x:c r="J30" s="20"/>
    </x:row>
    <x:row r="31">
      <x:c r="A31" s="20" t="n">
        <x:v>30</x:v>
      </x:c>
      <x:c r="B31" s="20" t="str">
        <x:v>El Salvador</x:v>
      </x:c>
      <x:c r="C31" s="20" t="str">
        <x:v>SLV</x:v>
      </x:c>
      <x:c r="D31" s="20" t="str">
        <x:v>Country</x:v>
      </x:c>
      <x:c r="E31" s="20" t="str">
        <x:v>Americas</x:v>
      </x:c>
      <x:c r="F31" s="20" t="str">
        <x:v>Yes</x:v>
      </x:c>
      <x:c r="G31" s="20" t="str">
        <x:v>Chile article</x:v>
      </x:c>
      <x:c r="H31" s="20" t="str">
        <x:v>https://resurgamhub.org/analytics/south-america/all/chile-s-new-political-reality-under-kast-reshaping-domestic-aolicy-and-foreign-policy-orientation</x:v>
      </x:c>
      <x:c r="I31" s="20" t="str">
        <x:v>Chile article: Chile, Ukraine, Russia, Brazil, Colombia, Bolivia, China, U.S., EU, Peru, Nicaragua, El Salvador, Argentina.</x:v>
      </x:c>
      <x:c r="J31" s="20"/>
    </x:row>
    <x:row r="32">
      <x:c r="A32" s="20" t="n">
        <x:v>31</x:v>
      </x:c>
      <x:c r="B32" s="20" t="str">
        <x:v>Eritrea</x:v>
      </x:c>
      <x:c r="C32" s="20" t="str">
        <x:v>ERI</x:v>
      </x:c>
      <x:c r="D32" s="20" t="str">
        <x:v>Country</x:v>
      </x:c>
      <x:c r="E32" s="20" t="str">
        <x:v>Africa</x:v>
      </x:c>
      <x:c r="F32" s="20" t="str">
        <x:v>Yes</x:v>
      </x:c>
      <x:c r="G32" s="20" t="str">
        <x:v>Africa hybrid war</x:v>
      </x:c>
      <x:c r="H32" s="20" t="str">
        <x:v>https://resurgamhub.org/analytics/africa/all/after-france-how-africa-became-the-battlefield-of-the-russian-french-hybrid-war</x:v>
      </x:c>
      <x:c r="I32" s="20" t="str">
        <x:v>Africa article: French/Russian influence, Wagner/PMC footprint, disinformation, Sahel/Africa examples.</x:v>
      </x:c>
      <x:c r="J32" s="20"/>
    </x:row>
    <x:row r="33">
      <x:c r="A33" s="20" t="n">
        <x:v>32</x:v>
      </x:c>
      <x:c r="B33" s="20" t="str">
        <x:v>Estonia</x:v>
      </x:c>
      <x:c r="C33" s="20" t="str">
        <x:v>EST</x:v>
      </x:c>
      <x:c r="D33" s="20" t="str">
        <x:v>Country</x:v>
      </x:c>
      <x:c r="E33" s="20" t="str">
        <x:v>Europe</x:v>
      </x:c>
      <x:c r="F33" s="20" t="str">
        <x:v>Yes</x:v>
      </x:c>
      <x:c r="G33" s="20" t="str">
        <x:v>USA/North America</x:v>
      </x:c>
      <x:c r="H33" s="20" t="str">
        <x:v>https://resurgamhub.org/analytics/north-america</x:v>
      </x:c>
      <x:c r="I33" s="20" t="str">
        <x:v>North America category and USA tag: United States, Ukraine, Russia/Moscovia, Canada, Brazil, Guyana, Armenia, Azerbaijan, Baltics.</x:v>
      </x:c>
      <x:c r="J33" s="20"/>
    </x:row>
    <x:row r="34">
      <x:c r="A34" s="20" t="n">
        <x:v>33</x:v>
      </x:c>
      <x:c r="B34" s="20" t="str">
        <x:v>Federated States of Micronesia</x:v>
      </x:c>
      <x:c r="C34" s="20" t="str">
        <x:v>FSM</x:v>
      </x:c>
      <x:c r="D34" s="20" t="str">
        <x:v>Country</x:v>
      </x:c>
      <x:c r="E34" s="20" t="str">
        <x:v>Asia-Pacific</x:v>
      </x:c>
      <x:c r="F34" s="20" t="str">
        <x:v>Yes</x:v>
      </x:c>
      <x:c r="G34" s="20" t="str">
        <x:v>Oceania/China</x:v>
      </x:c>
      <x:c r="H34" s="20" t="str">
        <x:v>https://resurgamhub.org/analytics/asia/china/threats/china-s-strategy-toward-the-states-of-oceania-how-the-celestial-empire-is-reshaping-the-balance-of-power-in-the-pacific-region</x:v>
      </x:c>
      <x:c r="I34" s="20" t="str">
        <x:v>China/Oceania article: Pacific island states, China–Taiwan diplomacy, U.S./Australia/New Zealand/Japan/UK/South Korea context.</x:v>
      </x:c>
      <x:c r="J34" s="20"/>
    </x:row>
    <x:row r="35">
      <x:c r="A35" s="20" t="n">
        <x:v>34</x:v>
      </x:c>
      <x:c r="B35" s="20" t="str">
        <x:v>Fiji</x:v>
      </x:c>
      <x:c r="C35" s="20" t="str">
        <x:v>FJI</x:v>
      </x:c>
      <x:c r="D35" s="20" t="str">
        <x:v>Country</x:v>
      </x:c>
      <x:c r="E35" s="20" t="str">
        <x:v>Asia-Pacific</x:v>
      </x:c>
      <x:c r="F35" s="20" t="str">
        <x:v>Yes</x:v>
      </x:c>
      <x:c r="G35" s="20" t="str">
        <x:v>Oceania/China</x:v>
      </x:c>
      <x:c r="H35" s="20" t="str">
        <x:v>https://resurgamhub.org/analytics/asia/china/threats/china-s-strategy-toward-the-states-of-oceania-how-the-celestial-empire-is-reshaping-the-balance-of-power-in-the-pacific-region</x:v>
      </x:c>
      <x:c r="I35" s="20" t="str">
        <x:v>China/Oceania article: Pacific island states, China–Taiwan diplomacy, U.S./Australia/New Zealand/Japan/UK/South Korea context.</x:v>
      </x:c>
      <x:c r="J35" s="20"/>
    </x:row>
    <x:row r="36">
      <x:c r="A36" s="20" t="n">
        <x:v>35</x:v>
      </x:c>
      <x:c r="B36" s="20" t="str">
        <x:v>Finland</x:v>
      </x:c>
      <x:c r="C36" s="20" t="str">
        <x:v>FIN</x:v>
      </x:c>
      <x:c r="D36" s="20" t="str">
        <x:v>Country</x:v>
      </x:c>
      <x:c r="E36" s="20" t="str">
        <x:v>Europe</x:v>
      </x:c>
      <x:c r="F36" s="20" t="str">
        <x:v>Yes</x:v>
      </x:c>
      <x:c r="G36" s="20" t="str">
        <x:v>Finland article</x:v>
      </x:c>
      <x:c r="H36" s="20" t="str">
        <x:v>https://resurgamhub.org/analytics/europe/eu/david-and-goliath-how-finland-outlived-the-ussr-and-built-up-its-muscles</x:v>
      </x:c>
      <x:c r="I36" s="20" t="str">
        <x:v>Finland defence article: Finland, Ukraine, Russia, NATO context.</x:v>
      </x:c>
      <x:c r="J36" s="20"/>
    </x:row>
    <x:row r="37">
      <x:c r="A37" s="20" t="n">
        <x:v>36</x:v>
      </x:c>
      <x:c r="B37" s="20" t="str">
        <x:v>France</x:v>
      </x:c>
      <x:c r="C37" s="20" t="str">
        <x:v>FRA</x:v>
      </x:c>
      <x:c r="D37" s="20" t="str">
        <x:v>Country</x:v>
      </x:c>
      <x:c r="E37" s="20" t="str">
        <x:v>Europe</x:v>
      </x:c>
      <x:c r="F37" s="20" t="str">
        <x:v>Yes</x:v>
      </x:c>
      <x:c r="G37" s="20" t="str">
        <x:v>Homepage/About</x:v>
      </x:c>
      <x:c r="H37" s="20" t="str">
        <x:v>https://resurgamhub.org/</x:v>
      </x:c>
      <x:c r="I37" s="20" t="str">
        <x:v>Homepage/about page: core regions, current article cards, Resurgam in media, and axis-of-evil framing.</x:v>
      </x:c>
      <x:c r="J37" s="20"/>
    </x:row>
    <x:row r="38">
      <x:c r="A38" s="20" t="n">
        <x:v>37</x:v>
      </x:c>
      <x:c r="B38" s="20" t="str">
        <x:v>Georgia</x:v>
      </x:c>
      <x:c r="C38" s="20" t="str">
        <x:v>GEO</x:v>
      </x:c>
      <x:c r="D38" s="20" t="str">
        <x:v>Country</x:v>
      </x:c>
      <x:c r="E38" s="20" t="str">
        <x:v>Asia-Pacific</x:v>
      </x:c>
      <x:c r="F38" s="20" t="str">
        <x:v>Yes</x:v>
      </x:c>
      <x:c r="G38" s="20" t="str">
        <x:v>Black Sea energy</x:v>
      </x:c>
      <x:c r="H38" s="20" t="str">
        <x:v>https://resurgamhub.org/analytics/europe/eu/the-energy-revolution-in-the-black-sea-the-formation-of-a-new-centre-of-european-energy</x:v>
      </x:c>
      <x:c r="I38" s="20" t="str">
        <x:v>Black Sea energy article: Turkey, Romania, Bulgaria, Greece, Hungary, Austria, Slovakia, Moldova, Ukraine, Georgia.</x:v>
      </x:c>
      <x:c r="J38" s="20"/>
    </x:row>
    <x:row r="39">
      <x:c r="A39" s="20" t="n">
        <x:v>38</x:v>
      </x:c>
      <x:c r="B39" s="20" t="str">
        <x:v>Germany</x:v>
      </x:c>
      <x:c r="C39" s="20" t="str">
        <x:v>DEU</x:v>
      </x:c>
      <x:c r="D39" s="20" t="str">
        <x:v>Country</x:v>
      </x:c>
      <x:c r="E39" s="20" t="str">
        <x:v>Europe</x:v>
      </x:c>
      <x:c r="F39" s="20" t="str">
        <x:v>Yes</x:v>
      </x:c>
      <x:c r="G39" s="20" t="str">
        <x:v>Homepage/About</x:v>
      </x:c>
      <x:c r="H39" s="20" t="str">
        <x:v>https://resurgamhub.org/</x:v>
      </x:c>
      <x:c r="I39" s="20" t="str">
        <x:v>Homepage/about page: core regions, current article cards, Resurgam in media, and axis-of-evil framing.</x:v>
      </x:c>
      <x:c r="J39" s="20"/>
    </x:row>
    <x:row r="40">
      <x:c r="A40" s="20" t="n">
        <x:v>39</x:v>
      </x:c>
      <x:c r="B40" s="20" t="str">
        <x:v>Ghana</x:v>
      </x:c>
      <x:c r="C40" s="20" t="str">
        <x:v>GHA</x:v>
      </x:c>
      <x:c r="D40" s="20" t="str">
        <x:v>Country</x:v>
      </x:c>
      <x:c r="E40" s="20" t="str">
        <x:v>Africa</x:v>
      </x:c>
      <x:c r="F40" s="20" t="str">
        <x:v>Yes</x:v>
      </x:c>
      <x:c r="G40" s="20" t="str">
        <x:v>Africa hybrid war</x:v>
      </x:c>
      <x:c r="H40" s="20" t="str">
        <x:v>https://resurgamhub.org/analytics/africa/all/after-france-how-africa-became-the-battlefield-of-the-russian-french-hybrid-war</x:v>
      </x:c>
      <x:c r="I40" s="20" t="str">
        <x:v>Africa article: French/Russian influence, Wagner/PMC footprint, disinformation, Sahel/Africa examples.</x:v>
      </x:c>
      <x:c r="J40" s="20"/>
    </x:row>
    <x:row r="41">
      <x:c r="A41" s="20" t="n">
        <x:v>40</x:v>
      </x:c>
      <x:c r="B41" s="20" t="str">
        <x:v>Greece</x:v>
      </x:c>
      <x:c r="C41" s="20" t="str">
        <x:v>GRC</x:v>
      </x:c>
      <x:c r="D41" s="20" t="str">
        <x:v>Country</x:v>
      </x:c>
      <x:c r="E41" s="20" t="str">
        <x:v>Europe</x:v>
      </x:c>
      <x:c r="F41" s="20" t="str">
        <x:v>Yes</x:v>
      </x:c>
      <x:c r="G41" s="20" t="str">
        <x:v>Black Sea energy</x:v>
      </x:c>
      <x:c r="H41" s="20" t="str">
        <x:v>https://resurgamhub.org/analytics/europe/eu/the-energy-revolution-in-the-black-sea-the-formation-of-a-new-centre-of-european-energy</x:v>
      </x:c>
      <x:c r="I41" s="20" t="str">
        <x:v>Black Sea energy article: Turkey, Romania, Bulgaria, Greece, Hungary, Austria, Slovakia, Moldova, Ukraine, Georgia.</x:v>
      </x:c>
      <x:c r="J41" s="20"/>
    </x:row>
    <x:row r="42">
      <x:c r="A42" s="20" t="n">
        <x:v>41</x:v>
      </x:c>
      <x:c r="B42" s="20" t="str">
        <x:v>Guinea</x:v>
      </x:c>
      <x:c r="C42" s="20" t="str">
        <x:v>GIN</x:v>
      </x:c>
      <x:c r="D42" s="20" t="str">
        <x:v>Country</x:v>
      </x:c>
      <x:c r="E42" s="20" t="str">
        <x:v>Africa</x:v>
      </x:c>
      <x:c r="F42" s="20" t="str">
        <x:v>Yes</x:v>
      </x:c>
      <x:c r="G42" s="20" t="str">
        <x:v>Africa hybrid war</x:v>
      </x:c>
      <x:c r="H42" s="20" t="str">
        <x:v>https://resurgamhub.org/analytics/africa/all/after-france-how-africa-became-the-battlefield-of-the-russian-french-hybrid-war</x:v>
      </x:c>
      <x:c r="I42" s="20" t="str">
        <x:v>Africa article: French/Russian influence, Wagner/PMC footprint, disinformation, Sahel/Africa examples.</x:v>
      </x:c>
      <x:c r="J42" s="20"/>
    </x:row>
    <x:row r="43">
      <x:c r="A43" s="20" t="n">
        <x:v>42</x:v>
      </x:c>
      <x:c r="B43" s="20" t="str">
        <x:v>Guyana</x:v>
      </x:c>
      <x:c r="C43" s="20" t="str">
        <x:v>GUY</x:v>
      </x:c>
      <x:c r="D43" s="20" t="str">
        <x:v>Country</x:v>
      </x:c>
      <x:c r="E43" s="20" t="str">
        <x:v>Americas</x:v>
      </x:c>
      <x:c r="F43" s="20" t="str">
        <x:v>Yes</x:v>
      </x:c>
      <x:c r="G43" s="20" t="str">
        <x:v>USA/North America</x:v>
      </x:c>
      <x:c r="H43" s="20" t="str">
        <x:v>https://resurgamhub.org/analytics/north-america</x:v>
      </x:c>
      <x:c r="I43" s="20" t="str">
        <x:v>North America category and USA tag: United States, Ukraine, Russia/Moscovia, Canada, Brazil, Guyana, Armenia, Azerbaijan, Baltics.</x:v>
      </x:c>
      <x:c r="J43" s="20"/>
    </x:row>
    <x:row r="44">
      <x:c r="A44" s="20" t="n">
        <x:v>43</x:v>
      </x:c>
      <x:c r="B44" s="20" t="str">
        <x:v>Hungary</x:v>
      </x:c>
      <x:c r="C44" s="20" t="str">
        <x:v>HUN</x:v>
      </x:c>
      <x:c r="D44" s="20" t="str">
        <x:v>Country</x:v>
      </x:c>
      <x:c r="E44" s="20" t="str">
        <x:v>Europe</x:v>
      </x:c>
      <x:c r="F44" s="20" t="str">
        <x:v>Yes</x:v>
      </x:c>
      <x:c r="G44" s="20" t="str">
        <x:v>Gripen article</x:v>
      </x:c>
      <x:c r="H44" s="20" t="str">
        <x:v>https://resurgamhub.org/analytics/europe/eu/the-combat-test-and-comeback-of-the-jas-39-gripen-what-do-we-know-about-the-swedish-up-in-the-air-aircraft-</x:v>
      </x:c>
      <x:c r="I44" s="20" t="str">
        <x:v>Gripen article: Sweden, Brazil, Czechia, Hungary, South Africa, Thailand, Colombia, Peru, Cambodia.</x:v>
      </x:c>
      <x:c r="J44" s="20"/>
    </x:row>
    <x:row r="45">
      <x:c r="A45" s="20" t="n">
        <x:v>44</x:v>
      </x:c>
      <x:c r="B45" s="20" t="str">
        <x:v>India</x:v>
      </x:c>
      <x:c r="C45" s="20" t="str">
        <x:v>IND</x:v>
      </x:c>
      <x:c r="D45" s="20" t="str">
        <x:v>Country</x:v>
      </x:c>
      <x:c r="E45" s="20" t="str">
        <x:v>Asia-Pacific</x:v>
      </x:c>
      <x:c r="F45" s="20" t="str">
        <x:v>Yes</x:v>
      </x:c>
      <x:c r="G45" s="20" t="str">
        <x:v>Iran conflict / Europe</x:v>
      </x:c>
      <x:c r="H45" s="20" t="str">
        <x:v>https://resurgamhub.org/analytics/europe/eu/europe-s-response-to-the-iran-conflict</x:v>
      </x:c>
      <x:c r="I45" s="20" t="str">
        <x:v>Europe response to Iran conflict: U.S., Israel, Iran, Cyprus, E3 countries, Qatar, Jordan, Iraq, Bahrain, Kuwait, Saudi Arabia, UAE, Netherlands, India.</x:v>
      </x:c>
      <x:c r="J45" s="20"/>
    </x:row>
    <x:row r="46">
      <x:c r="A46" s="20" t="n">
        <x:v>45</x:v>
      </x:c>
      <x:c r="B46" s="20" t="str">
        <x:v>Indonesia</x:v>
      </x:c>
      <x:c r="C46" s="20" t="str">
        <x:v>IDN</x:v>
      </x:c>
      <x:c r="D46" s="20" t="str">
        <x:v>Country</x:v>
      </x:c>
      <x:c r="E46" s="20" t="str">
        <x:v>Asia-Pacific</x:v>
      </x:c>
      <x:c r="F46" s="20" t="str">
        <x:v>Yes</x:v>
      </x:c>
      <x:c r="G46" s="20" t="str">
        <x:v>Pacific NATO / Asia</x:v>
      </x:c>
      <x:c r="H46" s="20" t="str">
        <x:v>https://resurgamhub.org/analytics/asia/asia/is-pacific-nato-possible-australia-new-zealand-and-new-horizons-for-ukraine</x:v>
      </x:c>
      <x:c r="I46" s="20" t="str">
        <x:v>Pacific NATO article: Australia, New Zealand, Japan, South Korea, USA, Vietnam, Indonesia, Myanmar, Malaysia, Singapore.</x:v>
      </x:c>
      <x:c r="J46" s="20"/>
    </x:row>
    <x:row r="47">
      <x:c r="A47" s="20" t="n">
        <x:v>46</x:v>
      </x:c>
      <x:c r="B47" s="20" t="str">
        <x:v>Iran</x:v>
      </x:c>
      <x:c r="C47" s="20" t="str">
        <x:v>IRN</x:v>
      </x:c>
      <x:c r="D47" s="20" t="str">
        <x:v>Country</x:v>
      </x:c>
      <x:c r="E47" s="20" t="str">
        <x:v>Asia-Pacific</x:v>
      </x:c>
      <x:c r="F47" s="20" t="str">
        <x:v>Yes</x:v>
      </x:c>
      <x:c r="G47" s="20" t="str">
        <x:v>Homepage/About</x:v>
      </x:c>
      <x:c r="H47" s="20" t="str">
        <x:v>https://resurgamhub.org/</x:v>
      </x:c>
      <x:c r="I47" s="20" t="str">
        <x:v>Homepage/about page: core regions, current article cards, Resurgam in media, and axis-of-evil framing.</x:v>
      </x:c>
      <x:c r="J47" s="20"/>
    </x:row>
    <x:row r="48">
      <x:c r="A48" s="20" t="n">
        <x:v>47</x:v>
      </x:c>
      <x:c r="B48" s="20" t="str">
        <x:v>Iraq</x:v>
      </x:c>
      <x:c r="C48" s="20" t="str">
        <x:v>IRQ</x:v>
      </x:c>
      <x:c r="D48" s="20" t="str">
        <x:v>Country</x:v>
      </x:c>
      <x:c r="E48" s="20" t="str">
        <x:v>Asia-Pacific</x:v>
      </x:c>
      <x:c r="F48" s="20" t="str">
        <x:v>Yes</x:v>
      </x:c>
      <x:c r="G48" s="20" t="str">
        <x:v>Iran conflict / Europe</x:v>
      </x:c>
      <x:c r="H48" s="20" t="str">
        <x:v>https://resurgamhub.org/analytics/europe/eu/europe-s-response-to-the-iran-conflict</x:v>
      </x:c>
      <x:c r="I48" s="20" t="str">
        <x:v>Europe response to Iran conflict: U.S., Israel, Iran, Cyprus, E3 countries, Qatar, Jordan, Iraq, Bahrain, Kuwait, Saudi Arabia, UAE, Netherlands, India.</x:v>
      </x:c>
      <x:c r="J48" s="20"/>
    </x:row>
    <x:row r="49">
      <x:c r="A49" s="20" t="n">
        <x:v>48</x:v>
      </x:c>
      <x:c r="B49" s="20" t="str">
        <x:v>Israel</x:v>
      </x:c>
      <x:c r="C49" s="20" t="str">
        <x:v>ISR</x:v>
      </x:c>
      <x:c r="D49" s="20" t="str">
        <x:v>Country</x:v>
      </x:c>
      <x:c r="E49" s="20" t="str">
        <x:v>Asia-Pacific</x:v>
      </x:c>
      <x:c r="F49" s="20" t="str">
        <x:v>Yes</x:v>
      </x:c>
      <x:c r="G49" s="20" t="str">
        <x:v>Middle East ceasefire</x:v>
      </x:c>
      <x:c r="H49" s="20" t="str">
        <x:v>https://resurgamhub.org/analytics/middle-east/middle-east-ceasefire-what-does-it-mean-for-ukraine-and-the-world-</x:v>
      </x:c>
      <x:c r="I49" s="20" t="str">
        <x:v>Middle East ceasefire article: Israel, Palestine/Gaza, U.S., Ukraine, Russia, Iran, Qatar, Egypt, Turkey, Jordan, Italy, Lebanon, Afghanistan.</x:v>
      </x:c>
      <x:c r="J49" s="20"/>
    </x:row>
    <x:row r="50">
      <x:c r="A50" s="20" t="n">
        <x:v>49</x:v>
      </x:c>
      <x:c r="B50" s="20" t="str">
        <x:v>Italy</x:v>
      </x:c>
      <x:c r="C50" s="20" t="str">
        <x:v>ITA</x:v>
      </x:c>
      <x:c r="D50" s="20" t="str">
        <x:v>Country</x:v>
      </x:c>
      <x:c r="E50" s="20" t="str">
        <x:v>Europe</x:v>
      </x:c>
      <x:c r="F50" s="20" t="str">
        <x:v>Yes</x:v>
      </x:c>
      <x:c r="G50" s="20" t="str">
        <x:v>Middle East ceasefire</x:v>
      </x:c>
      <x:c r="H50" s="20" t="str">
        <x:v>https://resurgamhub.org/analytics/middle-east/middle-east-ceasefire-what-does-it-mean-for-ukraine-and-the-world-</x:v>
      </x:c>
      <x:c r="I50" s="20" t="str">
        <x:v>Middle East ceasefire article: Israel, Palestine/Gaza, U.S., Ukraine, Russia, Iran, Qatar, Egypt, Turkey, Jordan, Italy, Lebanon, Afghanistan.</x:v>
      </x:c>
      <x:c r="J50" s="20"/>
    </x:row>
    <x:row r="51">
      <x:c r="A51" s="20" t="n">
        <x:v>50</x:v>
      </x:c>
      <x:c r="B51" s="20" t="str">
        <x:v>Japan</x:v>
      </x:c>
      <x:c r="C51" s="20" t="str">
        <x:v>JPN</x:v>
      </x:c>
      <x:c r="D51" s="20" t="str">
        <x:v>Country</x:v>
      </x:c>
      <x:c r="E51" s="20" t="str">
        <x:v>Asia-Pacific</x:v>
      </x:c>
      <x:c r="F51" s="20" t="str">
        <x:v>Yes</x:v>
      </x:c>
      <x:c r="G51" s="20" t="str">
        <x:v>Homepage/About</x:v>
      </x:c>
      <x:c r="H51" s="20" t="str">
        <x:v>https://resurgamhub.org/</x:v>
      </x:c>
      <x:c r="I51" s="20" t="str">
        <x:v>Homepage/about page: core regions, current article cards, Resurgam in media, and axis-of-evil framing.</x:v>
      </x:c>
      <x:c r="J51" s="20"/>
    </x:row>
    <x:row r="52">
      <x:c r="A52" s="20" t="n">
        <x:v>51</x:v>
      </x:c>
      <x:c r="B52" s="20" t="str">
        <x:v>Jordan</x:v>
      </x:c>
      <x:c r="C52" s="20" t="str">
        <x:v>JOR</x:v>
      </x:c>
      <x:c r="D52" s="20" t="str">
        <x:v>Country</x:v>
      </x:c>
      <x:c r="E52" s="20" t="str">
        <x:v>Asia-Pacific</x:v>
      </x:c>
      <x:c r="F52" s="20" t="str">
        <x:v>Yes</x:v>
      </x:c>
      <x:c r="G52" s="20" t="str">
        <x:v>Middle East ceasefire</x:v>
      </x:c>
      <x:c r="H52" s="20" t="str">
        <x:v>https://resurgamhub.org/analytics/middle-east/middle-east-ceasefire-what-does-it-mean-for-ukraine-and-the-world-</x:v>
      </x:c>
      <x:c r="I52" s="20" t="str">
        <x:v>Middle East ceasefire article: Israel, Palestine/Gaza, U.S., Ukraine, Russia, Iran, Qatar, Egypt, Turkey, Jordan, Italy, Lebanon, Afghanistan.</x:v>
      </x:c>
      <x:c r="J52" s="20"/>
    </x:row>
    <x:row r="53">
      <x:c r="A53" s="20" t="n">
        <x:v>52</x:v>
      </x:c>
      <x:c r="B53" s="20" t="str">
        <x:v>Kazakhstan</x:v>
      </x:c>
      <x:c r="C53" s="20" t="str">
        <x:v>KAZ</x:v>
      </x:c>
      <x:c r="D53" s="20" t="str">
        <x:v>Country</x:v>
      </x:c>
      <x:c r="E53" s="20" t="str">
        <x:v>Asia-Pacific</x:v>
      </x:c>
      <x:c r="F53" s="20" t="str">
        <x:v>Yes</x:v>
      </x:c>
      <x:c r="G53" s="20" t="str">
        <x:v>Central Asia/all materials</x:v>
      </x:c>
      <x:c r="H53" s="20" t="str">
        <x:v>https://resurgamhub.org/all-materials</x:v>
      </x:c>
      <x:c r="I53" s="20" t="str">
        <x:v>Indexed all-materials snippets: Kazakhstan, Uzbekistan, Kyrgyzstan, Turkmenistan, Tajikistan, Mongolia and related Asia references.</x:v>
      </x:c>
      <x:c r="J53" s="20"/>
    </x:row>
    <x:row r="54">
      <x:c r="A54" s="20" t="n">
        <x:v>53</x:v>
      </x:c>
      <x:c r="B54" s="20" t="str">
        <x:v>Kenya</x:v>
      </x:c>
      <x:c r="C54" s="20" t="str">
        <x:v>KEN</x:v>
      </x:c>
      <x:c r="D54" s="20" t="str">
        <x:v>Country</x:v>
      </x:c>
      <x:c r="E54" s="20" t="str">
        <x:v>Africa</x:v>
      </x:c>
      <x:c r="F54" s="20" t="str">
        <x:v>Yes</x:v>
      </x:c>
      <x:c r="G54" s="20" t="str">
        <x:v>Africa hybrid war</x:v>
      </x:c>
      <x:c r="H54" s="20" t="str">
        <x:v>https://resurgamhub.org/analytics/africa/all/after-france-how-africa-became-the-battlefield-of-the-russian-french-hybrid-war</x:v>
      </x:c>
      <x:c r="I54" s="20" t="str">
        <x:v>Africa article: French/Russian influence, Wagner/PMC footprint, disinformation, Sahel/Africa examples.</x:v>
      </x:c>
      <x:c r="J54" s="20"/>
    </x:row>
    <x:row r="55">
      <x:c r="A55" s="20" t="n">
        <x:v>54</x:v>
      </x:c>
      <x:c r="B55" s="20" t="str">
        <x:v>Kiribati</x:v>
      </x:c>
      <x:c r="C55" s="20" t="str">
        <x:v>KIR</x:v>
      </x:c>
      <x:c r="D55" s="20" t="str">
        <x:v>Country</x:v>
      </x:c>
      <x:c r="E55" s="20" t="str">
        <x:v>Asia-Pacific</x:v>
      </x:c>
      <x:c r="F55" s="20" t="str">
        <x:v>Yes</x:v>
      </x:c>
      <x:c r="G55" s="20" t="str">
        <x:v>Oceania/China</x:v>
      </x:c>
      <x:c r="H55" s="20" t="str">
        <x:v>https://resurgamhub.org/analytics/asia/china/threats/china-s-strategy-toward-the-states-of-oceania-how-the-celestial-empire-is-reshaping-the-balance-of-power-in-the-pacific-region</x:v>
      </x:c>
      <x:c r="I55" s="20" t="str">
        <x:v>China/Oceania article: Pacific island states, China–Taiwan diplomacy, U.S./Australia/New Zealand/Japan/UK/South Korea context.</x:v>
      </x:c>
      <x:c r="J55" s="20"/>
    </x:row>
    <x:row r="56">
      <x:c r="A56" s="20" t="n">
        <x:v>55</x:v>
      </x:c>
      <x:c r="B56" s="20" t="str">
        <x:v>Kuwait</x:v>
      </x:c>
      <x:c r="C56" s="20" t="str">
        <x:v>KWT</x:v>
      </x:c>
      <x:c r="D56" s="20" t="str">
        <x:v>Country</x:v>
      </x:c>
      <x:c r="E56" s="20" t="str">
        <x:v>Asia-Pacific</x:v>
      </x:c>
      <x:c r="F56" s="20" t="str">
        <x:v>Yes</x:v>
      </x:c>
      <x:c r="G56" s="20" t="str">
        <x:v>Iran conflict / Europe</x:v>
      </x:c>
      <x:c r="H56" s="20" t="str">
        <x:v>https://resurgamhub.org/analytics/europe/eu/europe-s-response-to-the-iran-conflict</x:v>
      </x:c>
      <x:c r="I56" s="20" t="str">
        <x:v>Europe response to Iran conflict: U.S., Israel, Iran, Cyprus, E3 countries, Qatar, Jordan, Iraq, Bahrain, Kuwait, Saudi Arabia, UAE, Netherlands, India.</x:v>
      </x:c>
      <x:c r="J56" s="20"/>
    </x:row>
    <x:row r="57">
      <x:c r="A57" s="20" t="n">
        <x:v>56</x:v>
      </x:c>
      <x:c r="B57" s="20" t="str">
        <x:v>Kyrgyzstan</x:v>
      </x:c>
      <x:c r="C57" s="20" t="str">
        <x:v>KGZ</x:v>
      </x:c>
      <x:c r="D57" s="20" t="str">
        <x:v>Country</x:v>
      </x:c>
      <x:c r="E57" s="20" t="str">
        <x:v>Asia-Pacific</x:v>
      </x:c>
      <x:c r="F57" s="20" t="str">
        <x:v>Yes</x:v>
      </x:c>
      <x:c r="G57" s="20" t="str">
        <x:v>Central Asia/all materials</x:v>
      </x:c>
      <x:c r="H57" s="20" t="str">
        <x:v>https://resurgamhub.org/all-materials</x:v>
      </x:c>
      <x:c r="I57" s="20" t="str">
        <x:v>Indexed all-materials snippets: Kazakhstan, Uzbekistan, Kyrgyzstan, Turkmenistan, Tajikistan, Mongolia and related Asia references.</x:v>
      </x:c>
      <x:c r="J57" s="20" t="str">
        <x:v>Normalized from Kyrgyz Republic / Kyrgyzstan.</x:v>
      </x:c>
    </x:row>
    <x:row r="58">
      <x:c r="A58" s="20" t="n">
        <x:v>57</x:v>
      </x:c>
      <x:c r="B58" s="20" t="str">
        <x:v>Latvia</x:v>
      </x:c>
      <x:c r="C58" s="20" t="str">
        <x:v>LVA</x:v>
      </x:c>
      <x:c r="D58" s="20" t="str">
        <x:v>Country</x:v>
      </x:c>
      <x:c r="E58" s="20" t="str">
        <x:v>Europe</x:v>
      </x:c>
      <x:c r="F58" s="20" t="str">
        <x:v>Yes</x:v>
      </x:c>
      <x:c r="G58" s="20" t="str">
        <x:v>USA/North America</x:v>
      </x:c>
      <x:c r="H58" s="20" t="str">
        <x:v>https://resurgamhub.org/analytics/north-america</x:v>
      </x:c>
      <x:c r="I58" s="20" t="str">
        <x:v>North America category and USA tag: United States, Ukraine, Russia/Moscovia, Canada, Brazil, Guyana, Armenia, Azerbaijan, Baltics.</x:v>
      </x:c>
      <x:c r="J58" s="20"/>
    </x:row>
    <x:row r="59">
      <x:c r="A59" s="20" t="n">
        <x:v>58</x:v>
      </x:c>
      <x:c r="B59" s="20" t="str">
        <x:v>Lebanon</x:v>
      </x:c>
      <x:c r="C59" s="20" t="str">
        <x:v>LBN</x:v>
      </x:c>
      <x:c r="D59" s="20" t="str">
        <x:v>Country</x:v>
      </x:c>
      <x:c r="E59" s="20" t="str">
        <x:v>Asia-Pacific</x:v>
      </x:c>
      <x:c r="F59" s="20" t="str">
        <x:v>Yes</x:v>
      </x:c>
      <x:c r="G59" s="20" t="str">
        <x:v>Middle East ceasefire</x:v>
      </x:c>
      <x:c r="H59" s="20" t="str">
        <x:v>https://resurgamhub.org/analytics/middle-east/middle-east-ceasefire-what-does-it-mean-for-ukraine-and-the-world-</x:v>
      </x:c>
      <x:c r="I59" s="20" t="str">
        <x:v>Middle East ceasefire article: Israel, Palestine/Gaza, U.S., Ukraine, Russia, Iran, Qatar, Egypt, Turkey, Jordan, Italy, Lebanon, Afghanistan.</x:v>
      </x:c>
      <x:c r="J59" s="20"/>
    </x:row>
    <x:row r="60">
      <x:c r="A60" s="20" t="n">
        <x:v>59</x:v>
      </x:c>
      <x:c r="B60" s="20" t="str">
        <x:v>Liberia</x:v>
      </x:c>
      <x:c r="C60" s="20" t="str">
        <x:v>LBR</x:v>
      </x:c>
      <x:c r="D60" s="20" t="str">
        <x:v>Country</x:v>
      </x:c>
      <x:c r="E60" s="20" t="str">
        <x:v>Africa</x:v>
      </x:c>
      <x:c r="F60" s="20" t="str">
        <x:v>Yes</x:v>
      </x:c>
      <x:c r="G60" s="20" t="str">
        <x:v>Africa hybrid war</x:v>
      </x:c>
      <x:c r="H60" s="20" t="str">
        <x:v>https://resurgamhub.org/analytics/africa/all/after-france-how-africa-became-the-battlefield-of-the-russian-french-hybrid-war</x:v>
      </x:c>
      <x:c r="I60" s="20" t="str">
        <x:v>Africa article: French/Russian influence, Wagner/PMC footprint, disinformation, Sahel/Africa examples.</x:v>
      </x:c>
      <x:c r="J60" s="20"/>
    </x:row>
    <x:row r="61">
      <x:c r="A61" s="20" t="n">
        <x:v>60</x:v>
      </x:c>
      <x:c r="B61" s="20" t="str">
        <x:v>Libya</x:v>
      </x:c>
      <x:c r="C61" s="20" t="str">
        <x:v>LBY</x:v>
      </x:c>
      <x:c r="D61" s="20" t="str">
        <x:v>Country</x:v>
      </x:c>
      <x:c r="E61" s="20" t="str">
        <x:v>Africa</x:v>
      </x:c>
      <x:c r="F61" s="20" t="str">
        <x:v>Yes</x:v>
      </x:c>
      <x:c r="G61" s="20" t="str">
        <x:v>Africa hybrid war</x:v>
      </x:c>
      <x:c r="H61" s="20" t="str">
        <x:v>https://resurgamhub.org/analytics/africa/all/after-france-how-africa-became-the-battlefield-of-the-russian-french-hybrid-war</x:v>
      </x:c>
      <x:c r="I61" s="20" t="str">
        <x:v>Africa article: French/Russian influence, Wagner/PMC footprint, disinformation, Sahel/Africa examples.</x:v>
      </x:c>
      <x:c r="J61" s="20"/>
    </x:row>
    <x:row r="62">
      <x:c r="A62" s="20" t="n">
        <x:v>61</x:v>
      </x:c>
      <x:c r="B62" s="20" t="str">
        <x:v>Lithuania</x:v>
      </x:c>
      <x:c r="C62" s="20" t="str">
        <x:v>LTU</x:v>
      </x:c>
      <x:c r="D62" s="20" t="str">
        <x:v>Country</x:v>
      </x:c>
      <x:c r="E62" s="20" t="str">
        <x:v>Europe</x:v>
      </x:c>
      <x:c r="F62" s="20" t="str">
        <x:v>Yes</x:v>
      </x:c>
      <x:c r="G62" s="20" t="str">
        <x:v>USA/North America</x:v>
      </x:c>
      <x:c r="H62" s="20" t="str">
        <x:v>https://resurgamhub.org/analytics/north-america</x:v>
      </x:c>
      <x:c r="I62" s="20" t="str">
        <x:v>North America category and USA tag: United States, Ukraine, Russia/Moscovia, Canada, Brazil, Guyana, Armenia, Azerbaijan, Baltics.</x:v>
      </x:c>
      <x:c r="J62" s="20"/>
    </x:row>
    <x:row r="63">
      <x:c r="A63" s="20" t="n">
        <x:v>62</x:v>
      </x:c>
      <x:c r="B63" s="20" t="str">
        <x:v>Madagascar</x:v>
      </x:c>
      <x:c r="C63" s="20" t="str">
        <x:v>MDG</x:v>
      </x:c>
      <x:c r="D63" s="20" t="str">
        <x:v>Country</x:v>
      </x:c>
      <x:c r="E63" s="20" t="str">
        <x:v>Africa</x:v>
      </x:c>
      <x:c r="F63" s="20" t="str">
        <x:v>Yes</x:v>
      </x:c>
      <x:c r="G63" s="20" t="str">
        <x:v>Africa hybrid war</x:v>
      </x:c>
      <x:c r="H63" s="20" t="str">
        <x:v>https://resurgamhub.org/analytics/africa/all/after-france-how-africa-became-the-battlefield-of-the-russian-french-hybrid-war</x:v>
      </x:c>
      <x:c r="I63" s="20" t="str">
        <x:v>Africa article: French/Russian influence, Wagner/PMC footprint, disinformation, Sahel/Africa examples.</x:v>
      </x:c>
      <x:c r="J63" s="20"/>
    </x:row>
    <x:row r="64">
      <x:c r="A64" s="20" t="n">
        <x:v>63</x:v>
      </x:c>
      <x:c r="B64" s="20" t="str">
        <x:v>Malaysia</x:v>
      </x:c>
      <x:c r="C64" s="20" t="str">
        <x:v>MYS</x:v>
      </x:c>
      <x:c r="D64" s="20" t="str">
        <x:v>Country</x:v>
      </x:c>
      <x:c r="E64" s="20" t="str">
        <x:v>Asia-Pacific</x:v>
      </x:c>
      <x:c r="F64" s="20" t="str">
        <x:v>Yes</x:v>
      </x:c>
      <x:c r="G64" s="20" t="str">
        <x:v>Pacific NATO / Asia</x:v>
      </x:c>
      <x:c r="H64" s="20" t="str">
        <x:v>https://resurgamhub.org/analytics/asia/asia/is-pacific-nato-possible-australia-new-zealand-and-new-horizons-for-ukraine</x:v>
      </x:c>
      <x:c r="I64" s="20" t="str">
        <x:v>Pacific NATO article: Australia, New Zealand, Japan, South Korea, USA, Vietnam, Indonesia, Myanmar, Malaysia, Singapore.</x:v>
      </x:c>
      <x:c r="J64" s="20"/>
    </x:row>
    <x:row r="65">
      <x:c r="A65" s="20" t="n">
        <x:v>64</x:v>
      </x:c>
      <x:c r="B65" s="20" t="str">
        <x:v>Mali</x:v>
      </x:c>
      <x:c r="C65" s="20" t="str">
        <x:v>MLI</x:v>
      </x:c>
      <x:c r="D65" s="20" t="str">
        <x:v>Country</x:v>
      </x:c>
      <x:c r="E65" s="20" t="str">
        <x:v>Africa</x:v>
      </x:c>
      <x:c r="F65" s="20" t="str">
        <x:v>Yes</x:v>
      </x:c>
      <x:c r="G65" s="20" t="str">
        <x:v>Africa hybrid war</x:v>
      </x:c>
      <x:c r="H65" s="20" t="str">
        <x:v>https://resurgamhub.org/analytics/africa/all/after-france-how-africa-became-the-battlefield-of-the-russian-french-hybrid-war</x:v>
      </x:c>
      <x:c r="I65" s="20" t="str">
        <x:v>Africa article: French/Russian influence, Wagner/PMC footprint, disinformation, Sahel/Africa examples.</x:v>
      </x:c>
      <x:c r="J65" s="20"/>
    </x:row>
    <x:row r="66">
      <x:c r="A66" s="20" t="n">
        <x:v>65</x:v>
      </x:c>
      <x:c r="B66" s="20" t="str">
        <x:v>Marshall Islands</x:v>
      </x:c>
      <x:c r="C66" s="20" t="str">
        <x:v>MHL</x:v>
      </x:c>
      <x:c r="D66" s="20" t="str">
        <x:v>Country</x:v>
      </x:c>
      <x:c r="E66" s="20" t="str">
        <x:v>Asia-Pacific</x:v>
      </x:c>
      <x:c r="F66" s="20" t="str">
        <x:v>Yes</x:v>
      </x:c>
      <x:c r="G66" s="20" t="str">
        <x:v>Oceania/China</x:v>
      </x:c>
      <x:c r="H66" s="20" t="str">
        <x:v>https://resurgamhub.org/analytics/asia/china/threats/china-s-strategy-toward-the-states-of-oceania-how-the-celestial-empire-is-reshaping-the-balance-of-power-in-the-pacific-region</x:v>
      </x:c>
      <x:c r="I66" s="20" t="str">
        <x:v>China/Oceania article: Pacific island states, China–Taiwan diplomacy, U.S./Australia/New Zealand/Japan/UK/South Korea context.</x:v>
      </x:c>
      <x:c r="J66" s="20"/>
    </x:row>
    <x:row r="67">
      <x:c r="A67" s="20" t="n">
        <x:v>66</x:v>
      </x:c>
      <x:c r="B67" s="20" t="str">
        <x:v>Mauritania</x:v>
      </x:c>
      <x:c r="C67" s="20" t="str">
        <x:v>MRT</x:v>
      </x:c>
      <x:c r="D67" s="20" t="str">
        <x:v>Country</x:v>
      </x:c>
      <x:c r="E67" s="20" t="str">
        <x:v>Africa</x:v>
      </x:c>
      <x:c r="F67" s="20" t="str">
        <x:v>Yes</x:v>
      </x:c>
      <x:c r="G67" s="20" t="str">
        <x:v>Africa hybrid war</x:v>
      </x:c>
      <x:c r="H67" s="20" t="str">
        <x:v>https://resurgamhub.org/analytics/africa/all/after-france-how-africa-became-the-battlefield-of-the-russian-french-hybrid-war</x:v>
      </x:c>
      <x:c r="I67" s="20" t="str">
        <x:v>Africa article: French/Russian influence, Wagner/PMC footprint, disinformation, Sahel/Africa examples.</x:v>
      </x:c>
      <x:c r="J67" s="20"/>
    </x:row>
    <x:row r="68">
      <x:c r="A68" s="20" t="n">
        <x:v>67</x:v>
      </x:c>
      <x:c r="B68" s="20" t="str">
        <x:v>Moldova</x:v>
      </x:c>
      <x:c r="C68" s="20" t="str">
        <x:v>MDA</x:v>
      </x:c>
      <x:c r="D68" s="20" t="str">
        <x:v>Country</x:v>
      </x:c>
      <x:c r="E68" s="20" t="str">
        <x:v>Europe</x:v>
      </x:c>
      <x:c r="F68" s="20" t="str">
        <x:v>Yes</x:v>
      </x:c>
      <x:c r="G68" s="20" t="str">
        <x:v>Black Sea energy</x:v>
      </x:c>
      <x:c r="H68" s="20" t="str">
        <x:v>https://resurgamhub.org/analytics/europe/eu/the-energy-revolution-in-the-black-sea-the-formation-of-a-new-centre-of-european-energy</x:v>
      </x:c>
      <x:c r="I68" s="20" t="str">
        <x:v>Black Sea energy article: Turkey, Romania, Bulgaria, Greece, Hungary, Austria, Slovakia, Moldova, Ukraine, Georgia.</x:v>
      </x:c>
      <x:c r="J68" s="20"/>
    </x:row>
    <x:row r="69">
      <x:c r="A69" s="20" t="n">
        <x:v>68</x:v>
      </x:c>
      <x:c r="B69" s="20" t="str">
        <x:v>Mongolia</x:v>
      </x:c>
      <x:c r="C69" s="20" t="str">
        <x:v>MNG</x:v>
      </x:c>
      <x:c r="D69" s="20" t="str">
        <x:v>Country</x:v>
      </x:c>
      <x:c r="E69" s="20" t="str">
        <x:v>Asia-Pacific</x:v>
      </x:c>
      <x:c r="F69" s="20" t="str">
        <x:v>Yes</x:v>
      </x:c>
      <x:c r="G69" s="20" t="str">
        <x:v>Central Asia/all materials</x:v>
      </x:c>
      <x:c r="H69" s="20" t="str">
        <x:v>https://resurgamhub.org/all-materials</x:v>
      </x:c>
      <x:c r="I69" s="20" t="str">
        <x:v>Indexed all-materials snippets: Kazakhstan, Uzbekistan, Kyrgyzstan, Turkmenistan, Tajikistan, Mongolia and related Asia references.</x:v>
      </x:c>
      <x:c r="J69" s="20"/>
    </x:row>
    <x:row r="70">
      <x:c r="A70" s="20" t="n">
        <x:v>69</x:v>
      </x:c>
      <x:c r="B70" s="20" t="str">
        <x:v>Morocco</x:v>
      </x:c>
      <x:c r="C70" s="20" t="str">
        <x:v>MAR</x:v>
      </x:c>
      <x:c r="D70" s="20" t="str">
        <x:v>Country</x:v>
      </x:c>
      <x:c r="E70" s="20" t="str">
        <x:v>Africa</x:v>
      </x:c>
      <x:c r="F70" s="20" t="str">
        <x:v>Yes</x:v>
      </x:c>
      <x:c r="G70" s="20" t="str">
        <x:v>Algeria article</x:v>
      </x:c>
      <x:c r="H70" s="20" t="str">
        <x:v>https://resurgamhub.org/</x:v>
      </x:c>
      <x:c r="I70" s="20" t="str">
        <x:v>Indexed Algeria article/homepage snippets: Algeria, Belarus, Russia, China, Kyrgyzstan, Myanmar, Oman, Morocco, UAE, South Africa, Western Sahara.</x:v>
      </x:c>
      <x:c r="J70" s="20"/>
    </x:row>
    <x:row r="71">
      <x:c r="A71" s="20" t="n">
        <x:v>70</x:v>
      </x:c>
      <x:c r="B71" s="20" t="str">
        <x:v>Mozambique</x:v>
      </x:c>
      <x:c r="C71" s="20" t="str">
        <x:v>MOZ</x:v>
      </x:c>
      <x:c r="D71" s="20" t="str">
        <x:v>Country</x:v>
      </x:c>
      <x:c r="E71" s="20" t="str">
        <x:v>Africa</x:v>
      </x:c>
      <x:c r="F71" s="20" t="str">
        <x:v>Yes</x:v>
      </x:c>
      <x:c r="G71" s="20" t="str">
        <x:v>Africa hybrid war</x:v>
      </x:c>
      <x:c r="H71" s="20" t="str">
        <x:v>https://resurgamhub.org/analytics/africa/all/after-france-how-africa-became-the-battlefield-of-the-russian-french-hybrid-war</x:v>
      </x:c>
      <x:c r="I71" s="20" t="str">
        <x:v>Africa article: French/Russian influence, Wagner/PMC footprint, disinformation, Sahel/Africa examples.</x:v>
      </x:c>
      <x:c r="J71" s="20"/>
    </x:row>
    <x:row r="72">
      <x:c r="A72" s="20" t="n">
        <x:v>71</x:v>
      </x:c>
      <x:c r="B72" s="20" t="str">
        <x:v>Myanmar</x:v>
      </x:c>
      <x:c r="C72" s="20" t="str">
        <x:v>MMR</x:v>
      </x:c>
      <x:c r="D72" s="20" t="str">
        <x:v>Country</x:v>
      </x:c>
      <x:c r="E72" s="20" t="str">
        <x:v>Asia-Pacific</x:v>
      </x:c>
      <x:c r="F72" s="20" t="str">
        <x:v>Yes</x:v>
      </x:c>
      <x:c r="G72" s="20" t="str">
        <x:v>Pacific NATO / Asia</x:v>
      </x:c>
      <x:c r="H72" s="20" t="str">
        <x:v>https://resurgamhub.org/analytics/asia/asia/is-pacific-nato-possible-australia-new-zealand-and-new-horizons-for-ukraine</x:v>
      </x:c>
      <x:c r="I72" s="20" t="str">
        <x:v>Pacific NATO article: Australia, New Zealand, Japan, South Korea, USA, Vietnam, Indonesia, Myanmar, Malaysia, Singapore.</x:v>
      </x:c>
      <x:c r="J72" s="20"/>
    </x:row>
    <x:row r="73">
      <x:c r="A73" s="20" t="n">
        <x:v>72</x:v>
      </x:c>
      <x:c r="B73" s="20" t="str">
        <x:v>Nauru</x:v>
      </x:c>
      <x:c r="C73" s="20" t="str">
        <x:v>NRU</x:v>
      </x:c>
      <x:c r="D73" s="20" t="str">
        <x:v>Country</x:v>
      </x:c>
      <x:c r="E73" s="20" t="str">
        <x:v>Asia-Pacific</x:v>
      </x:c>
      <x:c r="F73" s="20" t="str">
        <x:v>Yes</x:v>
      </x:c>
      <x:c r="G73" s="20" t="str">
        <x:v>Oceania/China</x:v>
      </x:c>
      <x:c r="H73" s="20" t="str">
        <x:v>https://resurgamhub.org/analytics/asia/china/threats/china-s-strategy-toward-the-states-of-oceania-how-the-celestial-empire-is-reshaping-the-balance-of-power-in-the-pacific-region</x:v>
      </x:c>
      <x:c r="I73" s="20" t="str">
        <x:v>China/Oceania article: Pacific island states, China–Taiwan diplomacy, U.S./Australia/New Zealand/Japan/UK/South Korea context.</x:v>
      </x:c>
      <x:c r="J73" s="20"/>
    </x:row>
    <x:row r="74">
      <x:c r="A74" s="20" t="n">
        <x:v>73</x:v>
      </x:c>
      <x:c r="B74" s="20" t="str">
        <x:v>Netherlands</x:v>
      </x:c>
      <x:c r="C74" s="20" t="str">
        <x:v>NLD</x:v>
      </x:c>
      <x:c r="D74" s="20" t="str">
        <x:v>Country</x:v>
      </x:c>
      <x:c r="E74" s="20" t="str">
        <x:v>Europe</x:v>
      </x:c>
      <x:c r="F74" s="20" t="str">
        <x:v>Yes</x:v>
      </x:c>
      <x:c r="G74" s="20" t="str">
        <x:v>Iran conflict / Europe</x:v>
      </x:c>
      <x:c r="H74" s="20" t="str">
        <x:v>https://resurgamhub.org/analytics/europe/eu/europe-s-response-to-the-iran-conflict</x:v>
      </x:c>
      <x:c r="I74" s="20" t="str">
        <x:v>Europe response to Iran conflict: U.S., Israel, Iran, Cyprus, E3 countries, Qatar, Jordan, Iraq, Bahrain, Kuwait, Saudi Arabia, UAE, Netherlands, India.</x:v>
      </x:c>
      <x:c r="J74" s="20"/>
    </x:row>
    <x:row r="75">
      <x:c r="A75" s="20" t="n">
        <x:v>74</x:v>
      </x:c>
      <x:c r="B75" s="20" t="str">
        <x:v>New Caledonia</x:v>
      </x:c>
      <x:c r="C75" s="20" t="str">
        <x:v>NCL</x:v>
      </x:c>
      <x:c r="D75" s="20" t="str">
        <x:v>Country/area</x:v>
      </x:c>
      <x:c r="E75" s="20" t="str">
        <x:v>Asia-Pacific</x:v>
      </x:c>
      <x:c r="F75" s="20" t="str">
        <x:v>Yes</x:v>
      </x:c>
      <x:c r="G75" s="20" t="str">
        <x:v>Homepage/About</x:v>
      </x:c>
      <x:c r="H75" s="20" t="str">
        <x:v>https://resurgamhub.org/</x:v>
      </x:c>
      <x:c r="I75" s="20" t="str">
        <x:v>Homepage/about page: core regions, current article cards, Resurgam in media, and axis-of-evil framing.</x:v>
      </x:c>
      <x:c r="J75" s="20" t="str">
        <x:v>Country/area rather than UN-member-only sovereign-state row; compatible with country-area map treatment.</x:v>
      </x:c>
    </x:row>
    <x:row r="76">
      <x:c r="A76" s="20" t="n">
        <x:v>75</x:v>
      </x:c>
      <x:c r="B76" s="20" t="str">
        <x:v>New Zealand</x:v>
      </x:c>
      <x:c r="C76" s="20" t="str">
        <x:v>NZL</x:v>
      </x:c>
      <x:c r="D76" s="20" t="str">
        <x:v>Country</x:v>
      </x:c>
      <x:c r="E76" s="20" t="str">
        <x:v>Asia-Pacific</x:v>
      </x:c>
      <x:c r="F76" s="20" t="str">
        <x:v>Yes</x:v>
      </x:c>
      <x:c r="G76" s="20" t="str">
        <x:v>Oceania/China</x:v>
      </x:c>
      <x:c r="H76" s="20" t="str">
        <x:v>https://resurgamhub.org/analytics/asia/china/threats/china-s-strategy-toward-the-states-of-oceania-how-the-celestial-empire-is-reshaping-the-balance-of-power-in-the-pacific-region</x:v>
      </x:c>
      <x:c r="I76" s="20" t="str">
        <x:v>China/Oceania article: Pacific island states, China–Taiwan diplomacy, U.S./Australia/New Zealand/Japan/UK/South Korea context.</x:v>
      </x:c>
      <x:c r="J76" s="20"/>
    </x:row>
    <x:row r="77">
      <x:c r="A77" s="20" t="n">
        <x:v>76</x:v>
      </x:c>
      <x:c r="B77" s="20" t="str">
        <x:v>Nicaragua</x:v>
      </x:c>
      <x:c r="C77" s="20" t="str">
        <x:v>NIC</x:v>
      </x:c>
      <x:c r="D77" s="20" t="str">
        <x:v>Country</x:v>
      </x:c>
      <x:c r="E77" s="20" t="str">
        <x:v>Americas</x:v>
      </x:c>
      <x:c r="F77" s="20" t="str">
        <x:v>Yes</x:v>
      </x:c>
      <x:c r="G77" s="20" t="str">
        <x:v>Chile article</x:v>
      </x:c>
      <x:c r="H77" s="20" t="str">
        <x:v>https://resurgamhub.org/analytics/south-america/all/chile-s-new-political-reality-under-kast-reshaping-domestic-aolicy-and-foreign-policy-orientation</x:v>
      </x:c>
      <x:c r="I77" s="20" t="str">
        <x:v>Chile article: Chile, Ukraine, Russia, Brazil, Colombia, Bolivia, China, U.S., EU, Peru, Nicaragua, El Salvador, Argentina.</x:v>
      </x:c>
      <x:c r="J77" s="20"/>
    </x:row>
    <x:row r="78">
      <x:c r="A78" s="20" t="n">
        <x:v>77</x:v>
      </x:c>
      <x:c r="B78" s="20" t="str">
        <x:v>Niger</x:v>
      </x:c>
      <x:c r="C78" s="20" t="str">
        <x:v>NER</x:v>
      </x:c>
      <x:c r="D78" s="20" t="str">
        <x:v>Country</x:v>
      </x:c>
      <x:c r="E78" s="20" t="str">
        <x:v>Africa</x:v>
      </x:c>
      <x:c r="F78" s="20" t="str">
        <x:v>Yes</x:v>
      </x:c>
      <x:c r="G78" s="20" t="str">
        <x:v>Africa hybrid war</x:v>
      </x:c>
      <x:c r="H78" s="20" t="str">
        <x:v>https://resurgamhub.org/analytics/africa/all/after-france-how-africa-became-the-battlefield-of-the-russian-french-hybrid-war</x:v>
      </x:c>
      <x:c r="I78" s="20" t="str">
        <x:v>Africa article: French/Russian influence, Wagner/PMC footprint, disinformation, Sahel/Africa examples.</x:v>
      </x:c>
      <x:c r="J78" s="20"/>
    </x:row>
    <x:row r="79">
      <x:c r="A79" s="20" t="n">
        <x:v>78</x:v>
      </x:c>
      <x:c r="B79" s="20" t="str">
        <x:v>Nigeria</x:v>
      </x:c>
      <x:c r="C79" s="20" t="str">
        <x:v>NGA</x:v>
      </x:c>
      <x:c r="D79" s="20" t="str">
        <x:v>Country</x:v>
      </x:c>
      <x:c r="E79" s="20" t="str">
        <x:v>Africa</x:v>
      </x:c>
      <x:c r="F79" s="20" t="str">
        <x:v>Yes</x:v>
      </x:c>
      <x:c r="G79" s="20" t="str">
        <x:v>Africa hybrid war</x:v>
      </x:c>
      <x:c r="H79" s="20" t="str">
        <x:v>https://resurgamhub.org/analytics/africa/all/after-france-how-africa-became-the-battlefield-of-the-russian-french-hybrid-war</x:v>
      </x:c>
      <x:c r="I79" s="20" t="str">
        <x:v>Africa article: French/Russian influence, Wagner/PMC footprint, disinformation, Sahel/Africa examples.</x:v>
      </x:c>
      <x:c r="J79" s="20"/>
    </x:row>
    <x:row r="80">
      <x:c r="A80" s="20" t="n">
        <x:v>79</x:v>
      </x:c>
      <x:c r="B80" s="20" t="str">
        <x:v>North Korea</x:v>
      </x:c>
      <x:c r="C80" s="20" t="str">
        <x:v>PRK</x:v>
      </x:c>
      <x:c r="D80" s="20" t="str">
        <x:v>Country</x:v>
      </x:c>
      <x:c r="E80" s="20" t="str">
        <x:v>Asia-Pacific</x:v>
      </x:c>
      <x:c r="F80" s="20" t="str">
        <x:v>Yes</x:v>
      </x:c>
      <x:c r="G80" s="20" t="str">
        <x:v>Homepage/About</x:v>
      </x:c>
      <x:c r="H80" s="20" t="str">
        <x:v>https://resurgamhub.org/</x:v>
      </x:c>
      <x:c r="I80" s="20" t="str">
        <x:v>Homepage/about page: core regions, current article cards, Resurgam in media, and axis-of-evil framing.</x:v>
      </x:c>
      <x:c r="J80" s="20" t="str">
        <x:v>Normalized from North Korea / DPRK.</x:v>
      </x:c>
    </x:row>
    <x:row r="81">
      <x:c r="A81" s="20" t="n">
        <x:v>80</x:v>
      </x:c>
      <x:c r="B81" s="20" t="str">
        <x:v>Norway</x:v>
      </x:c>
      <x:c r="C81" s="20" t="str">
        <x:v>NOR</x:v>
      </x:c>
      <x:c r="D81" s="20" t="str">
        <x:v>Country</x:v>
      </x:c>
      <x:c r="E81" s="20" t="str">
        <x:v>Europe</x:v>
      </x:c>
      <x:c r="F81" s="20" t="str">
        <x:v>Yes</x:v>
      </x:c>
      <x:c r="G81" s="20" t="str">
        <x:v>Europe/Ukraine/Belarus</x:v>
      </x:c>
      <x:c r="H81" s="20" t="str">
        <x:v>https://resurgamhub.org/analytics/europe</x:v>
      </x:c>
      <x:c r="I81" s="20" t="str">
        <x:v>Europe category and Ukraine/Belarus articles: Ukraine, Belarus, Lithuania, Sweden, Moldova, Slovakia, Serbia, United Kingdom, Hungary, Poland.</x:v>
      </x:c>
      <x:c r="J81" s="20"/>
    </x:row>
    <x:row r="82">
      <x:c r="A82" s="20" t="n">
        <x:v>81</x:v>
      </x:c>
      <x:c r="B82" s="20" t="str">
        <x:v>Oman</x:v>
      </x:c>
      <x:c r="C82" s="20" t="str">
        <x:v>OMN</x:v>
      </x:c>
      <x:c r="D82" s="20" t="str">
        <x:v>Country</x:v>
      </x:c>
      <x:c r="E82" s="20" t="str">
        <x:v>Asia-Pacific</x:v>
      </x:c>
      <x:c r="F82" s="20" t="str">
        <x:v>Yes</x:v>
      </x:c>
      <x:c r="G82" s="20" t="str">
        <x:v>Algeria article</x:v>
      </x:c>
      <x:c r="H82" s="20" t="str">
        <x:v>https://resurgamhub.org/</x:v>
      </x:c>
      <x:c r="I82" s="20" t="str">
        <x:v>Indexed Algeria article/homepage snippets: Algeria, Belarus, Russia, China, Kyrgyzstan, Myanmar, Oman, Morocco, UAE, South Africa, Western Sahara.</x:v>
      </x:c>
      <x:c r="J82" s="20"/>
    </x:row>
    <x:row r="83">
      <x:c r="A83" s="20" t="n">
        <x:v>82</x:v>
      </x:c>
      <x:c r="B83" s="20" t="str">
        <x:v>Palau</x:v>
      </x:c>
      <x:c r="C83" s="20" t="str">
        <x:v>PLW</x:v>
      </x:c>
      <x:c r="D83" s="20" t="str">
        <x:v>Country</x:v>
      </x:c>
      <x:c r="E83" s="20" t="str">
        <x:v>Asia-Pacific</x:v>
      </x:c>
      <x:c r="F83" s="20" t="str">
        <x:v>Yes</x:v>
      </x:c>
      <x:c r="G83" s="20" t="str">
        <x:v>Oceania/China</x:v>
      </x:c>
      <x:c r="H83" s="20" t="str">
        <x:v>https://resurgamhub.org/analytics/asia/china/threats/china-s-strategy-toward-the-states-of-oceania-how-the-celestial-empire-is-reshaping-the-balance-of-power-in-the-pacific-region</x:v>
      </x:c>
      <x:c r="I83" s="20" t="str">
        <x:v>China/Oceania article: Pacific island states, China–Taiwan diplomacy, U.S./Australia/New Zealand/Japan/UK/South Korea context.</x:v>
      </x:c>
      <x:c r="J83" s="20"/>
    </x:row>
    <x:row r="84">
      <x:c r="A84" s="20" t="n">
        <x:v>83</x:v>
      </x:c>
      <x:c r="B84" s="20" t="str">
        <x:v>Palestine</x:v>
      </x:c>
      <x:c r="C84" s="20" t="str">
        <x:v>PSE</x:v>
      </x:c>
      <x:c r="D84" s="20" t="str">
        <x:v>Country/area</x:v>
      </x:c>
      <x:c r="E84" s="20" t="str">
        <x:v>Asia-Pacific</x:v>
      </x:c>
      <x:c r="F84" s="20" t="str">
        <x:v>Yes</x:v>
      </x:c>
      <x:c r="G84" s="20" t="str">
        <x:v>Middle East ceasefire</x:v>
      </x:c>
      <x:c r="H84" s="20" t="str">
        <x:v>https://resurgamhub.org/analytics/middle-east/middle-east-ceasefire-what-does-it-mean-for-ukraine-and-the-world-</x:v>
      </x:c>
      <x:c r="I84" s="20" t="str">
        <x:v>Middle East ceasefire article: Israel, Palestine/Gaza, U.S., Ukraine, Russia, Iran, Qatar, Egypt, Turkey, Jordan, Italy, Lebanon, Afghanistan.</x:v>
      </x:c>
      <x:c r="J84" s="20" t="str">
        <x:v>Country/area rather than UN-member-only sovereign-state row; compatible with country-area map treatment.</x:v>
      </x:c>
    </x:row>
    <x:row r="85">
      <x:c r="A85" s="20" t="n">
        <x:v>84</x:v>
      </x:c>
      <x:c r="B85" s="20" t="str">
        <x:v>Papua New Guinea</x:v>
      </x:c>
      <x:c r="C85" s="20" t="str">
        <x:v>PNG</x:v>
      </x:c>
      <x:c r="D85" s="20" t="str">
        <x:v>Country</x:v>
      </x:c>
      <x:c r="E85" s="20" t="str">
        <x:v>Asia-Pacific</x:v>
      </x:c>
      <x:c r="F85" s="20" t="str">
        <x:v>Yes</x:v>
      </x:c>
      <x:c r="G85" s="20" t="str">
        <x:v>Oceania/China</x:v>
      </x:c>
      <x:c r="H85" s="20" t="str">
        <x:v>https://resurgamhub.org/analytics/asia/china/threats/china-s-strategy-toward-the-states-of-oceania-how-the-celestial-empire-is-reshaping-the-balance-of-power-in-the-pacific-region</x:v>
      </x:c>
      <x:c r="I85" s="20" t="str">
        <x:v>China/Oceania article: Pacific island states, China–Taiwan diplomacy, U.S./Australia/New Zealand/Japan/UK/South Korea context.</x:v>
      </x:c>
      <x:c r="J85" s="20"/>
    </x:row>
    <x:row r="86">
      <x:c r="A86" s="20" t="n">
        <x:v>85</x:v>
      </x:c>
      <x:c r="B86" s="20" t="str">
        <x:v>Peru</x:v>
      </x:c>
      <x:c r="C86" s="20" t="str">
        <x:v>PER</x:v>
      </x:c>
      <x:c r="D86" s="20" t="str">
        <x:v>Country</x:v>
      </x:c>
      <x:c r="E86" s="20" t="str">
        <x:v>Americas</x:v>
      </x:c>
      <x:c r="F86" s="20" t="str">
        <x:v>Yes</x:v>
      </x:c>
      <x:c r="G86" s="20" t="str">
        <x:v>Gripen article</x:v>
      </x:c>
      <x:c r="H86" s="20" t="str">
        <x:v>https://resurgamhub.org/analytics/europe/eu/the-combat-test-and-comeback-of-the-jas-39-gripen-what-do-we-know-about-the-swedish-up-in-the-air-aircraft-</x:v>
      </x:c>
      <x:c r="I86" s="20" t="str">
        <x:v>Gripen article: Sweden, Brazil, Czechia, Hungary, South Africa, Thailand, Colombia, Peru, Cambodia.</x:v>
      </x:c>
      <x:c r="J86" s="20"/>
    </x:row>
    <x:row r="87">
      <x:c r="A87" s="20" t="n">
        <x:v>86</x:v>
      </x:c>
      <x:c r="B87" s="20" t="str">
        <x:v>Philippines</x:v>
      </x:c>
      <x:c r="C87" s="20" t="str">
        <x:v>PHL</x:v>
      </x:c>
      <x:c r="D87" s="20" t="str">
        <x:v>Country</x:v>
      </x:c>
      <x:c r="E87" s="20" t="str">
        <x:v>Asia-Pacific</x:v>
      </x:c>
      <x:c r="F87" s="20" t="str">
        <x:v>Yes</x:v>
      </x:c>
      <x:c r="G87" s="20" t="str">
        <x:v>China-Japan/Taiwan</x:v>
      </x:c>
      <x:c r="H87" s="20" t="str">
        <x:v>https://resurgamhub.org/analytics/asia/asia/kitajsko-yaponska-diplomatichna-superechka-navkolo-tajvanyu</x:v>
      </x:c>
      <x:c r="I87" s="20" t="str">
        <x:v>China-Japan diplomatic dispute article: China, Japan, Taiwan, U.S., Philippines, Australia, Southeast Asia.</x:v>
      </x:c>
      <x:c r="J87" s="20"/>
    </x:row>
    <x:row r="88">
      <x:c r="A88" s="20" t="n">
        <x:v>87</x:v>
      </x:c>
      <x:c r="B88" s="20" t="str">
        <x:v>Poland</x:v>
      </x:c>
      <x:c r="C88" s="20" t="str">
        <x:v>POL</x:v>
      </x:c>
      <x:c r="D88" s="20" t="str">
        <x:v>Country</x:v>
      </x:c>
      <x:c r="E88" s="20" t="str">
        <x:v>Europe</x:v>
      </x:c>
      <x:c r="F88" s="20" t="str">
        <x:v>Yes</x:v>
      </x:c>
      <x:c r="G88" s="20" t="str">
        <x:v>Europe/Ukraine/Belarus</x:v>
      </x:c>
      <x:c r="H88" s="20" t="str">
        <x:v>https://resurgamhub.org/analytics/europe</x:v>
      </x:c>
      <x:c r="I88" s="20" t="str">
        <x:v>Europe category and Ukraine/Belarus articles: Ukraine, Belarus, Lithuania, Sweden, Moldova, Slovakia, Serbia, United Kingdom, Hungary, Poland.</x:v>
      </x:c>
      <x:c r="J88" s="20"/>
    </x:row>
    <x:row r="89">
      <x:c r="A89" s="20" t="n">
        <x:v>88</x:v>
      </x:c>
      <x:c r="B89" s="20" t="str">
        <x:v>Qatar</x:v>
      </x:c>
      <x:c r="C89" s="20" t="str">
        <x:v>QAT</x:v>
      </x:c>
      <x:c r="D89" s="20" t="str">
        <x:v>Country</x:v>
      </x:c>
      <x:c r="E89" s="20" t="str">
        <x:v>Asia-Pacific</x:v>
      </x:c>
      <x:c r="F89" s="20" t="str">
        <x:v>Yes</x:v>
      </x:c>
      <x:c r="G89" s="20" t="str">
        <x:v>Middle East ceasefire</x:v>
      </x:c>
      <x:c r="H89" s="20" t="str">
        <x:v>https://resurgamhub.org/analytics/middle-east/middle-east-ceasefire-what-does-it-mean-for-ukraine-and-the-world-</x:v>
      </x:c>
      <x:c r="I89" s="20" t="str">
        <x:v>Middle East ceasefire article: Israel, Palestine/Gaza, U.S., Ukraine, Russia, Iran, Qatar, Egypt, Turkey, Jordan, Italy, Lebanon, Afghanistan.</x:v>
      </x:c>
      <x:c r="J89" s="20"/>
    </x:row>
    <x:row r="90">
      <x:c r="A90" s="20" t="n">
        <x:v>89</x:v>
      </x:c>
      <x:c r="B90" s="20" t="str">
        <x:v>Republic of the Congo</x:v>
      </x:c>
      <x:c r="C90" s="20" t="str">
        <x:v>COG</x:v>
      </x:c>
      <x:c r="D90" s="20" t="str">
        <x:v>Country</x:v>
      </x:c>
      <x:c r="E90" s="20" t="str">
        <x:v>Africa</x:v>
      </x:c>
      <x:c r="F90" s="20" t="str">
        <x:v>Yes</x:v>
      </x:c>
      <x:c r="G90" s="20" t="str">
        <x:v>Africa hybrid war</x:v>
      </x:c>
      <x:c r="H90" s="20" t="str">
        <x:v>https://resurgamhub.org/analytics/africa/all/after-france-how-africa-became-the-battlefield-of-the-russian-french-hybrid-war</x:v>
      </x:c>
      <x:c r="I90" s="20" t="str">
        <x:v>Africa article: French/Russian influence, Wagner/PMC footprint, disinformation, Sahel/Africa examples.</x:v>
      </x:c>
      <x:c r="J90" s="20"/>
    </x:row>
    <x:row r="91">
      <x:c r="A91" s="20" t="n">
        <x:v>90</x:v>
      </x:c>
      <x:c r="B91" s="20" t="str">
        <x:v>Romania</x:v>
      </x:c>
      <x:c r="C91" s="20" t="str">
        <x:v>ROU</x:v>
      </x:c>
      <x:c r="D91" s="20" t="str">
        <x:v>Country</x:v>
      </x:c>
      <x:c r="E91" s="20" t="str">
        <x:v>Europe</x:v>
      </x:c>
      <x:c r="F91" s="20" t="str">
        <x:v>Yes</x:v>
      </x:c>
      <x:c r="G91" s="20" t="str">
        <x:v>Black Sea energy</x:v>
      </x:c>
      <x:c r="H91" s="20" t="str">
        <x:v>https://resurgamhub.org/analytics/europe/eu/the-energy-revolution-in-the-black-sea-the-formation-of-a-new-centre-of-european-energy</x:v>
      </x:c>
      <x:c r="I91" s="20" t="str">
        <x:v>Black Sea energy article: Turkey, Romania, Bulgaria, Greece, Hungary, Austria, Slovakia, Moldova, Ukraine, Georgia.</x:v>
      </x:c>
      <x:c r="J91" s="20"/>
    </x:row>
    <x:row r="92">
      <x:c r="A92" s="20" t="n">
        <x:v>91</x:v>
      </x:c>
      <x:c r="B92" s="20" t="str">
        <x:v>Russia</x:v>
      </x:c>
      <x:c r="C92" s="20" t="str">
        <x:v>RUS</x:v>
      </x:c>
      <x:c r="D92" s="20" t="str">
        <x:v>Country</x:v>
      </x:c>
      <x:c r="E92" s="20" t="str">
        <x:v>Europe</x:v>
      </x:c>
      <x:c r="F92" s="20" t="str">
        <x:v>Yes</x:v>
      </x:c>
      <x:c r="G92" s="20" t="str">
        <x:v>Homepage/About</x:v>
      </x:c>
      <x:c r="H92" s="20" t="str">
        <x:v>https://resurgamhub.org/</x:v>
      </x:c>
      <x:c r="I92" s="20" t="str">
        <x:v>Homepage/about page: core regions, current article cards, Resurgam in media, and axis-of-evil framing.</x:v>
      </x:c>
      <x:c r="J92" s="20" t="str">
        <x:v>Normalized from ResurgamHub terms Moscovia / Muscovy / Russian Federation.</x:v>
      </x:c>
    </x:row>
    <x:row r="93">
      <x:c r="A93" s="20" t="n">
        <x:v>92</x:v>
      </x:c>
      <x:c r="B93" s="20" t="str">
        <x:v>Rwanda</x:v>
      </x:c>
      <x:c r="C93" s="20" t="str">
        <x:v>RWA</x:v>
      </x:c>
      <x:c r="D93" s="20" t="str">
        <x:v>Country</x:v>
      </x:c>
      <x:c r="E93" s="20" t="str">
        <x:v>Africa</x:v>
      </x:c>
      <x:c r="F93" s="20" t="str">
        <x:v>Yes</x:v>
      </x:c>
      <x:c r="G93" s="20" t="str">
        <x:v>Africa hybrid war</x:v>
      </x:c>
      <x:c r="H93" s="20" t="str">
        <x:v>https://resurgamhub.org/analytics/africa/all/after-france-how-africa-became-the-battlefield-of-the-russian-french-hybrid-war</x:v>
      </x:c>
      <x:c r="I93" s="20" t="str">
        <x:v>Africa article: French/Russian influence, Wagner/PMC footprint, disinformation, Sahel/Africa examples.</x:v>
      </x:c>
      <x:c r="J93" s="20"/>
    </x:row>
    <x:row r="94">
      <x:c r="A94" s="20" t="n">
        <x:v>93</x:v>
      </x:c>
      <x:c r="B94" s="20" t="str">
        <x:v>Samoa</x:v>
      </x:c>
      <x:c r="C94" s="20" t="str">
        <x:v>WSM</x:v>
      </x:c>
      <x:c r="D94" s="20" t="str">
        <x:v>Country</x:v>
      </x:c>
      <x:c r="E94" s="20" t="str">
        <x:v>Asia-Pacific</x:v>
      </x:c>
      <x:c r="F94" s="20" t="str">
        <x:v>Yes</x:v>
      </x:c>
      <x:c r="G94" s="20" t="str">
        <x:v>Oceania/China</x:v>
      </x:c>
      <x:c r="H94" s="20" t="str">
        <x:v>https://resurgamhub.org/analytics/asia/china/threats/china-s-strategy-toward-the-states-of-oceania-how-the-celestial-empire-is-reshaping-the-balance-of-power-in-the-pacific-region</x:v>
      </x:c>
      <x:c r="I94" s="20" t="str">
        <x:v>China/Oceania article: Pacific island states, China–Taiwan diplomacy, U.S./Australia/New Zealand/Japan/UK/South Korea context.</x:v>
      </x:c>
      <x:c r="J94" s="20"/>
    </x:row>
    <x:row r="95">
      <x:c r="A95" s="20" t="n">
        <x:v>94</x:v>
      </x:c>
      <x:c r="B95" s="20" t="str">
        <x:v>Saudi Arabia</x:v>
      </x:c>
      <x:c r="C95" s="20" t="str">
        <x:v>SAU</x:v>
      </x:c>
      <x:c r="D95" s="20" t="str">
        <x:v>Country</x:v>
      </x:c>
      <x:c r="E95" s="20" t="str">
        <x:v>Asia-Pacific</x:v>
      </x:c>
      <x:c r="F95" s="20" t="str">
        <x:v>Yes</x:v>
      </x:c>
      <x:c r="G95" s="20" t="str">
        <x:v>Iran conflict / Europe</x:v>
      </x:c>
      <x:c r="H95" s="20" t="str">
        <x:v>https://resurgamhub.org/analytics/europe/eu/europe-s-response-to-the-iran-conflict</x:v>
      </x:c>
      <x:c r="I95" s="20" t="str">
        <x:v>Europe response to Iran conflict: U.S., Israel, Iran, Cyprus, E3 countries, Qatar, Jordan, Iraq, Bahrain, Kuwait, Saudi Arabia, UAE, Netherlands, India.</x:v>
      </x:c>
      <x:c r="J95" s="20"/>
    </x:row>
    <x:row r="96">
      <x:c r="A96" s="20" t="n">
        <x:v>95</x:v>
      </x:c>
      <x:c r="B96" s="20" t="str">
        <x:v>Serbia</x:v>
      </x:c>
      <x:c r="C96" s="20" t="str">
        <x:v>SRB</x:v>
      </x:c>
      <x:c r="D96" s="20" t="str">
        <x:v>Country</x:v>
      </x:c>
      <x:c r="E96" s="20" t="str">
        <x:v>Europe</x:v>
      </x:c>
      <x:c r="F96" s="20" t="str">
        <x:v>Yes</x:v>
      </x:c>
      <x:c r="G96" s="20" t="str">
        <x:v>Europe/Ukraine/Belarus</x:v>
      </x:c>
      <x:c r="H96" s="20" t="str">
        <x:v>https://resurgamhub.org/analytics/europe</x:v>
      </x:c>
      <x:c r="I96" s="20" t="str">
        <x:v>Europe category and Ukraine/Belarus articles: Ukraine, Belarus, Lithuania, Sweden, Moldova, Slovakia, Serbia, United Kingdom, Hungary, Poland.</x:v>
      </x:c>
      <x:c r="J96" s="20"/>
    </x:row>
    <x:row r="97">
      <x:c r="A97" s="20" t="n">
        <x:v>96</x:v>
      </x:c>
      <x:c r="B97" s="20" t="str">
        <x:v>Singapore</x:v>
      </x:c>
      <x:c r="C97" s="20" t="str">
        <x:v>SGP</x:v>
      </x:c>
      <x:c r="D97" s="20" t="str">
        <x:v>Country</x:v>
      </x:c>
      <x:c r="E97" s="20" t="str">
        <x:v>Asia-Pacific</x:v>
      </x:c>
      <x:c r="F97" s="20" t="str">
        <x:v>Yes</x:v>
      </x:c>
      <x:c r="G97" s="20" t="str">
        <x:v>Pacific NATO / Asia</x:v>
      </x:c>
      <x:c r="H97" s="20" t="str">
        <x:v>https://resurgamhub.org/analytics/asia/asia/is-pacific-nato-possible-australia-new-zealand-and-new-horizons-for-ukraine</x:v>
      </x:c>
      <x:c r="I97" s="20" t="str">
        <x:v>Pacific NATO article: Australia, New Zealand, Japan, South Korea, USA, Vietnam, Indonesia, Myanmar, Malaysia, Singapore.</x:v>
      </x:c>
      <x:c r="J97" s="20"/>
    </x:row>
    <x:row r="98">
      <x:c r="A98" s="20" t="n">
        <x:v>97</x:v>
      </x:c>
      <x:c r="B98" s="20" t="str">
        <x:v>Slovakia</x:v>
      </x:c>
      <x:c r="C98" s="20" t="str">
        <x:v>SVK</x:v>
      </x:c>
      <x:c r="D98" s="20" t="str">
        <x:v>Country</x:v>
      </x:c>
      <x:c r="E98" s="20" t="str">
        <x:v>Europe</x:v>
      </x:c>
      <x:c r="F98" s="20" t="str">
        <x:v>Yes</x:v>
      </x:c>
      <x:c r="G98" s="20" t="str">
        <x:v>Black Sea energy</x:v>
      </x:c>
      <x:c r="H98" s="20" t="str">
        <x:v>https://resurgamhub.org/analytics/europe/eu/the-energy-revolution-in-the-black-sea-the-formation-of-a-new-centre-of-european-energy</x:v>
      </x:c>
      <x:c r="I98" s="20" t="str">
        <x:v>Black Sea energy article: Turkey, Romania, Bulgaria, Greece, Hungary, Austria, Slovakia, Moldova, Ukraine, Georgia.</x:v>
      </x:c>
      <x:c r="J98" s="20"/>
    </x:row>
    <x:row r="99">
      <x:c r="A99" s="20" t="n">
        <x:v>98</x:v>
      </x:c>
      <x:c r="B99" s="20" t="str">
        <x:v>Solomon Islands</x:v>
      </x:c>
      <x:c r="C99" s="20" t="str">
        <x:v>SLB</x:v>
      </x:c>
      <x:c r="D99" s="20" t="str">
        <x:v>Country</x:v>
      </x:c>
      <x:c r="E99" s="20" t="str">
        <x:v>Asia-Pacific</x:v>
      </x:c>
      <x:c r="F99" s="20" t="str">
        <x:v>Yes</x:v>
      </x:c>
      <x:c r="G99" s="20" t="str">
        <x:v>Oceania/China</x:v>
      </x:c>
      <x:c r="H99" s="20" t="str">
        <x:v>https://resurgamhub.org/analytics/asia/china/threats/china-s-strategy-toward-the-states-of-oceania-how-the-celestial-empire-is-reshaping-the-balance-of-power-in-the-pacific-region</x:v>
      </x:c>
      <x:c r="I99" s="20" t="str">
        <x:v>China/Oceania article: Pacific island states, China–Taiwan diplomacy, U.S./Australia/New Zealand/Japan/UK/South Korea context.</x:v>
      </x:c>
      <x:c r="J99" s="20"/>
    </x:row>
    <x:row r="100">
      <x:c r="A100" s="20" t="n">
        <x:v>99</x:v>
      </x:c>
      <x:c r="B100" s="20" t="str">
        <x:v>South Africa</x:v>
      </x:c>
      <x:c r="C100" s="20" t="str">
        <x:v>ZAF</x:v>
      </x:c>
      <x:c r="D100" s="20" t="str">
        <x:v>Country</x:v>
      </x:c>
      <x:c r="E100" s="20" t="str">
        <x:v>Africa</x:v>
      </x:c>
      <x:c r="F100" s="20" t="str">
        <x:v>Yes</x:v>
      </x:c>
      <x:c r="G100" s="20" t="str">
        <x:v>Africa hybrid war</x:v>
      </x:c>
      <x:c r="H100" s="20" t="str">
        <x:v>https://resurgamhub.org/analytics/africa/all/after-france-how-africa-became-the-battlefield-of-the-russian-french-hybrid-war</x:v>
      </x:c>
      <x:c r="I100" s="20" t="str">
        <x:v>Africa article: French/Russian influence, Wagner/PMC footprint, disinformation, Sahel/Africa examples.</x:v>
      </x:c>
      <x:c r="J100" s="20"/>
    </x:row>
    <x:row r="101">
      <x:c r="A101" s="20" t="n">
        <x:v>100</x:v>
      </x:c>
      <x:c r="B101" s="20" t="str">
        <x:v>South Korea</x:v>
      </x:c>
      <x:c r="C101" s="20" t="str">
        <x:v>KOR</x:v>
      </x:c>
      <x:c r="D101" s="20" t="str">
        <x:v>Country</x:v>
      </x:c>
      <x:c r="E101" s="20" t="str">
        <x:v>Asia-Pacific</x:v>
      </x:c>
      <x:c r="F101" s="20" t="str">
        <x:v>Yes</x:v>
      </x:c>
      <x:c r="G101" s="20" t="str">
        <x:v>Homepage/About</x:v>
      </x:c>
      <x:c r="H101" s="20" t="str">
        <x:v>https://resurgamhub.org/</x:v>
      </x:c>
      <x:c r="I101" s="20" t="str">
        <x:v>Homepage/about page: core regions, current article cards, Resurgam in media, and axis-of-evil framing.</x:v>
      </x:c>
      <x:c r="J101" s="20" t="str">
        <x:v>Normalized from Republic of Korea / South Korea.</x:v>
      </x:c>
    </x:row>
    <x:row r="102">
      <x:c r="A102" s="20" t="n">
        <x:v>101</x:v>
      </x:c>
      <x:c r="B102" s="20" t="str">
        <x:v>Spain</x:v>
      </x:c>
      <x:c r="C102" s="20" t="str">
        <x:v>ESP</x:v>
      </x:c>
      <x:c r="D102" s="20" t="str">
        <x:v>Country</x:v>
      </x:c>
      <x:c r="E102" s="20" t="str">
        <x:v>Europe</x:v>
      </x:c>
      <x:c r="F102" s="20" t="str">
        <x:v>Yes</x:v>
      </x:c>
      <x:c r="G102" s="20" t="str">
        <x:v>Homepage/About</x:v>
      </x:c>
      <x:c r="H102" s="20" t="str">
        <x:v>https://resurgamhub.org/</x:v>
      </x:c>
      <x:c r="I102" s="20" t="str">
        <x:v>Homepage/about page: core regions, current article cards, Resurgam in media, and axis-of-evil framing.</x:v>
      </x:c>
      <x:c r="J102" s="20"/>
    </x:row>
    <x:row r="103">
      <x:c r="A103" s="20" t="n">
        <x:v>102</x:v>
      </x:c>
      <x:c r="B103" s="20" t="str">
        <x:v>Sri Lanka</x:v>
      </x:c>
      <x:c r="C103" s="20" t="str">
        <x:v>LKA</x:v>
      </x:c>
      <x:c r="D103" s="20" t="str">
        <x:v>Country</x:v>
      </x:c>
      <x:c r="E103" s="20" t="str">
        <x:v>Asia-Pacific</x:v>
      </x:c>
      <x:c r="F103" s="20" t="str">
        <x:v>Yes</x:v>
      </x:c>
      <x:c r="G103" s="20" t="str">
        <x:v>Oceania/China</x:v>
      </x:c>
      <x:c r="H103" s="20" t="str">
        <x:v>https://resurgamhub.org/analytics/asia/china/threats/china-s-strategy-toward-the-states-of-oceania-how-the-celestial-empire-is-reshaping-the-balance-of-power-in-the-pacific-region</x:v>
      </x:c>
      <x:c r="I103" s="20" t="str">
        <x:v>China/Oceania article: Pacific island states, China–Taiwan diplomacy, U.S./Australia/New Zealand/Japan/UK/South Korea context.</x:v>
      </x:c>
      <x:c r="J103" s="20"/>
    </x:row>
    <x:row r="104">
      <x:c r="A104" s="20" t="n">
        <x:v>103</x:v>
      </x:c>
      <x:c r="B104" s="20" t="str">
        <x:v>Sudan</x:v>
      </x:c>
      <x:c r="C104" s="20" t="str">
        <x:v>SDN</x:v>
      </x:c>
      <x:c r="D104" s="20" t="str">
        <x:v>Country</x:v>
      </x:c>
      <x:c r="E104" s="20" t="str">
        <x:v>Africa</x:v>
      </x:c>
      <x:c r="F104" s="20" t="str">
        <x:v>Yes</x:v>
      </x:c>
      <x:c r="G104" s="20" t="str">
        <x:v>Africa hybrid war</x:v>
      </x:c>
      <x:c r="H104" s="20" t="str">
        <x:v>https://resurgamhub.org/analytics/africa/all/after-france-how-africa-became-the-battlefield-of-the-russian-french-hybrid-war</x:v>
      </x:c>
      <x:c r="I104" s="20" t="str">
        <x:v>Africa article: French/Russian influence, Wagner/PMC footprint, disinformation, Sahel/Africa examples.</x:v>
      </x:c>
      <x:c r="J104" s="20"/>
    </x:row>
    <x:row r="105">
      <x:c r="A105" s="20" t="n">
        <x:v>104</x:v>
      </x:c>
      <x:c r="B105" s="20" t="str">
        <x:v>Sweden</x:v>
      </x:c>
      <x:c r="C105" s="20" t="str">
        <x:v>SWE</x:v>
      </x:c>
      <x:c r="D105" s="20" t="str">
        <x:v>Country</x:v>
      </x:c>
      <x:c r="E105" s="20" t="str">
        <x:v>Europe</x:v>
      </x:c>
      <x:c r="F105" s="20" t="str">
        <x:v>Yes</x:v>
      </x:c>
      <x:c r="G105" s="20" t="str">
        <x:v>Gripen article</x:v>
      </x:c>
      <x:c r="H105" s="20" t="str">
        <x:v>https://resurgamhub.org/analytics/europe/eu/the-combat-test-and-comeback-of-the-jas-39-gripen-what-do-we-know-about-the-swedish-up-in-the-air-aircraft-</x:v>
      </x:c>
      <x:c r="I105" s="20" t="str">
        <x:v>Gripen article: Sweden, Brazil, Czechia, Hungary, South Africa, Thailand, Colombia, Peru, Cambodia.</x:v>
      </x:c>
      <x:c r="J105" s="20"/>
    </x:row>
    <x:row r="106">
      <x:c r="A106" s="20" t="n">
        <x:v>105</x:v>
      </x:c>
      <x:c r="B106" s="20" t="str">
        <x:v>Syria</x:v>
      </x:c>
      <x:c r="C106" s="20" t="str">
        <x:v>SYR</x:v>
      </x:c>
      <x:c r="D106" s="20" t="str">
        <x:v>Country</x:v>
      </x:c>
      <x:c r="E106" s="20" t="str">
        <x:v>Asia-Pacific</x:v>
      </x:c>
      <x:c r="F106" s="20" t="str">
        <x:v>Yes</x:v>
      </x:c>
      <x:c r="G106" s="20" t="str">
        <x:v>Europe/Ukraine/Belarus</x:v>
      </x:c>
      <x:c r="H106" s="20" t="str">
        <x:v>https://resurgamhub.org/analytics/europe</x:v>
      </x:c>
      <x:c r="I106" s="20" t="str">
        <x:v>Europe category and Ukraine/Belarus articles: Ukraine, Belarus, Lithuania, Sweden, Moldova, Slovakia, Serbia, United Kingdom, Hungary, Poland.</x:v>
      </x:c>
      <x:c r="J106" s="20"/>
    </x:row>
    <x:row r="107">
      <x:c r="A107" s="20" t="n">
        <x:v>106</x:v>
      </x:c>
      <x:c r="B107" s="20" t="str">
        <x:v>Taiwan</x:v>
      </x:c>
      <x:c r="C107" s="20" t="str">
        <x:v>TWN</x:v>
      </x:c>
      <x:c r="D107" s="20" t="str">
        <x:v>Country/area</x:v>
      </x:c>
      <x:c r="E107" s="20" t="str">
        <x:v>Asia-Pacific</x:v>
      </x:c>
      <x:c r="F107" s="20" t="str">
        <x:v>Yes</x:v>
      </x:c>
      <x:c r="G107" s="20" t="str">
        <x:v>Oceania/China</x:v>
      </x:c>
      <x:c r="H107" s="20" t="str">
        <x:v>https://resurgamhub.org/analytics/asia/china/threats/china-s-strategy-toward-the-states-of-oceania-how-the-celestial-empire-is-reshaping-the-balance-of-power-in-the-pacific-region</x:v>
      </x:c>
      <x:c r="I107" s="20" t="str">
        <x:v>China/Oceania article: Pacific island states, China–Taiwan diplomacy, U.S./Australia/New Zealand/Japan/UK/South Korea context.</x:v>
      </x:c>
      <x:c r="J107" s="20" t="str">
        <x:v>Country/area rather than UN-member-only sovereign-state row; compatible with country-area map treatment.</x:v>
      </x:c>
    </x:row>
    <x:row r="108">
      <x:c r="A108" s="20" t="n">
        <x:v>107</x:v>
      </x:c>
      <x:c r="B108" s="20" t="str">
        <x:v>Tajikistan</x:v>
      </x:c>
      <x:c r="C108" s="20" t="str">
        <x:v>TJK</x:v>
      </x:c>
      <x:c r="D108" s="20" t="str">
        <x:v>Country</x:v>
      </x:c>
      <x:c r="E108" s="20" t="str">
        <x:v>Asia-Pacific</x:v>
      </x:c>
      <x:c r="F108" s="20" t="str">
        <x:v>Yes</x:v>
      </x:c>
      <x:c r="G108" s="20" t="str">
        <x:v>Central Asia/all materials</x:v>
      </x:c>
      <x:c r="H108" s="20" t="str">
        <x:v>https://resurgamhub.org/all-materials</x:v>
      </x:c>
      <x:c r="I108" s="20" t="str">
        <x:v>Indexed all-materials snippets: Kazakhstan, Uzbekistan, Kyrgyzstan, Turkmenistan, Tajikistan, Mongolia and related Asia references.</x:v>
      </x:c>
      <x:c r="J108" s="20"/>
    </x:row>
    <x:row r="109">
      <x:c r="A109" s="20" t="n">
        <x:v>108</x:v>
      </x:c>
      <x:c r="B109" s="20" t="str">
        <x:v>Thailand</x:v>
      </x:c>
      <x:c r="C109" s="20" t="str">
        <x:v>THA</x:v>
      </x:c>
      <x:c r="D109" s="20" t="str">
        <x:v>Country</x:v>
      </x:c>
      <x:c r="E109" s="20" t="str">
        <x:v>Asia-Pacific</x:v>
      </x:c>
      <x:c r="F109" s="20" t="str">
        <x:v>Yes</x:v>
      </x:c>
      <x:c r="G109" s="20" t="str">
        <x:v>Gripen article</x:v>
      </x:c>
      <x:c r="H109" s="20" t="str">
        <x:v>https://resurgamhub.org/analytics/europe/eu/the-combat-test-and-comeback-of-the-jas-39-gripen-what-do-we-know-about-the-swedish-up-in-the-air-aircraft-</x:v>
      </x:c>
      <x:c r="I109" s="20" t="str">
        <x:v>Gripen article: Sweden, Brazil, Czechia, Hungary, South Africa, Thailand, Colombia, Peru, Cambodia.</x:v>
      </x:c>
      <x:c r="J109" s="20"/>
    </x:row>
    <x:row r="110">
      <x:c r="A110" s="20" t="n">
        <x:v>109</x:v>
      </x:c>
      <x:c r="B110" s="20" t="str">
        <x:v>Tonga</x:v>
      </x:c>
      <x:c r="C110" s="20" t="str">
        <x:v>TON</x:v>
      </x:c>
      <x:c r="D110" s="20" t="str">
        <x:v>Country</x:v>
      </x:c>
      <x:c r="E110" s="20" t="str">
        <x:v>Asia-Pacific</x:v>
      </x:c>
      <x:c r="F110" s="20" t="str">
        <x:v>Yes</x:v>
      </x:c>
      <x:c r="G110" s="20" t="str">
        <x:v>Oceania/China</x:v>
      </x:c>
      <x:c r="H110" s="20" t="str">
        <x:v>https://resurgamhub.org/analytics/asia/china/threats/china-s-strategy-toward-the-states-of-oceania-how-the-celestial-empire-is-reshaping-the-balance-of-power-in-the-pacific-region</x:v>
      </x:c>
      <x:c r="I110" s="20" t="str">
        <x:v>China/Oceania article: Pacific island states, China–Taiwan diplomacy, U.S./Australia/New Zealand/Japan/UK/South Korea context.</x:v>
      </x:c>
      <x:c r="J110" s="20"/>
    </x:row>
    <x:row r="111">
      <x:c r="A111" s="20" t="n">
        <x:v>110</x:v>
      </x:c>
      <x:c r="B111" s="20" t="str">
        <x:v>Turkey</x:v>
      </x:c>
      <x:c r="C111" s="20" t="str">
        <x:v>TUR</x:v>
      </x:c>
      <x:c r="D111" s="20" t="str">
        <x:v>Country</x:v>
      </x:c>
      <x:c r="E111" s="20" t="str">
        <x:v>Asia-Pacific</x:v>
      </x:c>
      <x:c r="F111" s="20" t="str">
        <x:v>Yes</x:v>
      </x:c>
      <x:c r="G111" s="20" t="str">
        <x:v>Middle East ceasefire</x:v>
      </x:c>
      <x:c r="H111" s="20" t="str">
        <x:v>https://resurgamhub.org/analytics/middle-east/middle-east-ceasefire-what-does-it-mean-for-ukraine-and-the-world-</x:v>
      </x:c>
      <x:c r="I111" s="20" t="str">
        <x:v>Middle East ceasefire article: Israel, Palestine/Gaza, U.S., Ukraine, Russia, Iran, Qatar, Egypt, Turkey, Jordan, Italy, Lebanon, Afghanistan.</x:v>
      </x:c>
      <x:c r="J111" s="20"/>
    </x:row>
    <x:row r="112">
      <x:c r="A112" s="20" t="n">
        <x:v>111</x:v>
      </x:c>
      <x:c r="B112" s="20" t="str">
        <x:v>Turkmenistan</x:v>
      </x:c>
      <x:c r="C112" s="20" t="str">
        <x:v>TKM</x:v>
      </x:c>
      <x:c r="D112" s="20" t="str">
        <x:v>Country</x:v>
      </x:c>
      <x:c r="E112" s="20" t="str">
        <x:v>Asia-Pacific</x:v>
      </x:c>
      <x:c r="F112" s="20" t="str">
        <x:v>Yes</x:v>
      </x:c>
      <x:c r="G112" s="20" t="str">
        <x:v>Central Asia/all materials</x:v>
      </x:c>
      <x:c r="H112" s="20" t="str">
        <x:v>https://resurgamhub.org/all-materials</x:v>
      </x:c>
      <x:c r="I112" s="20" t="str">
        <x:v>Indexed all-materials snippets: Kazakhstan, Uzbekistan, Kyrgyzstan, Turkmenistan, Tajikistan, Mongolia and related Asia references.</x:v>
      </x:c>
      <x:c r="J112" s="20"/>
    </x:row>
    <x:row r="113">
      <x:c r="A113" s="20" t="n">
        <x:v>112</x:v>
      </x:c>
      <x:c r="B113" s="20" t="str">
        <x:v>Tuvalu</x:v>
      </x:c>
      <x:c r="C113" s="20" t="str">
        <x:v>TUV</x:v>
      </x:c>
      <x:c r="D113" s="20" t="str">
        <x:v>Country</x:v>
      </x:c>
      <x:c r="E113" s="20" t="str">
        <x:v>Asia-Pacific</x:v>
      </x:c>
      <x:c r="F113" s="20" t="str">
        <x:v>Yes</x:v>
      </x:c>
      <x:c r="G113" s="20" t="str">
        <x:v>Oceania/China</x:v>
      </x:c>
      <x:c r="H113" s="20" t="str">
        <x:v>https://resurgamhub.org/analytics/asia/china/threats/china-s-strategy-toward-the-states-of-oceania-how-the-celestial-empire-is-reshaping-the-balance-of-power-in-the-pacific-region</x:v>
      </x:c>
      <x:c r="I113" s="20" t="str">
        <x:v>China/Oceania article: Pacific island states, China–Taiwan diplomacy, U.S./Australia/New Zealand/Japan/UK/South Korea context.</x:v>
      </x:c>
      <x:c r="J113" s="20"/>
    </x:row>
    <x:row r="114">
      <x:c r="A114" s="20" t="n">
        <x:v>113</x:v>
      </x:c>
      <x:c r="B114" s="20" t="str">
        <x:v>Uganda</x:v>
      </x:c>
      <x:c r="C114" s="20" t="str">
        <x:v>UGA</x:v>
      </x:c>
      <x:c r="D114" s="20" t="str">
        <x:v>Country</x:v>
      </x:c>
      <x:c r="E114" s="20" t="str">
        <x:v>Africa</x:v>
      </x:c>
      <x:c r="F114" s="20" t="str">
        <x:v>Yes</x:v>
      </x:c>
      <x:c r="G114" s="20" t="str">
        <x:v>Africa hybrid war</x:v>
      </x:c>
      <x:c r="H114" s="20" t="str">
        <x:v>https://resurgamhub.org/analytics/africa/all/after-france-how-africa-became-the-battlefield-of-the-russian-french-hybrid-war</x:v>
      </x:c>
      <x:c r="I114" s="20" t="str">
        <x:v>Africa article: French/Russian influence, Wagner/PMC footprint, disinformation, Sahel/Africa examples.</x:v>
      </x:c>
      <x:c r="J114" s="20"/>
    </x:row>
    <x:row r="115">
      <x:c r="A115" s="20" t="n">
        <x:v>114</x:v>
      </x:c>
      <x:c r="B115" s="20" t="str">
        <x:v>Ukraine</x:v>
      </x:c>
      <x:c r="C115" s="20" t="str">
        <x:v>UKR</x:v>
      </x:c>
      <x:c r="D115" s="20" t="str">
        <x:v>Country</x:v>
      </x:c>
      <x:c r="E115" s="20" t="str">
        <x:v>Europe</x:v>
      </x:c>
      <x:c r="F115" s="20" t="str">
        <x:v>Yes</x:v>
      </x:c>
      <x:c r="G115" s="20" t="str">
        <x:v>Homepage/About</x:v>
      </x:c>
      <x:c r="H115" s="20" t="str">
        <x:v>https://resurgamhub.org/</x:v>
      </x:c>
      <x:c r="I115" s="20" t="str">
        <x:v>Homepage/about page: core regions, current article cards, Resurgam in media, and axis-of-evil framing.</x:v>
      </x:c>
      <x:c r="J115" s="20"/>
    </x:row>
    <x:row r="116">
      <x:c r="A116" s="20" t="n">
        <x:v>115</x:v>
      </x:c>
      <x:c r="B116" s="20" t="str">
        <x:v>United Arab Emirates</x:v>
      </x:c>
      <x:c r="C116" s="20" t="str">
        <x:v>ARE</x:v>
      </x:c>
      <x:c r="D116" s="20" t="str">
        <x:v>Country</x:v>
      </x:c>
      <x:c r="E116" s="20" t="str">
        <x:v>Asia-Pacific</x:v>
      </x:c>
      <x:c r="F116" s="20" t="str">
        <x:v>Yes</x:v>
      </x:c>
      <x:c r="G116" s="20" t="str">
        <x:v>Iran conflict / Europe</x:v>
      </x:c>
      <x:c r="H116" s="20" t="str">
        <x:v>https://resurgamhub.org/analytics/europe/eu/europe-s-response-to-the-iran-conflict</x:v>
      </x:c>
      <x:c r="I116" s="20" t="str">
        <x:v>Europe response to Iran conflict: U.S., Israel, Iran, Cyprus, E3 countries, Qatar, Jordan, Iraq, Bahrain, Kuwait, Saudi Arabia, UAE, Netherlands, India.</x:v>
      </x:c>
      <x:c r="J116" s="20"/>
    </x:row>
    <x:row r="117">
      <x:c r="A117" s="20" t="n">
        <x:v>116</x:v>
      </x:c>
      <x:c r="B117" s="20" t="str">
        <x:v>United Kingdom</x:v>
      </x:c>
      <x:c r="C117" s="20" t="str">
        <x:v>GBR</x:v>
      </x:c>
      <x:c r="D117" s="20" t="str">
        <x:v>Country</x:v>
      </x:c>
      <x:c r="E117" s="20" t="str">
        <x:v>Europe</x:v>
      </x:c>
      <x:c r="F117" s="20" t="str">
        <x:v>Yes</x:v>
      </x:c>
      <x:c r="G117" s="20" t="str">
        <x:v>Homepage/About</x:v>
      </x:c>
      <x:c r="H117" s="20" t="str">
        <x:v>https://resurgamhub.org/</x:v>
      </x:c>
      <x:c r="I117" s="20" t="str">
        <x:v>Homepage/about page: core regions, current article cards, Resurgam in media, and axis-of-evil framing.</x:v>
      </x:c>
      <x:c r="J117" s="20" t="str">
        <x:v>Use UK/GBR for Great Britain/Britain/England/Scotland/Wales references unless subnational layer is added.</x:v>
      </x:c>
    </x:row>
    <x:row r="118">
      <x:c r="A118" s="20" t="n">
        <x:v>117</x:v>
      </x:c>
      <x:c r="B118" s="20" t="str">
        <x:v>United States</x:v>
      </x:c>
      <x:c r="C118" s="20" t="str">
        <x:v>USA</x:v>
      </x:c>
      <x:c r="D118" s="20" t="str">
        <x:v>Country</x:v>
      </x:c>
      <x:c r="E118" s="20" t="str">
        <x:v>Americas</x:v>
      </x:c>
      <x:c r="F118" s="20" t="str">
        <x:v>Yes</x:v>
      </x:c>
      <x:c r="G118" s="20" t="str">
        <x:v>Homepage/About</x:v>
      </x:c>
      <x:c r="H118" s="20" t="str">
        <x:v>https://resurgamhub.org/</x:v>
      </x:c>
      <x:c r="I118" s="20" t="str">
        <x:v>Homepage/about page: core regions, current article cards, Resurgam in media, and axis-of-evil framing.</x:v>
      </x:c>
      <x:c r="J118" s="20" t="str">
        <x:v>Normalized from USA / United States / America.</x:v>
      </x:c>
    </x:row>
    <x:row r="119">
      <x:c r="A119" s="20" t="n">
        <x:v>118</x:v>
      </x:c>
      <x:c r="B119" s="20" t="str">
        <x:v>Uzbekistan</x:v>
      </x:c>
      <x:c r="C119" s="20" t="str">
        <x:v>UZB</x:v>
      </x:c>
      <x:c r="D119" s="20" t="str">
        <x:v>Country</x:v>
      </x:c>
      <x:c r="E119" s="20" t="str">
        <x:v>Asia-Pacific</x:v>
      </x:c>
      <x:c r="F119" s="20" t="str">
        <x:v>Yes</x:v>
      </x:c>
      <x:c r="G119" s="20" t="str">
        <x:v>Central Asia/all materials</x:v>
      </x:c>
      <x:c r="H119" s="20" t="str">
        <x:v>https://resurgamhub.org/all-materials</x:v>
      </x:c>
      <x:c r="I119" s="20" t="str">
        <x:v>Indexed all-materials snippets: Kazakhstan, Uzbekistan, Kyrgyzstan, Turkmenistan, Tajikistan, Mongolia and related Asia references.</x:v>
      </x:c>
      <x:c r="J119" s="20"/>
    </x:row>
    <x:row r="120">
      <x:c r="A120" s="20" t="n">
        <x:v>119</x:v>
      </x:c>
      <x:c r="B120" s="20" t="str">
        <x:v>Vanuatu</x:v>
      </x:c>
      <x:c r="C120" s="20" t="str">
        <x:v>VUT</x:v>
      </x:c>
      <x:c r="D120" s="20" t="str">
        <x:v>Country</x:v>
      </x:c>
      <x:c r="E120" s="20" t="str">
        <x:v>Asia-Pacific</x:v>
      </x:c>
      <x:c r="F120" s="20" t="str">
        <x:v>Yes</x:v>
      </x:c>
      <x:c r="G120" s="20" t="str">
        <x:v>Oceania/China</x:v>
      </x:c>
      <x:c r="H120" s="20" t="str">
        <x:v>https://resurgamhub.org/analytics/asia/china/threats/china-s-strategy-toward-the-states-of-oceania-how-the-celestial-empire-is-reshaping-the-balance-of-power-in-the-pacific-region</x:v>
      </x:c>
      <x:c r="I120" s="20" t="str">
        <x:v>China/Oceania article: Pacific island states, China–Taiwan diplomacy, U.S./Australia/New Zealand/Japan/UK/South Korea context.</x:v>
      </x:c>
      <x:c r="J120" s="20"/>
    </x:row>
    <x:row r="121">
      <x:c r="A121" s="20" t="n">
        <x:v>120</x:v>
      </x:c>
      <x:c r="B121" s="20" t="str">
        <x:v>Venezuela</x:v>
      </x:c>
      <x:c r="C121" s="20" t="str">
        <x:v>VEN</x:v>
      </x:c>
      <x:c r="D121" s="20" t="str">
        <x:v>Country</x:v>
      </x:c>
      <x:c r="E121" s="20" t="str">
        <x:v>Americas</x:v>
      </x:c>
      <x:c r="F121" s="20" t="str">
        <x:v>Yes</x:v>
      </x:c>
      <x:c r="G121" s="20" t="str">
        <x:v>Venezuela/Cuba</x:v>
      </x:c>
      <x:c r="H121" s="20" t="str">
        <x:v>https://resurgamhub.org/analytics/north-america/usa/international-relations/next-after-venezuela-the-trump-administration-s-policy-towards-cuba</x:v>
      </x:c>
      <x:c r="I121" s="20" t="str">
        <x:v>Cuba/Venezuela article: United States, Cuba, Venezuela, Ukraine, Western Hemisphere.</x:v>
      </x:c>
      <x:c r="J121" s="20"/>
    </x:row>
    <x:row r="122">
      <x:c r="A122" s="20" t="n">
        <x:v>121</x:v>
      </x:c>
      <x:c r="B122" s="20" t="str">
        <x:v>Vietnam</x:v>
      </x:c>
      <x:c r="C122" s="20" t="str">
        <x:v>VNM</x:v>
      </x:c>
      <x:c r="D122" s="20" t="str">
        <x:v>Country</x:v>
      </x:c>
      <x:c r="E122" s="20" t="str">
        <x:v>Asia-Pacific</x:v>
      </x:c>
      <x:c r="F122" s="20" t="str">
        <x:v>Yes</x:v>
      </x:c>
      <x:c r="G122" s="20" t="str">
        <x:v>Pacific NATO / Asia</x:v>
      </x:c>
      <x:c r="H122" s="20" t="str">
        <x:v>https://resurgamhub.org/analytics/asia/asia/is-pacific-nato-possible-australia-new-zealand-and-new-horizons-for-ukraine</x:v>
      </x:c>
      <x:c r="I122" s="20" t="str">
        <x:v>Pacific NATO article: Australia, New Zealand, Japan, South Korea, USA, Vietnam, Indonesia, Myanmar, Malaysia, Singapore.</x:v>
      </x:c>
      <x:c r="J122" s="20"/>
    </x:row>
    <x:row r="123">
      <x:c r="A123" s="20" t="n">
        <x:v>122</x:v>
      </x:c>
      <x:c r="B123" s="20" t="str">
        <x:v>Western Sahara</x:v>
      </x:c>
      <x:c r="C123" s="20" t="str">
        <x:v>ESH</x:v>
      </x:c>
      <x:c r="D123" s="20" t="str">
        <x:v>Country/area</x:v>
      </x:c>
      <x:c r="E123" s="20" t="str">
        <x:v>Africa</x:v>
      </x:c>
      <x:c r="F123" s="20" t="str">
        <x:v>Yes</x:v>
      </x:c>
      <x:c r="G123" s="20" t="str">
        <x:v>Algeria article</x:v>
      </x:c>
      <x:c r="H123" s="20" t="str">
        <x:v>https://resurgamhub.org/</x:v>
      </x:c>
      <x:c r="I123" s="20" t="str">
        <x:v>Indexed Algeria article/homepage snippets: Algeria, Belarus, Russia, China, Kyrgyzstan, Myanmar, Oman, Morocco, UAE, South Africa, Western Sahara.</x:v>
      </x:c>
      <x:c r="J123" s="20" t="str">
        <x:v>Country/area rather than UN-member-only sovereign-state row; compatible with country-area map treatment.</x:v>
      </x:c>
    </x:row>
    <x:row r="124">
      <x:c r="A124" s="20" t="n">
        <x:v>123</x:v>
      </x:c>
      <x:c r="B124" s="20" t="str">
        <x:v>Zimbabwe</x:v>
      </x:c>
      <x:c r="C124" s="20" t="str">
        <x:v>ZWE</x:v>
      </x:c>
      <x:c r="D124" s="20" t="str">
        <x:v>Country</x:v>
      </x:c>
      <x:c r="E124" s="20" t="str">
        <x:v>Africa</x:v>
      </x:c>
      <x:c r="F124" s="20" t="str">
        <x:v>Yes</x:v>
      </x:c>
      <x:c r="G124" s="20" t="str">
        <x:v>Africa hybrid war</x:v>
      </x:c>
      <x:c r="H124" s="20" t="str">
        <x:v>https://resurgamhub.org/analytics/africa/all/after-france-how-africa-became-the-battlefield-of-the-russian-french-hybrid-war</x:v>
      </x:c>
      <x:c r="I124" s="20" t="str">
        <x:v>Africa article: French/Russian influence, Wagner/PMC footprint, disinformation, Sahel/Africa examples.</x:v>
      </x:c>
      <x:c r="J124" s="20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8" hidden="0" customWidth="1"/>
    <x:col min="4" max="4" width="38" hidden="0" customWidth="1"/>
  </x:cols>
  <x:sheetData>
    <x:row r="1">
      <x:c r="A1" s="370" t="str">
        <x:v>Mentioned_Term</x:v>
      </x:c>
      <x:c r="B1" s="370" t="str">
        <x:v>Class</x:v>
      </x:c>
      <x:c r="C1" s="370" t="str">
        <x:v>Workbook_Treatment</x:v>
      </x:c>
      <x:c r="D1" s="370" t="str">
        <x:v>Evidence_Note</x:v>
      </x:c>
    </x:row>
    <x:row r="2">
      <x:c r="A2" s="20" t="str">
        <x:v>Wales</x:v>
      </x:c>
      <x:c r="B2" s="20" t="str">
        <x:v>Subnational</x:v>
      </x:c>
      <x:c r="C2" s="20" t="str">
        <x:v>Map under United Kingdom unless using UK subnational boundaries.</x:v>
      </x:c>
      <x:c r="D2" s="20" t="str">
        <x:v>Homepage article title: Elections in Wales and Scotland</x:v>
      </x:c>
    </x:row>
    <x:row r="3">
      <x:c r="A3" s="20" t="str">
        <x:v>Scotland</x:v>
      </x:c>
      <x:c r="B3" s="20" t="str">
        <x:v>Subnational</x:v>
      </x:c>
      <x:c r="C3" s="20" t="str">
        <x:v>Map under United Kingdom unless using UK subnational boundaries.</x:v>
      </x:c>
      <x:c r="D3" s="20" t="str">
        <x:v>Homepage article title: Elections in Wales and Scotland</x:v>
      </x:c>
    </x:row>
    <x:row r="4">
      <x:c r="A4" s="20" t="str">
        <x:v>England</x:v>
      </x:c>
      <x:c r="B4" s="20" t="str">
        <x:v>Subnational</x:v>
      </x:c>
      <x:c r="C4" s="20" t="str">
        <x:v>Map under United Kingdom unless using UK subnational boundaries.</x:v>
      </x:c>
      <x:c r="D4" s="20" t="str">
        <x:v>Africa article mentions Salisbury, England.</x:v>
      </x:c>
    </x:row>
    <x:row r="5">
      <x:c r="A5" s="20" t="str">
        <x:v>Gaza Strip</x:v>
      </x:c>
      <x:c r="B5" s="20" t="str">
        <x:v>Subnational/territory</x:v>
      </x:c>
      <x:c r="C5" s="20" t="str">
        <x:v>Map under Palestine/country-area row for this workbook.</x:v>
      </x:c>
      <x:c r="D5" s="20" t="str">
        <x:v>Middle East ceasefire article</x:v>
      </x:c>
    </x:row>
    <x:row r="6">
      <x:c r="A6" s="20" t="str">
        <x:v>West Bank</x:v>
      </x:c>
      <x:c r="B6" s="20" t="str">
        <x:v>Subnational/territory</x:v>
      </x:c>
      <x:c r="C6" s="20" t="str">
        <x:v>Map under Palestine/country-area row for this workbook.</x:v>
      </x:c>
      <x:c r="D6" s="20" t="str">
        <x:v>Middle East ceasefire article</x:v>
      </x:c>
    </x:row>
    <x:row r="7">
      <x:c r="A7" s="20" t="str">
        <x:v>Crimea</x:v>
      </x:c>
      <x:c r="B7" s="20" t="str">
        <x:v>Occupied territory/region</x:v>
      </x:c>
      <x:c r="C7" s="20" t="str">
        <x:v>Do not create a separate country row; map under Ukraine unless using conflict/territorial layer.</x:v>
      </x:c>
      <x:c r="D7" s="20" t="str">
        <x:v>Russia/Ukraine articles</x:v>
      </x:c>
    </x:row>
    <x:row r="8">
      <x:c r="A8" s="20" t="str">
        <x:v>Azawad</x:v>
      </x:c>
      <x:c r="B8" s="20" t="str">
        <x:v>Unrecognized region</x:v>
      </x:c>
      <x:c r="C8" s="20" t="str">
        <x:v>Do not create a separate country row.</x:v>
      </x:c>
      <x:c r="D8" s="20" t="str">
        <x:v>Africa article</x:v>
      </x:c>
    </x:row>
    <x:row r="9">
      <x:c r="A9" s="20" t="str">
        <x:v>Nagorno-Karabakh / Artsakh</x:v>
      </x:c>
      <x:c r="B9" s="20" t="str">
        <x:v>Unrecognized/former entity</x:v>
      </x:c>
      <x:c r="C9" s="20" t="str">
        <x:v>Do not create a separate country row for the national Leaflet workbook.</x:v>
      </x:c>
      <x:c r="D9" s="20" t="str">
        <x:v>South Caucasus article</x:v>
      </x:c>
    </x:row>
    <x:row r="10">
      <x:c r="A10" s="20" t="str">
        <x:v>European Union</x:v>
      </x:c>
      <x:c r="B10" s="20" t="str">
        <x:v>Organization</x:v>
      </x:c>
      <x:c r="C10" s="20" t="str">
        <x:v>Actor/factor, not a country row.</x:v>
      </x:c>
      <x:c r="D10" s="20" t="str">
        <x:v>Multiple articles</x:v>
      </x:c>
    </x:row>
    <x:row r="11">
      <x:c r="A11" s="20" t="str">
        <x:v>NATO</x:v>
      </x:c>
      <x:c r="B11" s="20" t="str">
        <x:v>Organization</x:v>
      </x:c>
      <x:c r="C11" s="20" t="str">
        <x:v>Security organization, not a country row.</x:v>
      </x:c>
      <x:c r="D11" s="20" t="str">
        <x:v>Multiple articles</x:v>
      </x:c>
    </x:row>
    <x:row r="12">
      <x:c r="A12" s="20" t="str">
        <x:v>Europe / Africa / Asia / Oceania / Middle East / Balkans / Sahel</x:v>
      </x:c>
      <x:c r="B12" s="20" t="str">
        <x:v>Region</x:v>
      </x:c>
      <x:c r="C12" s="20" t="str">
        <x:v>Use as regional metadata only, not country rows.</x:v>
      </x:c>
      <x:c r="D12" s="20" t="str">
        <x:v>Site navigation and articles</x:v>
      </x:c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</x:sheetData>
  <x:pageMargins left="0.7" right="0.7" top="0.75" bottom="0.75" header="0.3" footer="0.3"/>
</x:worksheet>
</file>