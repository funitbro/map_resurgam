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2.xml" ContentType="application/vnd.openxmlformats-officedocument.spreadsheetml.table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498aca83d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fd69aeb9304a06"/>
    <x:sheet xmlns:r="http://schemas.openxmlformats.org/officeDocument/2006/relationships" name="Dashboard" sheetId="2" r:id="R559874cb56ad4b3a"/>
    <x:sheet xmlns:r="http://schemas.openxmlformats.org/officeDocument/2006/relationships" name="Country_Config" sheetId="3" r:id="Rfe92afd76c0f44cc"/>
    <x:sheet xmlns:r="http://schemas.openxmlformats.org/officeDocument/2006/relationships" name="Evidence_Log" sheetId="4" r:id="Rdd2545b4537a4672"/>
    <x:sheet xmlns:r="http://schemas.openxmlformats.org/officeDocument/2006/relationships" name="Score_Calculator" sheetId="5" r:id="Rb34c24880f5c4d17"/>
    <x:sheet xmlns:r="http://schemas.openxmlformats.org/officeDocument/2006/relationships" name="Map_Data" sheetId="6" r:id="Rcf8a19edc1fa48d6"/>
    <x:sheet xmlns:r="http://schemas.openxmlformats.org/officeDocument/2006/relationships" name="GeoJSON_Export" sheetId="7" r:id="R1592d14d68df40b8"/>
    <x:sheet xmlns:r="http://schemas.openxmlformats.org/officeDocument/2006/relationships" name="Legend_Config" sheetId="8" r:id="Rcac0cb1af90f4b04"/>
    <x:sheet xmlns:r="http://schemas.openxmlformats.org/officeDocument/2006/relationships" name="Rules_Weights" sheetId="9" r:id="Rde87908d000c441d"/>
    <x:sheet xmlns:r="http://schemas.openxmlformats.org/officeDocument/2006/relationships" name="Source_Register" sheetId="10" r:id="R9727ef48c1784392"/>
    <x:sheet xmlns:r="http://schemas.openxmlformats.org/officeDocument/2006/relationships" name="Change_Log" sheetId="11" r:id="Rec34aa54c48e4841"/>
    <x:sheet xmlns:r="http://schemas.openxmlformats.org/officeDocument/2006/relationships" name="Lookups" sheetId="12" r:id="Rd90f94c06bfe4d4f"/>
    <x:sheet xmlns:r="http://schemas.openxmlformats.org/officeDocument/2006/relationships" name="Map_Code" sheetId="13" r:id="R8f2f239889744c08"/>
    <x:sheet xmlns:r="http://schemas.openxmlformats.org/officeDocument/2006/relationships" name="USA_README" sheetId="14" r:id="R94958647bd144879"/>
    <x:sheet xmlns:r="http://schemas.openxmlformats.org/officeDocument/2006/relationships" name="USA_Dashboard" sheetId="15" r:id="R90ba0ef6793c40a2"/>
    <x:sheet xmlns:r="http://schemas.openxmlformats.org/officeDocument/2006/relationships" name="USA_Country_Scores" sheetId="16" r:id="R142aef54a908495e"/>
    <x:sheet xmlns:r="http://schemas.openxmlformats.org/officeDocument/2006/relationships" name="USA_Evidence_Log" sheetId="17" r:id="R8ea306c86f0f45fa"/>
    <x:sheet xmlns:r="http://schemas.openxmlformats.org/officeDocument/2006/relationships" name="USA_Scoring_Rubric" sheetId="18" r:id="R7d6ba3f60b6d45bf"/>
    <x:sheet xmlns:r="http://schemas.openxmlformats.org/officeDocument/2006/relationships" name="USA_Source_Register" sheetId="19" r:id="R71888431f36f404d"/>
    <x:sheet xmlns:r="http://schemas.openxmlformats.org/officeDocument/2006/relationships" name="USA_Map_Data" sheetId="20" r:id="R93b1affdbb744282"/>
    <x:sheet xmlns:r="http://schemas.openxmlformats.org/officeDocument/2006/relationships" name="USA_GeoJSON_Export" sheetId="21" r:id="R06ecdc1bf8314878"/>
    <x:sheet xmlns:r="http://schemas.openxmlformats.org/officeDocument/2006/relationships" name="USA_Coverage_Gaps" sheetId="22" r:id="Rbbadd901da1c4901"/>
    <x:sheet xmlns:r="http://schemas.openxmlformats.org/officeDocument/2006/relationships" name="USA_Change_Log" sheetId="23" r:id="R116ec780ba34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"/>
    <x:numFmt numFmtId="202" formatCode="yyyy-mm-dd"/>
    <x:numFmt numFmtId="203" formatCode="0.00"/>
    <x:numFmt numFmtId="204" formatCode="0.0"/>
    <x:numFmt numFmtId="205" formatCode="0.00000"/>
    <x:numFmt numFmtId="206" formatCode="@"/>
  </x:numFmts>
  <x:fonts count="13">
    <x:font>
      <x:sz val="11"/>
      <x:name val="Carlito"/>
    </x:font>
    <x:font>
      <x:b/>
      <x:sz val="18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111827"/>
      <x:name val="Carlito"/>
    </x:font>
    <x:font>
      <x:sz val="9"/>
      <x:name val="Consolas"/>
    </x:font>
    <x:font>
      <x:b/>
      <x:sz val="12"/>
      <x:name val="Carlito"/>
    </x:font>
    <x:font>
      <x:b/>
      <x:sz val="11"/>
      <x:name val="Carlito"/>
    </x:font>
    <x:font>
      <x:sz val="11"/>
      <x:color rgb="FFFFFF"/>
      <x:name val="Carlito"/>
    </x:font>
    <x:font>
      <x:b/>
      <x:sz val="11"/>
      <x:color rgb="6B7280"/>
      <x:name val="Carlito"/>
    </x:font>
    <x:font>
      <x:sz val="11"/>
      <x:color rgb="6B7280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F2F2F2"/>
      </x:patternFill>
    </x:fill>
    <x:fill>
      <x:patternFill patternType="solid">
        <x:fgColor rgb="D9F0D3"/>
      </x:patternFill>
    </x:fill>
    <x:fill>
      <x:patternFill patternType="solid">
        <x:fgColor rgb="ADDD8E"/>
      </x:patternFill>
    </x:fill>
    <x:fill>
      <x:patternFill patternType="solid">
        <x:fgColor rgb="FDAE6B"/>
      </x:patternFill>
    </x:fill>
    <x:fill>
      <x:patternFill patternType="solid">
        <x:fgColor rgb="F16913"/>
      </x:patternFill>
    </x:fill>
    <x:fill>
      <x:patternFill patternType="solid">
        <x:fgColor rgb="A63603"/>
      </x:patternFill>
    </x:fill>
    <x:fill>
      <x:patternFill patternType="solid">
        <x:fgColor rgb="1E3A8A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F8FAFC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ECFEFF"/>
      </x:patternFill>
    </x:fill>
    <x:fill>
      <x:patternFill patternType="solid">
        <x:fgColor rgb="FFF7ED"/>
      </x:patternFill>
    </x:fill>
    <x:fill>
      <x:patternFill patternType="solid">
        <x:fgColor rgb="A63603"/>
      </x:patternFill>
    </x:fill>
    <x:fill>
      <x:patternFill patternType="solid">
        <x:fgColor rgb="F16913"/>
      </x:patternFill>
    </x:fill>
    <x:fill>
      <x:patternFill patternType="solid">
        <x:fgColor rgb="FDAE6B"/>
      </x:patternFill>
    </x:fill>
    <x:fill>
      <x:patternFill patternType="solid">
        <x:fgColor rgb="ADDD8E"/>
      </x:patternFill>
    </x:fill>
    <x:fill>
      <x:patternFill patternType="solid">
        <x:fgColor rgb="D9F0D3"/>
      </x:patternFill>
    </x:fill>
    <x:fill>
      <x:patternFill patternType="solid">
        <x:fgColor rgb="F2F2F2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203" fontId="3" fillId="2" borderId="0" xfId="0" applyNumberFormat="1" applyFont="1" applyFill="1" applyBorder="1" applyAlignment="1">
      <x:alignment horizontal="center" vertical="center" wrapText="1"/>
    </x:xf>
    <x:xf numFmtId="203" fontId="3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left"/>
    </x:xf>
    <x:xf numFmtId="0" fontId="3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horizontal="center" wrapText="1"/>
    </x:xf>
    <x:xf numFmtId="0" fontId="6" fillId="14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0" fontId="5" fillId="18" borderId="0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 applyAlignment="1">
      <x:alignment horizontal="center" vertical="top" wrapText="1"/>
    </x:xf>
    <x:xf numFmtId="0" fontId="5" fillId="19" borderId="0" xfId="0" applyNumberFormat="1" applyFont="1" applyFill="1" applyBorder="1" applyAlignment="1">
      <x:alignment vertical="top" wrapText="1"/>
    </x:xf>
    <x:xf numFmtId="0" fontId="10" fillId="19" borderId="0" xfId="0" applyNumberFormat="1" applyFont="1" applyFill="1" applyBorder="1" applyAlignment="1">
      <x:alignment vertical="top" wrapText="1"/>
    </x:xf>
    <x:xf numFmtId="0" fontId="10" fillId="19" borderId="0" xfId="0" applyNumberFormat="1" applyFont="1" applyFill="1" applyBorder="1" applyAlignment="1">
      <x:alignment horizontal="center" vertical="top" wrapText="1"/>
    </x:xf>
    <x:xf numFmtId="0" fontId="5" fillId="20" borderId="0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 applyAlignment="1">
      <x:alignment horizontal="center" vertical="top" wrapText="1"/>
    </x:xf>
    <x:xf numFmtId="0" fontId="5" fillId="21" borderId="0" xfId="0" applyNumberFormat="1" applyFont="1" applyFill="1" applyBorder="1" applyAlignment="1">
      <x:alignment vertical="top" wrapText="1"/>
    </x:xf>
    <x:xf numFmtId="0" fontId="5" fillId="21" borderId="0" xfId="0" applyNumberFormat="1" applyFont="1" applyFill="1" applyBorder="1" applyAlignment="1">
      <x:alignment horizontal="center"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horizontal="center" vertical="top" wrapText="1"/>
    </x:xf>
    <x:xf numFmtId="0" fontId="5" fillId="23" borderId="0" xfId="0" applyNumberFormat="1" applyFont="1" applyFill="1" applyBorder="1" applyAlignment="1">
      <x:alignment vertical="top" wrapText="1"/>
    </x:xf>
    <x:xf numFmtId="0" fontId="5" fillId="23" borderId="0" xfId="0" applyNumberFormat="1" applyFont="1" applyFill="1" applyBorder="1" applyAlignment="1">
      <x:alignment horizontal="center" vertical="top" wrapText="1"/>
    </x:xf>
    <x:xf numFmtId="0" fontId="8" fillId="16" borderId="0" xfId="0" applyNumberFormat="1" applyFont="1" applyFill="1" applyBorder="1" applyAlignment="1">
      <x:alignment horizontal="center" wrapText="1"/>
    </x:xf>
    <x:xf numFmtId="0" fontId="9" fillId="17" borderId="0" xfId="0" applyNumberFormat="1" applyFont="1" applyFill="1" applyBorder="1" applyAlignment="1">
      <x:alignment horizontal="center" wrapText="1"/>
    </x:xf>
    <x:xf numFmtId="203" fontId="8" fillId="16" borderId="0" xfId="0" applyNumberFormat="1" applyFont="1" applyFill="1" applyBorder="1" applyAlignment="1">
      <x:alignment horizontal="center" wrapText="1"/>
    </x:xf>
    <x:xf numFmtId="203" fontId="9" fillId="17" borderId="0" xfId="0" applyNumberFormat="1" applyFont="1" applyFill="1" applyBorder="1" applyAlignment="1">
      <x:alignment horizontal="center" wrapText="1"/>
    </x:xf>
    <x:xf numFmtId="205" fontId="0" fillId="0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 vertical="center" wrapText="1"/>
    </x:xf>
    <x:xf numFmtId="205" fontId="0" fillId="24" borderId="0" xfId="0" applyNumberFormat="1" applyFont="1" applyFill="1" applyBorder="1"/>
    <x:xf numFmtId="0" fontId="11" fillId="24" borderId="0" xfId="0" applyNumberFormat="1" applyFont="1" applyFill="1" applyBorder="1" applyAlignment="1">
      <x:alignment horizontal="center" vertical="center" wrapText="1"/>
    </x:xf>
    <x:xf numFmtId="205" fontId="12" fillId="24" borderId="0" xfId="0" applyNumberFormat="1" applyFont="1" applyFill="1" applyBorder="1"/>
    <x:xf numFmtId="205" fontId="12" fillId="24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left" wrapText="1"/>
    </x:xf>
    <x:xf numFmtId="0" fontId="0" fillId="13" borderId="0" xfId="0" applyNumberFormat="1" applyFont="1" applyFill="1" applyBorder="1" applyAlignment="1">
      <x:alignment wrapText="1"/>
    </x:xf>
    <x:xf numFmtId="201" fontId="8" fillId="16" borderId="0" xfId="0" applyNumberFormat="1" applyFont="1" applyFill="1" applyBorder="1" applyAlignment="1">
      <x:alignment horizontal="center" wrapText="1"/>
    </x:xf>
    <x:xf numFmtId="206" fontId="8" fillId="16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 applyAlignment="1">
      <x:alignment wrapText="1"/>
    </x:xf>
    <x:xf numFmtId="203" fontId="0" fillId="25" borderId="0" xfId="0" applyNumberFormat="1" applyFont="1" applyFill="1" applyBorder="1" applyAlignment="1">
      <x:alignment wrapText="1"/>
    </x:xf>
    <x:xf numFmtId="201" fontId="0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wrapText="1"/>
    </x:xf>
    <x:xf numFmtId="203" fontId="5" fillId="25" borderId="0" xfId="0" applyNumberFormat="1" applyFont="1" applyFill="1" applyBorder="1" applyAlignment="1">
      <x:alignment wrapText="1"/>
    </x:xf>
    <x:xf numFmtId="201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center" wrapText="1"/>
    </x:xf>
    <x:xf numFmtId="203" fontId="5" fillId="25" borderId="0" xfId="0" applyNumberFormat="1" applyFont="1" applyFill="1" applyBorder="1" applyAlignment="1">
      <x:alignment vertical="center" wrapText="1"/>
    </x:xf>
    <x:xf numFmtId="201" fontId="5" fillId="25" borderId="0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040a0b7864dc9" /><Relationship Type="http://schemas.openxmlformats.org/officeDocument/2006/relationships/theme" Target="/xl/theme/theme1.xml" Id="Rcb8e6121c1e84065" /><Relationship Type="http://schemas.openxmlformats.org/officeDocument/2006/relationships/sharedStrings" Target="/xl/sharedStrings.xml" Id="R11cbacbc83664123" /><Relationship Type="http://schemas.openxmlformats.org/officeDocument/2006/relationships/worksheet" Target="/xl/worksheets/sheet1.xml" Id="Rf0fd69aeb9304a06" /><Relationship Type="http://schemas.openxmlformats.org/officeDocument/2006/relationships/worksheet" Target="/xl/worksheets/sheet2.xml" Id="R559874cb56ad4b3a" /><Relationship Type="http://schemas.openxmlformats.org/officeDocument/2006/relationships/worksheet" Target="/xl/worksheets/sheet3.xml" Id="Rfe92afd76c0f44cc" /><Relationship Type="http://schemas.openxmlformats.org/officeDocument/2006/relationships/worksheet" Target="/xl/worksheets/sheet4.xml" Id="Rdd2545b4537a4672" /><Relationship Type="http://schemas.openxmlformats.org/officeDocument/2006/relationships/worksheet" Target="/xl/worksheets/sheet5.xml" Id="Rb34c24880f5c4d17" /><Relationship Type="http://schemas.openxmlformats.org/officeDocument/2006/relationships/worksheet" Target="/xl/worksheets/sheet6.xml" Id="Rcf8a19edc1fa48d6" /><Relationship Type="http://schemas.openxmlformats.org/officeDocument/2006/relationships/worksheet" Target="/xl/worksheets/sheet7.xml" Id="R1592d14d68df40b8" /><Relationship Type="http://schemas.openxmlformats.org/officeDocument/2006/relationships/worksheet" Target="/xl/worksheets/sheet8.xml" Id="Rcac0cb1af90f4b04" /><Relationship Type="http://schemas.openxmlformats.org/officeDocument/2006/relationships/worksheet" Target="/xl/worksheets/sheet9.xml" Id="Rde87908d000c441d" /><Relationship Type="http://schemas.openxmlformats.org/officeDocument/2006/relationships/worksheet" Target="/xl/worksheets/sheet10.xml" Id="R9727ef48c1784392" /><Relationship Type="http://schemas.openxmlformats.org/officeDocument/2006/relationships/worksheet" Target="/xl/worksheets/sheet11.xml" Id="Rec34aa54c48e4841" /><Relationship Type="http://schemas.openxmlformats.org/officeDocument/2006/relationships/worksheet" Target="/xl/worksheets/sheet12.xml" Id="Rd90f94c06bfe4d4f" /><Relationship Type="http://schemas.openxmlformats.org/officeDocument/2006/relationships/worksheet" Target="/xl/worksheets/sheet13.xml" Id="R8f2f239889744c08" /><Relationship Type="http://schemas.openxmlformats.org/officeDocument/2006/relationships/worksheet" Target="/xl/worksheets/sheet14.xml" Id="R94958647bd144879" /><Relationship Type="http://schemas.openxmlformats.org/officeDocument/2006/relationships/worksheet" Target="/xl/worksheets/sheet15.xml" Id="R90ba0ef6793c40a2" /><Relationship Type="http://schemas.openxmlformats.org/officeDocument/2006/relationships/worksheet" Target="/xl/worksheets/sheet16.xml" Id="R142aef54a908495e" /><Relationship Type="http://schemas.openxmlformats.org/officeDocument/2006/relationships/worksheet" Target="/xl/worksheets/sheet17.xml" Id="R8ea306c86f0f45fa" /><Relationship Type="http://schemas.openxmlformats.org/officeDocument/2006/relationships/worksheet" Target="/xl/worksheets/sheet18.xml" Id="R7d6ba3f60b6d45bf" /><Relationship Type="http://schemas.openxmlformats.org/officeDocument/2006/relationships/worksheet" Target="/xl/worksheets/sheet19.xml" Id="R71888431f36f404d" /><Relationship Type="http://schemas.openxmlformats.org/officeDocument/2006/relationships/worksheet" Target="/xl/worksheets/sheet20.xml" Id="R93b1affdbb744282" /><Relationship Type="http://schemas.openxmlformats.org/officeDocument/2006/relationships/worksheet" Target="/xl/worksheets/sheet21.xml" Id="R06ecdc1bf8314878" /><Relationship Type="http://schemas.openxmlformats.org/officeDocument/2006/relationships/worksheet" Target="/xl/worksheets/sheet22.xml" Id="Rbbadd901da1c4901" /><Relationship Type="http://schemas.openxmlformats.org/officeDocument/2006/relationships/worksheet" Target="/xl/worksheets/sheet23.xml" Id="R116ec780ba3440f5" /></Relationships>
</file>

<file path=xl/tables/table1.xml><?xml version="1.0" encoding="utf-8"?>
<x:table xmlns:x="http://schemas.openxmlformats.org/spreadsheetml/2006/main" id="1" name="CountryConfigTable" displayName="CountryConfigTable" ref="A1:G100" headerRowCount="1">
  <x:tableColumns count="7">
    <x:tableColumn id="1" name="Country"/>
    <x:tableColumn id="2" name="ISO3"/>
    <x:tableColumn id="3" name="Region"/>
    <x:tableColumn id="4" name="Latitude"/>
    <x:tableColumn id="5" name="Longitude"/>
    <x:tableColumn id="6" name="Include_on_Map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idenceLogTable" displayName="EvidenceLogTable" ref="A1:W200" headerRowCount="1">
  <x:tableColumns count="23">
    <x:tableColumn id="1" name="Evidence_ID"/>
    <x:tableColumn id="2" name="Country"/>
    <x:tableColumn id="3" name="ISO3"/>
    <x:tableColumn id="4" name="Region"/>
    <x:tableColumn id="5" name="Factor"/>
    <x:tableColumn id="6" name="Indicator"/>
    <x:tableColumn id="7" name="Indicator_Score_0_5"/>
    <x:tableColumn id="8" name="Indicator_Weight"/>
    <x:tableColumn id="9" name="Source_Tier"/>
    <x:tableColumn id="10" name="Source_Name"/>
    <x:tableColumn id="11" name="Source_URL"/>
    <x:tableColumn id="12" name="Event_Date"/>
    <x:tableColumn id="13" name="Retrieved_Date"/>
    <x:tableColumn id="14" name="Reliability_Weight"/>
    <x:tableColumn id="15" name="Recency_Weight"/>
    <x:tableColumn id="16" name="Evidence_Weight"/>
    <x:tableColumn id="17" name="Weighted_Score"/>
    <x:tableColumn id="18" name="Source_Domain"/>
    <x:tableColumn id="19" name="Independence_Key"/>
    <x:tableColumn id="20" name="Analyst_Notes"/>
    <x:tableColumn id="21" name="Structural_Evidence"/>
    <x:tableColumn id="22" name="Include_in_Scoring"/>
    <x:tableColumn id="23" name="Evidence_Status"/>
  </x:tableColumns>
  <x:tableStyleInfo name="TableStyleMedium2" showRowStripes="1"/>
</x:table>
</file>

<file path=xl/tables/table3.xml><?xml version="1.0" encoding="utf-8"?>
<x:table xmlns:x="http://schemas.openxmlformats.org/spreadsheetml/2006/main" id="3" name="ScoreCalculatorTable" displayName="ScoreCalculatorTable" ref="A1:Q80" headerRowCount="1">
  <x:tableColumns count="17">
    <x:tableColumn id="1" name="Score_Key"/>
    <x:tableColumn id="2" name="Country"/>
    <x:tableColumn id="3" name="ISO3"/>
    <x:tableColumn id="4" name="Region"/>
    <x:tableColumn id="5" name="Factor"/>
    <x:tableColumn id="6" name="Weighted_Score"/>
    <x:tableColumn id="7" name="Score_0_5"/>
    <x:tableColumn id="8" name="Confidence_0_100"/>
    <x:tableColumn id="9" name="Confidence_Band"/>
    <x:tableColumn id="10" name="Independent_Sources"/>
    <x:tableColumn id="11" name="Tier1_Or_Tier2_Count"/>
    <x:tableColumn id="12" name="Evidence_Rows"/>
    <x:tableColumn id="13" name="Publication_Status"/>
    <x:tableColumn id="14" name="Colour"/>
    <x:tableColumn id="15" name="Opacity"/>
    <x:tableColumn id="16" name="Last_Evidence_Date"/>
    <x:tableColumn id="17" name="Score_Note"/>
  </x:tableColumns>
  <x:tableStyleInfo name="TableStyleMedium2" showRowStripes="1"/>
</x:table>
</file>

<file path=xl/tables/table4.xml><?xml version="1.0" encoding="utf-8"?>
<x:table xmlns:x="http://schemas.openxmlformats.org/spreadsheetml/2006/main" id="4" name="MapDataTable" displayName="MapDataTable" ref="A1:AC50" headerRowCount="1">
  <x:tableColumns count="29">
    <x:tableColumn id="1" name="Country"/>
    <x:tableColumn id="2" name="ISO3"/>
    <x:tableColumn id="3" name="Region"/>
    <x:tableColumn id="4" name="Latitude"/>
    <x:tableColumn id="5" name="Longitude"/>
    <x:tableColumn id="6" name="Russian_influence_score"/>
    <x:tableColumn id="7" name="Russian_confidence"/>
    <x:tableColumn id="8" name="Russian_colour"/>
    <x:tableColumn id="9" name="Russian_opacity"/>
    <x:tableColumn id="10" name="PMC_presence_score"/>
    <x:tableColumn id="11" name="PMC_confidence"/>
    <x:tableColumn id="12" name="PMC_colour"/>
    <x:tableColumn id="13" name="PMC_opacity"/>
    <x:tableColumn id="14" name="Propaganda_ecosystems_score"/>
    <x:tableColumn id="15" name="Propaganda_confidence"/>
    <x:tableColumn id="16" name="Propaganda_colour"/>
    <x:tableColumn id="17" name="Propaganda_opacity"/>
    <x:tableColumn id="18" name="Election_interference_score"/>
    <x:tableColumn id="19" name="Election_confidence"/>
    <x:tableColumn id="20" name="Election_colour"/>
    <x:tableColumn id="21" name="Election_opacity"/>
    <x:tableColumn id="22" name="Composite_score"/>
    <x:tableColumn id="23" name="Composite_colour"/>
    <x:tableColumn id="24" name="Composite_confidence"/>
    <x:tableColumn id="25" name="Layer_status"/>
    <x:tableColumn id="26" name="Last_updated"/>
    <x:tableColumn id="27" name="GeoJSON_Point"/>
    <x:tableColumn id="28" name="Feature_Properties_JSON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ulesWeightsTable" displayName="RulesWeightsTable" ref="A1:E120" headerRowCount="1">
  <x:tableColumns count="5">
    <x:tableColumn id="1" name="Rule_Key"/>
    <x:tableColumn id="2" name="Factor"/>
    <x:tableColumn id="3" name="Indicator"/>
    <x:tableColumn id="4" name="Indicator_Weight"/>
    <x:tableColumn id="5" name="Scoring_Note"/>
  </x:tableColumns>
  <x:tableStyleInfo name="TableStyleMedium2" showRowStripes="1"/>
</x:table>
</file>

<file path=xl/tables/table6.xml><?xml version="1.0" encoding="utf-8"?>
<x:table xmlns:x="http://schemas.openxmlformats.org/spreadsheetml/2006/main" id="6" name="SourceRegisterTable" displayName="SourceRegisterTable" ref="A1:G50" headerRowCount="1">
  <x:tableColumns count="7">
    <x:tableColumn id="1" name="Source_ID"/>
    <x:tableColumn id="2" name="Source_Name"/>
    <x:tableColumn id="3" name="Default_Tier"/>
    <x:tableColumn id="4" name="Reliability_Weight"/>
    <x:tableColumn id="5" name="URL"/>
    <x:tableColumn id="6" name="Useful_For_Factor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hangeLogTable" displayName="ChangeLogTable" ref="A1:K100" headerRowCount="1">
  <x:tableColumns count="11">
    <x:tableColumn id="1" name="Change_ID"/>
    <x:tableColumn id="2" name="Date"/>
    <x:tableColumn id="3" name="Analyst"/>
    <x:tableColumn id="4" name="Country"/>
    <x:tableColumn id="5" name="Factor"/>
    <x:tableColumn id="6" name="Old_Score"/>
    <x:tableColumn id="7" name="New_Score"/>
    <x:tableColumn id="8" name="Confidence_0_100"/>
    <x:tableColumn id="9" name="Evidence_IDs"/>
    <x:tableColumn id="10" name="Decision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9" name="USACountryScoresTable" displayName="USACountryScoresTable" ref="A1:S21" headerRowCount="1">
  <x:tableColumns count="19">
    <x:tableColumn id="1" name="Country"/>
    <x:tableColumn id="2" name="ISO3"/>
    <x:tableColumn id="3" name="Region"/>
    <x:tableColumn id="4" name="Latitude"/>
    <x:tableColumn id="5" name="Longitude"/>
    <x:tableColumn id="6" name="U.S. influence / leverage"/>
    <x:tableColumn id="7" name="PMC / contractor presence"/>
    <x:tableColumn id="8" name="U.S.-backed information ecosystem"/>
    <x:tableColumn id="9" name="Election / political-transition interference"/>
    <x:tableColumn id="10" name="Composite_Score"/>
    <x:tableColumn id="11" name="Score_Band"/>
    <x:tableColumn id="12" name="Highest_Factor"/>
    <x:tableColumn id="13" name="Confidence_0_100"/>
    <x:tableColumn id="14" name="Confidence_Band"/>
    <x:tableColumn id="15" name="Publication_Status"/>
    <x:tableColumn id="16" name="Map_Color"/>
    <x:tableColumn id="17" name="Opacity"/>
    <x:tableColumn id="18" name="Primary_Evidence_Notes"/>
    <x:tableColumn id="19" name="Primary_Source_IDs"/>
  </x:tableColumns>
  <x:tableStyleInfo name="TableStyleMedium2" showRowStripes="1"/>
</x:table>
</file>

<file path=xl/tables/table9.xml><?xml version="1.0" encoding="utf-8"?>
<x:table xmlns:x="http://schemas.openxmlformats.org/spreadsheetml/2006/main" id="8" name="USAEvidenceLogTable" displayName="USAEvidenceLogTable" ref="A1:T81" headerRowCount="1">
  <x:tableColumns count="20">
    <x:tableColumn id="1" name="Evidence_ID"/>
    <x:tableColumn id="2" name="Country"/>
    <x:tableColumn id="3" name="ISO3"/>
    <x:tableColumn id="4" name="Region"/>
    <x:tableColumn id="5" name="Factor"/>
    <x:tableColumn id="6" name="Indicator"/>
    <x:tableColumn id="7" name="Indicator_Score_0_5"/>
    <x:tableColumn id="8" name="Indicator_Weight"/>
    <x:tableColumn id="9" name="Source_Tier"/>
    <x:tableColumn id="10" name="Source_Name"/>
    <x:tableColumn id="11" name="Source_URL"/>
    <x:tableColumn id="12" name="Evidence_Date"/>
    <x:tableColumn id="13" name="Retrieved_Date"/>
    <x:tableColumn id="14" name="Reliability_Weight"/>
    <x:tableColumn id="15" name="Recency_Weight"/>
    <x:tableColumn id="16" name="Confidence_0_100"/>
    <x:tableColumn id="17" name="Evidence_Weight"/>
    <x:tableColumn id="18" name="Weighted_Score"/>
    <x:tableColumn id="19" name="Analyst_Notes"/>
    <x:tableColumn id="20" name="Include_in_Scoring"/>
  </x:tableColumns>
  <x:tableStyleInfo name="TableStyleMedium2" showRowStripes="1"/>
</x:table>
</file>

<file path=xl/tables/table10.xml><?xml version="1.0" encoding="utf-8"?>
<x:table xmlns:x="http://schemas.openxmlformats.org/spreadsheetml/2006/main" id="10" name="USASourceRegisterTable" displayName="USASourceRegisterTable" ref="A1:H25" headerRowCount="1">
  <x:tableColumns count="8">
    <x:tableColumn id="1" name="Source_ID"/>
    <x:tableColumn id="2" name="Source_Name"/>
    <x:tableColumn id="3" name="Organization_Type"/>
    <x:tableColumn id="4" name="Reliability_Tier"/>
    <x:tableColumn id="5" name="URL"/>
    <x:tableColumn id="6" name="Use_in_Model"/>
    <x:tableColumn id="7" name="Notes"/>
    <x:tableColumn id="8" name="Retrieved_Date"/>
  </x:tableColumns>
  <x:tableStyleInfo name="TableStyleMedium2" showRowStripes="1"/>
</x:table>
</file>

<file path=xl/tables/table11.xml><?xml version="1.0" encoding="utf-8"?>
<x:table xmlns:x="http://schemas.openxmlformats.org/spreadsheetml/2006/main" id="11" name="USAMapDataTable" displayName="USAMapDataTable" ref="A1:O21" headerRowCount="1">
  <x:tableColumns count="15">
    <x:tableColumn id="1" name="Country"/>
    <x:tableColumn id="2" name="ISO3"/>
    <x:tableColumn id="3" name="Region"/>
    <x:tableColumn id="4" name="Latitude"/>
    <x:tableColumn id="5" name="Longitude"/>
    <x:tableColumn id="6" name="Composite_Score"/>
    <x:tableColumn id="7" name="Map_Color"/>
    <x:tableColumn id="8" name="Opacity"/>
    <x:tableColumn id="9" name="Confidence_Band"/>
    <x:tableColumn id="10" name="U.S. influence"/>
    <x:tableColumn id="11" name="PMC / contractor"/>
    <x:tableColumn id="12" name="Information ecosystem"/>
    <x:tableColumn id="13" name="Election interference"/>
    <x:tableColumn id="14" name="Score_Band"/>
    <x:tableColumn id="15" name="Source_IDs"/>
  </x:tableColumns>
  <x:tableStyleInfo name="TableStyleMedium2" showRowStripes="1"/>
</x:table>
</file>

<file path=xl/tables/table12.xml><?xml version="1.0" encoding="utf-8"?>
<x:table xmlns:x="http://schemas.openxmlformats.org/spreadsheetml/2006/main" id="12" name="USACoverageGapsTable" displayName="USACoverageGapsTable" ref="A1:F9" headerRowCount="1">
  <x:tableColumns count="6">
    <x:tableColumn id="1" name="Issue_ID"/>
    <x:tableColumn id="2" name="Country_or_Scope"/>
    <x:tableColumn id="3" name="Gap"/>
    <x:tableColumn id="4" name="Risk_to_Score"/>
    <x:tableColumn id="5" name="Recommended_Next_Check"/>
    <x:tableColumn id="6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a96b8fa3c7244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8d9b4e433ca4f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1432c5c2a934e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d10f7a6899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f50dd9d61be64f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3aa74cf59b7d47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dcf62c17ac6440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8a7911d80908462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9.xml" Id="R827451f683404a8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d31629e8079c4c0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1.xml" Id="R21209d4b1ba743d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2.xml" Id="Re5e26f813af8428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8" hidden="0" customWidth="1"/>
    <x:col min="4" max="4" width="38" hidden="0" customWidth="1"/>
  </x:cols>
  <x:sheetData>
    <x:row r="1" ht="28" customHeight="1">
      <x:c r="A1" s="6" t="str">
        <x:v>Interactive Influence Map — all-in-one Google Sheets workbook</x:v>
      </x:c>
    </x:row>
    <x:row r="3">
      <x:c r="A3" s="15" t="str">
        <x:v>Purpose</x:v>
      </x:c>
      <x:c r="B3" s="15" t="str">
        <x:v>This workbook keeps the full workflow in one file: evidence logging, scoring, confidence, colour/opacity, source register, legend, and GeoJSON export.</x:v>
      </x:c>
      <x:c r="C3" s="15"/>
      <x:c r="D3" s="15"/>
      <x:c r="E3" s="15"/>
      <x:c r="F3" s="15"/>
      <x:c r="G3" s="15"/>
      <x:c r="H3" s="15"/>
    </x:row>
    <x:row r="5">
      <x:c r="A5" s="23" t="str">
        <x:v>Step</x:v>
      </x:c>
      <x:c r="B5" s="23" t="str">
        <x:v>What to do</x:v>
      </x:c>
      <x:c r="C5" s="23" t="str">
        <x:v>Where</x:v>
      </x:c>
      <x:c r="D5" s="23" t="str">
        <x:v>Output</x:v>
      </x:c>
    </x:row>
    <x:row r="6">
      <x:c r="A6" s="30" t="str">
        <x:v>1</x:v>
      </x:c>
      <x:c r="B6" s="30" t="str">
        <x:v>Add or replace evidence rows. Use one row per country/factor/indicator/source.</x:v>
      </x:c>
      <x:c r="C6" s="30" t="str">
        <x:v>Evidence_Log</x:v>
      </x:c>
      <x:c r="D6" s="30" t="str">
        <x:v>Indicator scores, source tier, dates, reliability, recency.</x:v>
      </x:c>
    </x:row>
    <x:row r="7">
      <x:c r="A7" s="30" t="str">
        <x:v>2</x:v>
      </x:c>
      <x:c r="B7" s="30" t="str">
        <x:v>Keep Source_Tier, Event_Date, Structural_Evidence and Include_in_Scoring filled.</x:v>
      </x:c>
      <x:c r="C7" s="30" t="str">
        <x:v>Evidence_Log</x:v>
      </x:c>
      <x:c r="D7" s="30" t="str">
        <x:v>Evidence weight and weighted score calculate automatically.</x:v>
      </x:c>
    </x:row>
    <x:row r="8">
      <x:c r="A8" s="30" t="str">
        <x:v>3</x:v>
      </x:c>
      <x:c r="B8" s="30" t="str">
        <x:v>Review computed scores and confidence.</x:v>
      </x:c>
      <x:c r="C8" s="30" t="str">
        <x:v>Score_Calculator</x:v>
      </x:c>
      <x:c r="D8" s="30" t="str">
        <x:v>Score 0–5, confidence band, independent source count, publication status.</x:v>
      </x:c>
    </x:row>
    <x:row r="9">
      <x:c r="A9" s="30" t="str">
        <x:v>4</x:v>
      </x:c>
      <x:c r="B9" s="30" t="str">
        <x:v>Use Map_Data as the main map table.</x:v>
      </x:c>
      <x:c r="C9" s="30" t="str">
        <x:v>Map_Data</x:v>
      </x:c>
      <x:c r="D9" s="30" t="str">
        <x:v>Country rows with score, colour and opacity for each factor.</x:v>
      </x:c>
    </x:row>
    <x:row r="10">
      <x:c r="A10" s="30" t="str">
        <x:v>5</x:v>
      </x:c>
      <x:c r="B10" s="30" t="str">
        <x:v>Copy the generated FeatureCollection cell for a point-based GeoJSON export.</x:v>
      </x:c>
      <x:c r="C10" s="30" t="str">
        <x:v>GeoJSON_Export!A3</x:v>
      </x:c>
      <x:c r="D10" s="30" t="str">
        <x:v>Ready-to-use GeoJSON text.</x:v>
      </x:c>
    </x:row>
    <x:row r="11">
      <x:c r="A11" s="30" t="str">
        <x:v>6</x:v>
      </x:c>
      <x:c r="B11" s="30" t="str">
        <x:v>Edit colours, labels, opacity and layer descriptions.</x:v>
      </x:c>
      <x:c r="C11" s="30" t="str">
        <x:v>Legend_Config</x:v>
      </x:c>
      <x:c r="D11" s="30" t="str">
        <x:v>Map legend and layer styling.</x:v>
      </x:c>
    </x:row>
    <x:row r="12">
      <x:c r="A12" s="30" t="str">
        <x:v>7</x:v>
      </x:c>
      <x:c r="B12" s="30" t="str">
        <x:v>Register reusable source URLs and source tiers.</x:v>
      </x:c>
      <x:c r="C12" s="30" t="str">
        <x:v>Source_Register</x:v>
      </x:c>
      <x:c r="D12" s="30" t="str">
        <x:v>Source governance and audit trail.</x:v>
      </x:c>
    </x:row>
    <x:row r="13">
      <x:c r="A13" s="30" t="str">
        <x:v>8</x:v>
      </x:c>
      <x:c r="B13" s="30" t="str">
        <x:v>Document manual score changes or review decisions.</x:v>
      </x:c>
      <x:c r="C13" s="30" t="str">
        <x:v>Change_Log</x:v>
      </x:c>
      <x:c r="D13" s="30" t="str">
        <x:v>Audit trail for publication decisions.</x:v>
      </x:c>
    </x:row>
    <x:row r="14">
      <x:c r="A14" s="30" t="str">
        <x:v>9</x:v>
      </x:c>
      <x:c r="B14" s="30" t="str">
        <x:v>When adding a new country, add it to Country_Config and add four country/factor rows to Score_Calculator.</x:v>
      </x:c>
      <x:c r="C14" s="30" t="str">
        <x:v>Country_Config + Score_Calculator</x:v>
      </x:c>
      <x:c r="D14" s="30" t="str">
        <x:v>Map_Data and GeoJSON export can then include it.</x:v>
      </x:c>
    </x:row>
    <x:row r="15">
      <x:c r="A15" s="30" t="str">
        <x:v>Important</x:v>
      </x:c>
      <x:c r="B15" s="30" t="str">
        <x:v>Pilot scores are included only to make the map immediately usable. They are low-confidence and should be replaced/verified before publication.</x:v>
      </x:c>
      <x:c r="C15" s="30" t="str">
        <x:v>Evidence_Log</x:v>
      </x:c>
      <x:c r="D15" s="30" t="str">
        <x:v>Rows marked as Unverified produce low opacity and Needs review status.</x:v>
      </x:c>
    </x:row>
    <x:row r="16">
      <x:c r="A16" s="30" t="str">
        <x:v>Scoring</x:v>
      </x:c>
      <x:c r="B16" s="30" t="str">
        <x:v>Score = severity of evidence; confidence = source quality, recency and corroboration. Colour = score; opacity = confidence.</x:v>
      </x:c>
      <x:c r="C16" s="30" t="str">
        <x:v>Legend_Config</x:v>
      </x:c>
      <x:c r="D16" s="30" t="str">
        <x:v>Visual encoding stays consistent across all layers.</x:v>
      </x:c>
    </x:row>
    <x:row r="17">
      <x:c r="A17" s="30" t="str">
        <x:v>Publication rule</x:v>
      </x:c>
      <x:c r="B17" s="30" t="str">
        <x:v>Conservative mode: publish only if confidence ≥70, at least two independent sources, and at least one Tier 1 or Tier 2 source.</x:v>
      </x:c>
      <x:c r="C17" s="30" t="str">
        <x:v>Score_Calculator</x:v>
      </x:c>
      <x:c r="D17" s="30" t="str">
        <x:v>Use Publication_Status before showing a layer publicly.</x:v>
      </x:c>
    </x:row>
    <x:row r="18">
      <x:c r="A18" s="30" t="str">
        <x:v>GeoJSON note</x:v>
      </x:c>
      <x:c r="B18" s="30" t="str">
        <x:v>The built-in GeoJSON uses point geometry from country centroid coordinates. For choropleth boundaries, join Map_Data to a country-boundary GeoJSON by ISO3.</x:v>
      </x:c>
      <x:c r="C18" s="30" t="str">
        <x:v>Map_Data + GeoJSON_Export</x:v>
      </x:c>
      <x:c r="D18" s="30" t="str">
        <x:v>Works for Leaflet, Mapbox, Flourish or Looker workflows.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0" hidden="0" customWidth="1"/>
    <x:col min="7" max="7" width="14" hidden="0" customWidth="1"/>
    <x:col min="8" max="8" width="55" hidden="0" customWidth="1"/>
  </x:cols>
  <x:sheetData>
    <x:row r="1" ht="28" customHeight="1">
      <x:c r="A1" s="6" t="str">
        <x:v>Interactive map scoring dashboard</x:v>
      </x:c>
    </x:row>
    <x:row r="3">
      <x:c r="A3" s="23" t="str">
        <x:v>Metric</x:v>
      </x:c>
      <x:c r="B3" s="23" t="str">
        <x:v>Value</x:v>
      </x:c>
      <x:c r="D3" s="23" t="str">
        <x:v>Composite score</x:v>
      </x:c>
      <x:c r="E3" s="23" t="str">
        <x:v>Country count</x:v>
      </x:c>
      <x:c r="F3" s="23" t="str">
        <x:v>Score</x:v>
      </x:c>
      <x:c r="G3" s="23" t="str">
        <x:v>Colour</x:v>
      </x:c>
      <x:c r="H3" s="23" t="str">
        <x:v>Meaning</x:v>
      </x:c>
    </x:row>
    <x:row r="4">
      <x:c r="A4" s="58" t="str">
        <x:v>Countries included</x:v>
      </x:c>
      <x:c r="B4" t="n">
        <x:f>COUNTIF(Country_Config!F:F,"Yes")</x:f>
        <x:v>10</x:v>
      </x:c>
      <x:c r="D4" s="30" t="n">
        <x:v>0</x:v>
      </x:c>
      <x:c r="E4" s="30" t="n">
        <x:f>COUNTIF(Map_Data!V:V,D4)</x:f>
        <x:v>39</x:v>
      </x:c>
      <x:c r="F4" s="30" t="n">
        <x:v>0</x:v>
      </x:c>
      <x:c r="G4" s="34" t="str">
        <x:v>F2F2F2</x:v>
      </x:c>
      <x:c r="H4" s="30" t="str">
        <x:v>No confirmed evidence or not applicable</x:v>
      </x:c>
    </x:row>
    <x:row r="5">
      <x:c r="A5" s="58" t="str">
        <x:v>Included evidence rows</x:v>
      </x:c>
      <x:c r="B5" t="n">
        <x:f>COUNTIF(Evidence_Log!V:V,"Yes")</x:f>
        <x:v>40</x:v>
      </x:c>
      <x:c r="D5" s="30" t="n">
        <x:v>1</x:v>
      </x:c>
      <x:c r="E5" s="30" t="n">
        <x:f>COUNTIF(Map_Data!V:V,D5)</x:f>
        <x:v>0</x:v>
      </x:c>
      <x:c r="F5" s="30" t="n">
        <x:v>1</x:v>
      </x:c>
      <x:c r="G5" s="36" t="str">
        <x:v>D9F0D3</x:v>
      </x:c>
      <x:c r="H5" s="30" t="str">
        <x:v>Weak, isolated or speculative signs</x:v>
      </x:c>
    </x:row>
    <x:row r="6">
      <x:c r="A6" s="58" t="str">
        <x:v>Publishable factor scores</x:v>
      </x:c>
      <x:c r="B6" t="n">
        <x:f>COUNTIF(Score_Calculator!M:M,"Publishable")</x:f>
        <x:v>0</x:v>
      </x:c>
      <x:c r="D6" s="30" t="n">
        <x:v>2</x:v>
      </x:c>
      <x:c r="E6" s="30" t="n">
        <x:f>COUNTIF(Map_Data!V:V,D6)</x:f>
        <x:v>1</x:v>
      </x:c>
      <x:c r="F6" s="30" t="n">
        <x:v>2</x:v>
      </x:c>
      <x:c r="G6" s="38" t="str">
        <x:v>ADDD8E</x:v>
      </x:c>
      <x:c r="H6" s="30" t="str">
        <x:v>Limited, indirect or sporadic influence</x:v>
      </x:c>
    </x:row>
    <x:row r="7">
      <x:c r="A7" s="58" t="str">
        <x:v>Scores needing review</x:v>
      </x:c>
      <x:c r="B7" t="n">
        <x:f>COUNTIF(Score_Calculator!M:M,"Needs review")</x:f>
        <x:v>40</x:v>
      </x:c>
      <x:c r="D7" s="30" t="n">
        <x:v>3</x:v>
      </x:c>
      <x:c r="E7" s="30" t="n">
        <x:f>COUNTIF(Map_Data!V:V,D7)</x:f>
        <x:v>5</x:v>
      </x:c>
      <x:c r="F7" s="30" t="n">
        <x:v>3</x:v>
      </x:c>
      <x:c r="G7" s="40" t="str">
        <x:v>FDAE6B</x:v>
      </x:c>
      <x:c r="H7" s="30" t="str">
        <x:v>Regular, visible or repeated influence</x:v>
      </x:c>
    </x:row>
    <x:row r="8">
      <x:c r="A8" s="58" t="str">
        <x:v>No-evidence factor scores</x:v>
      </x:c>
      <x:c r="B8" t="n">
        <x:f>COUNTIF(Score_Calculator!M:M,"No evidence")</x:f>
        <x:v>39</x:v>
      </x:c>
      <x:c r="D8" s="30" t="n">
        <x:v>4</x:v>
      </x:c>
      <x:c r="E8" s="30" t="n">
        <x:f>COUNTIF(Map_Data!V:V,D8)</x:f>
        <x:v>3</x:v>
      </x:c>
      <x:c r="F8" s="30" t="n">
        <x:v>4</x:v>
      </x:c>
      <x:c r="G8" s="42" t="str">
        <x:v>F16913</x:v>
      </x:c>
      <x:c r="H8" s="30" t="str">
        <x:v>Systemic influence across several channels</x:v>
      </x:c>
    </x:row>
    <x:row r="9">
      <x:c r="A9" s="58" t="str">
        <x:v>Latest evidence date</x:v>
      </x:c>
      <x:c r="B9" s="64" t="n">
        <x:f>IFERROR(MAX(Evidence_Log!L:L),"")</x:f>
        <x:v>45658</x:v>
      </x:c>
      <x:c r="D9" s="30" t="n">
        <x:v>5</x:v>
      </x:c>
      <x:c r="E9" s="30" t="n">
        <x:f>COUNTIF(Map_Data!V:V,D9)</x:f>
        <x:v>1</x:v>
      </x:c>
      <x:c r="F9" s="30" t="n">
        <x:v>5</x:v>
      </x:c>
      <x:c r="G9" s="44" t="str">
        <x:v>A63603</x:v>
      </x:c>
      <x:c r="H9" s="30" t="str">
        <x:v>Direct, institutionalized, decisive or critical influence</x:v>
      </x:c>
    </x:row>
    <x:row r="12">
      <x:c r="A12" s="23" t="str">
        <x:v>Factor</x:v>
      </x:c>
      <x:c r="B12" s="23" t="str">
        <x:v>Average score</x:v>
      </x:c>
      <x:c r="C12" s="23" t="str">
        <x:v>Needs review rows</x:v>
      </x:c>
      <x:c r="D12" s="23" t="str">
        <x:v>Publishable rows</x:v>
      </x:c>
    </x:row>
    <x:row r="13">
      <x:c r="A13" s="30" t="str">
        <x:v>Russian influence</x:v>
      </x:c>
      <x:c r="B13" s="66" t="n">
        <x:f>IFERROR(AVERAGEIF(Score_Calculator!E:E,A13,Score_Calculator!G:G),"")</x:f>
        <x:v>3.9</x:v>
      </x:c>
      <x:c r="C13" s="30" t="n">
        <x:f>COUNTIFS(Score_Calculator!E:E,A13,Score_Calculator!M:M,"Needs review")</x:f>
        <x:v>10</x:v>
      </x:c>
      <x:c r="D13" s="30" t="n">
        <x:f>COUNTIFS(Score_Calculator!E:E,A13,Score_Calculator!M:M,"Publishable")</x:f>
        <x:v>0</x:v>
      </x:c>
    </x:row>
    <x:row r="14">
      <x:c r="A14" s="30" t="str">
        <x:v>PMC presence</x:v>
      </x:c>
      <x:c r="B14" s="66" t="n">
        <x:f>IFERROR(AVERAGEIF(Score_Calculator!E:E,A14,Score_Calculator!G:G),"")</x:f>
        <x:v>1.8</x:v>
      </x:c>
      <x:c r="C14" s="30" t="n">
        <x:f>COUNTIFS(Score_Calculator!E:E,A14,Score_Calculator!M:M,"Needs review")</x:f>
        <x:v>10</x:v>
      </x:c>
      <x:c r="D14" s="30" t="n">
        <x:f>COUNTIFS(Score_Calculator!E:E,A14,Score_Calculator!M:M,"Publishable")</x:f>
        <x:v>0</x:v>
      </x:c>
    </x:row>
    <x:row r="15">
      <x:c r="A15" s="30" t="str">
        <x:v>Propaganda ecosystems</x:v>
      </x:c>
      <x:c r="B15" s="66" t="n">
        <x:f>IFERROR(AVERAGEIF(Score_Calculator!E:E,A15,Score_Calculator!G:G),"")</x:f>
        <x:v>3.9</x:v>
      </x:c>
      <x:c r="C15" s="30" t="n">
        <x:f>COUNTIFS(Score_Calculator!E:E,A15,Score_Calculator!M:M,"Needs review")</x:f>
        <x:v>10</x:v>
      </x:c>
      <x:c r="D15" s="30" t="n">
        <x:f>COUNTIFS(Score_Calculator!E:E,A15,Score_Calculator!M:M,"Publishable")</x:f>
        <x:v>0</x:v>
      </x:c>
    </x:row>
    <x:row r="16">
      <x:c r="A16" s="30" t="str">
        <x:v>Election interference</x:v>
      </x:c>
      <x:c r="B16" s="66" t="n">
        <x:f>IFERROR(AVERAGEIF(Score_Calculator!E:E,A16,Score_Calculator!G:G),"")</x:f>
        <x:v>2.8</x:v>
      </x:c>
      <x:c r="C16" s="30" t="n">
        <x:f>COUNTIFS(Score_Calculator!E:E,A16,Score_Calculator!M:M,"Needs review")</x:f>
        <x:v>10</x:v>
      </x:c>
      <x:c r="D16" s="30" t="n">
        <x:f>COUNTIFS(Score_Calculator!E:E,A16,Score_Calculator!M:M,"Publishable")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8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23" t="str">
        <x:v>Include_on_Map</x:v>
      </x:c>
      <x:c r="G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str">
        <x:v>Yes</x:v>
      </x:c>
      <x:c r="G2" s="30" t="str"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str">
        <x:v>Yes</x:v>
      </x:c>
      <x:c r="G3" s="30" t="str"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str">
        <x:v>Yes</x:v>
      </x:c>
      <x:c r="G4" s="30" t="str"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str">
        <x:v>Yes</x:v>
      </x:c>
      <x:c r="G5" s="30" t="str"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str">
        <x:v>Yes</x:v>
      </x:c>
      <x:c r="G6" s="30" t="str"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str">
        <x:v>Yes</x:v>
      </x:c>
      <x:c r="G7" s="30" t="str"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str">
        <x:v>Yes</x:v>
      </x:c>
      <x:c r="G8" s="30" t="str"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str">
        <x:v>Yes</x:v>
      </x:c>
      <x:c r="G9" s="30" t="str"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str">
        <x:v>Yes</x:v>
      </x:c>
      <x:c r="G10" s="30" t="str"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str">
        <x:v>Yes</x:v>
      </x:c>
      <x:c r="G11" s="30" t="str"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/>
      <x:c r="G12" s="30"/>
    </x:row>
    <x:row r="13">
      <x:c r="A13" s="30"/>
      <x:c r="B13" s="30"/>
      <x:c r="C13" s="30"/>
      <x:c r="D13" s="30"/>
      <x:c r="E13" s="30"/>
      <x:c r="F13" s="30"/>
      <x:c r="G13" s="30"/>
    </x:row>
    <x:row r="14">
      <x:c r="A14" s="30"/>
      <x:c r="B14" s="30"/>
      <x:c r="C14" s="30"/>
      <x:c r="D14" s="30"/>
      <x:c r="E14" s="30"/>
      <x:c r="F14" s="30"/>
      <x:c r="G14" s="30"/>
    </x:row>
    <x:row r="15">
      <x:c r="A15" s="30"/>
      <x:c r="B15" s="30"/>
      <x:c r="C15" s="30"/>
      <x:c r="D15" s="30"/>
      <x:c r="E15" s="30"/>
      <x:c r="F15" s="30"/>
      <x:c r="G15" s="30"/>
    </x:row>
    <x:row r="16">
      <x:c r="A16" s="30"/>
      <x:c r="B16" s="30"/>
      <x:c r="C16" s="30"/>
      <x:c r="D16" s="30"/>
      <x:c r="E16" s="30"/>
      <x:c r="F16" s="30"/>
      <x:c r="G16" s="30"/>
    </x:row>
    <x:row r="17">
      <x:c r="A17" s="30"/>
      <x:c r="B17" s="30"/>
      <x:c r="C17" s="30"/>
      <x:c r="D17" s="30"/>
      <x:c r="E17" s="30"/>
      <x:c r="F17" s="30"/>
      <x:c r="G17" s="30"/>
    </x:row>
    <x:row r="18">
      <x:c r="A18" s="30"/>
      <x:c r="B18" s="30"/>
      <x:c r="C18" s="30"/>
      <x:c r="D18" s="30"/>
      <x:c r="E18" s="30"/>
      <x:c r="F18" s="30"/>
      <x:c r="G18" s="30"/>
    </x:row>
    <x:row r="19">
      <x:c r="A19" s="30"/>
      <x:c r="B19" s="30"/>
      <x:c r="C19" s="30"/>
      <x:c r="D19" s="30"/>
      <x:c r="E19" s="30"/>
      <x:c r="F19" s="30"/>
      <x:c r="G19" s="30"/>
    </x:row>
    <x:row r="20">
      <x:c r="A20" s="30"/>
      <x:c r="B20" s="30"/>
      <x:c r="C20" s="30"/>
      <x:c r="D20" s="30"/>
      <x:c r="E20" s="30"/>
      <x:c r="F20" s="30"/>
      <x:c r="G20" s="30"/>
    </x:row>
    <x:row r="21">
      <x:c r="A21" s="30"/>
      <x:c r="B21" s="30"/>
      <x:c r="C21" s="30"/>
      <x:c r="D21" s="30"/>
      <x:c r="E21" s="30"/>
      <x:c r="F21" s="30"/>
      <x:c r="G21" s="30"/>
    </x:row>
    <x:row r="22">
      <x:c r="A22" s="30"/>
      <x:c r="B22" s="30"/>
      <x:c r="C22" s="30"/>
      <x:c r="D22" s="30"/>
      <x:c r="E22" s="30"/>
      <x:c r="F22" s="30"/>
      <x:c r="G22" s="30"/>
    </x:row>
    <x:row r="23">
      <x:c r="A23" s="30"/>
      <x:c r="B23" s="30"/>
      <x:c r="C23" s="30"/>
      <x:c r="D23" s="30"/>
      <x:c r="E23" s="30"/>
      <x:c r="F23" s="30"/>
      <x:c r="G23" s="30"/>
    </x:row>
    <x:row r="24">
      <x:c r="A24" s="30"/>
      <x:c r="B24" s="30"/>
      <x:c r="C24" s="30"/>
      <x:c r="D24" s="30"/>
      <x:c r="E24" s="30"/>
      <x:c r="F24" s="30"/>
      <x:c r="G24" s="30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  <x:row r="31">
      <x:c r="A31" s="30"/>
      <x:c r="B31" s="30"/>
      <x:c r="C31" s="30"/>
      <x:c r="D31" s="30"/>
      <x:c r="E31" s="30"/>
      <x:c r="F31" s="30"/>
      <x:c r="G31" s="30"/>
    </x:row>
    <x:row r="32">
      <x:c r="A32" s="30"/>
      <x:c r="B32" s="30"/>
      <x:c r="C32" s="30"/>
      <x:c r="D32" s="30"/>
      <x:c r="E32" s="30"/>
      <x:c r="F32" s="30"/>
      <x:c r="G32" s="30"/>
    </x:row>
    <x:row r="33">
      <x:c r="A33" s="30"/>
      <x:c r="B33" s="30"/>
      <x:c r="C33" s="30"/>
      <x:c r="D33" s="30"/>
      <x:c r="E33" s="30"/>
      <x:c r="F33" s="30"/>
      <x:c r="G33" s="30"/>
    </x:row>
    <x:row r="34">
      <x:c r="A34" s="30"/>
      <x:c r="B34" s="30"/>
      <x:c r="C34" s="30"/>
      <x:c r="D34" s="30"/>
      <x:c r="E34" s="30"/>
      <x:c r="F34" s="30"/>
      <x:c r="G34" s="30"/>
    </x:row>
    <x:row r="35">
      <x:c r="A35" s="30"/>
      <x:c r="B35" s="30"/>
      <x:c r="C35" s="30"/>
      <x:c r="D35" s="30"/>
      <x:c r="E35" s="30"/>
      <x:c r="F35" s="30"/>
      <x:c r="G35" s="30"/>
    </x:row>
    <x:row r="36">
      <x:c r="A36" s="30"/>
      <x:c r="B36" s="30"/>
      <x:c r="C36" s="30"/>
      <x:c r="D36" s="30"/>
      <x:c r="E36" s="30"/>
      <x:c r="F36" s="30"/>
      <x:c r="G36" s="30"/>
    </x:row>
    <x:row r="37">
      <x:c r="A37" s="30"/>
      <x:c r="B37" s="30"/>
      <x:c r="C37" s="30"/>
      <x:c r="D37" s="30"/>
      <x:c r="E37" s="30"/>
      <x:c r="F37" s="30"/>
      <x:c r="G37" s="30"/>
    </x:row>
    <x:row r="38">
      <x:c r="A38" s="30"/>
      <x:c r="B38" s="30"/>
      <x:c r="C38" s="30"/>
      <x:c r="D38" s="30"/>
      <x:c r="E38" s="30"/>
      <x:c r="F38" s="30"/>
      <x:c r="G38" s="30"/>
    </x:row>
    <x:row r="39">
      <x:c r="A39" s="30"/>
      <x:c r="B39" s="30"/>
      <x:c r="C39" s="30"/>
      <x:c r="D39" s="30"/>
      <x:c r="E39" s="30"/>
      <x:c r="F39" s="30"/>
      <x:c r="G39" s="30"/>
    </x:row>
    <x:row r="40">
      <x:c r="A40" s="30"/>
      <x:c r="B40" s="30"/>
      <x:c r="C40" s="30"/>
      <x:c r="D40" s="30"/>
      <x:c r="E40" s="30"/>
      <x:c r="F40" s="30"/>
      <x:c r="G40" s="30"/>
    </x:row>
    <x:row r="41">
      <x:c r="A41" s="30"/>
      <x:c r="B41" s="30"/>
      <x:c r="C41" s="30"/>
      <x:c r="D41" s="30"/>
      <x:c r="E41" s="30"/>
      <x:c r="F41" s="30"/>
      <x:c r="G41" s="30"/>
    </x:row>
    <x:row r="42">
      <x:c r="A42" s="30"/>
      <x:c r="B42" s="30"/>
      <x:c r="C42" s="30"/>
      <x:c r="D42" s="30"/>
      <x:c r="E42" s="30"/>
      <x:c r="F42" s="30"/>
      <x:c r="G42" s="30"/>
    </x:row>
    <x:row r="43">
      <x:c r="A43" s="30"/>
      <x:c r="B43" s="30"/>
      <x:c r="C43" s="30"/>
      <x:c r="D43" s="30"/>
      <x:c r="E43" s="30"/>
      <x:c r="F43" s="30"/>
      <x:c r="G43" s="30"/>
    </x:row>
    <x:row r="44">
      <x:c r="A44" s="30"/>
      <x:c r="B44" s="30"/>
      <x:c r="C44" s="30"/>
      <x:c r="D44" s="30"/>
      <x:c r="E44" s="30"/>
      <x:c r="F44" s="30"/>
      <x:c r="G44" s="30"/>
    </x:row>
    <x:row r="45">
      <x:c r="A45" s="30"/>
      <x:c r="B45" s="30"/>
      <x:c r="C45" s="30"/>
      <x:c r="D45" s="30"/>
      <x:c r="E45" s="30"/>
      <x:c r="F45" s="30"/>
      <x:c r="G45" s="30"/>
    </x:row>
    <x:row r="46">
      <x:c r="A46" s="30"/>
      <x:c r="B46" s="30"/>
      <x:c r="C46" s="30"/>
      <x:c r="D46" s="30"/>
      <x:c r="E46" s="30"/>
      <x:c r="F46" s="30"/>
      <x:c r="G46" s="30"/>
    </x:row>
    <x:row r="47">
      <x:c r="A47" s="30"/>
      <x:c r="B47" s="30"/>
      <x:c r="C47" s="30"/>
      <x:c r="D47" s="30"/>
      <x:c r="E47" s="30"/>
      <x:c r="F47" s="30"/>
      <x:c r="G47" s="30"/>
    </x:row>
    <x:row r="48">
      <x:c r="A48" s="30"/>
      <x:c r="B48" s="30"/>
      <x:c r="C48" s="30"/>
      <x:c r="D48" s="30"/>
      <x:c r="E48" s="30"/>
      <x:c r="F48" s="30"/>
      <x:c r="G48" s="30"/>
    </x:row>
    <x:row r="49">
      <x:c r="A49" s="30"/>
      <x:c r="B49" s="30"/>
      <x:c r="C49" s="30"/>
      <x:c r="D49" s="30"/>
      <x:c r="E49" s="30"/>
      <x:c r="F49" s="30"/>
      <x:c r="G49" s="30"/>
    </x:row>
    <x:row r="50">
      <x:c r="A50" s="30"/>
      <x:c r="B50" s="30"/>
      <x:c r="C50" s="30"/>
      <x:c r="D50" s="30"/>
      <x:c r="E50" s="30"/>
      <x:c r="F50" s="30"/>
      <x:c r="G50" s="30"/>
    </x:row>
    <x:row r="51">
      <x:c r="A51" s="30"/>
      <x:c r="B51" s="30"/>
      <x:c r="C51" s="30"/>
      <x:c r="D51" s="30"/>
      <x:c r="E51" s="30"/>
      <x:c r="F51" s="30"/>
      <x:c r="G51" s="30"/>
    </x:row>
    <x:row r="52">
      <x:c r="A52" s="30"/>
      <x:c r="B52" s="30"/>
      <x:c r="C52" s="30"/>
      <x:c r="D52" s="30"/>
      <x:c r="E52" s="30"/>
      <x:c r="F52" s="30"/>
      <x:c r="G52" s="30"/>
    </x:row>
    <x:row r="53">
      <x:c r="A53" s="30"/>
      <x:c r="B53" s="30"/>
      <x:c r="C53" s="30"/>
      <x:c r="D53" s="30"/>
      <x:c r="E53" s="30"/>
      <x:c r="F53" s="30"/>
      <x:c r="G53" s="30"/>
    </x:row>
    <x:row r="54">
      <x:c r="A54" s="30"/>
      <x:c r="B54" s="30"/>
      <x:c r="C54" s="30"/>
      <x:c r="D54" s="30"/>
      <x:c r="E54" s="30"/>
      <x:c r="F54" s="30"/>
      <x:c r="G54" s="30"/>
    </x:row>
    <x:row r="55">
      <x:c r="A55" s="30"/>
      <x:c r="B55" s="30"/>
      <x:c r="C55" s="30"/>
      <x:c r="D55" s="30"/>
      <x:c r="E55" s="30"/>
      <x:c r="F55" s="30"/>
      <x:c r="G55" s="30"/>
    </x:row>
    <x:row r="56">
      <x:c r="A56" s="30"/>
      <x:c r="B56" s="30"/>
      <x:c r="C56" s="30"/>
      <x:c r="D56" s="30"/>
      <x:c r="E56" s="30"/>
      <x:c r="F56" s="30"/>
      <x:c r="G56" s="30"/>
    </x:row>
    <x:row r="57">
      <x:c r="A57" s="30"/>
      <x:c r="B57" s="30"/>
      <x:c r="C57" s="30"/>
      <x:c r="D57" s="30"/>
      <x:c r="E57" s="30"/>
      <x:c r="F57" s="30"/>
      <x:c r="G57" s="30"/>
    </x:row>
    <x:row r="58">
      <x:c r="A58" s="30"/>
      <x:c r="B58" s="30"/>
      <x:c r="C58" s="30"/>
      <x:c r="D58" s="30"/>
      <x:c r="E58" s="30"/>
      <x:c r="F58" s="30"/>
      <x:c r="G58" s="30"/>
    </x:row>
    <x:row r="59">
      <x:c r="A59" s="30"/>
      <x:c r="B59" s="30"/>
      <x:c r="C59" s="30"/>
      <x:c r="D59" s="30"/>
      <x:c r="E59" s="30"/>
      <x:c r="F59" s="30"/>
      <x:c r="G59" s="30"/>
    </x:row>
    <x:row r="60">
      <x:c r="A60" s="30"/>
      <x:c r="B60" s="30"/>
      <x:c r="C60" s="30"/>
      <x:c r="D60" s="30"/>
      <x:c r="E60" s="30"/>
      <x:c r="F60" s="30"/>
      <x:c r="G60" s="30"/>
    </x:row>
    <x:row r="61">
      <x:c r="A61" s="30"/>
      <x:c r="B61" s="30"/>
      <x:c r="C61" s="30"/>
      <x:c r="D61" s="30"/>
      <x:c r="E61" s="30"/>
      <x:c r="F61" s="30"/>
      <x:c r="G61" s="30"/>
    </x:row>
    <x:row r="62">
      <x:c r="A62" s="30"/>
      <x:c r="B62" s="30"/>
      <x:c r="C62" s="30"/>
      <x:c r="D62" s="30"/>
      <x:c r="E62" s="30"/>
      <x:c r="F62" s="30"/>
      <x:c r="G62" s="30"/>
    </x:row>
    <x:row r="63">
      <x:c r="A63" s="30"/>
      <x:c r="B63" s="30"/>
      <x:c r="C63" s="30"/>
      <x:c r="D63" s="30"/>
      <x:c r="E63" s="30"/>
      <x:c r="F63" s="30"/>
      <x:c r="G63" s="30"/>
    </x:row>
    <x:row r="64">
      <x:c r="A64" s="30"/>
      <x:c r="B64" s="30"/>
      <x:c r="C64" s="30"/>
      <x:c r="D64" s="30"/>
      <x:c r="E64" s="30"/>
      <x:c r="F64" s="30"/>
      <x:c r="G64" s="30"/>
    </x:row>
    <x:row r="65">
      <x:c r="A65" s="30"/>
      <x:c r="B65" s="30"/>
      <x:c r="C65" s="30"/>
      <x:c r="D65" s="30"/>
      <x:c r="E65" s="30"/>
      <x:c r="F65" s="30"/>
      <x:c r="G65" s="30"/>
    </x:row>
    <x:row r="66">
      <x:c r="A66" s="30"/>
      <x:c r="B66" s="30"/>
      <x:c r="C66" s="30"/>
      <x:c r="D66" s="30"/>
      <x:c r="E66" s="30"/>
      <x:c r="F66" s="30"/>
      <x:c r="G66" s="30"/>
    </x:row>
    <x:row r="67">
      <x:c r="A67" s="30"/>
      <x:c r="B67" s="30"/>
      <x:c r="C67" s="30"/>
      <x:c r="D67" s="30"/>
      <x:c r="E67" s="30"/>
      <x:c r="F67" s="30"/>
      <x:c r="G67" s="30"/>
    </x:row>
    <x:row r="68">
      <x:c r="A68" s="30"/>
      <x:c r="B68" s="30"/>
      <x:c r="C68" s="30"/>
      <x:c r="D68" s="30"/>
      <x:c r="E68" s="30"/>
      <x:c r="F68" s="30"/>
      <x:c r="G68" s="30"/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</x:sheetData>
  <x:dataValidations count="1">
    <x:dataValidation type="list" sqref="F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96b8fa3c7244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42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  <x:col min="11" max="11" width="42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60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23" t="str">
        <x:v>Evidence_ID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23" t="str">
        <x:v>Indicator</x:v>
      </x:c>
      <x:c r="G1" s="48" t="str">
        <x:v>Indicator_Score_0_5</x:v>
      </x:c>
      <x:c r="H1" s="48" t="str">
        <x:v>Indicator_Weight</x:v>
      </x:c>
      <x:c r="I1" s="23" t="str">
        <x:v>Source_Tier</x:v>
      </x:c>
      <x:c r="J1" s="23" t="str">
        <x:v>Source_Name</x:v>
      </x:c>
      <x:c r="K1" s="23" t="str">
        <x:v>Source_URL</x:v>
      </x:c>
      <x:c r="L1" s="50" t="str">
        <x:v>Event_Date</x:v>
      </x:c>
      <x:c r="M1" s="50" t="str">
        <x:v>Retrieved_Date</x:v>
      </x:c>
      <x:c r="N1" s="52" t="str">
        <x:v>Reliability_Weight</x:v>
      </x:c>
      <x:c r="O1" s="52" t="str">
        <x:v>Recency_Weight</x:v>
      </x:c>
      <x:c r="P1" s="52" t="str">
        <x:v>Evidence_Weight</x:v>
      </x:c>
      <x:c r="Q1" s="52" t="str">
        <x:v>Weighted_Score</x:v>
      </x:c>
      <x:c r="R1" s="23" t="str">
        <x:v>Source_Domain</x:v>
      </x:c>
      <x:c r="S1" s="23" t="str">
        <x:v>Independence_Key</x:v>
      </x:c>
      <x:c r="T1" s="23" t="str">
        <x:v>Analyst_Notes</x:v>
      </x:c>
      <x:c r="U1" s="23" t="str">
        <x:v>Structural_Evidence</x:v>
      </x:c>
      <x:c r="V1" s="23" t="str">
        <x:v>Include_in_Scoring</x:v>
      </x:c>
      <x:c r="W1" s="23" t="str">
        <x:v>Evidence_Status</x:v>
      </x:c>
    </x:row>
    <x:row r="2">
      <x:c r="A2" s="30" t="str">
        <x:f>IF(B2="","","EV-"&amp;TEXT(ROW()-1,"0000"))</x:f>
        <x:v>EV-0001</x:v>
      </x:c>
      <x:c r="B2" s="30" t="str">
        <x:v>Ukraine</x:v>
      </x:c>
      <x:c r="C2" s="30" t="str">
        <x:f>IF(B2="","",IFERROR(VLOOKUP(B2,Country_Config!$A$2:$G$100,2,FALSE),""))</x:f>
        <x:v>UKR</x:v>
      </x:c>
      <x:c r="D2" s="30" t="str">
        <x:f>IF(B2="","",IFERROR(VLOOKUP(B2,Country_Config!$A$2:$G$100,3,FALSE),""))</x:f>
        <x:v>Europe</x:v>
      </x:c>
      <x:c r="E2" s="30" t="str">
        <x:v>Russian influence</x:v>
      </x:c>
      <x:c r="F2" s="30" t="str">
        <x:v>Pilot baseline estimate</x:v>
      </x:c>
      <x:c r="G2" s="30" t="n">
        <x:v>5</x:v>
      </x:c>
      <x:c r="H2" s="30" t="n">
        <x:f>IF(OR(E2="",F2=""),"",IFERROR(VLOOKUP(E2&amp;"|"&amp;F2,Rules_Weights!$A$2:$E$120,4,FALSE),100))</x:f>
        <x:v>100</x:v>
      </x:c>
      <x:c r="I2" s="30" t="str">
        <x:v>Unverified</x:v>
      </x:c>
      <x:c r="J2" s="30" t="str">
        <x:v>Pilot estimate — replace/verify</x:v>
      </x:c>
      <x:c r="K2" s="30" t="str"/>
      <x:c r="L2" s="30" t="n">
        <x:v>45658</x:v>
      </x:c>
      <x:c r="M2" s="30" t="n">
        <x:v>46151</x:v>
      </x:c>
      <x:c r="N2" s="30" t="n">
        <x:f>IF(I2="","",IFERROR(VLOOKUP(I2,Lookups!$A$2:$B$5,2,FALSE),0))</x:f>
        <x:v>0.25</x:v>
      </x:c>
      <x:c r="O2" s="30" t="n">
        <x:f>IF(OR(L2="",V2&lt;&gt;"Yes"),"",IF(U2="Yes",1,IFS(TODAY()-L2&lt;=365,1,TODAY()-L2&lt;=730,0.8,TODAY()-L2&lt;=1460,0.6,TRUE,0.4)))</x:f>
        <x:v>0.8</x:v>
      </x:c>
      <x:c r="P2" s="30" t="n">
        <x:f>IF(V2&lt;&gt;"Yes","",IFERROR(H2*N2*O2,0))</x:f>
        <x:v>20</x:v>
      </x:c>
      <x:c r="Q2" s="30" t="n">
        <x:f>IF(P2="","",G2*P2)</x:f>
        <x:v>100</x:v>
      </x:c>
      <x:c r="R2" s="30" t="str">
        <x:f>IF(K2="","",IFERROR(REGEXEXTRACT(K2,"https?://([^/]+)"),""))</x:f>
      </x:c>
      <x:c r="S2" s="30" t="str">
        <x:f>IF(R2&lt;&gt;"",LOWER(R2),IF(J2&lt;&gt;"",LOWER(J2),""))</x:f>
        <x:v>pilot estimate — replace/verify</x:v>
      </x:c>
      <x:c r="T2" s="30" t="str">
        <x:v>Pilot score row. Add source-backed evidence rows and/or set this row to Include_in_Scoring = No before publication.</x:v>
      </x:c>
      <x:c r="U2" s="30" t="str">
        <x:v>No</x:v>
      </x:c>
      <x:c r="V2" s="30" t="str">
        <x:v>Yes</x:v>
      </x:c>
      <x:c r="W2" s="30" t="str">
        <x:f>IF(B2="","",IF(V2&lt;&gt;"Yes","Excluded",IF(OR(G2="",H2="",I2=""),"Needs review","Included")))</x:f>
        <x:v>Included</x:v>
      </x:c>
    </x:row>
    <x:row r="3">
      <x:c r="A3" s="30" t="str">
        <x:f>IF(B3="","","EV-"&amp;TEXT(ROW()-1,"0000"))</x:f>
        <x:v>EV-0002</x:v>
      </x:c>
      <x:c r="B3" s="30" t="str">
        <x:v>Ukraine</x:v>
      </x:c>
      <x:c r="C3" s="30" t="str">
        <x:f>IF(B3="","",IFERROR(VLOOKUP(B3,Country_Config!$A$2:$G$100,2,FALSE),""))</x:f>
        <x:v>UKR</x:v>
      </x:c>
      <x:c r="D3" s="30" t="str">
        <x:f>IF(B3="","",IFERROR(VLOOKUP(B3,Country_Config!$A$2:$G$100,3,FALSE),""))</x:f>
        <x:v>Europe</x:v>
      </x:c>
      <x:c r="E3" s="30" t="str">
        <x:v>PMC presence</x:v>
      </x:c>
      <x:c r="F3" s="30" t="str">
        <x:v>Pilot baseline estimate</x:v>
      </x:c>
      <x:c r="G3" s="30" t="n">
        <x:v>3</x:v>
      </x:c>
      <x:c r="H3" s="30" t="n">
        <x:f>IF(OR(E3="",F3=""),"",IFERROR(VLOOKUP(E3&amp;"|"&amp;F3,Rules_Weights!$A$2:$E$120,4,FALSE),100))</x:f>
        <x:v>100</x:v>
      </x:c>
      <x:c r="I3" s="30" t="str">
        <x:v>Unverified</x:v>
      </x:c>
      <x:c r="J3" s="30" t="str">
        <x:v>Pilot estimate — replace/verify</x:v>
      </x:c>
      <x:c r="K3" s="30" t="str"/>
      <x:c r="L3" s="30" t="n">
        <x:v>45658</x:v>
      </x:c>
      <x:c r="M3" s="30" t="n">
        <x:v>46151</x:v>
      </x:c>
      <x:c r="N3" s="30" t="n">
        <x:f>IF(I3="","",IFERROR(VLOOKUP(I3,Lookups!$A$2:$B$5,2,FALSE),0))</x:f>
        <x:v>0.25</x:v>
      </x:c>
      <x:c r="O3" s="30" t="n">
        <x:f>IF(OR(L3="",V3&lt;&gt;"Yes"),"",IF(U3="Yes",1,IFS(TODAY()-L3&lt;=365,1,TODAY()-L3&lt;=730,0.8,TODAY()-L3&lt;=1460,0.6,TRUE,0.4)))</x:f>
        <x:v>0.8</x:v>
      </x:c>
      <x:c r="P3" s="30" t="n">
        <x:f>IF(V3&lt;&gt;"Yes","",IFERROR(H3*N3*O3,0))</x:f>
        <x:v>20</x:v>
      </x:c>
      <x:c r="Q3" s="30" t="n">
        <x:f>IF(P3="","",G3*P3)</x:f>
        <x:v>60</x:v>
      </x:c>
      <x:c r="R3" s="30" t="str">
        <x:f>IF(K3="","",IFERROR(REGEXEXTRACT(K3,"https?://([^/]+)"),""))</x:f>
      </x:c>
      <x:c r="S3" s="30" t="str">
        <x:f>IF(R3&lt;&gt;"",LOWER(R3),IF(J3&lt;&gt;"",LOWER(J3),""))</x:f>
        <x:v>pilot estimate — replace/verify</x:v>
      </x:c>
      <x:c r="T3" s="30" t="str">
        <x:v>Pilot score row. Add source-backed evidence rows and/or set this row to Include_in_Scoring = No before publication.</x:v>
      </x:c>
      <x:c r="U3" s="30" t="str">
        <x:v>No</x:v>
      </x:c>
      <x:c r="V3" s="30" t="str">
        <x:v>Yes</x:v>
      </x:c>
      <x:c r="W3" s="30" t="str">
        <x:f>IF(B3="","",IF(V3&lt;&gt;"Yes","Excluded",IF(OR(G3="",H3="",I3=""),"Needs review","Included")))</x:f>
        <x:v>Included</x:v>
      </x:c>
    </x:row>
    <x:row r="4">
      <x:c r="A4" s="30" t="str">
        <x:f>IF(B4="","","EV-"&amp;TEXT(ROW()-1,"0000"))</x:f>
        <x:v>EV-0003</x:v>
      </x:c>
      <x:c r="B4" s="30" t="str">
        <x:v>Ukraine</x:v>
      </x:c>
      <x:c r="C4" s="30" t="str">
        <x:f>IF(B4="","",IFERROR(VLOOKUP(B4,Country_Config!$A$2:$G$100,2,FALSE),""))</x:f>
        <x:v>UKR</x:v>
      </x:c>
      <x:c r="D4" s="30" t="str">
        <x:f>IF(B4="","",IFERROR(VLOOKUP(B4,Country_Config!$A$2:$G$100,3,FALSE),""))</x:f>
        <x:v>Europe</x:v>
      </x:c>
      <x:c r="E4" s="30" t="str">
        <x:v>Propaganda ecosystems</x:v>
      </x:c>
      <x:c r="F4" s="30" t="str">
        <x:v>Pilot baseline estimate</x:v>
      </x:c>
      <x:c r="G4" s="30" t="n">
        <x:v>5</x:v>
      </x:c>
      <x:c r="H4" s="30" t="n">
        <x:f>IF(OR(E4="",F4=""),"",IFERROR(VLOOKUP(E4&amp;"|"&amp;F4,Rules_Weights!$A$2:$E$120,4,FALSE),100))</x:f>
        <x:v>100</x:v>
      </x:c>
      <x:c r="I4" s="30" t="str">
        <x:v>Unverified</x:v>
      </x:c>
      <x:c r="J4" s="30" t="str">
        <x:v>Pilot estimate — replace/verify</x:v>
      </x:c>
      <x:c r="K4" s="30" t="str"/>
      <x:c r="L4" s="30" t="n">
        <x:v>45658</x:v>
      </x:c>
      <x:c r="M4" s="30" t="n">
        <x:v>46151</x:v>
      </x:c>
      <x:c r="N4" s="30" t="n">
        <x:f>IF(I4="","",IFERROR(VLOOKUP(I4,Lookups!$A$2:$B$5,2,FALSE),0))</x:f>
        <x:v>0.25</x:v>
      </x:c>
      <x:c r="O4" s="30" t="n">
        <x:f>IF(OR(L4="",V4&lt;&gt;"Yes"),"",IF(U4="Yes",1,IFS(TODAY()-L4&lt;=365,1,TODAY()-L4&lt;=730,0.8,TODAY()-L4&lt;=1460,0.6,TRUE,0.4)))</x:f>
        <x:v>0.8</x:v>
      </x:c>
      <x:c r="P4" s="30" t="n">
        <x:f>IF(V4&lt;&gt;"Yes","",IFERROR(H4*N4*O4,0))</x:f>
        <x:v>20</x:v>
      </x:c>
      <x:c r="Q4" s="30" t="n">
        <x:f>IF(P4="","",G4*P4)</x:f>
        <x:v>100</x:v>
      </x:c>
      <x:c r="R4" s="30" t="str">
        <x:f>IF(K4="","",IFERROR(REGEXEXTRACT(K4,"https?://([^/]+)"),""))</x:f>
      </x:c>
      <x:c r="S4" s="30" t="str">
        <x:f>IF(R4&lt;&gt;"",LOWER(R4),IF(J4&lt;&gt;"",LOWER(J4),""))</x:f>
        <x:v>pilot estimate — replace/verify</x:v>
      </x:c>
      <x:c r="T4" s="30" t="str">
        <x:v>Pilot score row. Add source-backed evidence rows and/or set this row to Include_in_Scoring = No before publication.</x:v>
      </x:c>
      <x:c r="U4" s="30" t="str">
        <x:v>No</x:v>
      </x:c>
      <x:c r="V4" s="30" t="str">
        <x:v>Yes</x:v>
      </x:c>
      <x:c r="W4" s="30" t="str">
        <x:f>IF(B4="","",IF(V4&lt;&gt;"Yes","Excluded",IF(OR(G4="",H4="",I4=""),"Needs review","Included")))</x:f>
        <x:v>Included</x:v>
      </x:c>
    </x:row>
    <x:row r="5">
      <x:c r="A5" s="30" t="str">
        <x:f>IF(B5="","","EV-"&amp;TEXT(ROW()-1,"0000"))</x:f>
        <x:v>EV-0004</x:v>
      </x:c>
      <x:c r="B5" s="30" t="str">
        <x:v>Ukraine</x:v>
      </x:c>
      <x:c r="C5" s="30" t="str">
        <x:f>IF(B5="","",IFERROR(VLOOKUP(B5,Country_Config!$A$2:$G$100,2,FALSE),""))</x:f>
        <x:v>UKR</x:v>
      </x:c>
      <x:c r="D5" s="30" t="str">
        <x:f>IF(B5="","",IFERROR(VLOOKUP(B5,Country_Config!$A$2:$G$100,3,FALSE),""))</x:f>
        <x:v>Europe</x:v>
      </x:c>
      <x:c r="E5" s="30" t="str">
        <x:v>Election interference</x:v>
      </x:c>
      <x:c r="F5" s="30" t="str">
        <x:v>Pilot baseline estimate</x:v>
      </x:c>
      <x:c r="G5" s="30" t="n">
        <x:v>5</x:v>
      </x:c>
      <x:c r="H5" s="30" t="n">
        <x:f>IF(OR(E5="",F5=""),"",IFERROR(VLOOKUP(E5&amp;"|"&amp;F5,Rules_Weights!$A$2:$E$120,4,FALSE),100))</x:f>
        <x:v>100</x:v>
      </x:c>
      <x:c r="I5" s="30" t="str">
        <x:v>Unverified</x:v>
      </x:c>
      <x:c r="J5" s="30" t="str">
        <x:v>Pilot estimate — replace/verify</x:v>
      </x:c>
      <x:c r="K5" s="30" t="str"/>
      <x:c r="L5" s="30" t="n">
        <x:v>45658</x:v>
      </x:c>
      <x:c r="M5" s="30" t="n">
        <x:v>46151</x:v>
      </x:c>
      <x:c r="N5" s="30" t="n">
        <x:f>IF(I5="","",IFERROR(VLOOKUP(I5,Lookups!$A$2:$B$5,2,FALSE),0))</x:f>
        <x:v>0.25</x:v>
      </x:c>
      <x:c r="O5" s="30" t="n">
        <x:f>IF(OR(L5="",V5&lt;&gt;"Yes"),"",IF(U5="Yes",1,IFS(TODAY()-L5&lt;=365,1,TODAY()-L5&lt;=730,0.8,TODAY()-L5&lt;=1460,0.6,TRUE,0.4)))</x:f>
        <x:v>0.8</x:v>
      </x:c>
      <x:c r="P5" s="30" t="n">
        <x:f>IF(V5&lt;&gt;"Yes","",IFERROR(H5*N5*O5,0))</x:f>
        <x:v>20</x:v>
      </x:c>
      <x:c r="Q5" s="30" t="n">
        <x:f>IF(P5="","",G5*P5)</x:f>
        <x:v>100</x:v>
      </x:c>
      <x:c r="R5" s="30" t="str">
        <x:f>IF(K5="","",IFERROR(REGEXEXTRACT(K5,"https?://([^/]+)"),""))</x:f>
      </x:c>
      <x:c r="S5" s="30" t="str">
        <x:f>IF(R5&lt;&gt;"",LOWER(R5),IF(J5&lt;&gt;"",LOWER(J5),""))</x:f>
        <x:v>pilot estimate — replace/verify</x:v>
      </x:c>
      <x:c r="T5" s="30" t="str">
        <x:v>Pilot score row. Add source-backed evidence rows and/or set this row to Include_in_Scoring = No before publication.</x:v>
      </x:c>
      <x:c r="U5" s="30" t="str">
        <x:v>No</x:v>
      </x:c>
      <x:c r="V5" s="30" t="str">
        <x:v>Yes</x:v>
      </x:c>
      <x:c r="W5" s="30" t="str">
        <x:f>IF(B5="","",IF(V5&lt;&gt;"Yes","Excluded",IF(OR(G5="",H5="",I5=""),"Needs review","Included")))</x:f>
        <x:v>Included</x:v>
      </x:c>
    </x:row>
    <x:row r="6">
      <x:c r="A6" s="30" t="str">
        <x:f>IF(B6="","","EV-"&amp;TEXT(ROW()-1,"0000"))</x:f>
        <x:v>EV-0005</x:v>
      </x:c>
      <x:c r="B6" s="30" t="str">
        <x:v>Germany</x:v>
      </x:c>
      <x:c r="C6" s="30" t="str">
        <x:f>IF(B6="","",IFERROR(VLOOKUP(B6,Country_Config!$A$2:$G$100,2,FALSE),""))</x:f>
        <x:v>DEU</x:v>
      </x:c>
      <x:c r="D6" s="30" t="str">
        <x:f>IF(B6="","",IFERROR(VLOOKUP(B6,Country_Config!$A$2:$G$100,3,FALSE),""))</x:f>
        <x:v>Europe</x:v>
      </x:c>
      <x:c r="E6" s="30" t="str">
        <x:v>Russian influence</x:v>
      </x:c>
      <x:c r="F6" s="30" t="str">
        <x:v>Pilot baseline estimate</x:v>
      </x:c>
      <x:c r="G6" s="30" t="n">
        <x:v>3</x:v>
      </x:c>
      <x:c r="H6" s="30" t="n">
        <x:f>IF(OR(E6="",F6=""),"",IFERROR(VLOOKUP(E6&amp;"|"&amp;F6,Rules_Weights!$A$2:$E$120,4,FALSE),100))</x:f>
        <x:v>100</x:v>
      </x:c>
      <x:c r="I6" s="30" t="str">
        <x:v>Unverified</x:v>
      </x:c>
      <x:c r="J6" s="30" t="str">
        <x:v>Pilot estimate — replace/verify</x:v>
      </x:c>
      <x:c r="K6" s="30" t="str"/>
      <x:c r="L6" s="30" t="n">
        <x:v>45658</x:v>
      </x:c>
      <x:c r="M6" s="30" t="n">
        <x:v>46151</x:v>
      </x:c>
      <x:c r="N6" s="30" t="n">
        <x:f>IF(I6="","",IFERROR(VLOOKUP(I6,Lookups!$A$2:$B$5,2,FALSE),0))</x:f>
        <x:v>0.25</x:v>
      </x:c>
      <x:c r="O6" s="30" t="n">
        <x:f>IF(OR(L6="",V6&lt;&gt;"Yes"),"",IF(U6="Yes",1,IFS(TODAY()-L6&lt;=365,1,TODAY()-L6&lt;=730,0.8,TODAY()-L6&lt;=1460,0.6,TRUE,0.4)))</x:f>
        <x:v>0.8</x:v>
      </x:c>
      <x:c r="P6" s="30" t="n">
        <x:f>IF(V6&lt;&gt;"Yes","",IFERROR(H6*N6*O6,0))</x:f>
        <x:v>20</x:v>
      </x:c>
      <x:c r="Q6" s="30" t="n">
        <x:f>IF(P6="","",G6*P6)</x:f>
        <x:v>60</x:v>
      </x:c>
      <x:c r="R6" s="30" t="str">
        <x:f>IF(K6="","",IFERROR(REGEXEXTRACT(K6,"https?://([^/]+)"),""))</x:f>
      </x:c>
      <x:c r="S6" s="30" t="str">
        <x:f>IF(R6&lt;&gt;"",LOWER(R6),IF(J6&lt;&gt;"",LOWER(J6),""))</x:f>
        <x:v>pilot estimate — replace/verify</x:v>
      </x:c>
      <x:c r="T6" s="30" t="str">
        <x:v>Pilot score row. Add source-backed evidence rows and/or set this row to Include_in_Scoring = No before publication.</x:v>
      </x:c>
      <x:c r="U6" s="30" t="str">
        <x:v>No</x:v>
      </x:c>
      <x:c r="V6" s="30" t="str">
        <x:v>Yes</x:v>
      </x:c>
      <x:c r="W6" s="30" t="str">
        <x:f>IF(B6="","",IF(V6&lt;&gt;"Yes","Excluded",IF(OR(G6="",H6="",I6=""),"Needs review","Included")))</x:f>
        <x:v>Included</x:v>
      </x:c>
    </x:row>
    <x:row r="7">
      <x:c r="A7" s="30" t="str">
        <x:f>IF(B7="","","EV-"&amp;TEXT(ROW()-1,"0000"))</x:f>
        <x:v>EV-0006</x:v>
      </x:c>
      <x:c r="B7" s="30" t="str">
        <x:v>Germany</x:v>
      </x:c>
      <x:c r="C7" s="30" t="str">
        <x:f>IF(B7="","",IFERROR(VLOOKUP(B7,Country_Config!$A$2:$G$100,2,FALSE),""))</x:f>
        <x:v>DEU</x:v>
      </x:c>
      <x:c r="D7" s="30" t="str">
        <x:f>IF(B7="","",IFERROR(VLOOKUP(B7,Country_Config!$A$2:$G$100,3,FALSE),""))</x:f>
        <x:v>Europe</x:v>
      </x:c>
      <x:c r="E7" s="30" t="str">
        <x:v>PMC presence</x:v>
      </x:c>
      <x:c r="F7" s="30" t="str">
        <x:v>Pilot baseline estimate</x:v>
      </x:c>
      <x:c r="G7" s="30" t="n">
        <x:v>0</x:v>
      </x:c>
      <x:c r="H7" s="30" t="n">
        <x:f>IF(OR(E7="",F7=""),"",IFERROR(VLOOKUP(E7&amp;"|"&amp;F7,Rules_Weights!$A$2:$E$120,4,FALSE),100))</x:f>
        <x:v>100</x:v>
      </x:c>
      <x:c r="I7" s="30" t="str">
        <x:v>Unverified</x:v>
      </x:c>
      <x:c r="J7" s="30" t="str">
        <x:v>Pilot estimate — replace/verify</x:v>
      </x:c>
      <x:c r="K7" s="30" t="str"/>
      <x:c r="L7" s="30" t="n">
        <x:v>45658</x:v>
      </x:c>
      <x:c r="M7" s="30" t="n">
        <x:v>46151</x:v>
      </x:c>
      <x:c r="N7" s="30" t="n">
        <x:f>IF(I7="","",IFERROR(VLOOKUP(I7,Lookups!$A$2:$B$5,2,FALSE),0))</x:f>
        <x:v>0.25</x:v>
      </x:c>
      <x:c r="O7" s="30" t="n">
        <x:f>IF(OR(L7="",V7&lt;&gt;"Yes"),"",IF(U7="Yes",1,IFS(TODAY()-L7&lt;=365,1,TODAY()-L7&lt;=730,0.8,TODAY()-L7&lt;=1460,0.6,TRUE,0.4)))</x:f>
        <x:v>0.8</x:v>
      </x:c>
      <x:c r="P7" s="30" t="n">
        <x:f>IF(V7&lt;&gt;"Yes","",IFERROR(H7*N7*O7,0))</x:f>
        <x:v>20</x:v>
      </x:c>
      <x:c r="Q7" s="30" t="n">
        <x:f>IF(P7="","",G7*P7)</x:f>
        <x:v>0</x:v>
      </x:c>
      <x:c r="R7" s="30" t="str">
        <x:f>IF(K7="","",IFERROR(REGEXEXTRACT(K7,"https?://([^/]+)"),""))</x:f>
      </x:c>
      <x:c r="S7" s="30" t="str">
        <x:f>IF(R7&lt;&gt;"",LOWER(R7),IF(J7&lt;&gt;"",LOWER(J7),""))</x:f>
        <x:v>pilot estimate — replace/verify</x:v>
      </x:c>
      <x:c r="T7" s="30" t="str">
        <x:v>Pilot score row. Add source-backed evidence rows and/or set this row to Include_in_Scoring = No before publication.</x:v>
      </x:c>
      <x:c r="U7" s="30" t="str">
        <x:v>No</x:v>
      </x:c>
      <x:c r="V7" s="30" t="str">
        <x:v>Yes</x:v>
      </x:c>
      <x:c r="W7" s="30" t="str">
        <x:f>IF(B7="","",IF(V7&lt;&gt;"Yes","Excluded",IF(OR(G7="",H7="",I7=""),"Needs review","Included")))</x:f>
        <x:v>Needs review</x:v>
      </x:c>
    </x:row>
    <x:row r="8">
      <x:c r="A8" s="30" t="str">
        <x:f>IF(B8="","","EV-"&amp;TEXT(ROW()-1,"0000"))</x:f>
        <x:v>EV-0007</x:v>
      </x:c>
      <x:c r="B8" s="30" t="str">
        <x:v>Germany</x:v>
      </x:c>
      <x:c r="C8" s="30" t="str">
        <x:f>IF(B8="","",IFERROR(VLOOKUP(B8,Country_Config!$A$2:$G$100,2,FALSE),""))</x:f>
        <x:v>DEU</x:v>
      </x:c>
      <x:c r="D8" s="30" t="str">
        <x:f>IF(B8="","",IFERROR(VLOOKUP(B8,Country_Config!$A$2:$G$100,3,FALSE),""))</x:f>
        <x:v>Europe</x:v>
      </x:c>
      <x:c r="E8" s="30" t="str">
        <x:v>Propaganda ecosystems</x:v>
      </x:c>
      <x:c r="F8" s="30" t="str">
        <x:v>Pilot baseline estimate</x:v>
      </x:c>
      <x:c r="G8" s="30" t="n">
        <x:v>4</x:v>
      </x:c>
      <x:c r="H8" s="30" t="n">
        <x:f>IF(OR(E8="",F8=""),"",IFERROR(VLOOKUP(E8&amp;"|"&amp;F8,Rules_Weights!$A$2:$E$120,4,FALSE),100))</x:f>
        <x:v>100</x:v>
      </x:c>
      <x:c r="I8" s="30" t="str">
        <x:v>Unverified</x:v>
      </x:c>
      <x:c r="J8" s="30" t="str">
        <x:v>Pilot estimate — replace/verify</x:v>
      </x:c>
      <x:c r="K8" s="30" t="str"/>
      <x:c r="L8" s="30" t="n">
        <x:v>45658</x:v>
      </x:c>
      <x:c r="M8" s="30" t="n">
        <x:v>46151</x:v>
      </x:c>
      <x:c r="N8" s="30" t="n">
        <x:f>IF(I8="","",IFERROR(VLOOKUP(I8,Lookups!$A$2:$B$5,2,FALSE),0))</x:f>
        <x:v>0.25</x:v>
      </x:c>
      <x:c r="O8" s="30" t="n">
        <x:f>IF(OR(L8="",V8&lt;&gt;"Yes"),"",IF(U8="Yes",1,IFS(TODAY()-L8&lt;=365,1,TODAY()-L8&lt;=730,0.8,TODAY()-L8&lt;=1460,0.6,TRUE,0.4)))</x:f>
        <x:v>0.8</x:v>
      </x:c>
      <x:c r="P8" s="30" t="n">
        <x:f>IF(V8&lt;&gt;"Yes","",IFERROR(H8*N8*O8,0))</x:f>
        <x:v>20</x:v>
      </x:c>
      <x:c r="Q8" s="30" t="n">
        <x:f>IF(P8="","",G8*P8)</x:f>
        <x:v>80</x:v>
      </x:c>
      <x:c r="R8" s="30" t="str">
        <x:f>IF(K8="","",IFERROR(REGEXEXTRACT(K8,"https?://([^/]+)"),""))</x:f>
      </x:c>
      <x:c r="S8" s="30" t="str">
        <x:f>IF(R8&lt;&gt;"",LOWER(R8),IF(J8&lt;&gt;"",LOWER(J8),""))</x:f>
        <x:v>pilot estimate — replace/verify</x:v>
      </x:c>
      <x:c r="T8" s="30" t="str">
        <x:v>Pilot score row. Add source-backed evidence rows and/or set this row to Include_in_Scoring = No before publication.</x:v>
      </x:c>
      <x:c r="U8" s="30" t="str">
        <x:v>No</x:v>
      </x:c>
      <x:c r="V8" s="30" t="str">
        <x:v>Yes</x:v>
      </x:c>
      <x:c r="W8" s="30" t="str">
        <x:f>IF(B8="","",IF(V8&lt;&gt;"Yes","Excluded",IF(OR(G8="",H8="",I8=""),"Needs review","Included")))</x:f>
        <x:v>Included</x:v>
      </x:c>
    </x:row>
    <x:row r="9">
      <x:c r="A9" s="30" t="str">
        <x:f>IF(B9="","","EV-"&amp;TEXT(ROW()-1,"0000"))</x:f>
        <x:v>EV-0008</x:v>
      </x:c>
      <x:c r="B9" s="30" t="str">
        <x:v>Germany</x:v>
      </x:c>
      <x:c r="C9" s="30" t="str">
        <x:f>IF(B9="","",IFERROR(VLOOKUP(B9,Country_Config!$A$2:$G$100,2,FALSE),""))</x:f>
        <x:v>DEU</x:v>
      </x:c>
      <x:c r="D9" s="30" t="str">
        <x:f>IF(B9="","",IFERROR(VLOOKUP(B9,Country_Config!$A$2:$G$100,3,FALSE),""))</x:f>
        <x:v>Europe</x:v>
      </x:c>
      <x:c r="E9" s="30" t="str">
        <x:v>Election interference</x:v>
      </x:c>
      <x:c r="F9" s="30" t="str">
        <x:v>Pilot baseline estimate</x:v>
      </x:c>
      <x:c r="G9" s="30" t="n">
        <x:v>3</x:v>
      </x:c>
      <x:c r="H9" s="30" t="n">
        <x:f>IF(OR(E9="",F9=""),"",IFERROR(VLOOKUP(E9&amp;"|"&amp;F9,Rules_Weights!$A$2:$E$120,4,FALSE),100))</x:f>
        <x:v>100</x:v>
      </x:c>
      <x:c r="I9" s="30" t="str">
        <x:v>Unverified</x:v>
      </x:c>
      <x:c r="J9" s="30" t="str">
        <x:v>Pilot estimate — replace/verify</x:v>
      </x:c>
      <x:c r="K9" s="30" t="str"/>
      <x:c r="L9" s="30" t="n">
        <x:v>45658</x:v>
      </x:c>
      <x:c r="M9" s="30" t="n">
        <x:v>46151</x:v>
      </x:c>
      <x:c r="N9" s="30" t="n">
        <x:f>IF(I9="","",IFERROR(VLOOKUP(I9,Lookups!$A$2:$B$5,2,FALSE),0))</x:f>
        <x:v>0.25</x:v>
      </x:c>
      <x:c r="O9" s="30" t="n">
        <x:f>IF(OR(L9="",V9&lt;&gt;"Yes"),"",IF(U9="Yes",1,IFS(TODAY()-L9&lt;=365,1,TODAY()-L9&lt;=730,0.8,TODAY()-L9&lt;=1460,0.6,TRUE,0.4)))</x:f>
        <x:v>0.8</x:v>
      </x:c>
      <x:c r="P9" s="30" t="n">
        <x:f>IF(V9&lt;&gt;"Yes","",IFERROR(H9*N9*O9,0))</x:f>
        <x:v>20</x:v>
      </x:c>
      <x:c r="Q9" s="30" t="n">
        <x:f>IF(P9="","",G9*P9)</x:f>
        <x:v>60</x:v>
      </x:c>
      <x:c r="R9" s="30" t="str">
        <x:f>IF(K9="","",IFERROR(REGEXEXTRACT(K9,"https?://([^/]+)"),""))</x:f>
      </x:c>
      <x:c r="S9" s="30" t="str">
        <x:f>IF(R9&lt;&gt;"",LOWER(R9),IF(J9&lt;&gt;"",LOWER(J9),""))</x:f>
        <x:v>pilot estimate — replace/verify</x:v>
      </x:c>
      <x:c r="T9" s="30" t="str">
        <x:v>Pilot score row. Add source-backed evidence rows and/or set this row to Include_in_Scoring = No before publication.</x:v>
      </x:c>
      <x:c r="U9" s="30" t="str">
        <x:v>No</x:v>
      </x:c>
      <x:c r="V9" s="30" t="str">
        <x:v>Yes</x:v>
      </x:c>
      <x:c r="W9" s="30" t="str">
        <x:f>IF(B9="","",IF(V9&lt;&gt;"Yes","Excluded",IF(OR(G9="",H9="",I9=""),"Needs review","Included")))</x:f>
        <x:v>Included</x:v>
      </x:c>
    </x:row>
    <x:row r="10">
      <x:c r="A10" s="30" t="str">
        <x:f>IF(B10="","","EV-"&amp;TEXT(ROW()-1,"0000"))</x:f>
        <x:v>EV-0009</x:v>
      </x:c>
      <x:c r="B10" s="30" t="str">
        <x:v>France</x:v>
      </x:c>
      <x:c r="C10" s="30" t="str">
        <x:f>IF(B10="","",IFERROR(VLOOKUP(B10,Country_Config!$A$2:$G$100,2,FALSE),""))</x:f>
        <x:v>FRA</x:v>
      </x:c>
      <x:c r="D10" s="30" t="str">
        <x:f>IF(B10="","",IFERROR(VLOOKUP(B10,Country_Config!$A$2:$G$100,3,FALSE),""))</x:f>
        <x:v>Europe</x:v>
      </x:c>
      <x:c r="E10" s="30" t="str">
        <x:v>Russian influence</x:v>
      </x:c>
      <x:c r="F10" s="30" t="str">
        <x:v>Pilot baseline estimate</x:v>
      </x:c>
      <x:c r="G10" s="30" t="n">
        <x:v>3</x:v>
      </x:c>
      <x:c r="H10" s="30" t="n">
        <x:f>IF(OR(E10="",F10=""),"",IFERROR(VLOOKUP(E10&amp;"|"&amp;F10,Rules_Weights!$A$2:$E$120,4,FALSE),100))</x:f>
        <x:v>100</x:v>
      </x:c>
      <x:c r="I10" s="30" t="str">
        <x:v>Unverified</x:v>
      </x:c>
      <x:c r="J10" s="30" t="str">
        <x:v>Pilot estimate — replace/verify</x:v>
      </x:c>
      <x:c r="K10" s="30" t="str"/>
      <x:c r="L10" s="30" t="n">
        <x:v>45658</x:v>
      </x:c>
      <x:c r="M10" s="30" t="n">
        <x:v>46151</x:v>
      </x:c>
      <x:c r="N10" s="30" t="n">
        <x:f>IF(I10="","",IFERROR(VLOOKUP(I10,Lookups!$A$2:$B$5,2,FALSE),0))</x:f>
        <x:v>0.25</x:v>
      </x:c>
      <x:c r="O10" s="30" t="n">
        <x:f>IF(OR(L10="",V10&lt;&gt;"Yes"),"",IF(U10="Yes",1,IFS(TODAY()-L10&lt;=365,1,TODAY()-L10&lt;=730,0.8,TODAY()-L10&lt;=1460,0.6,TRUE,0.4)))</x:f>
        <x:v>0.8</x:v>
      </x:c>
      <x:c r="P10" s="30" t="n">
        <x:f>IF(V10&lt;&gt;"Yes","",IFERROR(H10*N10*O10,0))</x:f>
        <x:v>20</x:v>
      </x:c>
      <x:c r="Q10" s="30" t="n">
        <x:f>IF(P10="","",G10*P10)</x:f>
        <x:v>60</x:v>
      </x:c>
      <x:c r="R10" s="30" t="str">
        <x:f>IF(K10="","",IFERROR(REGEXEXTRACT(K10,"https?://([^/]+)"),""))</x:f>
      </x:c>
      <x:c r="S10" s="30" t="str">
        <x:f>IF(R10&lt;&gt;"",LOWER(R10),IF(J10&lt;&gt;"",LOWER(J10),""))</x:f>
        <x:v>pilot estimate — replace/verify</x:v>
      </x:c>
      <x:c r="T10" s="30" t="str">
        <x:v>Pilot score row. Add source-backed evidence rows and/or set this row to Include_in_Scoring = No before publication.</x:v>
      </x:c>
      <x:c r="U10" s="30" t="str">
        <x:v>No</x:v>
      </x:c>
      <x:c r="V10" s="30" t="str">
        <x:v>Yes</x:v>
      </x:c>
      <x:c r="W10" s="30" t="str">
        <x:f>IF(B10="","",IF(V10&lt;&gt;"Yes","Excluded",IF(OR(G10="",H10="",I10=""),"Needs review","Included")))</x:f>
        <x:v>Included</x:v>
      </x:c>
    </x:row>
    <x:row r="11">
      <x:c r="A11" s="30" t="str">
        <x:f>IF(B11="","","EV-"&amp;TEXT(ROW()-1,"0000"))</x:f>
        <x:v>EV-0010</x:v>
      </x:c>
      <x:c r="B11" s="30" t="str">
        <x:v>France</x:v>
      </x:c>
      <x:c r="C11" s="30" t="str">
        <x:f>IF(B11="","",IFERROR(VLOOKUP(B11,Country_Config!$A$2:$G$100,2,FALSE),""))</x:f>
        <x:v>FRA</x:v>
      </x:c>
      <x:c r="D11" s="30" t="str">
        <x:f>IF(B11="","",IFERROR(VLOOKUP(B11,Country_Config!$A$2:$G$100,3,FALSE),""))</x:f>
        <x:v>Europe</x:v>
      </x:c>
      <x:c r="E11" s="30" t="str">
        <x:v>PMC presence</x:v>
      </x:c>
      <x:c r="F11" s="30" t="str">
        <x:v>Pilot baseline estimate</x:v>
      </x:c>
      <x:c r="G11" s="30" t="n">
        <x:v>0</x:v>
      </x:c>
      <x:c r="H11" s="30" t="n">
        <x:f>IF(OR(E11="",F11=""),"",IFERROR(VLOOKUP(E11&amp;"|"&amp;F11,Rules_Weights!$A$2:$E$120,4,FALSE),100))</x:f>
        <x:v>100</x:v>
      </x:c>
      <x:c r="I11" s="30" t="str">
        <x:v>Unverified</x:v>
      </x:c>
      <x:c r="J11" s="30" t="str">
        <x:v>Pilot estimate — replace/verify</x:v>
      </x:c>
      <x:c r="K11" s="30" t="str"/>
      <x:c r="L11" s="30" t="n">
        <x:v>45658</x:v>
      </x:c>
      <x:c r="M11" s="30" t="n">
        <x:v>46151</x:v>
      </x:c>
      <x:c r="N11" s="30" t="n">
        <x:f>IF(I11="","",IFERROR(VLOOKUP(I11,Lookups!$A$2:$B$5,2,FALSE),0))</x:f>
        <x:v>0.25</x:v>
      </x:c>
      <x:c r="O11" s="30" t="n">
        <x:f>IF(OR(L11="",V11&lt;&gt;"Yes"),"",IF(U11="Yes",1,IFS(TODAY()-L11&lt;=365,1,TODAY()-L11&lt;=730,0.8,TODAY()-L11&lt;=1460,0.6,TRUE,0.4)))</x:f>
        <x:v>0.8</x:v>
      </x:c>
      <x:c r="P11" s="30" t="n">
        <x:f>IF(V11&lt;&gt;"Yes","",IFERROR(H11*N11*O11,0))</x:f>
        <x:v>20</x:v>
      </x:c>
      <x:c r="Q11" s="30" t="n">
        <x:f>IF(P11="","",G11*P11)</x:f>
        <x:v>0</x:v>
      </x:c>
      <x:c r="R11" s="30" t="str">
        <x:f>IF(K11="","",IFERROR(REGEXEXTRACT(K11,"https?://([^/]+)"),""))</x:f>
      </x:c>
      <x:c r="S11" s="30" t="str">
        <x:f>IF(R11&lt;&gt;"",LOWER(R11),IF(J11&lt;&gt;"",LOWER(J11),""))</x:f>
        <x:v>pilot estimate — replace/verify</x:v>
      </x:c>
      <x:c r="T11" s="30" t="str">
        <x:v>Pilot score row. Add source-backed evidence rows and/or set this row to Include_in_Scoring = No before publication.</x:v>
      </x:c>
      <x:c r="U11" s="30" t="str">
        <x:v>No</x:v>
      </x:c>
      <x:c r="V11" s="30" t="str">
        <x:v>Yes</x:v>
      </x:c>
      <x:c r="W11" s="30" t="str">
        <x:f>IF(B11="","",IF(V11&lt;&gt;"Yes","Excluded",IF(OR(G11="",H11="",I11=""),"Needs review","Included")))</x:f>
        <x:v>Needs review</x:v>
      </x:c>
    </x:row>
    <x:row r="12">
      <x:c r="A12" s="30" t="str">
        <x:f>IF(B12="","","EV-"&amp;TEXT(ROW()-1,"0000"))</x:f>
        <x:v>EV-0011</x:v>
      </x:c>
      <x:c r="B12" s="30" t="str">
        <x:v>France</x:v>
      </x:c>
      <x:c r="C12" s="30" t="str">
        <x:f>IF(B12="","",IFERROR(VLOOKUP(B12,Country_Config!$A$2:$G$100,2,FALSE),""))</x:f>
        <x:v>FRA</x:v>
      </x:c>
      <x:c r="D12" s="30" t="str">
        <x:f>IF(B12="","",IFERROR(VLOOKUP(B12,Country_Config!$A$2:$G$100,3,FALSE),""))</x:f>
        <x:v>Europe</x:v>
      </x:c>
      <x:c r="E12" s="30" t="str">
        <x:v>Propaganda ecosystems</x:v>
      </x:c>
      <x:c r="F12" s="30" t="str">
        <x:v>Pilot baseline estimate</x:v>
      </x:c>
      <x:c r="G12" s="30" t="n">
        <x:v>4</x:v>
      </x:c>
      <x:c r="H12" s="30" t="n">
        <x:f>IF(OR(E12="",F12=""),"",IFERROR(VLOOKUP(E12&amp;"|"&amp;F12,Rules_Weights!$A$2:$E$120,4,FALSE),100))</x:f>
        <x:v>100</x:v>
      </x:c>
      <x:c r="I12" s="30" t="str">
        <x:v>Unverified</x:v>
      </x:c>
      <x:c r="J12" s="30" t="str">
        <x:v>Pilot estimate — replace/verify</x:v>
      </x:c>
      <x:c r="K12" s="30" t="str"/>
      <x:c r="L12" s="30" t="n">
        <x:v>45658</x:v>
      </x:c>
      <x:c r="M12" s="30" t="n">
        <x:v>46151</x:v>
      </x:c>
      <x:c r="N12" s="30" t="n">
        <x:f>IF(I12="","",IFERROR(VLOOKUP(I12,Lookups!$A$2:$B$5,2,FALSE),0))</x:f>
        <x:v>0.25</x:v>
      </x:c>
      <x:c r="O12" s="30" t="n">
        <x:f>IF(OR(L12="",V12&lt;&gt;"Yes"),"",IF(U12="Yes",1,IFS(TODAY()-L12&lt;=365,1,TODAY()-L12&lt;=730,0.8,TODAY()-L12&lt;=1460,0.6,TRUE,0.4)))</x:f>
        <x:v>0.8</x:v>
      </x:c>
      <x:c r="P12" s="30" t="n">
        <x:f>IF(V12&lt;&gt;"Yes","",IFERROR(H12*N12*O12,0))</x:f>
        <x:v>20</x:v>
      </x:c>
      <x:c r="Q12" s="30" t="n">
        <x:f>IF(P12="","",G12*P12)</x:f>
        <x:v>80</x:v>
      </x:c>
      <x:c r="R12" s="30" t="str">
        <x:f>IF(K12="","",IFERROR(REGEXEXTRACT(K12,"https?://([^/]+)"),""))</x:f>
      </x:c>
      <x:c r="S12" s="30" t="str">
        <x:f>IF(R12&lt;&gt;"",LOWER(R12),IF(J12&lt;&gt;"",LOWER(J12),""))</x:f>
        <x:v>pilot estimate — replace/verify</x:v>
      </x:c>
      <x:c r="T12" s="30" t="str">
        <x:v>Pilot score row. Add source-backed evidence rows and/or set this row to Include_in_Scoring = No before publication.</x:v>
      </x:c>
      <x:c r="U12" s="30" t="str">
        <x:v>No</x:v>
      </x:c>
      <x:c r="V12" s="30" t="str">
        <x:v>Yes</x:v>
      </x:c>
      <x:c r="W12" s="30" t="str">
        <x:f>IF(B12="","",IF(V12&lt;&gt;"Yes","Excluded",IF(OR(G12="",H12="",I12=""),"Needs review","Included")))</x:f>
        <x:v>Included</x:v>
      </x:c>
    </x:row>
    <x:row r="13">
      <x:c r="A13" s="30" t="str">
        <x:f>IF(B13="","","EV-"&amp;TEXT(ROW()-1,"0000"))</x:f>
        <x:v>EV-0012</x:v>
      </x:c>
      <x:c r="B13" s="30" t="str">
        <x:v>France</x:v>
      </x:c>
      <x:c r="C13" s="30" t="str">
        <x:f>IF(B13="","",IFERROR(VLOOKUP(B13,Country_Config!$A$2:$G$100,2,FALSE),""))</x:f>
        <x:v>FRA</x:v>
      </x:c>
      <x:c r="D13" s="30" t="str">
        <x:f>IF(B13="","",IFERROR(VLOOKUP(B13,Country_Config!$A$2:$G$100,3,FALSE),""))</x:f>
        <x:v>Europe</x:v>
      </x:c>
      <x:c r="E13" s="30" t="str">
        <x:v>Election interference</x:v>
      </x:c>
      <x:c r="F13" s="30" t="str">
        <x:v>Pilot baseline estimate</x:v>
      </x:c>
      <x:c r="G13" s="30" t="n">
        <x:v>3</x:v>
      </x:c>
      <x:c r="H13" s="30" t="n">
        <x:f>IF(OR(E13="",F13=""),"",IFERROR(VLOOKUP(E13&amp;"|"&amp;F13,Rules_Weights!$A$2:$E$120,4,FALSE),100))</x:f>
        <x:v>100</x:v>
      </x:c>
      <x:c r="I13" s="30" t="str">
        <x:v>Unverified</x:v>
      </x:c>
      <x:c r="J13" s="30" t="str">
        <x:v>Pilot estimate — replace/verify</x:v>
      </x:c>
      <x:c r="K13" s="30" t="str"/>
      <x:c r="L13" s="30" t="n">
        <x:v>45658</x:v>
      </x:c>
      <x:c r="M13" s="30" t="n">
        <x:v>46151</x:v>
      </x:c>
      <x:c r="N13" s="30" t="n">
        <x:f>IF(I13="","",IFERROR(VLOOKUP(I13,Lookups!$A$2:$B$5,2,FALSE),0))</x:f>
        <x:v>0.25</x:v>
      </x:c>
      <x:c r="O13" s="30" t="n">
        <x:f>IF(OR(L13="",V13&lt;&gt;"Yes"),"",IF(U13="Yes",1,IFS(TODAY()-L13&lt;=365,1,TODAY()-L13&lt;=730,0.8,TODAY()-L13&lt;=1460,0.6,TRUE,0.4)))</x:f>
        <x:v>0.8</x:v>
      </x:c>
      <x:c r="P13" s="30" t="n">
        <x:f>IF(V13&lt;&gt;"Yes","",IFERROR(H13*N13*O13,0))</x:f>
        <x:v>20</x:v>
      </x:c>
      <x:c r="Q13" s="30" t="n">
        <x:f>IF(P13="","",G13*P13)</x:f>
        <x:v>60</x:v>
      </x:c>
      <x:c r="R13" s="30" t="str">
        <x:f>IF(K13="","",IFERROR(REGEXEXTRACT(K13,"https?://([^/]+)"),""))</x:f>
      </x:c>
      <x:c r="S13" s="30" t="str">
        <x:f>IF(R13&lt;&gt;"",LOWER(R13),IF(J13&lt;&gt;"",LOWER(J13),""))</x:f>
        <x:v>pilot estimate — replace/verify</x:v>
      </x:c>
      <x:c r="T13" s="30" t="str">
        <x:v>Pilot score row. Add source-backed evidence rows and/or set this row to Include_in_Scoring = No before publication.</x:v>
      </x:c>
      <x:c r="U13" s="30" t="str">
        <x:v>No</x:v>
      </x:c>
      <x:c r="V13" s="30" t="str">
        <x:v>Yes</x:v>
      </x:c>
      <x:c r="W13" s="30" t="str">
        <x:f>IF(B13="","",IF(V13&lt;&gt;"Yes","Excluded",IF(OR(G13="",H13="",I13=""),"Needs review","Included")))</x:f>
        <x:v>Included</x:v>
      </x:c>
    </x:row>
    <x:row r="14">
      <x:c r="A14" s="30" t="str">
        <x:f>IF(B14="","","EV-"&amp;TEXT(ROW()-1,"0000"))</x:f>
        <x:v>EV-0013</x:v>
      </x:c>
      <x:c r="B14" s="30" t="str">
        <x:v>Mali</x:v>
      </x:c>
      <x:c r="C14" s="30" t="str">
        <x:f>IF(B14="","",IFERROR(VLOOKUP(B14,Country_Config!$A$2:$G$100,2,FALSE),""))</x:f>
        <x:v>MLI</x:v>
      </x:c>
      <x:c r="D14" s="30" t="str">
        <x:f>IF(B14="","",IFERROR(VLOOKUP(B14,Country_Config!$A$2:$G$100,3,FALSE),""))</x:f>
        <x:v>Africa</x:v>
      </x:c>
      <x:c r="E14" s="30" t="str">
        <x:v>Russian influence</x:v>
      </x:c>
      <x:c r="F14" s="30" t="str">
        <x:v>Pilot baseline estimate</x:v>
      </x:c>
      <x:c r="G14" s="30" t="n">
        <x:v>5</x:v>
      </x:c>
      <x:c r="H14" s="30" t="n">
        <x:f>IF(OR(E14="",F14=""),"",IFERROR(VLOOKUP(E14&amp;"|"&amp;F14,Rules_Weights!$A$2:$E$120,4,FALSE),100))</x:f>
        <x:v>100</x:v>
      </x:c>
      <x:c r="I14" s="30" t="str">
        <x:v>Unverified</x:v>
      </x:c>
      <x:c r="J14" s="30" t="str">
        <x:v>Pilot estimate — replace/verify</x:v>
      </x:c>
      <x:c r="K14" s="30" t="str"/>
      <x:c r="L14" s="30" t="n">
        <x:v>45658</x:v>
      </x:c>
      <x:c r="M14" s="30" t="n">
        <x:v>46151</x:v>
      </x:c>
      <x:c r="N14" s="30" t="n">
        <x:f>IF(I14="","",IFERROR(VLOOKUP(I14,Lookups!$A$2:$B$5,2,FALSE),0))</x:f>
        <x:v>0.25</x:v>
      </x:c>
      <x:c r="O14" s="30" t="n">
        <x:f>IF(OR(L14="",V14&lt;&gt;"Yes"),"",IF(U14="Yes",1,IFS(TODAY()-L14&lt;=365,1,TODAY()-L14&lt;=730,0.8,TODAY()-L14&lt;=1460,0.6,TRUE,0.4)))</x:f>
        <x:v>0.8</x:v>
      </x:c>
      <x:c r="P14" s="30" t="n">
        <x:f>IF(V14&lt;&gt;"Yes","",IFERROR(H14*N14*O14,0))</x:f>
        <x:v>20</x:v>
      </x:c>
      <x:c r="Q14" s="30" t="n">
        <x:f>IF(P14="","",G14*P14)</x:f>
        <x:v>100</x:v>
      </x:c>
      <x:c r="R14" s="30" t="str">
        <x:f>IF(K14="","",IFERROR(REGEXEXTRACT(K14,"https?://([^/]+)"),""))</x:f>
      </x:c>
      <x:c r="S14" s="30" t="str">
        <x:f>IF(R14&lt;&gt;"",LOWER(R14),IF(J14&lt;&gt;"",LOWER(J14),""))</x:f>
        <x:v>pilot estimate — replace/verify</x:v>
      </x:c>
      <x:c r="T14" s="30" t="str">
        <x:v>Pilot score row. Add source-backed evidence rows and/or set this row to Include_in_Scoring = No before publication.</x:v>
      </x:c>
      <x:c r="U14" s="30" t="str">
        <x:v>No</x:v>
      </x:c>
      <x:c r="V14" s="30" t="str">
        <x:v>Yes</x:v>
      </x:c>
      <x:c r="W14" s="30" t="str">
        <x:f>IF(B14="","",IF(V14&lt;&gt;"Yes","Excluded",IF(OR(G14="",H14="",I14=""),"Needs review","Included")))</x:f>
        <x:v>Included</x:v>
      </x:c>
    </x:row>
    <x:row r="15">
      <x:c r="A15" s="30" t="str">
        <x:f>IF(B15="","","EV-"&amp;TEXT(ROW()-1,"0000"))</x:f>
        <x:v>EV-0014</x:v>
      </x:c>
      <x:c r="B15" s="30" t="str">
        <x:v>Mali</x:v>
      </x:c>
      <x:c r="C15" s="30" t="str">
        <x:f>IF(B15="","",IFERROR(VLOOKUP(B15,Country_Config!$A$2:$G$100,2,FALSE),""))</x:f>
        <x:v>MLI</x:v>
      </x:c>
      <x:c r="D15" s="30" t="str">
        <x:f>IF(B15="","",IFERROR(VLOOKUP(B15,Country_Config!$A$2:$G$100,3,FALSE),""))</x:f>
        <x:v>Africa</x:v>
      </x:c>
      <x:c r="E15" s="30" t="str">
        <x:v>PMC presence</x:v>
      </x:c>
      <x:c r="F15" s="30" t="str">
        <x:v>Pilot baseline estimate</x:v>
      </x:c>
      <x:c r="G15" s="30" t="n">
        <x:v>5</x:v>
      </x:c>
      <x:c r="H15" s="30" t="n">
        <x:f>IF(OR(E15="",F15=""),"",IFERROR(VLOOKUP(E15&amp;"|"&amp;F15,Rules_Weights!$A$2:$E$120,4,FALSE),100))</x:f>
        <x:v>100</x:v>
      </x:c>
      <x:c r="I15" s="30" t="str">
        <x:v>Unverified</x:v>
      </x:c>
      <x:c r="J15" s="30" t="str">
        <x:v>Pilot estimate — replace/verify</x:v>
      </x:c>
      <x:c r="K15" s="30" t="str"/>
      <x:c r="L15" s="30" t="n">
        <x:v>45658</x:v>
      </x:c>
      <x:c r="M15" s="30" t="n">
        <x:v>46151</x:v>
      </x:c>
      <x:c r="N15" s="30" t="n">
        <x:f>IF(I15="","",IFERROR(VLOOKUP(I15,Lookups!$A$2:$B$5,2,FALSE),0))</x:f>
        <x:v>0.25</x:v>
      </x:c>
      <x:c r="O15" s="30" t="n">
        <x:f>IF(OR(L15="",V15&lt;&gt;"Yes"),"",IF(U15="Yes",1,IFS(TODAY()-L15&lt;=365,1,TODAY()-L15&lt;=730,0.8,TODAY()-L15&lt;=1460,0.6,TRUE,0.4)))</x:f>
        <x:v>0.8</x:v>
      </x:c>
      <x:c r="P15" s="30" t="n">
        <x:f>IF(V15&lt;&gt;"Yes","",IFERROR(H15*N15*O15,0))</x:f>
        <x:v>20</x:v>
      </x:c>
      <x:c r="Q15" s="30" t="n">
        <x:f>IF(P15="","",G15*P15)</x:f>
        <x:v>100</x:v>
      </x:c>
      <x:c r="R15" s="30" t="str">
        <x:f>IF(K15="","",IFERROR(REGEXEXTRACT(K15,"https?://([^/]+)"),""))</x:f>
      </x:c>
      <x:c r="S15" s="30" t="str">
        <x:f>IF(R15&lt;&gt;"",LOWER(R15),IF(J15&lt;&gt;"",LOWER(J15),""))</x:f>
        <x:v>pilot estimate — replace/verify</x:v>
      </x:c>
      <x:c r="T15" s="30" t="str">
        <x:v>Pilot score row. Add source-backed evidence rows and/or set this row to Include_in_Scoring = No before publication.</x:v>
      </x:c>
      <x:c r="U15" s="30" t="str">
        <x:v>No</x:v>
      </x:c>
      <x:c r="V15" s="30" t="str">
        <x:v>Yes</x:v>
      </x:c>
      <x:c r="W15" s="30" t="str">
        <x:f>IF(B15="","",IF(V15&lt;&gt;"Yes","Excluded",IF(OR(G15="",H15="",I15=""),"Needs review","Included")))</x:f>
        <x:v>Included</x:v>
      </x:c>
    </x:row>
    <x:row r="16">
      <x:c r="A16" s="30" t="str">
        <x:f>IF(B16="","","EV-"&amp;TEXT(ROW()-1,"0000"))</x:f>
        <x:v>EV-0015</x:v>
      </x:c>
      <x:c r="B16" s="30" t="str">
        <x:v>Mali</x:v>
      </x:c>
      <x:c r="C16" s="30" t="str">
        <x:f>IF(B16="","",IFERROR(VLOOKUP(B16,Country_Config!$A$2:$G$100,2,FALSE),""))</x:f>
        <x:v>MLI</x:v>
      </x:c>
      <x:c r="D16" s="30" t="str">
        <x:f>IF(B16="","",IFERROR(VLOOKUP(B16,Country_Config!$A$2:$G$100,3,FALSE),""))</x:f>
        <x:v>Africa</x:v>
      </x:c>
      <x:c r="E16" s="30" t="str">
        <x:v>Propaganda ecosystems</x:v>
      </x:c>
      <x:c r="F16" s="30" t="str">
        <x:v>Pilot baseline estimate</x:v>
      </x:c>
      <x:c r="G16" s="30" t="n">
        <x:v>4</x:v>
      </x:c>
      <x:c r="H16" s="30" t="n">
        <x:f>IF(OR(E16="",F16=""),"",IFERROR(VLOOKUP(E16&amp;"|"&amp;F16,Rules_Weights!$A$2:$E$120,4,FALSE),100))</x:f>
        <x:v>100</x:v>
      </x:c>
      <x:c r="I16" s="30" t="str">
        <x:v>Unverified</x:v>
      </x:c>
      <x:c r="J16" s="30" t="str">
        <x:v>Pilot estimate — replace/verify</x:v>
      </x:c>
      <x:c r="K16" s="30" t="str"/>
      <x:c r="L16" s="30" t="n">
        <x:v>45658</x:v>
      </x:c>
      <x:c r="M16" s="30" t="n">
        <x:v>46151</x:v>
      </x:c>
      <x:c r="N16" s="30" t="n">
        <x:f>IF(I16="","",IFERROR(VLOOKUP(I16,Lookups!$A$2:$B$5,2,FALSE),0))</x:f>
        <x:v>0.25</x:v>
      </x:c>
      <x:c r="O16" s="30" t="n">
        <x:f>IF(OR(L16="",V16&lt;&gt;"Yes"),"",IF(U16="Yes",1,IFS(TODAY()-L16&lt;=365,1,TODAY()-L16&lt;=730,0.8,TODAY()-L16&lt;=1460,0.6,TRUE,0.4)))</x:f>
        <x:v>0.8</x:v>
      </x:c>
      <x:c r="P16" s="30" t="n">
        <x:f>IF(V16&lt;&gt;"Yes","",IFERROR(H16*N16*O16,0))</x:f>
        <x:v>20</x:v>
      </x:c>
      <x:c r="Q16" s="30" t="n">
        <x:f>IF(P16="","",G16*P16)</x:f>
        <x:v>80</x:v>
      </x:c>
      <x:c r="R16" s="30" t="str">
        <x:f>IF(K16="","",IFERROR(REGEXEXTRACT(K16,"https?://([^/]+)"),""))</x:f>
      </x:c>
      <x:c r="S16" s="30" t="str">
        <x:f>IF(R16&lt;&gt;"",LOWER(R16),IF(J16&lt;&gt;"",LOWER(J16),""))</x:f>
        <x:v>pilot estimate — replace/verify</x:v>
      </x:c>
      <x:c r="T16" s="30" t="str">
        <x:v>Pilot score row. Add source-backed evidence rows and/or set this row to Include_in_Scoring = No before publication.</x:v>
      </x:c>
      <x:c r="U16" s="30" t="str">
        <x:v>No</x:v>
      </x:c>
      <x:c r="V16" s="30" t="str">
        <x:v>Yes</x:v>
      </x:c>
      <x:c r="W16" s="30" t="str">
        <x:f>IF(B16="","",IF(V16&lt;&gt;"Yes","Excluded",IF(OR(G16="",H16="",I16=""),"Needs review","Included")))</x:f>
        <x:v>Included</x:v>
      </x:c>
    </x:row>
    <x:row r="17">
      <x:c r="A17" s="30" t="str">
        <x:f>IF(B17="","","EV-"&amp;TEXT(ROW()-1,"0000"))</x:f>
        <x:v>EV-0016</x:v>
      </x:c>
      <x:c r="B17" s="30" t="str">
        <x:v>Mali</x:v>
      </x:c>
      <x:c r="C17" s="30" t="str">
        <x:f>IF(B17="","",IFERROR(VLOOKUP(B17,Country_Config!$A$2:$G$100,2,FALSE),""))</x:f>
        <x:v>MLI</x:v>
      </x:c>
      <x:c r="D17" s="30" t="str">
        <x:f>IF(B17="","",IFERROR(VLOOKUP(B17,Country_Config!$A$2:$G$100,3,FALSE),""))</x:f>
        <x:v>Africa</x:v>
      </x:c>
      <x:c r="E17" s="30" t="str">
        <x:v>Election interference</x:v>
      </x:c>
      <x:c r="F17" s="30" t="str">
        <x:v>Pilot baseline estimate</x:v>
      </x:c>
      <x:c r="G17" s="30" t="n">
        <x:v>2</x:v>
      </x:c>
      <x:c r="H17" s="30" t="n">
        <x:f>IF(OR(E17="",F17=""),"",IFERROR(VLOOKUP(E17&amp;"|"&amp;F17,Rules_Weights!$A$2:$E$120,4,FALSE),100))</x:f>
        <x:v>100</x:v>
      </x:c>
      <x:c r="I17" s="30" t="str">
        <x:v>Unverified</x:v>
      </x:c>
      <x:c r="J17" s="30" t="str">
        <x:v>Pilot estimate — replace/verify</x:v>
      </x:c>
      <x:c r="K17" s="30" t="str"/>
      <x:c r="L17" s="30" t="n">
        <x:v>45658</x:v>
      </x:c>
      <x:c r="M17" s="30" t="n">
        <x:v>46151</x:v>
      </x:c>
      <x:c r="N17" s="30" t="n">
        <x:f>IF(I17="","",IFERROR(VLOOKUP(I17,Lookups!$A$2:$B$5,2,FALSE),0))</x:f>
        <x:v>0.25</x:v>
      </x:c>
      <x:c r="O17" s="30" t="n">
        <x:f>IF(OR(L17="",V17&lt;&gt;"Yes"),"",IF(U17="Yes",1,IFS(TODAY()-L17&lt;=365,1,TODAY()-L17&lt;=730,0.8,TODAY()-L17&lt;=1460,0.6,TRUE,0.4)))</x:f>
        <x:v>0.8</x:v>
      </x:c>
      <x:c r="P17" s="30" t="n">
        <x:f>IF(V17&lt;&gt;"Yes","",IFERROR(H17*N17*O17,0))</x:f>
        <x:v>20</x:v>
      </x:c>
      <x:c r="Q17" s="30" t="n">
        <x:f>IF(P17="","",G17*P17)</x:f>
        <x:v>40</x:v>
      </x:c>
      <x:c r="R17" s="30" t="str">
        <x:f>IF(K17="","",IFERROR(REGEXEXTRACT(K17,"https?://([^/]+)"),""))</x:f>
      </x:c>
      <x:c r="S17" s="30" t="str">
        <x:f>IF(R17&lt;&gt;"",LOWER(R17),IF(J17&lt;&gt;"",LOWER(J17),""))</x:f>
        <x:v>pilot estimate — replace/verify</x:v>
      </x:c>
      <x:c r="T17" s="30" t="str">
        <x:v>Pilot score row. Add source-backed evidence rows and/or set this row to Include_in_Scoring = No before publication.</x:v>
      </x:c>
      <x:c r="U17" s="30" t="str">
        <x:v>No</x:v>
      </x:c>
      <x:c r="V17" s="30" t="str">
        <x:v>Yes</x:v>
      </x:c>
      <x:c r="W17" s="30" t="str">
        <x:f>IF(B17="","",IF(V17&lt;&gt;"Yes","Excluded",IF(OR(G17="",H17="",I17=""),"Needs review","Included")))</x:f>
        <x:v>Included</x:v>
      </x:c>
    </x:row>
    <x:row r="18">
      <x:c r="A18" s="30" t="str">
        <x:f>IF(B18="","","EV-"&amp;TEXT(ROW()-1,"0000"))</x:f>
        <x:v>EV-0017</x:v>
      </x:c>
      <x:c r="B18" s="30" t="str">
        <x:v>Central African Republic</x:v>
      </x:c>
      <x:c r="C18" s="30" t="str">
        <x:f>IF(B18="","",IFERROR(VLOOKUP(B18,Country_Config!$A$2:$G$100,2,FALSE),""))</x:f>
        <x:v>CAF</x:v>
      </x:c>
      <x:c r="D18" s="30" t="str">
        <x:f>IF(B18="","",IFERROR(VLOOKUP(B18,Country_Config!$A$2:$G$100,3,FALSE),""))</x:f>
        <x:v>Africa</x:v>
      </x:c>
      <x:c r="E18" s="30" t="str">
        <x:v>Russian influence</x:v>
      </x:c>
      <x:c r="F18" s="30" t="str">
        <x:v>Pilot baseline estimate</x:v>
      </x:c>
      <x:c r="G18" s="30" t="n">
        <x:v>5</x:v>
      </x:c>
      <x:c r="H18" s="30" t="n">
        <x:f>IF(OR(E18="",F18=""),"",IFERROR(VLOOKUP(E18&amp;"|"&amp;F18,Rules_Weights!$A$2:$E$120,4,FALSE),100))</x:f>
        <x:v>100</x:v>
      </x:c>
      <x:c r="I18" s="30" t="str">
        <x:v>Unverified</x:v>
      </x:c>
      <x:c r="J18" s="30" t="str">
        <x:v>Pilot estimate — replace/verify</x:v>
      </x:c>
      <x:c r="K18" s="30" t="str"/>
      <x:c r="L18" s="30" t="n">
        <x:v>45658</x:v>
      </x:c>
      <x:c r="M18" s="30" t="n">
        <x:v>46151</x:v>
      </x:c>
      <x:c r="N18" s="30" t="n">
        <x:f>IF(I18="","",IFERROR(VLOOKUP(I18,Lookups!$A$2:$B$5,2,FALSE),0))</x:f>
        <x:v>0.25</x:v>
      </x:c>
      <x:c r="O18" s="30" t="n">
        <x:f>IF(OR(L18="",V18&lt;&gt;"Yes"),"",IF(U18="Yes",1,IFS(TODAY()-L18&lt;=365,1,TODAY()-L18&lt;=730,0.8,TODAY()-L18&lt;=1460,0.6,TRUE,0.4)))</x:f>
        <x:v>0.8</x:v>
      </x:c>
      <x:c r="P18" s="30" t="n">
        <x:f>IF(V18&lt;&gt;"Yes","",IFERROR(H18*N18*O18,0))</x:f>
        <x:v>20</x:v>
      </x:c>
      <x:c r="Q18" s="30" t="n">
        <x:f>IF(P18="","",G18*P18)</x:f>
        <x:v>100</x:v>
      </x:c>
      <x:c r="R18" s="30" t="str">
        <x:f>IF(K18="","",IFERROR(REGEXEXTRACT(K18,"https?://([^/]+)"),""))</x:f>
      </x:c>
      <x:c r="S18" s="30" t="str">
        <x:f>IF(R18&lt;&gt;"",LOWER(R18),IF(J18&lt;&gt;"",LOWER(J18),""))</x:f>
        <x:v>pilot estimate — replace/verify</x:v>
      </x:c>
      <x:c r="T18" s="30" t="str">
        <x:v>Pilot score row. Add source-backed evidence rows and/or set this row to Include_in_Scoring = No before publication.</x:v>
      </x:c>
      <x:c r="U18" s="30" t="str">
        <x:v>No</x:v>
      </x:c>
      <x:c r="V18" s="30" t="str">
        <x:v>Yes</x:v>
      </x:c>
      <x:c r="W18" s="30" t="str">
        <x:f>IF(B18="","",IF(V18&lt;&gt;"Yes","Excluded",IF(OR(G18="",H18="",I18=""),"Needs review","Included")))</x:f>
        <x:v>Included</x:v>
      </x:c>
    </x:row>
    <x:row r="19">
      <x:c r="A19" s="30" t="str">
        <x:f>IF(B19="","","EV-"&amp;TEXT(ROW()-1,"0000"))</x:f>
        <x:v>EV-0018</x:v>
      </x:c>
      <x:c r="B19" s="30" t="str">
        <x:v>Central African Republic</x:v>
      </x:c>
      <x:c r="C19" s="30" t="str">
        <x:f>IF(B19="","",IFERROR(VLOOKUP(B19,Country_Config!$A$2:$G$100,2,FALSE),""))</x:f>
        <x:v>CAF</x:v>
      </x:c>
      <x:c r="D19" s="30" t="str">
        <x:f>IF(B19="","",IFERROR(VLOOKUP(B19,Country_Config!$A$2:$G$100,3,FALSE),""))</x:f>
        <x:v>Africa</x:v>
      </x:c>
      <x:c r="E19" s="30" t="str">
        <x:v>PMC presence</x:v>
      </x:c>
      <x:c r="F19" s="30" t="str">
        <x:v>Pilot baseline estimate</x:v>
      </x:c>
      <x:c r="G19" s="30" t="n">
        <x:v>5</x:v>
      </x:c>
      <x:c r="H19" s="30" t="n">
        <x:f>IF(OR(E19="",F19=""),"",IFERROR(VLOOKUP(E19&amp;"|"&amp;F19,Rules_Weights!$A$2:$E$120,4,FALSE),100))</x:f>
        <x:v>100</x:v>
      </x:c>
      <x:c r="I19" s="30" t="str">
        <x:v>Unverified</x:v>
      </x:c>
      <x:c r="J19" s="30" t="str">
        <x:v>Pilot estimate — replace/verify</x:v>
      </x:c>
      <x:c r="K19" s="30" t="str"/>
      <x:c r="L19" s="30" t="n">
        <x:v>45658</x:v>
      </x:c>
      <x:c r="M19" s="30" t="n">
        <x:v>46151</x:v>
      </x:c>
      <x:c r="N19" s="30" t="n">
        <x:f>IF(I19="","",IFERROR(VLOOKUP(I19,Lookups!$A$2:$B$5,2,FALSE),0))</x:f>
        <x:v>0.25</x:v>
      </x:c>
      <x:c r="O19" s="30" t="n">
        <x:f>IF(OR(L19="",V19&lt;&gt;"Yes"),"",IF(U19="Yes",1,IFS(TODAY()-L19&lt;=365,1,TODAY()-L19&lt;=730,0.8,TODAY()-L19&lt;=1460,0.6,TRUE,0.4)))</x:f>
        <x:v>0.8</x:v>
      </x:c>
      <x:c r="P19" s="30" t="n">
        <x:f>IF(V19&lt;&gt;"Yes","",IFERROR(H19*N19*O19,0))</x:f>
        <x:v>20</x:v>
      </x:c>
      <x:c r="Q19" s="30" t="n">
        <x:f>IF(P19="","",G19*P19)</x:f>
        <x:v>100</x:v>
      </x:c>
      <x:c r="R19" s="30" t="str">
        <x:f>IF(K19="","",IFERROR(REGEXEXTRACT(K19,"https?://([^/]+)"),""))</x:f>
      </x:c>
      <x:c r="S19" s="30" t="str">
        <x:f>IF(R19&lt;&gt;"",LOWER(R19),IF(J19&lt;&gt;"",LOWER(J19),""))</x:f>
        <x:v>pilot estimate — replace/verify</x:v>
      </x:c>
      <x:c r="T19" s="30" t="str">
        <x:v>Pilot score row. Add source-backed evidence rows and/or set this row to Include_in_Scoring = No before publication.</x:v>
      </x:c>
      <x:c r="U19" s="30" t="str">
        <x:v>No</x:v>
      </x:c>
      <x:c r="V19" s="30" t="str">
        <x:v>Yes</x:v>
      </x:c>
      <x:c r="W19" s="30" t="str">
        <x:f>IF(B19="","",IF(V19&lt;&gt;"Yes","Excluded",IF(OR(G19="",H19="",I19=""),"Needs review","Included")))</x:f>
        <x:v>Included</x:v>
      </x:c>
    </x:row>
    <x:row r="20">
      <x:c r="A20" s="30" t="str">
        <x:f>IF(B20="","","EV-"&amp;TEXT(ROW()-1,"0000"))</x:f>
        <x:v>EV-0019</x:v>
      </x:c>
      <x:c r="B20" s="30" t="str">
        <x:v>Central African Republic</x:v>
      </x:c>
      <x:c r="C20" s="30" t="str">
        <x:f>IF(B20="","",IFERROR(VLOOKUP(B20,Country_Config!$A$2:$G$100,2,FALSE),""))</x:f>
        <x:v>CAF</x:v>
      </x:c>
      <x:c r="D20" s="30" t="str">
        <x:f>IF(B20="","",IFERROR(VLOOKUP(B20,Country_Config!$A$2:$G$100,3,FALSE),""))</x:f>
        <x:v>Africa</x:v>
      </x:c>
      <x:c r="E20" s="30" t="str">
        <x:v>Propaganda ecosystems</x:v>
      </x:c>
      <x:c r="F20" s="30" t="str">
        <x:v>Pilot baseline estimate</x:v>
      </x:c>
      <x:c r="G20" s="30" t="n">
        <x:v>4</x:v>
      </x:c>
      <x:c r="H20" s="30" t="n">
        <x:f>IF(OR(E20="",F20=""),"",IFERROR(VLOOKUP(E20&amp;"|"&amp;F20,Rules_Weights!$A$2:$E$120,4,FALSE),100))</x:f>
        <x:v>100</x:v>
      </x:c>
      <x:c r="I20" s="30" t="str">
        <x:v>Unverified</x:v>
      </x:c>
      <x:c r="J20" s="30" t="str">
        <x:v>Pilot estimate — replace/verify</x:v>
      </x:c>
      <x:c r="K20" s="30" t="str"/>
      <x:c r="L20" s="30" t="n">
        <x:v>45658</x:v>
      </x:c>
      <x:c r="M20" s="30" t="n">
        <x:v>46151</x:v>
      </x:c>
      <x:c r="N20" s="30" t="n">
        <x:f>IF(I20="","",IFERROR(VLOOKUP(I20,Lookups!$A$2:$B$5,2,FALSE),0))</x:f>
        <x:v>0.25</x:v>
      </x:c>
      <x:c r="O20" s="30" t="n">
        <x:f>IF(OR(L20="",V20&lt;&gt;"Yes"),"",IF(U20="Yes",1,IFS(TODAY()-L20&lt;=365,1,TODAY()-L20&lt;=730,0.8,TODAY()-L20&lt;=1460,0.6,TRUE,0.4)))</x:f>
        <x:v>0.8</x:v>
      </x:c>
      <x:c r="P20" s="30" t="n">
        <x:f>IF(V20&lt;&gt;"Yes","",IFERROR(H20*N20*O20,0))</x:f>
        <x:v>20</x:v>
      </x:c>
      <x:c r="Q20" s="30" t="n">
        <x:f>IF(P20="","",G20*P20)</x:f>
        <x:v>80</x:v>
      </x:c>
      <x:c r="R20" s="30" t="str">
        <x:f>IF(K20="","",IFERROR(REGEXEXTRACT(K20,"https?://([^/]+)"),""))</x:f>
      </x:c>
      <x:c r="S20" s="30" t="str">
        <x:f>IF(R20&lt;&gt;"",LOWER(R20),IF(J20&lt;&gt;"",LOWER(J20),""))</x:f>
        <x:v>pilot estimate — replace/verify</x:v>
      </x:c>
      <x:c r="T20" s="30" t="str">
        <x:v>Pilot score row. Add source-backed evidence rows and/or set this row to Include_in_Scoring = No before publication.</x:v>
      </x:c>
      <x:c r="U20" s="30" t="str">
        <x:v>No</x:v>
      </x:c>
      <x:c r="V20" s="30" t="str">
        <x:v>Yes</x:v>
      </x:c>
      <x:c r="W20" s="30" t="str">
        <x:f>IF(B20="","",IF(V20&lt;&gt;"Yes","Excluded",IF(OR(G20="",H20="",I20=""),"Needs review","Included")))</x:f>
        <x:v>Included</x:v>
      </x:c>
    </x:row>
    <x:row r="21">
      <x:c r="A21" s="30" t="str">
        <x:f>IF(B21="","","EV-"&amp;TEXT(ROW()-1,"0000"))</x:f>
        <x:v>EV-0020</x:v>
      </x:c>
      <x:c r="B21" s="30" t="str">
        <x:v>Central African Republic</x:v>
      </x:c>
      <x:c r="C21" s="30" t="str">
        <x:f>IF(B21="","",IFERROR(VLOOKUP(B21,Country_Config!$A$2:$G$100,2,FALSE),""))</x:f>
        <x:v>CAF</x:v>
      </x:c>
      <x:c r="D21" s="30" t="str">
        <x:f>IF(B21="","",IFERROR(VLOOKUP(B21,Country_Config!$A$2:$G$100,3,FALSE),""))</x:f>
        <x:v>Africa</x:v>
      </x:c>
      <x:c r="E21" s="30" t="str">
        <x:v>Election interference</x:v>
      </x:c>
      <x:c r="F21" s="30" t="str">
        <x:v>Pilot baseline estimate</x:v>
      </x:c>
      <x:c r="G21" s="30" t="n">
        <x:v>1</x:v>
      </x:c>
      <x:c r="H21" s="30" t="n">
        <x:f>IF(OR(E21="",F21=""),"",IFERROR(VLOOKUP(E21&amp;"|"&amp;F21,Rules_Weights!$A$2:$E$120,4,FALSE),100))</x:f>
        <x:v>100</x:v>
      </x:c>
      <x:c r="I21" s="30" t="str">
        <x:v>Unverified</x:v>
      </x:c>
      <x:c r="J21" s="30" t="str">
        <x:v>Pilot estimate — replace/verify</x:v>
      </x:c>
      <x:c r="K21" s="30" t="str"/>
      <x:c r="L21" s="30" t="n">
        <x:v>45658</x:v>
      </x:c>
      <x:c r="M21" s="30" t="n">
        <x:v>46151</x:v>
      </x:c>
      <x:c r="N21" s="30" t="n">
        <x:f>IF(I21="","",IFERROR(VLOOKUP(I21,Lookups!$A$2:$B$5,2,FALSE),0))</x:f>
        <x:v>0.25</x:v>
      </x:c>
      <x:c r="O21" s="30" t="n">
        <x:f>IF(OR(L21="",V21&lt;&gt;"Yes"),"",IF(U21="Yes",1,IFS(TODAY()-L21&lt;=365,1,TODAY()-L21&lt;=730,0.8,TODAY()-L21&lt;=1460,0.6,TRUE,0.4)))</x:f>
        <x:v>0.8</x:v>
      </x:c>
      <x:c r="P21" s="30" t="n">
        <x:f>IF(V21&lt;&gt;"Yes","",IFERROR(H21*N21*O21,0))</x:f>
        <x:v>20</x:v>
      </x:c>
      <x:c r="Q21" s="30" t="n">
        <x:f>IF(P21="","",G21*P21)</x:f>
        <x:v>20</x:v>
      </x:c>
      <x:c r="R21" s="30" t="str">
        <x:f>IF(K21="","",IFERROR(REGEXEXTRACT(K21,"https?://([^/]+)"),""))</x:f>
      </x:c>
      <x:c r="S21" s="30" t="str">
        <x:f>IF(R21&lt;&gt;"",LOWER(R21),IF(J21&lt;&gt;"",LOWER(J21),""))</x:f>
        <x:v>pilot estimate — replace/verify</x:v>
      </x:c>
      <x:c r="T21" s="30" t="str">
        <x:v>Pilot score row. Add source-backed evidence rows and/or set this row to Include_in_Scoring = No before publication.</x:v>
      </x:c>
      <x:c r="U21" s="30" t="str">
        <x:v>No</x:v>
      </x:c>
      <x:c r="V21" s="30" t="str">
        <x:v>Yes</x:v>
      </x:c>
      <x:c r="W21" s="30" t="str">
        <x:f>IF(B21="","",IF(V21&lt;&gt;"Yes","Excluded",IF(OR(G21="",H21="",I21=""),"Needs review","Included")))</x:f>
        <x:v>Included</x:v>
      </x:c>
    </x:row>
    <x:row r="22">
      <x:c r="A22" s="30" t="str">
        <x:f>IF(B22="","","EV-"&amp;TEXT(ROW()-1,"0000"))</x:f>
        <x:v>EV-0021</x:v>
      </x:c>
      <x:c r="B22" s="30" t="str">
        <x:v>United States</x:v>
      </x:c>
      <x:c r="C22" s="30" t="str">
        <x:f>IF(B22="","",IFERROR(VLOOKUP(B22,Country_Config!$A$2:$G$100,2,FALSE),""))</x:f>
        <x:v>USA</x:v>
      </x:c>
      <x:c r="D22" s="30" t="str">
        <x:f>IF(B22="","",IFERROR(VLOOKUP(B22,Country_Config!$A$2:$G$100,3,FALSE),""))</x:f>
        <x:v>North America</x:v>
      </x:c>
      <x:c r="E22" s="30" t="str">
        <x:v>Russian influence</x:v>
      </x:c>
      <x:c r="F22" s="30" t="str">
        <x:v>Pilot baseline estimate</x:v>
      </x:c>
      <x:c r="G22" s="30" t="n">
        <x:v>2</x:v>
      </x:c>
      <x:c r="H22" s="30" t="n">
        <x:f>IF(OR(E22="",F22=""),"",IFERROR(VLOOKUP(E22&amp;"|"&amp;F22,Rules_Weights!$A$2:$E$120,4,FALSE),100))</x:f>
        <x:v>100</x:v>
      </x:c>
      <x:c r="I22" s="30" t="str">
        <x:v>Unverified</x:v>
      </x:c>
      <x:c r="J22" s="30" t="str">
        <x:v>Pilot estimate — replace/verify</x:v>
      </x:c>
      <x:c r="K22" s="30" t="str"/>
      <x:c r="L22" s="30" t="n">
        <x:v>45658</x:v>
      </x:c>
      <x:c r="M22" s="30" t="n">
        <x:v>46151</x:v>
      </x:c>
      <x:c r="N22" s="30" t="n">
        <x:f>IF(I22="","",IFERROR(VLOOKUP(I22,Lookups!$A$2:$B$5,2,FALSE),0))</x:f>
        <x:v>0.25</x:v>
      </x:c>
      <x:c r="O22" s="30" t="n">
        <x:f>IF(OR(L22="",V22&lt;&gt;"Yes"),"",IF(U22="Yes",1,IFS(TODAY()-L22&lt;=365,1,TODAY()-L22&lt;=730,0.8,TODAY()-L22&lt;=1460,0.6,TRUE,0.4)))</x:f>
        <x:v>0.8</x:v>
      </x:c>
      <x:c r="P22" s="30" t="n">
        <x:f>IF(V22&lt;&gt;"Yes","",IFERROR(H22*N22*O22,0))</x:f>
        <x:v>20</x:v>
      </x:c>
      <x:c r="Q22" s="30" t="n">
        <x:f>IF(P22="","",G22*P22)</x:f>
        <x:v>40</x:v>
      </x:c>
      <x:c r="R22" s="30" t="str">
        <x:f>IF(K22="","",IFERROR(REGEXEXTRACT(K22,"https?://([^/]+)"),""))</x:f>
      </x:c>
      <x:c r="S22" s="30" t="str">
        <x:f>IF(R22&lt;&gt;"",LOWER(R22),IF(J22&lt;&gt;"",LOWER(J22),""))</x:f>
        <x:v>pilot estimate — replace/verify</x:v>
      </x:c>
      <x:c r="T22" s="30" t="str">
        <x:v>Pilot score row. Add source-backed evidence rows and/or set this row to Include_in_Scoring = No before publication.</x:v>
      </x:c>
      <x:c r="U22" s="30" t="str">
        <x:v>No</x:v>
      </x:c>
      <x:c r="V22" s="30" t="str">
        <x:v>Yes</x:v>
      </x:c>
      <x:c r="W22" s="30" t="str">
        <x:f>IF(B22="","",IF(V22&lt;&gt;"Yes","Excluded",IF(OR(G22="",H22="",I22=""),"Needs review","Included")))</x:f>
        <x:v>Included</x:v>
      </x:c>
    </x:row>
    <x:row r="23">
      <x:c r="A23" s="30" t="str">
        <x:f>IF(B23="","","EV-"&amp;TEXT(ROW()-1,"0000"))</x:f>
        <x:v>EV-0022</x:v>
      </x:c>
      <x:c r="B23" s="30" t="str">
        <x:v>United States</x:v>
      </x:c>
      <x:c r="C23" s="30" t="str">
        <x:f>IF(B23="","",IFERROR(VLOOKUP(B23,Country_Config!$A$2:$G$100,2,FALSE),""))</x:f>
        <x:v>USA</x:v>
      </x:c>
      <x:c r="D23" s="30" t="str">
        <x:f>IF(B23="","",IFERROR(VLOOKUP(B23,Country_Config!$A$2:$G$100,3,FALSE),""))</x:f>
        <x:v>North America</x:v>
      </x:c>
      <x:c r="E23" s="30" t="str">
        <x:v>PMC presence</x:v>
      </x:c>
      <x:c r="F23" s="30" t="str">
        <x:v>Pilot baseline estimate</x:v>
      </x:c>
      <x:c r="G23" s="30" t="n">
        <x:v>0</x:v>
      </x:c>
      <x:c r="H23" s="30" t="n">
        <x:f>IF(OR(E23="",F23=""),"",IFERROR(VLOOKUP(E23&amp;"|"&amp;F23,Rules_Weights!$A$2:$E$120,4,FALSE),100))</x:f>
        <x:v>100</x:v>
      </x:c>
      <x:c r="I23" s="30" t="str">
        <x:v>Unverified</x:v>
      </x:c>
      <x:c r="J23" s="30" t="str">
        <x:v>Pilot estimate — replace/verify</x:v>
      </x:c>
      <x:c r="K23" s="30" t="str"/>
      <x:c r="L23" s="30" t="n">
        <x:v>45658</x:v>
      </x:c>
      <x:c r="M23" s="30" t="n">
        <x:v>46151</x:v>
      </x:c>
      <x:c r="N23" s="30" t="n">
        <x:f>IF(I23="","",IFERROR(VLOOKUP(I23,Lookups!$A$2:$B$5,2,FALSE),0))</x:f>
        <x:v>0.25</x:v>
      </x:c>
      <x:c r="O23" s="30" t="n">
        <x:f>IF(OR(L23="",V23&lt;&gt;"Yes"),"",IF(U23="Yes",1,IFS(TODAY()-L23&lt;=365,1,TODAY()-L23&lt;=730,0.8,TODAY()-L23&lt;=1460,0.6,TRUE,0.4)))</x:f>
        <x:v>0.8</x:v>
      </x:c>
      <x:c r="P23" s="30" t="n">
        <x:f>IF(V23&lt;&gt;"Yes","",IFERROR(H23*N23*O23,0))</x:f>
        <x:v>20</x:v>
      </x:c>
      <x:c r="Q23" s="30" t="n">
        <x:f>IF(P23="","",G23*P23)</x:f>
        <x:v>0</x:v>
      </x:c>
      <x:c r="R23" s="30" t="str">
        <x:f>IF(K23="","",IFERROR(REGEXEXTRACT(K23,"https?://([^/]+)"),""))</x:f>
      </x:c>
      <x:c r="S23" s="30" t="str">
        <x:f>IF(R23&lt;&gt;"",LOWER(R23),IF(J23&lt;&gt;"",LOWER(J23),""))</x:f>
        <x:v>pilot estimate — replace/verify</x:v>
      </x:c>
      <x:c r="T23" s="30" t="str">
        <x:v>Pilot score row. Add source-backed evidence rows and/or set this row to Include_in_Scoring = No before publication.</x:v>
      </x:c>
      <x:c r="U23" s="30" t="str">
        <x:v>No</x:v>
      </x:c>
      <x:c r="V23" s="30" t="str">
        <x:v>Yes</x:v>
      </x:c>
      <x:c r="W23" s="30" t="str">
        <x:f>IF(B23="","",IF(V23&lt;&gt;"Yes","Excluded",IF(OR(G23="",H23="",I23=""),"Needs review","Included")))</x:f>
        <x:v>Needs review</x:v>
      </x:c>
    </x:row>
    <x:row r="24">
      <x:c r="A24" s="30" t="str">
        <x:f>IF(B24="","","EV-"&amp;TEXT(ROW()-1,"0000"))</x:f>
        <x:v>EV-0023</x:v>
      </x:c>
      <x:c r="B24" s="30" t="str">
        <x:v>United States</x:v>
      </x:c>
      <x:c r="C24" s="30" t="str">
        <x:f>IF(B24="","",IFERROR(VLOOKUP(B24,Country_Config!$A$2:$G$100,2,FALSE),""))</x:f>
        <x:v>USA</x:v>
      </x:c>
      <x:c r="D24" s="30" t="str">
        <x:f>IF(B24="","",IFERROR(VLOOKUP(B24,Country_Config!$A$2:$G$100,3,FALSE),""))</x:f>
        <x:v>North America</x:v>
      </x:c>
      <x:c r="E24" s="30" t="str">
        <x:v>Propaganda ecosystems</x:v>
      </x:c>
      <x:c r="F24" s="30" t="str">
        <x:v>Pilot baseline estimate</x:v>
      </x:c>
      <x:c r="G24" s="30" t="n">
        <x:v>4</x:v>
      </x:c>
      <x:c r="H24" s="30" t="n">
        <x:f>IF(OR(E24="",F24=""),"",IFERROR(VLOOKUP(E24&amp;"|"&amp;F24,Rules_Weights!$A$2:$E$120,4,FALSE),100))</x:f>
        <x:v>100</x:v>
      </x:c>
      <x:c r="I24" s="30" t="str">
        <x:v>Unverified</x:v>
      </x:c>
      <x:c r="J24" s="30" t="str">
        <x:v>Pilot estimate — replace/verify</x:v>
      </x:c>
      <x:c r="K24" s="30" t="str"/>
      <x:c r="L24" s="30" t="n">
        <x:v>45658</x:v>
      </x:c>
      <x:c r="M24" s="30" t="n">
        <x:v>46151</x:v>
      </x:c>
      <x:c r="N24" s="30" t="n">
        <x:f>IF(I24="","",IFERROR(VLOOKUP(I24,Lookups!$A$2:$B$5,2,FALSE),0))</x:f>
        <x:v>0.25</x:v>
      </x:c>
      <x:c r="O24" s="30" t="n">
        <x:f>IF(OR(L24="",V24&lt;&gt;"Yes"),"",IF(U24="Yes",1,IFS(TODAY()-L24&lt;=365,1,TODAY()-L24&lt;=730,0.8,TODAY()-L24&lt;=1460,0.6,TRUE,0.4)))</x:f>
        <x:v>0.8</x:v>
      </x:c>
      <x:c r="P24" s="30" t="n">
        <x:f>IF(V24&lt;&gt;"Yes","",IFERROR(H24*N24*O24,0))</x:f>
        <x:v>20</x:v>
      </x:c>
      <x:c r="Q24" s="30" t="n">
        <x:f>IF(P24="","",G24*P24)</x:f>
        <x:v>80</x:v>
      </x:c>
      <x:c r="R24" s="30" t="str">
        <x:f>IF(K24="","",IFERROR(REGEXEXTRACT(K24,"https?://([^/]+)"),""))</x:f>
      </x:c>
      <x:c r="S24" s="30" t="str">
        <x:f>IF(R24&lt;&gt;"",LOWER(R24),IF(J24&lt;&gt;"",LOWER(J24),""))</x:f>
        <x:v>pilot estimate — replace/verify</x:v>
      </x:c>
      <x:c r="T24" s="30" t="str">
        <x:v>Pilot score row. Add source-backed evidence rows and/or set this row to Include_in_Scoring = No before publication.</x:v>
      </x:c>
      <x:c r="U24" s="30" t="str">
        <x:v>No</x:v>
      </x:c>
      <x:c r="V24" s="30" t="str">
        <x:v>Yes</x:v>
      </x:c>
      <x:c r="W24" s="30" t="str">
        <x:f>IF(B24="","",IF(V24&lt;&gt;"Yes","Excluded",IF(OR(G24="",H24="",I24=""),"Needs review","Included")))</x:f>
        <x:v>Included</x:v>
      </x:c>
    </x:row>
    <x:row r="25">
      <x:c r="A25" s="30" t="str">
        <x:f>IF(B25="","","EV-"&amp;TEXT(ROW()-1,"0000"))</x:f>
        <x:v>EV-0024</x:v>
      </x:c>
      <x:c r="B25" s="30" t="str">
        <x:v>United States</x:v>
      </x:c>
      <x:c r="C25" s="30" t="str">
        <x:f>IF(B25="","",IFERROR(VLOOKUP(B25,Country_Config!$A$2:$G$100,2,FALSE),""))</x:f>
        <x:v>USA</x:v>
      </x:c>
      <x:c r="D25" s="30" t="str">
        <x:f>IF(B25="","",IFERROR(VLOOKUP(B25,Country_Config!$A$2:$G$100,3,FALSE),""))</x:f>
        <x:v>North America</x:v>
      </x:c>
      <x:c r="E25" s="30" t="str">
        <x:v>Election interference</x:v>
      </x:c>
      <x:c r="F25" s="30" t="str">
        <x:v>Pilot baseline estimate</x:v>
      </x:c>
      <x:c r="G25" s="30" t="n">
        <x:v>5</x:v>
      </x:c>
      <x:c r="H25" s="30" t="n">
        <x:f>IF(OR(E25="",F25=""),"",IFERROR(VLOOKUP(E25&amp;"|"&amp;F25,Rules_Weights!$A$2:$E$120,4,FALSE),100))</x:f>
        <x:v>100</x:v>
      </x:c>
      <x:c r="I25" s="30" t="str">
        <x:v>Unverified</x:v>
      </x:c>
      <x:c r="J25" s="30" t="str">
        <x:v>Pilot estimate — replace/verify</x:v>
      </x:c>
      <x:c r="K25" s="30" t="str"/>
      <x:c r="L25" s="30" t="n">
        <x:v>45658</x:v>
      </x:c>
      <x:c r="M25" s="30" t="n">
        <x:v>46151</x:v>
      </x:c>
      <x:c r="N25" s="30" t="n">
        <x:f>IF(I25="","",IFERROR(VLOOKUP(I25,Lookups!$A$2:$B$5,2,FALSE),0))</x:f>
        <x:v>0.25</x:v>
      </x:c>
      <x:c r="O25" s="30" t="n">
        <x:f>IF(OR(L25="",V25&lt;&gt;"Yes"),"",IF(U25="Yes",1,IFS(TODAY()-L25&lt;=365,1,TODAY()-L25&lt;=730,0.8,TODAY()-L25&lt;=1460,0.6,TRUE,0.4)))</x:f>
        <x:v>0.8</x:v>
      </x:c>
      <x:c r="P25" s="30" t="n">
        <x:f>IF(V25&lt;&gt;"Yes","",IFERROR(H25*N25*O25,0))</x:f>
        <x:v>20</x:v>
      </x:c>
      <x:c r="Q25" s="30" t="n">
        <x:f>IF(P25="","",G25*P25)</x:f>
        <x:v>100</x:v>
      </x:c>
      <x:c r="R25" s="30" t="str">
        <x:f>IF(K25="","",IFERROR(REGEXEXTRACT(K25,"https?://([^/]+)"),""))</x:f>
      </x:c>
      <x:c r="S25" s="30" t="str">
        <x:f>IF(R25&lt;&gt;"",LOWER(R25),IF(J25&lt;&gt;"",LOWER(J25),""))</x:f>
        <x:v>pilot estimate — replace/verify</x:v>
      </x:c>
      <x:c r="T25" s="30" t="str">
        <x:v>Pilot score row. Add source-backed evidence rows and/or set this row to Include_in_Scoring = No before publication.</x:v>
      </x:c>
      <x:c r="U25" s="30" t="str">
        <x:v>No</x:v>
      </x:c>
      <x:c r="V25" s="30" t="str">
        <x:v>Yes</x:v>
      </x:c>
      <x:c r="W25" s="30" t="str">
        <x:f>IF(B25="","",IF(V25&lt;&gt;"Yes","Excluded",IF(OR(G25="",H25="",I25=""),"Needs review","Included")))</x:f>
        <x:v>Included</x:v>
      </x:c>
    </x:row>
    <x:row r="26">
      <x:c r="A26" s="30" t="str">
        <x:f>IF(B26="","","EV-"&amp;TEXT(ROW()-1,"0000"))</x:f>
        <x:v>EV-0025</x:v>
      </x:c>
      <x:c r="B26" s="30" t="str">
        <x:v>Georgia</x:v>
      </x:c>
      <x:c r="C26" s="30" t="str">
        <x:f>IF(B26="","",IFERROR(VLOOKUP(B26,Country_Config!$A$2:$G$100,2,FALSE),""))</x:f>
        <x:v>GEO</x:v>
      </x:c>
      <x:c r="D26" s="30" t="str">
        <x:f>IF(B26="","",IFERROR(VLOOKUP(B26,Country_Config!$A$2:$G$100,3,FALSE),""))</x:f>
        <x:v>Europe/Caucasus</x:v>
      </x:c>
      <x:c r="E26" s="30" t="str">
        <x:v>Russian influence</x:v>
      </x:c>
      <x:c r="F26" s="30" t="str">
        <x:v>Pilot baseline estimate</x:v>
      </x:c>
      <x:c r="G26" s="30" t="n">
        <x:v>4</x:v>
      </x:c>
      <x:c r="H26" s="30" t="n">
        <x:f>IF(OR(E26="",F26=""),"",IFERROR(VLOOKUP(E26&amp;"|"&amp;F26,Rules_Weights!$A$2:$E$120,4,FALSE),100))</x:f>
        <x:v>100</x:v>
      </x:c>
      <x:c r="I26" s="30" t="str">
        <x:v>Unverified</x:v>
      </x:c>
      <x:c r="J26" s="30" t="str">
        <x:v>Pilot estimate — replace/verify</x:v>
      </x:c>
      <x:c r="K26" s="30" t="str"/>
      <x:c r="L26" s="30" t="n">
        <x:v>45658</x:v>
      </x:c>
      <x:c r="M26" s="30" t="n">
        <x:v>46151</x:v>
      </x:c>
      <x:c r="N26" s="30" t="n">
        <x:f>IF(I26="","",IFERROR(VLOOKUP(I26,Lookups!$A$2:$B$5,2,FALSE),0))</x:f>
        <x:v>0.25</x:v>
      </x:c>
      <x:c r="O26" s="30" t="n">
        <x:f>IF(OR(L26="",V26&lt;&gt;"Yes"),"",IF(U26="Yes",1,IFS(TODAY()-L26&lt;=365,1,TODAY()-L26&lt;=730,0.8,TODAY()-L26&lt;=1460,0.6,TRUE,0.4)))</x:f>
        <x:v>0.8</x:v>
      </x:c>
      <x:c r="P26" s="30" t="n">
        <x:f>IF(V26&lt;&gt;"Yes","",IFERROR(H26*N26*O26,0))</x:f>
        <x:v>20</x:v>
      </x:c>
      <x:c r="Q26" s="30" t="n">
        <x:f>IF(P26="","",G26*P26)</x:f>
        <x:v>80</x:v>
      </x:c>
      <x:c r="R26" s="30" t="str">
        <x:f>IF(K26="","",IFERROR(REGEXEXTRACT(K26,"https?://([^/]+)"),""))</x:f>
      </x:c>
      <x:c r="S26" s="30" t="str">
        <x:f>IF(R26&lt;&gt;"",LOWER(R26),IF(J26&lt;&gt;"",LOWER(J26),""))</x:f>
        <x:v>pilot estimate — replace/verify</x:v>
      </x:c>
      <x:c r="T26" s="30" t="str">
        <x:v>Pilot score row. Add source-backed evidence rows and/or set this row to Include_in_Scoring = No before publication.</x:v>
      </x:c>
      <x:c r="U26" s="30" t="str">
        <x:v>No</x:v>
      </x:c>
      <x:c r="V26" s="30" t="str">
        <x:v>Yes</x:v>
      </x:c>
      <x:c r="W26" s="30" t="str">
        <x:f>IF(B26="","",IF(V26&lt;&gt;"Yes","Excluded",IF(OR(G26="",H26="",I26=""),"Needs review","Included")))</x:f>
        <x:v>Included</x:v>
      </x:c>
    </x:row>
    <x:row r="27">
      <x:c r="A27" s="30" t="str">
        <x:f>IF(B27="","","EV-"&amp;TEXT(ROW()-1,"0000"))</x:f>
        <x:v>EV-0026</x:v>
      </x:c>
      <x:c r="B27" s="30" t="str">
        <x:v>Georgia</x:v>
      </x:c>
      <x:c r="C27" s="30" t="str">
        <x:f>IF(B27="","",IFERROR(VLOOKUP(B27,Country_Config!$A$2:$G$100,2,FALSE),""))</x:f>
        <x:v>GEO</x:v>
      </x:c>
      <x:c r="D27" s="30" t="str">
        <x:f>IF(B27="","",IFERROR(VLOOKUP(B27,Country_Config!$A$2:$G$100,3,FALSE),""))</x:f>
        <x:v>Europe/Caucasus</x:v>
      </x:c>
      <x:c r="E27" s="30" t="str">
        <x:v>PMC presence</x:v>
      </x:c>
      <x:c r="F27" s="30" t="str">
        <x:v>Pilot baseline estimate</x:v>
      </x:c>
      <x:c r="G27" s="30" t="n">
        <x:v>0</x:v>
      </x:c>
      <x:c r="H27" s="30" t="n">
        <x:f>IF(OR(E27="",F27=""),"",IFERROR(VLOOKUP(E27&amp;"|"&amp;F27,Rules_Weights!$A$2:$E$120,4,FALSE),100))</x:f>
        <x:v>100</x:v>
      </x:c>
      <x:c r="I27" s="30" t="str">
        <x:v>Unverified</x:v>
      </x:c>
      <x:c r="J27" s="30" t="str">
        <x:v>Pilot estimate — replace/verify</x:v>
      </x:c>
      <x:c r="K27" s="30" t="str"/>
      <x:c r="L27" s="30" t="n">
        <x:v>45658</x:v>
      </x:c>
      <x:c r="M27" s="30" t="n">
        <x:v>46151</x:v>
      </x:c>
      <x:c r="N27" s="30" t="n">
        <x:f>IF(I27="","",IFERROR(VLOOKUP(I27,Lookups!$A$2:$B$5,2,FALSE),0))</x:f>
        <x:v>0.25</x:v>
      </x:c>
      <x:c r="O27" s="30" t="n">
        <x:f>IF(OR(L27="",V27&lt;&gt;"Yes"),"",IF(U27="Yes",1,IFS(TODAY()-L27&lt;=365,1,TODAY()-L27&lt;=730,0.8,TODAY()-L27&lt;=1460,0.6,TRUE,0.4)))</x:f>
        <x:v>0.8</x:v>
      </x:c>
      <x:c r="P27" s="30" t="n">
        <x:f>IF(V27&lt;&gt;"Yes","",IFERROR(H27*N27*O27,0))</x:f>
        <x:v>20</x:v>
      </x:c>
      <x:c r="Q27" s="30" t="n">
        <x:f>IF(P27="","",G27*P27)</x:f>
        <x:v>0</x:v>
      </x:c>
      <x:c r="R27" s="30" t="str">
        <x:f>IF(K27="","",IFERROR(REGEXEXTRACT(K27,"https?://([^/]+)"),""))</x:f>
      </x:c>
      <x:c r="S27" s="30" t="str">
        <x:f>IF(R27&lt;&gt;"",LOWER(R27),IF(J27&lt;&gt;"",LOWER(J27),""))</x:f>
        <x:v>pilot estimate — replace/verify</x:v>
      </x:c>
      <x:c r="T27" s="30" t="str">
        <x:v>Pilot score row. Add source-backed evidence rows and/or set this row to Include_in_Scoring = No before publication.</x:v>
      </x:c>
      <x:c r="U27" s="30" t="str">
        <x:v>No</x:v>
      </x:c>
      <x:c r="V27" s="30" t="str">
        <x:v>Yes</x:v>
      </x:c>
      <x:c r="W27" s="30" t="str">
        <x:f>IF(B27="","",IF(V27&lt;&gt;"Yes","Excluded",IF(OR(G27="",H27="",I27=""),"Needs review","Included")))</x:f>
        <x:v>Needs review</x:v>
      </x:c>
    </x:row>
    <x:row r="28">
      <x:c r="A28" s="30" t="str">
        <x:f>IF(B28="","","EV-"&amp;TEXT(ROW()-1,"0000"))</x:f>
        <x:v>EV-0027</x:v>
      </x:c>
      <x:c r="B28" s="30" t="str">
        <x:v>Georgia</x:v>
      </x:c>
      <x:c r="C28" s="30" t="str">
        <x:f>IF(B28="","",IFERROR(VLOOKUP(B28,Country_Config!$A$2:$G$100,2,FALSE),""))</x:f>
        <x:v>GEO</x:v>
      </x:c>
      <x:c r="D28" s="30" t="str">
        <x:f>IF(B28="","",IFERROR(VLOOKUP(B28,Country_Config!$A$2:$G$100,3,FALSE),""))</x:f>
        <x:v>Europe/Caucasus</x:v>
      </x:c>
      <x:c r="E28" s="30" t="str">
        <x:v>Propaganda ecosystems</x:v>
      </x:c>
      <x:c r="F28" s="30" t="str">
        <x:v>Pilot baseline estimate</x:v>
      </x:c>
      <x:c r="G28" s="30" t="n">
        <x:v>4</x:v>
      </x:c>
      <x:c r="H28" s="30" t="n">
        <x:f>IF(OR(E28="",F28=""),"",IFERROR(VLOOKUP(E28&amp;"|"&amp;F28,Rules_Weights!$A$2:$E$120,4,FALSE),100))</x:f>
        <x:v>100</x:v>
      </x:c>
      <x:c r="I28" s="30" t="str">
        <x:v>Unverified</x:v>
      </x:c>
      <x:c r="J28" s="30" t="str">
        <x:v>Pilot estimate — replace/verify</x:v>
      </x:c>
      <x:c r="K28" s="30" t="str"/>
      <x:c r="L28" s="30" t="n">
        <x:v>45658</x:v>
      </x:c>
      <x:c r="M28" s="30" t="n">
        <x:v>46151</x:v>
      </x:c>
      <x:c r="N28" s="30" t="n">
        <x:f>IF(I28="","",IFERROR(VLOOKUP(I28,Lookups!$A$2:$B$5,2,FALSE),0))</x:f>
        <x:v>0.25</x:v>
      </x:c>
      <x:c r="O28" s="30" t="n">
        <x:f>IF(OR(L28="",V28&lt;&gt;"Yes"),"",IF(U28="Yes",1,IFS(TODAY()-L28&lt;=365,1,TODAY()-L28&lt;=730,0.8,TODAY()-L28&lt;=1460,0.6,TRUE,0.4)))</x:f>
        <x:v>0.8</x:v>
      </x:c>
      <x:c r="P28" s="30" t="n">
        <x:f>IF(V28&lt;&gt;"Yes","",IFERROR(H28*N28*O28,0))</x:f>
        <x:v>20</x:v>
      </x:c>
      <x:c r="Q28" s="30" t="n">
        <x:f>IF(P28="","",G28*P28)</x:f>
        <x:v>80</x:v>
      </x:c>
      <x:c r="R28" s="30" t="str">
        <x:f>IF(K28="","",IFERROR(REGEXEXTRACT(K28,"https?://([^/]+)"),""))</x:f>
      </x:c>
      <x:c r="S28" s="30" t="str">
        <x:f>IF(R28&lt;&gt;"",LOWER(R28),IF(J28&lt;&gt;"",LOWER(J28),""))</x:f>
        <x:v>pilot estimate — replace/verify</x:v>
      </x:c>
      <x:c r="T28" s="30" t="str">
        <x:v>Pilot score row. Add source-backed evidence rows and/or set this row to Include_in_Scoring = No before publication.</x:v>
      </x:c>
      <x:c r="U28" s="30" t="str">
        <x:v>No</x:v>
      </x:c>
      <x:c r="V28" s="30" t="str">
        <x:v>Yes</x:v>
      </x:c>
      <x:c r="W28" s="30" t="str">
        <x:f>IF(B28="","",IF(V28&lt;&gt;"Yes","Excluded",IF(OR(G28="",H28="",I28=""),"Needs review","Included")))</x:f>
        <x:v>Included</x:v>
      </x:c>
    </x:row>
    <x:row r="29">
      <x:c r="A29" s="30" t="str">
        <x:f>IF(B29="","","EV-"&amp;TEXT(ROW()-1,"0000"))</x:f>
        <x:v>EV-0028</x:v>
      </x:c>
      <x:c r="B29" s="30" t="str">
        <x:v>Georgia</x:v>
      </x:c>
      <x:c r="C29" s="30" t="str">
        <x:f>IF(B29="","",IFERROR(VLOOKUP(B29,Country_Config!$A$2:$G$100,2,FALSE),""))</x:f>
        <x:v>GEO</x:v>
      </x:c>
      <x:c r="D29" s="30" t="str">
        <x:f>IF(B29="","",IFERROR(VLOOKUP(B29,Country_Config!$A$2:$G$100,3,FALSE),""))</x:f>
        <x:v>Europe/Caucasus</x:v>
      </x:c>
      <x:c r="E29" s="30" t="str">
        <x:v>Election interference</x:v>
      </x:c>
      <x:c r="F29" s="30" t="str">
        <x:v>Pilot baseline estimate</x:v>
      </x:c>
      <x:c r="G29" s="30" t="n">
        <x:v>3</x:v>
      </x:c>
      <x:c r="H29" s="30" t="n">
        <x:f>IF(OR(E29="",F29=""),"",IFERROR(VLOOKUP(E29&amp;"|"&amp;F29,Rules_Weights!$A$2:$E$120,4,FALSE),100))</x:f>
        <x:v>100</x:v>
      </x:c>
      <x:c r="I29" s="30" t="str">
        <x:v>Unverified</x:v>
      </x:c>
      <x:c r="J29" s="30" t="str">
        <x:v>Pilot estimate — replace/verify</x:v>
      </x:c>
      <x:c r="K29" s="30" t="str"/>
      <x:c r="L29" s="30" t="n">
        <x:v>45658</x:v>
      </x:c>
      <x:c r="M29" s="30" t="n">
        <x:v>46151</x:v>
      </x:c>
      <x:c r="N29" s="30" t="n">
        <x:f>IF(I29="","",IFERROR(VLOOKUP(I29,Lookups!$A$2:$B$5,2,FALSE),0))</x:f>
        <x:v>0.25</x:v>
      </x:c>
      <x:c r="O29" s="30" t="n">
        <x:f>IF(OR(L29="",V29&lt;&gt;"Yes"),"",IF(U29="Yes",1,IFS(TODAY()-L29&lt;=365,1,TODAY()-L29&lt;=730,0.8,TODAY()-L29&lt;=1460,0.6,TRUE,0.4)))</x:f>
        <x:v>0.8</x:v>
      </x:c>
      <x:c r="P29" s="30" t="n">
        <x:f>IF(V29&lt;&gt;"Yes","",IFERROR(H29*N29*O29,0))</x:f>
        <x:v>20</x:v>
      </x:c>
      <x:c r="Q29" s="30" t="n">
        <x:f>IF(P29="","",G29*P29)</x:f>
        <x:v>60</x:v>
      </x:c>
      <x:c r="R29" s="30" t="str">
        <x:f>IF(K29="","",IFERROR(REGEXEXTRACT(K29,"https?://([^/]+)"),""))</x:f>
      </x:c>
      <x:c r="S29" s="30" t="str">
        <x:f>IF(R29&lt;&gt;"",LOWER(R29),IF(J29&lt;&gt;"",LOWER(J29),""))</x:f>
        <x:v>pilot estimate — replace/verify</x:v>
      </x:c>
      <x:c r="T29" s="30" t="str">
        <x:v>Pilot score row. Add source-backed evidence rows and/or set this row to Include_in_Scoring = No before publication.</x:v>
      </x:c>
      <x:c r="U29" s="30" t="str">
        <x:v>No</x:v>
      </x:c>
      <x:c r="V29" s="30" t="str">
        <x:v>Yes</x:v>
      </x:c>
      <x:c r="W29" s="30" t="str">
        <x:f>IF(B29="","",IF(V29&lt;&gt;"Yes","Excluded",IF(OR(G29="",H29="",I29=""),"Needs review","Included")))</x:f>
        <x:v>Included</x:v>
      </x:c>
    </x:row>
    <x:row r="30">
      <x:c r="A30" s="30" t="str">
        <x:f>IF(B30="","","EV-"&amp;TEXT(ROW()-1,"0000"))</x:f>
        <x:v>EV-0029</x:v>
      </x:c>
      <x:c r="B30" s="30" t="str">
        <x:v>Syria</x:v>
      </x:c>
      <x:c r="C30" s="30" t="str">
        <x:f>IF(B30="","",IFERROR(VLOOKUP(B30,Country_Config!$A$2:$G$100,2,FALSE),""))</x:f>
        <x:v>SYR</x:v>
      </x:c>
      <x:c r="D30" s="30" t="str">
        <x:f>IF(B30="","",IFERROR(VLOOKUP(B30,Country_Config!$A$2:$G$100,3,FALSE),""))</x:f>
        <x:v>Middle East</x:v>
      </x:c>
      <x:c r="E30" s="30" t="str">
        <x:v>Russian influence</x:v>
      </x:c>
      <x:c r="F30" s="30" t="str">
        <x:v>Pilot baseline estimate</x:v>
      </x:c>
      <x:c r="G30" s="30" t="n">
        <x:v>5</x:v>
      </x:c>
      <x:c r="H30" s="30" t="n">
        <x:f>IF(OR(E30="",F30=""),"",IFERROR(VLOOKUP(E30&amp;"|"&amp;F30,Rules_Weights!$A$2:$E$120,4,FALSE),100))</x:f>
        <x:v>100</x:v>
      </x:c>
      <x:c r="I30" s="30" t="str">
        <x:v>Unverified</x:v>
      </x:c>
      <x:c r="J30" s="30" t="str">
        <x:v>Pilot estimate — replace/verify</x:v>
      </x:c>
      <x:c r="K30" s="30" t="str"/>
      <x:c r="L30" s="30" t="n">
        <x:v>45658</x:v>
      </x:c>
      <x:c r="M30" s="30" t="n">
        <x:v>46151</x:v>
      </x:c>
      <x:c r="N30" s="30" t="n">
        <x:f>IF(I30="","",IFERROR(VLOOKUP(I30,Lookups!$A$2:$B$5,2,FALSE),0))</x:f>
        <x:v>0.25</x:v>
      </x:c>
      <x:c r="O30" s="30" t="n">
        <x:f>IF(OR(L30="",V30&lt;&gt;"Yes"),"",IF(U30="Yes",1,IFS(TODAY()-L30&lt;=365,1,TODAY()-L30&lt;=730,0.8,TODAY()-L30&lt;=1460,0.6,TRUE,0.4)))</x:f>
        <x:v>0.8</x:v>
      </x:c>
      <x:c r="P30" s="30" t="n">
        <x:f>IF(V30&lt;&gt;"Yes","",IFERROR(H30*N30*O30,0))</x:f>
        <x:v>20</x:v>
      </x:c>
      <x:c r="Q30" s="30" t="n">
        <x:f>IF(P30="","",G30*P30)</x:f>
        <x:v>100</x:v>
      </x:c>
      <x:c r="R30" s="30" t="str">
        <x:f>IF(K30="","",IFERROR(REGEXEXTRACT(K30,"https?://([^/]+)"),""))</x:f>
      </x:c>
      <x:c r="S30" s="30" t="str">
        <x:f>IF(R30&lt;&gt;"",LOWER(R30),IF(J30&lt;&gt;"",LOWER(J30),""))</x:f>
        <x:v>pilot estimate — replace/verify</x:v>
      </x:c>
      <x:c r="T30" s="30" t="str">
        <x:v>Pilot score row. Add source-backed evidence rows and/or set this row to Include_in_Scoring = No before publication.</x:v>
      </x:c>
      <x:c r="U30" s="30" t="str">
        <x:v>No</x:v>
      </x:c>
      <x:c r="V30" s="30" t="str">
        <x:v>Yes</x:v>
      </x:c>
      <x:c r="W30" s="30" t="str">
        <x:f>IF(B30="","",IF(V30&lt;&gt;"Yes","Excluded",IF(OR(G30="",H30="",I30=""),"Needs review","Included")))</x:f>
        <x:v>Included</x:v>
      </x:c>
    </x:row>
    <x:row r="31">
      <x:c r="A31" s="30" t="str">
        <x:f>IF(B31="","","EV-"&amp;TEXT(ROW()-1,"0000"))</x:f>
        <x:v>EV-0030</x:v>
      </x:c>
      <x:c r="B31" s="30" t="str">
        <x:v>Syria</x:v>
      </x:c>
      <x:c r="C31" s="30" t="str">
        <x:f>IF(B31="","",IFERROR(VLOOKUP(B31,Country_Config!$A$2:$G$100,2,FALSE),""))</x:f>
        <x:v>SYR</x:v>
      </x:c>
      <x:c r="D31" s="30" t="str">
        <x:f>IF(B31="","",IFERROR(VLOOKUP(B31,Country_Config!$A$2:$G$100,3,FALSE),""))</x:f>
        <x:v>Middle East</x:v>
      </x:c>
      <x:c r="E31" s="30" t="str">
        <x:v>PMC presence</x:v>
      </x:c>
      <x:c r="F31" s="30" t="str">
        <x:v>Pilot baseline estimate</x:v>
      </x:c>
      <x:c r="G31" s="30" t="n">
        <x:v>5</x:v>
      </x:c>
      <x:c r="H31" s="30" t="n">
        <x:f>IF(OR(E31="",F31=""),"",IFERROR(VLOOKUP(E31&amp;"|"&amp;F31,Rules_Weights!$A$2:$E$120,4,FALSE),100))</x:f>
        <x:v>100</x:v>
      </x:c>
      <x:c r="I31" s="30" t="str">
        <x:v>Unverified</x:v>
      </x:c>
      <x:c r="J31" s="30" t="str">
        <x:v>Pilot estimate — replace/verify</x:v>
      </x:c>
      <x:c r="K31" s="30" t="str"/>
      <x:c r="L31" s="30" t="n">
        <x:v>45658</x:v>
      </x:c>
      <x:c r="M31" s="30" t="n">
        <x:v>46151</x:v>
      </x:c>
      <x:c r="N31" s="30" t="n">
        <x:f>IF(I31="","",IFERROR(VLOOKUP(I31,Lookups!$A$2:$B$5,2,FALSE),0))</x:f>
        <x:v>0.25</x:v>
      </x:c>
      <x:c r="O31" s="30" t="n">
        <x:f>IF(OR(L31="",V31&lt;&gt;"Yes"),"",IF(U31="Yes",1,IFS(TODAY()-L31&lt;=365,1,TODAY()-L31&lt;=730,0.8,TODAY()-L31&lt;=1460,0.6,TRUE,0.4)))</x:f>
        <x:v>0.8</x:v>
      </x:c>
      <x:c r="P31" s="30" t="n">
        <x:f>IF(V31&lt;&gt;"Yes","",IFERROR(H31*N31*O31,0))</x:f>
        <x:v>20</x:v>
      </x:c>
      <x:c r="Q31" s="30" t="n">
        <x:f>IF(P31="","",G31*P31)</x:f>
        <x:v>100</x:v>
      </x:c>
      <x:c r="R31" s="30" t="str">
        <x:f>IF(K31="","",IFERROR(REGEXEXTRACT(K31,"https?://([^/]+)"),""))</x:f>
      </x:c>
      <x:c r="S31" s="30" t="str">
        <x:f>IF(R31&lt;&gt;"",LOWER(R31),IF(J31&lt;&gt;"",LOWER(J31),""))</x:f>
        <x:v>pilot estimate — replace/verify</x:v>
      </x:c>
      <x:c r="T31" s="30" t="str">
        <x:v>Pilot score row. Add source-backed evidence rows and/or set this row to Include_in_Scoring = No before publication.</x:v>
      </x:c>
      <x:c r="U31" s="30" t="str">
        <x:v>No</x:v>
      </x:c>
      <x:c r="V31" s="30" t="str">
        <x:v>Yes</x:v>
      </x:c>
      <x:c r="W31" s="30" t="str">
        <x:f>IF(B31="","",IF(V31&lt;&gt;"Yes","Excluded",IF(OR(G31="",H31="",I31=""),"Needs review","Included")))</x:f>
        <x:v>Included</x:v>
      </x:c>
    </x:row>
    <x:row r="32">
      <x:c r="A32" s="30" t="str">
        <x:f>IF(B32="","","EV-"&amp;TEXT(ROW()-1,"0000"))</x:f>
        <x:v>EV-0031</x:v>
      </x:c>
      <x:c r="B32" s="30" t="str">
        <x:v>Syria</x:v>
      </x:c>
      <x:c r="C32" s="30" t="str">
        <x:f>IF(B32="","",IFERROR(VLOOKUP(B32,Country_Config!$A$2:$G$100,2,FALSE),""))</x:f>
        <x:v>SYR</x:v>
      </x:c>
      <x:c r="D32" s="30" t="str">
        <x:f>IF(B32="","",IFERROR(VLOOKUP(B32,Country_Config!$A$2:$G$100,3,FALSE),""))</x:f>
        <x:v>Middle East</x:v>
      </x:c>
      <x:c r="E32" s="30" t="str">
        <x:v>Propaganda ecosystems</x:v>
      </x:c>
      <x:c r="F32" s="30" t="str">
        <x:v>Pilot baseline estimate</x:v>
      </x:c>
      <x:c r="G32" s="30" t="n">
        <x:v>3</x:v>
      </x:c>
      <x:c r="H32" s="30" t="n">
        <x:f>IF(OR(E32="",F32=""),"",IFERROR(VLOOKUP(E32&amp;"|"&amp;F32,Rules_Weights!$A$2:$E$120,4,FALSE),100))</x:f>
        <x:v>100</x:v>
      </x:c>
      <x:c r="I32" s="30" t="str">
        <x:v>Unverified</x:v>
      </x:c>
      <x:c r="J32" s="30" t="str">
        <x:v>Pilot estimate — replace/verify</x:v>
      </x:c>
      <x:c r="K32" s="30" t="str"/>
      <x:c r="L32" s="30" t="n">
        <x:v>45658</x:v>
      </x:c>
      <x:c r="M32" s="30" t="n">
        <x:v>46151</x:v>
      </x:c>
      <x:c r="N32" s="30" t="n">
        <x:f>IF(I32="","",IFERROR(VLOOKUP(I32,Lookups!$A$2:$B$5,2,FALSE),0))</x:f>
        <x:v>0.25</x:v>
      </x:c>
      <x:c r="O32" s="30" t="n">
        <x:f>IF(OR(L32="",V32&lt;&gt;"Yes"),"",IF(U32="Yes",1,IFS(TODAY()-L32&lt;=365,1,TODAY()-L32&lt;=730,0.8,TODAY()-L32&lt;=1460,0.6,TRUE,0.4)))</x:f>
        <x:v>0.8</x:v>
      </x:c>
      <x:c r="P32" s="30" t="n">
        <x:f>IF(V32&lt;&gt;"Yes","",IFERROR(H32*N32*O32,0))</x:f>
        <x:v>20</x:v>
      </x:c>
      <x:c r="Q32" s="30" t="n">
        <x:f>IF(P32="","",G32*P32)</x:f>
        <x:v>60</x:v>
      </x:c>
      <x:c r="R32" s="30" t="str">
        <x:f>IF(K32="","",IFERROR(REGEXEXTRACT(K32,"https?://([^/]+)"),""))</x:f>
      </x:c>
      <x:c r="S32" s="30" t="str">
        <x:f>IF(R32&lt;&gt;"",LOWER(R32),IF(J32&lt;&gt;"",LOWER(J32),""))</x:f>
        <x:v>pilot estimate — replace/verify</x:v>
      </x:c>
      <x:c r="T32" s="30" t="str">
        <x:v>Pilot score row. Add source-backed evidence rows and/or set this row to Include_in_Scoring = No before publication.</x:v>
      </x:c>
      <x:c r="U32" s="30" t="str">
        <x:v>No</x:v>
      </x:c>
      <x:c r="V32" s="30" t="str">
        <x:v>Yes</x:v>
      </x:c>
      <x:c r="W32" s="30" t="str">
        <x:f>IF(B32="","",IF(V32&lt;&gt;"Yes","Excluded",IF(OR(G32="",H32="",I32=""),"Needs review","Included")))</x:f>
        <x:v>Included</x:v>
      </x:c>
    </x:row>
    <x:row r="33">
      <x:c r="A33" s="30" t="str">
        <x:f>IF(B33="","","EV-"&amp;TEXT(ROW()-1,"0000"))</x:f>
        <x:v>EV-0032</x:v>
      </x:c>
      <x:c r="B33" s="30" t="str">
        <x:v>Syria</x:v>
      </x:c>
      <x:c r="C33" s="30" t="str">
        <x:f>IF(B33="","",IFERROR(VLOOKUP(B33,Country_Config!$A$2:$G$100,2,FALSE),""))</x:f>
        <x:v>SYR</x:v>
      </x:c>
      <x:c r="D33" s="30" t="str">
        <x:f>IF(B33="","",IFERROR(VLOOKUP(B33,Country_Config!$A$2:$G$100,3,FALSE),""))</x:f>
        <x:v>Middle East</x:v>
      </x:c>
      <x:c r="E33" s="30" t="str">
        <x:v>Election interference</x:v>
      </x:c>
      <x:c r="F33" s="30" t="str">
        <x:v>Pilot baseline estimate</x:v>
      </x:c>
      <x:c r="G33" s="30" t="n">
        <x:v>1</x:v>
      </x:c>
      <x:c r="H33" s="30" t="n">
        <x:f>IF(OR(E33="",F33=""),"",IFERROR(VLOOKUP(E33&amp;"|"&amp;F33,Rules_Weights!$A$2:$E$120,4,FALSE),100))</x:f>
        <x:v>100</x:v>
      </x:c>
      <x:c r="I33" s="30" t="str">
        <x:v>Unverified</x:v>
      </x:c>
      <x:c r="J33" s="30" t="str">
        <x:v>Pilot estimate — replace/verify</x:v>
      </x:c>
      <x:c r="K33" s="30" t="str"/>
      <x:c r="L33" s="30" t="n">
        <x:v>45658</x:v>
      </x:c>
      <x:c r="M33" s="30" t="n">
        <x:v>46151</x:v>
      </x:c>
      <x:c r="N33" s="30" t="n">
        <x:f>IF(I33="","",IFERROR(VLOOKUP(I33,Lookups!$A$2:$B$5,2,FALSE),0))</x:f>
        <x:v>0.25</x:v>
      </x:c>
      <x:c r="O33" s="30" t="n">
        <x:f>IF(OR(L33="",V33&lt;&gt;"Yes"),"",IF(U33="Yes",1,IFS(TODAY()-L33&lt;=365,1,TODAY()-L33&lt;=730,0.8,TODAY()-L33&lt;=1460,0.6,TRUE,0.4)))</x:f>
        <x:v>0.8</x:v>
      </x:c>
      <x:c r="P33" s="30" t="n">
        <x:f>IF(V33&lt;&gt;"Yes","",IFERROR(H33*N33*O33,0))</x:f>
        <x:v>20</x:v>
      </x:c>
      <x:c r="Q33" s="30" t="n">
        <x:f>IF(P33="","",G33*P33)</x:f>
        <x:v>20</x:v>
      </x:c>
      <x:c r="R33" s="30" t="str">
        <x:f>IF(K33="","",IFERROR(REGEXEXTRACT(K33,"https?://([^/]+)"),""))</x:f>
      </x:c>
      <x:c r="S33" s="30" t="str">
        <x:f>IF(R33&lt;&gt;"",LOWER(R33),IF(J33&lt;&gt;"",LOWER(J33),""))</x:f>
        <x:v>pilot estimate — replace/verify</x:v>
      </x:c>
      <x:c r="T33" s="30" t="str">
        <x:v>Pilot score row. Add source-backed evidence rows and/or set this row to Include_in_Scoring = No before publication.</x:v>
      </x:c>
      <x:c r="U33" s="30" t="str">
        <x:v>No</x:v>
      </x:c>
      <x:c r="V33" s="30" t="str">
        <x:v>Yes</x:v>
      </x:c>
      <x:c r="W33" s="30" t="str">
        <x:f>IF(B33="","",IF(V33&lt;&gt;"Yes","Excluded",IF(OR(G33="",H33="",I33=""),"Needs review","Included")))</x:f>
        <x:v>Included</x:v>
      </x:c>
    </x:row>
    <x:row r="34">
      <x:c r="A34" s="30" t="str">
        <x:f>IF(B34="","","EV-"&amp;TEXT(ROW()-1,"0000"))</x:f>
        <x:v>EV-0033</x:v>
      </x:c>
      <x:c r="B34" s="30" t="str">
        <x:v>Serbia</x:v>
      </x:c>
      <x:c r="C34" s="30" t="str">
        <x:f>IF(B34="","",IFERROR(VLOOKUP(B34,Country_Config!$A$2:$G$100,2,FALSE),""))</x:f>
        <x:v>SRB</x:v>
      </x:c>
      <x:c r="D34" s="30" t="str">
        <x:f>IF(B34="","",IFERROR(VLOOKUP(B34,Country_Config!$A$2:$G$100,3,FALSE),""))</x:f>
        <x:v>Europe</x:v>
      </x:c>
      <x:c r="E34" s="30" t="str">
        <x:v>Russian influence</x:v>
      </x:c>
      <x:c r="F34" s="30" t="str">
        <x:v>Pilot baseline estimate</x:v>
      </x:c>
      <x:c r="G34" s="30" t="n">
        <x:v>4</x:v>
      </x:c>
      <x:c r="H34" s="30" t="n">
        <x:f>IF(OR(E34="",F34=""),"",IFERROR(VLOOKUP(E34&amp;"|"&amp;F34,Rules_Weights!$A$2:$E$120,4,FALSE),100))</x:f>
        <x:v>100</x:v>
      </x:c>
      <x:c r="I34" s="30" t="str">
        <x:v>Unverified</x:v>
      </x:c>
      <x:c r="J34" s="30" t="str">
        <x:v>Pilot estimate — replace/verify</x:v>
      </x:c>
      <x:c r="K34" s="30" t="str"/>
      <x:c r="L34" s="30" t="n">
        <x:v>45658</x:v>
      </x:c>
      <x:c r="M34" s="30" t="n">
        <x:v>46151</x:v>
      </x:c>
      <x:c r="N34" s="30" t="n">
        <x:f>IF(I34="","",IFERROR(VLOOKUP(I34,Lookups!$A$2:$B$5,2,FALSE),0))</x:f>
        <x:v>0.25</x:v>
      </x:c>
      <x:c r="O34" s="30" t="n">
        <x:f>IF(OR(L34="",V34&lt;&gt;"Yes"),"",IF(U34="Yes",1,IFS(TODAY()-L34&lt;=365,1,TODAY()-L34&lt;=730,0.8,TODAY()-L34&lt;=1460,0.6,TRUE,0.4)))</x:f>
        <x:v>0.8</x:v>
      </x:c>
      <x:c r="P34" s="30" t="n">
        <x:f>IF(V34&lt;&gt;"Yes","",IFERROR(H34*N34*O34,0))</x:f>
        <x:v>20</x:v>
      </x:c>
      <x:c r="Q34" s="30" t="n">
        <x:f>IF(P34="","",G34*P34)</x:f>
        <x:v>80</x:v>
      </x:c>
      <x:c r="R34" s="30" t="str">
        <x:f>IF(K34="","",IFERROR(REGEXEXTRACT(K34,"https?://([^/]+)"),""))</x:f>
      </x:c>
      <x:c r="S34" s="30" t="str">
        <x:f>IF(R34&lt;&gt;"",LOWER(R34),IF(J34&lt;&gt;"",LOWER(J34),""))</x:f>
        <x:v>pilot estimate — replace/verify</x:v>
      </x:c>
      <x:c r="T34" s="30" t="str">
        <x:v>Pilot score row. Add source-backed evidence rows and/or set this row to Include_in_Scoring = No before publication.</x:v>
      </x:c>
      <x:c r="U34" s="30" t="str">
        <x:v>No</x:v>
      </x:c>
      <x:c r="V34" s="30" t="str">
        <x:v>Yes</x:v>
      </x:c>
      <x:c r="W34" s="30" t="str">
        <x:f>IF(B34="","",IF(V34&lt;&gt;"Yes","Excluded",IF(OR(G34="",H34="",I34=""),"Needs review","Included")))</x:f>
        <x:v>Included</x:v>
      </x:c>
    </x:row>
    <x:row r="35">
      <x:c r="A35" s="30" t="str">
        <x:f>IF(B35="","","EV-"&amp;TEXT(ROW()-1,"0000"))</x:f>
        <x:v>EV-0034</x:v>
      </x:c>
      <x:c r="B35" s="30" t="str">
        <x:v>Serbia</x:v>
      </x:c>
      <x:c r="C35" s="30" t="str">
        <x:f>IF(B35="","",IFERROR(VLOOKUP(B35,Country_Config!$A$2:$G$100,2,FALSE),""))</x:f>
        <x:v>SRB</x:v>
      </x:c>
      <x:c r="D35" s="30" t="str">
        <x:f>IF(B35="","",IFERROR(VLOOKUP(B35,Country_Config!$A$2:$G$100,3,FALSE),""))</x:f>
        <x:v>Europe</x:v>
      </x:c>
      <x:c r="E35" s="30" t="str">
        <x:v>PMC presence</x:v>
      </x:c>
      <x:c r="F35" s="30" t="str">
        <x:v>Pilot baseline estimate</x:v>
      </x:c>
      <x:c r="G35" s="30" t="n">
        <x:v>0</x:v>
      </x:c>
      <x:c r="H35" s="30" t="n">
        <x:f>IF(OR(E35="",F35=""),"",IFERROR(VLOOKUP(E35&amp;"|"&amp;F35,Rules_Weights!$A$2:$E$120,4,FALSE),100))</x:f>
        <x:v>100</x:v>
      </x:c>
      <x:c r="I35" s="30" t="str">
        <x:v>Unverified</x:v>
      </x:c>
      <x:c r="J35" s="30" t="str">
        <x:v>Pilot estimate — replace/verify</x:v>
      </x:c>
      <x:c r="K35" s="30" t="str"/>
      <x:c r="L35" s="30" t="n">
        <x:v>45658</x:v>
      </x:c>
      <x:c r="M35" s="30" t="n">
        <x:v>46151</x:v>
      </x:c>
      <x:c r="N35" s="30" t="n">
        <x:f>IF(I35="","",IFERROR(VLOOKUP(I35,Lookups!$A$2:$B$5,2,FALSE),0))</x:f>
        <x:v>0.25</x:v>
      </x:c>
      <x:c r="O35" s="30" t="n">
        <x:f>IF(OR(L35="",V35&lt;&gt;"Yes"),"",IF(U35="Yes",1,IFS(TODAY()-L35&lt;=365,1,TODAY()-L35&lt;=730,0.8,TODAY()-L35&lt;=1460,0.6,TRUE,0.4)))</x:f>
        <x:v>0.8</x:v>
      </x:c>
      <x:c r="P35" s="30" t="n">
        <x:f>IF(V35&lt;&gt;"Yes","",IFERROR(H35*N35*O35,0))</x:f>
        <x:v>20</x:v>
      </x:c>
      <x:c r="Q35" s="30" t="n">
        <x:f>IF(P35="","",G35*P35)</x:f>
        <x:v>0</x:v>
      </x:c>
      <x:c r="R35" s="30" t="str">
        <x:f>IF(K35="","",IFERROR(REGEXEXTRACT(K35,"https?://([^/]+)"),""))</x:f>
      </x:c>
      <x:c r="S35" s="30" t="str">
        <x:f>IF(R35&lt;&gt;"",LOWER(R35),IF(J35&lt;&gt;"",LOWER(J35),""))</x:f>
        <x:v>pilot estimate — replace/verify</x:v>
      </x:c>
      <x:c r="T35" s="30" t="str">
        <x:v>Pilot score row. Add source-backed evidence rows and/or set this row to Include_in_Scoring = No before publication.</x:v>
      </x:c>
      <x:c r="U35" s="30" t="str">
        <x:v>No</x:v>
      </x:c>
      <x:c r="V35" s="30" t="str">
        <x:v>Yes</x:v>
      </x:c>
      <x:c r="W35" s="30" t="str">
        <x:f>IF(B35="","",IF(V35&lt;&gt;"Yes","Excluded",IF(OR(G35="",H35="",I35=""),"Needs review","Included")))</x:f>
        <x:v>Needs review</x:v>
      </x:c>
    </x:row>
    <x:row r="36">
      <x:c r="A36" s="30" t="str">
        <x:f>IF(B36="","","EV-"&amp;TEXT(ROW()-1,"0000"))</x:f>
        <x:v>EV-0035</x:v>
      </x:c>
      <x:c r="B36" s="30" t="str">
        <x:v>Serbia</x:v>
      </x:c>
      <x:c r="C36" s="30" t="str">
        <x:f>IF(B36="","",IFERROR(VLOOKUP(B36,Country_Config!$A$2:$G$100,2,FALSE),""))</x:f>
        <x:v>SRB</x:v>
      </x:c>
      <x:c r="D36" s="30" t="str">
        <x:f>IF(B36="","",IFERROR(VLOOKUP(B36,Country_Config!$A$2:$G$100,3,FALSE),""))</x:f>
        <x:v>Europe</x:v>
      </x:c>
      <x:c r="E36" s="30" t="str">
        <x:v>Propaganda ecosystems</x:v>
      </x:c>
      <x:c r="F36" s="30" t="str">
        <x:v>Pilot baseline estimate</x:v>
      </x:c>
      <x:c r="G36" s="30" t="n">
        <x:v>4</x:v>
      </x:c>
      <x:c r="H36" s="30" t="n">
        <x:f>IF(OR(E36="",F36=""),"",IFERROR(VLOOKUP(E36&amp;"|"&amp;F36,Rules_Weights!$A$2:$E$120,4,FALSE),100))</x:f>
        <x:v>100</x:v>
      </x:c>
      <x:c r="I36" s="30" t="str">
        <x:v>Unverified</x:v>
      </x:c>
      <x:c r="J36" s="30" t="str">
        <x:v>Pilot estimate — replace/verify</x:v>
      </x:c>
      <x:c r="K36" s="30" t="str"/>
      <x:c r="L36" s="30" t="n">
        <x:v>45658</x:v>
      </x:c>
      <x:c r="M36" s="30" t="n">
        <x:v>46151</x:v>
      </x:c>
      <x:c r="N36" s="30" t="n">
        <x:f>IF(I36="","",IFERROR(VLOOKUP(I36,Lookups!$A$2:$B$5,2,FALSE),0))</x:f>
        <x:v>0.25</x:v>
      </x:c>
      <x:c r="O36" s="30" t="n">
        <x:f>IF(OR(L36="",V36&lt;&gt;"Yes"),"",IF(U36="Yes",1,IFS(TODAY()-L36&lt;=365,1,TODAY()-L36&lt;=730,0.8,TODAY()-L36&lt;=1460,0.6,TRUE,0.4)))</x:f>
        <x:v>0.8</x:v>
      </x:c>
      <x:c r="P36" s="30" t="n">
        <x:f>IF(V36&lt;&gt;"Yes","",IFERROR(H36*N36*O36,0))</x:f>
        <x:v>20</x:v>
      </x:c>
      <x:c r="Q36" s="30" t="n">
        <x:f>IF(P36="","",G36*P36)</x:f>
        <x:v>80</x:v>
      </x:c>
      <x:c r="R36" s="30" t="str">
        <x:f>IF(K36="","",IFERROR(REGEXEXTRACT(K36,"https?://([^/]+)"),""))</x:f>
      </x:c>
      <x:c r="S36" s="30" t="str">
        <x:f>IF(R36&lt;&gt;"",LOWER(R36),IF(J36&lt;&gt;"",LOWER(J36),""))</x:f>
        <x:v>pilot estimate — replace/verify</x:v>
      </x:c>
      <x:c r="T36" s="30" t="str">
        <x:v>Pilot score row. Add source-backed evidence rows and/or set this row to Include_in_Scoring = No before publication.</x:v>
      </x:c>
      <x:c r="U36" s="30" t="str">
        <x:v>No</x:v>
      </x:c>
      <x:c r="V36" s="30" t="str">
        <x:v>Yes</x:v>
      </x:c>
      <x:c r="W36" s="30" t="str">
        <x:f>IF(B36="","",IF(V36&lt;&gt;"Yes","Excluded",IF(OR(G36="",H36="",I36=""),"Needs review","Included")))</x:f>
        <x:v>Included</x:v>
      </x:c>
    </x:row>
    <x:row r="37">
      <x:c r="A37" s="30" t="str">
        <x:f>IF(B37="","","EV-"&amp;TEXT(ROW()-1,"0000"))</x:f>
        <x:v>EV-0036</x:v>
      </x:c>
      <x:c r="B37" s="30" t="str">
        <x:v>Serbia</x:v>
      </x:c>
      <x:c r="C37" s="30" t="str">
        <x:f>IF(B37="","",IFERROR(VLOOKUP(B37,Country_Config!$A$2:$G$100,2,FALSE),""))</x:f>
        <x:v>SRB</x:v>
      </x:c>
      <x:c r="D37" s="30" t="str">
        <x:f>IF(B37="","",IFERROR(VLOOKUP(B37,Country_Config!$A$2:$G$100,3,FALSE),""))</x:f>
        <x:v>Europe</x:v>
      </x:c>
      <x:c r="E37" s="30" t="str">
        <x:v>Election interference</x:v>
      </x:c>
      <x:c r="F37" s="30" t="str">
        <x:v>Pilot baseline estimate</x:v>
      </x:c>
      <x:c r="G37" s="30" t="n">
        <x:v>2</x:v>
      </x:c>
      <x:c r="H37" s="30" t="n">
        <x:f>IF(OR(E37="",F37=""),"",IFERROR(VLOOKUP(E37&amp;"|"&amp;F37,Rules_Weights!$A$2:$E$120,4,FALSE),100))</x:f>
        <x:v>100</x:v>
      </x:c>
      <x:c r="I37" s="30" t="str">
        <x:v>Unverified</x:v>
      </x:c>
      <x:c r="J37" s="30" t="str">
        <x:v>Pilot estimate — replace/verify</x:v>
      </x:c>
      <x:c r="K37" s="30" t="str"/>
      <x:c r="L37" s="30" t="n">
        <x:v>45658</x:v>
      </x:c>
      <x:c r="M37" s="30" t="n">
        <x:v>46151</x:v>
      </x:c>
      <x:c r="N37" s="30" t="n">
        <x:f>IF(I37="","",IFERROR(VLOOKUP(I37,Lookups!$A$2:$B$5,2,FALSE),0))</x:f>
        <x:v>0.25</x:v>
      </x:c>
      <x:c r="O37" s="30" t="n">
        <x:f>IF(OR(L37="",V37&lt;&gt;"Yes"),"",IF(U37="Yes",1,IFS(TODAY()-L37&lt;=365,1,TODAY()-L37&lt;=730,0.8,TODAY()-L37&lt;=1460,0.6,TRUE,0.4)))</x:f>
        <x:v>0.8</x:v>
      </x:c>
      <x:c r="P37" s="30" t="n">
        <x:f>IF(V37&lt;&gt;"Yes","",IFERROR(H37*N37*O37,0))</x:f>
        <x:v>20</x:v>
      </x:c>
      <x:c r="Q37" s="30" t="n">
        <x:f>IF(P37="","",G37*P37)</x:f>
        <x:v>40</x:v>
      </x:c>
      <x:c r="R37" s="30" t="str">
        <x:f>IF(K37="","",IFERROR(REGEXEXTRACT(K37,"https?://([^/]+)"),""))</x:f>
      </x:c>
      <x:c r="S37" s="30" t="str">
        <x:f>IF(R37&lt;&gt;"",LOWER(R37),IF(J37&lt;&gt;"",LOWER(J37),""))</x:f>
        <x:v>pilot estimate — replace/verify</x:v>
      </x:c>
      <x:c r="T37" s="30" t="str">
        <x:v>Pilot score row. Add source-backed evidence rows and/or set this row to Include_in_Scoring = No before publication.</x:v>
      </x:c>
      <x:c r="U37" s="30" t="str">
        <x:v>No</x:v>
      </x:c>
      <x:c r="V37" s="30" t="str">
        <x:v>Yes</x:v>
      </x:c>
      <x:c r="W37" s="30" t="str">
        <x:f>IF(B37="","",IF(V37&lt;&gt;"Yes","Excluded",IF(OR(G37="",H37="",I37=""),"Needs review","Included")))</x:f>
        <x:v>Included</x:v>
      </x:c>
    </x:row>
    <x:row r="38">
      <x:c r="A38" s="30" t="str">
        <x:f>IF(B38="","","EV-"&amp;TEXT(ROW()-1,"0000"))</x:f>
        <x:v>EV-0037</x:v>
      </x:c>
      <x:c r="B38" s="30" t="str">
        <x:v>Poland</x:v>
      </x:c>
      <x:c r="C38" s="30" t="str">
        <x:f>IF(B38="","",IFERROR(VLOOKUP(B38,Country_Config!$A$2:$G$100,2,FALSE),""))</x:f>
        <x:v>POL</x:v>
      </x:c>
      <x:c r="D38" s="30" t="str">
        <x:f>IF(B38="","",IFERROR(VLOOKUP(B38,Country_Config!$A$2:$G$100,3,FALSE),""))</x:f>
        <x:v>Europe</x:v>
      </x:c>
      <x:c r="E38" s="30" t="str">
        <x:v>Russian influence</x:v>
      </x:c>
      <x:c r="F38" s="30" t="str">
        <x:v>Pilot baseline estimate</x:v>
      </x:c>
      <x:c r="G38" s="30" t="n">
        <x:v>3</x:v>
      </x:c>
      <x:c r="H38" s="30" t="n">
        <x:f>IF(OR(E38="",F38=""),"",IFERROR(VLOOKUP(E38&amp;"|"&amp;F38,Rules_Weights!$A$2:$E$120,4,FALSE),100))</x:f>
        <x:v>100</x:v>
      </x:c>
      <x:c r="I38" s="30" t="str">
        <x:v>Unverified</x:v>
      </x:c>
      <x:c r="J38" s="30" t="str">
        <x:v>Pilot estimate — replace/verify</x:v>
      </x:c>
      <x:c r="K38" s="30" t="str"/>
      <x:c r="L38" s="30" t="n">
        <x:v>45658</x:v>
      </x:c>
      <x:c r="M38" s="30" t="n">
        <x:v>46151</x:v>
      </x:c>
      <x:c r="N38" s="30" t="n">
        <x:f>IF(I38="","",IFERROR(VLOOKUP(I38,Lookups!$A$2:$B$5,2,FALSE),0))</x:f>
        <x:v>0.25</x:v>
      </x:c>
      <x:c r="O38" s="30" t="n">
        <x:f>IF(OR(L38="",V38&lt;&gt;"Yes"),"",IF(U38="Yes",1,IFS(TODAY()-L38&lt;=365,1,TODAY()-L38&lt;=730,0.8,TODAY()-L38&lt;=1460,0.6,TRUE,0.4)))</x:f>
        <x:v>0.8</x:v>
      </x:c>
      <x:c r="P38" s="30" t="n">
        <x:f>IF(V38&lt;&gt;"Yes","",IFERROR(H38*N38*O38,0))</x:f>
        <x:v>20</x:v>
      </x:c>
      <x:c r="Q38" s="30" t="n">
        <x:f>IF(P38="","",G38*P38)</x:f>
        <x:v>60</x:v>
      </x:c>
      <x:c r="R38" s="30" t="str">
        <x:f>IF(K38="","",IFERROR(REGEXEXTRACT(K38,"https?://([^/]+)"),""))</x:f>
      </x:c>
      <x:c r="S38" s="30" t="str">
        <x:f>IF(R38&lt;&gt;"",LOWER(R38),IF(J38&lt;&gt;"",LOWER(J38),""))</x:f>
        <x:v>pilot estimate — replace/verify</x:v>
      </x:c>
      <x:c r="T38" s="30" t="str">
        <x:v>Pilot score row. Add source-backed evidence rows and/or set this row to Include_in_Scoring = No before publication.</x:v>
      </x:c>
      <x:c r="U38" s="30" t="str">
        <x:v>No</x:v>
      </x:c>
      <x:c r="V38" s="30" t="str">
        <x:v>Yes</x:v>
      </x:c>
      <x:c r="W38" s="30" t="str">
        <x:f>IF(B38="","",IF(V38&lt;&gt;"Yes","Excluded",IF(OR(G38="",H38="",I38=""),"Needs review","Included")))</x:f>
        <x:v>Included</x:v>
      </x:c>
    </x:row>
    <x:row r="39">
      <x:c r="A39" s="30" t="str">
        <x:f>IF(B39="","","EV-"&amp;TEXT(ROW()-1,"0000"))</x:f>
        <x:v>EV-0038</x:v>
      </x:c>
      <x:c r="B39" s="30" t="str">
        <x:v>Poland</x:v>
      </x:c>
      <x:c r="C39" s="30" t="str">
        <x:f>IF(B39="","",IFERROR(VLOOKUP(B39,Country_Config!$A$2:$G$100,2,FALSE),""))</x:f>
        <x:v>POL</x:v>
      </x:c>
      <x:c r="D39" s="30" t="str">
        <x:f>IF(B39="","",IFERROR(VLOOKUP(B39,Country_Config!$A$2:$G$100,3,FALSE),""))</x:f>
        <x:v>Europe</x:v>
      </x:c>
      <x:c r="E39" s="30" t="str">
        <x:v>PMC presence</x:v>
      </x:c>
      <x:c r="F39" s="30" t="str">
        <x:v>Pilot baseline estimate</x:v>
      </x:c>
      <x:c r="G39" s="30" t="n">
        <x:v>0</x:v>
      </x:c>
      <x:c r="H39" s="30" t="n">
        <x:f>IF(OR(E39="",F39=""),"",IFERROR(VLOOKUP(E39&amp;"|"&amp;F39,Rules_Weights!$A$2:$E$120,4,FALSE),100))</x:f>
        <x:v>100</x:v>
      </x:c>
      <x:c r="I39" s="30" t="str">
        <x:v>Unverified</x:v>
      </x:c>
      <x:c r="J39" s="30" t="str">
        <x:v>Pilot estimate — replace/verify</x:v>
      </x:c>
      <x:c r="K39" s="30" t="str"/>
      <x:c r="L39" s="30" t="n">
        <x:v>45658</x:v>
      </x:c>
      <x:c r="M39" s="30" t="n">
        <x:v>46151</x:v>
      </x:c>
      <x:c r="N39" s="30" t="n">
        <x:f>IF(I39="","",IFERROR(VLOOKUP(I39,Lookups!$A$2:$B$5,2,FALSE),0))</x:f>
        <x:v>0.25</x:v>
      </x:c>
      <x:c r="O39" s="30" t="n">
        <x:f>IF(OR(L39="",V39&lt;&gt;"Yes"),"",IF(U39="Yes",1,IFS(TODAY()-L39&lt;=365,1,TODAY()-L39&lt;=730,0.8,TODAY()-L39&lt;=1460,0.6,TRUE,0.4)))</x:f>
        <x:v>0.8</x:v>
      </x:c>
      <x:c r="P39" s="30" t="n">
        <x:f>IF(V39&lt;&gt;"Yes","",IFERROR(H39*N39*O39,0))</x:f>
        <x:v>20</x:v>
      </x:c>
      <x:c r="Q39" s="30" t="n">
        <x:f>IF(P39="","",G39*P39)</x:f>
        <x:v>0</x:v>
      </x:c>
      <x:c r="R39" s="30" t="str">
        <x:f>IF(K39="","",IFERROR(REGEXEXTRACT(K39,"https?://([^/]+)"),""))</x:f>
      </x:c>
      <x:c r="S39" s="30" t="str">
        <x:f>IF(R39&lt;&gt;"",LOWER(R39),IF(J39&lt;&gt;"",LOWER(J39),""))</x:f>
        <x:v>pilot estimate — replace/verify</x:v>
      </x:c>
      <x:c r="T39" s="30" t="str">
        <x:v>Pilot score row. Add source-backed evidence rows and/or set this row to Include_in_Scoring = No before publication.</x:v>
      </x:c>
      <x:c r="U39" s="30" t="str">
        <x:v>No</x:v>
      </x:c>
      <x:c r="V39" s="30" t="str">
        <x:v>Yes</x:v>
      </x:c>
      <x:c r="W39" s="30" t="str">
        <x:f>IF(B39="","",IF(V39&lt;&gt;"Yes","Excluded",IF(OR(G39="",H39="",I39=""),"Needs review","Included")))</x:f>
        <x:v>Needs review</x:v>
      </x:c>
    </x:row>
    <x:row r="40">
      <x:c r="A40" s="30" t="str">
        <x:f>IF(B40="","","EV-"&amp;TEXT(ROW()-1,"0000"))</x:f>
        <x:v>EV-0039</x:v>
      </x:c>
      <x:c r="B40" s="30" t="str">
        <x:v>Poland</x:v>
      </x:c>
      <x:c r="C40" s="30" t="str">
        <x:f>IF(B40="","",IFERROR(VLOOKUP(B40,Country_Config!$A$2:$G$100,2,FALSE),""))</x:f>
        <x:v>POL</x:v>
      </x:c>
      <x:c r="D40" s="30" t="str">
        <x:f>IF(B40="","",IFERROR(VLOOKUP(B40,Country_Config!$A$2:$G$100,3,FALSE),""))</x:f>
        <x:v>Europe</x:v>
      </x:c>
      <x:c r="E40" s="30" t="str">
        <x:v>Propaganda ecosystems</x:v>
      </x:c>
      <x:c r="F40" s="30" t="str">
        <x:v>Pilot baseline estimate</x:v>
      </x:c>
      <x:c r="G40" s="30" t="n">
        <x:v>3</x:v>
      </x:c>
      <x:c r="H40" s="30" t="n">
        <x:f>IF(OR(E40="",F40=""),"",IFERROR(VLOOKUP(E40&amp;"|"&amp;F40,Rules_Weights!$A$2:$E$120,4,FALSE),100))</x:f>
        <x:v>100</x:v>
      </x:c>
      <x:c r="I40" s="30" t="str">
        <x:v>Unverified</x:v>
      </x:c>
      <x:c r="J40" s="30" t="str">
        <x:v>Pilot estimate — replace/verify</x:v>
      </x:c>
      <x:c r="K40" s="30" t="str"/>
      <x:c r="L40" s="30" t="n">
        <x:v>45658</x:v>
      </x:c>
      <x:c r="M40" s="30" t="n">
        <x:v>46151</x:v>
      </x:c>
      <x:c r="N40" s="30" t="n">
        <x:f>IF(I40="","",IFERROR(VLOOKUP(I40,Lookups!$A$2:$B$5,2,FALSE),0))</x:f>
        <x:v>0.25</x:v>
      </x:c>
      <x:c r="O40" s="30" t="n">
        <x:f>IF(OR(L40="",V40&lt;&gt;"Yes"),"",IF(U40="Yes",1,IFS(TODAY()-L40&lt;=365,1,TODAY()-L40&lt;=730,0.8,TODAY()-L40&lt;=1460,0.6,TRUE,0.4)))</x:f>
        <x:v>0.8</x:v>
      </x:c>
      <x:c r="P40" s="30" t="n">
        <x:f>IF(V40&lt;&gt;"Yes","",IFERROR(H40*N40*O40,0))</x:f>
        <x:v>20</x:v>
      </x:c>
      <x:c r="Q40" s="30" t="n">
        <x:f>IF(P40="","",G40*P40)</x:f>
        <x:v>60</x:v>
      </x:c>
      <x:c r="R40" s="30" t="str">
        <x:f>IF(K40="","",IFERROR(REGEXEXTRACT(K40,"https?://([^/]+)"),""))</x:f>
      </x:c>
      <x:c r="S40" s="30" t="str">
        <x:f>IF(R40&lt;&gt;"",LOWER(R40),IF(J40&lt;&gt;"",LOWER(J40),""))</x:f>
        <x:v>pilot estimate — replace/verify</x:v>
      </x:c>
      <x:c r="T40" s="30" t="str">
        <x:v>Pilot score row. Add source-backed evidence rows and/or set this row to Include_in_Scoring = No before publication.</x:v>
      </x:c>
      <x:c r="U40" s="30" t="str">
        <x:v>No</x:v>
      </x:c>
      <x:c r="V40" s="30" t="str">
        <x:v>Yes</x:v>
      </x:c>
      <x:c r="W40" s="30" t="str">
        <x:f>IF(B40="","",IF(V40&lt;&gt;"Yes","Excluded",IF(OR(G40="",H40="",I40=""),"Needs review","Included")))</x:f>
        <x:v>Included</x:v>
      </x:c>
    </x:row>
    <x:row r="41">
      <x:c r="A41" s="30" t="str">
        <x:f>IF(B41="","","EV-"&amp;TEXT(ROW()-1,"0000"))</x:f>
        <x:v>EV-0040</x:v>
      </x:c>
      <x:c r="B41" s="30" t="str">
        <x:v>Poland</x:v>
      </x:c>
      <x:c r="C41" s="30" t="str">
        <x:f>IF(B41="","",IFERROR(VLOOKUP(B41,Country_Config!$A$2:$G$100,2,FALSE),""))</x:f>
        <x:v>POL</x:v>
      </x:c>
      <x:c r="D41" s="30" t="str">
        <x:f>IF(B41="","",IFERROR(VLOOKUP(B41,Country_Config!$A$2:$G$100,3,FALSE),""))</x:f>
        <x:v>Europe</x:v>
      </x:c>
      <x:c r="E41" s="30" t="str">
        <x:v>Election interference</x:v>
      </x:c>
      <x:c r="F41" s="30" t="str">
        <x:v>Pilot baseline estimate</x:v>
      </x:c>
      <x:c r="G41" s="30" t="n">
        <x:v>3</x:v>
      </x:c>
      <x:c r="H41" s="30" t="n">
        <x:f>IF(OR(E41="",F41=""),"",IFERROR(VLOOKUP(E41&amp;"|"&amp;F41,Rules_Weights!$A$2:$E$120,4,FALSE),100))</x:f>
        <x:v>100</x:v>
      </x:c>
      <x:c r="I41" s="30" t="str">
        <x:v>Unverified</x:v>
      </x:c>
      <x:c r="J41" s="30" t="str">
        <x:v>Pilot estimate — replace/verify</x:v>
      </x:c>
      <x:c r="K41" s="30" t="str"/>
      <x:c r="L41" s="30" t="n">
        <x:v>45658</x:v>
      </x:c>
      <x:c r="M41" s="30" t="n">
        <x:v>46151</x:v>
      </x:c>
      <x:c r="N41" s="30" t="n">
        <x:f>IF(I41="","",IFERROR(VLOOKUP(I41,Lookups!$A$2:$B$5,2,FALSE),0))</x:f>
        <x:v>0.25</x:v>
      </x:c>
      <x:c r="O41" s="30" t="n">
        <x:f>IF(OR(L41="",V41&lt;&gt;"Yes"),"",IF(U41="Yes",1,IFS(TODAY()-L41&lt;=365,1,TODAY()-L41&lt;=730,0.8,TODAY()-L41&lt;=1460,0.6,TRUE,0.4)))</x:f>
        <x:v>0.8</x:v>
      </x:c>
      <x:c r="P41" s="30" t="n">
        <x:f>IF(V41&lt;&gt;"Yes","",IFERROR(H41*N41*O41,0))</x:f>
        <x:v>20</x:v>
      </x:c>
      <x:c r="Q41" s="30" t="n">
        <x:f>IF(P41="","",G41*P41)</x:f>
        <x:v>60</x:v>
      </x:c>
      <x:c r="R41" s="30" t="str">
        <x:f>IF(K41="","",IFERROR(REGEXEXTRACT(K41,"https?://([^/]+)"),""))</x:f>
      </x:c>
      <x:c r="S41" s="30" t="str">
        <x:f>IF(R41&lt;&gt;"",LOWER(R41),IF(J41&lt;&gt;"",LOWER(J41),""))</x:f>
        <x:v>pilot estimate — replace/verify</x:v>
      </x:c>
      <x:c r="T41" s="30" t="str">
        <x:v>Pilot score row. Add source-backed evidence rows and/or set this row to Include_in_Scoring = No before publication.</x:v>
      </x:c>
      <x:c r="U41" s="30" t="str">
        <x:v>No</x:v>
      </x:c>
      <x:c r="V41" s="30" t="str">
        <x:v>Yes</x:v>
      </x:c>
      <x:c r="W41" s="30" t="str">
        <x:f>IF(B41="","",IF(V41&lt;&gt;"Yes","Excluded",IF(OR(G41="",H41="",I41=""),"Needs review","Included")))</x:f>
        <x:v>Included</x:v>
      </x:c>
    </x:row>
    <x:row r="42">
      <x:c r="A42" s="30" t="str">
        <x:f>IF(B42="","","EV-"&amp;TEXT(ROW()-1,"0000"))</x:f>
      </x:c>
      <x:c r="B42" s="30"/>
      <x:c r="C42" s="30" t="str">
        <x:f>IF(B42="","",IFERROR(VLOOKUP(B42,Country_Config!$A$2:$G$100,2,FALSE),""))</x:f>
      </x:c>
      <x:c r="D42" s="30" t="str">
        <x:f>IF(B42="","",IFERROR(VLOOKUP(B42,Country_Config!$A$2:$G$100,3,FALSE),""))</x:f>
      </x:c>
      <x:c r="E42" s="30"/>
      <x:c r="F42" s="30"/>
      <x:c r="G42" s="30"/>
      <x:c r="H42" s="30" t="str">
        <x:f>IF(OR(E42="",F42=""),"",IFERROR(VLOOKUP(E42&amp;"|"&amp;F42,Rules_Weights!$A$2:$E$120,4,FALSE),100))</x:f>
      </x:c>
      <x:c r="I42" s="30"/>
      <x:c r="J42" s="30"/>
      <x:c r="K42" s="30"/>
      <x:c r="L42" s="30"/>
      <x:c r="M42" s="30"/>
      <x:c r="N42" s="30" t="str">
        <x:f>IF(I42="","",IFERROR(VLOOKUP(I42,Lookups!$A$2:$B$5,2,FALSE),0))</x:f>
      </x:c>
      <x:c r="O42" s="30" t="str">
        <x:f>IF(OR(L42="",V42&lt;&gt;"Yes"),"",IF(U42="Yes",1,IFS(TODAY()-L42&lt;=365,1,TODAY()-L42&lt;=730,0.8,TODAY()-L42&lt;=1460,0.6,TRUE,0.4)))</x:f>
      </x:c>
      <x:c r="P42" s="30" t="str">
        <x:f>IF(V42&lt;&gt;"Yes","",IFERROR(H42*N42*O42,0))</x:f>
      </x:c>
      <x:c r="Q42" s="30" t="str">
        <x:f>IF(P42="","",G42*P42)</x:f>
      </x:c>
      <x:c r="R42" s="30" t="str">
        <x:f>IF(K42="","",IFERROR(REGEXEXTRACT(K42,"https?://([^/]+)"),""))</x:f>
      </x:c>
      <x:c r="S42" s="30" t="str">
        <x:f>IF(R42&lt;&gt;"",LOWER(R42),IF(J42&lt;&gt;"",LOWER(J42),""))</x:f>
      </x:c>
      <x:c r="T42" s="30"/>
      <x:c r="U42" s="30"/>
      <x:c r="V42" s="30"/>
      <x:c r="W42" s="30" t="str">
        <x:f>IF(B42="","",IF(V42&lt;&gt;"Yes","Excluded",IF(OR(G42="",H42="",I42=""),"Needs review","Included")))</x:f>
      </x:c>
    </x:row>
    <x:row r="43">
      <x:c r="A43" s="30" t="str">
        <x:f>IF(B43="","","EV-"&amp;TEXT(ROW()-1,"0000"))</x:f>
      </x:c>
      <x:c r="B43" s="30"/>
      <x:c r="C43" s="30" t="str">
        <x:f>IF(B43="","",IFERROR(VLOOKUP(B43,Country_Config!$A$2:$G$100,2,FALSE),""))</x:f>
      </x:c>
      <x:c r="D43" s="30" t="str">
        <x:f>IF(B43="","",IFERROR(VLOOKUP(B43,Country_Config!$A$2:$G$100,3,FALSE),""))</x:f>
      </x:c>
      <x:c r="E43" s="30"/>
      <x:c r="F43" s="30"/>
      <x:c r="G43" s="30"/>
      <x:c r="H43" s="30" t="str">
        <x:f>IF(OR(E43="",F43=""),"",IFERROR(VLOOKUP(E43&amp;"|"&amp;F43,Rules_Weights!$A$2:$E$120,4,FALSE),100))</x:f>
      </x:c>
      <x:c r="I43" s="30"/>
      <x:c r="J43" s="30"/>
      <x:c r="K43" s="30"/>
      <x:c r="L43" s="30"/>
      <x:c r="M43" s="30"/>
      <x:c r="N43" s="30" t="str">
        <x:f>IF(I43="","",IFERROR(VLOOKUP(I43,Lookups!$A$2:$B$5,2,FALSE),0))</x:f>
      </x:c>
      <x:c r="O43" s="30" t="str">
        <x:f>IF(OR(L43="",V43&lt;&gt;"Yes"),"",IF(U43="Yes",1,IFS(TODAY()-L43&lt;=365,1,TODAY()-L43&lt;=730,0.8,TODAY()-L43&lt;=1460,0.6,TRUE,0.4)))</x:f>
      </x:c>
      <x:c r="P43" s="30" t="str">
        <x:f>IF(V43&lt;&gt;"Yes","",IFERROR(H43*N43*O43,0))</x:f>
      </x:c>
      <x:c r="Q43" s="30" t="str">
        <x:f>IF(P43="","",G43*P43)</x:f>
      </x:c>
      <x:c r="R43" s="30" t="str">
        <x:f>IF(K43="","",IFERROR(REGEXEXTRACT(K43,"https?://([^/]+)"),""))</x:f>
      </x:c>
      <x:c r="S43" s="30" t="str">
        <x:f>IF(R43&lt;&gt;"",LOWER(R43),IF(J43&lt;&gt;"",LOWER(J43),""))</x:f>
      </x:c>
      <x:c r="T43" s="30"/>
      <x:c r="U43" s="30"/>
      <x:c r="V43" s="30"/>
      <x:c r="W43" s="30" t="str">
        <x:f>IF(B43="","",IF(V43&lt;&gt;"Yes","Excluded",IF(OR(G43="",H43="",I43=""),"Needs review","Included")))</x:f>
      </x:c>
    </x:row>
    <x:row r="44">
      <x:c r="A44" s="30" t="str">
        <x:f>IF(B44="","","EV-"&amp;TEXT(ROW()-1,"0000"))</x:f>
      </x:c>
      <x:c r="B44" s="30"/>
      <x:c r="C44" s="30" t="str">
        <x:f>IF(B44="","",IFERROR(VLOOKUP(B44,Country_Config!$A$2:$G$100,2,FALSE),""))</x:f>
      </x:c>
      <x:c r="D44" s="30" t="str">
        <x:f>IF(B44="","",IFERROR(VLOOKUP(B44,Country_Config!$A$2:$G$100,3,FALSE),""))</x:f>
      </x:c>
      <x:c r="E44" s="30"/>
      <x:c r="F44" s="30"/>
      <x:c r="G44" s="30"/>
      <x:c r="H44" s="30" t="str">
        <x:f>IF(OR(E44="",F44=""),"",IFERROR(VLOOKUP(E44&amp;"|"&amp;F44,Rules_Weights!$A$2:$E$120,4,FALSE),100))</x:f>
      </x:c>
      <x:c r="I44" s="30"/>
      <x:c r="J44" s="30"/>
      <x:c r="K44" s="30"/>
      <x:c r="L44" s="30"/>
      <x:c r="M44" s="30"/>
      <x:c r="N44" s="30" t="str">
        <x:f>IF(I44="","",IFERROR(VLOOKUP(I44,Lookups!$A$2:$B$5,2,FALSE),0))</x:f>
      </x:c>
      <x:c r="O44" s="30" t="str">
        <x:f>IF(OR(L44="",V44&lt;&gt;"Yes"),"",IF(U44="Yes",1,IFS(TODAY()-L44&lt;=365,1,TODAY()-L44&lt;=730,0.8,TODAY()-L44&lt;=1460,0.6,TRUE,0.4)))</x:f>
      </x:c>
      <x:c r="P44" s="30" t="str">
        <x:f>IF(V44&lt;&gt;"Yes","",IFERROR(H44*N44*O44,0))</x:f>
      </x:c>
      <x:c r="Q44" s="30" t="str">
        <x:f>IF(P44="","",G44*P44)</x:f>
      </x:c>
      <x:c r="R44" s="30" t="str">
        <x:f>IF(K44="","",IFERROR(REGEXEXTRACT(K44,"https?://([^/]+)"),""))</x:f>
      </x:c>
      <x:c r="S44" s="30" t="str">
        <x:f>IF(R44&lt;&gt;"",LOWER(R44),IF(J44&lt;&gt;"",LOWER(J44),""))</x:f>
      </x:c>
      <x:c r="T44" s="30"/>
      <x:c r="U44" s="30"/>
      <x:c r="V44" s="30"/>
      <x:c r="W44" s="30" t="str">
        <x:f>IF(B44="","",IF(V44&lt;&gt;"Yes","Excluded",IF(OR(G44="",H44="",I44=""),"Needs review","Included")))</x:f>
      </x:c>
    </x:row>
    <x:row r="45">
      <x:c r="A45" s="30" t="str">
        <x:f>IF(B45="","","EV-"&amp;TEXT(ROW()-1,"0000"))</x:f>
      </x:c>
      <x:c r="B45" s="30"/>
      <x:c r="C45" s="30" t="str">
        <x:f>IF(B45="","",IFERROR(VLOOKUP(B45,Country_Config!$A$2:$G$100,2,FALSE),""))</x:f>
      </x:c>
      <x:c r="D45" s="30" t="str">
        <x:f>IF(B45="","",IFERROR(VLOOKUP(B45,Country_Config!$A$2:$G$100,3,FALSE),""))</x:f>
      </x:c>
      <x:c r="E45" s="30"/>
      <x:c r="F45" s="30"/>
      <x:c r="G45" s="30"/>
      <x:c r="H45" s="30" t="str">
        <x:f>IF(OR(E45="",F45=""),"",IFERROR(VLOOKUP(E45&amp;"|"&amp;F45,Rules_Weights!$A$2:$E$120,4,FALSE),100))</x:f>
      </x:c>
      <x:c r="I45" s="30"/>
      <x:c r="J45" s="30"/>
      <x:c r="K45" s="30"/>
      <x:c r="L45" s="30"/>
      <x:c r="M45" s="30"/>
      <x:c r="N45" s="30" t="str">
        <x:f>IF(I45="","",IFERROR(VLOOKUP(I45,Lookups!$A$2:$B$5,2,FALSE),0))</x:f>
      </x:c>
      <x:c r="O45" s="30" t="str">
        <x:f>IF(OR(L45="",V45&lt;&gt;"Yes"),"",IF(U45="Yes",1,IFS(TODAY()-L45&lt;=365,1,TODAY()-L45&lt;=730,0.8,TODAY()-L45&lt;=1460,0.6,TRUE,0.4)))</x:f>
      </x:c>
      <x:c r="P45" s="30" t="str">
        <x:f>IF(V45&lt;&gt;"Yes","",IFERROR(H45*N45*O45,0))</x:f>
      </x:c>
      <x:c r="Q45" s="30" t="str">
        <x:f>IF(P45="","",G45*P45)</x:f>
      </x:c>
      <x:c r="R45" s="30" t="str">
        <x:f>IF(K45="","",IFERROR(REGEXEXTRACT(K45,"https?://([^/]+)"),""))</x:f>
      </x:c>
      <x:c r="S45" s="30" t="str">
        <x:f>IF(R45&lt;&gt;"",LOWER(R45),IF(J45&lt;&gt;"",LOWER(J45),""))</x:f>
      </x:c>
      <x:c r="T45" s="30"/>
      <x:c r="U45" s="30"/>
      <x:c r="V45" s="30"/>
      <x:c r="W45" s="30" t="str">
        <x:f>IF(B45="","",IF(V45&lt;&gt;"Yes","Excluded",IF(OR(G45="",H45="",I45=""),"Needs review","Included")))</x:f>
      </x:c>
    </x:row>
    <x:row r="46">
      <x:c r="A46" s="30" t="str">
        <x:f>IF(B46="","","EV-"&amp;TEXT(ROW()-1,"0000"))</x:f>
      </x:c>
      <x:c r="B46" s="30"/>
      <x:c r="C46" s="30" t="str">
        <x:f>IF(B46="","",IFERROR(VLOOKUP(B46,Country_Config!$A$2:$G$100,2,FALSE),""))</x:f>
      </x:c>
      <x:c r="D46" s="30" t="str">
        <x:f>IF(B46="","",IFERROR(VLOOKUP(B46,Country_Config!$A$2:$G$100,3,FALSE),""))</x:f>
      </x:c>
      <x:c r="E46" s="30"/>
      <x:c r="F46" s="30"/>
      <x:c r="G46" s="30"/>
      <x:c r="H46" s="30" t="str">
        <x:f>IF(OR(E46="",F46=""),"",IFERROR(VLOOKUP(E46&amp;"|"&amp;F46,Rules_Weights!$A$2:$E$120,4,FALSE),100))</x:f>
      </x:c>
      <x:c r="I46" s="30"/>
      <x:c r="J46" s="30"/>
      <x:c r="K46" s="30"/>
      <x:c r="L46" s="30"/>
      <x:c r="M46" s="30"/>
      <x:c r="N46" s="30" t="str">
        <x:f>IF(I46="","",IFERROR(VLOOKUP(I46,Lookups!$A$2:$B$5,2,FALSE),0))</x:f>
      </x:c>
      <x:c r="O46" s="30" t="str">
        <x:f>IF(OR(L46="",V46&lt;&gt;"Yes"),"",IF(U46="Yes",1,IFS(TODAY()-L46&lt;=365,1,TODAY()-L46&lt;=730,0.8,TODAY()-L46&lt;=1460,0.6,TRUE,0.4)))</x:f>
      </x:c>
      <x:c r="P46" s="30" t="str">
        <x:f>IF(V46&lt;&gt;"Yes","",IFERROR(H46*N46*O46,0))</x:f>
      </x:c>
      <x:c r="Q46" s="30" t="str">
        <x:f>IF(P46="","",G46*P46)</x:f>
      </x:c>
      <x:c r="R46" s="30" t="str">
        <x:f>IF(K46="","",IFERROR(REGEXEXTRACT(K46,"https?://([^/]+)"),""))</x:f>
      </x:c>
      <x:c r="S46" s="30" t="str">
        <x:f>IF(R46&lt;&gt;"",LOWER(R46),IF(J46&lt;&gt;"",LOWER(J46),""))</x:f>
      </x:c>
      <x:c r="T46" s="30"/>
      <x:c r="U46" s="30"/>
      <x:c r="V46" s="30"/>
      <x:c r="W46" s="30" t="str">
        <x:f>IF(B46="","",IF(V46&lt;&gt;"Yes","Excluded",IF(OR(G46="",H46="",I46=""),"Needs review","Included")))</x:f>
      </x:c>
    </x:row>
    <x:row r="47">
      <x:c r="A47" s="30" t="str">
        <x:f>IF(B47="","","EV-"&amp;TEXT(ROW()-1,"0000"))</x:f>
      </x:c>
      <x:c r="B47" s="30"/>
      <x:c r="C47" s="30" t="str">
        <x:f>IF(B47="","",IFERROR(VLOOKUP(B47,Country_Config!$A$2:$G$100,2,FALSE),""))</x:f>
      </x:c>
      <x:c r="D47" s="30" t="str">
        <x:f>IF(B47="","",IFERROR(VLOOKUP(B47,Country_Config!$A$2:$G$100,3,FALSE),""))</x:f>
      </x:c>
      <x:c r="E47" s="30"/>
      <x:c r="F47" s="30"/>
      <x:c r="G47" s="30"/>
      <x:c r="H47" s="30" t="str">
        <x:f>IF(OR(E47="",F47=""),"",IFERROR(VLOOKUP(E47&amp;"|"&amp;F47,Rules_Weights!$A$2:$E$120,4,FALSE),100))</x:f>
      </x:c>
      <x:c r="I47" s="30"/>
      <x:c r="J47" s="30"/>
      <x:c r="K47" s="30"/>
      <x:c r="L47" s="30"/>
      <x:c r="M47" s="30"/>
      <x:c r="N47" s="30" t="str">
        <x:f>IF(I47="","",IFERROR(VLOOKUP(I47,Lookups!$A$2:$B$5,2,FALSE),0))</x:f>
      </x:c>
      <x:c r="O47" s="30" t="str">
        <x:f>IF(OR(L47="",V47&lt;&gt;"Yes"),"",IF(U47="Yes",1,IFS(TODAY()-L47&lt;=365,1,TODAY()-L47&lt;=730,0.8,TODAY()-L47&lt;=1460,0.6,TRUE,0.4)))</x:f>
      </x:c>
      <x:c r="P47" s="30" t="str">
        <x:f>IF(V47&lt;&gt;"Yes","",IFERROR(H47*N47*O47,0))</x:f>
      </x:c>
      <x:c r="Q47" s="30" t="str">
        <x:f>IF(P47="","",G47*P47)</x:f>
      </x:c>
      <x:c r="R47" s="30" t="str">
        <x:f>IF(K47="","",IFERROR(REGEXEXTRACT(K47,"https?://([^/]+)"),""))</x:f>
      </x:c>
      <x:c r="S47" s="30" t="str">
        <x:f>IF(R47&lt;&gt;"",LOWER(R47),IF(J47&lt;&gt;"",LOWER(J47),""))</x:f>
      </x:c>
      <x:c r="T47" s="30"/>
      <x:c r="U47" s="30"/>
      <x:c r="V47" s="30"/>
      <x:c r="W47" s="30" t="str">
        <x:f>IF(B47="","",IF(V47&lt;&gt;"Yes","Excluded",IF(OR(G47="",H47="",I47=""),"Needs review","Included")))</x:f>
      </x:c>
    </x:row>
    <x:row r="48">
      <x:c r="A48" s="30" t="str">
        <x:f>IF(B48="","","EV-"&amp;TEXT(ROW()-1,"0000"))</x:f>
      </x:c>
      <x:c r="B48" s="30"/>
      <x:c r="C48" s="30" t="str">
        <x:f>IF(B48="","",IFERROR(VLOOKUP(B48,Country_Config!$A$2:$G$100,2,FALSE),""))</x:f>
      </x:c>
      <x:c r="D48" s="30" t="str">
        <x:f>IF(B48="","",IFERROR(VLOOKUP(B48,Country_Config!$A$2:$G$100,3,FALSE),""))</x:f>
      </x:c>
      <x:c r="E48" s="30"/>
      <x:c r="F48" s="30"/>
      <x:c r="G48" s="30"/>
      <x:c r="H48" s="30" t="str">
        <x:f>IF(OR(E48="",F48=""),"",IFERROR(VLOOKUP(E48&amp;"|"&amp;F48,Rules_Weights!$A$2:$E$120,4,FALSE),100))</x:f>
      </x:c>
      <x:c r="I48" s="30"/>
      <x:c r="J48" s="30"/>
      <x:c r="K48" s="30"/>
      <x:c r="L48" s="30"/>
      <x:c r="M48" s="30"/>
      <x:c r="N48" s="30" t="str">
        <x:f>IF(I48="","",IFERROR(VLOOKUP(I48,Lookups!$A$2:$B$5,2,FALSE),0))</x:f>
      </x:c>
      <x:c r="O48" s="30" t="str">
        <x:f>IF(OR(L48="",V48&lt;&gt;"Yes"),"",IF(U48="Yes",1,IFS(TODAY()-L48&lt;=365,1,TODAY()-L48&lt;=730,0.8,TODAY()-L48&lt;=1460,0.6,TRUE,0.4)))</x:f>
      </x:c>
      <x:c r="P48" s="30" t="str">
        <x:f>IF(V48&lt;&gt;"Yes","",IFERROR(H48*N48*O48,0))</x:f>
      </x:c>
      <x:c r="Q48" s="30" t="str">
        <x:f>IF(P48="","",G48*P48)</x:f>
      </x:c>
      <x:c r="R48" s="30" t="str">
        <x:f>IF(K48="","",IFERROR(REGEXEXTRACT(K48,"https?://([^/]+)"),""))</x:f>
      </x:c>
      <x:c r="S48" s="30" t="str">
        <x:f>IF(R48&lt;&gt;"",LOWER(R48),IF(J48&lt;&gt;"",LOWER(J48),""))</x:f>
      </x:c>
      <x:c r="T48" s="30"/>
      <x:c r="U48" s="30"/>
      <x:c r="V48" s="30"/>
      <x:c r="W48" s="30" t="str">
        <x:f>IF(B48="","",IF(V48&lt;&gt;"Yes","Excluded",IF(OR(G48="",H48="",I48=""),"Needs review","Included")))</x:f>
      </x:c>
    </x:row>
    <x:row r="49">
      <x:c r="A49" s="30" t="str">
        <x:f>IF(B49="","","EV-"&amp;TEXT(ROW()-1,"0000"))</x:f>
      </x:c>
      <x:c r="B49" s="30"/>
      <x:c r="C49" s="30" t="str">
        <x:f>IF(B49="","",IFERROR(VLOOKUP(B49,Country_Config!$A$2:$G$100,2,FALSE),""))</x:f>
      </x:c>
      <x:c r="D49" s="30" t="str">
        <x:f>IF(B49="","",IFERROR(VLOOKUP(B49,Country_Config!$A$2:$G$100,3,FALSE),""))</x:f>
      </x:c>
      <x:c r="E49" s="30"/>
      <x:c r="F49" s="30"/>
      <x:c r="G49" s="30"/>
      <x:c r="H49" s="30" t="str">
        <x:f>IF(OR(E49="",F49=""),"",IFERROR(VLOOKUP(E49&amp;"|"&amp;F49,Rules_Weights!$A$2:$E$120,4,FALSE),100))</x:f>
      </x:c>
      <x:c r="I49" s="30"/>
      <x:c r="J49" s="30"/>
      <x:c r="K49" s="30"/>
      <x:c r="L49" s="30"/>
      <x:c r="M49" s="30"/>
      <x:c r="N49" s="30" t="str">
        <x:f>IF(I49="","",IFERROR(VLOOKUP(I49,Lookups!$A$2:$B$5,2,FALSE),0))</x:f>
      </x:c>
      <x:c r="O49" s="30" t="str">
        <x:f>IF(OR(L49="",V49&lt;&gt;"Yes"),"",IF(U49="Yes",1,IFS(TODAY()-L49&lt;=365,1,TODAY()-L49&lt;=730,0.8,TODAY()-L49&lt;=1460,0.6,TRUE,0.4)))</x:f>
      </x:c>
      <x:c r="P49" s="30" t="str">
        <x:f>IF(V49&lt;&gt;"Yes","",IFERROR(H49*N49*O49,0))</x:f>
      </x:c>
      <x:c r="Q49" s="30" t="str">
        <x:f>IF(P49="","",G49*P49)</x:f>
      </x:c>
      <x:c r="R49" s="30" t="str">
        <x:f>IF(K49="","",IFERROR(REGEXEXTRACT(K49,"https?://([^/]+)"),""))</x:f>
      </x:c>
      <x:c r="S49" s="30" t="str">
        <x:f>IF(R49&lt;&gt;"",LOWER(R49),IF(J49&lt;&gt;"",LOWER(J49),""))</x:f>
      </x:c>
      <x:c r="T49" s="30"/>
      <x:c r="U49" s="30"/>
      <x:c r="V49" s="30"/>
      <x:c r="W49" s="30" t="str">
        <x:f>IF(B49="","",IF(V49&lt;&gt;"Yes","Excluded",IF(OR(G49="",H49="",I49=""),"Needs review","Included")))</x:f>
      </x:c>
    </x:row>
    <x:row r="50">
      <x:c r="A50" s="30" t="str">
        <x:f>IF(B50="","","EV-"&amp;TEXT(ROW()-1,"0000"))</x:f>
      </x:c>
      <x:c r="B50" s="30"/>
      <x:c r="C50" s="30" t="str">
        <x:f>IF(B50="","",IFERROR(VLOOKUP(B50,Country_Config!$A$2:$G$100,2,FALSE),""))</x:f>
      </x:c>
      <x:c r="D50" s="30" t="str">
        <x:f>IF(B50="","",IFERROR(VLOOKUP(B50,Country_Config!$A$2:$G$100,3,FALSE),""))</x:f>
      </x:c>
      <x:c r="E50" s="30"/>
      <x:c r="F50" s="30"/>
      <x:c r="G50" s="30"/>
      <x:c r="H50" s="30" t="str">
        <x:f>IF(OR(E50="",F50=""),"",IFERROR(VLOOKUP(E50&amp;"|"&amp;F50,Rules_Weights!$A$2:$E$120,4,FALSE),100))</x:f>
      </x:c>
      <x:c r="I50" s="30"/>
      <x:c r="J50" s="30"/>
      <x:c r="K50" s="30"/>
      <x:c r="L50" s="30"/>
      <x:c r="M50" s="30"/>
      <x:c r="N50" s="30" t="str">
        <x:f>IF(I50="","",IFERROR(VLOOKUP(I50,Lookups!$A$2:$B$5,2,FALSE),0))</x:f>
      </x:c>
      <x:c r="O50" s="30" t="str">
        <x:f>IF(OR(L50="",V50&lt;&gt;"Yes"),"",IF(U50="Yes",1,IFS(TODAY()-L50&lt;=365,1,TODAY()-L50&lt;=730,0.8,TODAY()-L50&lt;=1460,0.6,TRUE,0.4)))</x:f>
      </x:c>
      <x:c r="P50" s="30" t="str">
        <x:f>IF(V50&lt;&gt;"Yes","",IFERROR(H50*N50*O50,0))</x:f>
      </x:c>
      <x:c r="Q50" s="30" t="str">
        <x:f>IF(P50="","",G50*P50)</x:f>
      </x:c>
      <x:c r="R50" s="30" t="str">
        <x:f>IF(K50="","",IFERROR(REGEXEXTRACT(K50,"https?://([^/]+)"),""))</x:f>
      </x:c>
      <x:c r="S50" s="30" t="str">
        <x:f>IF(R50&lt;&gt;"",LOWER(R50),IF(J50&lt;&gt;"",LOWER(J50),""))</x:f>
      </x:c>
      <x:c r="T50" s="30"/>
      <x:c r="U50" s="30"/>
      <x:c r="V50" s="30"/>
      <x:c r="W50" s="30" t="str">
        <x:f>IF(B50="","",IF(V50&lt;&gt;"Yes","Excluded",IF(OR(G50="",H50="",I50=""),"Needs review","Included")))</x:f>
      </x:c>
    </x:row>
    <x:row r="51">
      <x:c r="A51" s="30" t="str">
        <x:f>IF(B51="","","EV-"&amp;TEXT(ROW()-1,"0000"))</x:f>
      </x:c>
      <x:c r="B51" s="30"/>
      <x:c r="C51" s="30" t="str">
        <x:f>IF(B51="","",IFERROR(VLOOKUP(B51,Country_Config!$A$2:$G$100,2,FALSE),""))</x:f>
      </x:c>
      <x:c r="D51" s="30" t="str">
        <x:f>IF(B51="","",IFERROR(VLOOKUP(B51,Country_Config!$A$2:$G$100,3,FALSE),""))</x:f>
      </x:c>
      <x:c r="E51" s="30"/>
      <x:c r="F51" s="30"/>
      <x:c r="G51" s="30"/>
      <x:c r="H51" s="30" t="str">
        <x:f>IF(OR(E51="",F51=""),"",IFERROR(VLOOKUP(E51&amp;"|"&amp;F51,Rules_Weights!$A$2:$E$120,4,FALSE),100))</x:f>
      </x:c>
      <x:c r="I51" s="30"/>
      <x:c r="J51" s="30"/>
      <x:c r="K51" s="30"/>
      <x:c r="L51" s="30"/>
      <x:c r="M51" s="30"/>
      <x:c r="N51" s="30" t="str">
        <x:f>IF(I51="","",IFERROR(VLOOKUP(I51,Lookups!$A$2:$B$5,2,FALSE),0))</x:f>
      </x:c>
      <x:c r="O51" s="30" t="str">
        <x:f>IF(OR(L51="",V51&lt;&gt;"Yes"),"",IF(U51="Yes",1,IFS(TODAY()-L51&lt;=365,1,TODAY()-L51&lt;=730,0.8,TODAY()-L51&lt;=1460,0.6,TRUE,0.4)))</x:f>
      </x:c>
      <x:c r="P51" s="30" t="str">
        <x:f>IF(V51&lt;&gt;"Yes","",IFERROR(H51*N51*O51,0))</x:f>
      </x:c>
      <x:c r="Q51" s="30" t="str">
        <x:f>IF(P51="","",G51*P51)</x:f>
      </x:c>
      <x:c r="R51" s="30" t="str">
        <x:f>IF(K51="","",IFERROR(REGEXEXTRACT(K51,"https?://([^/]+)"),""))</x:f>
      </x:c>
      <x:c r="S51" s="30" t="str">
        <x:f>IF(R51&lt;&gt;"",LOWER(R51),IF(J51&lt;&gt;"",LOWER(J51),""))</x:f>
      </x:c>
      <x:c r="T51" s="30"/>
      <x:c r="U51" s="30"/>
      <x:c r="V51" s="30"/>
      <x:c r="W51" s="30" t="str">
        <x:f>IF(B51="","",IF(V51&lt;&gt;"Yes","Excluded",IF(OR(G51="",H51="",I51=""),"Needs review","Included")))</x:f>
      </x:c>
    </x:row>
    <x:row r="52">
      <x:c r="A52" s="30" t="str">
        <x:f>IF(B52="","","EV-"&amp;TEXT(ROW()-1,"0000"))</x:f>
      </x:c>
      <x:c r="B52" s="30"/>
      <x:c r="C52" s="30" t="str">
        <x:f>IF(B52="","",IFERROR(VLOOKUP(B52,Country_Config!$A$2:$G$100,2,FALSE),""))</x:f>
      </x:c>
      <x:c r="D52" s="30" t="str">
        <x:f>IF(B52="","",IFERROR(VLOOKUP(B52,Country_Config!$A$2:$G$100,3,FALSE),""))</x:f>
      </x:c>
      <x:c r="E52" s="30"/>
      <x:c r="F52" s="30"/>
      <x:c r="G52" s="30"/>
      <x:c r="H52" s="30" t="str">
        <x:f>IF(OR(E52="",F52=""),"",IFERROR(VLOOKUP(E52&amp;"|"&amp;F52,Rules_Weights!$A$2:$E$120,4,FALSE),100))</x:f>
      </x:c>
      <x:c r="I52" s="30"/>
      <x:c r="J52" s="30"/>
      <x:c r="K52" s="30"/>
      <x:c r="L52" s="30"/>
      <x:c r="M52" s="30"/>
      <x:c r="N52" s="30" t="str">
        <x:f>IF(I52="","",IFERROR(VLOOKUP(I52,Lookups!$A$2:$B$5,2,FALSE),0))</x:f>
      </x:c>
      <x:c r="O52" s="30" t="str">
        <x:f>IF(OR(L52="",V52&lt;&gt;"Yes"),"",IF(U52="Yes",1,IFS(TODAY()-L52&lt;=365,1,TODAY()-L52&lt;=730,0.8,TODAY()-L52&lt;=1460,0.6,TRUE,0.4)))</x:f>
      </x:c>
      <x:c r="P52" s="30" t="str">
        <x:f>IF(V52&lt;&gt;"Yes","",IFERROR(H52*N52*O52,0))</x:f>
      </x:c>
      <x:c r="Q52" s="30" t="str">
        <x:f>IF(P52="","",G52*P52)</x:f>
      </x:c>
      <x:c r="R52" s="30" t="str">
        <x:f>IF(K52="","",IFERROR(REGEXEXTRACT(K52,"https?://([^/]+)"),""))</x:f>
      </x:c>
      <x:c r="S52" s="30" t="str">
        <x:f>IF(R52&lt;&gt;"",LOWER(R52),IF(J52&lt;&gt;"",LOWER(J52),""))</x:f>
      </x:c>
      <x:c r="T52" s="30"/>
      <x:c r="U52" s="30"/>
      <x:c r="V52" s="30"/>
      <x:c r="W52" s="30" t="str">
        <x:f>IF(B52="","",IF(V52&lt;&gt;"Yes","Excluded",IF(OR(G52="",H52="",I52=""),"Needs review","Included")))</x:f>
      </x:c>
    </x:row>
    <x:row r="53">
      <x:c r="A53" s="30" t="str">
        <x:f>IF(B53="","","EV-"&amp;TEXT(ROW()-1,"0000"))</x:f>
      </x:c>
      <x:c r="B53" s="30"/>
      <x:c r="C53" s="30" t="str">
        <x:f>IF(B53="","",IFERROR(VLOOKUP(B53,Country_Config!$A$2:$G$100,2,FALSE),""))</x:f>
      </x:c>
      <x:c r="D53" s="30" t="str">
        <x:f>IF(B53="","",IFERROR(VLOOKUP(B53,Country_Config!$A$2:$G$100,3,FALSE),""))</x:f>
      </x:c>
      <x:c r="E53" s="30"/>
      <x:c r="F53" s="30"/>
      <x:c r="G53" s="30"/>
      <x:c r="H53" s="30" t="str">
        <x:f>IF(OR(E53="",F53=""),"",IFERROR(VLOOKUP(E53&amp;"|"&amp;F53,Rules_Weights!$A$2:$E$120,4,FALSE),100))</x:f>
      </x:c>
      <x:c r="I53" s="30"/>
      <x:c r="J53" s="30"/>
      <x:c r="K53" s="30"/>
      <x:c r="L53" s="30"/>
      <x:c r="M53" s="30"/>
      <x:c r="N53" s="30" t="str">
        <x:f>IF(I53="","",IFERROR(VLOOKUP(I53,Lookups!$A$2:$B$5,2,FALSE),0))</x:f>
      </x:c>
      <x:c r="O53" s="30" t="str">
        <x:f>IF(OR(L53="",V53&lt;&gt;"Yes"),"",IF(U53="Yes",1,IFS(TODAY()-L53&lt;=365,1,TODAY()-L53&lt;=730,0.8,TODAY()-L53&lt;=1460,0.6,TRUE,0.4)))</x:f>
      </x:c>
      <x:c r="P53" s="30" t="str">
        <x:f>IF(V53&lt;&gt;"Yes","",IFERROR(H53*N53*O53,0))</x:f>
      </x:c>
      <x:c r="Q53" s="30" t="str">
        <x:f>IF(P53="","",G53*P53)</x:f>
      </x:c>
      <x:c r="R53" s="30" t="str">
        <x:f>IF(K53="","",IFERROR(REGEXEXTRACT(K53,"https?://([^/]+)"),""))</x:f>
      </x:c>
      <x:c r="S53" s="30" t="str">
        <x:f>IF(R53&lt;&gt;"",LOWER(R53),IF(J53&lt;&gt;"",LOWER(J53),""))</x:f>
      </x:c>
      <x:c r="T53" s="30"/>
      <x:c r="U53" s="30"/>
      <x:c r="V53" s="30"/>
      <x:c r="W53" s="30" t="str">
        <x:f>IF(B53="","",IF(V53&lt;&gt;"Yes","Excluded",IF(OR(G53="",H53="",I53=""),"Needs review","Included")))</x:f>
      </x:c>
    </x:row>
    <x:row r="54">
      <x:c r="A54" s="30" t="str">
        <x:f>IF(B54="","","EV-"&amp;TEXT(ROW()-1,"0000"))</x:f>
      </x:c>
      <x:c r="B54" s="30"/>
      <x:c r="C54" s="30" t="str">
        <x:f>IF(B54="","",IFERROR(VLOOKUP(B54,Country_Config!$A$2:$G$100,2,FALSE),""))</x:f>
      </x:c>
      <x:c r="D54" s="30" t="str">
        <x:f>IF(B54="","",IFERROR(VLOOKUP(B54,Country_Config!$A$2:$G$100,3,FALSE),""))</x:f>
      </x:c>
      <x:c r="E54" s="30"/>
      <x:c r="F54" s="30"/>
      <x:c r="G54" s="30"/>
      <x:c r="H54" s="30" t="str">
        <x:f>IF(OR(E54="",F54=""),"",IFERROR(VLOOKUP(E54&amp;"|"&amp;F54,Rules_Weights!$A$2:$E$120,4,FALSE),100))</x:f>
      </x:c>
      <x:c r="I54" s="30"/>
      <x:c r="J54" s="30"/>
      <x:c r="K54" s="30"/>
      <x:c r="L54" s="30"/>
      <x:c r="M54" s="30"/>
      <x:c r="N54" s="30" t="str">
        <x:f>IF(I54="","",IFERROR(VLOOKUP(I54,Lookups!$A$2:$B$5,2,FALSE),0))</x:f>
      </x:c>
      <x:c r="O54" s="30" t="str">
        <x:f>IF(OR(L54="",V54&lt;&gt;"Yes"),"",IF(U54="Yes",1,IFS(TODAY()-L54&lt;=365,1,TODAY()-L54&lt;=730,0.8,TODAY()-L54&lt;=1460,0.6,TRUE,0.4)))</x:f>
      </x:c>
      <x:c r="P54" s="30" t="str">
        <x:f>IF(V54&lt;&gt;"Yes","",IFERROR(H54*N54*O54,0))</x:f>
      </x:c>
      <x:c r="Q54" s="30" t="str">
        <x:f>IF(P54="","",G54*P54)</x:f>
      </x:c>
      <x:c r="R54" s="30" t="str">
        <x:f>IF(K54="","",IFERROR(REGEXEXTRACT(K54,"https?://([^/]+)"),""))</x:f>
      </x:c>
      <x:c r="S54" s="30" t="str">
        <x:f>IF(R54&lt;&gt;"",LOWER(R54),IF(J54&lt;&gt;"",LOWER(J54),""))</x:f>
      </x:c>
      <x:c r="T54" s="30"/>
      <x:c r="U54" s="30"/>
      <x:c r="V54" s="30"/>
      <x:c r="W54" s="30" t="str">
        <x:f>IF(B54="","",IF(V54&lt;&gt;"Yes","Excluded",IF(OR(G54="",H54="",I54=""),"Needs review","Included")))</x:f>
      </x:c>
    </x:row>
    <x:row r="55">
      <x:c r="A55" s="30" t="str">
        <x:f>IF(B55="","","EV-"&amp;TEXT(ROW()-1,"0000"))</x:f>
      </x:c>
      <x:c r="B55" s="30"/>
      <x:c r="C55" s="30" t="str">
        <x:f>IF(B55="","",IFERROR(VLOOKUP(B55,Country_Config!$A$2:$G$100,2,FALSE),""))</x:f>
      </x:c>
      <x:c r="D55" s="30" t="str">
        <x:f>IF(B55="","",IFERROR(VLOOKUP(B55,Country_Config!$A$2:$G$100,3,FALSE),""))</x:f>
      </x:c>
      <x:c r="E55" s="30"/>
      <x:c r="F55" s="30"/>
      <x:c r="G55" s="30"/>
      <x:c r="H55" s="30" t="str">
        <x:f>IF(OR(E55="",F55=""),"",IFERROR(VLOOKUP(E55&amp;"|"&amp;F55,Rules_Weights!$A$2:$E$120,4,FALSE),100))</x:f>
      </x:c>
      <x:c r="I55" s="30"/>
      <x:c r="J55" s="30"/>
      <x:c r="K55" s="30"/>
      <x:c r="L55" s="30"/>
      <x:c r="M55" s="30"/>
      <x:c r="N55" s="30" t="str">
        <x:f>IF(I55="","",IFERROR(VLOOKUP(I55,Lookups!$A$2:$B$5,2,FALSE),0))</x:f>
      </x:c>
      <x:c r="O55" s="30" t="str">
        <x:f>IF(OR(L55="",V55&lt;&gt;"Yes"),"",IF(U55="Yes",1,IFS(TODAY()-L55&lt;=365,1,TODAY()-L55&lt;=730,0.8,TODAY()-L55&lt;=1460,0.6,TRUE,0.4)))</x:f>
      </x:c>
      <x:c r="P55" s="30" t="str">
        <x:f>IF(V55&lt;&gt;"Yes","",IFERROR(H55*N55*O55,0))</x:f>
      </x:c>
      <x:c r="Q55" s="30" t="str">
        <x:f>IF(P55="","",G55*P55)</x:f>
      </x:c>
      <x:c r="R55" s="30" t="str">
        <x:f>IF(K55="","",IFERROR(REGEXEXTRACT(K55,"https?://([^/]+)"),""))</x:f>
      </x:c>
      <x:c r="S55" s="30" t="str">
        <x:f>IF(R55&lt;&gt;"",LOWER(R55),IF(J55&lt;&gt;"",LOWER(J55),""))</x:f>
      </x:c>
      <x:c r="T55" s="30"/>
      <x:c r="U55" s="30"/>
      <x:c r="V55" s="30"/>
      <x:c r="W55" s="30" t="str">
        <x:f>IF(B55="","",IF(V55&lt;&gt;"Yes","Excluded",IF(OR(G55="",H55="",I55=""),"Needs review","Included")))</x:f>
      </x:c>
    </x:row>
    <x:row r="56">
      <x:c r="A56" s="30" t="str">
        <x:f>IF(B56="","","EV-"&amp;TEXT(ROW()-1,"0000"))</x:f>
      </x:c>
      <x:c r="B56" s="30"/>
      <x:c r="C56" s="30" t="str">
        <x:f>IF(B56="","",IFERROR(VLOOKUP(B56,Country_Config!$A$2:$G$100,2,FALSE),""))</x:f>
      </x:c>
      <x:c r="D56" s="30" t="str">
        <x:f>IF(B56="","",IFERROR(VLOOKUP(B56,Country_Config!$A$2:$G$100,3,FALSE),""))</x:f>
      </x:c>
      <x:c r="E56" s="30"/>
      <x:c r="F56" s="30"/>
      <x:c r="G56" s="30"/>
      <x:c r="H56" s="30" t="str">
        <x:f>IF(OR(E56="",F56=""),"",IFERROR(VLOOKUP(E56&amp;"|"&amp;F56,Rules_Weights!$A$2:$E$120,4,FALSE),100))</x:f>
      </x:c>
      <x:c r="I56" s="30"/>
      <x:c r="J56" s="30"/>
      <x:c r="K56" s="30"/>
      <x:c r="L56" s="30"/>
      <x:c r="M56" s="30"/>
      <x:c r="N56" s="30" t="str">
        <x:f>IF(I56="","",IFERROR(VLOOKUP(I56,Lookups!$A$2:$B$5,2,FALSE),0))</x:f>
      </x:c>
      <x:c r="O56" s="30" t="str">
        <x:f>IF(OR(L56="",V56&lt;&gt;"Yes"),"",IF(U56="Yes",1,IFS(TODAY()-L56&lt;=365,1,TODAY()-L56&lt;=730,0.8,TODAY()-L56&lt;=1460,0.6,TRUE,0.4)))</x:f>
      </x:c>
      <x:c r="P56" s="30" t="str">
        <x:f>IF(V56&lt;&gt;"Yes","",IFERROR(H56*N56*O56,0))</x:f>
      </x:c>
      <x:c r="Q56" s="30" t="str">
        <x:f>IF(P56="","",G56*P56)</x:f>
      </x:c>
      <x:c r="R56" s="30" t="str">
        <x:f>IF(K56="","",IFERROR(REGEXEXTRACT(K56,"https?://([^/]+)"),""))</x:f>
      </x:c>
      <x:c r="S56" s="30" t="str">
        <x:f>IF(R56&lt;&gt;"",LOWER(R56),IF(J56&lt;&gt;"",LOWER(J56),""))</x:f>
      </x:c>
      <x:c r="T56" s="30"/>
      <x:c r="U56" s="30"/>
      <x:c r="V56" s="30"/>
      <x:c r="W56" s="30" t="str">
        <x:f>IF(B56="","",IF(V56&lt;&gt;"Yes","Excluded",IF(OR(G56="",H56="",I56=""),"Needs review","Included")))</x:f>
      </x:c>
    </x:row>
    <x:row r="57">
      <x:c r="A57" s="30" t="str">
        <x:f>IF(B57="","","EV-"&amp;TEXT(ROW()-1,"0000"))</x:f>
      </x:c>
      <x:c r="B57" s="30"/>
      <x:c r="C57" s="30" t="str">
        <x:f>IF(B57="","",IFERROR(VLOOKUP(B57,Country_Config!$A$2:$G$100,2,FALSE),""))</x:f>
      </x:c>
      <x:c r="D57" s="30" t="str">
        <x:f>IF(B57="","",IFERROR(VLOOKUP(B57,Country_Config!$A$2:$G$100,3,FALSE),""))</x:f>
      </x:c>
      <x:c r="E57" s="30"/>
      <x:c r="F57" s="30"/>
      <x:c r="G57" s="30"/>
      <x:c r="H57" s="30" t="str">
        <x:f>IF(OR(E57="",F57=""),"",IFERROR(VLOOKUP(E57&amp;"|"&amp;F57,Rules_Weights!$A$2:$E$120,4,FALSE),100))</x:f>
      </x:c>
      <x:c r="I57" s="30"/>
      <x:c r="J57" s="30"/>
      <x:c r="K57" s="30"/>
      <x:c r="L57" s="30"/>
      <x:c r="M57" s="30"/>
      <x:c r="N57" s="30" t="str">
        <x:f>IF(I57="","",IFERROR(VLOOKUP(I57,Lookups!$A$2:$B$5,2,FALSE),0))</x:f>
      </x:c>
      <x:c r="O57" s="30" t="str">
        <x:f>IF(OR(L57="",V57&lt;&gt;"Yes"),"",IF(U57="Yes",1,IFS(TODAY()-L57&lt;=365,1,TODAY()-L57&lt;=730,0.8,TODAY()-L57&lt;=1460,0.6,TRUE,0.4)))</x:f>
      </x:c>
      <x:c r="P57" s="30" t="str">
        <x:f>IF(V57&lt;&gt;"Yes","",IFERROR(H57*N57*O57,0))</x:f>
      </x:c>
      <x:c r="Q57" s="30" t="str">
        <x:f>IF(P57="","",G57*P57)</x:f>
      </x:c>
      <x:c r="R57" s="30" t="str">
        <x:f>IF(K57="","",IFERROR(REGEXEXTRACT(K57,"https?://([^/]+)"),""))</x:f>
      </x:c>
      <x:c r="S57" s="30" t="str">
        <x:f>IF(R57&lt;&gt;"",LOWER(R57),IF(J57&lt;&gt;"",LOWER(J57),""))</x:f>
      </x:c>
      <x:c r="T57" s="30"/>
      <x:c r="U57" s="30"/>
      <x:c r="V57" s="30"/>
      <x:c r="W57" s="30" t="str">
        <x:f>IF(B57="","",IF(V57&lt;&gt;"Yes","Excluded",IF(OR(G57="",H57="",I57=""),"Needs review","Included")))</x:f>
      </x:c>
    </x:row>
    <x:row r="58">
      <x:c r="A58" s="30" t="str">
        <x:f>IF(B58="","","EV-"&amp;TEXT(ROW()-1,"0000"))</x:f>
      </x:c>
      <x:c r="B58" s="30"/>
      <x:c r="C58" s="30" t="str">
        <x:f>IF(B58="","",IFERROR(VLOOKUP(B58,Country_Config!$A$2:$G$100,2,FALSE),""))</x:f>
      </x:c>
      <x:c r="D58" s="30" t="str">
        <x:f>IF(B58="","",IFERROR(VLOOKUP(B58,Country_Config!$A$2:$G$100,3,FALSE),""))</x:f>
      </x:c>
      <x:c r="E58" s="30"/>
      <x:c r="F58" s="30"/>
      <x:c r="G58" s="30"/>
      <x:c r="H58" s="30" t="str">
        <x:f>IF(OR(E58="",F58=""),"",IFERROR(VLOOKUP(E58&amp;"|"&amp;F58,Rules_Weights!$A$2:$E$120,4,FALSE),100))</x:f>
      </x:c>
      <x:c r="I58" s="30"/>
      <x:c r="J58" s="30"/>
      <x:c r="K58" s="30"/>
      <x:c r="L58" s="30"/>
      <x:c r="M58" s="30"/>
      <x:c r="N58" s="30" t="str">
        <x:f>IF(I58="","",IFERROR(VLOOKUP(I58,Lookups!$A$2:$B$5,2,FALSE),0))</x:f>
      </x:c>
      <x:c r="O58" s="30" t="str">
        <x:f>IF(OR(L58="",V58&lt;&gt;"Yes"),"",IF(U58="Yes",1,IFS(TODAY()-L58&lt;=365,1,TODAY()-L58&lt;=730,0.8,TODAY()-L58&lt;=1460,0.6,TRUE,0.4)))</x:f>
      </x:c>
      <x:c r="P58" s="30" t="str">
        <x:f>IF(V58&lt;&gt;"Yes","",IFERROR(H58*N58*O58,0))</x:f>
      </x:c>
      <x:c r="Q58" s="30" t="str">
        <x:f>IF(P58="","",G58*P58)</x:f>
      </x:c>
      <x:c r="R58" s="30" t="str">
        <x:f>IF(K58="","",IFERROR(REGEXEXTRACT(K58,"https?://([^/]+)"),""))</x:f>
      </x:c>
      <x:c r="S58" s="30" t="str">
        <x:f>IF(R58&lt;&gt;"",LOWER(R58),IF(J58&lt;&gt;"",LOWER(J58),""))</x:f>
      </x:c>
      <x:c r="T58" s="30"/>
      <x:c r="U58" s="30"/>
      <x:c r="V58" s="30"/>
      <x:c r="W58" s="30" t="str">
        <x:f>IF(B58="","",IF(V58&lt;&gt;"Yes","Excluded",IF(OR(G58="",H58="",I58=""),"Needs review","Included")))</x:f>
      </x:c>
    </x:row>
    <x:row r="59">
      <x:c r="A59" s="30" t="str">
        <x:f>IF(B59="","","EV-"&amp;TEXT(ROW()-1,"0000"))</x:f>
      </x:c>
      <x:c r="B59" s="30"/>
      <x:c r="C59" s="30" t="str">
        <x:f>IF(B59="","",IFERROR(VLOOKUP(B59,Country_Config!$A$2:$G$100,2,FALSE),""))</x:f>
      </x:c>
      <x:c r="D59" s="30" t="str">
        <x:f>IF(B59="","",IFERROR(VLOOKUP(B59,Country_Config!$A$2:$G$100,3,FALSE),""))</x:f>
      </x:c>
      <x:c r="E59" s="30"/>
      <x:c r="F59" s="30"/>
      <x:c r="G59" s="30"/>
      <x:c r="H59" s="30" t="str">
        <x:f>IF(OR(E59="",F59=""),"",IFERROR(VLOOKUP(E59&amp;"|"&amp;F59,Rules_Weights!$A$2:$E$120,4,FALSE),100))</x:f>
      </x:c>
      <x:c r="I59" s="30"/>
      <x:c r="J59" s="30"/>
      <x:c r="K59" s="30"/>
      <x:c r="L59" s="30"/>
      <x:c r="M59" s="30"/>
      <x:c r="N59" s="30" t="str">
        <x:f>IF(I59="","",IFERROR(VLOOKUP(I59,Lookups!$A$2:$B$5,2,FALSE),0))</x:f>
      </x:c>
      <x:c r="O59" s="30" t="str">
        <x:f>IF(OR(L59="",V59&lt;&gt;"Yes"),"",IF(U59="Yes",1,IFS(TODAY()-L59&lt;=365,1,TODAY()-L59&lt;=730,0.8,TODAY()-L59&lt;=1460,0.6,TRUE,0.4)))</x:f>
      </x:c>
      <x:c r="P59" s="30" t="str">
        <x:f>IF(V59&lt;&gt;"Yes","",IFERROR(H59*N59*O59,0))</x:f>
      </x:c>
      <x:c r="Q59" s="30" t="str">
        <x:f>IF(P59="","",G59*P59)</x:f>
      </x:c>
      <x:c r="R59" s="30" t="str">
        <x:f>IF(K59="","",IFERROR(REGEXEXTRACT(K59,"https?://([^/]+)"),""))</x:f>
      </x:c>
      <x:c r="S59" s="30" t="str">
        <x:f>IF(R59&lt;&gt;"",LOWER(R59),IF(J59&lt;&gt;"",LOWER(J59),""))</x:f>
      </x:c>
      <x:c r="T59" s="30"/>
      <x:c r="U59" s="30"/>
      <x:c r="V59" s="30"/>
      <x:c r="W59" s="30" t="str">
        <x:f>IF(B59="","",IF(V59&lt;&gt;"Yes","Excluded",IF(OR(G59="",H59="",I59=""),"Needs review","Included")))</x:f>
      </x:c>
    </x:row>
    <x:row r="60">
      <x:c r="A60" s="30" t="str">
        <x:f>IF(B60="","","EV-"&amp;TEXT(ROW()-1,"0000"))</x:f>
      </x:c>
      <x:c r="B60" s="30"/>
      <x:c r="C60" s="30" t="str">
        <x:f>IF(B60="","",IFERROR(VLOOKUP(B60,Country_Config!$A$2:$G$100,2,FALSE),""))</x:f>
      </x:c>
      <x:c r="D60" s="30" t="str">
        <x:f>IF(B60="","",IFERROR(VLOOKUP(B60,Country_Config!$A$2:$G$100,3,FALSE),""))</x:f>
      </x:c>
      <x:c r="E60" s="30"/>
      <x:c r="F60" s="30"/>
      <x:c r="G60" s="30"/>
      <x:c r="H60" s="30" t="str">
        <x:f>IF(OR(E60="",F60=""),"",IFERROR(VLOOKUP(E60&amp;"|"&amp;F60,Rules_Weights!$A$2:$E$120,4,FALSE),100))</x:f>
      </x:c>
      <x:c r="I60" s="30"/>
      <x:c r="J60" s="30"/>
      <x:c r="K60" s="30"/>
      <x:c r="L60" s="30"/>
      <x:c r="M60" s="30"/>
      <x:c r="N60" s="30" t="str">
        <x:f>IF(I60="","",IFERROR(VLOOKUP(I60,Lookups!$A$2:$B$5,2,FALSE),0))</x:f>
      </x:c>
      <x:c r="O60" s="30" t="str">
        <x:f>IF(OR(L60="",V60&lt;&gt;"Yes"),"",IF(U60="Yes",1,IFS(TODAY()-L60&lt;=365,1,TODAY()-L60&lt;=730,0.8,TODAY()-L60&lt;=1460,0.6,TRUE,0.4)))</x:f>
      </x:c>
      <x:c r="P60" s="30" t="str">
        <x:f>IF(V60&lt;&gt;"Yes","",IFERROR(H60*N60*O60,0))</x:f>
      </x:c>
      <x:c r="Q60" s="30" t="str">
        <x:f>IF(P60="","",G60*P60)</x:f>
      </x:c>
      <x:c r="R60" s="30" t="str">
        <x:f>IF(K60="","",IFERROR(REGEXEXTRACT(K60,"https?://([^/]+)"),""))</x:f>
      </x:c>
      <x:c r="S60" s="30" t="str">
        <x:f>IF(R60&lt;&gt;"",LOWER(R60),IF(J60&lt;&gt;"",LOWER(J60),""))</x:f>
      </x:c>
      <x:c r="T60" s="30"/>
      <x:c r="U60" s="30"/>
      <x:c r="V60" s="30"/>
      <x:c r="W60" s="30" t="str">
        <x:f>IF(B60="","",IF(V60&lt;&gt;"Yes","Excluded",IF(OR(G60="",H60="",I60=""),"Needs review","Included")))</x:f>
      </x:c>
    </x:row>
    <x:row r="61">
      <x:c r="A61" s="30" t="str">
        <x:f>IF(B61="","","EV-"&amp;TEXT(ROW()-1,"0000"))</x:f>
      </x:c>
      <x:c r="B61" s="30"/>
      <x:c r="C61" s="30" t="str">
        <x:f>IF(B61="","",IFERROR(VLOOKUP(B61,Country_Config!$A$2:$G$100,2,FALSE),""))</x:f>
      </x:c>
      <x:c r="D61" s="30" t="str">
        <x:f>IF(B61="","",IFERROR(VLOOKUP(B61,Country_Config!$A$2:$G$100,3,FALSE),""))</x:f>
      </x:c>
      <x:c r="E61" s="30"/>
      <x:c r="F61" s="30"/>
      <x:c r="G61" s="30"/>
      <x:c r="H61" s="30" t="str">
        <x:f>IF(OR(E61="",F61=""),"",IFERROR(VLOOKUP(E61&amp;"|"&amp;F61,Rules_Weights!$A$2:$E$120,4,FALSE),100))</x:f>
      </x:c>
      <x:c r="I61" s="30"/>
      <x:c r="J61" s="30"/>
      <x:c r="K61" s="30"/>
      <x:c r="L61" s="30"/>
      <x:c r="M61" s="30"/>
      <x:c r="N61" s="30" t="str">
        <x:f>IF(I61="","",IFERROR(VLOOKUP(I61,Lookups!$A$2:$B$5,2,FALSE),0))</x:f>
      </x:c>
      <x:c r="O61" s="30" t="str">
        <x:f>IF(OR(L61="",V61&lt;&gt;"Yes"),"",IF(U61="Yes",1,IFS(TODAY()-L61&lt;=365,1,TODAY()-L61&lt;=730,0.8,TODAY()-L61&lt;=1460,0.6,TRUE,0.4)))</x:f>
      </x:c>
      <x:c r="P61" s="30" t="str">
        <x:f>IF(V61&lt;&gt;"Yes","",IFERROR(H61*N61*O61,0))</x:f>
      </x:c>
      <x:c r="Q61" s="30" t="str">
        <x:f>IF(P61="","",G61*P61)</x:f>
      </x:c>
      <x:c r="R61" s="30" t="str">
        <x:f>IF(K61="","",IFERROR(REGEXEXTRACT(K61,"https?://([^/]+)"),""))</x:f>
      </x:c>
      <x:c r="S61" s="30" t="str">
        <x:f>IF(R61&lt;&gt;"",LOWER(R61),IF(J61&lt;&gt;"",LOWER(J61),""))</x:f>
      </x:c>
      <x:c r="T61" s="30"/>
      <x:c r="U61" s="30"/>
      <x:c r="V61" s="30"/>
      <x:c r="W61" s="30" t="str">
        <x:f>IF(B61="","",IF(V61&lt;&gt;"Yes","Excluded",IF(OR(G61="",H61="",I61=""),"Needs review","Included")))</x:f>
      </x:c>
    </x:row>
    <x:row r="62">
      <x:c r="A62" s="30" t="str">
        <x:f>IF(B62="","","EV-"&amp;TEXT(ROW()-1,"0000"))</x:f>
      </x:c>
      <x:c r="B62" s="30"/>
      <x:c r="C62" s="30" t="str">
        <x:f>IF(B62="","",IFERROR(VLOOKUP(B62,Country_Config!$A$2:$G$100,2,FALSE),""))</x:f>
      </x:c>
      <x:c r="D62" s="30" t="str">
        <x:f>IF(B62="","",IFERROR(VLOOKUP(B62,Country_Config!$A$2:$G$100,3,FALSE),""))</x:f>
      </x:c>
      <x:c r="E62" s="30"/>
      <x:c r="F62" s="30"/>
      <x:c r="G62" s="30"/>
      <x:c r="H62" s="30" t="str">
        <x:f>IF(OR(E62="",F62=""),"",IFERROR(VLOOKUP(E62&amp;"|"&amp;F62,Rules_Weights!$A$2:$E$120,4,FALSE),100))</x:f>
      </x:c>
      <x:c r="I62" s="30"/>
      <x:c r="J62" s="30"/>
      <x:c r="K62" s="30"/>
      <x:c r="L62" s="30"/>
      <x:c r="M62" s="30"/>
      <x:c r="N62" s="30" t="str">
        <x:f>IF(I62="","",IFERROR(VLOOKUP(I62,Lookups!$A$2:$B$5,2,FALSE),0))</x:f>
      </x:c>
      <x:c r="O62" s="30" t="str">
        <x:f>IF(OR(L62="",V62&lt;&gt;"Yes"),"",IF(U62="Yes",1,IFS(TODAY()-L62&lt;=365,1,TODAY()-L62&lt;=730,0.8,TODAY()-L62&lt;=1460,0.6,TRUE,0.4)))</x:f>
      </x:c>
      <x:c r="P62" s="30" t="str">
        <x:f>IF(V62&lt;&gt;"Yes","",IFERROR(H62*N62*O62,0))</x:f>
      </x:c>
      <x:c r="Q62" s="30" t="str">
        <x:f>IF(P62="","",G62*P62)</x:f>
      </x:c>
      <x:c r="R62" s="30" t="str">
        <x:f>IF(K62="","",IFERROR(REGEXEXTRACT(K62,"https?://([^/]+)"),""))</x:f>
      </x:c>
      <x:c r="S62" s="30" t="str">
        <x:f>IF(R62&lt;&gt;"",LOWER(R62),IF(J62&lt;&gt;"",LOWER(J62),""))</x:f>
      </x:c>
      <x:c r="T62" s="30"/>
      <x:c r="U62" s="30"/>
      <x:c r="V62" s="30"/>
      <x:c r="W62" s="30" t="str">
        <x:f>IF(B62="","",IF(V62&lt;&gt;"Yes","Excluded",IF(OR(G62="",H62="",I62=""),"Needs review","Included")))</x:f>
      </x:c>
    </x:row>
    <x:row r="63">
      <x:c r="A63" s="30" t="str">
        <x:f>IF(B63="","","EV-"&amp;TEXT(ROW()-1,"0000"))</x:f>
      </x:c>
      <x:c r="B63" s="30"/>
      <x:c r="C63" s="30" t="str">
        <x:f>IF(B63="","",IFERROR(VLOOKUP(B63,Country_Config!$A$2:$G$100,2,FALSE),""))</x:f>
      </x:c>
      <x:c r="D63" s="30" t="str">
        <x:f>IF(B63="","",IFERROR(VLOOKUP(B63,Country_Config!$A$2:$G$100,3,FALSE),""))</x:f>
      </x:c>
      <x:c r="E63" s="30"/>
      <x:c r="F63" s="30"/>
      <x:c r="G63" s="30"/>
      <x:c r="H63" s="30" t="str">
        <x:f>IF(OR(E63="",F63=""),"",IFERROR(VLOOKUP(E63&amp;"|"&amp;F63,Rules_Weights!$A$2:$E$120,4,FALSE),100))</x:f>
      </x:c>
      <x:c r="I63" s="30"/>
      <x:c r="J63" s="30"/>
      <x:c r="K63" s="30"/>
      <x:c r="L63" s="30"/>
      <x:c r="M63" s="30"/>
      <x:c r="N63" s="30" t="str">
        <x:f>IF(I63="","",IFERROR(VLOOKUP(I63,Lookups!$A$2:$B$5,2,FALSE),0))</x:f>
      </x:c>
      <x:c r="O63" s="30" t="str">
        <x:f>IF(OR(L63="",V63&lt;&gt;"Yes"),"",IF(U63="Yes",1,IFS(TODAY()-L63&lt;=365,1,TODAY()-L63&lt;=730,0.8,TODAY()-L63&lt;=1460,0.6,TRUE,0.4)))</x:f>
      </x:c>
      <x:c r="P63" s="30" t="str">
        <x:f>IF(V63&lt;&gt;"Yes","",IFERROR(H63*N63*O63,0))</x:f>
      </x:c>
      <x:c r="Q63" s="30" t="str">
        <x:f>IF(P63="","",G63*P63)</x:f>
      </x:c>
      <x:c r="R63" s="30" t="str">
        <x:f>IF(K63="","",IFERROR(REGEXEXTRACT(K63,"https?://([^/]+)"),""))</x:f>
      </x:c>
      <x:c r="S63" s="30" t="str">
        <x:f>IF(R63&lt;&gt;"",LOWER(R63),IF(J63&lt;&gt;"",LOWER(J63),""))</x:f>
      </x:c>
      <x:c r="T63" s="30"/>
      <x:c r="U63" s="30"/>
      <x:c r="V63" s="30"/>
      <x:c r="W63" s="30" t="str">
        <x:f>IF(B63="","",IF(V63&lt;&gt;"Yes","Excluded",IF(OR(G63="",H63="",I63=""),"Needs review","Included")))</x:f>
      </x:c>
    </x:row>
    <x:row r="64">
      <x:c r="A64" s="30" t="str">
        <x:f>IF(B64="","","EV-"&amp;TEXT(ROW()-1,"0000"))</x:f>
      </x:c>
      <x:c r="B64" s="30"/>
      <x:c r="C64" s="30" t="str">
        <x:f>IF(B64="","",IFERROR(VLOOKUP(B64,Country_Config!$A$2:$G$100,2,FALSE),""))</x:f>
      </x:c>
      <x:c r="D64" s="30" t="str">
        <x:f>IF(B64="","",IFERROR(VLOOKUP(B64,Country_Config!$A$2:$G$100,3,FALSE),""))</x:f>
      </x:c>
      <x:c r="E64" s="30"/>
      <x:c r="F64" s="30"/>
      <x:c r="G64" s="30"/>
      <x:c r="H64" s="30" t="str">
        <x:f>IF(OR(E64="",F64=""),"",IFERROR(VLOOKUP(E64&amp;"|"&amp;F64,Rules_Weights!$A$2:$E$120,4,FALSE),100))</x:f>
      </x:c>
      <x:c r="I64" s="30"/>
      <x:c r="J64" s="30"/>
      <x:c r="K64" s="30"/>
      <x:c r="L64" s="30"/>
      <x:c r="M64" s="30"/>
      <x:c r="N64" s="30" t="str">
        <x:f>IF(I64="","",IFERROR(VLOOKUP(I64,Lookups!$A$2:$B$5,2,FALSE),0))</x:f>
      </x:c>
      <x:c r="O64" s="30" t="str">
        <x:f>IF(OR(L64="",V64&lt;&gt;"Yes"),"",IF(U64="Yes",1,IFS(TODAY()-L64&lt;=365,1,TODAY()-L64&lt;=730,0.8,TODAY()-L64&lt;=1460,0.6,TRUE,0.4)))</x:f>
      </x:c>
      <x:c r="P64" s="30" t="str">
        <x:f>IF(V64&lt;&gt;"Yes","",IFERROR(H64*N64*O64,0))</x:f>
      </x:c>
      <x:c r="Q64" s="30" t="str">
        <x:f>IF(P64="","",G64*P64)</x:f>
      </x:c>
      <x:c r="R64" s="30" t="str">
        <x:f>IF(K64="","",IFERROR(REGEXEXTRACT(K64,"https?://([^/]+)"),""))</x:f>
      </x:c>
      <x:c r="S64" s="30" t="str">
        <x:f>IF(R64&lt;&gt;"",LOWER(R64),IF(J64&lt;&gt;"",LOWER(J64),""))</x:f>
      </x:c>
      <x:c r="T64" s="30"/>
      <x:c r="U64" s="30"/>
      <x:c r="V64" s="30"/>
      <x:c r="W64" s="30" t="str">
        <x:f>IF(B64="","",IF(V64&lt;&gt;"Yes","Excluded",IF(OR(G64="",H64="",I64=""),"Needs review","Included")))</x:f>
      </x:c>
    </x:row>
    <x:row r="65">
      <x:c r="A65" s="30" t="str">
        <x:f>IF(B65="","","EV-"&amp;TEXT(ROW()-1,"0000"))</x:f>
      </x:c>
      <x:c r="B65" s="30"/>
      <x:c r="C65" s="30" t="str">
        <x:f>IF(B65="","",IFERROR(VLOOKUP(B65,Country_Config!$A$2:$G$100,2,FALSE),""))</x:f>
      </x:c>
      <x:c r="D65" s="30" t="str">
        <x:f>IF(B65="","",IFERROR(VLOOKUP(B65,Country_Config!$A$2:$G$100,3,FALSE),""))</x:f>
      </x:c>
      <x:c r="E65" s="30"/>
      <x:c r="F65" s="30"/>
      <x:c r="G65" s="30"/>
      <x:c r="H65" s="30" t="str">
        <x:f>IF(OR(E65="",F65=""),"",IFERROR(VLOOKUP(E65&amp;"|"&amp;F65,Rules_Weights!$A$2:$E$120,4,FALSE),100))</x:f>
      </x:c>
      <x:c r="I65" s="30"/>
      <x:c r="J65" s="30"/>
      <x:c r="K65" s="30"/>
      <x:c r="L65" s="30"/>
      <x:c r="M65" s="30"/>
      <x:c r="N65" s="30" t="str">
        <x:f>IF(I65="","",IFERROR(VLOOKUP(I65,Lookups!$A$2:$B$5,2,FALSE),0))</x:f>
      </x:c>
      <x:c r="O65" s="30" t="str">
        <x:f>IF(OR(L65="",V65&lt;&gt;"Yes"),"",IF(U65="Yes",1,IFS(TODAY()-L65&lt;=365,1,TODAY()-L65&lt;=730,0.8,TODAY()-L65&lt;=1460,0.6,TRUE,0.4)))</x:f>
      </x:c>
      <x:c r="P65" s="30" t="str">
        <x:f>IF(V65&lt;&gt;"Yes","",IFERROR(H65*N65*O65,0))</x:f>
      </x:c>
      <x:c r="Q65" s="30" t="str">
        <x:f>IF(P65="","",G65*P65)</x:f>
      </x:c>
      <x:c r="R65" s="30" t="str">
        <x:f>IF(K65="","",IFERROR(REGEXEXTRACT(K65,"https?://([^/]+)"),""))</x:f>
      </x:c>
      <x:c r="S65" s="30" t="str">
        <x:f>IF(R65&lt;&gt;"",LOWER(R65),IF(J65&lt;&gt;"",LOWER(J65),""))</x:f>
      </x:c>
      <x:c r="T65" s="30"/>
      <x:c r="U65" s="30"/>
      <x:c r="V65" s="30"/>
      <x:c r="W65" s="30" t="str">
        <x:f>IF(B65="","",IF(V65&lt;&gt;"Yes","Excluded",IF(OR(G65="",H65="",I65=""),"Needs review","Included")))</x:f>
      </x:c>
    </x:row>
    <x:row r="66">
      <x:c r="A66" s="30" t="str">
        <x:f>IF(B66="","","EV-"&amp;TEXT(ROW()-1,"0000"))</x:f>
      </x:c>
      <x:c r="B66" s="30"/>
      <x:c r="C66" s="30" t="str">
        <x:f>IF(B66="","",IFERROR(VLOOKUP(B66,Country_Config!$A$2:$G$100,2,FALSE),""))</x:f>
      </x:c>
      <x:c r="D66" s="30" t="str">
        <x:f>IF(B66="","",IFERROR(VLOOKUP(B66,Country_Config!$A$2:$G$100,3,FALSE),""))</x:f>
      </x:c>
      <x:c r="E66" s="30"/>
      <x:c r="F66" s="30"/>
      <x:c r="G66" s="30"/>
      <x:c r="H66" s="30" t="str">
        <x:f>IF(OR(E66="",F66=""),"",IFERROR(VLOOKUP(E66&amp;"|"&amp;F66,Rules_Weights!$A$2:$E$120,4,FALSE),100))</x:f>
      </x:c>
      <x:c r="I66" s="30"/>
      <x:c r="J66" s="30"/>
      <x:c r="K66" s="30"/>
      <x:c r="L66" s="30"/>
      <x:c r="M66" s="30"/>
      <x:c r="N66" s="30" t="str">
        <x:f>IF(I66="","",IFERROR(VLOOKUP(I66,Lookups!$A$2:$B$5,2,FALSE),0))</x:f>
      </x:c>
      <x:c r="O66" s="30" t="str">
        <x:f>IF(OR(L66="",V66&lt;&gt;"Yes"),"",IF(U66="Yes",1,IFS(TODAY()-L66&lt;=365,1,TODAY()-L66&lt;=730,0.8,TODAY()-L66&lt;=1460,0.6,TRUE,0.4)))</x:f>
      </x:c>
      <x:c r="P66" s="30" t="str">
        <x:f>IF(V66&lt;&gt;"Yes","",IFERROR(H66*N66*O66,0))</x:f>
      </x:c>
      <x:c r="Q66" s="30" t="str">
        <x:f>IF(P66="","",G66*P66)</x:f>
      </x:c>
      <x:c r="R66" s="30" t="str">
        <x:f>IF(K66="","",IFERROR(REGEXEXTRACT(K66,"https?://([^/]+)"),""))</x:f>
      </x:c>
      <x:c r="S66" s="30" t="str">
        <x:f>IF(R66&lt;&gt;"",LOWER(R66),IF(J66&lt;&gt;"",LOWER(J66),""))</x:f>
      </x:c>
      <x:c r="T66" s="30"/>
      <x:c r="U66" s="30"/>
      <x:c r="V66" s="30"/>
      <x:c r="W66" s="30" t="str">
        <x:f>IF(B66="","",IF(V66&lt;&gt;"Yes","Excluded",IF(OR(G66="",H66="",I66=""),"Needs review","Included")))</x:f>
      </x:c>
    </x:row>
    <x:row r="67">
      <x:c r="A67" s="30" t="str">
        <x:f>IF(B67="","","EV-"&amp;TEXT(ROW()-1,"0000"))</x:f>
      </x:c>
      <x:c r="B67" s="30"/>
      <x:c r="C67" s="30" t="str">
        <x:f>IF(B67="","",IFERROR(VLOOKUP(B67,Country_Config!$A$2:$G$100,2,FALSE),""))</x:f>
      </x:c>
      <x:c r="D67" s="30" t="str">
        <x:f>IF(B67="","",IFERROR(VLOOKUP(B67,Country_Config!$A$2:$G$100,3,FALSE),""))</x:f>
      </x:c>
      <x:c r="E67" s="30"/>
      <x:c r="F67" s="30"/>
      <x:c r="G67" s="30"/>
      <x:c r="H67" s="30" t="str">
        <x:f>IF(OR(E67="",F67=""),"",IFERROR(VLOOKUP(E67&amp;"|"&amp;F67,Rules_Weights!$A$2:$E$120,4,FALSE),100))</x:f>
      </x:c>
      <x:c r="I67" s="30"/>
      <x:c r="J67" s="30"/>
      <x:c r="K67" s="30"/>
      <x:c r="L67" s="30"/>
      <x:c r="M67" s="30"/>
      <x:c r="N67" s="30" t="str">
        <x:f>IF(I67="","",IFERROR(VLOOKUP(I67,Lookups!$A$2:$B$5,2,FALSE),0))</x:f>
      </x:c>
      <x:c r="O67" s="30" t="str">
        <x:f>IF(OR(L67="",V67&lt;&gt;"Yes"),"",IF(U67="Yes",1,IFS(TODAY()-L67&lt;=365,1,TODAY()-L67&lt;=730,0.8,TODAY()-L67&lt;=1460,0.6,TRUE,0.4)))</x:f>
      </x:c>
      <x:c r="P67" s="30" t="str">
        <x:f>IF(V67&lt;&gt;"Yes","",IFERROR(H67*N67*O67,0))</x:f>
      </x:c>
      <x:c r="Q67" s="30" t="str">
        <x:f>IF(P67="","",G67*P67)</x:f>
      </x:c>
      <x:c r="R67" s="30" t="str">
        <x:f>IF(K67="","",IFERROR(REGEXEXTRACT(K67,"https?://([^/]+)"),""))</x:f>
      </x:c>
      <x:c r="S67" s="30" t="str">
        <x:f>IF(R67&lt;&gt;"",LOWER(R67),IF(J67&lt;&gt;"",LOWER(J67),""))</x:f>
      </x:c>
      <x:c r="T67" s="30"/>
      <x:c r="U67" s="30"/>
      <x:c r="V67" s="30"/>
      <x:c r="W67" s="30" t="str">
        <x:f>IF(B67="","",IF(V67&lt;&gt;"Yes","Excluded",IF(OR(G67="",H67="",I67=""),"Needs review","Included")))</x:f>
      </x:c>
    </x:row>
    <x:row r="68">
      <x:c r="A68" s="30" t="str">
        <x:f>IF(B68="","","EV-"&amp;TEXT(ROW()-1,"0000"))</x:f>
      </x:c>
      <x:c r="B68" s="30"/>
      <x:c r="C68" s="30" t="str">
        <x:f>IF(B68="","",IFERROR(VLOOKUP(B68,Country_Config!$A$2:$G$100,2,FALSE),""))</x:f>
      </x:c>
      <x:c r="D68" s="30" t="str">
        <x:f>IF(B68="","",IFERROR(VLOOKUP(B68,Country_Config!$A$2:$G$100,3,FALSE),""))</x:f>
      </x:c>
      <x:c r="E68" s="30"/>
      <x:c r="F68" s="30"/>
      <x:c r="G68" s="30"/>
      <x:c r="H68" s="30" t="str">
        <x:f>IF(OR(E68="",F68=""),"",IFERROR(VLOOKUP(E68&amp;"|"&amp;F68,Rules_Weights!$A$2:$E$120,4,FALSE),100))</x:f>
      </x:c>
      <x:c r="I68" s="30"/>
      <x:c r="J68" s="30"/>
      <x:c r="K68" s="30"/>
      <x:c r="L68" s="30"/>
      <x:c r="M68" s="30"/>
      <x:c r="N68" s="30" t="str">
        <x:f>IF(I68="","",IFERROR(VLOOKUP(I68,Lookups!$A$2:$B$5,2,FALSE),0))</x:f>
      </x:c>
      <x:c r="O68" s="30" t="str">
        <x:f>IF(OR(L68="",V68&lt;&gt;"Yes"),"",IF(U68="Yes",1,IFS(TODAY()-L68&lt;=365,1,TODAY()-L68&lt;=730,0.8,TODAY()-L68&lt;=1460,0.6,TRUE,0.4)))</x:f>
      </x:c>
      <x:c r="P68" s="30" t="str">
        <x:f>IF(V68&lt;&gt;"Yes","",IFERROR(H68*N68*O68,0))</x:f>
      </x:c>
      <x:c r="Q68" s="30" t="str">
        <x:f>IF(P68="","",G68*P68)</x:f>
      </x:c>
      <x:c r="R68" s="30" t="str">
        <x:f>IF(K68="","",IFERROR(REGEXEXTRACT(K68,"https?://([^/]+)"),""))</x:f>
      </x:c>
      <x:c r="S68" s="30" t="str">
        <x:f>IF(R68&lt;&gt;"",LOWER(R68),IF(J68&lt;&gt;"",LOWER(J68),""))</x:f>
      </x:c>
      <x:c r="T68" s="30"/>
      <x:c r="U68" s="30"/>
      <x:c r="V68" s="30"/>
      <x:c r="W68" s="30" t="str">
        <x:f>IF(B68="","",IF(V68&lt;&gt;"Yes","Excluded",IF(OR(G68="",H68="",I68=""),"Needs review","Included")))</x:f>
      </x:c>
    </x:row>
    <x:row r="69">
      <x:c r="A69" s="30" t="str">
        <x:f>IF(B69="","","EV-"&amp;TEXT(ROW()-1,"0000"))</x:f>
      </x:c>
      <x:c r="B69" s="30"/>
      <x:c r="C69" s="30" t="str">
        <x:f>IF(B69="","",IFERROR(VLOOKUP(B69,Country_Config!$A$2:$G$100,2,FALSE),""))</x:f>
      </x:c>
      <x:c r="D69" s="30" t="str">
        <x:f>IF(B69="","",IFERROR(VLOOKUP(B69,Country_Config!$A$2:$G$100,3,FALSE),""))</x:f>
      </x:c>
      <x:c r="E69" s="30"/>
      <x:c r="F69" s="30"/>
      <x:c r="G69" s="30"/>
      <x:c r="H69" s="30" t="str">
        <x:f>IF(OR(E69="",F69=""),"",IFERROR(VLOOKUP(E69&amp;"|"&amp;F69,Rules_Weights!$A$2:$E$120,4,FALSE),100))</x:f>
      </x:c>
      <x:c r="I69" s="30"/>
      <x:c r="J69" s="30"/>
      <x:c r="K69" s="30"/>
      <x:c r="L69" s="30"/>
      <x:c r="M69" s="30"/>
      <x:c r="N69" s="30" t="str">
        <x:f>IF(I69="","",IFERROR(VLOOKUP(I69,Lookups!$A$2:$B$5,2,FALSE),0))</x:f>
      </x:c>
      <x:c r="O69" s="30" t="str">
        <x:f>IF(OR(L69="",V69&lt;&gt;"Yes"),"",IF(U69="Yes",1,IFS(TODAY()-L69&lt;=365,1,TODAY()-L69&lt;=730,0.8,TODAY()-L69&lt;=1460,0.6,TRUE,0.4)))</x:f>
      </x:c>
      <x:c r="P69" s="30" t="str">
        <x:f>IF(V69&lt;&gt;"Yes","",IFERROR(H69*N69*O69,0))</x:f>
      </x:c>
      <x:c r="Q69" s="30" t="str">
        <x:f>IF(P69="","",G69*P69)</x:f>
      </x:c>
      <x:c r="R69" s="30" t="str">
        <x:f>IF(K69="","",IFERROR(REGEXEXTRACT(K69,"https?://([^/]+)"),""))</x:f>
      </x:c>
      <x:c r="S69" s="30" t="str">
        <x:f>IF(R69&lt;&gt;"",LOWER(R69),IF(J69&lt;&gt;"",LOWER(J69),""))</x:f>
      </x:c>
      <x:c r="T69" s="30"/>
      <x:c r="U69" s="30"/>
      <x:c r="V69" s="30"/>
      <x:c r="W69" s="30" t="str">
        <x:f>IF(B69="","",IF(V69&lt;&gt;"Yes","Excluded",IF(OR(G69="",H69="",I69=""),"Needs review","Included")))</x:f>
      </x:c>
    </x:row>
    <x:row r="70">
      <x:c r="A70" s="30" t="str">
        <x:f>IF(B70="","","EV-"&amp;TEXT(ROW()-1,"0000"))</x:f>
      </x:c>
      <x:c r="B70" s="30"/>
      <x:c r="C70" s="30" t="str">
        <x:f>IF(B70="","",IFERROR(VLOOKUP(B70,Country_Config!$A$2:$G$100,2,FALSE),""))</x:f>
      </x:c>
      <x:c r="D70" s="30" t="str">
        <x:f>IF(B70="","",IFERROR(VLOOKUP(B70,Country_Config!$A$2:$G$100,3,FALSE),""))</x:f>
      </x:c>
      <x:c r="E70" s="30"/>
      <x:c r="F70" s="30"/>
      <x:c r="G70" s="30"/>
      <x:c r="H70" s="30" t="str">
        <x:f>IF(OR(E70="",F70=""),"",IFERROR(VLOOKUP(E70&amp;"|"&amp;F70,Rules_Weights!$A$2:$E$120,4,FALSE),100))</x:f>
      </x:c>
      <x:c r="I70" s="30"/>
      <x:c r="J70" s="30"/>
      <x:c r="K70" s="30"/>
      <x:c r="L70" s="30"/>
      <x:c r="M70" s="30"/>
      <x:c r="N70" s="30" t="str">
        <x:f>IF(I70="","",IFERROR(VLOOKUP(I70,Lookups!$A$2:$B$5,2,FALSE),0))</x:f>
      </x:c>
      <x:c r="O70" s="30" t="str">
        <x:f>IF(OR(L70="",V70&lt;&gt;"Yes"),"",IF(U70="Yes",1,IFS(TODAY()-L70&lt;=365,1,TODAY()-L70&lt;=730,0.8,TODAY()-L70&lt;=1460,0.6,TRUE,0.4)))</x:f>
      </x:c>
      <x:c r="P70" s="30" t="str">
        <x:f>IF(V70&lt;&gt;"Yes","",IFERROR(H70*N70*O70,0))</x:f>
      </x:c>
      <x:c r="Q70" s="30" t="str">
        <x:f>IF(P70="","",G70*P70)</x:f>
      </x:c>
      <x:c r="R70" s="30" t="str">
        <x:f>IF(K70="","",IFERROR(REGEXEXTRACT(K70,"https?://([^/]+)"),""))</x:f>
      </x:c>
      <x:c r="S70" s="30" t="str">
        <x:f>IF(R70&lt;&gt;"",LOWER(R70),IF(J70&lt;&gt;"",LOWER(J70),""))</x:f>
      </x:c>
      <x:c r="T70" s="30"/>
      <x:c r="U70" s="30"/>
      <x:c r="V70" s="30"/>
      <x:c r="W70" s="30" t="str">
        <x:f>IF(B70="","",IF(V70&lt;&gt;"Yes","Excluded",IF(OR(G70="",H70="",I70=""),"Needs review","Included")))</x:f>
      </x:c>
    </x:row>
    <x:row r="71">
      <x:c r="A71" s="30" t="str">
        <x:f>IF(B71="","","EV-"&amp;TEXT(ROW()-1,"0000"))</x:f>
      </x:c>
      <x:c r="B71" s="30"/>
      <x:c r="C71" s="30" t="str">
        <x:f>IF(B71="","",IFERROR(VLOOKUP(B71,Country_Config!$A$2:$G$100,2,FALSE),""))</x:f>
      </x:c>
      <x:c r="D71" s="30" t="str">
        <x:f>IF(B71="","",IFERROR(VLOOKUP(B71,Country_Config!$A$2:$G$100,3,FALSE),""))</x:f>
      </x:c>
      <x:c r="E71" s="30"/>
      <x:c r="F71" s="30"/>
      <x:c r="G71" s="30"/>
      <x:c r="H71" s="30" t="str">
        <x:f>IF(OR(E71="",F71=""),"",IFERROR(VLOOKUP(E71&amp;"|"&amp;F71,Rules_Weights!$A$2:$E$120,4,FALSE),100))</x:f>
      </x:c>
      <x:c r="I71" s="30"/>
      <x:c r="J71" s="30"/>
      <x:c r="K71" s="30"/>
      <x:c r="L71" s="30"/>
      <x:c r="M71" s="30"/>
      <x:c r="N71" s="30" t="str">
        <x:f>IF(I71="","",IFERROR(VLOOKUP(I71,Lookups!$A$2:$B$5,2,FALSE),0))</x:f>
      </x:c>
      <x:c r="O71" s="30" t="str">
        <x:f>IF(OR(L71="",V71&lt;&gt;"Yes"),"",IF(U71="Yes",1,IFS(TODAY()-L71&lt;=365,1,TODAY()-L71&lt;=730,0.8,TODAY()-L71&lt;=1460,0.6,TRUE,0.4)))</x:f>
      </x:c>
      <x:c r="P71" s="30" t="str">
        <x:f>IF(V71&lt;&gt;"Yes","",IFERROR(H71*N71*O71,0))</x:f>
      </x:c>
      <x:c r="Q71" s="30" t="str">
        <x:f>IF(P71="","",G71*P71)</x:f>
      </x:c>
      <x:c r="R71" s="30" t="str">
        <x:f>IF(K71="","",IFERROR(REGEXEXTRACT(K71,"https?://([^/]+)"),""))</x:f>
      </x:c>
      <x:c r="S71" s="30" t="str">
        <x:f>IF(R71&lt;&gt;"",LOWER(R71),IF(J71&lt;&gt;"",LOWER(J71),""))</x:f>
      </x:c>
      <x:c r="T71" s="30"/>
      <x:c r="U71" s="30"/>
      <x:c r="V71" s="30"/>
      <x:c r="W71" s="30" t="str">
        <x:f>IF(B71="","",IF(V71&lt;&gt;"Yes","Excluded",IF(OR(G71="",H71="",I71=""),"Needs review","Included")))</x:f>
      </x:c>
    </x:row>
    <x:row r="72">
      <x:c r="A72" s="30" t="str">
        <x:f>IF(B72="","","EV-"&amp;TEXT(ROW()-1,"0000"))</x:f>
      </x:c>
      <x:c r="B72" s="30"/>
      <x:c r="C72" s="30" t="str">
        <x:f>IF(B72="","",IFERROR(VLOOKUP(B72,Country_Config!$A$2:$G$100,2,FALSE),""))</x:f>
      </x:c>
      <x:c r="D72" s="30" t="str">
        <x:f>IF(B72="","",IFERROR(VLOOKUP(B72,Country_Config!$A$2:$G$100,3,FALSE),""))</x:f>
      </x:c>
      <x:c r="E72" s="30"/>
      <x:c r="F72" s="30"/>
      <x:c r="G72" s="30"/>
      <x:c r="H72" s="30" t="str">
        <x:f>IF(OR(E72="",F72=""),"",IFERROR(VLOOKUP(E72&amp;"|"&amp;F72,Rules_Weights!$A$2:$E$120,4,FALSE),100))</x:f>
      </x:c>
      <x:c r="I72" s="30"/>
      <x:c r="J72" s="30"/>
      <x:c r="K72" s="30"/>
      <x:c r="L72" s="30"/>
      <x:c r="M72" s="30"/>
      <x:c r="N72" s="30" t="str">
        <x:f>IF(I72="","",IFERROR(VLOOKUP(I72,Lookups!$A$2:$B$5,2,FALSE),0))</x:f>
      </x:c>
      <x:c r="O72" s="30" t="str">
        <x:f>IF(OR(L72="",V72&lt;&gt;"Yes"),"",IF(U72="Yes",1,IFS(TODAY()-L72&lt;=365,1,TODAY()-L72&lt;=730,0.8,TODAY()-L72&lt;=1460,0.6,TRUE,0.4)))</x:f>
      </x:c>
      <x:c r="P72" s="30" t="str">
        <x:f>IF(V72&lt;&gt;"Yes","",IFERROR(H72*N72*O72,0))</x:f>
      </x:c>
      <x:c r="Q72" s="30" t="str">
        <x:f>IF(P72="","",G72*P72)</x:f>
      </x:c>
      <x:c r="R72" s="30" t="str">
        <x:f>IF(K72="","",IFERROR(REGEXEXTRACT(K72,"https?://([^/]+)"),""))</x:f>
      </x:c>
      <x:c r="S72" s="30" t="str">
        <x:f>IF(R72&lt;&gt;"",LOWER(R72),IF(J72&lt;&gt;"",LOWER(J72),""))</x:f>
      </x:c>
      <x:c r="T72" s="30"/>
      <x:c r="U72" s="30"/>
      <x:c r="V72" s="30"/>
      <x:c r="W72" s="30" t="str">
        <x:f>IF(B72="","",IF(V72&lt;&gt;"Yes","Excluded",IF(OR(G72="",H72="",I72=""),"Needs review","Included")))</x:f>
      </x:c>
    </x:row>
    <x:row r="73">
      <x:c r="A73" s="30" t="str">
        <x:f>IF(B73="","","EV-"&amp;TEXT(ROW()-1,"0000"))</x:f>
      </x:c>
      <x:c r="B73" s="30"/>
      <x:c r="C73" s="30" t="str">
        <x:f>IF(B73="","",IFERROR(VLOOKUP(B73,Country_Config!$A$2:$G$100,2,FALSE),""))</x:f>
      </x:c>
      <x:c r="D73" s="30" t="str">
        <x:f>IF(B73="","",IFERROR(VLOOKUP(B73,Country_Config!$A$2:$G$100,3,FALSE),""))</x:f>
      </x:c>
      <x:c r="E73" s="30"/>
      <x:c r="F73" s="30"/>
      <x:c r="G73" s="30"/>
      <x:c r="H73" s="30" t="str">
        <x:f>IF(OR(E73="",F73=""),"",IFERROR(VLOOKUP(E73&amp;"|"&amp;F73,Rules_Weights!$A$2:$E$120,4,FALSE),100))</x:f>
      </x:c>
      <x:c r="I73" s="30"/>
      <x:c r="J73" s="30"/>
      <x:c r="K73" s="30"/>
      <x:c r="L73" s="30"/>
      <x:c r="M73" s="30"/>
      <x:c r="N73" s="30" t="str">
        <x:f>IF(I73="","",IFERROR(VLOOKUP(I73,Lookups!$A$2:$B$5,2,FALSE),0))</x:f>
      </x:c>
      <x:c r="O73" s="30" t="str">
        <x:f>IF(OR(L73="",V73&lt;&gt;"Yes"),"",IF(U73="Yes",1,IFS(TODAY()-L73&lt;=365,1,TODAY()-L73&lt;=730,0.8,TODAY()-L73&lt;=1460,0.6,TRUE,0.4)))</x:f>
      </x:c>
      <x:c r="P73" s="30" t="str">
        <x:f>IF(V73&lt;&gt;"Yes","",IFERROR(H73*N73*O73,0))</x:f>
      </x:c>
      <x:c r="Q73" s="30" t="str">
        <x:f>IF(P73="","",G73*P73)</x:f>
      </x:c>
      <x:c r="R73" s="30" t="str">
        <x:f>IF(K73="","",IFERROR(REGEXEXTRACT(K73,"https?://([^/]+)"),""))</x:f>
      </x:c>
      <x:c r="S73" s="30" t="str">
        <x:f>IF(R73&lt;&gt;"",LOWER(R73),IF(J73&lt;&gt;"",LOWER(J73),""))</x:f>
      </x:c>
      <x:c r="T73" s="30"/>
      <x:c r="U73" s="30"/>
      <x:c r="V73" s="30"/>
      <x:c r="W73" s="30" t="str">
        <x:f>IF(B73="","",IF(V73&lt;&gt;"Yes","Excluded",IF(OR(G73="",H73="",I73=""),"Needs review","Included")))</x:f>
      </x:c>
    </x:row>
    <x:row r="74">
      <x:c r="A74" s="30" t="str">
        <x:f>IF(B74="","","EV-"&amp;TEXT(ROW()-1,"0000"))</x:f>
      </x:c>
      <x:c r="B74" s="30"/>
      <x:c r="C74" s="30" t="str">
        <x:f>IF(B74="","",IFERROR(VLOOKUP(B74,Country_Config!$A$2:$G$100,2,FALSE),""))</x:f>
      </x:c>
      <x:c r="D74" s="30" t="str">
        <x:f>IF(B74="","",IFERROR(VLOOKUP(B74,Country_Config!$A$2:$G$100,3,FALSE),""))</x:f>
      </x:c>
      <x:c r="E74" s="30"/>
      <x:c r="F74" s="30"/>
      <x:c r="G74" s="30"/>
      <x:c r="H74" s="30" t="str">
        <x:f>IF(OR(E74="",F74=""),"",IFERROR(VLOOKUP(E74&amp;"|"&amp;F74,Rules_Weights!$A$2:$E$120,4,FALSE),100))</x:f>
      </x:c>
      <x:c r="I74" s="30"/>
      <x:c r="J74" s="30"/>
      <x:c r="K74" s="30"/>
      <x:c r="L74" s="30"/>
      <x:c r="M74" s="30"/>
      <x:c r="N74" s="30" t="str">
        <x:f>IF(I74="","",IFERROR(VLOOKUP(I74,Lookups!$A$2:$B$5,2,FALSE),0))</x:f>
      </x:c>
      <x:c r="O74" s="30" t="str">
        <x:f>IF(OR(L74="",V74&lt;&gt;"Yes"),"",IF(U74="Yes",1,IFS(TODAY()-L74&lt;=365,1,TODAY()-L74&lt;=730,0.8,TODAY()-L74&lt;=1460,0.6,TRUE,0.4)))</x:f>
      </x:c>
      <x:c r="P74" s="30" t="str">
        <x:f>IF(V74&lt;&gt;"Yes","",IFERROR(H74*N74*O74,0))</x:f>
      </x:c>
      <x:c r="Q74" s="30" t="str">
        <x:f>IF(P74="","",G74*P74)</x:f>
      </x:c>
      <x:c r="R74" s="30" t="str">
        <x:f>IF(K74="","",IFERROR(REGEXEXTRACT(K74,"https?://([^/]+)"),""))</x:f>
      </x:c>
      <x:c r="S74" s="30" t="str">
        <x:f>IF(R74&lt;&gt;"",LOWER(R74),IF(J74&lt;&gt;"",LOWER(J74),""))</x:f>
      </x:c>
      <x:c r="T74" s="30"/>
      <x:c r="U74" s="30"/>
      <x:c r="V74" s="30"/>
      <x:c r="W74" s="30" t="str">
        <x:f>IF(B74="","",IF(V74&lt;&gt;"Yes","Excluded",IF(OR(G74="",H74="",I74=""),"Needs review","Included")))</x:f>
      </x:c>
    </x:row>
    <x:row r="75">
      <x:c r="A75" s="30" t="str">
        <x:f>IF(B75="","","EV-"&amp;TEXT(ROW()-1,"0000"))</x:f>
      </x:c>
      <x:c r="B75" s="30"/>
      <x:c r="C75" s="30" t="str">
        <x:f>IF(B75="","",IFERROR(VLOOKUP(B75,Country_Config!$A$2:$G$100,2,FALSE),""))</x:f>
      </x:c>
      <x:c r="D75" s="30" t="str">
        <x:f>IF(B75="","",IFERROR(VLOOKUP(B75,Country_Config!$A$2:$G$100,3,FALSE),""))</x:f>
      </x:c>
      <x:c r="E75" s="30"/>
      <x:c r="F75" s="30"/>
      <x:c r="G75" s="30"/>
      <x:c r="H75" s="30" t="str">
        <x:f>IF(OR(E75="",F75=""),"",IFERROR(VLOOKUP(E75&amp;"|"&amp;F75,Rules_Weights!$A$2:$E$120,4,FALSE),100))</x:f>
      </x:c>
      <x:c r="I75" s="30"/>
      <x:c r="J75" s="30"/>
      <x:c r="K75" s="30"/>
      <x:c r="L75" s="30"/>
      <x:c r="M75" s="30"/>
      <x:c r="N75" s="30" t="str">
        <x:f>IF(I75="","",IFERROR(VLOOKUP(I75,Lookups!$A$2:$B$5,2,FALSE),0))</x:f>
      </x:c>
      <x:c r="O75" s="30" t="str">
        <x:f>IF(OR(L75="",V75&lt;&gt;"Yes"),"",IF(U75="Yes",1,IFS(TODAY()-L75&lt;=365,1,TODAY()-L75&lt;=730,0.8,TODAY()-L75&lt;=1460,0.6,TRUE,0.4)))</x:f>
      </x:c>
      <x:c r="P75" s="30" t="str">
        <x:f>IF(V75&lt;&gt;"Yes","",IFERROR(H75*N75*O75,0))</x:f>
      </x:c>
      <x:c r="Q75" s="30" t="str">
        <x:f>IF(P75="","",G75*P75)</x:f>
      </x:c>
      <x:c r="R75" s="30" t="str">
        <x:f>IF(K75="","",IFERROR(REGEXEXTRACT(K75,"https?://([^/]+)"),""))</x:f>
      </x:c>
      <x:c r="S75" s="30" t="str">
        <x:f>IF(R75&lt;&gt;"",LOWER(R75),IF(J75&lt;&gt;"",LOWER(J75),""))</x:f>
      </x:c>
      <x:c r="T75" s="30"/>
      <x:c r="U75" s="30"/>
      <x:c r="V75" s="30"/>
      <x:c r="W75" s="30" t="str">
        <x:f>IF(B75="","",IF(V75&lt;&gt;"Yes","Excluded",IF(OR(G75="",H75="",I75=""),"Needs review","Included")))</x:f>
      </x:c>
    </x:row>
    <x:row r="76">
      <x:c r="A76" s="30" t="str">
        <x:f>IF(B76="","","EV-"&amp;TEXT(ROW()-1,"0000"))</x:f>
      </x:c>
      <x:c r="B76" s="30"/>
      <x:c r="C76" s="30" t="str">
        <x:f>IF(B76="","",IFERROR(VLOOKUP(B76,Country_Config!$A$2:$G$100,2,FALSE),""))</x:f>
      </x:c>
      <x:c r="D76" s="30" t="str">
        <x:f>IF(B76="","",IFERROR(VLOOKUP(B76,Country_Config!$A$2:$G$100,3,FALSE),""))</x:f>
      </x:c>
      <x:c r="E76" s="30"/>
      <x:c r="F76" s="30"/>
      <x:c r="G76" s="30"/>
      <x:c r="H76" s="30" t="str">
        <x:f>IF(OR(E76="",F76=""),"",IFERROR(VLOOKUP(E76&amp;"|"&amp;F76,Rules_Weights!$A$2:$E$120,4,FALSE),100))</x:f>
      </x:c>
      <x:c r="I76" s="30"/>
      <x:c r="J76" s="30"/>
      <x:c r="K76" s="30"/>
      <x:c r="L76" s="30"/>
      <x:c r="M76" s="30"/>
      <x:c r="N76" s="30" t="str">
        <x:f>IF(I76="","",IFERROR(VLOOKUP(I76,Lookups!$A$2:$B$5,2,FALSE),0))</x:f>
      </x:c>
      <x:c r="O76" s="30" t="str">
        <x:f>IF(OR(L76="",V76&lt;&gt;"Yes"),"",IF(U76="Yes",1,IFS(TODAY()-L76&lt;=365,1,TODAY()-L76&lt;=730,0.8,TODAY()-L76&lt;=1460,0.6,TRUE,0.4)))</x:f>
      </x:c>
      <x:c r="P76" s="30" t="str">
        <x:f>IF(V76&lt;&gt;"Yes","",IFERROR(H76*N76*O76,0))</x:f>
      </x:c>
      <x:c r="Q76" s="30" t="str">
        <x:f>IF(P76="","",G76*P76)</x:f>
      </x:c>
      <x:c r="R76" s="30" t="str">
        <x:f>IF(K76="","",IFERROR(REGEXEXTRACT(K76,"https?://([^/]+)"),""))</x:f>
      </x:c>
      <x:c r="S76" s="30" t="str">
        <x:f>IF(R76&lt;&gt;"",LOWER(R76),IF(J76&lt;&gt;"",LOWER(J76),""))</x:f>
      </x:c>
      <x:c r="T76" s="30"/>
      <x:c r="U76" s="30"/>
      <x:c r="V76" s="30"/>
      <x:c r="W76" s="30" t="str">
        <x:f>IF(B76="","",IF(V76&lt;&gt;"Yes","Excluded",IF(OR(G76="",H76="",I76=""),"Needs review","Included")))</x:f>
      </x:c>
    </x:row>
    <x:row r="77">
      <x:c r="A77" s="30" t="str">
        <x:f>IF(B77="","","EV-"&amp;TEXT(ROW()-1,"0000"))</x:f>
      </x:c>
      <x:c r="B77" s="30"/>
      <x:c r="C77" s="30" t="str">
        <x:f>IF(B77="","",IFERROR(VLOOKUP(B77,Country_Config!$A$2:$G$100,2,FALSE),""))</x:f>
      </x:c>
      <x:c r="D77" s="30" t="str">
        <x:f>IF(B77="","",IFERROR(VLOOKUP(B77,Country_Config!$A$2:$G$100,3,FALSE),""))</x:f>
      </x:c>
      <x:c r="E77" s="30"/>
      <x:c r="F77" s="30"/>
      <x:c r="G77" s="30"/>
      <x:c r="H77" s="30" t="str">
        <x:f>IF(OR(E77="",F77=""),"",IFERROR(VLOOKUP(E77&amp;"|"&amp;F77,Rules_Weights!$A$2:$E$120,4,FALSE),100))</x:f>
      </x:c>
      <x:c r="I77" s="30"/>
      <x:c r="J77" s="30"/>
      <x:c r="K77" s="30"/>
      <x:c r="L77" s="30"/>
      <x:c r="M77" s="30"/>
      <x:c r="N77" s="30" t="str">
        <x:f>IF(I77="","",IFERROR(VLOOKUP(I77,Lookups!$A$2:$B$5,2,FALSE),0))</x:f>
      </x:c>
      <x:c r="O77" s="30" t="str">
        <x:f>IF(OR(L77="",V77&lt;&gt;"Yes"),"",IF(U77="Yes",1,IFS(TODAY()-L77&lt;=365,1,TODAY()-L77&lt;=730,0.8,TODAY()-L77&lt;=1460,0.6,TRUE,0.4)))</x:f>
      </x:c>
      <x:c r="P77" s="30" t="str">
        <x:f>IF(V77&lt;&gt;"Yes","",IFERROR(H77*N77*O77,0))</x:f>
      </x:c>
      <x:c r="Q77" s="30" t="str">
        <x:f>IF(P77="","",G77*P77)</x:f>
      </x:c>
      <x:c r="R77" s="30" t="str">
        <x:f>IF(K77="","",IFERROR(REGEXEXTRACT(K77,"https?://([^/]+)"),""))</x:f>
      </x:c>
      <x:c r="S77" s="30" t="str">
        <x:f>IF(R77&lt;&gt;"",LOWER(R77),IF(J77&lt;&gt;"",LOWER(J77),""))</x:f>
      </x:c>
      <x:c r="T77" s="30"/>
      <x:c r="U77" s="30"/>
      <x:c r="V77" s="30"/>
      <x:c r="W77" s="30" t="str">
        <x:f>IF(B77="","",IF(V77&lt;&gt;"Yes","Excluded",IF(OR(G77="",H77="",I77=""),"Needs review","Included")))</x:f>
      </x:c>
    </x:row>
    <x:row r="78">
      <x:c r="A78" s="30" t="str">
        <x:f>IF(B78="","","EV-"&amp;TEXT(ROW()-1,"0000"))</x:f>
      </x:c>
      <x:c r="B78" s="30"/>
      <x:c r="C78" s="30" t="str">
        <x:f>IF(B78="","",IFERROR(VLOOKUP(B78,Country_Config!$A$2:$G$100,2,FALSE),""))</x:f>
      </x:c>
      <x:c r="D78" s="30" t="str">
        <x:f>IF(B78="","",IFERROR(VLOOKUP(B78,Country_Config!$A$2:$G$100,3,FALSE),""))</x:f>
      </x:c>
      <x:c r="E78" s="30"/>
      <x:c r="F78" s="30"/>
      <x:c r="G78" s="30"/>
      <x:c r="H78" s="30" t="str">
        <x:f>IF(OR(E78="",F78=""),"",IFERROR(VLOOKUP(E78&amp;"|"&amp;F78,Rules_Weights!$A$2:$E$120,4,FALSE),100))</x:f>
      </x:c>
      <x:c r="I78" s="30"/>
      <x:c r="J78" s="30"/>
      <x:c r="K78" s="30"/>
      <x:c r="L78" s="30"/>
      <x:c r="M78" s="30"/>
      <x:c r="N78" s="30" t="str">
        <x:f>IF(I78="","",IFERROR(VLOOKUP(I78,Lookups!$A$2:$B$5,2,FALSE),0))</x:f>
      </x:c>
      <x:c r="O78" s="30" t="str">
        <x:f>IF(OR(L78="",V78&lt;&gt;"Yes"),"",IF(U78="Yes",1,IFS(TODAY()-L78&lt;=365,1,TODAY()-L78&lt;=730,0.8,TODAY()-L78&lt;=1460,0.6,TRUE,0.4)))</x:f>
      </x:c>
      <x:c r="P78" s="30" t="str">
        <x:f>IF(V78&lt;&gt;"Yes","",IFERROR(H78*N78*O78,0))</x:f>
      </x:c>
      <x:c r="Q78" s="30" t="str">
        <x:f>IF(P78="","",G78*P78)</x:f>
      </x:c>
      <x:c r="R78" s="30" t="str">
        <x:f>IF(K78="","",IFERROR(REGEXEXTRACT(K78,"https?://([^/]+)"),""))</x:f>
      </x:c>
      <x:c r="S78" s="30" t="str">
        <x:f>IF(R78&lt;&gt;"",LOWER(R78),IF(J78&lt;&gt;"",LOWER(J78),""))</x:f>
      </x:c>
      <x:c r="T78" s="30"/>
      <x:c r="U78" s="30"/>
      <x:c r="V78" s="30"/>
      <x:c r="W78" s="30" t="str">
        <x:f>IF(B78="","",IF(V78&lt;&gt;"Yes","Excluded",IF(OR(G78="",H78="",I78=""),"Needs review","Included")))</x:f>
      </x:c>
    </x:row>
    <x:row r="79">
      <x:c r="A79" s="30" t="str">
        <x:f>IF(B79="","","EV-"&amp;TEXT(ROW()-1,"0000"))</x:f>
      </x:c>
      <x:c r="B79" s="30"/>
      <x:c r="C79" s="30" t="str">
        <x:f>IF(B79="","",IFERROR(VLOOKUP(B79,Country_Config!$A$2:$G$100,2,FALSE),""))</x:f>
      </x:c>
      <x:c r="D79" s="30" t="str">
        <x:f>IF(B79="","",IFERROR(VLOOKUP(B79,Country_Config!$A$2:$G$100,3,FALSE),""))</x:f>
      </x:c>
      <x:c r="E79" s="30"/>
      <x:c r="F79" s="30"/>
      <x:c r="G79" s="30"/>
      <x:c r="H79" s="30" t="str">
        <x:f>IF(OR(E79="",F79=""),"",IFERROR(VLOOKUP(E79&amp;"|"&amp;F79,Rules_Weights!$A$2:$E$120,4,FALSE),100))</x:f>
      </x:c>
      <x:c r="I79" s="30"/>
      <x:c r="J79" s="30"/>
      <x:c r="K79" s="30"/>
      <x:c r="L79" s="30"/>
      <x:c r="M79" s="30"/>
      <x:c r="N79" s="30" t="str">
        <x:f>IF(I79="","",IFERROR(VLOOKUP(I79,Lookups!$A$2:$B$5,2,FALSE),0))</x:f>
      </x:c>
      <x:c r="O79" s="30" t="str">
        <x:f>IF(OR(L79="",V79&lt;&gt;"Yes"),"",IF(U79="Yes",1,IFS(TODAY()-L79&lt;=365,1,TODAY()-L79&lt;=730,0.8,TODAY()-L79&lt;=1460,0.6,TRUE,0.4)))</x:f>
      </x:c>
      <x:c r="P79" s="30" t="str">
        <x:f>IF(V79&lt;&gt;"Yes","",IFERROR(H79*N79*O79,0))</x:f>
      </x:c>
      <x:c r="Q79" s="30" t="str">
        <x:f>IF(P79="","",G79*P79)</x:f>
      </x:c>
      <x:c r="R79" s="30" t="str">
        <x:f>IF(K79="","",IFERROR(REGEXEXTRACT(K79,"https?://([^/]+)"),""))</x:f>
      </x:c>
      <x:c r="S79" s="30" t="str">
        <x:f>IF(R79&lt;&gt;"",LOWER(R79),IF(J79&lt;&gt;"",LOWER(J79),""))</x:f>
      </x:c>
      <x:c r="T79" s="30"/>
      <x:c r="U79" s="30"/>
      <x:c r="V79" s="30"/>
      <x:c r="W79" s="30" t="str">
        <x:f>IF(B79="","",IF(V79&lt;&gt;"Yes","Excluded",IF(OR(G79="",H79="",I79=""),"Needs review","Included")))</x:f>
      </x:c>
    </x:row>
    <x:row r="80">
      <x:c r="A80" s="30" t="str">
        <x:f>IF(B80="","","EV-"&amp;TEXT(ROW()-1,"0000"))</x:f>
      </x:c>
      <x:c r="B80" s="30"/>
      <x:c r="C80" s="30" t="str">
        <x:f>IF(B80="","",IFERROR(VLOOKUP(B80,Country_Config!$A$2:$G$100,2,FALSE),""))</x:f>
      </x:c>
      <x:c r="D80" s="30" t="str">
        <x:f>IF(B80="","",IFERROR(VLOOKUP(B80,Country_Config!$A$2:$G$100,3,FALSE),""))</x:f>
      </x:c>
      <x:c r="E80" s="30"/>
      <x:c r="F80" s="30"/>
      <x:c r="G80" s="30"/>
      <x:c r="H80" s="30" t="str">
        <x:f>IF(OR(E80="",F80=""),"",IFERROR(VLOOKUP(E80&amp;"|"&amp;F80,Rules_Weights!$A$2:$E$120,4,FALSE),100))</x:f>
      </x:c>
      <x:c r="I80" s="30"/>
      <x:c r="J80" s="30"/>
      <x:c r="K80" s="30"/>
      <x:c r="L80" s="30"/>
      <x:c r="M80" s="30"/>
      <x:c r="N80" s="30" t="str">
        <x:f>IF(I80="","",IFERROR(VLOOKUP(I80,Lookups!$A$2:$B$5,2,FALSE),0))</x:f>
      </x:c>
      <x:c r="O80" s="30" t="str">
        <x:f>IF(OR(L80="",V80&lt;&gt;"Yes"),"",IF(U80="Yes",1,IFS(TODAY()-L80&lt;=365,1,TODAY()-L80&lt;=730,0.8,TODAY()-L80&lt;=1460,0.6,TRUE,0.4)))</x:f>
      </x:c>
      <x:c r="P80" s="30" t="str">
        <x:f>IF(V80&lt;&gt;"Yes","",IFERROR(H80*N80*O80,0))</x:f>
      </x:c>
      <x:c r="Q80" s="30" t="str">
        <x:f>IF(P80="","",G80*P80)</x:f>
      </x:c>
      <x:c r="R80" s="30" t="str">
        <x:f>IF(K80="","",IFERROR(REGEXEXTRACT(K80,"https?://([^/]+)"),""))</x:f>
      </x:c>
      <x:c r="S80" s="30" t="str">
        <x:f>IF(R80&lt;&gt;"",LOWER(R80),IF(J80&lt;&gt;"",LOWER(J80),""))</x:f>
      </x:c>
      <x:c r="T80" s="30"/>
      <x:c r="U80" s="30"/>
      <x:c r="V80" s="30"/>
      <x:c r="W80" s="30" t="str">
        <x:f>IF(B80="","",IF(V80&lt;&gt;"Yes","Excluded",IF(OR(G80="",H80="",I80=""),"Needs review","Included")))</x:f>
      </x:c>
    </x:row>
    <x:row r="81">
      <x:c r="A81" s="30" t="str">
        <x:f>IF(B81="","","EV-"&amp;TEXT(ROW()-1,"0000"))</x:f>
      </x:c>
      <x:c r="B81" s="30"/>
      <x:c r="C81" s="30" t="str">
        <x:f>IF(B81="","",IFERROR(VLOOKUP(B81,Country_Config!$A$2:$G$100,2,FALSE),""))</x:f>
      </x:c>
      <x:c r="D81" s="30" t="str">
        <x:f>IF(B81="","",IFERROR(VLOOKUP(B81,Country_Config!$A$2:$G$100,3,FALSE),""))</x:f>
      </x:c>
      <x:c r="E81" s="30"/>
      <x:c r="F81" s="30"/>
      <x:c r="G81" s="30"/>
      <x:c r="H81" s="30" t="str">
        <x:f>IF(OR(E81="",F81=""),"",IFERROR(VLOOKUP(E81&amp;"|"&amp;F81,Rules_Weights!$A$2:$E$120,4,FALSE),100))</x:f>
      </x:c>
      <x:c r="I81" s="30"/>
      <x:c r="J81" s="30"/>
      <x:c r="K81" s="30"/>
      <x:c r="L81" s="30"/>
      <x:c r="M81" s="30"/>
      <x:c r="N81" s="30" t="str">
        <x:f>IF(I81="","",IFERROR(VLOOKUP(I81,Lookups!$A$2:$B$5,2,FALSE),0))</x:f>
      </x:c>
      <x:c r="O81" s="30" t="str">
        <x:f>IF(OR(L81="",V81&lt;&gt;"Yes"),"",IF(U81="Yes",1,IFS(TODAY()-L81&lt;=365,1,TODAY()-L81&lt;=730,0.8,TODAY()-L81&lt;=1460,0.6,TRUE,0.4)))</x:f>
      </x:c>
      <x:c r="P81" s="30" t="str">
        <x:f>IF(V81&lt;&gt;"Yes","",IFERROR(H81*N81*O81,0))</x:f>
      </x:c>
      <x:c r="Q81" s="30" t="str">
        <x:f>IF(P81="","",G81*P81)</x:f>
      </x:c>
      <x:c r="R81" s="30" t="str">
        <x:f>IF(K81="","",IFERROR(REGEXEXTRACT(K81,"https?://([^/]+)"),""))</x:f>
      </x:c>
      <x:c r="S81" s="30" t="str">
        <x:f>IF(R81&lt;&gt;"",LOWER(R81),IF(J81&lt;&gt;"",LOWER(J81),""))</x:f>
      </x:c>
      <x:c r="T81" s="30"/>
      <x:c r="U81" s="30"/>
      <x:c r="V81" s="30"/>
      <x:c r="W81" s="30" t="str">
        <x:f>IF(B81="","",IF(V81&lt;&gt;"Yes","Excluded",IF(OR(G81="",H81="",I81=""),"Needs review","Included")))</x:f>
      </x:c>
    </x:row>
    <x:row r="82">
      <x:c r="A82" s="30" t="str">
        <x:f>IF(B82="","","EV-"&amp;TEXT(ROW()-1,"0000"))</x:f>
      </x:c>
      <x:c r="B82" s="30"/>
      <x:c r="C82" s="30" t="str">
        <x:f>IF(B82="","",IFERROR(VLOOKUP(B82,Country_Config!$A$2:$G$100,2,FALSE),""))</x:f>
      </x:c>
      <x:c r="D82" s="30" t="str">
        <x:f>IF(B82="","",IFERROR(VLOOKUP(B82,Country_Config!$A$2:$G$100,3,FALSE),""))</x:f>
      </x:c>
      <x:c r="E82" s="30"/>
      <x:c r="F82" s="30"/>
      <x:c r="G82" s="30"/>
      <x:c r="H82" s="30" t="str">
        <x:f>IF(OR(E82="",F82=""),"",IFERROR(VLOOKUP(E82&amp;"|"&amp;F82,Rules_Weights!$A$2:$E$120,4,FALSE),100))</x:f>
      </x:c>
      <x:c r="I82" s="30"/>
      <x:c r="J82" s="30"/>
      <x:c r="K82" s="30"/>
      <x:c r="L82" s="30"/>
      <x:c r="M82" s="30"/>
      <x:c r="N82" s="30" t="str">
        <x:f>IF(I82="","",IFERROR(VLOOKUP(I82,Lookups!$A$2:$B$5,2,FALSE),0))</x:f>
      </x:c>
      <x:c r="O82" s="30" t="str">
        <x:f>IF(OR(L82="",V82&lt;&gt;"Yes"),"",IF(U82="Yes",1,IFS(TODAY()-L82&lt;=365,1,TODAY()-L82&lt;=730,0.8,TODAY()-L82&lt;=1460,0.6,TRUE,0.4)))</x:f>
      </x:c>
      <x:c r="P82" s="30" t="str">
        <x:f>IF(V82&lt;&gt;"Yes","",IFERROR(H82*N82*O82,0))</x:f>
      </x:c>
      <x:c r="Q82" s="30" t="str">
        <x:f>IF(P82="","",G82*P82)</x:f>
      </x:c>
      <x:c r="R82" s="30" t="str">
        <x:f>IF(K82="","",IFERROR(REGEXEXTRACT(K82,"https?://([^/]+)"),""))</x:f>
      </x:c>
      <x:c r="S82" s="30" t="str">
        <x:f>IF(R82&lt;&gt;"",LOWER(R82),IF(J82&lt;&gt;"",LOWER(J82),""))</x:f>
      </x:c>
      <x:c r="T82" s="30"/>
      <x:c r="U82" s="30"/>
      <x:c r="V82" s="30"/>
      <x:c r="W82" s="30" t="str">
        <x:f>IF(B82="","",IF(V82&lt;&gt;"Yes","Excluded",IF(OR(G82="",H82="",I82=""),"Needs review","Included")))</x:f>
      </x:c>
    </x:row>
    <x:row r="83">
      <x:c r="A83" s="30" t="str">
        <x:f>IF(B83="","","EV-"&amp;TEXT(ROW()-1,"0000"))</x:f>
      </x:c>
      <x:c r="B83" s="30"/>
      <x:c r="C83" s="30" t="str">
        <x:f>IF(B83="","",IFERROR(VLOOKUP(B83,Country_Config!$A$2:$G$100,2,FALSE),""))</x:f>
      </x:c>
      <x:c r="D83" s="30" t="str">
        <x:f>IF(B83="","",IFERROR(VLOOKUP(B83,Country_Config!$A$2:$G$100,3,FALSE),""))</x:f>
      </x:c>
      <x:c r="E83" s="30"/>
      <x:c r="F83" s="30"/>
      <x:c r="G83" s="30"/>
      <x:c r="H83" s="30" t="str">
        <x:f>IF(OR(E83="",F83=""),"",IFERROR(VLOOKUP(E83&amp;"|"&amp;F83,Rules_Weights!$A$2:$E$120,4,FALSE),100))</x:f>
      </x:c>
      <x:c r="I83" s="30"/>
      <x:c r="J83" s="30"/>
      <x:c r="K83" s="30"/>
      <x:c r="L83" s="30"/>
      <x:c r="M83" s="30"/>
      <x:c r="N83" s="30" t="str">
        <x:f>IF(I83="","",IFERROR(VLOOKUP(I83,Lookups!$A$2:$B$5,2,FALSE),0))</x:f>
      </x:c>
      <x:c r="O83" s="30" t="str">
        <x:f>IF(OR(L83="",V83&lt;&gt;"Yes"),"",IF(U83="Yes",1,IFS(TODAY()-L83&lt;=365,1,TODAY()-L83&lt;=730,0.8,TODAY()-L83&lt;=1460,0.6,TRUE,0.4)))</x:f>
      </x:c>
      <x:c r="P83" s="30" t="str">
        <x:f>IF(V83&lt;&gt;"Yes","",IFERROR(H83*N83*O83,0))</x:f>
      </x:c>
      <x:c r="Q83" s="30" t="str">
        <x:f>IF(P83="","",G83*P83)</x:f>
      </x:c>
      <x:c r="R83" s="30" t="str">
        <x:f>IF(K83="","",IFERROR(REGEXEXTRACT(K83,"https?://([^/]+)"),""))</x:f>
      </x:c>
      <x:c r="S83" s="30" t="str">
        <x:f>IF(R83&lt;&gt;"",LOWER(R83),IF(J83&lt;&gt;"",LOWER(J83),""))</x:f>
      </x:c>
      <x:c r="T83" s="30"/>
      <x:c r="U83" s="30"/>
      <x:c r="V83" s="30"/>
      <x:c r="W83" s="30" t="str">
        <x:f>IF(B83="","",IF(V83&lt;&gt;"Yes","Excluded",IF(OR(G83="",H83="",I83=""),"Needs review","Included")))</x:f>
      </x:c>
    </x:row>
    <x:row r="84">
      <x:c r="A84" s="30" t="str">
        <x:f>IF(B84="","","EV-"&amp;TEXT(ROW()-1,"0000"))</x:f>
      </x:c>
      <x:c r="B84" s="30"/>
      <x:c r="C84" s="30" t="str">
        <x:f>IF(B84="","",IFERROR(VLOOKUP(B84,Country_Config!$A$2:$G$100,2,FALSE),""))</x:f>
      </x:c>
      <x:c r="D84" s="30" t="str">
        <x:f>IF(B84="","",IFERROR(VLOOKUP(B84,Country_Config!$A$2:$G$100,3,FALSE),""))</x:f>
      </x:c>
      <x:c r="E84" s="30"/>
      <x:c r="F84" s="30"/>
      <x:c r="G84" s="30"/>
      <x:c r="H84" s="30" t="str">
        <x:f>IF(OR(E84="",F84=""),"",IFERROR(VLOOKUP(E84&amp;"|"&amp;F84,Rules_Weights!$A$2:$E$120,4,FALSE),100))</x:f>
      </x:c>
      <x:c r="I84" s="30"/>
      <x:c r="J84" s="30"/>
      <x:c r="K84" s="30"/>
      <x:c r="L84" s="30"/>
      <x:c r="M84" s="30"/>
      <x:c r="N84" s="30" t="str">
        <x:f>IF(I84="","",IFERROR(VLOOKUP(I84,Lookups!$A$2:$B$5,2,FALSE),0))</x:f>
      </x:c>
      <x:c r="O84" s="30" t="str">
        <x:f>IF(OR(L84="",V84&lt;&gt;"Yes"),"",IF(U84="Yes",1,IFS(TODAY()-L84&lt;=365,1,TODAY()-L84&lt;=730,0.8,TODAY()-L84&lt;=1460,0.6,TRUE,0.4)))</x:f>
      </x:c>
      <x:c r="P84" s="30" t="str">
        <x:f>IF(V84&lt;&gt;"Yes","",IFERROR(H84*N84*O84,0))</x:f>
      </x:c>
      <x:c r="Q84" s="30" t="str">
        <x:f>IF(P84="","",G84*P84)</x:f>
      </x:c>
      <x:c r="R84" s="30" t="str">
        <x:f>IF(K84="","",IFERROR(REGEXEXTRACT(K84,"https?://([^/]+)"),""))</x:f>
      </x:c>
      <x:c r="S84" s="30" t="str">
        <x:f>IF(R84&lt;&gt;"",LOWER(R84),IF(J84&lt;&gt;"",LOWER(J84),""))</x:f>
      </x:c>
      <x:c r="T84" s="30"/>
      <x:c r="U84" s="30"/>
      <x:c r="V84" s="30"/>
      <x:c r="W84" s="30" t="str">
        <x:f>IF(B84="","",IF(V84&lt;&gt;"Yes","Excluded",IF(OR(G84="",H84="",I84=""),"Needs review","Included")))</x:f>
      </x:c>
    </x:row>
    <x:row r="85">
      <x:c r="A85" s="30" t="str">
        <x:f>IF(B85="","","EV-"&amp;TEXT(ROW()-1,"0000"))</x:f>
      </x:c>
      <x:c r="B85" s="30"/>
      <x:c r="C85" s="30" t="str">
        <x:f>IF(B85="","",IFERROR(VLOOKUP(B85,Country_Config!$A$2:$G$100,2,FALSE),""))</x:f>
      </x:c>
      <x:c r="D85" s="30" t="str">
        <x:f>IF(B85="","",IFERROR(VLOOKUP(B85,Country_Config!$A$2:$G$100,3,FALSE),""))</x:f>
      </x:c>
      <x:c r="E85" s="30"/>
      <x:c r="F85" s="30"/>
      <x:c r="G85" s="30"/>
      <x:c r="H85" s="30" t="str">
        <x:f>IF(OR(E85="",F85=""),"",IFERROR(VLOOKUP(E85&amp;"|"&amp;F85,Rules_Weights!$A$2:$E$120,4,FALSE),100))</x:f>
      </x:c>
      <x:c r="I85" s="30"/>
      <x:c r="J85" s="30"/>
      <x:c r="K85" s="30"/>
      <x:c r="L85" s="30"/>
      <x:c r="M85" s="30"/>
      <x:c r="N85" s="30" t="str">
        <x:f>IF(I85="","",IFERROR(VLOOKUP(I85,Lookups!$A$2:$B$5,2,FALSE),0))</x:f>
      </x:c>
      <x:c r="O85" s="30" t="str">
        <x:f>IF(OR(L85="",V85&lt;&gt;"Yes"),"",IF(U85="Yes",1,IFS(TODAY()-L85&lt;=365,1,TODAY()-L85&lt;=730,0.8,TODAY()-L85&lt;=1460,0.6,TRUE,0.4)))</x:f>
      </x:c>
      <x:c r="P85" s="30" t="str">
        <x:f>IF(V85&lt;&gt;"Yes","",IFERROR(H85*N85*O85,0))</x:f>
      </x:c>
      <x:c r="Q85" s="30" t="str">
        <x:f>IF(P85="","",G85*P85)</x:f>
      </x:c>
      <x:c r="R85" s="30" t="str">
        <x:f>IF(K85="","",IFERROR(REGEXEXTRACT(K85,"https?://([^/]+)"),""))</x:f>
      </x:c>
      <x:c r="S85" s="30" t="str">
        <x:f>IF(R85&lt;&gt;"",LOWER(R85),IF(J85&lt;&gt;"",LOWER(J85),""))</x:f>
      </x:c>
      <x:c r="T85" s="30"/>
      <x:c r="U85" s="30"/>
      <x:c r="V85" s="30"/>
      <x:c r="W85" s="30" t="str">
        <x:f>IF(B85="","",IF(V85&lt;&gt;"Yes","Excluded",IF(OR(G85="",H85="",I85=""),"Needs review","Included")))</x:f>
      </x:c>
    </x:row>
    <x:row r="86">
      <x:c r="A86" s="30" t="str">
        <x:f>IF(B86="","","EV-"&amp;TEXT(ROW()-1,"0000"))</x:f>
      </x:c>
      <x:c r="B86" s="30"/>
      <x:c r="C86" s="30" t="str">
        <x:f>IF(B86="","",IFERROR(VLOOKUP(B86,Country_Config!$A$2:$G$100,2,FALSE),""))</x:f>
      </x:c>
      <x:c r="D86" s="30" t="str">
        <x:f>IF(B86="","",IFERROR(VLOOKUP(B86,Country_Config!$A$2:$G$100,3,FALSE),""))</x:f>
      </x:c>
      <x:c r="E86" s="30"/>
      <x:c r="F86" s="30"/>
      <x:c r="G86" s="30"/>
      <x:c r="H86" s="30" t="str">
        <x:f>IF(OR(E86="",F86=""),"",IFERROR(VLOOKUP(E86&amp;"|"&amp;F86,Rules_Weights!$A$2:$E$120,4,FALSE),100))</x:f>
      </x:c>
      <x:c r="I86" s="30"/>
      <x:c r="J86" s="30"/>
      <x:c r="K86" s="30"/>
      <x:c r="L86" s="30"/>
      <x:c r="M86" s="30"/>
      <x:c r="N86" s="30" t="str">
        <x:f>IF(I86="","",IFERROR(VLOOKUP(I86,Lookups!$A$2:$B$5,2,FALSE),0))</x:f>
      </x:c>
      <x:c r="O86" s="30" t="str">
        <x:f>IF(OR(L86="",V86&lt;&gt;"Yes"),"",IF(U86="Yes",1,IFS(TODAY()-L86&lt;=365,1,TODAY()-L86&lt;=730,0.8,TODAY()-L86&lt;=1460,0.6,TRUE,0.4)))</x:f>
      </x:c>
      <x:c r="P86" s="30" t="str">
        <x:f>IF(V86&lt;&gt;"Yes","",IFERROR(H86*N86*O86,0))</x:f>
      </x:c>
      <x:c r="Q86" s="30" t="str">
        <x:f>IF(P86="","",G86*P86)</x:f>
      </x:c>
      <x:c r="R86" s="30" t="str">
        <x:f>IF(K86="","",IFERROR(REGEXEXTRACT(K86,"https?://([^/]+)"),""))</x:f>
      </x:c>
      <x:c r="S86" s="30" t="str">
        <x:f>IF(R86&lt;&gt;"",LOWER(R86),IF(J86&lt;&gt;"",LOWER(J86),""))</x:f>
      </x:c>
      <x:c r="T86" s="30"/>
      <x:c r="U86" s="30"/>
      <x:c r="V86" s="30"/>
      <x:c r="W86" s="30" t="str">
        <x:f>IF(B86="","",IF(V86&lt;&gt;"Yes","Excluded",IF(OR(G86="",H86="",I86=""),"Needs review","Included")))</x:f>
      </x:c>
    </x:row>
    <x:row r="87">
      <x:c r="A87" s="30" t="str">
        <x:f>IF(B87="","","EV-"&amp;TEXT(ROW()-1,"0000"))</x:f>
      </x:c>
      <x:c r="B87" s="30"/>
      <x:c r="C87" s="30" t="str">
        <x:f>IF(B87="","",IFERROR(VLOOKUP(B87,Country_Config!$A$2:$G$100,2,FALSE),""))</x:f>
      </x:c>
      <x:c r="D87" s="30" t="str">
        <x:f>IF(B87="","",IFERROR(VLOOKUP(B87,Country_Config!$A$2:$G$100,3,FALSE),""))</x:f>
      </x:c>
      <x:c r="E87" s="30"/>
      <x:c r="F87" s="30"/>
      <x:c r="G87" s="30"/>
      <x:c r="H87" s="30" t="str">
        <x:f>IF(OR(E87="",F87=""),"",IFERROR(VLOOKUP(E87&amp;"|"&amp;F87,Rules_Weights!$A$2:$E$120,4,FALSE),100))</x:f>
      </x:c>
      <x:c r="I87" s="30"/>
      <x:c r="J87" s="30"/>
      <x:c r="K87" s="30"/>
      <x:c r="L87" s="30"/>
      <x:c r="M87" s="30"/>
      <x:c r="N87" s="30" t="str">
        <x:f>IF(I87="","",IFERROR(VLOOKUP(I87,Lookups!$A$2:$B$5,2,FALSE),0))</x:f>
      </x:c>
      <x:c r="O87" s="30" t="str">
        <x:f>IF(OR(L87="",V87&lt;&gt;"Yes"),"",IF(U87="Yes",1,IFS(TODAY()-L87&lt;=365,1,TODAY()-L87&lt;=730,0.8,TODAY()-L87&lt;=1460,0.6,TRUE,0.4)))</x:f>
      </x:c>
      <x:c r="P87" s="30" t="str">
        <x:f>IF(V87&lt;&gt;"Yes","",IFERROR(H87*N87*O87,0))</x:f>
      </x:c>
      <x:c r="Q87" s="30" t="str">
        <x:f>IF(P87="","",G87*P87)</x:f>
      </x:c>
      <x:c r="R87" s="30" t="str">
        <x:f>IF(K87="","",IFERROR(REGEXEXTRACT(K87,"https?://([^/]+)"),""))</x:f>
      </x:c>
      <x:c r="S87" s="30" t="str">
        <x:f>IF(R87&lt;&gt;"",LOWER(R87),IF(J87&lt;&gt;"",LOWER(J87),""))</x:f>
      </x:c>
      <x:c r="T87" s="30"/>
      <x:c r="U87" s="30"/>
      <x:c r="V87" s="30"/>
      <x:c r="W87" s="30" t="str">
        <x:f>IF(B87="","",IF(V87&lt;&gt;"Yes","Excluded",IF(OR(G87="",H87="",I87=""),"Needs review","Included")))</x:f>
      </x:c>
    </x:row>
    <x:row r="88">
      <x:c r="A88" s="30" t="str">
        <x:f>IF(B88="","","EV-"&amp;TEXT(ROW()-1,"0000"))</x:f>
      </x:c>
      <x:c r="B88" s="30"/>
      <x:c r="C88" s="30" t="str">
        <x:f>IF(B88="","",IFERROR(VLOOKUP(B88,Country_Config!$A$2:$G$100,2,FALSE),""))</x:f>
      </x:c>
      <x:c r="D88" s="30" t="str">
        <x:f>IF(B88="","",IFERROR(VLOOKUP(B88,Country_Config!$A$2:$G$100,3,FALSE),""))</x:f>
      </x:c>
      <x:c r="E88" s="30"/>
      <x:c r="F88" s="30"/>
      <x:c r="G88" s="30"/>
      <x:c r="H88" s="30" t="str">
        <x:f>IF(OR(E88="",F88=""),"",IFERROR(VLOOKUP(E88&amp;"|"&amp;F88,Rules_Weights!$A$2:$E$120,4,FALSE),100))</x:f>
      </x:c>
      <x:c r="I88" s="30"/>
      <x:c r="J88" s="30"/>
      <x:c r="K88" s="30"/>
      <x:c r="L88" s="30"/>
      <x:c r="M88" s="30"/>
      <x:c r="N88" s="30" t="str">
        <x:f>IF(I88="","",IFERROR(VLOOKUP(I88,Lookups!$A$2:$B$5,2,FALSE),0))</x:f>
      </x:c>
      <x:c r="O88" s="30" t="str">
        <x:f>IF(OR(L88="",V88&lt;&gt;"Yes"),"",IF(U88="Yes",1,IFS(TODAY()-L88&lt;=365,1,TODAY()-L88&lt;=730,0.8,TODAY()-L88&lt;=1460,0.6,TRUE,0.4)))</x:f>
      </x:c>
      <x:c r="P88" s="30" t="str">
        <x:f>IF(V88&lt;&gt;"Yes","",IFERROR(H88*N88*O88,0))</x:f>
      </x:c>
      <x:c r="Q88" s="30" t="str">
        <x:f>IF(P88="","",G88*P88)</x:f>
      </x:c>
      <x:c r="R88" s="30" t="str">
        <x:f>IF(K88="","",IFERROR(REGEXEXTRACT(K88,"https?://([^/]+)"),""))</x:f>
      </x:c>
      <x:c r="S88" s="30" t="str">
        <x:f>IF(R88&lt;&gt;"",LOWER(R88),IF(J88&lt;&gt;"",LOWER(J88),""))</x:f>
      </x:c>
      <x:c r="T88" s="30"/>
      <x:c r="U88" s="30"/>
      <x:c r="V88" s="30"/>
      <x:c r="W88" s="30" t="str">
        <x:f>IF(B88="","",IF(V88&lt;&gt;"Yes","Excluded",IF(OR(G88="",H88="",I88=""),"Needs review","Included")))</x:f>
      </x:c>
    </x:row>
    <x:row r="89">
      <x:c r="A89" s="30" t="str">
        <x:f>IF(B89="","","EV-"&amp;TEXT(ROW()-1,"0000"))</x:f>
      </x:c>
      <x:c r="B89" s="30"/>
      <x:c r="C89" s="30" t="str">
        <x:f>IF(B89="","",IFERROR(VLOOKUP(B89,Country_Config!$A$2:$G$100,2,FALSE),""))</x:f>
      </x:c>
      <x:c r="D89" s="30" t="str">
        <x:f>IF(B89="","",IFERROR(VLOOKUP(B89,Country_Config!$A$2:$G$100,3,FALSE),""))</x:f>
      </x:c>
      <x:c r="E89" s="30"/>
      <x:c r="F89" s="30"/>
      <x:c r="G89" s="30"/>
      <x:c r="H89" s="30" t="str">
        <x:f>IF(OR(E89="",F89=""),"",IFERROR(VLOOKUP(E89&amp;"|"&amp;F89,Rules_Weights!$A$2:$E$120,4,FALSE),100))</x:f>
      </x:c>
      <x:c r="I89" s="30"/>
      <x:c r="J89" s="30"/>
      <x:c r="K89" s="30"/>
      <x:c r="L89" s="30"/>
      <x:c r="M89" s="30"/>
      <x:c r="N89" s="30" t="str">
        <x:f>IF(I89="","",IFERROR(VLOOKUP(I89,Lookups!$A$2:$B$5,2,FALSE),0))</x:f>
      </x:c>
      <x:c r="O89" s="30" t="str">
        <x:f>IF(OR(L89="",V89&lt;&gt;"Yes"),"",IF(U89="Yes",1,IFS(TODAY()-L89&lt;=365,1,TODAY()-L89&lt;=730,0.8,TODAY()-L89&lt;=1460,0.6,TRUE,0.4)))</x:f>
      </x:c>
      <x:c r="P89" s="30" t="str">
        <x:f>IF(V89&lt;&gt;"Yes","",IFERROR(H89*N89*O89,0))</x:f>
      </x:c>
      <x:c r="Q89" s="30" t="str">
        <x:f>IF(P89="","",G89*P89)</x:f>
      </x:c>
      <x:c r="R89" s="30" t="str">
        <x:f>IF(K89="","",IFERROR(REGEXEXTRACT(K89,"https?://([^/]+)"),""))</x:f>
      </x:c>
      <x:c r="S89" s="30" t="str">
        <x:f>IF(R89&lt;&gt;"",LOWER(R89),IF(J89&lt;&gt;"",LOWER(J89),""))</x:f>
      </x:c>
      <x:c r="T89" s="30"/>
      <x:c r="U89" s="30"/>
      <x:c r="V89" s="30"/>
      <x:c r="W89" s="30" t="str">
        <x:f>IF(B89="","",IF(V89&lt;&gt;"Yes","Excluded",IF(OR(G89="",H89="",I89=""),"Needs review","Included")))</x:f>
      </x:c>
    </x:row>
    <x:row r="90">
      <x:c r="A90" s="30" t="str">
        <x:f>IF(B90="","","EV-"&amp;TEXT(ROW()-1,"0000"))</x:f>
      </x:c>
      <x:c r="B90" s="30"/>
      <x:c r="C90" s="30" t="str">
        <x:f>IF(B90="","",IFERROR(VLOOKUP(B90,Country_Config!$A$2:$G$100,2,FALSE),""))</x:f>
      </x:c>
      <x:c r="D90" s="30" t="str">
        <x:f>IF(B90="","",IFERROR(VLOOKUP(B90,Country_Config!$A$2:$G$100,3,FALSE),""))</x:f>
      </x:c>
      <x:c r="E90" s="30"/>
      <x:c r="F90" s="30"/>
      <x:c r="G90" s="30"/>
      <x:c r="H90" s="30" t="str">
        <x:f>IF(OR(E90="",F90=""),"",IFERROR(VLOOKUP(E90&amp;"|"&amp;F90,Rules_Weights!$A$2:$E$120,4,FALSE),100))</x:f>
      </x:c>
      <x:c r="I90" s="30"/>
      <x:c r="J90" s="30"/>
      <x:c r="K90" s="30"/>
      <x:c r="L90" s="30"/>
      <x:c r="M90" s="30"/>
      <x:c r="N90" s="30" t="str">
        <x:f>IF(I90="","",IFERROR(VLOOKUP(I90,Lookups!$A$2:$B$5,2,FALSE),0))</x:f>
      </x:c>
      <x:c r="O90" s="30" t="str">
        <x:f>IF(OR(L90="",V90&lt;&gt;"Yes"),"",IF(U90="Yes",1,IFS(TODAY()-L90&lt;=365,1,TODAY()-L90&lt;=730,0.8,TODAY()-L90&lt;=1460,0.6,TRUE,0.4)))</x:f>
      </x:c>
      <x:c r="P90" s="30" t="str">
        <x:f>IF(V90&lt;&gt;"Yes","",IFERROR(H90*N90*O90,0))</x:f>
      </x:c>
      <x:c r="Q90" s="30" t="str">
        <x:f>IF(P90="","",G90*P90)</x:f>
      </x:c>
      <x:c r="R90" s="30" t="str">
        <x:f>IF(K90="","",IFERROR(REGEXEXTRACT(K90,"https?://([^/]+)"),""))</x:f>
      </x:c>
      <x:c r="S90" s="30" t="str">
        <x:f>IF(R90&lt;&gt;"",LOWER(R90),IF(J90&lt;&gt;"",LOWER(J90),""))</x:f>
      </x:c>
      <x:c r="T90" s="30"/>
      <x:c r="U90" s="30"/>
      <x:c r="V90" s="30"/>
      <x:c r="W90" s="30" t="str">
        <x:f>IF(B90="","",IF(V90&lt;&gt;"Yes","Excluded",IF(OR(G90="",H90="",I90=""),"Needs review","Included")))</x:f>
      </x:c>
    </x:row>
    <x:row r="91">
      <x:c r="A91" s="30" t="str">
        <x:f>IF(B91="","","EV-"&amp;TEXT(ROW()-1,"0000"))</x:f>
      </x:c>
      <x:c r="B91" s="30"/>
      <x:c r="C91" s="30" t="str">
        <x:f>IF(B91="","",IFERROR(VLOOKUP(B91,Country_Config!$A$2:$G$100,2,FALSE),""))</x:f>
      </x:c>
      <x:c r="D91" s="30" t="str">
        <x:f>IF(B91="","",IFERROR(VLOOKUP(B91,Country_Config!$A$2:$G$100,3,FALSE),""))</x:f>
      </x:c>
      <x:c r="E91" s="30"/>
      <x:c r="F91" s="30"/>
      <x:c r="G91" s="30"/>
      <x:c r="H91" s="30" t="str">
        <x:f>IF(OR(E91="",F91=""),"",IFERROR(VLOOKUP(E91&amp;"|"&amp;F91,Rules_Weights!$A$2:$E$120,4,FALSE),100))</x:f>
      </x:c>
      <x:c r="I91" s="30"/>
      <x:c r="J91" s="30"/>
      <x:c r="K91" s="30"/>
      <x:c r="L91" s="30"/>
      <x:c r="M91" s="30"/>
      <x:c r="N91" s="30" t="str">
        <x:f>IF(I91="","",IFERROR(VLOOKUP(I91,Lookups!$A$2:$B$5,2,FALSE),0))</x:f>
      </x:c>
      <x:c r="O91" s="30" t="str">
        <x:f>IF(OR(L91="",V91&lt;&gt;"Yes"),"",IF(U91="Yes",1,IFS(TODAY()-L91&lt;=365,1,TODAY()-L91&lt;=730,0.8,TODAY()-L91&lt;=1460,0.6,TRUE,0.4)))</x:f>
      </x:c>
      <x:c r="P91" s="30" t="str">
        <x:f>IF(V91&lt;&gt;"Yes","",IFERROR(H91*N91*O91,0))</x:f>
      </x:c>
      <x:c r="Q91" s="30" t="str">
        <x:f>IF(P91="","",G91*P91)</x:f>
      </x:c>
      <x:c r="R91" s="30" t="str">
        <x:f>IF(K91="","",IFERROR(REGEXEXTRACT(K91,"https?://([^/]+)"),""))</x:f>
      </x:c>
      <x:c r="S91" s="30" t="str">
        <x:f>IF(R91&lt;&gt;"",LOWER(R91),IF(J91&lt;&gt;"",LOWER(J91),""))</x:f>
      </x:c>
      <x:c r="T91" s="30"/>
      <x:c r="U91" s="30"/>
      <x:c r="V91" s="30"/>
      <x:c r="W91" s="30" t="str">
        <x:f>IF(B91="","",IF(V91&lt;&gt;"Yes","Excluded",IF(OR(G91="",H91="",I91=""),"Needs review","Included")))</x:f>
      </x:c>
    </x:row>
    <x:row r="92">
      <x:c r="A92" s="30" t="str">
        <x:f>IF(B92="","","EV-"&amp;TEXT(ROW()-1,"0000"))</x:f>
      </x:c>
      <x:c r="B92" s="30"/>
      <x:c r="C92" s="30" t="str">
        <x:f>IF(B92="","",IFERROR(VLOOKUP(B92,Country_Config!$A$2:$G$100,2,FALSE),""))</x:f>
      </x:c>
      <x:c r="D92" s="30" t="str">
        <x:f>IF(B92="","",IFERROR(VLOOKUP(B92,Country_Config!$A$2:$G$100,3,FALSE),""))</x:f>
      </x:c>
      <x:c r="E92" s="30"/>
      <x:c r="F92" s="30"/>
      <x:c r="G92" s="30"/>
      <x:c r="H92" s="30" t="str">
        <x:f>IF(OR(E92="",F92=""),"",IFERROR(VLOOKUP(E92&amp;"|"&amp;F92,Rules_Weights!$A$2:$E$120,4,FALSE),100))</x:f>
      </x:c>
      <x:c r="I92" s="30"/>
      <x:c r="J92" s="30"/>
      <x:c r="K92" s="30"/>
      <x:c r="L92" s="30"/>
      <x:c r="M92" s="30"/>
      <x:c r="N92" s="30" t="str">
        <x:f>IF(I92="","",IFERROR(VLOOKUP(I92,Lookups!$A$2:$B$5,2,FALSE),0))</x:f>
      </x:c>
      <x:c r="O92" s="30" t="str">
        <x:f>IF(OR(L92="",V92&lt;&gt;"Yes"),"",IF(U92="Yes",1,IFS(TODAY()-L92&lt;=365,1,TODAY()-L92&lt;=730,0.8,TODAY()-L92&lt;=1460,0.6,TRUE,0.4)))</x:f>
      </x:c>
      <x:c r="P92" s="30" t="str">
        <x:f>IF(V92&lt;&gt;"Yes","",IFERROR(H92*N92*O92,0))</x:f>
      </x:c>
      <x:c r="Q92" s="30" t="str">
        <x:f>IF(P92="","",G92*P92)</x:f>
      </x:c>
      <x:c r="R92" s="30" t="str">
        <x:f>IF(K92="","",IFERROR(REGEXEXTRACT(K92,"https?://([^/]+)"),""))</x:f>
      </x:c>
      <x:c r="S92" s="30" t="str">
        <x:f>IF(R92&lt;&gt;"",LOWER(R92),IF(J92&lt;&gt;"",LOWER(J92),""))</x:f>
      </x:c>
      <x:c r="T92" s="30"/>
      <x:c r="U92" s="30"/>
      <x:c r="V92" s="30"/>
      <x:c r="W92" s="30" t="str">
        <x:f>IF(B92="","",IF(V92&lt;&gt;"Yes","Excluded",IF(OR(G92="",H92="",I92=""),"Needs review","Included")))</x:f>
      </x:c>
    </x:row>
    <x:row r="93">
      <x:c r="A93" s="30" t="str">
        <x:f>IF(B93="","","EV-"&amp;TEXT(ROW()-1,"0000"))</x:f>
      </x:c>
      <x:c r="B93" s="30"/>
      <x:c r="C93" s="30" t="str">
        <x:f>IF(B93="","",IFERROR(VLOOKUP(B93,Country_Config!$A$2:$G$100,2,FALSE),""))</x:f>
      </x:c>
      <x:c r="D93" s="30" t="str">
        <x:f>IF(B93="","",IFERROR(VLOOKUP(B93,Country_Config!$A$2:$G$100,3,FALSE),""))</x:f>
      </x:c>
      <x:c r="E93" s="30"/>
      <x:c r="F93" s="30"/>
      <x:c r="G93" s="30"/>
      <x:c r="H93" s="30" t="str">
        <x:f>IF(OR(E93="",F93=""),"",IFERROR(VLOOKUP(E93&amp;"|"&amp;F93,Rules_Weights!$A$2:$E$120,4,FALSE),100))</x:f>
      </x:c>
      <x:c r="I93" s="30"/>
      <x:c r="J93" s="30"/>
      <x:c r="K93" s="30"/>
      <x:c r="L93" s="30"/>
      <x:c r="M93" s="30"/>
      <x:c r="N93" s="30" t="str">
        <x:f>IF(I93="","",IFERROR(VLOOKUP(I93,Lookups!$A$2:$B$5,2,FALSE),0))</x:f>
      </x:c>
      <x:c r="O93" s="30" t="str">
        <x:f>IF(OR(L93="",V93&lt;&gt;"Yes"),"",IF(U93="Yes",1,IFS(TODAY()-L93&lt;=365,1,TODAY()-L93&lt;=730,0.8,TODAY()-L93&lt;=1460,0.6,TRUE,0.4)))</x:f>
      </x:c>
      <x:c r="P93" s="30" t="str">
        <x:f>IF(V93&lt;&gt;"Yes","",IFERROR(H93*N93*O93,0))</x:f>
      </x:c>
      <x:c r="Q93" s="30" t="str">
        <x:f>IF(P93="","",G93*P93)</x:f>
      </x:c>
      <x:c r="R93" s="30" t="str">
        <x:f>IF(K93="","",IFERROR(REGEXEXTRACT(K93,"https?://([^/]+)"),""))</x:f>
      </x:c>
      <x:c r="S93" s="30" t="str">
        <x:f>IF(R93&lt;&gt;"",LOWER(R93),IF(J93&lt;&gt;"",LOWER(J93),""))</x:f>
      </x:c>
      <x:c r="T93" s="30"/>
      <x:c r="U93" s="30"/>
      <x:c r="V93" s="30"/>
      <x:c r="W93" s="30" t="str">
        <x:f>IF(B93="","",IF(V93&lt;&gt;"Yes","Excluded",IF(OR(G93="",H93="",I93=""),"Needs review","Included")))</x:f>
      </x:c>
    </x:row>
    <x:row r="94">
      <x:c r="A94" s="30" t="str">
        <x:f>IF(B94="","","EV-"&amp;TEXT(ROW()-1,"0000"))</x:f>
      </x:c>
      <x:c r="B94" s="30"/>
      <x:c r="C94" s="30" t="str">
        <x:f>IF(B94="","",IFERROR(VLOOKUP(B94,Country_Config!$A$2:$G$100,2,FALSE),""))</x:f>
      </x:c>
      <x:c r="D94" s="30" t="str">
        <x:f>IF(B94="","",IFERROR(VLOOKUP(B94,Country_Config!$A$2:$G$100,3,FALSE),""))</x:f>
      </x:c>
      <x:c r="E94" s="30"/>
      <x:c r="F94" s="30"/>
      <x:c r="G94" s="30"/>
      <x:c r="H94" s="30" t="str">
        <x:f>IF(OR(E94="",F94=""),"",IFERROR(VLOOKUP(E94&amp;"|"&amp;F94,Rules_Weights!$A$2:$E$120,4,FALSE),100))</x:f>
      </x:c>
      <x:c r="I94" s="30"/>
      <x:c r="J94" s="30"/>
      <x:c r="K94" s="30"/>
      <x:c r="L94" s="30"/>
      <x:c r="M94" s="30"/>
      <x:c r="N94" s="30" t="str">
        <x:f>IF(I94="","",IFERROR(VLOOKUP(I94,Lookups!$A$2:$B$5,2,FALSE),0))</x:f>
      </x:c>
      <x:c r="O94" s="30" t="str">
        <x:f>IF(OR(L94="",V94&lt;&gt;"Yes"),"",IF(U94="Yes",1,IFS(TODAY()-L94&lt;=365,1,TODAY()-L94&lt;=730,0.8,TODAY()-L94&lt;=1460,0.6,TRUE,0.4)))</x:f>
      </x:c>
      <x:c r="P94" s="30" t="str">
        <x:f>IF(V94&lt;&gt;"Yes","",IFERROR(H94*N94*O94,0))</x:f>
      </x:c>
      <x:c r="Q94" s="30" t="str">
        <x:f>IF(P94="","",G94*P94)</x:f>
      </x:c>
      <x:c r="R94" s="30" t="str">
        <x:f>IF(K94="","",IFERROR(REGEXEXTRACT(K94,"https?://([^/]+)"),""))</x:f>
      </x:c>
      <x:c r="S94" s="30" t="str">
        <x:f>IF(R94&lt;&gt;"",LOWER(R94),IF(J94&lt;&gt;"",LOWER(J94),""))</x:f>
      </x:c>
      <x:c r="T94" s="30"/>
      <x:c r="U94" s="30"/>
      <x:c r="V94" s="30"/>
      <x:c r="W94" s="30" t="str">
        <x:f>IF(B94="","",IF(V94&lt;&gt;"Yes","Excluded",IF(OR(G94="",H94="",I94=""),"Needs review","Included")))</x:f>
      </x:c>
    </x:row>
    <x:row r="95">
      <x:c r="A95" s="30" t="str">
        <x:f>IF(B95="","","EV-"&amp;TEXT(ROW()-1,"0000"))</x:f>
      </x:c>
      <x:c r="B95" s="30"/>
      <x:c r="C95" s="30" t="str">
        <x:f>IF(B95="","",IFERROR(VLOOKUP(B95,Country_Config!$A$2:$G$100,2,FALSE),""))</x:f>
      </x:c>
      <x:c r="D95" s="30" t="str">
        <x:f>IF(B95="","",IFERROR(VLOOKUP(B95,Country_Config!$A$2:$G$100,3,FALSE),""))</x:f>
      </x:c>
      <x:c r="E95" s="30"/>
      <x:c r="F95" s="30"/>
      <x:c r="G95" s="30"/>
      <x:c r="H95" s="30" t="str">
        <x:f>IF(OR(E95="",F95=""),"",IFERROR(VLOOKUP(E95&amp;"|"&amp;F95,Rules_Weights!$A$2:$E$120,4,FALSE),100))</x:f>
      </x:c>
      <x:c r="I95" s="30"/>
      <x:c r="J95" s="30"/>
      <x:c r="K95" s="30"/>
      <x:c r="L95" s="30"/>
      <x:c r="M95" s="30"/>
      <x:c r="N95" s="30" t="str">
        <x:f>IF(I95="","",IFERROR(VLOOKUP(I95,Lookups!$A$2:$B$5,2,FALSE),0))</x:f>
      </x:c>
      <x:c r="O95" s="30" t="str">
        <x:f>IF(OR(L95="",V95&lt;&gt;"Yes"),"",IF(U95="Yes",1,IFS(TODAY()-L95&lt;=365,1,TODAY()-L95&lt;=730,0.8,TODAY()-L95&lt;=1460,0.6,TRUE,0.4)))</x:f>
      </x:c>
      <x:c r="P95" s="30" t="str">
        <x:f>IF(V95&lt;&gt;"Yes","",IFERROR(H95*N95*O95,0))</x:f>
      </x:c>
      <x:c r="Q95" s="30" t="str">
        <x:f>IF(P95="","",G95*P95)</x:f>
      </x:c>
      <x:c r="R95" s="30" t="str">
        <x:f>IF(K95="","",IFERROR(REGEXEXTRACT(K95,"https?://([^/]+)"),""))</x:f>
      </x:c>
      <x:c r="S95" s="30" t="str">
        <x:f>IF(R95&lt;&gt;"",LOWER(R95),IF(J95&lt;&gt;"",LOWER(J95),""))</x:f>
      </x:c>
      <x:c r="T95" s="30"/>
      <x:c r="U95" s="30"/>
      <x:c r="V95" s="30"/>
      <x:c r="W95" s="30" t="str">
        <x:f>IF(B95="","",IF(V95&lt;&gt;"Yes","Excluded",IF(OR(G95="",H95="",I95=""),"Needs review","Included")))</x:f>
      </x:c>
    </x:row>
    <x:row r="96">
      <x:c r="A96" s="30" t="str">
        <x:f>IF(B96="","","EV-"&amp;TEXT(ROW()-1,"0000"))</x:f>
      </x:c>
      <x:c r="B96" s="30"/>
      <x:c r="C96" s="30" t="str">
        <x:f>IF(B96="","",IFERROR(VLOOKUP(B96,Country_Config!$A$2:$G$100,2,FALSE),""))</x:f>
      </x:c>
      <x:c r="D96" s="30" t="str">
        <x:f>IF(B96="","",IFERROR(VLOOKUP(B96,Country_Config!$A$2:$G$100,3,FALSE),""))</x:f>
      </x:c>
      <x:c r="E96" s="30"/>
      <x:c r="F96" s="30"/>
      <x:c r="G96" s="30"/>
      <x:c r="H96" s="30" t="str">
        <x:f>IF(OR(E96="",F96=""),"",IFERROR(VLOOKUP(E96&amp;"|"&amp;F96,Rules_Weights!$A$2:$E$120,4,FALSE),100))</x:f>
      </x:c>
      <x:c r="I96" s="30"/>
      <x:c r="J96" s="30"/>
      <x:c r="K96" s="30"/>
      <x:c r="L96" s="30"/>
      <x:c r="M96" s="30"/>
      <x:c r="N96" s="30" t="str">
        <x:f>IF(I96="","",IFERROR(VLOOKUP(I96,Lookups!$A$2:$B$5,2,FALSE),0))</x:f>
      </x:c>
      <x:c r="O96" s="30" t="str">
        <x:f>IF(OR(L96="",V96&lt;&gt;"Yes"),"",IF(U96="Yes",1,IFS(TODAY()-L96&lt;=365,1,TODAY()-L96&lt;=730,0.8,TODAY()-L96&lt;=1460,0.6,TRUE,0.4)))</x:f>
      </x:c>
      <x:c r="P96" s="30" t="str">
        <x:f>IF(V96&lt;&gt;"Yes","",IFERROR(H96*N96*O96,0))</x:f>
      </x:c>
      <x:c r="Q96" s="30" t="str">
        <x:f>IF(P96="","",G96*P96)</x:f>
      </x:c>
      <x:c r="R96" s="30" t="str">
        <x:f>IF(K96="","",IFERROR(REGEXEXTRACT(K96,"https?://([^/]+)"),""))</x:f>
      </x:c>
      <x:c r="S96" s="30" t="str">
        <x:f>IF(R96&lt;&gt;"",LOWER(R96),IF(J96&lt;&gt;"",LOWER(J96),""))</x:f>
      </x:c>
      <x:c r="T96" s="30"/>
      <x:c r="U96" s="30"/>
      <x:c r="V96" s="30"/>
      <x:c r="W96" s="30" t="str">
        <x:f>IF(B96="","",IF(V96&lt;&gt;"Yes","Excluded",IF(OR(G96="",H96="",I96=""),"Needs review","Included")))</x:f>
      </x:c>
    </x:row>
    <x:row r="97">
      <x:c r="A97" s="30" t="str">
        <x:f>IF(B97="","","EV-"&amp;TEXT(ROW()-1,"0000"))</x:f>
      </x:c>
      <x:c r="B97" s="30"/>
      <x:c r="C97" s="30" t="str">
        <x:f>IF(B97="","",IFERROR(VLOOKUP(B97,Country_Config!$A$2:$G$100,2,FALSE),""))</x:f>
      </x:c>
      <x:c r="D97" s="30" t="str">
        <x:f>IF(B97="","",IFERROR(VLOOKUP(B97,Country_Config!$A$2:$G$100,3,FALSE),""))</x:f>
      </x:c>
      <x:c r="E97" s="30"/>
      <x:c r="F97" s="30"/>
      <x:c r="G97" s="30"/>
      <x:c r="H97" s="30" t="str">
        <x:f>IF(OR(E97="",F97=""),"",IFERROR(VLOOKUP(E97&amp;"|"&amp;F97,Rules_Weights!$A$2:$E$120,4,FALSE),100))</x:f>
      </x:c>
      <x:c r="I97" s="30"/>
      <x:c r="J97" s="30"/>
      <x:c r="K97" s="30"/>
      <x:c r="L97" s="30"/>
      <x:c r="M97" s="30"/>
      <x:c r="N97" s="30" t="str">
        <x:f>IF(I97="","",IFERROR(VLOOKUP(I97,Lookups!$A$2:$B$5,2,FALSE),0))</x:f>
      </x:c>
      <x:c r="O97" s="30" t="str">
        <x:f>IF(OR(L97="",V97&lt;&gt;"Yes"),"",IF(U97="Yes",1,IFS(TODAY()-L97&lt;=365,1,TODAY()-L97&lt;=730,0.8,TODAY()-L97&lt;=1460,0.6,TRUE,0.4)))</x:f>
      </x:c>
      <x:c r="P97" s="30" t="str">
        <x:f>IF(V97&lt;&gt;"Yes","",IFERROR(H97*N97*O97,0))</x:f>
      </x:c>
      <x:c r="Q97" s="30" t="str">
        <x:f>IF(P97="","",G97*P97)</x:f>
      </x:c>
      <x:c r="R97" s="30" t="str">
        <x:f>IF(K97="","",IFERROR(REGEXEXTRACT(K97,"https?://([^/]+)"),""))</x:f>
      </x:c>
      <x:c r="S97" s="30" t="str">
        <x:f>IF(R97&lt;&gt;"",LOWER(R97),IF(J97&lt;&gt;"",LOWER(J97),""))</x:f>
      </x:c>
      <x:c r="T97" s="30"/>
      <x:c r="U97" s="30"/>
      <x:c r="V97" s="30"/>
      <x:c r="W97" s="30" t="str">
        <x:f>IF(B97="","",IF(V97&lt;&gt;"Yes","Excluded",IF(OR(G97="",H97="",I97=""),"Needs review","Included")))</x:f>
      </x:c>
    </x:row>
    <x:row r="98">
      <x:c r="A98" s="30" t="str">
        <x:f>IF(B98="","","EV-"&amp;TEXT(ROW()-1,"0000"))</x:f>
      </x:c>
      <x:c r="B98" s="30"/>
      <x:c r="C98" s="30" t="str">
        <x:f>IF(B98="","",IFERROR(VLOOKUP(B98,Country_Config!$A$2:$G$100,2,FALSE),""))</x:f>
      </x:c>
      <x:c r="D98" s="30" t="str">
        <x:f>IF(B98="","",IFERROR(VLOOKUP(B98,Country_Config!$A$2:$G$100,3,FALSE),""))</x:f>
      </x:c>
      <x:c r="E98" s="30"/>
      <x:c r="F98" s="30"/>
      <x:c r="G98" s="30"/>
      <x:c r="H98" s="30" t="str">
        <x:f>IF(OR(E98="",F98=""),"",IFERROR(VLOOKUP(E98&amp;"|"&amp;F98,Rules_Weights!$A$2:$E$120,4,FALSE),100))</x:f>
      </x:c>
      <x:c r="I98" s="30"/>
      <x:c r="J98" s="30"/>
      <x:c r="K98" s="30"/>
      <x:c r="L98" s="30"/>
      <x:c r="M98" s="30"/>
      <x:c r="N98" s="30" t="str">
        <x:f>IF(I98="","",IFERROR(VLOOKUP(I98,Lookups!$A$2:$B$5,2,FALSE),0))</x:f>
      </x:c>
      <x:c r="O98" s="30" t="str">
        <x:f>IF(OR(L98="",V98&lt;&gt;"Yes"),"",IF(U98="Yes",1,IFS(TODAY()-L98&lt;=365,1,TODAY()-L98&lt;=730,0.8,TODAY()-L98&lt;=1460,0.6,TRUE,0.4)))</x:f>
      </x:c>
      <x:c r="P98" s="30" t="str">
        <x:f>IF(V98&lt;&gt;"Yes","",IFERROR(H98*N98*O98,0))</x:f>
      </x:c>
      <x:c r="Q98" s="30" t="str">
        <x:f>IF(P98="","",G98*P98)</x:f>
      </x:c>
      <x:c r="R98" s="30" t="str">
        <x:f>IF(K98="","",IFERROR(REGEXEXTRACT(K98,"https?://([^/]+)"),""))</x:f>
      </x:c>
      <x:c r="S98" s="30" t="str">
        <x:f>IF(R98&lt;&gt;"",LOWER(R98),IF(J98&lt;&gt;"",LOWER(J98),""))</x:f>
      </x:c>
      <x:c r="T98" s="30"/>
      <x:c r="U98" s="30"/>
      <x:c r="V98" s="30"/>
      <x:c r="W98" s="30" t="str">
        <x:f>IF(B98="","",IF(V98&lt;&gt;"Yes","Excluded",IF(OR(G98="",H98="",I98=""),"Needs review","Included")))</x:f>
      </x:c>
    </x:row>
    <x:row r="99">
      <x:c r="A99" s="30" t="str">
        <x:f>IF(B99="","","EV-"&amp;TEXT(ROW()-1,"0000"))</x:f>
      </x:c>
      <x:c r="B99" s="30"/>
      <x:c r="C99" s="30" t="str">
        <x:f>IF(B99="","",IFERROR(VLOOKUP(B99,Country_Config!$A$2:$G$100,2,FALSE),""))</x:f>
      </x:c>
      <x:c r="D99" s="30" t="str">
        <x:f>IF(B99="","",IFERROR(VLOOKUP(B99,Country_Config!$A$2:$G$100,3,FALSE),""))</x:f>
      </x:c>
      <x:c r="E99" s="30"/>
      <x:c r="F99" s="30"/>
      <x:c r="G99" s="30"/>
      <x:c r="H99" s="30" t="str">
        <x:f>IF(OR(E99="",F99=""),"",IFERROR(VLOOKUP(E99&amp;"|"&amp;F99,Rules_Weights!$A$2:$E$120,4,FALSE),100))</x:f>
      </x:c>
      <x:c r="I99" s="30"/>
      <x:c r="J99" s="30"/>
      <x:c r="K99" s="30"/>
      <x:c r="L99" s="30"/>
      <x:c r="M99" s="30"/>
      <x:c r="N99" s="30" t="str">
        <x:f>IF(I99="","",IFERROR(VLOOKUP(I99,Lookups!$A$2:$B$5,2,FALSE),0))</x:f>
      </x:c>
      <x:c r="O99" s="30" t="str">
        <x:f>IF(OR(L99="",V99&lt;&gt;"Yes"),"",IF(U99="Yes",1,IFS(TODAY()-L99&lt;=365,1,TODAY()-L99&lt;=730,0.8,TODAY()-L99&lt;=1460,0.6,TRUE,0.4)))</x:f>
      </x:c>
      <x:c r="P99" s="30" t="str">
        <x:f>IF(V99&lt;&gt;"Yes","",IFERROR(H99*N99*O99,0))</x:f>
      </x:c>
      <x:c r="Q99" s="30" t="str">
        <x:f>IF(P99="","",G99*P99)</x:f>
      </x:c>
      <x:c r="R99" s="30" t="str">
        <x:f>IF(K99="","",IFERROR(REGEXEXTRACT(K99,"https?://([^/]+)"),""))</x:f>
      </x:c>
      <x:c r="S99" s="30" t="str">
        <x:f>IF(R99&lt;&gt;"",LOWER(R99),IF(J99&lt;&gt;"",LOWER(J99),""))</x:f>
      </x:c>
      <x:c r="T99" s="30"/>
      <x:c r="U99" s="30"/>
      <x:c r="V99" s="30"/>
      <x:c r="W99" s="30" t="str">
        <x:f>IF(B99="","",IF(V99&lt;&gt;"Yes","Excluded",IF(OR(G99="",H99="",I99=""),"Needs review","Included")))</x:f>
      </x:c>
    </x:row>
    <x:row r="100">
      <x:c r="A100" s="30" t="str">
        <x:f>IF(B100="","","EV-"&amp;TEXT(ROW()-1,"0000"))</x:f>
      </x:c>
      <x:c r="B100" s="30"/>
      <x:c r="C100" s="30" t="str">
        <x:f>IF(B100="","",IFERROR(VLOOKUP(B100,Country_Config!$A$2:$G$100,2,FALSE),""))</x:f>
      </x:c>
      <x:c r="D100" s="30" t="str">
        <x:f>IF(B100="","",IFERROR(VLOOKUP(B100,Country_Config!$A$2:$G$100,3,FALSE),""))</x:f>
      </x:c>
      <x:c r="E100" s="30"/>
      <x:c r="F100" s="30"/>
      <x:c r="G100" s="30"/>
      <x:c r="H100" s="30" t="str">
        <x:f>IF(OR(E100="",F100=""),"",IFERROR(VLOOKUP(E100&amp;"|"&amp;F100,Rules_Weights!$A$2:$E$120,4,FALSE),100))</x:f>
      </x:c>
      <x:c r="I100" s="30"/>
      <x:c r="J100" s="30"/>
      <x:c r="K100" s="30"/>
      <x:c r="L100" s="30"/>
      <x:c r="M100" s="30"/>
      <x:c r="N100" s="30" t="str">
        <x:f>IF(I100="","",IFERROR(VLOOKUP(I100,Lookups!$A$2:$B$5,2,FALSE),0))</x:f>
      </x:c>
      <x:c r="O100" s="30" t="str">
        <x:f>IF(OR(L100="",V100&lt;&gt;"Yes"),"",IF(U100="Yes",1,IFS(TODAY()-L100&lt;=365,1,TODAY()-L100&lt;=730,0.8,TODAY()-L100&lt;=1460,0.6,TRUE,0.4)))</x:f>
      </x:c>
      <x:c r="P100" s="30" t="str">
        <x:f>IF(V100&lt;&gt;"Yes","",IFERROR(H100*N100*O100,0))</x:f>
      </x:c>
      <x:c r="Q100" s="30" t="str">
        <x:f>IF(P100="","",G100*P100)</x:f>
      </x:c>
      <x:c r="R100" s="30" t="str">
        <x:f>IF(K100="","",IFERROR(REGEXEXTRACT(K100,"https?://([^/]+)"),""))</x:f>
      </x:c>
      <x:c r="S100" s="30" t="str">
        <x:f>IF(R100&lt;&gt;"",LOWER(R100),IF(J100&lt;&gt;"",LOWER(J100),""))</x:f>
      </x:c>
      <x:c r="T100" s="30"/>
      <x:c r="U100" s="30"/>
      <x:c r="V100" s="30"/>
      <x:c r="W100" s="30" t="str">
        <x:f>IF(B100="","",IF(V100&lt;&gt;"Yes","Excluded",IF(OR(G100="",H100="",I100=""),"Needs review","Included")))</x:f>
      </x:c>
    </x:row>
    <x:row r="101">
      <x:c r="A101" s="30" t="str">
        <x:f>IF(B101="","","EV-"&amp;TEXT(ROW()-1,"0000"))</x:f>
      </x:c>
      <x:c r="B101" s="30"/>
      <x:c r="C101" s="30" t="str">
        <x:f>IF(B101="","",IFERROR(VLOOKUP(B101,Country_Config!$A$2:$G$100,2,FALSE),""))</x:f>
      </x:c>
      <x:c r="D101" s="30" t="str">
        <x:f>IF(B101="","",IFERROR(VLOOKUP(B101,Country_Config!$A$2:$G$100,3,FALSE),""))</x:f>
      </x:c>
      <x:c r="E101" s="30"/>
      <x:c r="F101" s="30"/>
      <x:c r="G101" s="30"/>
      <x:c r="H101" s="30" t="str">
        <x:f>IF(OR(E101="",F101=""),"",IFERROR(VLOOKUP(E101&amp;"|"&amp;F101,Rules_Weights!$A$2:$E$120,4,FALSE),100))</x:f>
      </x:c>
      <x:c r="I101" s="30"/>
      <x:c r="J101" s="30"/>
      <x:c r="K101" s="30"/>
      <x:c r="L101" s="30"/>
      <x:c r="M101" s="30"/>
      <x:c r="N101" s="30" t="str">
        <x:f>IF(I101="","",IFERROR(VLOOKUP(I101,Lookups!$A$2:$B$5,2,FALSE),0))</x:f>
      </x:c>
      <x:c r="O101" s="30" t="str">
        <x:f>IF(OR(L101="",V101&lt;&gt;"Yes"),"",IF(U101="Yes",1,IFS(TODAY()-L101&lt;=365,1,TODAY()-L101&lt;=730,0.8,TODAY()-L101&lt;=1460,0.6,TRUE,0.4)))</x:f>
      </x:c>
      <x:c r="P101" s="30" t="str">
        <x:f>IF(V101&lt;&gt;"Yes","",IFERROR(H101*N101*O101,0))</x:f>
      </x:c>
      <x:c r="Q101" s="30" t="str">
        <x:f>IF(P101="","",G101*P101)</x:f>
      </x:c>
      <x:c r="R101" s="30" t="str">
        <x:f>IF(K101="","",IFERROR(REGEXEXTRACT(K101,"https?://([^/]+)"),""))</x:f>
      </x:c>
      <x:c r="S101" s="30" t="str">
        <x:f>IF(R101&lt;&gt;"",LOWER(R101),IF(J101&lt;&gt;"",LOWER(J101),""))</x:f>
      </x:c>
      <x:c r="T101" s="30"/>
      <x:c r="U101" s="30"/>
      <x:c r="V101" s="30"/>
      <x:c r="W101" s="30" t="str">
        <x:f>IF(B101="","",IF(V101&lt;&gt;"Yes","Excluded",IF(OR(G101="",H101="",I101=""),"Needs review","Included")))</x:f>
      </x:c>
    </x:row>
    <x:row r="102">
      <x:c r="A102" s="30" t="str">
        <x:f>IF(B102="","","EV-"&amp;TEXT(ROW()-1,"0000"))</x:f>
      </x:c>
      <x:c r="B102" s="30"/>
      <x:c r="C102" s="30" t="str">
        <x:f>IF(B102="","",IFERROR(VLOOKUP(B102,Country_Config!$A$2:$G$100,2,FALSE),""))</x:f>
      </x:c>
      <x:c r="D102" s="30" t="str">
        <x:f>IF(B102="","",IFERROR(VLOOKUP(B102,Country_Config!$A$2:$G$100,3,FALSE),""))</x:f>
      </x:c>
      <x:c r="E102" s="30"/>
      <x:c r="F102" s="30"/>
      <x:c r="G102" s="30"/>
      <x:c r="H102" s="30" t="str">
        <x:f>IF(OR(E102="",F102=""),"",IFERROR(VLOOKUP(E102&amp;"|"&amp;F102,Rules_Weights!$A$2:$E$120,4,FALSE),100))</x:f>
      </x:c>
      <x:c r="I102" s="30"/>
      <x:c r="J102" s="30"/>
      <x:c r="K102" s="30"/>
      <x:c r="L102" s="30"/>
      <x:c r="M102" s="30"/>
      <x:c r="N102" s="30" t="str">
        <x:f>IF(I102="","",IFERROR(VLOOKUP(I102,Lookups!$A$2:$B$5,2,FALSE),0))</x:f>
      </x:c>
      <x:c r="O102" s="30" t="str">
        <x:f>IF(OR(L102="",V102&lt;&gt;"Yes"),"",IF(U102="Yes",1,IFS(TODAY()-L102&lt;=365,1,TODAY()-L102&lt;=730,0.8,TODAY()-L102&lt;=1460,0.6,TRUE,0.4)))</x:f>
      </x:c>
      <x:c r="P102" s="30" t="str">
        <x:f>IF(V102&lt;&gt;"Yes","",IFERROR(H102*N102*O102,0))</x:f>
      </x:c>
      <x:c r="Q102" s="30" t="str">
        <x:f>IF(P102="","",G102*P102)</x:f>
      </x:c>
      <x:c r="R102" s="30" t="str">
        <x:f>IF(K102="","",IFERROR(REGEXEXTRACT(K102,"https?://([^/]+)"),""))</x:f>
      </x:c>
      <x:c r="S102" s="30" t="str">
        <x:f>IF(R102&lt;&gt;"",LOWER(R102),IF(J102&lt;&gt;"",LOWER(J102),""))</x:f>
      </x:c>
      <x:c r="T102" s="30"/>
      <x:c r="U102" s="30"/>
      <x:c r="V102" s="30"/>
      <x:c r="W102" s="30" t="str">
        <x:f>IF(B102="","",IF(V102&lt;&gt;"Yes","Excluded",IF(OR(G102="",H102="",I102=""),"Needs review","Included")))</x:f>
      </x:c>
    </x:row>
    <x:row r="103">
      <x:c r="A103" s="30" t="str">
        <x:f>IF(B103="","","EV-"&amp;TEXT(ROW()-1,"0000"))</x:f>
      </x:c>
      <x:c r="B103" s="30"/>
      <x:c r="C103" s="30" t="str">
        <x:f>IF(B103="","",IFERROR(VLOOKUP(B103,Country_Config!$A$2:$G$100,2,FALSE),""))</x:f>
      </x:c>
      <x:c r="D103" s="30" t="str">
        <x:f>IF(B103="","",IFERROR(VLOOKUP(B103,Country_Config!$A$2:$G$100,3,FALSE),""))</x:f>
      </x:c>
      <x:c r="E103" s="30"/>
      <x:c r="F103" s="30"/>
      <x:c r="G103" s="30"/>
      <x:c r="H103" s="30" t="str">
        <x:f>IF(OR(E103="",F103=""),"",IFERROR(VLOOKUP(E103&amp;"|"&amp;F103,Rules_Weights!$A$2:$E$120,4,FALSE),100))</x:f>
      </x:c>
      <x:c r="I103" s="30"/>
      <x:c r="J103" s="30"/>
      <x:c r="K103" s="30"/>
      <x:c r="L103" s="30"/>
      <x:c r="M103" s="30"/>
      <x:c r="N103" s="30" t="str">
        <x:f>IF(I103="","",IFERROR(VLOOKUP(I103,Lookups!$A$2:$B$5,2,FALSE),0))</x:f>
      </x:c>
      <x:c r="O103" s="30" t="str">
        <x:f>IF(OR(L103="",V103&lt;&gt;"Yes"),"",IF(U103="Yes",1,IFS(TODAY()-L103&lt;=365,1,TODAY()-L103&lt;=730,0.8,TODAY()-L103&lt;=1460,0.6,TRUE,0.4)))</x:f>
      </x:c>
      <x:c r="P103" s="30" t="str">
        <x:f>IF(V103&lt;&gt;"Yes","",IFERROR(H103*N103*O103,0))</x:f>
      </x:c>
      <x:c r="Q103" s="30" t="str">
        <x:f>IF(P103="","",G103*P103)</x:f>
      </x:c>
      <x:c r="R103" s="30" t="str">
        <x:f>IF(K103="","",IFERROR(REGEXEXTRACT(K103,"https?://([^/]+)"),""))</x:f>
      </x:c>
      <x:c r="S103" s="30" t="str">
        <x:f>IF(R103&lt;&gt;"",LOWER(R103),IF(J103&lt;&gt;"",LOWER(J103),""))</x:f>
      </x:c>
      <x:c r="T103" s="30"/>
      <x:c r="U103" s="30"/>
      <x:c r="V103" s="30"/>
      <x:c r="W103" s="30" t="str">
        <x:f>IF(B103="","",IF(V103&lt;&gt;"Yes","Excluded",IF(OR(G103="",H103="",I103=""),"Needs review","Included")))</x:f>
      </x:c>
    </x:row>
    <x:row r="104">
      <x:c r="A104" s="30" t="str">
        <x:f>IF(B104="","","EV-"&amp;TEXT(ROW()-1,"0000"))</x:f>
      </x:c>
      <x:c r="B104" s="30"/>
      <x:c r="C104" s="30" t="str">
        <x:f>IF(B104="","",IFERROR(VLOOKUP(B104,Country_Config!$A$2:$G$100,2,FALSE),""))</x:f>
      </x:c>
      <x:c r="D104" s="30" t="str">
        <x:f>IF(B104="","",IFERROR(VLOOKUP(B104,Country_Config!$A$2:$G$100,3,FALSE),""))</x:f>
      </x:c>
      <x:c r="E104" s="30"/>
      <x:c r="F104" s="30"/>
      <x:c r="G104" s="30"/>
      <x:c r="H104" s="30" t="str">
        <x:f>IF(OR(E104="",F104=""),"",IFERROR(VLOOKUP(E104&amp;"|"&amp;F104,Rules_Weights!$A$2:$E$120,4,FALSE),100))</x:f>
      </x:c>
      <x:c r="I104" s="30"/>
      <x:c r="J104" s="30"/>
      <x:c r="K104" s="30"/>
      <x:c r="L104" s="30"/>
      <x:c r="M104" s="30"/>
      <x:c r="N104" s="30" t="str">
        <x:f>IF(I104="","",IFERROR(VLOOKUP(I104,Lookups!$A$2:$B$5,2,FALSE),0))</x:f>
      </x:c>
      <x:c r="O104" s="30" t="str">
        <x:f>IF(OR(L104="",V104&lt;&gt;"Yes"),"",IF(U104="Yes",1,IFS(TODAY()-L104&lt;=365,1,TODAY()-L104&lt;=730,0.8,TODAY()-L104&lt;=1460,0.6,TRUE,0.4)))</x:f>
      </x:c>
      <x:c r="P104" s="30" t="str">
        <x:f>IF(V104&lt;&gt;"Yes","",IFERROR(H104*N104*O104,0))</x:f>
      </x:c>
      <x:c r="Q104" s="30" t="str">
        <x:f>IF(P104="","",G104*P104)</x:f>
      </x:c>
      <x:c r="R104" s="30" t="str">
        <x:f>IF(K104="","",IFERROR(REGEXEXTRACT(K104,"https?://([^/]+)"),""))</x:f>
      </x:c>
      <x:c r="S104" s="30" t="str">
        <x:f>IF(R104&lt;&gt;"",LOWER(R104),IF(J104&lt;&gt;"",LOWER(J104),""))</x:f>
      </x:c>
      <x:c r="T104" s="30"/>
      <x:c r="U104" s="30"/>
      <x:c r="V104" s="30"/>
      <x:c r="W104" s="30" t="str">
        <x:f>IF(B104="","",IF(V104&lt;&gt;"Yes","Excluded",IF(OR(G104="",H104="",I104=""),"Needs review","Included")))</x:f>
      </x:c>
    </x:row>
    <x:row r="105">
      <x:c r="A105" s="30" t="str">
        <x:f>IF(B105="","","EV-"&amp;TEXT(ROW()-1,"0000"))</x:f>
      </x:c>
      <x:c r="B105" s="30"/>
      <x:c r="C105" s="30" t="str">
        <x:f>IF(B105="","",IFERROR(VLOOKUP(B105,Country_Config!$A$2:$G$100,2,FALSE),""))</x:f>
      </x:c>
      <x:c r="D105" s="30" t="str">
        <x:f>IF(B105="","",IFERROR(VLOOKUP(B105,Country_Config!$A$2:$G$100,3,FALSE),""))</x:f>
      </x:c>
      <x:c r="E105" s="30"/>
      <x:c r="F105" s="30"/>
      <x:c r="G105" s="30"/>
      <x:c r="H105" s="30" t="str">
        <x:f>IF(OR(E105="",F105=""),"",IFERROR(VLOOKUP(E105&amp;"|"&amp;F105,Rules_Weights!$A$2:$E$120,4,FALSE),100))</x:f>
      </x:c>
      <x:c r="I105" s="30"/>
      <x:c r="J105" s="30"/>
      <x:c r="K105" s="30"/>
      <x:c r="L105" s="30"/>
      <x:c r="M105" s="30"/>
      <x:c r="N105" s="30" t="str">
        <x:f>IF(I105="","",IFERROR(VLOOKUP(I105,Lookups!$A$2:$B$5,2,FALSE),0))</x:f>
      </x:c>
      <x:c r="O105" s="30" t="str">
        <x:f>IF(OR(L105="",V105&lt;&gt;"Yes"),"",IF(U105="Yes",1,IFS(TODAY()-L105&lt;=365,1,TODAY()-L105&lt;=730,0.8,TODAY()-L105&lt;=1460,0.6,TRUE,0.4)))</x:f>
      </x:c>
      <x:c r="P105" s="30" t="str">
        <x:f>IF(V105&lt;&gt;"Yes","",IFERROR(H105*N105*O105,0))</x:f>
      </x:c>
      <x:c r="Q105" s="30" t="str">
        <x:f>IF(P105="","",G105*P105)</x:f>
      </x:c>
      <x:c r="R105" s="30" t="str">
        <x:f>IF(K105="","",IFERROR(REGEXEXTRACT(K105,"https?://([^/]+)"),""))</x:f>
      </x:c>
      <x:c r="S105" s="30" t="str">
        <x:f>IF(R105&lt;&gt;"",LOWER(R105),IF(J105&lt;&gt;"",LOWER(J105),""))</x:f>
      </x:c>
      <x:c r="T105" s="30"/>
      <x:c r="U105" s="30"/>
      <x:c r="V105" s="30"/>
      <x:c r="W105" s="30" t="str">
        <x:f>IF(B105="","",IF(V105&lt;&gt;"Yes","Excluded",IF(OR(G105="",H105="",I105=""),"Needs review","Included")))</x:f>
      </x:c>
    </x:row>
    <x:row r="106">
      <x:c r="A106" s="30" t="str">
        <x:f>IF(B106="","","EV-"&amp;TEXT(ROW()-1,"0000"))</x:f>
      </x:c>
      <x:c r="B106" s="30"/>
      <x:c r="C106" s="30" t="str">
        <x:f>IF(B106="","",IFERROR(VLOOKUP(B106,Country_Config!$A$2:$G$100,2,FALSE),""))</x:f>
      </x:c>
      <x:c r="D106" s="30" t="str">
        <x:f>IF(B106="","",IFERROR(VLOOKUP(B106,Country_Config!$A$2:$G$100,3,FALSE),""))</x:f>
      </x:c>
      <x:c r="E106" s="30"/>
      <x:c r="F106" s="30"/>
      <x:c r="G106" s="30"/>
      <x:c r="H106" s="30" t="str">
        <x:f>IF(OR(E106="",F106=""),"",IFERROR(VLOOKUP(E106&amp;"|"&amp;F106,Rules_Weights!$A$2:$E$120,4,FALSE),100))</x:f>
      </x:c>
      <x:c r="I106" s="30"/>
      <x:c r="J106" s="30"/>
      <x:c r="K106" s="30"/>
      <x:c r="L106" s="30"/>
      <x:c r="M106" s="30"/>
      <x:c r="N106" s="30" t="str">
        <x:f>IF(I106="","",IFERROR(VLOOKUP(I106,Lookups!$A$2:$B$5,2,FALSE),0))</x:f>
      </x:c>
      <x:c r="O106" s="30" t="str">
        <x:f>IF(OR(L106="",V106&lt;&gt;"Yes"),"",IF(U106="Yes",1,IFS(TODAY()-L106&lt;=365,1,TODAY()-L106&lt;=730,0.8,TODAY()-L106&lt;=1460,0.6,TRUE,0.4)))</x:f>
      </x:c>
      <x:c r="P106" s="30" t="str">
        <x:f>IF(V106&lt;&gt;"Yes","",IFERROR(H106*N106*O106,0))</x:f>
      </x:c>
      <x:c r="Q106" s="30" t="str">
        <x:f>IF(P106="","",G106*P106)</x:f>
      </x:c>
      <x:c r="R106" s="30" t="str">
        <x:f>IF(K106="","",IFERROR(REGEXEXTRACT(K106,"https?://([^/]+)"),""))</x:f>
      </x:c>
      <x:c r="S106" s="30" t="str">
        <x:f>IF(R106&lt;&gt;"",LOWER(R106),IF(J106&lt;&gt;"",LOWER(J106),""))</x:f>
      </x:c>
      <x:c r="T106" s="30"/>
      <x:c r="U106" s="30"/>
      <x:c r="V106" s="30"/>
      <x:c r="W106" s="30" t="str">
        <x:f>IF(B106="","",IF(V106&lt;&gt;"Yes","Excluded",IF(OR(G106="",H106="",I106=""),"Needs review","Included")))</x:f>
      </x:c>
    </x:row>
    <x:row r="107">
      <x:c r="A107" s="30" t="str">
        <x:f>IF(B107="","","EV-"&amp;TEXT(ROW()-1,"0000"))</x:f>
      </x:c>
      <x:c r="B107" s="30"/>
      <x:c r="C107" s="30" t="str">
        <x:f>IF(B107="","",IFERROR(VLOOKUP(B107,Country_Config!$A$2:$G$100,2,FALSE),""))</x:f>
      </x:c>
      <x:c r="D107" s="30" t="str">
        <x:f>IF(B107="","",IFERROR(VLOOKUP(B107,Country_Config!$A$2:$G$100,3,FALSE),""))</x:f>
      </x:c>
      <x:c r="E107" s="30"/>
      <x:c r="F107" s="30"/>
      <x:c r="G107" s="30"/>
      <x:c r="H107" s="30" t="str">
        <x:f>IF(OR(E107="",F107=""),"",IFERROR(VLOOKUP(E107&amp;"|"&amp;F107,Rules_Weights!$A$2:$E$120,4,FALSE),100))</x:f>
      </x:c>
      <x:c r="I107" s="30"/>
      <x:c r="J107" s="30"/>
      <x:c r="K107" s="30"/>
      <x:c r="L107" s="30"/>
      <x:c r="M107" s="30"/>
      <x:c r="N107" s="30" t="str">
        <x:f>IF(I107="","",IFERROR(VLOOKUP(I107,Lookups!$A$2:$B$5,2,FALSE),0))</x:f>
      </x:c>
      <x:c r="O107" s="30" t="str">
        <x:f>IF(OR(L107="",V107&lt;&gt;"Yes"),"",IF(U107="Yes",1,IFS(TODAY()-L107&lt;=365,1,TODAY()-L107&lt;=730,0.8,TODAY()-L107&lt;=1460,0.6,TRUE,0.4)))</x:f>
      </x:c>
      <x:c r="P107" s="30" t="str">
        <x:f>IF(V107&lt;&gt;"Yes","",IFERROR(H107*N107*O107,0))</x:f>
      </x:c>
      <x:c r="Q107" s="30" t="str">
        <x:f>IF(P107="","",G107*P107)</x:f>
      </x:c>
      <x:c r="R107" s="30" t="str">
        <x:f>IF(K107="","",IFERROR(REGEXEXTRACT(K107,"https?://([^/]+)"),""))</x:f>
      </x:c>
      <x:c r="S107" s="30" t="str">
        <x:f>IF(R107&lt;&gt;"",LOWER(R107),IF(J107&lt;&gt;"",LOWER(J107),""))</x:f>
      </x:c>
      <x:c r="T107" s="30"/>
      <x:c r="U107" s="30"/>
      <x:c r="V107" s="30"/>
      <x:c r="W107" s="30" t="str">
        <x:f>IF(B107="","",IF(V107&lt;&gt;"Yes","Excluded",IF(OR(G107="",H107="",I107=""),"Needs review","Included")))</x:f>
      </x:c>
    </x:row>
    <x:row r="108">
      <x:c r="A108" s="30" t="str">
        <x:f>IF(B108="","","EV-"&amp;TEXT(ROW()-1,"0000"))</x:f>
      </x:c>
      <x:c r="B108" s="30"/>
      <x:c r="C108" s="30" t="str">
        <x:f>IF(B108="","",IFERROR(VLOOKUP(B108,Country_Config!$A$2:$G$100,2,FALSE),""))</x:f>
      </x:c>
      <x:c r="D108" s="30" t="str">
        <x:f>IF(B108="","",IFERROR(VLOOKUP(B108,Country_Config!$A$2:$G$100,3,FALSE),""))</x:f>
      </x:c>
      <x:c r="E108" s="30"/>
      <x:c r="F108" s="30"/>
      <x:c r="G108" s="30"/>
      <x:c r="H108" s="30" t="str">
        <x:f>IF(OR(E108="",F108=""),"",IFERROR(VLOOKUP(E108&amp;"|"&amp;F108,Rules_Weights!$A$2:$E$120,4,FALSE),100))</x:f>
      </x:c>
      <x:c r="I108" s="30"/>
      <x:c r="J108" s="30"/>
      <x:c r="K108" s="30"/>
      <x:c r="L108" s="30"/>
      <x:c r="M108" s="30"/>
      <x:c r="N108" s="30" t="str">
        <x:f>IF(I108="","",IFERROR(VLOOKUP(I108,Lookups!$A$2:$B$5,2,FALSE),0))</x:f>
      </x:c>
      <x:c r="O108" s="30" t="str">
        <x:f>IF(OR(L108="",V108&lt;&gt;"Yes"),"",IF(U108="Yes",1,IFS(TODAY()-L108&lt;=365,1,TODAY()-L108&lt;=730,0.8,TODAY()-L108&lt;=1460,0.6,TRUE,0.4)))</x:f>
      </x:c>
      <x:c r="P108" s="30" t="str">
        <x:f>IF(V108&lt;&gt;"Yes","",IFERROR(H108*N108*O108,0))</x:f>
      </x:c>
      <x:c r="Q108" s="30" t="str">
        <x:f>IF(P108="","",G108*P108)</x:f>
      </x:c>
      <x:c r="R108" s="30" t="str">
        <x:f>IF(K108="","",IFERROR(REGEXEXTRACT(K108,"https?://([^/]+)"),""))</x:f>
      </x:c>
      <x:c r="S108" s="30" t="str">
        <x:f>IF(R108&lt;&gt;"",LOWER(R108),IF(J108&lt;&gt;"",LOWER(J108),""))</x:f>
      </x:c>
      <x:c r="T108" s="30"/>
      <x:c r="U108" s="30"/>
      <x:c r="V108" s="30"/>
      <x:c r="W108" s="30" t="str">
        <x:f>IF(B108="","",IF(V108&lt;&gt;"Yes","Excluded",IF(OR(G108="",H108="",I108=""),"Needs review","Included")))</x:f>
      </x:c>
    </x:row>
    <x:row r="109">
      <x:c r="A109" s="30" t="str">
        <x:f>IF(B109="","","EV-"&amp;TEXT(ROW()-1,"0000"))</x:f>
      </x:c>
      <x:c r="B109" s="30"/>
      <x:c r="C109" s="30" t="str">
        <x:f>IF(B109="","",IFERROR(VLOOKUP(B109,Country_Config!$A$2:$G$100,2,FALSE),""))</x:f>
      </x:c>
      <x:c r="D109" s="30" t="str">
        <x:f>IF(B109="","",IFERROR(VLOOKUP(B109,Country_Config!$A$2:$G$100,3,FALSE),""))</x:f>
      </x:c>
      <x:c r="E109" s="30"/>
      <x:c r="F109" s="30"/>
      <x:c r="G109" s="30"/>
      <x:c r="H109" s="30" t="str">
        <x:f>IF(OR(E109="",F109=""),"",IFERROR(VLOOKUP(E109&amp;"|"&amp;F109,Rules_Weights!$A$2:$E$120,4,FALSE),100))</x:f>
      </x:c>
      <x:c r="I109" s="30"/>
      <x:c r="J109" s="30"/>
      <x:c r="K109" s="30"/>
      <x:c r="L109" s="30"/>
      <x:c r="M109" s="30"/>
      <x:c r="N109" s="30" t="str">
        <x:f>IF(I109="","",IFERROR(VLOOKUP(I109,Lookups!$A$2:$B$5,2,FALSE),0))</x:f>
      </x:c>
      <x:c r="O109" s="30" t="str">
        <x:f>IF(OR(L109="",V109&lt;&gt;"Yes"),"",IF(U109="Yes",1,IFS(TODAY()-L109&lt;=365,1,TODAY()-L109&lt;=730,0.8,TODAY()-L109&lt;=1460,0.6,TRUE,0.4)))</x:f>
      </x:c>
      <x:c r="P109" s="30" t="str">
        <x:f>IF(V109&lt;&gt;"Yes","",IFERROR(H109*N109*O109,0))</x:f>
      </x:c>
      <x:c r="Q109" s="30" t="str">
        <x:f>IF(P109="","",G109*P109)</x:f>
      </x:c>
      <x:c r="R109" s="30" t="str">
        <x:f>IF(K109="","",IFERROR(REGEXEXTRACT(K109,"https?://([^/]+)"),""))</x:f>
      </x:c>
      <x:c r="S109" s="30" t="str">
        <x:f>IF(R109&lt;&gt;"",LOWER(R109),IF(J109&lt;&gt;"",LOWER(J109),""))</x:f>
      </x:c>
      <x:c r="T109" s="30"/>
      <x:c r="U109" s="30"/>
      <x:c r="V109" s="30"/>
      <x:c r="W109" s="30" t="str">
        <x:f>IF(B109="","",IF(V109&lt;&gt;"Yes","Excluded",IF(OR(G109="",H109="",I109=""),"Needs review","Included")))</x:f>
      </x:c>
    </x:row>
    <x:row r="110">
      <x:c r="A110" s="30" t="str">
        <x:f>IF(B110="","","EV-"&amp;TEXT(ROW()-1,"0000"))</x:f>
      </x:c>
      <x:c r="B110" s="30"/>
      <x:c r="C110" s="30" t="str">
        <x:f>IF(B110="","",IFERROR(VLOOKUP(B110,Country_Config!$A$2:$G$100,2,FALSE),""))</x:f>
      </x:c>
      <x:c r="D110" s="30" t="str">
        <x:f>IF(B110="","",IFERROR(VLOOKUP(B110,Country_Config!$A$2:$G$100,3,FALSE),""))</x:f>
      </x:c>
      <x:c r="E110" s="30"/>
      <x:c r="F110" s="30"/>
      <x:c r="G110" s="30"/>
      <x:c r="H110" s="30" t="str">
        <x:f>IF(OR(E110="",F110=""),"",IFERROR(VLOOKUP(E110&amp;"|"&amp;F110,Rules_Weights!$A$2:$E$120,4,FALSE),100))</x:f>
      </x:c>
      <x:c r="I110" s="30"/>
      <x:c r="J110" s="30"/>
      <x:c r="K110" s="30"/>
      <x:c r="L110" s="30"/>
      <x:c r="M110" s="30"/>
      <x:c r="N110" s="30" t="str">
        <x:f>IF(I110="","",IFERROR(VLOOKUP(I110,Lookups!$A$2:$B$5,2,FALSE),0))</x:f>
      </x:c>
      <x:c r="O110" s="30" t="str">
        <x:f>IF(OR(L110="",V110&lt;&gt;"Yes"),"",IF(U110="Yes",1,IFS(TODAY()-L110&lt;=365,1,TODAY()-L110&lt;=730,0.8,TODAY()-L110&lt;=1460,0.6,TRUE,0.4)))</x:f>
      </x:c>
      <x:c r="P110" s="30" t="str">
        <x:f>IF(V110&lt;&gt;"Yes","",IFERROR(H110*N110*O110,0))</x:f>
      </x:c>
      <x:c r="Q110" s="30" t="str">
        <x:f>IF(P110="","",G110*P110)</x:f>
      </x:c>
      <x:c r="R110" s="30" t="str">
        <x:f>IF(K110="","",IFERROR(REGEXEXTRACT(K110,"https?://([^/]+)"),""))</x:f>
      </x:c>
      <x:c r="S110" s="30" t="str">
        <x:f>IF(R110&lt;&gt;"",LOWER(R110),IF(J110&lt;&gt;"",LOWER(J110),""))</x:f>
      </x:c>
      <x:c r="T110" s="30"/>
      <x:c r="U110" s="30"/>
      <x:c r="V110" s="30"/>
      <x:c r="W110" s="30" t="str">
        <x:f>IF(B110="","",IF(V110&lt;&gt;"Yes","Excluded",IF(OR(G110="",H110="",I110=""),"Needs review","Included")))</x:f>
      </x:c>
    </x:row>
    <x:row r="111">
      <x:c r="A111" s="30" t="str">
        <x:f>IF(B111="","","EV-"&amp;TEXT(ROW()-1,"0000"))</x:f>
      </x:c>
      <x:c r="B111" s="30"/>
      <x:c r="C111" s="30" t="str">
        <x:f>IF(B111="","",IFERROR(VLOOKUP(B111,Country_Config!$A$2:$G$100,2,FALSE),""))</x:f>
      </x:c>
      <x:c r="D111" s="30" t="str">
        <x:f>IF(B111="","",IFERROR(VLOOKUP(B111,Country_Config!$A$2:$G$100,3,FALSE),""))</x:f>
      </x:c>
      <x:c r="E111" s="30"/>
      <x:c r="F111" s="30"/>
      <x:c r="G111" s="30"/>
      <x:c r="H111" s="30" t="str">
        <x:f>IF(OR(E111="",F111=""),"",IFERROR(VLOOKUP(E111&amp;"|"&amp;F111,Rules_Weights!$A$2:$E$120,4,FALSE),100))</x:f>
      </x:c>
      <x:c r="I111" s="30"/>
      <x:c r="J111" s="30"/>
      <x:c r="K111" s="30"/>
      <x:c r="L111" s="30"/>
      <x:c r="M111" s="30"/>
      <x:c r="N111" s="30" t="str">
        <x:f>IF(I111="","",IFERROR(VLOOKUP(I111,Lookups!$A$2:$B$5,2,FALSE),0))</x:f>
      </x:c>
      <x:c r="O111" s="30" t="str">
        <x:f>IF(OR(L111="",V111&lt;&gt;"Yes"),"",IF(U111="Yes",1,IFS(TODAY()-L111&lt;=365,1,TODAY()-L111&lt;=730,0.8,TODAY()-L111&lt;=1460,0.6,TRUE,0.4)))</x:f>
      </x:c>
      <x:c r="P111" s="30" t="str">
        <x:f>IF(V111&lt;&gt;"Yes","",IFERROR(H111*N111*O111,0))</x:f>
      </x:c>
      <x:c r="Q111" s="30" t="str">
        <x:f>IF(P111="","",G111*P111)</x:f>
      </x:c>
      <x:c r="R111" s="30" t="str">
        <x:f>IF(K111="","",IFERROR(REGEXEXTRACT(K111,"https?://([^/]+)"),""))</x:f>
      </x:c>
      <x:c r="S111" s="30" t="str">
        <x:f>IF(R111&lt;&gt;"",LOWER(R111),IF(J111&lt;&gt;"",LOWER(J111),""))</x:f>
      </x:c>
      <x:c r="T111" s="30"/>
      <x:c r="U111" s="30"/>
      <x:c r="V111" s="30"/>
      <x:c r="W111" s="30" t="str">
        <x:f>IF(B111="","",IF(V111&lt;&gt;"Yes","Excluded",IF(OR(G111="",H111="",I111=""),"Needs review","Included")))</x:f>
      </x:c>
    </x:row>
    <x:row r="112">
      <x:c r="A112" s="30" t="str">
        <x:f>IF(B112="","","EV-"&amp;TEXT(ROW()-1,"0000"))</x:f>
      </x:c>
      <x:c r="B112" s="30"/>
      <x:c r="C112" s="30" t="str">
        <x:f>IF(B112="","",IFERROR(VLOOKUP(B112,Country_Config!$A$2:$G$100,2,FALSE),""))</x:f>
      </x:c>
      <x:c r="D112" s="30" t="str">
        <x:f>IF(B112="","",IFERROR(VLOOKUP(B112,Country_Config!$A$2:$G$100,3,FALSE),""))</x:f>
      </x:c>
      <x:c r="E112" s="30"/>
      <x:c r="F112" s="30"/>
      <x:c r="G112" s="30"/>
      <x:c r="H112" s="30" t="str">
        <x:f>IF(OR(E112="",F112=""),"",IFERROR(VLOOKUP(E112&amp;"|"&amp;F112,Rules_Weights!$A$2:$E$120,4,FALSE),100))</x:f>
      </x:c>
      <x:c r="I112" s="30"/>
      <x:c r="J112" s="30"/>
      <x:c r="K112" s="30"/>
      <x:c r="L112" s="30"/>
      <x:c r="M112" s="30"/>
      <x:c r="N112" s="30" t="str">
        <x:f>IF(I112="","",IFERROR(VLOOKUP(I112,Lookups!$A$2:$B$5,2,FALSE),0))</x:f>
      </x:c>
      <x:c r="O112" s="30" t="str">
        <x:f>IF(OR(L112="",V112&lt;&gt;"Yes"),"",IF(U112="Yes",1,IFS(TODAY()-L112&lt;=365,1,TODAY()-L112&lt;=730,0.8,TODAY()-L112&lt;=1460,0.6,TRUE,0.4)))</x:f>
      </x:c>
      <x:c r="P112" s="30" t="str">
        <x:f>IF(V112&lt;&gt;"Yes","",IFERROR(H112*N112*O112,0))</x:f>
      </x:c>
      <x:c r="Q112" s="30" t="str">
        <x:f>IF(P112="","",G112*P112)</x:f>
      </x:c>
      <x:c r="R112" s="30" t="str">
        <x:f>IF(K112="","",IFERROR(REGEXEXTRACT(K112,"https?://([^/]+)"),""))</x:f>
      </x:c>
      <x:c r="S112" s="30" t="str">
        <x:f>IF(R112&lt;&gt;"",LOWER(R112),IF(J112&lt;&gt;"",LOWER(J112),""))</x:f>
      </x:c>
      <x:c r="T112" s="30"/>
      <x:c r="U112" s="30"/>
      <x:c r="V112" s="30"/>
      <x:c r="W112" s="30" t="str">
        <x:f>IF(B112="","",IF(V112&lt;&gt;"Yes","Excluded",IF(OR(G112="",H112="",I112=""),"Needs review","Included")))</x:f>
      </x:c>
    </x:row>
    <x:row r="113">
      <x:c r="A113" s="30" t="str">
        <x:f>IF(B113="","","EV-"&amp;TEXT(ROW()-1,"0000"))</x:f>
      </x:c>
      <x:c r="B113" s="30"/>
      <x:c r="C113" s="30" t="str">
        <x:f>IF(B113="","",IFERROR(VLOOKUP(B113,Country_Config!$A$2:$G$100,2,FALSE),""))</x:f>
      </x:c>
      <x:c r="D113" s="30" t="str">
        <x:f>IF(B113="","",IFERROR(VLOOKUP(B113,Country_Config!$A$2:$G$100,3,FALSE),""))</x:f>
      </x:c>
      <x:c r="E113" s="30"/>
      <x:c r="F113" s="30"/>
      <x:c r="G113" s="30"/>
      <x:c r="H113" s="30" t="str">
        <x:f>IF(OR(E113="",F113=""),"",IFERROR(VLOOKUP(E113&amp;"|"&amp;F113,Rules_Weights!$A$2:$E$120,4,FALSE),100))</x:f>
      </x:c>
      <x:c r="I113" s="30"/>
      <x:c r="J113" s="30"/>
      <x:c r="K113" s="30"/>
      <x:c r="L113" s="30"/>
      <x:c r="M113" s="30"/>
      <x:c r="N113" s="30" t="str">
        <x:f>IF(I113="","",IFERROR(VLOOKUP(I113,Lookups!$A$2:$B$5,2,FALSE),0))</x:f>
      </x:c>
      <x:c r="O113" s="30" t="str">
        <x:f>IF(OR(L113="",V113&lt;&gt;"Yes"),"",IF(U113="Yes",1,IFS(TODAY()-L113&lt;=365,1,TODAY()-L113&lt;=730,0.8,TODAY()-L113&lt;=1460,0.6,TRUE,0.4)))</x:f>
      </x:c>
      <x:c r="P113" s="30" t="str">
        <x:f>IF(V113&lt;&gt;"Yes","",IFERROR(H113*N113*O113,0))</x:f>
      </x:c>
      <x:c r="Q113" s="30" t="str">
        <x:f>IF(P113="","",G113*P113)</x:f>
      </x:c>
      <x:c r="R113" s="30" t="str">
        <x:f>IF(K113="","",IFERROR(REGEXEXTRACT(K113,"https?://([^/]+)"),""))</x:f>
      </x:c>
      <x:c r="S113" s="30" t="str">
        <x:f>IF(R113&lt;&gt;"",LOWER(R113),IF(J113&lt;&gt;"",LOWER(J113),""))</x:f>
      </x:c>
      <x:c r="T113" s="30"/>
      <x:c r="U113" s="30"/>
      <x:c r="V113" s="30"/>
      <x:c r="W113" s="30" t="str">
        <x:f>IF(B113="","",IF(V113&lt;&gt;"Yes","Excluded",IF(OR(G113="",H113="",I113=""),"Needs review","Included")))</x:f>
      </x:c>
    </x:row>
    <x:row r="114">
      <x:c r="A114" s="30" t="str">
        <x:f>IF(B114="","","EV-"&amp;TEXT(ROW()-1,"0000"))</x:f>
      </x:c>
      <x:c r="B114" s="30"/>
      <x:c r="C114" s="30" t="str">
        <x:f>IF(B114="","",IFERROR(VLOOKUP(B114,Country_Config!$A$2:$G$100,2,FALSE),""))</x:f>
      </x:c>
      <x:c r="D114" s="30" t="str">
        <x:f>IF(B114="","",IFERROR(VLOOKUP(B114,Country_Config!$A$2:$G$100,3,FALSE),""))</x:f>
      </x:c>
      <x:c r="E114" s="30"/>
      <x:c r="F114" s="30"/>
      <x:c r="G114" s="30"/>
      <x:c r="H114" s="30" t="str">
        <x:f>IF(OR(E114="",F114=""),"",IFERROR(VLOOKUP(E114&amp;"|"&amp;F114,Rules_Weights!$A$2:$E$120,4,FALSE),100))</x:f>
      </x:c>
      <x:c r="I114" s="30"/>
      <x:c r="J114" s="30"/>
      <x:c r="K114" s="30"/>
      <x:c r="L114" s="30"/>
      <x:c r="M114" s="30"/>
      <x:c r="N114" s="30" t="str">
        <x:f>IF(I114="","",IFERROR(VLOOKUP(I114,Lookups!$A$2:$B$5,2,FALSE),0))</x:f>
      </x:c>
      <x:c r="O114" s="30" t="str">
        <x:f>IF(OR(L114="",V114&lt;&gt;"Yes"),"",IF(U114="Yes",1,IFS(TODAY()-L114&lt;=365,1,TODAY()-L114&lt;=730,0.8,TODAY()-L114&lt;=1460,0.6,TRUE,0.4)))</x:f>
      </x:c>
      <x:c r="P114" s="30" t="str">
        <x:f>IF(V114&lt;&gt;"Yes","",IFERROR(H114*N114*O114,0))</x:f>
      </x:c>
      <x:c r="Q114" s="30" t="str">
        <x:f>IF(P114="","",G114*P114)</x:f>
      </x:c>
      <x:c r="R114" s="30" t="str">
        <x:f>IF(K114="","",IFERROR(REGEXEXTRACT(K114,"https?://([^/]+)"),""))</x:f>
      </x:c>
      <x:c r="S114" s="30" t="str">
        <x:f>IF(R114&lt;&gt;"",LOWER(R114),IF(J114&lt;&gt;"",LOWER(J114),""))</x:f>
      </x:c>
      <x:c r="T114" s="30"/>
      <x:c r="U114" s="30"/>
      <x:c r="V114" s="30"/>
      <x:c r="W114" s="30" t="str">
        <x:f>IF(B114="","",IF(V114&lt;&gt;"Yes","Excluded",IF(OR(G114="",H114="",I114=""),"Needs review","Included")))</x:f>
      </x:c>
    </x:row>
    <x:row r="115">
      <x:c r="A115" s="30" t="str">
        <x:f>IF(B115="","","EV-"&amp;TEXT(ROW()-1,"0000"))</x:f>
      </x:c>
      <x:c r="B115" s="30"/>
      <x:c r="C115" s="30" t="str">
        <x:f>IF(B115="","",IFERROR(VLOOKUP(B115,Country_Config!$A$2:$G$100,2,FALSE),""))</x:f>
      </x:c>
      <x:c r="D115" s="30" t="str">
        <x:f>IF(B115="","",IFERROR(VLOOKUP(B115,Country_Config!$A$2:$G$100,3,FALSE),""))</x:f>
      </x:c>
      <x:c r="E115" s="30"/>
      <x:c r="F115" s="30"/>
      <x:c r="G115" s="30"/>
      <x:c r="H115" s="30" t="str">
        <x:f>IF(OR(E115="",F115=""),"",IFERROR(VLOOKUP(E115&amp;"|"&amp;F115,Rules_Weights!$A$2:$E$120,4,FALSE),100))</x:f>
      </x:c>
      <x:c r="I115" s="30"/>
      <x:c r="J115" s="30"/>
      <x:c r="K115" s="30"/>
      <x:c r="L115" s="30"/>
      <x:c r="M115" s="30"/>
      <x:c r="N115" s="30" t="str">
        <x:f>IF(I115="","",IFERROR(VLOOKUP(I115,Lookups!$A$2:$B$5,2,FALSE),0))</x:f>
      </x:c>
      <x:c r="O115" s="30" t="str">
        <x:f>IF(OR(L115="",V115&lt;&gt;"Yes"),"",IF(U115="Yes",1,IFS(TODAY()-L115&lt;=365,1,TODAY()-L115&lt;=730,0.8,TODAY()-L115&lt;=1460,0.6,TRUE,0.4)))</x:f>
      </x:c>
      <x:c r="P115" s="30" t="str">
        <x:f>IF(V115&lt;&gt;"Yes","",IFERROR(H115*N115*O115,0))</x:f>
      </x:c>
      <x:c r="Q115" s="30" t="str">
        <x:f>IF(P115="","",G115*P115)</x:f>
      </x:c>
      <x:c r="R115" s="30" t="str">
        <x:f>IF(K115="","",IFERROR(REGEXEXTRACT(K115,"https?://([^/]+)"),""))</x:f>
      </x:c>
      <x:c r="S115" s="30" t="str">
        <x:f>IF(R115&lt;&gt;"",LOWER(R115),IF(J115&lt;&gt;"",LOWER(J115),""))</x:f>
      </x:c>
      <x:c r="T115" s="30"/>
      <x:c r="U115" s="30"/>
      <x:c r="V115" s="30"/>
      <x:c r="W115" s="30" t="str">
        <x:f>IF(B115="","",IF(V115&lt;&gt;"Yes","Excluded",IF(OR(G115="",H115="",I115=""),"Needs review","Included")))</x:f>
      </x:c>
    </x:row>
    <x:row r="116">
      <x:c r="A116" s="30" t="str">
        <x:f>IF(B116="","","EV-"&amp;TEXT(ROW()-1,"0000"))</x:f>
      </x:c>
      <x:c r="B116" s="30"/>
      <x:c r="C116" s="30" t="str">
        <x:f>IF(B116="","",IFERROR(VLOOKUP(B116,Country_Config!$A$2:$G$100,2,FALSE),""))</x:f>
      </x:c>
      <x:c r="D116" s="30" t="str">
        <x:f>IF(B116="","",IFERROR(VLOOKUP(B116,Country_Config!$A$2:$G$100,3,FALSE),""))</x:f>
      </x:c>
      <x:c r="E116" s="30"/>
      <x:c r="F116" s="30"/>
      <x:c r="G116" s="30"/>
      <x:c r="H116" s="30" t="str">
        <x:f>IF(OR(E116="",F116=""),"",IFERROR(VLOOKUP(E116&amp;"|"&amp;F116,Rules_Weights!$A$2:$E$120,4,FALSE),100))</x:f>
      </x:c>
      <x:c r="I116" s="30"/>
      <x:c r="J116" s="30"/>
      <x:c r="K116" s="30"/>
      <x:c r="L116" s="30"/>
      <x:c r="M116" s="30"/>
      <x:c r="N116" s="30" t="str">
        <x:f>IF(I116="","",IFERROR(VLOOKUP(I116,Lookups!$A$2:$B$5,2,FALSE),0))</x:f>
      </x:c>
      <x:c r="O116" s="30" t="str">
        <x:f>IF(OR(L116="",V116&lt;&gt;"Yes"),"",IF(U116="Yes",1,IFS(TODAY()-L116&lt;=365,1,TODAY()-L116&lt;=730,0.8,TODAY()-L116&lt;=1460,0.6,TRUE,0.4)))</x:f>
      </x:c>
      <x:c r="P116" s="30" t="str">
        <x:f>IF(V116&lt;&gt;"Yes","",IFERROR(H116*N116*O116,0))</x:f>
      </x:c>
      <x:c r="Q116" s="30" t="str">
        <x:f>IF(P116="","",G116*P116)</x:f>
      </x:c>
      <x:c r="R116" s="30" t="str">
        <x:f>IF(K116="","",IFERROR(REGEXEXTRACT(K116,"https?://([^/]+)"),""))</x:f>
      </x:c>
      <x:c r="S116" s="30" t="str">
        <x:f>IF(R116&lt;&gt;"",LOWER(R116),IF(J116&lt;&gt;"",LOWER(J116),""))</x:f>
      </x:c>
      <x:c r="T116" s="30"/>
      <x:c r="U116" s="30"/>
      <x:c r="V116" s="30"/>
      <x:c r="W116" s="30" t="str">
        <x:f>IF(B116="","",IF(V116&lt;&gt;"Yes","Excluded",IF(OR(G116="",H116="",I116=""),"Needs review","Included")))</x:f>
      </x:c>
    </x:row>
    <x:row r="117">
      <x:c r="A117" s="30" t="str">
        <x:f>IF(B117="","","EV-"&amp;TEXT(ROW()-1,"0000"))</x:f>
      </x:c>
      <x:c r="B117" s="30"/>
      <x:c r="C117" s="30" t="str">
        <x:f>IF(B117="","",IFERROR(VLOOKUP(B117,Country_Config!$A$2:$G$100,2,FALSE),""))</x:f>
      </x:c>
      <x:c r="D117" s="30" t="str">
        <x:f>IF(B117="","",IFERROR(VLOOKUP(B117,Country_Config!$A$2:$G$100,3,FALSE),""))</x:f>
      </x:c>
      <x:c r="E117" s="30"/>
      <x:c r="F117" s="30"/>
      <x:c r="G117" s="30"/>
      <x:c r="H117" s="30" t="str">
        <x:f>IF(OR(E117="",F117=""),"",IFERROR(VLOOKUP(E117&amp;"|"&amp;F117,Rules_Weights!$A$2:$E$120,4,FALSE),100))</x:f>
      </x:c>
      <x:c r="I117" s="30"/>
      <x:c r="J117" s="30"/>
      <x:c r="K117" s="30"/>
      <x:c r="L117" s="30"/>
      <x:c r="M117" s="30"/>
      <x:c r="N117" s="30" t="str">
        <x:f>IF(I117="","",IFERROR(VLOOKUP(I117,Lookups!$A$2:$B$5,2,FALSE),0))</x:f>
      </x:c>
      <x:c r="O117" s="30" t="str">
        <x:f>IF(OR(L117="",V117&lt;&gt;"Yes"),"",IF(U117="Yes",1,IFS(TODAY()-L117&lt;=365,1,TODAY()-L117&lt;=730,0.8,TODAY()-L117&lt;=1460,0.6,TRUE,0.4)))</x:f>
      </x:c>
      <x:c r="P117" s="30" t="str">
        <x:f>IF(V117&lt;&gt;"Yes","",IFERROR(H117*N117*O117,0))</x:f>
      </x:c>
      <x:c r="Q117" s="30" t="str">
        <x:f>IF(P117="","",G117*P117)</x:f>
      </x:c>
      <x:c r="R117" s="30" t="str">
        <x:f>IF(K117="","",IFERROR(REGEXEXTRACT(K117,"https?://([^/]+)"),""))</x:f>
      </x:c>
      <x:c r="S117" s="30" t="str">
        <x:f>IF(R117&lt;&gt;"",LOWER(R117),IF(J117&lt;&gt;"",LOWER(J117),""))</x:f>
      </x:c>
      <x:c r="T117" s="30"/>
      <x:c r="U117" s="30"/>
      <x:c r="V117" s="30"/>
      <x:c r="W117" s="30" t="str">
        <x:f>IF(B117="","",IF(V117&lt;&gt;"Yes","Excluded",IF(OR(G117="",H117="",I117=""),"Needs review","Included")))</x:f>
      </x:c>
    </x:row>
    <x:row r="118">
      <x:c r="A118" s="30" t="str">
        <x:f>IF(B118="","","EV-"&amp;TEXT(ROW()-1,"0000"))</x:f>
      </x:c>
      <x:c r="B118" s="30"/>
      <x:c r="C118" s="30" t="str">
        <x:f>IF(B118="","",IFERROR(VLOOKUP(B118,Country_Config!$A$2:$G$100,2,FALSE),""))</x:f>
      </x:c>
      <x:c r="D118" s="30" t="str">
        <x:f>IF(B118="","",IFERROR(VLOOKUP(B118,Country_Config!$A$2:$G$100,3,FALSE),""))</x:f>
      </x:c>
      <x:c r="E118" s="30"/>
      <x:c r="F118" s="30"/>
      <x:c r="G118" s="30"/>
      <x:c r="H118" s="30" t="str">
        <x:f>IF(OR(E118="",F118=""),"",IFERROR(VLOOKUP(E118&amp;"|"&amp;F118,Rules_Weights!$A$2:$E$120,4,FALSE),100))</x:f>
      </x:c>
      <x:c r="I118" s="30"/>
      <x:c r="J118" s="30"/>
      <x:c r="K118" s="30"/>
      <x:c r="L118" s="30"/>
      <x:c r="M118" s="30"/>
      <x:c r="N118" s="30" t="str">
        <x:f>IF(I118="","",IFERROR(VLOOKUP(I118,Lookups!$A$2:$B$5,2,FALSE),0))</x:f>
      </x:c>
      <x:c r="O118" s="30" t="str">
        <x:f>IF(OR(L118="",V118&lt;&gt;"Yes"),"",IF(U118="Yes",1,IFS(TODAY()-L118&lt;=365,1,TODAY()-L118&lt;=730,0.8,TODAY()-L118&lt;=1460,0.6,TRUE,0.4)))</x:f>
      </x:c>
      <x:c r="P118" s="30" t="str">
        <x:f>IF(V118&lt;&gt;"Yes","",IFERROR(H118*N118*O118,0))</x:f>
      </x:c>
      <x:c r="Q118" s="30" t="str">
        <x:f>IF(P118="","",G118*P118)</x:f>
      </x:c>
      <x:c r="R118" s="30" t="str">
        <x:f>IF(K118="","",IFERROR(REGEXEXTRACT(K118,"https?://([^/]+)"),""))</x:f>
      </x:c>
      <x:c r="S118" s="30" t="str">
        <x:f>IF(R118&lt;&gt;"",LOWER(R118),IF(J118&lt;&gt;"",LOWER(J118),""))</x:f>
      </x:c>
      <x:c r="T118" s="30"/>
      <x:c r="U118" s="30"/>
      <x:c r="V118" s="30"/>
      <x:c r="W118" s="30" t="str">
        <x:f>IF(B118="","",IF(V118&lt;&gt;"Yes","Excluded",IF(OR(G118="",H118="",I118=""),"Needs review","Included")))</x:f>
      </x:c>
    </x:row>
    <x:row r="119">
      <x:c r="A119" s="30" t="str">
        <x:f>IF(B119="","","EV-"&amp;TEXT(ROW()-1,"0000"))</x:f>
      </x:c>
      <x:c r="B119" s="30"/>
      <x:c r="C119" s="30" t="str">
        <x:f>IF(B119="","",IFERROR(VLOOKUP(B119,Country_Config!$A$2:$G$100,2,FALSE),""))</x:f>
      </x:c>
      <x:c r="D119" s="30" t="str">
        <x:f>IF(B119="","",IFERROR(VLOOKUP(B119,Country_Config!$A$2:$G$100,3,FALSE),""))</x:f>
      </x:c>
      <x:c r="E119" s="30"/>
      <x:c r="F119" s="30"/>
      <x:c r="G119" s="30"/>
      <x:c r="H119" s="30" t="str">
        <x:f>IF(OR(E119="",F119=""),"",IFERROR(VLOOKUP(E119&amp;"|"&amp;F119,Rules_Weights!$A$2:$E$120,4,FALSE),100))</x:f>
      </x:c>
      <x:c r="I119" s="30"/>
      <x:c r="J119" s="30"/>
      <x:c r="K119" s="30"/>
      <x:c r="L119" s="30"/>
      <x:c r="M119" s="30"/>
      <x:c r="N119" s="30" t="str">
        <x:f>IF(I119="","",IFERROR(VLOOKUP(I119,Lookups!$A$2:$B$5,2,FALSE),0))</x:f>
      </x:c>
      <x:c r="O119" s="30" t="str">
        <x:f>IF(OR(L119="",V119&lt;&gt;"Yes"),"",IF(U119="Yes",1,IFS(TODAY()-L119&lt;=365,1,TODAY()-L119&lt;=730,0.8,TODAY()-L119&lt;=1460,0.6,TRUE,0.4)))</x:f>
      </x:c>
      <x:c r="P119" s="30" t="str">
        <x:f>IF(V119&lt;&gt;"Yes","",IFERROR(H119*N119*O119,0))</x:f>
      </x:c>
      <x:c r="Q119" s="30" t="str">
        <x:f>IF(P119="","",G119*P119)</x:f>
      </x:c>
      <x:c r="R119" s="30" t="str">
        <x:f>IF(K119="","",IFERROR(REGEXEXTRACT(K119,"https?://([^/]+)"),""))</x:f>
      </x:c>
      <x:c r="S119" s="30" t="str">
        <x:f>IF(R119&lt;&gt;"",LOWER(R119),IF(J119&lt;&gt;"",LOWER(J119),""))</x:f>
      </x:c>
      <x:c r="T119" s="30"/>
      <x:c r="U119" s="30"/>
      <x:c r="V119" s="30"/>
      <x:c r="W119" s="30" t="str">
        <x:f>IF(B119="","",IF(V119&lt;&gt;"Yes","Excluded",IF(OR(G119="",H119="",I119=""),"Needs review","Included")))</x:f>
      </x:c>
    </x:row>
    <x:row r="120">
      <x:c r="A120" s="30" t="str">
        <x:f>IF(B120="","","EV-"&amp;TEXT(ROW()-1,"0000"))</x:f>
      </x:c>
      <x:c r="B120" s="30"/>
      <x:c r="C120" s="30" t="str">
        <x:f>IF(B120="","",IFERROR(VLOOKUP(B120,Country_Config!$A$2:$G$100,2,FALSE),""))</x:f>
      </x:c>
      <x:c r="D120" s="30" t="str">
        <x:f>IF(B120="","",IFERROR(VLOOKUP(B120,Country_Config!$A$2:$G$100,3,FALSE),""))</x:f>
      </x:c>
      <x:c r="E120" s="30"/>
      <x:c r="F120" s="30"/>
      <x:c r="G120" s="30"/>
      <x:c r="H120" s="30" t="str">
        <x:f>IF(OR(E120="",F120=""),"",IFERROR(VLOOKUP(E120&amp;"|"&amp;F120,Rules_Weights!$A$2:$E$120,4,FALSE),100))</x:f>
      </x:c>
      <x:c r="I120" s="30"/>
      <x:c r="J120" s="30"/>
      <x:c r="K120" s="30"/>
      <x:c r="L120" s="30"/>
      <x:c r="M120" s="30"/>
      <x:c r="N120" s="30" t="str">
        <x:f>IF(I120="","",IFERROR(VLOOKUP(I120,Lookups!$A$2:$B$5,2,FALSE),0))</x:f>
      </x:c>
      <x:c r="O120" s="30" t="str">
        <x:f>IF(OR(L120="",V120&lt;&gt;"Yes"),"",IF(U120="Yes",1,IFS(TODAY()-L120&lt;=365,1,TODAY()-L120&lt;=730,0.8,TODAY()-L120&lt;=1460,0.6,TRUE,0.4)))</x:f>
      </x:c>
      <x:c r="P120" s="30" t="str">
        <x:f>IF(V120&lt;&gt;"Yes","",IFERROR(H120*N120*O120,0))</x:f>
      </x:c>
      <x:c r="Q120" s="30" t="str">
        <x:f>IF(P120="","",G120*P120)</x:f>
      </x:c>
      <x:c r="R120" s="30" t="str">
        <x:f>IF(K120="","",IFERROR(REGEXEXTRACT(K120,"https?://([^/]+)"),""))</x:f>
      </x:c>
      <x:c r="S120" s="30" t="str">
        <x:f>IF(R120&lt;&gt;"",LOWER(R120),IF(J120&lt;&gt;"",LOWER(J120),""))</x:f>
      </x:c>
      <x:c r="T120" s="30"/>
      <x:c r="U120" s="30"/>
      <x:c r="V120" s="30"/>
      <x:c r="W120" s="30" t="str">
        <x:f>IF(B120="","",IF(V120&lt;&gt;"Yes","Excluded",IF(OR(G120="",H120="",I120=""),"Needs review","Included")))</x:f>
      </x:c>
    </x:row>
    <x:row r="121">
      <x:c r="A121" s="30" t="str">
        <x:f>IF(B121="","","EV-"&amp;TEXT(ROW()-1,"0000"))</x:f>
      </x:c>
      <x:c r="B121" s="30"/>
      <x:c r="C121" s="30" t="str">
        <x:f>IF(B121="","",IFERROR(VLOOKUP(B121,Country_Config!$A$2:$G$100,2,FALSE),""))</x:f>
      </x:c>
      <x:c r="D121" s="30" t="str">
        <x:f>IF(B121="","",IFERROR(VLOOKUP(B121,Country_Config!$A$2:$G$100,3,FALSE),""))</x:f>
      </x:c>
      <x:c r="E121" s="30"/>
      <x:c r="F121" s="30"/>
      <x:c r="G121" s="30"/>
      <x:c r="H121" s="30" t="str">
        <x:f>IF(OR(E121="",F121=""),"",IFERROR(VLOOKUP(E121&amp;"|"&amp;F121,Rules_Weights!$A$2:$E$120,4,FALSE),100))</x:f>
      </x:c>
      <x:c r="I121" s="30"/>
      <x:c r="J121" s="30"/>
      <x:c r="K121" s="30"/>
      <x:c r="L121" s="30"/>
      <x:c r="M121" s="30"/>
      <x:c r="N121" s="30" t="str">
        <x:f>IF(I121="","",IFERROR(VLOOKUP(I121,Lookups!$A$2:$B$5,2,FALSE),0))</x:f>
      </x:c>
      <x:c r="O121" s="30" t="str">
        <x:f>IF(OR(L121="",V121&lt;&gt;"Yes"),"",IF(U121="Yes",1,IFS(TODAY()-L121&lt;=365,1,TODAY()-L121&lt;=730,0.8,TODAY()-L121&lt;=1460,0.6,TRUE,0.4)))</x:f>
      </x:c>
      <x:c r="P121" s="30" t="str">
        <x:f>IF(V121&lt;&gt;"Yes","",IFERROR(H121*N121*O121,0))</x:f>
      </x:c>
      <x:c r="Q121" s="30" t="str">
        <x:f>IF(P121="","",G121*P121)</x:f>
      </x:c>
      <x:c r="R121" s="30" t="str">
        <x:f>IF(K121="","",IFERROR(REGEXEXTRACT(K121,"https?://([^/]+)"),""))</x:f>
      </x:c>
      <x:c r="S121" s="30" t="str">
        <x:f>IF(R121&lt;&gt;"",LOWER(R121),IF(J121&lt;&gt;"",LOWER(J121),""))</x:f>
      </x:c>
      <x:c r="T121" s="30"/>
      <x:c r="U121" s="30"/>
      <x:c r="V121" s="30"/>
      <x:c r="W121" s="30" t="str">
        <x:f>IF(B121="","",IF(V121&lt;&gt;"Yes","Excluded",IF(OR(G121="",H121="",I121=""),"Needs review","Included")))</x:f>
      </x:c>
    </x:row>
    <x:row r="122">
      <x:c r="A122" s="30" t="str">
        <x:f>IF(B122="","","EV-"&amp;TEXT(ROW()-1,"0000"))</x:f>
      </x:c>
      <x:c r="B122" s="30"/>
      <x:c r="C122" s="30" t="str">
        <x:f>IF(B122="","",IFERROR(VLOOKUP(B122,Country_Config!$A$2:$G$100,2,FALSE),""))</x:f>
      </x:c>
      <x:c r="D122" s="30" t="str">
        <x:f>IF(B122="","",IFERROR(VLOOKUP(B122,Country_Config!$A$2:$G$100,3,FALSE),""))</x:f>
      </x:c>
      <x:c r="E122" s="30"/>
      <x:c r="F122" s="30"/>
      <x:c r="G122" s="30"/>
      <x:c r="H122" s="30" t="str">
        <x:f>IF(OR(E122="",F122=""),"",IFERROR(VLOOKUP(E122&amp;"|"&amp;F122,Rules_Weights!$A$2:$E$120,4,FALSE),100))</x:f>
      </x:c>
      <x:c r="I122" s="30"/>
      <x:c r="J122" s="30"/>
      <x:c r="K122" s="30"/>
      <x:c r="L122" s="30"/>
      <x:c r="M122" s="30"/>
      <x:c r="N122" s="30" t="str">
        <x:f>IF(I122="","",IFERROR(VLOOKUP(I122,Lookups!$A$2:$B$5,2,FALSE),0))</x:f>
      </x:c>
      <x:c r="O122" s="30" t="str">
        <x:f>IF(OR(L122="",V122&lt;&gt;"Yes"),"",IF(U122="Yes",1,IFS(TODAY()-L122&lt;=365,1,TODAY()-L122&lt;=730,0.8,TODAY()-L122&lt;=1460,0.6,TRUE,0.4)))</x:f>
      </x:c>
      <x:c r="P122" s="30" t="str">
        <x:f>IF(V122&lt;&gt;"Yes","",IFERROR(H122*N122*O122,0))</x:f>
      </x:c>
      <x:c r="Q122" s="30" t="str">
        <x:f>IF(P122="","",G122*P122)</x:f>
      </x:c>
      <x:c r="R122" s="30" t="str">
        <x:f>IF(K122="","",IFERROR(REGEXEXTRACT(K122,"https?://([^/]+)"),""))</x:f>
      </x:c>
      <x:c r="S122" s="30" t="str">
        <x:f>IF(R122&lt;&gt;"",LOWER(R122),IF(J122&lt;&gt;"",LOWER(J122),""))</x:f>
      </x:c>
      <x:c r="T122" s="30"/>
      <x:c r="U122" s="30"/>
      <x:c r="V122" s="30"/>
      <x:c r="W122" s="30" t="str">
        <x:f>IF(B122="","",IF(V122&lt;&gt;"Yes","Excluded",IF(OR(G122="",H122="",I122=""),"Needs review","Included")))</x:f>
      </x:c>
    </x:row>
    <x:row r="123">
      <x:c r="A123" s="30" t="str">
        <x:f>IF(B123="","","EV-"&amp;TEXT(ROW()-1,"0000"))</x:f>
      </x:c>
      <x:c r="B123" s="30"/>
      <x:c r="C123" s="30" t="str">
        <x:f>IF(B123="","",IFERROR(VLOOKUP(B123,Country_Config!$A$2:$G$100,2,FALSE),""))</x:f>
      </x:c>
      <x:c r="D123" s="30" t="str">
        <x:f>IF(B123="","",IFERROR(VLOOKUP(B123,Country_Config!$A$2:$G$100,3,FALSE),""))</x:f>
      </x:c>
      <x:c r="E123" s="30"/>
      <x:c r="F123" s="30"/>
      <x:c r="G123" s="30"/>
      <x:c r="H123" s="30" t="str">
        <x:f>IF(OR(E123="",F123=""),"",IFERROR(VLOOKUP(E123&amp;"|"&amp;F123,Rules_Weights!$A$2:$E$120,4,FALSE),100))</x:f>
      </x:c>
      <x:c r="I123" s="30"/>
      <x:c r="J123" s="30"/>
      <x:c r="K123" s="30"/>
      <x:c r="L123" s="30"/>
      <x:c r="M123" s="30"/>
      <x:c r="N123" s="30" t="str">
        <x:f>IF(I123="","",IFERROR(VLOOKUP(I123,Lookups!$A$2:$B$5,2,FALSE),0))</x:f>
      </x:c>
      <x:c r="O123" s="30" t="str">
        <x:f>IF(OR(L123="",V123&lt;&gt;"Yes"),"",IF(U123="Yes",1,IFS(TODAY()-L123&lt;=365,1,TODAY()-L123&lt;=730,0.8,TODAY()-L123&lt;=1460,0.6,TRUE,0.4)))</x:f>
      </x:c>
      <x:c r="P123" s="30" t="str">
        <x:f>IF(V123&lt;&gt;"Yes","",IFERROR(H123*N123*O123,0))</x:f>
      </x:c>
      <x:c r="Q123" s="30" t="str">
        <x:f>IF(P123="","",G123*P123)</x:f>
      </x:c>
      <x:c r="R123" s="30" t="str">
        <x:f>IF(K123="","",IFERROR(REGEXEXTRACT(K123,"https?://([^/]+)"),""))</x:f>
      </x:c>
      <x:c r="S123" s="30" t="str">
        <x:f>IF(R123&lt;&gt;"",LOWER(R123),IF(J123&lt;&gt;"",LOWER(J123),""))</x:f>
      </x:c>
      <x:c r="T123" s="30"/>
      <x:c r="U123" s="30"/>
      <x:c r="V123" s="30"/>
      <x:c r="W123" s="30" t="str">
        <x:f>IF(B123="","",IF(V123&lt;&gt;"Yes","Excluded",IF(OR(G123="",H123="",I123=""),"Needs review","Included")))</x:f>
      </x:c>
    </x:row>
    <x:row r="124">
      <x:c r="A124" s="30" t="str">
        <x:f>IF(B124="","","EV-"&amp;TEXT(ROW()-1,"0000"))</x:f>
      </x:c>
      <x:c r="B124" s="30"/>
      <x:c r="C124" s="30" t="str">
        <x:f>IF(B124="","",IFERROR(VLOOKUP(B124,Country_Config!$A$2:$G$100,2,FALSE),""))</x:f>
      </x:c>
      <x:c r="D124" s="30" t="str">
        <x:f>IF(B124="","",IFERROR(VLOOKUP(B124,Country_Config!$A$2:$G$100,3,FALSE),""))</x:f>
      </x:c>
      <x:c r="E124" s="30"/>
      <x:c r="F124" s="30"/>
      <x:c r="G124" s="30"/>
      <x:c r="H124" s="30" t="str">
        <x:f>IF(OR(E124="",F124=""),"",IFERROR(VLOOKUP(E124&amp;"|"&amp;F124,Rules_Weights!$A$2:$E$120,4,FALSE),100))</x:f>
      </x:c>
      <x:c r="I124" s="30"/>
      <x:c r="J124" s="30"/>
      <x:c r="K124" s="30"/>
      <x:c r="L124" s="30"/>
      <x:c r="M124" s="30"/>
      <x:c r="N124" s="30" t="str">
        <x:f>IF(I124="","",IFERROR(VLOOKUP(I124,Lookups!$A$2:$B$5,2,FALSE),0))</x:f>
      </x:c>
      <x:c r="O124" s="30" t="str">
        <x:f>IF(OR(L124="",V124&lt;&gt;"Yes"),"",IF(U124="Yes",1,IFS(TODAY()-L124&lt;=365,1,TODAY()-L124&lt;=730,0.8,TODAY()-L124&lt;=1460,0.6,TRUE,0.4)))</x:f>
      </x:c>
      <x:c r="P124" s="30" t="str">
        <x:f>IF(V124&lt;&gt;"Yes","",IFERROR(H124*N124*O124,0))</x:f>
      </x:c>
      <x:c r="Q124" s="30" t="str">
        <x:f>IF(P124="","",G124*P124)</x:f>
      </x:c>
      <x:c r="R124" s="30" t="str">
        <x:f>IF(K124="","",IFERROR(REGEXEXTRACT(K124,"https?://([^/]+)"),""))</x:f>
      </x:c>
      <x:c r="S124" s="30" t="str">
        <x:f>IF(R124&lt;&gt;"",LOWER(R124),IF(J124&lt;&gt;"",LOWER(J124),""))</x:f>
      </x:c>
      <x:c r="T124" s="30"/>
      <x:c r="U124" s="30"/>
      <x:c r="V124" s="30"/>
      <x:c r="W124" s="30" t="str">
        <x:f>IF(B124="","",IF(V124&lt;&gt;"Yes","Excluded",IF(OR(G124="",H124="",I124=""),"Needs review","Included")))</x:f>
      </x:c>
    </x:row>
    <x:row r="125">
      <x:c r="A125" s="30" t="str">
        <x:f>IF(B125="","","EV-"&amp;TEXT(ROW()-1,"0000"))</x:f>
      </x:c>
      <x:c r="B125" s="30"/>
      <x:c r="C125" s="30" t="str">
        <x:f>IF(B125="","",IFERROR(VLOOKUP(B125,Country_Config!$A$2:$G$100,2,FALSE),""))</x:f>
      </x:c>
      <x:c r="D125" s="30" t="str">
        <x:f>IF(B125="","",IFERROR(VLOOKUP(B125,Country_Config!$A$2:$G$100,3,FALSE),""))</x:f>
      </x:c>
      <x:c r="E125" s="30"/>
      <x:c r="F125" s="30"/>
      <x:c r="G125" s="30"/>
      <x:c r="H125" s="30" t="str">
        <x:f>IF(OR(E125="",F125=""),"",IFERROR(VLOOKUP(E125&amp;"|"&amp;F125,Rules_Weights!$A$2:$E$120,4,FALSE),100))</x:f>
      </x:c>
      <x:c r="I125" s="30"/>
      <x:c r="J125" s="30"/>
      <x:c r="K125" s="30"/>
      <x:c r="L125" s="30"/>
      <x:c r="M125" s="30"/>
      <x:c r="N125" s="30" t="str">
        <x:f>IF(I125="","",IFERROR(VLOOKUP(I125,Lookups!$A$2:$B$5,2,FALSE),0))</x:f>
      </x:c>
      <x:c r="O125" s="30" t="str">
        <x:f>IF(OR(L125="",V125&lt;&gt;"Yes"),"",IF(U125="Yes",1,IFS(TODAY()-L125&lt;=365,1,TODAY()-L125&lt;=730,0.8,TODAY()-L125&lt;=1460,0.6,TRUE,0.4)))</x:f>
      </x:c>
      <x:c r="P125" s="30" t="str">
        <x:f>IF(V125&lt;&gt;"Yes","",IFERROR(H125*N125*O125,0))</x:f>
      </x:c>
      <x:c r="Q125" s="30" t="str">
        <x:f>IF(P125="","",G125*P125)</x:f>
      </x:c>
      <x:c r="R125" s="30" t="str">
        <x:f>IF(K125="","",IFERROR(REGEXEXTRACT(K125,"https?://([^/]+)"),""))</x:f>
      </x:c>
      <x:c r="S125" s="30" t="str">
        <x:f>IF(R125&lt;&gt;"",LOWER(R125),IF(J125&lt;&gt;"",LOWER(J125),""))</x:f>
      </x:c>
      <x:c r="T125" s="30"/>
      <x:c r="U125" s="30"/>
      <x:c r="V125" s="30"/>
      <x:c r="W125" s="30" t="str">
        <x:f>IF(B125="","",IF(V125&lt;&gt;"Yes","Excluded",IF(OR(G125="",H125="",I125=""),"Needs review","Included")))</x:f>
      </x:c>
    </x:row>
    <x:row r="126">
      <x:c r="A126" s="30" t="str">
        <x:f>IF(B126="","","EV-"&amp;TEXT(ROW()-1,"0000"))</x:f>
      </x:c>
      <x:c r="B126" s="30"/>
      <x:c r="C126" s="30" t="str">
        <x:f>IF(B126="","",IFERROR(VLOOKUP(B126,Country_Config!$A$2:$G$100,2,FALSE),""))</x:f>
      </x:c>
      <x:c r="D126" s="30" t="str">
        <x:f>IF(B126="","",IFERROR(VLOOKUP(B126,Country_Config!$A$2:$G$100,3,FALSE),""))</x:f>
      </x:c>
      <x:c r="E126" s="30"/>
      <x:c r="F126" s="30"/>
      <x:c r="G126" s="30"/>
      <x:c r="H126" s="30" t="str">
        <x:f>IF(OR(E126="",F126=""),"",IFERROR(VLOOKUP(E126&amp;"|"&amp;F126,Rules_Weights!$A$2:$E$120,4,FALSE),100))</x:f>
      </x:c>
      <x:c r="I126" s="30"/>
      <x:c r="J126" s="30"/>
      <x:c r="K126" s="30"/>
      <x:c r="L126" s="30"/>
      <x:c r="M126" s="30"/>
      <x:c r="N126" s="30" t="str">
        <x:f>IF(I126="","",IFERROR(VLOOKUP(I126,Lookups!$A$2:$B$5,2,FALSE),0))</x:f>
      </x:c>
      <x:c r="O126" s="30" t="str">
        <x:f>IF(OR(L126="",V126&lt;&gt;"Yes"),"",IF(U126="Yes",1,IFS(TODAY()-L126&lt;=365,1,TODAY()-L126&lt;=730,0.8,TODAY()-L126&lt;=1460,0.6,TRUE,0.4)))</x:f>
      </x:c>
      <x:c r="P126" s="30" t="str">
        <x:f>IF(V126&lt;&gt;"Yes","",IFERROR(H126*N126*O126,0))</x:f>
      </x:c>
      <x:c r="Q126" s="30" t="str">
        <x:f>IF(P126="","",G126*P126)</x:f>
      </x:c>
      <x:c r="R126" s="30" t="str">
        <x:f>IF(K126="","",IFERROR(REGEXEXTRACT(K126,"https?://([^/]+)"),""))</x:f>
      </x:c>
      <x:c r="S126" s="30" t="str">
        <x:f>IF(R126&lt;&gt;"",LOWER(R126),IF(J126&lt;&gt;"",LOWER(J126),""))</x:f>
      </x:c>
      <x:c r="T126" s="30"/>
      <x:c r="U126" s="30"/>
      <x:c r="V126" s="30"/>
      <x:c r="W126" s="30" t="str">
        <x:f>IF(B126="","",IF(V126&lt;&gt;"Yes","Excluded",IF(OR(G126="",H126="",I126=""),"Needs review","Included")))</x:f>
      </x:c>
    </x:row>
    <x:row r="127">
      <x:c r="A127" s="30" t="str">
        <x:f>IF(B127="","","EV-"&amp;TEXT(ROW()-1,"0000"))</x:f>
      </x:c>
      <x:c r="B127" s="30"/>
      <x:c r="C127" s="30" t="str">
        <x:f>IF(B127="","",IFERROR(VLOOKUP(B127,Country_Config!$A$2:$G$100,2,FALSE),""))</x:f>
      </x:c>
      <x:c r="D127" s="30" t="str">
        <x:f>IF(B127="","",IFERROR(VLOOKUP(B127,Country_Config!$A$2:$G$100,3,FALSE),""))</x:f>
      </x:c>
      <x:c r="E127" s="30"/>
      <x:c r="F127" s="30"/>
      <x:c r="G127" s="30"/>
      <x:c r="H127" s="30" t="str">
        <x:f>IF(OR(E127="",F127=""),"",IFERROR(VLOOKUP(E127&amp;"|"&amp;F127,Rules_Weights!$A$2:$E$120,4,FALSE),100))</x:f>
      </x:c>
      <x:c r="I127" s="30"/>
      <x:c r="J127" s="30"/>
      <x:c r="K127" s="30"/>
      <x:c r="L127" s="30"/>
      <x:c r="M127" s="30"/>
      <x:c r="N127" s="30" t="str">
        <x:f>IF(I127="","",IFERROR(VLOOKUP(I127,Lookups!$A$2:$B$5,2,FALSE),0))</x:f>
      </x:c>
      <x:c r="O127" s="30" t="str">
        <x:f>IF(OR(L127="",V127&lt;&gt;"Yes"),"",IF(U127="Yes",1,IFS(TODAY()-L127&lt;=365,1,TODAY()-L127&lt;=730,0.8,TODAY()-L127&lt;=1460,0.6,TRUE,0.4)))</x:f>
      </x:c>
      <x:c r="P127" s="30" t="str">
        <x:f>IF(V127&lt;&gt;"Yes","",IFERROR(H127*N127*O127,0))</x:f>
      </x:c>
      <x:c r="Q127" s="30" t="str">
        <x:f>IF(P127="","",G127*P127)</x:f>
      </x:c>
      <x:c r="R127" s="30" t="str">
        <x:f>IF(K127="","",IFERROR(REGEXEXTRACT(K127,"https?://([^/]+)"),""))</x:f>
      </x:c>
      <x:c r="S127" s="30" t="str">
        <x:f>IF(R127&lt;&gt;"",LOWER(R127),IF(J127&lt;&gt;"",LOWER(J127),""))</x:f>
      </x:c>
      <x:c r="T127" s="30"/>
      <x:c r="U127" s="30"/>
      <x:c r="V127" s="30"/>
      <x:c r="W127" s="30" t="str">
        <x:f>IF(B127="","",IF(V127&lt;&gt;"Yes","Excluded",IF(OR(G127="",H127="",I127=""),"Needs review","Included")))</x:f>
      </x:c>
    </x:row>
    <x:row r="128">
      <x:c r="A128" s="30" t="str">
        <x:f>IF(B128="","","EV-"&amp;TEXT(ROW()-1,"0000"))</x:f>
      </x:c>
      <x:c r="B128" s="30"/>
      <x:c r="C128" s="30" t="str">
        <x:f>IF(B128="","",IFERROR(VLOOKUP(B128,Country_Config!$A$2:$G$100,2,FALSE),""))</x:f>
      </x:c>
      <x:c r="D128" s="30" t="str">
        <x:f>IF(B128="","",IFERROR(VLOOKUP(B128,Country_Config!$A$2:$G$100,3,FALSE),""))</x:f>
      </x:c>
      <x:c r="E128" s="30"/>
      <x:c r="F128" s="30"/>
      <x:c r="G128" s="30"/>
      <x:c r="H128" s="30" t="str">
        <x:f>IF(OR(E128="",F128=""),"",IFERROR(VLOOKUP(E128&amp;"|"&amp;F128,Rules_Weights!$A$2:$E$120,4,FALSE),100))</x:f>
      </x:c>
      <x:c r="I128" s="30"/>
      <x:c r="J128" s="30"/>
      <x:c r="K128" s="30"/>
      <x:c r="L128" s="30"/>
      <x:c r="M128" s="30"/>
      <x:c r="N128" s="30" t="str">
        <x:f>IF(I128="","",IFERROR(VLOOKUP(I128,Lookups!$A$2:$B$5,2,FALSE),0))</x:f>
      </x:c>
      <x:c r="O128" s="30" t="str">
        <x:f>IF(OR(L128="",V128&lt;&gt;"Yes"),"",IF(U128="Yes",1,IFS(TODAY()-L128&lt;=365,1,TODAY()-L128&lt;=730,0.8,TODAY()-L128&lt;=1460,0.6,TRUE,0.4)))</x:f>
      </x:c>
      <x:c r="P128" s="30" t="str">
        <x:f>IF(V128&lt;&gt;"Yes","",IFERROR(H128*N128*O128,0))</x:f>
      </x:c>
      <x:c r="Q128" s="30" t="str">
        <x:f>IF(P128="","",G128*P128)</x:f>
      </x:c>
      <x:c r="R128" s="30" t="str">
        <x:f>IF(K128="","",IFERROR(REGEXEXTRACT(K128,"https?://([^/]+)"),""))</x:f>
      </x:c>
      <x:c r="S128" s="30" t="str">
        <x:f>IF(R128&lt;&gt;"",LOWER(R128),IF(J128&lt;&gt;"",LOWER(J128),""))</x:f>
      </x:c>
      <x:c r="T128" s="30"/>
      <x:c r="U128" s="30"/>
      <x:c r="V128" s="30"/>
      <x:c r="W128" s="30" t="str">
        <x:f>IF(B128="","",IF(V128&lt;&gt;"Yes","Excluded",IF(OR(G128="",H128="",I128=""),"Needs review","Included")))</x:f>
      </x:c>
    </x:row>
    <x:row r="129">
      <x:c r="A129" s="30" t="str">
        <x:f>IF(B129="","","EV-"&amp;TEXT(ROW()-1,"0000"))</x:f>
      </x:c>
      <x:c r="B129" s="30"/>
      <x:c r="C129" s="30" t="str">
        <x:f>IF(B129="","",IFERROR(VLOOKUP(B129,Country_Config!$A$2:$G$100,2,FALSE),""))</x:f>
      </x:c>
      <x:c r="D129" s="30" t="str">
        <x:f>IF(B129="","",IFERROR(VLOOKUP(B129,Country_Config!$A$2:$G$100,3,FALSE),""))</x:f>
      </x:c>
      <x:c r="E129" s="30"/>
      <x:c r="F129" s="30"/>
      <x:c r="G129" s="30"/>
      <x:c r="H129" s="30" t="str">
        <x:f>IF(OR(E129="",F129=""),"",IFERROR(VLOOKUP(E129&amp;"|"&amp;F129,Rules_Weights!$A$2:$E$120,4,FALSE),100))</x:f>
      </x:c>
      <x:c r="I129" s="30"/>
      <x:c r="J129" s="30"/>
      <x:c r="K129" s="30"/>
      <x:c r="L129" s="30"/>
      <x:c r="M129" s="30"/>
      <x:c r="N129" s="30" t="str">
        <x:f>IF(I129="","",IFERROR(VLOOKUP(I129,Lookups!$A$2:$B$5,2,FALSE),0))</x:f>
      </x:c>
      <x:c r="O129" s="30" t="str">
        <x:f>IF(OR(L129="",V129&lt;&gt;"Yes"),"",IF(U129="Yes",1,IFS(TODAY()-L129&lt;=365,1,TODAY()-L129&lt;=730,0.8,TODAY()-L129&lt;=1460,0.6,TRUE,0.4)))</x:f>
      </x:c>
      <x:c r="P129" s="30" t="str">
        <x:f>IF(V129&lt;&gt;"Yes","",IFERROR(H129*N129*O129,0))</x:f>
      </x:c>
      <x:c r="Q129" s="30" t="str">
        <x:f>IF(P129="","",G129*P129)</x:f>
      </x:c>
      <x:c r="R129" s="30" t="str">
        <x:f>IF(K129="","",IFERROR(REGEXEXTRACT(K129,"https?://([^/]+)"),""))</x:f>
      </x:c>
      <x:c r="S129" s="30" t="str">
        <x:f>IF(R129&lt;&gt;"",LOWER(R129),IF(J129&lt;&gt;"",LOWER(J129),""))</x:f>
      </x:c>
      <x:c r="T129" s="30"/>
      <x:c r="U129" s="30"/>
      <x:c r="V129" s="30"/>
      <x:c r="W129" s="30" t="str">
        <x:f>IF(B129="","",IF(V129&lt;&gt;"Yes","Excluded",IF(OR(G129="",H129="",I129=""),"Needs review","Included")))</x:f>
      </x:c>
    </x:row>
    <x:row r="130">
      <x:c r="A130" s="30" t="str">
        <x:f>IF(B130="","","EV-"&amp;TEXT(ROW()-1,"0000"))</x:f>
      </x:c>
      <x:c r="B130" s="30"/>
      <x:c r="C130" s="30" t="str">
        <x:f>IF(B130="","",IFERROR(VLOOKUP(B130,Country_Config!$A$2:$G$100,2,FALSE),""))</x:f>
      </x:c>
      <x:c r="D130" s="30" t="str">
        <x:f>IF(B130="","",IFERROR(VLOOKUP(B130,Country_Config!$A$2:$G$100,3,FALSE),""))</x:f>
      </x:c>
      <x:c r="E130" s="30"/>
      <x:c r="F130" s="30"/>
      <x:c r="G130" s="30"/>
      <x:c r="H130" s="30" t="str">
        <x:f>IF(OR(E130="",F130=""),"",IFERROR(VLOOKUP(E130&amp;"|"&amp;F130,Rules_Weights!$A$2:$E$120,4,FALSE),100))</x:f>
      </x:c>
      <x:c r="I130" s="30"/>
      <x:c r="J130" s="30"/>
      <x:c r="K130" s="30"/>
      <x:c r="L130" s="30"/>
      <x:c r="M130" s="30"/>
      <x:c r="N130" s="30" t="str">
        <x:f>IF(I130="","",IFERROR(VLOOKUP(I130,Lookups!$A$2:$B$5,2,FALSE),0))</x:f>
      </x:c>
      <x:c r="O130" s="30" t="str">
        <x:f>IF(OR(L130="",V130&lt;&gt;"Yes"),"",IF(U130="Yes",1,IFS(TODAY()-L130&lt;=365,1,TODAY()-L130&lt;=730,0.8,TODAY()-L130&lt;=1460,0.6,TRUE,0.4)))</x:f>
      </x:c>
      <x:c r="P130" s="30" t="str">
        <x:f>IF(V130&lt;&gt;"Yes","",IFERROR(H130*N130*O130,0))</x:f>
      </x:c>
      <x:c r="Q130" s="30" t="str">
        <x:f>IF(P130="","",G130*P130)</x:f>
      </x:c>
      <x:c r="R130" s="30" t="str">
        <x:f>IF(K130="","",IFERROR(REGEXEXTRACT(K130,"https?://([^/]+)"),""))</x:f>
      </x:c>
      <x:c r="S130" s="30" t="str">
        <x:f>IF(R130&lt;&gt;"",LOWER(R130),IF(J130&lt;&gt;"",LOWER(J130),""))</x:f>
      </x:c>
      <x:c r="T130" s="30"/>
      <x:c r="U130" s="30"/>
      <x:c r="V130" s="30"/>
      <x:c r="W130" s="30" t="str">
        <x:f>IF(B130="","",IF(V130&lt;&gt;"Yes","Excluded",IF(OR(G130="",H130="",I130=""),"Needs review","Included")))</x:f>
      </x:c>
    </x:row>
    <x:row r="131">
      <x:c r="A131" s="30" t="str">
        <x:f>IF(B131="","","EV-"&amp;TEXT(ROW()-1,"0000"))</x:f>
      </x:c>
      <x:c r="B131" s="30"/>
      <x:c r="C131" s="30" t="str">
        <x:f>IF(B131="","",IFERROR(VLOOKUP(B131,Country_Config!$A$2:$G$100,2,FALSE),""))</x:f>
      </x:c>
      <x:c r="D131" s="30" t="str">
        <x:f>IF(B131="","",IFERROR(VLOOKUP(B131,Country_Config!$A$2:$G$100,3,FALSE),""))</x:f>
      </x:c>
      <x:c r="E131" s="30"/>
      <x:c r="F131" s="30"/>
      <x:c r="G131" s="30"/>
      <x:c r="H131" s="30" t="str">
        <x:f>IF(OR(E131="",F131=""),"",IFERROR(VLOOKUP(E131&amp;"|"&amp;F131,Rules_Weights!$A$2:$E$120,4,FALSE),100))</x:f>
      </x:c>
      <x:c r="I131" s="30"/>
      <x:c r="J131" s="30"/>
      <x:c r="K131" s="30"/>
      <x:c r="L131" s="30"/>
      <x:c r="M131" s="30"/>
      <x:c r="N131" s="30" t="str">
        <x:f>IF(I131="","",IFERROR(VLOOKUP(I131,Lookups!$A$2:$B$5,2,FALSE),0))</x:f>
      </x:c>
      <x:c r="O131" s="30" t="str">
        <x:f>IF(OR(L131="",V131&lt;&gt;"Yes"),"",IF(U131="Yes",1,IFS(TODAY()-L131&lt;=365,1,TODAY()-L131&lt;=730,0.8,TODAY()-L131&lt;=1460,0.6,TRUE,0.4)))</x:f>
      </x:c>
      <x:c r="P131" s="30" t="str">
        <x:f>IF(V131&lt;&gt;"Yes","",IFERROR(H131*N131*O131,0))</x:f>
      </x:c>
      <x:c r="Q131" s="30" t="str">
        <x:f>IF(P131="","",G131*P131)</x:f>
      </x:c>
      <x:c r="R131" s="30" t="str">
        <x:f>IF(K131="","",IFERROR(REGEXEXTRACT(K131,"https?://([^/]+)"),""))</x:f>
      </x:c>
      <x:c r="S131" s="30" t="str">
        <x:f>IF(R131&lt;&gt;"",LOWER(R131),IF(J131&lt;&gt;"",LOWER(J131),""))</x:f>
      </x:c>
      <x:c r="T131" s="30"/>
      <x:c r="U131" s="30"/>
      <x:c r="V131" s="30"/>
      <x:c r="W131" s="30" t="str">
        <x:f>IF(B131="","",IF(V131&lt;&gt;"Yes","Excluded",IF(OR(G131="",H131="",I131=""),"Needs review","Included")))</x:f>
      </x:c>
    </x:row>
    <x:row r="132">
      <x:c r="A132" s="30" t="str">
        <x:f>IF(B132="","","EV-"&amp;TEXT(ROW()-1,"0000"))</x:f>
      </x:c>
      <x:c r="B132" s="30"/>
      <x:c r="C132" s="30" t="str">
        <x:f>IF(B132="","",IFERROR(VLOOKUP(B132,Country_Config!$A$2:$G$100,2,FALSE),""))</x:f>
      </x:c>
      <x:c r="D132" s="30" t="str">
        <x:f>IF(B132="","",IFERROR(VLOOKUP(B132,Country_Config!$A$2:$G$100,3,FALSE),""))</x:f>
      </x:c>
      <x:c r="E132" s="30"/>
      <x:c r="F132" s="30"/>
      <x:c r="G132" s="30"/>
      <x:c r="H132" s="30" t="str">
        <x:f>IF(OR(E132="",F132=""),"",IFERROR(VLOOKUP(E132&amp;"|"&amp;F132,Rules_Weights!$A$2:$E$120,4,FALSE),100))</x:f>
      </x:c>
      <x:c r="I132" s="30"/>
      <x:c r="J132" s="30"/>
      <x:c r="K132" s="30"/>
      <x:c r="L132" s="30"/>
      <x:c r="M132" s="30"/>
      <x:c r="N132" s="30" t="str">
        <x:f>IF(I132="","",IFERROR(VLOOKUP(I132,Lookups!$A$2:$B$5,2,FALSE),0))</x:f>
      </x:c>
      <x:c r="O132" s="30" t="str">
        <x:f>IF(OR(L132="",V132&lt;&gt;"Yes"),"",IF(U132="Yes",1,IFS(TODAY()-L132&lt;=365,1,TODAY()-L132&lt;=730,0.8,TODAY()-L132&lt;=1460,0.6,TRUE,0.4)))</x:f>
      </x:c>
      <x:c r="P132" s="30" t="str">
        <x:f>IF(V132&lt;&gt;"Yes","",IFERROR(H132*N132*O132,0))</x:f>
      </x:c>
      <x:c r="Q132" s="30" t="str">
        <x:f>IF(P132="","",G132*P132)</x:f>
      </x:c>
      <x:c r="R132" s="30" t="str">
        <x:f>IF(K132="","",IFERROR(REGEXEXTRACT(K132,"https?://([^/]+)"),""))</x:f>
      </x:c>
      <x:c r="S132" s="30" t="str">
        <x:f>IF(R132&lt;&gt;"",LOWER(R132),IF(J132&lt;&gt;"",LOWER(J132),""))</x:f>
      </x:c>
      <x:c r="T132" s="30"/>
      <x:c r="U132" s="30"/>
      <x:c r="V132" s="30"/>
      <x:c r="W132" s="30" t="str">
        <x:f>IF(B132="","",IF(V132&lt;&gt;"Yes","Excluded",IF(OR(G132="",H132="",I132=""),"Needs review","Included")))</x:f>
      </x:c>
    </x:row>
    <x:row r="133">
      <x:c r="A133" s="30" t="str">
        <x:f>IF(B133="","","EV-"&amp;TEXT(ROW()-1,"0000"))</x:f>
      </x:c>
      <x:c r="B133" s="30"/>
      <x:c r="C133" s="30" t="str">
        <x:f>IF(B133="","",IFERROR(VLOOKUP(B133,Country_Config!$A$2:$G$100,2,FALSE),""))</x:f>
      </x:c>
      <x:c r="D133" s="30" t="str">
        <x:f>IF(B133="","",IFERROR(VLOOKUP(B133,Country_Config!$A$2:$G$100,3,FALSE),""))</x:f>
      </x:c>
      <x:c r="E133" s="30"/>
      <x:c r="F133" s="30"/>
      <x:c r="G133" s="30"/>
      <x:c r="H133" s="30" t="str">
        <x:f>IF(OR(E133="",F133=""),"",IFERROR(VLOOKUP(E133&amp;"|"&amp;F133,Rules_Weights!$A$2:$E$120,4,FALSE),100))</x:f>
      </x:c>
      <x:c r="I133" s="30"/>
      <x:c r="J133" s="30"/>
      <x:c r="K133" s="30"/>
      <x:c r="L133" s="30"/>
      <x:c r="M133" s="30"/>
      <x:c r="N133" s="30" t="str">
        <x:f>IF(I133="","",IFERROR(VLOOKUP(I133,Lookups!$A$2:$B$5,2,FALSE),0))</x:f>
      </x:c>
      <x:c r="O133" s="30" t="str">
        <x:f>IF(OR(L133="",V133&lt;&gt;"Yes"),"",IF(U133="Yes",1,IFS(TODAY()-L133&lt;=365,1,TODAY()-L133&lt;=730,0.8,TODAY()-L133&lt;=1460,0.6,TRUE,0.4)))</x:f>
      </x:c>
      <x:c r="P133" s="30" t="str">
        <x:f>IF(V133&lt;&gt;"Yes","",IFERROR(H133*N133*O133,0))</x:f>
      </x:c>
      <x:c r="Q133" s="30" t="str">
        <x:f>IF(P133="","",G133*P133)</x:f>
      </x:c>
      <x:c r="R133" s="30" t="str">
        <x:f>IF(K133="","",IFERROR(REGEXEXTRACT(K133,"https?://([^/]+)"),""))</x:f>
      </x:c>
      <x:c r="S133" s="30" t="str">
        <x:f>IF(R133&lt;&gt;"",LOWER(R133),IF(J133&lt;&gt;"",LOWER(J133),""))</x:f>
      </x:c>
      <x:c r="T133" s="30"/>
      <x:c r="U133" s="30"/>
      <x:c r="V133" s="30"/>
      <x:c r="W133" s="30" t="str">
        <x:f>IF(B133="","",IF(V133&lt;&gt;"Yes","Excluded",IF(OR(G133="",H133="",I133=""),"Needs review","Included")))</x:f>
      </x:c>
    </x:row>
    <x:row r="134">
      <x:c r="A134" s="30" t="str">
        <x:f>IF(B134="","","EV-"&amp;TEXT(ROW()-1,"0000"))</x:f>
      </x:c>
      <x:c r="B134" s="30"/>
      <x:c r="C134" s="30" t="str">
        <x:f>IF(B134="","",IFERROR(VLOOKUP(B134,Country_Config!$A$2:$G$100,2,FALSE),""))</x:f>
      </x:c>
      <x:c r="D134" s="30" t="str">
        <x:f>IF(B134="","",IFERROR(VLOOKUP(B134,Country_Config!$A$2:$G$100,3,FALSE),""))</x:f>
      </x:c>
      <x:c r="E134" s="30"/>
      <x:c r="F134" s="30"/>
      <x:c r="G134" s="30"/>
      <x:c r="H134" s="30" t="str">
        <x:f>IF(OR(E134="",F134=""),"",IFERROR(VLOOKUP(E134&amp;"|"&amp;F134,Rules_Weights!$A$2:$E$120,4,FALSE),100))</x:f>
      </x:c>
      <x:c r="I134" s="30"/>
      <x:c r="J134" s="30"/>
      <x:c r="K134" s="30"/>
      <x:c r="L134" s="30"/>
      <x:c r="M134" s="30"/>
      <x:c r="N134" s="30" t="str">
        <x:f>IF(I134="","",IFERROR(VLOOKUP(I134,Lookups!$A$2:$B$5,2,FALSE),0))</x:f>
      </x:c>
      <x:c r="O134" s="30" t="str">
        <x:f>IF(OR(L134="",V134&lt;&gt;"Yes"),"",IF(U134="Yes",1,IFS(TODAY()-L134&lt;=365,1,TODAY()-L134&lt;=730,0.8,TODAY()-L134&lt;=1460,0.6,TRUE,0.4)))</x:f>
      </x:c>
      <x:c r="P134" s="30" t="str">
        <x:f>IF(V134&lt;&gt;"Yes","",IFERROR(H134*N134*O134,0))</x:f>
      </x:c>
      <x:c r="Q134" s="30" t="str">
        <x:f>IF(P134="","",G134*P134)</x:f>
      </x:c>
      <x:c r="R134" s="30" t="str">
        <x:f>IF(K134="","",IFERROR(REGEXEXTRACT(K134,"https?://([^/]+)"),""))</x:f>
      </x:c>
      <x:c r="S134" s="30" t="str">
        <x:f>IF(R134&lt;&gt;"",LOWER(R134),IF(J134&lt;&gt;"",LOWER(J134),""))</x:f>
      </x:c>
      <x:c r="T134" s="30"/>
      <x:c r="U134" s="30"/>
      <x:c r="V134" s="30"/>
      <x:c r="W134" s="30" t="str">
        <x:f>IF(B134="","",IF(V134&lt;&gt;"Yes","Excluded",IF(OR(G134="",H134="",I134=""),"Needs review","Included")))</x:f>
      </x:c>
    </x:row>
    <x:row r="135">
      <x:c r="A135" s="30" t="str">
        <x:f>IF(B135="","","EV-"&amp;TEXT(ROW()-1,"0000"))</x:f>
      </x:c>
      <x:c r="B135" s="30"/>
      <x:c r="C135" s="30" t="str">
        <x:f>IF(B135="","",IFERROR(VLOOKUP(B135,Country_Config!$A$2:$G$100,2,FALSE),""))</x:f>
      </x:c>
      <x:c r="D135" s="30" t="str">
        <x:f>IF(B135="","",IFERROR(VLOOKUP(B135,Country_Config!$A$2:$G$100,3,FALSE),""))</x:f>
      </x:c>
      <x:c r="E135" s="30"/>
      <x:c r="F135" s="30"/>
      <x:c r="G135" s="30"/>
      <x:c r="H135" s="30" t="str">
        <x:f>IF(OR(E135="",F135=""),"",IFERROR(VLOOKUP(E135&amp;"|"&amp;F135,Rules_Weights!$A$2:$E$120,4,FALSE),100))</x:f>
      </x:c>
      <x:c r="I135" s="30"/>
      <x:c r="J135" s="30"/>
      <x:c r="K135" s="30"/>
      <x:c r="L135" s="30"/>
      <x:c r="M135" s="30"/>
      <x:c r="N135" s="30" t="str">
        <x:f>IF(I135="","",IFERROR(VLOOKUP(I135,Lookups!$A$2:$B$5,2,FALSE),0))</x:f>
      </x:c>
      <x:c r="O135" s="30" t="str">
        <x:f>IF(OR(L135="",V135&lt;&gt;"Yes"),"",IF(U135="Yes",1,IFS(TODAY()-L135&lt;=365,1,TODAY()-L135&lt;=730,0.8,TODAY()-L135&lt;=1460,0.6,TRUE,0.4)))</x:f>
      </x:c>
      <x:c r="P135" s="30" t="str">
        <x:f>IF(V135&lt;&gt;"Yes","",IFERROR(H135*N135*O135,0))</x:f>
      </x:c>
      <x:c r="Q135" s="30" t="str">
        <x:f>IF(P135="","",G135*P135)</x:f>
      </x:c>
      <x:c r="R135" s="30" t="str">
        <x:f>IF(K135="","",IFERROR(REGEXEXTRACT(K135,"https?://([^/]+)"),""))</x:f>
      </x:c>
      <x:c r="S135" s="30" t="str">
        <x:f>IF(R135&lt;&gt;"",LOWER(R135),IF(J135&lt;&gt;"",LOWER(J135),""))</x:f>
      </x:c>
      <x:c r="T135" s="30"/>
      <x:c r="U135" s="30"/>
      <x:c r="V135" s="30"/>
      <x:c r="W135" s="30" t="str">
        <x:f>IF(B135="","",IF(V135&lt;&gt;"Yes","Excluded",IF(OR(G135="",H135="",I135=""),"Needs review","Included")))</x:f>
      </x:c>
    </x:row>
    <x:row r="136">
      <x:c r="A136" s="30" t="str">
        <x:f>IF(B136="","","EV-"&amp;TEXT(ROW()-1,"0000"))</x:f>
      </x:c>
      <x:c r="B136" s="30"/>
      <x:c r="C136" s="30" t="str">
        <x:f>IF(B136="","",IFERROR(VLOOKUP(B136,Country_Config!$A$2:$G$100,2,FALSE),""))</x:f>
      </x:c>
      <x:c r="D136" s="30" t="str">
        <x:f>IF(B136="","",IFERROR(VLOOKUP(B136,Country_Config!$A$2:$G$100,3,FALSE),""))</x:f>
      </x:c>
      <x:c r="E136" s="30"/>
      <x:c r="F136" s="30"/>
      <x:c r="G136" s="30"/>
      <x:c r="H136" s="30" t="str">
        <x:f>IF(OR(E136="",F136=""),"",IFERROR(VLOOKUP(E136&amp;"|"&amp;F136,Rules_Weights!$A$2:$E$120,4,FALSE),100))</x:f>
      </x:c>
      <x:c r="I136" s="30"/>
      <x:c r="J136" s="30"/>
      <x:c r="K136" s="30"/>
      <x:c r="L136" s="30"/>
      <x:c r="M136" s="30"/>
      <x:c r="N136" s="30" t="str">
        <x:f>IF(I136="","",IFERROR(VLOOKUP(I136,Lookups!$A$2:$B$5,2,FALSE),0))</x:f>
      </x:c>
      <x:c r="O136" s="30" t="str">
        <x:f>IF(OR(L136="",V136&lt;&gt;"Yes"),"",IF(U136="Yes",1,IFS(TODAY()-L136&lt;=365,1,TODAY()-L136&lt;=730,0.8,TODAY()-L136&lt;=1460,0.6,TRUE,0.4)))</x:f>
      </x:c>
      <x:c r="P136" s="30" t="str">
        <x:f>IF(V136&lt;&gt;"Yes","",IFERROR(H136*N136*O136,0))</x:f>
      </x:c>
      <x:c r="Q136" s="30" t="str">
        <x:f>IF(P136="","",G136*P136)</x:f>
      </x:c>
      <x:c r="R136" s="30" t="str">
        <x:f>IF(K136="","",IFERROR(REGEXEXTRACT(K136,"https?://([^/]+)"),""))</x:f>
      </x:c>
      <x:c r="S136" s="30" t="str">
        <x:f>IF(R136&lt;&gt;"",LOWER(R136),IF(J136&lt;&gt;"",LOWER(J136),""))</x:f>
      </x:c>
      <x:c r="T136" s="30"/>
      <x:c r="U136" s="30"/>
      <x:c r="V136" s="30"/>
      <x:c r="W136" s="30" t="str">
        <x:f>IF(B136="","",IF(V136&lt;&gt;"Yes","Excluded",IF(OR(G136="",H136="",I136=""),"Needs review","Included")))</x:f>
      </x:c>
    </x:row>
    <x:row r="137">
      <x:c r="A137" s="30" t="str">
        <x:f>IF(B137="","","EV-"&amp;TEXT(ROW()-1,"0000"))</x:f>
      </x:c>
      <x:c r="B137" s="30"/>
      <x:c r="C137" s="30" t="str">
        <x:f>IF(B137="","",IFERROR(VLOOKUP(B137,Country_Config!$A$2:$G$100,2,FALSE),""))</x:f>
      </x:c>
      <x:c r="D137" s="30" t="str">
        <x:f>IF(B137="","",IFERROR(VLOOKUP(B137,Country_Config!$A$2:$G$100,3,FALSE),""))</x:f>
      </x:c>
      <x:c r="E137" s="30"/>
      <x:c r="F137" s="30"/>
      <x:c r="G137" s="30"/>
      <x:c r="H137" s="30" t="str">
        <x:f>IF(OR(E137="",F137=""),"",IFERROR(VLOOKUP(E137&amp;"|"&amp;F137,Rules_Weights!$A$2:$E$120,4,FALSE),100))</x:f>
      </x:c>
      <x:c r="I137" s="30"/>
      <x:c r="J137" s="30"/>
      <x:c r="K137" s="30"/>
      <x:c r="L137" s="30"/>
      <x:c r="M137" s="30"/>
      <x:c r="N137" s="30" t="str">
        <x:f>IF(I137="","",IFERROR(VLOOKUP(I137,Lookups!$A$2:$B$5,2,FALSE),0))</x:f>
      </x:c>
      <x:c r="O137" s="30" t="str">
        <x:f>IF(OR(L137="",V137&lt;&gt;"Yes"),"",IF(U137="Yes",1,IFS(TODAY()-L137&lt;=365,1,TODAY()-L137&lt;=730,0.8,TODAY()-L137&lt;=1460,0.6,TRUE,0.4)))</x:f>
      </x:c>
      <x:c r="P137" s="30" t="str">
        <x:f>IF(V137&lt;&gt;"Yes","",IFERROR(H137*N137*O137,0))</x:f>
      </x:c>
      <x:c r="Q137" s="30" t="str">
        <x:f>IF(P137="","",G137*P137)</x:f>
      </x:c>
      <x:c r="R137" s="30" t="str">
        <x:f>IF(K137="","",IFERROR(REGEXEXTRACT(K137,"https?://([^/]+)"),""))</x:f>
      </x:c>
      <x:c r="S137" s="30" t="str">
        <x:f>IF(R137&lt;&gt;"",LOWER(R137),IF(J137&lt;&gt;"",LOWER(J137),""))</x:f>
      </x:c>
      <x:c r="T137" s="30"/>
      <x:c r="U137" s="30"/>
      <x:c r="V137" s="30"/>
      <x:c r="W137" s="30" t="str">
        <x:f>IF(B137="","",IF(V137&lt;&gt;"Yes","Excluded",IF(OR(G137="",H137="",I137=""),"Needs review","Included")))</x:f>
      </x:c>
    </x:row>
    <x:row r="138">
      <x:c r="A138" s="30" t="str">
        <x:f>IF(B138="","","EV-"&amp;TEXT(ROW()-1,"0000"))</x:f>
      </x:c>
      <x:c r="B138" s="30"/>
      <x:c r="C138" s="30" t="str">
        <x:f>IF(B138="","",IFERROR(VLOOKUP(B138,Country_Config!$A$2:$G$100,2,FALSE),""))</x:f>
      </x:c>
      <x:c r="D138" s="30" t="str">
        <x:f>IF(B138="","",IFERROR(VLOOKUP(B138,Country_Config!$A$2:$G$100,3,FALSE),""))</x:f>
      </x:c>
      <x:c r="E138" s="30"/>
      <x:c r="F138" s="30"/>
      <x:c r="G138" s="30"/>
      <x:c r="H138" s="30" t="str">
        <x:f>IF(OR(E138="",F138=""),"",IFERROR(VLOOKUP(E138&amp;"|"&amp;F138,Rules_Weights!$A$2:$E$120,4,FALSE),100))</x:f>
      </x:c>
      <x:c r="I138" s="30"/>
      <x:c r="J138" s="30"/>
      <x:c r="K138" s="30"/>
      <x:c r="L138" s="30"/>
      <x:c r="M138" s="30"/>
      <x:c r="N138" s="30" t="str">
        <x:f>IF(I138="","",IFERROR(VLOOKUP(I138,Lookups!$A$2:$B$5,2,FALSE),0))</x:f>
      </x:c>
      <x:c r="O138" s="30" t="str">
        <x:f>IF(OR(L138="",V138&lt;&gt;"Yes"),"",IF(U138="Yes",1,IFS(TODAY()-L138&lt;=365,1,TODAY()-L138&lt;=730,0.8,TODAY()-L138&lt;=1460,0.6,TRUE,0.4)))</x:f>
      </x:c>
      <x:c r="P138" s="30" t="str">
        <x:f>IF(V138&lt;&gt;"Yes","",IFERROR(H138*N138*O138,0))</x:f>
      </x:c>
      <x:c r="Q138" s="30" t="str">
        <x:f>IF(P138="","",G138*P138)</x:f>
      </x:c>
      <x:c r="R138" s="30" t="str">
        <x:f>IF(K138="","",IFERROR(REGEXEXTRACT(K138,"https?://([^/]+)"),""))</x:f>
      </x:c>
      <x:c r="S138" s="30" t="str">
        <x:f>IF(R138&lt;&gt;"",LOWER(R138),IF(J138&lt;&gt;"",LOWER(J138),""))</x:f>
      </x:c>
      <x:c r="T138" s="30"/>
      <x:c r="U138" s="30"/>
      <x:c r="V138" s="30"/>
      <x:c r="W138" s="30" t="str">
        <x:f>IF(B138="","",IF(V138&lt;&gt;"Yes","Excluded",IF(OR(G138="",H138="",I138=""),"Needs review","Included")))</x:f>
      </x:c>
    </x:row>
    <x:row r="139">
      <x:c r="A139" s="30" t="str">
        <x:f>IF(B139="","","EV-"&amp;TEXT(ROW()-1,"0000"))</x:f>
      </x:c>
      <x:c r="B139" s="30"/>
      <x:c r="C139" s="30" t="str">
        <x:f>IF(B139="","",IFERROR(VLOOKUP(B139,Country_Config!$A$2:$G$100,2,FALSE),""))</x:f>
      </x:c>
      <x:c r="D139" s="30" t="str">
        <x:f>IF(B139="","",IFERROR(VLOOKUP(B139,Country_Config!$A$2:$G$100,3,FALSE),""))</x:f>
      </x:c>
      <x:c r="E139" s="30"/>
      <x:c r="F139" s="30"/>
      <x:c r="G139" s="30"/>
      <x:c r="H139" s="30" t="str">
        <x:f>IF(OR(E139="",F139=""),"",IFERROR(VLOOKUP(E139&amp;"|"&amp;F139,Rules_Weights!$A$2:$E$120,4,FALSE),100))</x:f>
      </x:c>
      <x:c r="I139" s="30"/>
      <x:c r="J139" s="30"/>
      <x:c r="K139" s="30"/>
      <x:c r="L139" s="30"/>
      <x:c r="M139" s="30"/>
      <x:c r="N139" s="30" t="str">
        <x:f>IF(I139="","",IFERROR(VLOOKUP(I139,Lookups!$A$2:$B$5,2,FALSE),0))</x:f>
      </x:c>
      <x:c r="O139" s="30" t="str">
        <x:f>IF(OR(L139="",V139&lt;&gt;"Yes"),"",IF(U139="Yes",1,IFS(TODAY()-L139&lt;=365,1,TODAY()-L139&lt;=730,0.8,TODAY()-L139&lt;=1460,0.6,TRUE,0.4)))</x:f>
      </x:c>
      <x:c r="P139" s="30" t="str">
        <x:f>IF(V139&lt;&gt;"Yes","",IFERROR(H139*N139*O139,0))</x:f>
      </x:c>
      <x:c r="Q139" s="30" t="str">
        <x:f>IF(P139="","",G139*P139)</x:f>
      </x:c>
      <x:c r="R139" s="30" t="str">
        <x:f>IF(K139="","",IFERROR(REGEXEXTRACT(K139,"https?://([^/]+)"),""))</x:f>
      </x:c>
      <x:c r="S139" s="30" t="str">
        <x:f>IF(R139&lt;&gt;"",LOWER(R139),IF(J139&lt;&gt;"",LOWER(J139),""))</x:f>
      </x:c>
      <x:c r="T139" s="30"/>
      <x:c r="U139" s="30"/>
      <x:c r="V139" s="30"/>
      <x:c r="W139" s="30" t="str">
        <x:f>IF(B139="","",IF(V139&lt;&gt;"Yes","Excluded",IF(OR(G139="",H139="",I139=""),"Needs review","Included")))</x:f>
      </x:c>
    </x:row>
    <x:row r="140">
      <x:c r="A140" s="30" t="str">
        <x:f>IF(B140="","","EV-"&amp;TEXT(ROW()-1,"0000"))</x:f>
      </x:c>
      <x:c r="B140" s="30"/>
      <x:c r="C140" s="30" t="str">
        <x:f>IF(B140="","",IFERROR(VLOOKUP(B140,Country_Config!$A$2:$G$100,2,FALSE),""))</x:f>
      </x:c>
      <x:c r="D140" s="30" t="str">
        <x:f>IF(B140="","",IFERROR(VLOOKUP(B140,Country_Config!$A$2:$G$100,3,FALSE),""))</x:f>
      </x:c>
      <x:c r="E140" s="30"/>
      <x:c r="F140" s="30"/>
      <x:c r="G140" s="30"/>
      <x:c r="H140" s="30" t="str">
        <x:f>IF(OR(E140="",F140=""),"",IFERROR(VLOOKUP(E140&amp;"|"&amp;F140,Rules_Weights!$A$2:$E$120,4,FALSE),100))</x:f>
      </x:c>
      <x:c r="I140" s="30"/>
      <x:c r="J140" s="30"/>
      <x:c r="K140" s="30"/>
      <x:c r="L140" s="30"/>
      <x:c r="M140" s="30"/>
      <x:c r="N140" s="30" t="str">
        <x:f>IF(I140="","",IFERROR(VLOOKUP(I140,Lookups!$A$2:$B$5,2,FALSE),0))</x:f>
      </x:c>
      <x:c r="O140" s="30" t="str">
        <x:f>IF(OR(L140="",V140&lt;&gt;"Yes"),"",IF(U140="Yes",1,IFS(TODAY()-L140&lt;=365,1,TODAY()-L140&lt;=730,0.8,TODAY()-L140&lt;=1460,0.6,TRUE,0.4)))</x:f>
      </x:c>
      <x:c r="P140" s="30" t="str">
        <x:f>IF(V140&lt;&gt;"Yes","",IFERROR(H140*N140*O140,0))</x:f>
      </x:c>
      <x:c r="Q140" s="30" t="str">
        <x:f>IF(P140="","",G140*P140)</x:f>
      </x:c>
      <x:c r="R140" s="30" t="str">
        <x:f>IF(K140="","",IFERROR(REGEXEXTRACT(K140,"https?://([^/]+)"),""))</x:f>
      </x:c>
      <x:c r="S140" s="30" t="str">
        <x:f>IF(R140&lt;&gt;"",LOWER(R140),IF(J140&lt;&gt;"",LOWER(J140),""))</x:f>
      </x:c>
      <x:c r="T140" s="30"/>
      <x:c r="U140" s="30"/>
      <x:c r="V140" s="30"/>
      <x:c r="W140" s="30" t="str">
        <x:f>IF(B140="","",IF(V140&lt;&gt;"Yes","Excluded",IF(OR(G140="",H140="",I140=""),"Needs review","Included")))</x:f>
      </x:c>
    </x:row>
    <x:row r="141">
      <x:c r="A141" s="30" t="str">
        <x:f>IF(B141="","","EV-"&amp;TEXT(ROW()-1,"0000"))</x:f>
      </x:c>
      <x:c r="B141" s="30"/>
      <x:c r="C141" s="30" t="str">
        <x:f>IF(B141="","",IFERROR(VLOOKUP(B141,Country_Config!$A$2:$G$100,2,FALSE),""))</x:f>
      </x:c>
      <x:c r="D141" s="30" t="str">
        <x:f>IF(B141="","",IFERROR(VLOOKUP(B141,Country_Config!$A$2:$G$100,3,FALSE),""))</x:f>
      </x:c>
      <x:c r="E141" s="30"/>
      <x:c r="F141" s="30"/>
      <x:c r="G141" s="30"/>
      <x:c r="H141" s="30" t="str">
        <x:f>IF(OR(E141="",F141=""),"",IFERROR(VLOOKUP(E141&amp;"|"&amp;F141,Rules_Weights!$A$2:$E$120,4,FALSE),100))</x:f>
      </x:c>
      <x:c r="I141" s="30"/>
      <x:c r="J141" s="30"/>
      <x:c r="K141" s="30"/>
      <x:c r="L141" s="30"/>
      <x:c r="M141" s="30"/>
      <x:c r="N141" s="30" t="str">
        <x:f>IF(I141="","",IFERROR(VLOOKUP(I141,Lookups!$A$2:$B$5,2,FALSE),0))</x:f>
      </x:c>
      <x:c r="O141" s="30" t="str">
        <x:f>IF(OR(L141="",V141&lt;&gt;"Yes"),"",IF(U141="Yes",1,IFS(TODAY()-L141&lt;=365,1,TODAY()-L141&lt;=730,0.8,TODAY()-L141&lt;=1460,0.6,TRUE,0.4)))</x:f>
      </x:c>
      <x:c r="P141" s="30" t="str">
        <x:f>IF(V141&lt;&gt;"Yes","",IFERROR(H141*N141*O141,0))</x:f>
      </x:c>
      <x:c r="Q141" s="30" t="str">
        <x:f>IF(P141="","",G141*P141)</x:f>
      </x:c>
      <x:c r="R141" s="30" t="str">
        <x:f>IF(K141="","",IFERROR(REGEXEXTRACT(K141,"https?://([^/]+)"),""))</x:f>
      </x:c>
      <x:c r="S141" s="30" t="str">
        <x:f>IF(R141&lt;&gt;"",LOWER(R141),IF(J141&lt;&gt;"",LOWER(J141),""))</x:f>
      </x:c>
      <x:c r="T141" s="30"/>
      <x:c r="U141" s="30"/>
      <x:c r="V141" s="30"/>
      <x:c r="W141" s="30" t="str">
        <x:f>IF(B141="","",IF(V141&lt;&gt;"Yes","Excluded",IF(OR(G141="",H141="",I141=""),"Needs review","Included")))</x:f>
      </x:c>
    </x:row>
    <x:row r="142">
      <x:c r="A142" s="30" t="str">
        <x:f>IF(B142="","","EV-"&amp;TEXT(ROW()-1,"0000"))</x:f>
      </x:c>
      <x:c r="B142" s="30"/>
      <x:c r="C142" s="30" t="str">
        <x:f>IF(B142="","",IFERROR(VLOOKUP(B142,Country_Config!$A$2:$G$100,2,FALSE),""))</x:f>
      </x:c>
      <x:c r="D142" s="30" t="str">
        <x:f>IF(B142="","",IFERROR(VLOOKUP(B142,Country_Config!$A$2:$G$100,3,FALSE),""))</x:f>
      </x:c>
      <x:c r="E142" s="30"/>
      <x:c r="F142" s="30"/>
      <x:c r="G142" s="30"/>
      <x:c r="H142" s="30" t="str">
        <x:f>IF(OR(E142="",F142=""),"",IFERROR(VLOOKUP(E142&amp;"|"&amp;F142,Rules_Weights!$A$2:$E$120,4,FALSE),100))</x:f>
      </x:c>
      <x:c r="I142" s="30"/>
      <x:c r="J142" s="30"/>
      <x:c r="K142" s="30"/>
      <x:c r="L142" s="30"/>
      <x:c r="M142" s="30"/>
      <x:c r="N142" s="30" t="str">
        <x:f>IF(I142="","",IFERROR(VLOOKUP(I142,Lookups!$A$2:$B$5,2,FALSE),0))</x:f>
      </x:c>
      <x:c r="O142" s="30" t="str">
        <x:f>IF(OR(L142="",V142&lt;&gt;"Yes"),"",IF(U142="Yes",1,IFS(TODAY()-L142&lt;=365,1,TODAY()-L142&lt;=730,0.8,TODAY()-L142&lt;=1460,0.6,TRUE,0.4)))</x:f>
      </x:c>
      <x:c r="P142" s="30" t="str">
        <x:f>IF(V142&lt;&gt;"Yes","",IFERROR(H142*N142*O142,0))</x:f>
      </x:c>
      <x:c r="Q142" s="30" t="str">
        <x:f>IF(P142="","",G142*P142)</x:f>
      </x:c>
      <x:c r="R142" s="30" t="str">
        <x:f>IF(K142="","",IFERROR(REGEXEXTRACT(K142,"https?://([^/]+)"),""))</x:f>
      </x:c>
      <x:c r="S142" s="30" t="str">
        <x:f>IF(R142&lt;&gt;"",LOWER(R142),IF(J142&lt;&gt;"",LOWER(J142),""))</x:f>
      </x:c>
      <x:c r="T142" s="30"/>
      <x:c r="U142" s="30"/>
      <x:c r="V142" s="30"/>
      <x:c r="W142" s="30" t="str">
        <x:f>IF(B142="","",IF(V142&lt;&gt;"Yes","Excluded",IF(OR(G142="",H142="",I142=""),"Needs review","Included")))</x:f>
      </x:c>
    </x:row>
    <x:row r="143">
      <x:c r="A143" s="30" t="str">
        <x:f>IF(B143="","","EV-"&amp;TEXT(ROW()-1,"0000"))</x:f>
      </x:c>
      <x:c r="B143" s="30"/>
      <x:c r="C143" s="30" t="str">
        <x:f>IF(B143="","",IFERROR(VLOOKUP(B143,Country_Config!$A$2:$G$100,2,FALSE),""))</x:f>
      </x:c>
      <x:c r="D143" s="30" t="str">
        <x:f>IF(B143="","",IFERROR(VLOOKUP(B143,Country_Config!$A$2:$G$100,3,FALSE),""))</x:f>
      </x:c>
      <x:c r="E143" s="30"/>
      <x:c r="F143" s="30"/>
      <x:c r="G143" s="30"/>
      <x:c r="H143" s="30" t="str">
        <x:f>IF(OR(E143="",F143=""),"",IFERROR(VLOOKUP(E143&amp;"|"&amp;F143,Rules_Weights!$A$2:$E$120,4,FALSE),100))</x:f>
      </x:c>
      <x:c r="I143" s="30"/>
      <x:c r="J143" s="30"/>
      <x:c r="K143" s="30"/>
      <x:c r="L143" s="30"/>
      <x:c r="M143" s="30"/>
      <x:c r="N143" s="30" t="str">
        <x:f>IF(I143="","",IFERROR(VLOOKUP(I143,Lookups!$A$2:$B$5,2,FALSE),0))</x:f>
      </x:c>
      <x:c r="O143" s="30" t="str">
        <x:f>IF(OR(L143="",V143&lt;&gt;"Yes"),"",IF(U143="Yes",1,IFS(TODAY()-L143&lt;=365,1,TODAY()-L143&lt;=730,0.8,TODAY()-L143&lt;=1460,0.6,TRUE,0.4)))</x:f>
      </x:c>
      <x:c r="P143" s="30" t="str">
        <x:f>IF(V143&lt;&gt;"Yes","",IFERROR(H143*N143*O143,0))</x:f>
      </x:c>
      <x:c r="Q143" s="30" t="str">
        <x:f>IF(P143="","",G143*P143)</x:f>
      </x:c>
      <x:c r="R143" s="30" t="str">
        <x:f>IF(K143="","",IFERROR(REGEXEXTRACT(K143,"https?://([^/]+)"),""))</x:f>
      </x:c>
      <x:c r="S143" s="30" t="str">
        <x:f>IF(R143&lt;&gt;"",LOWER(R143),IF(J143&lt;&gt;"",LOWER(J143),""))</x:f>
      </x:c>
      <x:c r="T143" s="30"/>
      <x:c r="U143" s="30"/>
      <x:c r="V143" s="30"/>
      <x:c r="W143" s="30" t="str">
        <x:f>IF(B143="","",IF(V143&lt;&gt;"Yes","Excluded",IF(OR(G143="",H143="",I143=""),"Needs review","Included")))</x:f>
      </x:c>
    </x:row>
    <x:row r="144">
      <x:c r="A144" s="30" t="str">
        <x:f>IF(B144="","","EV-"&amp;TEXT(ROW()-1,"0000"))</x:f>
      </x:c>
      <x:c r="B144" s="30"/>
      <x:c r="C144" s="30" t="str">
        <x:f>IF(B144="","",IFERROR(VLOOKUP(B144,Country_Config!$A$2:$G$100,2,FALSE),""))</x:f>
      </x:c>
      <x:c r="D144" s="30" t="str">
        <x:f>IF(B144="","",IFERROR(VLOOKUP(B144,Country_Config!$A$2:$G$100,3,FALSE),""))</x:f>
      </x:c>
      <x:c r="E144" s="30"/>
      <x:c r="F144" s="30"/>
      <x:c r="G144" s="30"/>
      <x:c r="H144" s="30" t="str">
        <x:f>IF(OR(E144="",F144=""),"",IFERROR(VLOOKUP(E144&amp;"|"&amp;F144,Rules_Weights!$A$2:$E$120,4,FALSE),100))</x:f>
      </x:c>
      <x:c r="I144" s="30"/>
      <x:c r="J144" s="30"/>
      <x:c r="K144" s="30"/>
      <x:c r="L144" s="30"/>
      <x:c r="M144" s="30"/>
      <x:c r="N144" s="30" t="str">
        <x:f>IF(I144="","",IFERROR(VLOOKUP(I144,Lookups!$A$2:$B$5,2,FALSE),0))</x:f>
      </x:c>
      <x:c r="O144" s="30" t="str">
        <x:f>IF(OR(L144="",V144&lt;&gt;"Yes"),"",IF(U144="Yes",1,IFS(TODAY()-L144&lt;=365,1,TODAY()-L144&lt;=730,0.8,TODAY()-L144&lt;=1460,0.6,TRUE,0.4)))</x:f>
      </x:c>
      <x:c r="P144" s="30" t="str">
        <x:f>IF(V144&lt;&gt;"Yes","",IFERROR(H144*N144*O144,0))</x:f>
      </x:c>
      <x:c r="Q144" s="30" t="str">
        <x:f>IF(P144="","",G144*P144)</x:f>
      </x:c>
      <x:c r="R144" s="30" t="str">
        <x:f>IF(K144="","",IFERROR(REGEXEXTRACT(K144,"https?://([^/]+)"),""))</x:f>
      </x:c>
      <x:c r="S144" s="30" t="str">
        <x:f>IF(R144&lt;&gt;"",LOWER(R144),IF(J144&lt;&gt;"",LOWER(J144),""))</x:f>
      </x:c>
      <x:c r="T144" s="30"/>
      <x:c r="U144" s="30"/>
      <x:c r="V144" s="30"/>
      <x:c r="W144" s="30" t="str">
        <x:f>IF(B144="","",IF(V144&lt;&gt;"Yes","Excluded",IF(OR(G144="",H144="",I144=""),"Needs review","Included")))</x:f>
      </x:c>
    </x:row>
    <x:row r="145">
      <x:c r="A145" s="30" t="str">
        <x:f>IF(B145="","","EV-"&amp;TEXT(ROW()-1,"0000"))</x:f>
      </x:c>
      <x:c r="B145" s="30"/>
      <x:c r="C145" s="30" t="str">
        <x:f>IF(B145="","",IFERROR(VLOOKUP(B145,Country_Config!$A$2:$G$100,2,FALSE),""))</x:f>
      </x:c>
      <x:c r="D145" s="30" t="str">
        <x:f>IF(B145="","",IFERROR(VLOOKUP(B145,Country_Config!$A$2:$G$100,3,FALSE),""))</x:f>
      </x:c>
      <x:c r="E145" s="30"/>
      <x:c r="F145" s="30"/>
      <x:c r="G145" s="30"/>
      <x:c r="H145" s="30" t="str">
        <x:f>IF(OR(E145="",F145=""),"",IFERROR(VLOOKUP(E145&amp;"|"&amp;F145,Rules_Weights!$A$2:$E$120,4,FALSE),100))</x:f>
      </x:c>
      <x:c r="I145" s="30"/>
      <x:c r="J145" s="30"/>
      <x:c r="K145" s="30"/>
      <x:c r="L145" s="30"/>
      <x:c r="M145" s="30"/>
      <x:c r="N145" s="30" t="str">
        <x:f>IF(I145="","",IFERROR(VLOOKUP(I145,Lookups!$A$2:$B$5,2,FALSE),0))</x:f>
      </x:c>
      <x:c r="O145" s="30" t="str">
        <x:f>IF(OR(L145="",V145&lt;&gt;"Yes"),"",IF(U145="Yes",1,IFS(TODAY()-L145&lt;=365,1,TODAY()-L145&lt;=730,0.8,TODAY()-L145&lt;=1460,0.6,TRUE,0.4)))</x:f>
      </x:c>
      <x:c r="P145" s="30" t="str">
        <x:f>IF(V145&lt;&gt;"Yes","",IFERROR(H145*N145*O145,0))</x:f>
      </x:c>
      <x:c r="Q145" s="30" t="str">
        <x:f>IF(P145="","",G145*P145)</x:f>
      </x:c>
      <x:c r="R145" s="30" t="str">
        <x:f>IF(K145="","",IFERROR(REGEXEXTRACT(K145,"https?://([^/]+)"),""))</x:f>
      </x:c>
      <x:c r="S145" s="30" t="str">
        <x:f>IF(R145&lt;&gt;"",LOWER(R145),IF(J145&lt;&gt;"",LOWER(J145),""))</x:f>
      </x:c>
      <x:c r="T145" s="30"/>
      <x:c r="U145" s="30"/>
      <x:c r="V145" s="30"/>
      <x:c r="W145" s="30" t="str">
        <x:f>IF(B145="","",IF(V145&lt;&gt;"Yes","Excluded",IF(OR(G145="",H145="",I145=""),"Needs review","Included")))</x:f>
      </x:c>
    </x:row>
    <x:row r="146">
      <x:c r="A146" s="30" t="str">
        <x:f>IF(B146="","","EV-"&amp;TEXT(ROW()-1,"0000"))</x:f>
      </x:c>
      <x:c r="B146" s="30"/>
      <x:c r="C146" s="30" t="str">
        <x:f>IF(B146="","",IFERROR(VLOOKUP(B146,Country_Config!$A$2:$G$100,2,FALSE),""))</x:f>
      </x:c>
      <x:c r="D146" s="30" t="str">
        <x:f>IF(B146="","",IFERROR(VLOOKUP(B146,Country_Config!$A$2:$G$100,3,FALSE),""))</x:f>
      </x:c>
      <x:c r="E146" s="30"/>
      <x:c r="F146" s="30"/>
      <x:c r="G146" s="30"/>
      <x:c r="H146" s="30" t="str">
        <x:f>IF(OR(E146="",F146=""),"",IFERROR(VLOOKUP(E146&amp;"|"&amp;F146,Rules_Weights!$A$2:$E$120,4,FALSE),100))</x:f>
      </x:c>
      <x:c r="I146" s="30"/>
      <x:c r="J146" s="30"/>
      <x:c r="K146" s="30"/>
      <x:c r="L146" s="30"/>
      <x:c r="M146" s="30"/>
      <x:c r="N146" s="30" t="str">
        <x:f>IF(I146="","",IFERROR(VLOOKUP(I146,Lookups!$A$2:$B$5,2,FALSE),0))</x:f>
      </x:c>
      <x:c r="O146" s="30" t="str">
        <x:f>IF(OR(L146="",V146&lt;&gt;"Yes"),"",IF(U146="Yes",1,IFS(TODAY()-L146&lt;=365,1,TODAY()-L146&lt;=730,0.8,TODAY()-L146&lt;=1460,0.6,TRUE,0.4)))</x:f>
      </x:c>
      <x:c r="P146" s="30" t="str">
        <x:f>IF(V146&lt;&gt;"Yes","",IFERROR(H146*N146*O146,0))</x:f>
      </x:c>
      <x:c r="Q146" s="30" t="str">
        <x:f>IF(P146="","",G146*P146)</x:f>
      </x:c>
      <x:c r="R146" s="30" t="str">
        <x:f>IF(K146="","",IFERROR(REGEXEXTRACT(K146,"https?://([^/]+)"),""))</x:f>
      </x:c>
      <x:c r="S146" s="30" t="str">
        <x:f>IF(R146&lt;&gt;"",LOWER(R146),IF(J146&lt;&gt;"",LOWER(J146),""))</x:f>
      </x:c>
      <x:c r="T146" s="30"/>
      <x:c r="U146" s="30"/>
      <x:c r="V146" s="30"/>
      <x:c r="W146" s="30" t="str">
        <x:f>IF(B146="","",IF(V146&lt;&gt;"Yes","Excluded",IF(OR(G146="",H146="",I146=""),"Needs review","Included")))</x:f>
      </x:c>
    </x:row>
    <x:row r="147">
      <x:c r="A147" s="30" t="str">
        <x:f>IF(B147="","","EV-"&amp;TEXT(ROW()-1,"0000"))</x:f>
      </x:c>
      <x:c r="B147" s="30"/>
      <x:c r="C147" s="30" t="str">
        <x:f>IF(B147="","",IFERROR(VLOOKUP(B147,Country_Config!$A$2:$G$100,2,FALSE),""))</x:f>
      </x:c>
      <x:c r="D147" s="30" t="str">
        <x:f>IF(B147="","",IFERROR(VLOOKUP(B147,Country_Config!$A$2:$G$100,3,FALSE),""))</x:f>
      </x:c>
      <x:c r="E147" s="30"/>
      <x:c r="F147" s="30"/>
      <x:c r="G147" s="30"/>
      <x:c r="H147" s="30" t="str">
        <x:f>IF(OR(E147="",F147=""),"",IFERROR(VLOOKUP(E147&amp;"|"&amp;F147,Rules_Weights!$A$2:$E$120,4,FALSE),100))</x:f>
      </x:c>
      <x:c r="I147" s="30"/>
      <x:c r="J147" s="30"/>
      <x:c r="K147" s="30"/>
      <x:c r="L147" s="30"/>
      <x:c r="M147" s="30"/>
      <x:c r="N147" s="30" t="str">
        <x:f>IF(I147="","",IFERROR(VLOOKUP(I147,Lookups!$A$2:$B$5,2,FALSE),0))</x:f>
      </x:c>
      <x:c r="O147" s="30" t="str">
        <x:f>IF(OR(L147="",V147&lt;&gt;"Yes"),"",IF(U147="Yes",1,IFS(TODAY()-L147&lt;=365,1,TODAY()-L147&lt;=730,0.8,TODAY()-L147&lt;=1460,0.6,TRUE,0.4)))</x:f>
      </x:c>
      <x:c r="P147" s="30" t="str">
        <x:f>IF(V147&lt;&gt;"Yes","",IFERROR(H147*N147*O147,0))</x:f>
      </x:c>
      <x:c r="Q147" s="30" t="str">
        <x:f>IF(P147="","",G147*P147)</x:f>
      </x:c>
      <x:c r="R147" s="30" t="str">
        <x:f>IF(K147="","",IFERROR(REGEXEXTRACT(K147,"https?://([^/]+)"),""))</x:f>
      </x:c>
      <x:c r="S147" s="30" t="str">
        <x:f>IF(R147&lt;&gt;"",LOWER(R147),IF(J147&lt;&gt;"",LOWER(J147),""))</x:f>
      </x:c>
      <x:c r="T147" s="30"/>
      <x:c r="U147" s="30"/>
      <x:c r="V147" s="30"/>
      <x:c r="W147" s="30" t="str">
        <x:f>IF(B147="","",IF(V147&lt;&gt;"Yes","Excluded",IF(OR(G147="",H147="",I147=""),"Needs review","Included")))</x:f>
      </x:c>
    </x:row>
    <x:row r="148">
      <x:c r="A148" s="30" t="str">
        <x:f>IF(B148="","","EV-"&amp;TEXT(ROW()-1,"0000"))</x:f>
      </x:c>
      <x:c r="B148" s="30"/>
      <x:c r="C148" s="30" t="str">
        <x:f>IF(B148="","",IFERROR(VLOOKUP(B148,Country_Config!$A$2:$G$100,2,FALSE),""))</x:f>
      </x:c>
      <x:c r="D148" s="30" t="str">
        <x:f>IF(B148="","",IFERROR(VLOOKUP(B148,Country_Config!$A$2:$G$100,3,FALSE),""))</x:f>
      </x:c>
      <x:c r="E148" s="30"/>
      <x:c r="F148" s="30"/>
      <x:c r="G148" s="30"/>
      <x:c r="H148" s="30" t="str">
        <x:f>IF(OR(E148="",F148=""),"",IFERROR(VLOOKUP(E148&amp;"|"&amp;F148,Rules_Weights!$A$2:$E$120,4,FALSE),100))</x:f>
      </x:c>
      <x:c r="I148" s="30"/>
      <x:c r="J148" s="30"/>
      <x:c r="K148" s="30"/>
      <x:c r="L148" s="30"/>
      <x:c r="M148" s="30"/>
      <x:c r="N148" s="30" t="str">
        <x:f>IF(I148="","",IFERROR(VLOOKUP(I148,Lookups!$A$2:$B$5,2,FALSE),0))</x:f>
      </x:c>
      <x:c r="O148" s="30" t="str">
        <x:f>IF(OR(L148="",V148&lt;&gt;"Yes"),"",IF(U148="Yes",1,IFS(TODAY()-L148&lt;=365,1,TODAY()-L148&lt;=730,0.8,TODAY()-L148&lt;=1460,0.6,TRUE,0.4)))</x:f>
      </x:c>
      <x:c r="P148" s="30" t="str">
        <x:f>IF(V148&lt;&gt;"Yes","",IFERROR(H148*N148*O148,0))</x:f>
      </x:c>
      <x:c r="Q148" s="30" t="str">
        <x:f>IF(P148="","",G148*P148)</x:f>
      </x:c>
      <x:c r="R148" s="30" t="str">
        <x:f>IF(K148="","",IFERROR(REGEXEXTRACT(K148,"https?://([^/]+)"),""))</x:f>
      </x:c>
      <x:c r="S148" s="30" t="str">
        <x:f>IF(R148&lt;&gt;"",LOWER(R148),IF(J148&lt;&gt;"",LOWER(J148),""))</x:f>
      </x:c>
      <x:c r="T148" s="30"/>
      <x:c r="U148" s="30"/>
      <x:c r="V148" s="30"/>
      <x:c r="W148" s="30" t="str">
        <x:f>IF(B148="","",IF(V148&lt;&gt;"Yes","Excluded",IF(OR(G148="",H148="",I148=""),"Needs review","Included")))</x:f>
      </x:c>
    </x:row>
    <x:row r="149">
      <x:c r="A149" s="30" t="str">
        <x:f>IF(B149="","","EV-"&amp;TEXT(ROW()-1,"0000"))</x:f>
      </x:c>
      <x:c r="B149" s="30"/>
      <x:c r="C149" s="30" t="str">
        <x:f>IF(B149="","",IFERROR(VLOOKUP(B149,Country_Config!$A$2:$G$100,2,FALSE),""))</x:f>
      </x:c>
      <x:c r="D149" s="30" t="str">
        <x:f>IF(B149="","",IFERROR(VLOOKUP(B149,Country_Config!$A$2:$G$100,3,FALSE),""))</x:f>
      </x:c>
      <x:c r="E149" s="30"/>
      <x:c r="F149" s="30"/>
      <x:c r="G149" s="30"/>
      <x:c r="H149" s="30" t="str">
        <x:f>IF(OR(E149="",F149=""),"",IFERROR(VLOOKUP(E149&amp;"|"&amp;F149,Rules_Weights!$A$2:$E$120,4,FALSE),100))</x:f>
      </x:c>
      <x:c r="I149" s="30"/>
      <x:c r="J149" s="30"/>
      <x:c r="K149" s="30"/>
      <x:c r="L149" s="30"/>
      <x:c r="M149" s="30"/>
      <x:c r="N149" s="30" t="str">
        <x:f>IF(I149="","",IFERROR(VLOOKUP(I149,Lookups!$A$2:$B$5,2,FALSE),0))</x:f>
      </x:c>
      <x:c r="O149" s="30" t="str">
        <x:f>IF(OR(L149="",V149&lt;&gt;"Yes"),"",IF(U149="Yes",1,IFS(TODAY()-L149&lt;=365,1,TODAY()-L149&lt;=730,0.8,TODAY()-L149&lt;=1460,0.6,TRUE,0.4)))</x:f>
      </x:c>
      <x:c r="P149" s="30" t="str">
        <x:f>IF(V149&lt;&gt;"Yes","",IFERROR(H149*N149*O149,0))</x:f>
      </x:c>
      <x:c r="Q149" s="30" t="str">
        <x:f>IF(P149="","",G149*P149)</x:f>
      </x:c>
      <x:c r="R149" s="30" t="str">
        <x:f>IF(K149="","",IFERROR(REGEXEXTRACT(K149,"https?://([^/]+)"),""))</x:f>
      </x:c>
      <x:c r="S149" s="30" t="str">
        <x:f>IF(R149&lt;&gt;"",LOWER(R149),IF(J149&lt;&gt;"",LOWER(J149),""))</x:f>
      </x:c>
      <x:c r="T149" s="30"/>
      <x:c r="U149" s="30"/>
      <x:c r="V149" s="30"/>
      <x:c r="W149" s="30" t="str">
        <x:f>IF(B149="","",IF(V149&lt;&gt;"Yes","Excluded",IF(OR(G149="",H149="",I149=""),"Needs review","Included")))</x:f>
      </x:c>
    </x:row>
    <x:row r="150">
      <x:c r="A150" s="30" t="str">
        <x:f>IF(B150="","","EV-"&amp;TEXT(ROW()-1,"0000"))</x:f>
      </x:c>
      <x:c r="B150" s="30"/>
      <x:c r="C150" s="30" t="str">
        <x:f>IF(B150="","",IFERROR(VLOOKUP(B150,Country_Config!$A$2:$G$100,2,FALSE),""))</x:f>
      </x:c>
      <x:c r="D150" s="30" t="str">
        <x:f>IF(B150="","",IFERROR(VLOOKUP(B150,Country_Config!$A$2:$G$100,3,FALSE),""))</x:f>
      </x:c>
      <x:c r="E150" s="30"/>
      <x:c r="F150" s="30"/>
      <x:c r="G150" s="30"/>
      <x:c r="H150" s="30" t="str">
        <x:f>IF(OR(E150="",F150=""),"",IFERROR(VLOOKUP(E150&amp;"|"&amp;F150,Rules_Weights!$A$2:$E$120,4,FALSE),100))</x:f>
      </x:c>
      <x:c r="I150" s="30"/>
      <x:c r="J150" s="30"/>
      <x:c r="K150" s="30"/>
      <x:c r="L150" s="30"/>
      <x:c r="M150" s="30"/>
      <x:c r="N150" s="30" t="str">
        <x:f>IF(I150="","",IFERROR(VLOOKUP(I150,Lookups!$A$2:$B$5,2,FALSE),0))</x:f>
      </x:c>
      <x:c r="O150" s="30" t="str">
        <x:f>IF(OR(L150="",V150&lt;&gt;"Yes"),"",IF(U150="Yes",1,IFS(TODAY()-L150&lt;=365,1,TODAY()-L150&lt;=730,0.8,TODAY()-L150&lt;=1460,0.6,TRUE,0.4)))</x:f>
      </x:c>
      <x:c r="P150" s="30" t="str">
        <x:f>IF(V150&lt;&gt;"Yes","",IFERROR(H150*N150*O150,0))</x:f>
      </x:c>
      <x:c r="Q150" s="30" t="str">
        <x:f>IF(P150="","",G150*P150)</x:f>
      </x:c>
      <x:c r="R150" s="30" t="str">
        <x:f>IF(K150="","",IFERROR(REGEXEXTRACT(K150,"https?://([^/]+)"),""))</x:f>
      </x:c>
      <x:c r="S150" s="30" t="str">
        <x:f>IF(R150&lt;&gt;"",LOWER(R150),IF(J150&lt;&gt;"",LOWER(J150),""))</x:f>
      </x:c>
      <x:c r="T150" s="30"/>
      <x:c r="U150" s="30"/>
      <x:c r="V150" s="30"/>
      <x:c r="W150" s="30" t="str">
        <x:f>IF(B150="","",IF(V150&lt;&gt;"Yes","Excluded",IF(OR(G150="",H150="",I150=""),"Needs review","Included")))</x:f>
      </x:c>
    </x:row>
    <x:row r="151">
      <x:c r="A151" s="30" t="str">
        <x:f>IF(B151="","","EV-"&amp;TEXT(ROW()-1,"0000"))</x:f>
      </x:c>
      <x:c r="B151" s="30"/>
      <x:c r="C151" s="30" t="str">
        <x:f>IF(B151="","",IFERROR(VLOOKUP(B151,Country_Config!$A$2:$G$100,2,FALSE),""))</x:f>
      </x:c>
      <x:c r="D151" s="30" t="str">
        <x:f>IF(B151="","",IFERROR(VLOOKUP(B151,Country_Config!$A$2:$G$100,3,FALSE),""))</x:f>
      </x:c>
      <x:c r="E151" s="30"/>
      <x:c r="F151" s="30"/>
      <x:c r="G151" s="30"/>
      <x:c r="H151" s="30" t="str">
        <x:f>IF(OR(E151="",F151=""),"",IFERROR(VLOOKUP(E151&amp;"|"&amp;F151,Rules_Weights!$A$2:$E$120,4,FALSE),100))</x:f>
      </x:c>
      <x:c r="I151" s="30"/>
      <x:c r="J151" s="30"/>
      <x:c r="K151" s="30"/>
      <x:c r="L151" s="30"/>
      <x:c r="M151" s="30"/>
      <x:c r="N151" s="30" t="str">
        <x:f>IF(I151="","",IFERROR(VLOOKUP(I151,Lookups!$A$2:$B$5,2,FALSE),0))</x:f>
      </x:c>
      <x:c r="O151" s="30" t="str">
        <x:f>IF(OR(L151="",V151&lt;&gt;"Yes"),"",IF(U151="Yes",1,IFS(TODAY()-L151&lt;=365,1,TODAY()-L151&lt;=730,0.8,TODAY()-L151&lt;=1460,0.6,TRUE,0.4)))</x:f>
      </x:c>
      <x:c r="P151" s="30" t="str">
        <x:f>IF(V151&lt;&gt;"Yes","",IFERROR(H151*N151*O151,0))</x:f>
      </x:c>
      <x:c r="Q151" s="30" t="str">
        <x:f>IF(P151="","",G151*P151)</x:f>
      </x:c>
      <x:c r="R151" s="30" t="str">
        <x:f>IF(K151="","",IFERROR(REGEXEXTRACT(K151,"https?://([^/]+)"),""))</x:f>
      </x:c>
      <x:c r="S151" s="30" t="str">
        <x:f>IF(R151&lt;&gt;"",LOWER(R151),IF(J151&lt;&gt;"",LOWER(J151),""))</x:f>
      </x:c>
      <x:c r="T151" s="30"/>
      <x:c r="U151" s="30"/>
      <x:c r="V151" s="30"/>
      <x:c r="W151" s="30" t="str">
        <x:f>IF(B151="","",IF(V151&lt;&gt;"Yes","Excluded",IF(OR(G151="",H151="",I151=""),"Needs review","Included")))</x:f>
      </x:c>
    </x:row>
    <x:row r="152">
      <x:c r="A152" s="30" t="str">
        <x:f>IF(B152="","","EV-"&amp;TEXT(ROW()-1,"0000"))</x:f>
      </x:c>
      <x:c r="B152" s="30"/>
      <x:c r="C152" s="30" t="str">
        <x:f>IF(B152="","",IFERROR(VLOOKUP(B152,Country_Config!$A$2:$G$100,2,FALSE),""))</x:f>
      </x:c>
      <x:c r="D152" s="30" t="str">
        <x:f>IF(B152="","",IFERROR(VLOOKUP(B152,Country_Config!$A$2:$G$100,3,FALSE),""))</x:f>
      </x:c>
      <x:c r="E152" s="30"/>
      <x:c r="F152" s="30"/>
      <x:c r="G152" s="30"/>
      <x:c r="H152" s="30" t="str">
        <x:f>IF(OR(E152="",F152=""),"",IFERROR(VLOOKUP(E152&amp;"|"&amp;F152,Rules_Weights!$A$2:$E$120,4,FALSE),100))</x:f>
      </x:c>
      <x:c r="I152" s="30"/>
      <x:c r="J152" s="30"/>
      <x:c r="K152" s="30"/>
      <x:c r="L152" s="30"/>
      <x:c r="M152" s="30"/>
      <x:c r="N152" s="30" t="str">
        <x:f>IF(I152="","",IFERROR(VLOOKUP(I152,Lookups!$A$2:$B$5,2,FALSE),0))</x:f>
      </x:c>
      <x:c r="O152" s="30" t="str">
        <x:f>IF(OR(L152="",V152&lt;&gt;"Yes"),"",IF(U152="Yes",1,IFS(TODAY()-L152&lt;=365,1,TODAY()-L152&lt;=730,0.8,TODAY()-L152&lt;=1460,0.6,TRUE,0.4)))</x:f>
      </x:c>
      <x:c r="P152" s="30" t="str">
        <x:f>IF(V152&lt;&gt;"Yes","",IFERROR(H152*N152*O152,0))</x:f>
      </x:c>
      <x:c r="Q152" s="30" t="str">
        <x:f>IF(P152="","",G152*P152)</x:f>
      </x:c>
      <x:c r="R152" s="30" t="str">
        <x:f>IF(K152="","",IFERROR(REGEXEXTRACT(K152,"https?://([^/]+)"),""))</x:f>
      </x:c>
      <x:c r="S152" s="30" t="str">
        <x:f>IF(R152&lt;&gt;"",LOWER(R152),IF(J152&lt;&gt;"",LOWER(J152),""))</x:f>
      </x:c>
      <x:c r="T152" s="30"/>
      <x:c r="U152" s="30"/>
      <x:c r="V152" s="30"/>
      <x:c r="W152" s="30" t="str">
        <x:f>IF(B152="","",IF(V152&lt;&gt;"Yes","Excluded",IF(OR(G152="",H152="",I152=""),"Needs review","Included")))</x:f>
      </x:c>
    </x:row>
    <x:row r="153">
      <x:c r="A153" s="30" t="str">
        <x:f>IF(B153="","","EV-"&amp;TEXT(ROW()-1,"0000"))</x:f>
      </x:c>
      <x:c r="B153" s="30"/>
      <x:c r="C153" s="30" t="str">
        <x:f>IF(B153="","",IFERROR(VLOOKUP(B153,Country_Config!$A$2:$G$100,2,FALSE),""))</x:f>
      </x:c>
      <x:c r="D153" s="30" t="str">
        <x:f>IF(B153="","",IFERROR(VLOOKUP(B153,Country_Config!$A$2:$G$100,3,FALSE),""))</x:f>
      </x:c>
      <x:c r="E153" s="30"/>
      <x:c r="F153" s="30"/>
      <x:c r="G153" s="30"/>
      <x:c r="H153" s="30" t="str">
        <x:f>IF(OR(E153="",F153=""),"",IFERROR(VLOOKUP(E153&amp;"|"&amp;F153,Rules_Weights!$A$2:$E$120,4,FALSE),100))</x:f>
      </x:c>
      <x:c r="I153" s="30"/>
      <x:c r="J153" s="30"/>
      <x:c r="K153" s="30"/>
      <x:c r="L153" s="30"/>
      <x:c r="M153" s="30"/>
      <x:c r="N153" s="30" t="str">
        <x:f>IF(I153="","",IFERROR(VLOOKUP(I153,Lookups!$A$2:$B$5,2,FALSE),0))</x:f>
      </x:c>
      <x:c r="O153" s="30" t="str">
        <x:f>IF(OR(L153="",V153&lt;&gt;"Yes"),"",IF(U153="Yes",1,IFS(TODAY()-L153&lt;=365,1,TODAY()-L153&lt;=730,0.8,TODAY()-L153&lt;=1460,0.6,TRUE,0.4)))</x:f>
      </x:c>
      <x:c r="P153" s="30" t="str">
        <x:f>IF(V153&lt;&gt;"Yes","",IFERROR(H153*N153*O153,0))</x:f>
      </x:c>
      <x:c r="Q153" s="30" t="str">
        <x:f>IF(P153="","",G153*P153)</x:f>
      </x:c>
      <x:c r="R153" s="30" t="str">
        <x:f>IF(K153="","",IFERROR(REGEXEXTRACT(K153,"https?://([^/]+)"),""))</x:f>
      </x:c>
      <x:c r="S153" s="30" t="str">
        <x:f>IF(R153&lt;&gt;"",LOWER(R153),IF(J153&lt;&gt;"",LOWER(J153),""))</x:f>
      </x:c>
      <x:c r="T153" s="30"/>
      <x:c r="U153" s="30"/>
      <x:c r="V153" s="30"/>
      <x:c r="W153" s="30" t="str">
        <x:f>IF(B153="","",IF(V153&lt;&gt;"Yes","Excluded",IF(OR(G153="",H153="",I153=""),"Needs review","Included")))</x:f>
      </x:c>
    </x:row>
    <x:row r="154">
      <x:c r="A154" s="30" t="str">
        <x:f>IF(B154="","","EV-"&amp;TEXT(ROW()-1,"0000"))</x:f>
      </x:c>
      <x:c r="B154" s="30"/>
      <x:c r="C154" s="30" t="str">
        <x:f>IF(B154="","",IFERROR(VLOOKUP(B154,Country_Config!$A$2:$G$100,2,FALSE),""))</x:f>
      </x:c>
      <x:c r="D154" s="30" t="str">
        <x:f>IF(B154="","",IFERROR(VLOOKUP(B154,Country_Config!$A$2:$G$100,3,FALSE),""))</x:f>
      </x:c>
      <x:c r="E154" s="30"/>
      <x:c r="F154" s="30"/>
      <x:c r="G154" s="30"/>
      <x:c r="H154" s="30" t="str">
        <x:f>IF(OR(E154="",F154=""),"",IFERROR(VLOOKUP(E154&amp;"|"&amp;F154,Rules_Weights!$A$2:$E$120,4,FALSE),100))</x:f>
      </x:c>
      <x:c r="I154" s="30"/>
      <x:c r="J154" s="30"/>
      <x:c r="K154" s="30"/>
      <x:c r="L154" s="30"/>
      <x:c r="M154" s="30"/>
      <x:c r="N154" s="30" t="str">
        <x:f>IF(I154="","",IFERROR(VLOOKUP(I154,Lookups!$A$2:$B$5,2,FALSE),0))</x:f>
      </x:c>
      <x:c r="O154" s="30" t="str">
        <x:f>IF(OR(L154="",V154&lt;&gt;"Yes"),"",IF(U154="Yes",1,IFS(TODAY()-L154&lt;=365,1,TODAY()-L154&lt;=730,0.8,TODAY()-L154&lt;=1460,0.6,TRUE,0.4)))</x:f>
      </x:c>
      <x:c r="P154" s="30" t="str">
        <x:f>IF(V154&lt;&gt;"Yes","",IFERROR(H154*N154*O154,0))</x:f>
      </x:c>
      <x:c r="Q154" s="30" t="str">
        <x:f>IF(P154="","",G154*P154)</x:f>
      </x:c>
      <x:c r="R154" s="30" t="str">
        <x:f>IF(K154="","",IFERROR(REGEXEXTRACT(K154,"https?://([^/]+)"),""))</x:f>
      </x:c>
      <x:c r="S154" s="30" t="str">
        <x:f>IF(R154&lt;&gt;"",LOWER(R154),IF(J154&lt;&gt;"",LOWER(J154),""))</x:f>
      </x:c>
      <x:c r="T154" s="30"/>
      <x:c r="U154" s="30"/>
      <x:c r="V154" s="30"/>
      <x:c r="W154" s="30" t="str">
        <x:f>IF(B154="","",IF(V154&lt;&gt;"Yes","Excluded",IF(OR(G154="",H154="",I154=""),"Needs review","Included")))</x:f>
      </x:c>
    </x:row>
    <x:row r="155">
      <x:c r="A155" s="30" t="str">
        <x:f>IF(B155="","","EV-"&amp;TEXT(ROW()-1,"0000"))</x:f>
      </x:c>
      <x:c r="B155" s="30"/>
      <x:c r="C155" s="30" t="str">
        <x:f>IF(B155="","",IFERROR(VLOOKUP(B155,Country_Config!$A$2:$G$100,2,FALSE),""))</x:f>
      </x:c>
      <x:c r="D155" s="30" t="str">
        <x:f>IF(B155="","",IFERROR(VLOOKUP(B155,Country_Config!$A$2:$G$100,3,FALSE),""))</x:f>
      </x:c>
      <x:c r="E155" s="30"/>
      <x:c r="F155" s="30"/>
      <x:c r="G155" s="30"/>
      <x:c r="H155" s="30" t="str">
        <x:f>IF(OR(E155="",F155=""),"",IFERROR(VLOOKUP(E155&amp;"|"&amp;F155,Rules_Weights!$A$2:$E$120,4,FALSE),100))</x:f>
      </x:c>
      <x:c r="I155" s="30"/>
      <x:c r="J155" s="30"/>
      <x:c r="K155" s="30"/>
      <x:c r="L155" s="30"/>
      <x:c r="M155" s="30"/>
      <x:c r="N155" s="30" t="str">
        <x:f>IF(I155="","",IFERROR(VLOOKUP(I155,Lookups!$A$2:$B$5,2,FALSE),0))</x:f>
      </x:c>
      <x:c r="O155" s="30" t="str">
        <x:f>IF(OR(L155="",V155&lt;&gt;"Yes"),"",IF(U155="Yes",1,IFS(TODAY()-L155&lt;=365,1,TODAY()-L155&lt;=730,0.8,TODAY()-L155&lt;=1460,0.6,TRUE,0.4)))</x:f>
      </x:c>
      <x:c r="P155" s="30" t="str">
        <x:f>IF(V155&lt;&gt;"Yes","",IFERROR(H155*N155*O155,0))</x:f>
      </x:c>
      <x:c r="Q155" s="30" t="str">
        <x:f>IF(P155="","",G155*P155)</x:f>
      </x:c>
      <x:c r="R155" s="30" t="str">
        <x:f>IF(K155="","",IFERROR(REGEXEXTRACT(K155,"https?://([^/]+)"),""))</x:f>
      </x:c>
      <x:c r="S155" s="30" t="str">
        <x:f>IF(R155&lt;&gt;"",LOWER(R155),IF(J155&lt;&gt;"",LOWER(J155),""))</x:f>
      </x:c>
      <x:c r="T155" s="30"/>
      <x:c r="U155" s="30"/>
      <x:c r="V155" s="30"/>
      <x:c r="W155" s="30" t="str">
        <x:f>IF(B155="","",IF(V155&lt;&gt;"Yes","Excluded",IF(OR(G155="",H155="",I155=""),"Needs review","Included")))</x:f>
      </x:c>
    </x:row>
    <x:row r="156">
      <x:c r="A156" s="30" t="str">
        <x:f>IF(B156="","","EV-"&amp;TEXT(ROW()-1,"0000"))</x:f>
      </x:c>
      <x:c r="B156" s="30"/>
      <x:c r="C156" s="30" t="str">
        <x:f>IF(B156="","",IFERROR(VLOOKUP(B156,Country_Config!$A$2:$G$100,2,FALSE),""))</x:f>
      </x:c>
      <x:c r="D156" s="30" t="str">
        <x:f>IF(B156="","",IFERROR(VLOOKUP(B156,Country_Config!$A$2:$G$100,3,FALSE),""))</x:f>
      </x:c>
      <x:c r="E156" s="30"/>
      <x:c r="F156" s="30"/>
      <x:c r="G156" s="30"/>
      <x:c r="H156" s="30" t="str">
        <x:f>IF(OR(E156="",F156=""),"",IFERROR(VLOOKUP(E156&amp;"|"&amp;F156,Rules_Weights!$A$2:$E$120,4,FALSE),100))</x:f>
      </x:c>
      <x:c r="I156" s="30"/>
      <x:c r="J156" s="30"/>
      <x:c r="K156" s="30"/>
      <x:c r="L156" s="30"/>
      <x:c r="M156" s="30"/>
      <x:c r="N156" s="30" t="str">
        <x:f>IF(I156="","",IFERROR(VLOOKUP(I156,Lookups!$A$2:$B$5,2,FALSE),0))</x:f>
      </x:c>
      <x:c r="O156" s="30" t="str">
        <x:f>IF(OR(L156="",V156&lt;&gt;"Yes"),"",IF(U156="Yes",1,IFS(TODAY()-L156&lt;=365,1,TODAY()-L156&lt;=730,0.8,TODAY()-L156&lt;=1460,0.6,TRUE,0.4)))</x:f>
      </x:c>
      <x:c r="P156" s="30" t="str">
        <x:f>IF(V156&lt;&gt;"Yes","",IFERROR(H156*N156*O156,0))</x:f>
      </x:c>
      <x:c r="Q156" s="30" t="str">
        <x:f>IF(P156="","",G156*P156)</x:f>
      </x:c>
      <x:c r="R156" s="30" t="str">
        <x:f>IF(K156="","",IFERROR(REGEXEXTRACT(K156,"https?://([^/]+)"),""))</x:f>
      </x:c>
      <x:c r="S156" s="30" t="str">
        <x:f>IF(R156&lt;&gt;"",LOWER(R156),IF(J156&lt;&gt;"",LOWER(J156),""))</x:f>
      </x:c>
      <x:c r="T156" s="30"/>
      <x:c r="U156" s="30"/>
      <x:c r="V156" s="30"/>
      <x:c r="W156" s="30" t="str">
        <x:f>IF(B156="","",IF(V156&lt;&gt;"Yes","Excluded",IF(OR(G156="",H156="",I156=""),"Needs review","Included")))</x:f>
      </x:c>
    </x:row>
    <x:row r="157">
      <x:c r="A157" s="30" t="str">
        <x:f>IF(B157="","","EV-"&amp;TEXT(ROW()-1,"0000"))</x:f>
      </x:c>
      <x:c r="B157" s="30"/>
      <x:c r="C157" s="30" t="str">
        <x:f>IF(B157="","",IFERROR(VLOOKUP(B157,Country_Config!$A$2:$G$100,2,FALSE),""))</x:f>
      </x:c>
      <x:c r="D157" s="30" t="str">
        <x:f>IF(B157="","",IFERROR(VLOOKUP(B157,Country_Config!$A$2:$G$100,3,FALSE),""))</x:f>
      </x:c>
      <x:c r="E157" s="30"/>
      <x:c r="F157" s="30"/>
      <x:c r="G157" s="30"/>
      <x:c r="H157" s="30" t="str">
        <x:f>IF(OR(E157="",F157=""),"",IFERROR(VLOOKUP(E157&amp;"|"&amp;F157,Rules_Weights!$A$2:$E$120,4,FALSE),100))</x:f>
      </x:c>
      <x:c r="I157" s="30"/>
      <x:c r="J157" s="30"/>
      <x:c r="K157" s="30"/>
      <x:c r="L157" s="30"/>
      <x:c r="M157" s="30"/>
      <x:c r="N157" s="30" t="str">
        <x:f>IF(I157="","",IFERROR(VLOOKUP(I157,Lookups!$A$2:$B$5,2,FALSE),0))</x:f>
      </x:c>
      <x:c r="O157" s="30" t="str">
        <x:f>IF(OR(L157="",V157&lt;&gt;"Yes"),"",IF(U157="Yes",1,IFS(TODAY()-L157&lt;=365,1,TODAY()-L157&lt;=730,0.8,TODAY()-L157&lt;=1460,0.6,TRUE,0.4)))</x:f>
      </x:c>
      <x:c r="P157" s="30" t="str">
        <x:f>IF(V157&lt;&gt;"Yes","",IFERROR(H157*N157*O157,0))</x:f>
      </x:c>
      <x:c r="Q157" s="30" t="str">
        <x:f>IF(P157="","",G157*P157)</x:f>
      </x:c>
      <x:c r="R157" s="30" t="str">
        <x:f>IF(K157="","",IFERROR(REGEXEXTRACT(K157,"https?://([^/]+)"),""))</x:f>
      </x:c>
      <x:c r="S157" s="30" t="str">
        <x:f>IF(R157&lt;&gt;"",LOWER(R157),IF(J157&lt;&gt;"",LOWER(J157),""))</x:f>
      </x:c>
      <x:c r="T157" s="30"/>
      <x:c r="U157" s="30"/>
      <x:c r="V157" s="30"/>
      <x:c r="W157" s="30" t="str">
        <x:f>IF(B157="","",IF(V157&lt;&gt;"Yes","Excluded",IF(OR(G157="",H157="",I157=""),"Needs review","Included")))</x:f>
      </x:c>
    </x:row>
    <x:row r="158">
      <x:c r="A158" s="30" t="str">
        <x:f>IF(B158="","","EV-"&amp;TEXT(ROW()-1,"0000"))</x:f>
      </x:c>
      <x:c r="B158" s="30"/>
      <x:c r="C158" s="30" t="str">
        <x:f>IF(B158="","",IFERROR(VLOOKUP(B158,Country_Config!$A$2:$G$100,2,FALSE),""))</x:f>
      </x:c>
      <x:c r="D158" s="30" t="str">
        <x:f>IF(B158="","",IFERROR(VLOOKUP(B158,Country_Config!$A$2:$G$100,3,FALSE),""))</x:f>
      </x:c>
      <x:c r="E158" s="30"/>
      <x:c r="F158" s="30"/>
      <x:c r="G158" s="30"/>
      <x:c r="H158" s="30" t="str">
        <x:f>IF(OR(E158="",F158=""),"",IFERROR(VLOOKUP(E158&amp;"|"&amp;F158,Rules_Weights!$A$2:$E$120,4,FALSE),100))</x:f>
      </x:c>
      <x:c r="I158" s="30"/>
      <x:c r="J158" s="30"/>
      <x:c r="K158" s="30"/>
      <x:c r="L158" s="30"/>
      <x:c r="M158" s="30"/>
      <x:c r="N158" s="30" t="str">
        <x:f>IF(I158="","",IFERROR(VLOOKUP(I158,Lookups!$A$2:$B$5,2,FALSE),0))</x:f>
      </x:c>
      <x:c r="O158" s="30" t="str">
        <x:f>IF(OR(L158="",V158&lt;&gt;"Yes"),"",IF(U158="Yes",1,IFS(TODAY()-L158&lt;=365,1,TODAY()-L158&lt;=730,0.8,TODAY()-L158&lt;=1460,0.6,TRUE,0.4)))</x:f>
      </x:c>
      <x:c r="P158" s="30" t="str">
        <x:f>IF(V158&lt;&gt;"Yes","",IFERROR(H158*N158*O158,0))</x:f>
      </x:c>
      <x:c r="Q158" s="30" t="str">
        <x:f>IF(P158="","",G158*P158)</x:f>
      </x:c>
      <x:c r="R158" s="30" t="str">
        <x:f>IF(K158="","",IFERROR(REGEXEXTRACT(K158,"https?://([^/]+)"),""))</x:f>
      </x:c>
      <x:c r="S158" s="30" t="str">
        <x:f>IF(R158&lt;&gt;"",LOWER(R158),IF(J158&lt;&gt;"",LOWER(J158),""))</x:f>
      </x:c>
      <x:c r="T158" s="30"/>
      <x:c r="U158" s="30"/>
      <x:c r="V158" s="30"/>
      <x:c r="W158" s="30" t="str">
        <x:f>IF(B158="","",IF(V158&lt;&gt;"Yes","Excluded",IF(OR(G158="",H158="",I158=""),"Needs review","Included")))</x:f>
      </x:c>
    </x:row>
    <x:row r="159">
      <x:c r="A159" s="30" t="str">
        <x:f>IF(B159="","","EV-"&amp;TEXT(ROW()-1,"0000"))</x:f>
      </x:c>
      <x:c r="B159" s="30"/>
      <x:c r="C159" s="30" t="str">
        <x:f>IF(B159="","",IFERROR(VLOOKUP(B159,Country_Config!$A$2:$G$100,2,FALSE),""))</x:f>
      </x:c>
      <x:c r="D159" s="30" t="str">
        <x:f>IF(B159="","",IFERROR(VLOOKUP(B159,Country_Config!$A$2:$G$100,3,FALSE),""))</x:f>
      </x:c>
      <x:c r="E159" s="30"/>
      <x:c r="F159" s="30"/>
      <x:c r="G159" s="30"/>
      <x:c r="H159" s="30" t="str">
        <x:f>IF(OR(E159="",F159=""),"",IFERROR(VLOOKUP(E159&amp;"|"&amp;F159,Rules_Weights!$A$2:$E$120,4,FALSE),100))</x:f>
      </x:c>
      <x:c r="I159" s="30"/>
      <x:c r="J159" s="30"/>
      <x:c r="K159" s="30"/>
      <x:c r="L159" s="30"/>
      <x:c r="M159" s="30"/>
      <x:c r="N159" s="30" t="str">
        <x:f>IF(I159="","",IFERROR(VLOOKUP(I159,Lookups!$A$2:$B$5,2,FALSE),0))</x:f>
      </x:c>
      <x:c r="O159" s="30" t="str">
        <x:f>IF(OR(L159="",V159&lt;&gt;"Yes"),"",IF(U159="Yes",1,IFS(TODAY()-L159&lt;=365,1,TODAY()-L159&lt;=730,0.8,TODAY()-L159&lt;=1460,0.6,TRUE,0.4)))</x:f>
      </x:c>
      <x:c r="P159" s="30" t="str">
        <x:f>IF(V159&lt;&gt;"Yes","",IFERROR(H159*N159*O159,0))</x:f>
      </x:c>
      <x:c r="Q159" s="30" t="str">
        <x:f>IF(P159="","",G159*P159)</x:f>
      </x:c>
      <x:c r="R159" s="30" t="str">
        <x:f>IF(K159="","",IFERROR(REGEXEXTRACT(K159,"https?://([^/]+)"),""))</x:f>
      </x:c>
      <x:c r="S159" s="30" t="str">
        <x:f>IF(R159&lt;&gt;"",LOWER(R159),IF(J159&lt;&gt;"",LOWER(J159),""))</x:f>
      </x:c>
      <x:c r="T159" s="30"/>
      <x:c r="U159" s="30"/>
      <x:c r="V159" s="30"/>
      <x:c r="W159" s="30" t="str">
        <x:f>IF(B159="","",IF(V159&lt;&gt;"Yes","Excluded",IF(OR(G159="",H159="",I159=""),"Needs review","Included")))</x:f>
      </x:c>
    </x:row>
    <x:row r="160">
      <x:c r="A160" s="30" t="str">
        <x:f>IF(B160="","","EV-"&amp;TEXT(ROW()-1,"0000"))</x:f>
      </x:c>
      <x:c r="B160" s="30"/>
      <x:c r="C160" s="30" t="str">
        <x:f>IF(B160="","",IFERROR(VLOOKUP(B160,Country_Config!$A$2:$G$100,2,FALSE),""))</x:f>
      </x:c>
      <x:c r="D160" s="30" t="str">
        <x:f>IF(B160="","",IFERROR(VLOOKUP(B160,Country_Config!$A$2:$G$100,3,FALSE),""))</x:f>
      </x:c>
      <x:c r="E160" s="30"/>
      <x:c r="F160" s="30"/>
      <x:c r="G160" s="30"/>
      <x:c r="H160" s="30" t="str">
        <x:f>IF(OR(E160="",F160=""),"",IFERROR(VLOOKUP(E160&amp;"|"&amp;F160,Rules_Weights!$A$2:$E$120,4,FALSE),100))</x:f>
      </x:c>
      <x:c r="I160" s="30"/>
      <x:c r="J160" s="30"/>
      <x:c r="K160" s="30"/>
      <x:c r="L160" s="30"/>
      <x:c r="M160" s="30"/>
      <x:c r="N160" s="30" t="str">
        <x:f>IF(I160="","",IFERROR(VLOOKUP(I160,Lookups!$A$2:$B$5,2,FALSE),0))</x:f>
      </x:c>
      <x:c r="O160" s="30" t="str">
        <x:f>IF(OR(L160="",V160&lt;&gt;"Yes"),"",IF(U160="Yes",1,IFS(TODAY()-L160&lt;=365,1,TODAY()-L160&lt;=730,0.8,TODAY()-L160&lt;=1460,0.6,TRUE,0.4)))</x:f>
      </x:c>
      <x:c r="P160" s="30" t="str">
        <x:f>IF(V160&lt;&gt;"Yes","",IFERROR(H160*N160*O160,0))</x:f>
      </x:c>
      <x:c r="Q160" s="30" t="str">
        <x:f>IF(P160="","",G160*P160)</x:f>
      </x:c>
      <x:c r="R160" s="30" t="str">
        <x:f>IF(K160="","",IFERROR(REGEXEXTRACT(K160,"https?://([^/]+)"),""))</x:f>
      </x:c>
      <x:c r="S160" s="30" t="str">
        <x:f>IF(R160&lt;&gt;"",LOWER(R160),IF(J160&lt;&gt;"",LOWER(J160),""))</x:f>
      </x:c>
      <x:c r="T160" s="30"/>
      <x:c r="U160" s="30"/>
      <x:c r="V160" s="30"/>
      <x:c r="W160" s="30" t="str">
        <x:f>IF(B160="","",IF(V160&lt;&gt;"Yes","Excluded",IF(OR(G160="",H160="",I160=""),"Needs review","Included")))</x:f>
      </x:c>
    </x:row>
    <x:row r="161">
      <x:c r="A161" s="30" t="str">
        <x:f>IF(B161="","","EV-"&amp;TEXT(ROW()-1,"0000"))</x:f>
      </x:c>
      <x:c r="B161" s="30"/>
      <x:c r="C161" s="30" t="str">
        <x:f>IF(B161="","",IFERROR(VLOOKUP(B161,Country_Config!$A$2:$G$100,2,FALSE),""))</x:f>
      </x:c>
      <x:c r="D161" s="30" t="str">
        <x:f>IF(B161="","",IFERROR(VLOOKUP(B161,Country_Config!$A$2:$G$100,3,FALSE),""))</x:f>
      </x:c>
      <x:c r="E161" s="30"/>
      <x:c r="F161" s="30"/>
      <x:c r="G161" s="30"/>
      <x:c r="H161" s="30" t="str">
        <x:f>IF(OR(E161="",F161=""),"",IFERROR(VLOOKUP(E161&amp;"|"&amp;F161,Rules_Weights!$A$2:$E$120,4,FALSE),100))</x:f>
      </x:c>
      <x:c r="I161" s="30"/>
      <x:c r="J161" s="30"/>
      <x:c r="K161" s="30"/>
      <x:c r="L161" s="30"/>
      <x:c r="M161" s="30"/>
      <x:c r="N161" s="30" t="str">
        <x:f>IF(I161="","",IFERROR(VLOOKUP(I161,Lookups!$A$2:$B$5,2,FALSE),0))</x:f>
      </x:c>
      <x:c r="O161" s="30" t="str">
        <x:f>IF(OR(L161="",V161&lt;&gt;"Yes"),"",IF(U161="Yes",1,IFS(TODAY()-L161&lt;=365,1,TODAY()-L161&lt;=730,0.8,TODAY()-L161&lt;=1460,0.6,TRUE,0.4)))</x:f>
      </x:c>
      <x:c r="P161" s="30" t="str">
        <x:f>IF(V161&lt;&gt;"Yes","",IFERROR(H161*N161*O161,0))</x:f>
      </x:c>
      <x:c r="Q161" s="30" t="str">
        <x:f>IF(P161="","",G161*P161)</x:f>
      </x:c>
      <x:c r="R161" s="30" t="str">
        <x:f>IF(K161="","",IFERROR(REGEXEXTRACT(K161,"https?://([^/]+)"),""))</x:f>
      </x:c>
      <x:c r="S161" s="30" t="str">
        <x:f>IF(R161&lt;&gt;"",LOWER(R161),IF(J161&lt;&gt;"",LOWER(J161),""))</x:f>
      </x:c>
      <x:c r="T161" s="30"/>
      <x:c r="U161" s="30"/>
      <x:c r="V161" s="30"/>
      <x:c r="W161" s="30" t="str">
        <x:f>IF(B161="","",IF(V161&lt;&gt;"Yes","Excluded",IF(OR(G161="",H161="",I161=""),"Needs review","Included")))</x:f>
      </x:c>
    </x:row>
    <x:row r="162">
      <x:c r="A162" s="30" t="str">
        <x:f>IF(B162="","","EV-"&amp;TEXT(ROW()-1,"0000"))</x:f>
      </x:c>
      <x:c r="B162" s="30"/>
      <x:c r="C162" s="30" t="str">
        <x:f>IF(B162="","",IFERROR(VLOOKUP(B162,Country_Config!$A$2:$G$100,2,FALSE),""))</x:f>
      </x:c>
      <x:c r="D162" s="30" t="str">
        <x:f>IF(B162="","",IFERROR(VLOOKUP(B162,Country_Config!$A$2:$G$100,3,FALSE),""))</x:f>
      </x:c>
      <x:c r="E162" s="30"/>
      <x:c r="F162" s="30"/>
      <x:c r="G162" s="30"/>
      <x:c r="H162" s="30" t="str">
        <x:f>IF(OR(E162="",F162=""),"",IFERROR(VLOOKUP(E162&amp;"|"&amp;F162,Rules_Weights!$A$2:$E$120,4,FALSE),100))</x:f>
      </x:c>
      <x:c r="I162" s="30"/>
      <x:c r="J162" s="30"/>
      <x:c r="K162" s="30"/>
      <x:c r="L162" s="30"/>
      <x:c r="M162" s="30"/>
      <x:c r="N162" s="30" t="str">
        <x:f>IF(I162="","",IFERROR(VLOOKUP(I162,Lookups!$A$2:$B$5,2,FALSE),0))</x:f>
      </x:c>
      <x:c r="O162" s="30" t="str">
        <x:f>IF(OR(L162="",V162&lt;&gt;"Yes"),"",IF(U162="Yes",1,IFS(TODAY()-L162&lt;=365,1,TODAY()-L162&lt;=730,0.8,TODAY()-L162&lt;=1460,0.6,TRUE,0.4)))</x:f>
      </x:c>
      <x:c r="P162" s="30" t="str">
        <x:f>IF(V162&lt;&gt;"Yes","",IFERROR(H162*N162*O162,0))</x:f>
      </x:c>
      <x:c r="Q162" s="30" t="str">
        <x:f>IF(P162="","",G162*P162)</x:f>
      </x:c>
      <x:c r="R162" s="30" t="str">
        <x:f>IF(K162="","",IFERROR(REGEXEXTRACT(K162,"https?://([^/]+)"),""))</x:f>
      </x:c>
      <x:c r="S162" s="30" t="str">
        <x:f>IF(R162&lt;&gt;"",LOWER(R162),IF(J162&lt;&gt;"",LOWER(J162),""))</x:f>
      </x:c>
      <x:c r="T162" s="30"/>
      <x:c r="U162" s="30"/>
      <x:c r="V162" s="30"/>
      <x:c r="W162" s="30" t="str">
        <x:f>IF(B162="","",IF(V162&lt;&gt;"Yes","Excluded",IF(OR(G162="",H162="",I162=""),"Needs review","Included")))</x:f>
      </x:c>
    </x:row>
    <x:row r="163">
      <x:c r="A163" s="30" t="str">
        <x:f>IF(B163="","","EV-"&amp;TEXT(ROW()-1,"0000"))</x:f>
      </x:c>
      <x:c r="B163" s="30"/>
      <x:c r="C163" s="30" t="str">
        <x:f>IF(B163="","",IFERROR(VLOOKUP(B163,Country_Config!$A$2:$G$100,2,FALSE),""))</x:f>
      </x:c>
      <x:c r="D163" s="30" t="str">
        <x:f>IF(B163="","",IFERROR(VLOOKUP(B163,Country_Config!$A$2:$G$100,3,FALSE),""))</x:f>
      </x:c>
      <x:c r="E163" s="30"/>
      <x:c r="F163" s="30"/>
      <x:c r="G163" s="30"/>
      <x:c r="H163" s="30" t="str">
        <x:f>IF(OR(E163="",F163=""),"",IFERROR(VLOOKUP(E163&amp;"|"&amp;F163,Rules_Weights!$A$2:$E$120,4,FALSE),100))</x:f>
      </x:c>
      <x:c r="I163" s="30"/>
      <x:c r="J163" s="30"/>
      <x:c r="K163" s="30"/>
      <x:c r="L163" s="30"/>
      <x:c r="M163" s="30"/>
      <x:c r="N163" s="30" t="str">
        <x:f>IF(I163="","",IFERROR(VLOOKUP(I163,Lookups!$A$2:$B$5,2,FALSE),0))</x:f>
      </x:c>
      <x:c r="O163" s="30" t="str">
        <x:f>IF(OR(L163="",V163&lt;&gt;"Yes"),"",IF(U163="Yes",1,IFS(TODAY()-L163&lt;=365,1,TODAY()-L163&lt;=730,0.8,TODAY()-L163&lt;=1460,0.6,TRUE,0.4)))</x:f>
      </x:c>
      <x:c r="P163" s="30" t="str">
        <x:f>IF(V163&lt;&gt;"Yes","",IFERROR(H163*N163*O163,0))</x:f>
      </x:c>
      <x:c r="Q163" s="30" t="str">
        <x:f>IF(P163="","",G163*P163)</x:f>
      </x:c>
      <x:c r="R163" s="30" t="str">
        <x:f>IF(K163="","",IFERROR(REGEXEXTRACT(K163,"https?://([^/]+)"),""))</x:f>
      </x:c>
      <x:c r="S163" s="30" t="str">
        <x:f>IF(R163&lt;&gt;"",LOWER(R163),IF(J163&lt;&gt;"",LOWER(J163),""))</x:f>
      </x:c>
      <x:c r="T163" s="30"/>
      <x:c r="U163" s="30"/>
      <x:c r="V163" s="30"/>
      <x:c r="W163" s="30" t="str">
        <x:f>IF(B163="","",IF(V163&lt;&gt;"Yes","Excluded",IF(OR(G163="",H163="",I163=""),"Needs review","Included")))</x:f>
      </x:c>
    </x:row>
    <x:row r="164">
      <x:c r="A164" s="30" t="str">
        <x:f>IF(B164="","","EV-"&amp;TEXT(ROW()-1,"0000"))</x:f>
      </x:c>
      <x:c r="B164" s="30"/>
      <x:c r="C164" s="30" t="str">
        <x:f>IF(B164="","",IFERROR(VLOOKUP(B164,Country_Config!$A$2:$G$100,2,FALSE),""))</x:f>
      </x:c>
      <x:c r="D164" s="30" t="str">
        <x:f>IF(B164="","",IFERROR(VLOOKUP(B164,Country_Config!$A$2:$G$100,3,FALSE),""))</x:f>
      </x:c>
      <x:c r="E164" s="30"/>
      <x:c r="F164" s="30"/>
      <x:c r="G164" s="30"/>
      <x:c r="H164" s="30" t="str">
        <x:f>IF(OR(E164="",F164=""),"",IFERROR(VLOOKUP(E164&amp;"|"&amp;F164,Rules_Weights!$A$2:$E$120,4,FALSE),100))</x:f>
      </x:c>
      <x:c r="I164" s="30"/>
      <x:c r="J164" s="30"/>
      <x:c r="K164" s="30"/>
      <x:c r="L164" s="30"/>
      <x:c r="M164" s="30"/>
      <x:c r="N164" s="30" t="str">
        <x:f>IF(I164="","",IFERROR(VLOOKUP(I164,Lookups!$A$2:$B$5,2,FALSE),0))</x:f>
      </x:c>
      <x:c r="O164" s="30" t="str">
        <x:f>IF(OR(L164="",V164&lt;&gt;"Yes"),"",IF(U164="Yes",1,IFS(TODAY()-L164&lt;=365,1,TODAY()-L164&lt;=730,0.8,TODAY()-L164&lt;=1460,0.6,TRUE,0.4)))</x:f>
      </x:c>
      <x:c r="P164" s="30" t="str">
        <x:f>IF(V164&lt;&gt;"Yes","",IFERROR(H164*N164*O164,0))</x:f>
      </x:c>
      <x:c r="Q164" s="30" t="str">
        <x:f>IF(P164="","",G164*P164)</x:f>
      </x:c>
      <x:c r="R164" s="30" t="str">
        <x:f>IF(K164="","",IFERROR(REGEXEXTRACT(K164,"https?://([^/]+)"),""))</x:f>
      </x:c>
      <x:c r="S164" s="30" t="str">
        <x:f>IF(R164&lt;&gt;"",LOWER(R164),IF(J164&lt;&gt;"",LOWER(J164),""))</x:f>
      </x:c>
      <x:c r="T164" s="30"/>
      <x:c r="U164" s="30"/>
      <x:c r="V164" s="30"/>
      <x:c r="W164" s="30" t="str">
        <x:f>IF(B164="","",IF(V164&lt;&gt;"Yes","Excluded",IF(OR(G164="",H164="",I164=""),"Needs review","Included")))</x:f>
      </x:c>
    </x:row>
    <x:row r="165">
      <x:c r="A165" s="30" t="str">
        <x:f>IF(B165="","","EV-"&amp;TEXT(ROW()-1,"0000"))</x:f>
      </x:c>
      <x:c r="B165" s="30"/>
      <x:c r="C165" s="30" t="str">
        <x:f>IF(B165="","",IFERROR(VLOOKUP(B165,Country_Config!$A$2:$G$100,2,FALSE),""))</x:f>
      </x:c>
      <x:c r="D165" s="30" t="str">
        <x:f>IF(B165="","",IFERROR(VLOOKUP(B165,Country_Config!$A$2:$G$100,3,FALSE),""))</x:f>
      </x:c>
      <x:c r="E165" s="30"/>
      <x:c r="F165" s="30"/>
      <x:c r="G165" s="30"/>
      <x:c r="H165" s="30" t="str">
        <x:f>IF(OR(E165="",F165=""),"",IFERROR(VLOOKUP(E165&amp;"|"&amp;F165,Rules_Weights!$A$2:$E$120,4,FALSE),100))</x:f>
      </x:c>
      <x:c r="I165" s="30"/>
      <x:c r="J165" s="30"/>
      <x:c r="K165" s="30"/>
      <x:c r="L165" s="30"/>
      <x:c r="M165" s="30"/>
      <x:c r="N165" s="30" t="str">
        <x:f>IF(I165="","",IFERROR(VLOOKUP(I165,Lookups!$A$2:$B$5,2,FALSE),0))</x:f>
      </x:c>
      <x:c r="O165" s="30" t="str">
        <x:f>IF(OR(L165="",V165&lt;&gt;"Yes"),"",IF(U165="Yes",1,IFS(TODAY()-L165&lt;=365,1,TODAY()-L165&lt;=730,0.8,TODAY()-L165&lt;=1460,0.6,TRUE,0.4)))</x:f>
      </x:c>
      <x:c r="P165" s="30" t="str">
        <x:f>IF(V165&lt;&gt;"Yes","",IFERROR(H165*N165*O165,0))</x:f>
      </x:c>
      <x:c r="Q165" s="30" t="str">
        <x:f>IF(P165="","",G165*P165)</x:f>
      </x:c>
      <x:c r="R165" s="30" t="str">
        <x:f>IF(K165="","",IFERROR(REGEXEXTRACT(K165,"https?://([^/]+)"),""))</x:f>
      </x:c>
      <x:c r="S165" s="30" t="str">
        <x:f>IF(R165&lt;&gt;"",LOWER(R165),IF(J165&lt;&gt;"",LOWER(J165),""))</x:f>
      </x:c>
      <x:c r="T165" s="30"/>
      <x:c r="U165" s="30"/>
      <x:c r="V165" s="30"/>
      <x:c r="W165" s="30" t="str">
        <x:f>IF(B165="","",IF(V165&lt;&gt;"Yes","Excluded",IF(OR(G165="",H165="",I165=""),"Needs review","Included")))</x:f>
      </x:c>
    </x:row>
    <x:row r="166">
      <x:c r="A166" s="30" t="str">
        <x:f>IF(B166="","","EV-"&amp;TEXT(ROW()-1,"0000"))</x:f>
      </x:c>
      <x:c r="B166" s="30"/>
      <x:c r="C166" s="30" t="str">
        <x:f>IF(B166="","",IFERROR(VLOOKUP(B166,Country_Config!$A$2:$G$100,2,FALSE),""))</x:f>
      </x:c>
      <x:c r="D166" s="30" t="str">
        <x:f>IF(B166="","",IFERROR(VLOOKUP(B166,Country_Config!$A$2:$G$100,3,FALSE),""))</x:f>
      </x:c>
      <x:c r="E166" s="30"/>
      <x:c r="F166" s="30"/>
      <x:c r="G166" s="30"/>
      <x:c r="H166" s="30" t="str">
        <x:f>IF(OR(E166="",F166=""),"",IFERROR(VLOOKUP(E166&amp;"|"&amp;F166,Rules_Weights!$A$2:$E$120,4,FALSE),100))</x:f>
      </x:c>
      <x:c r="I166" s="30"/>
      <x:c r="J166" s="30"/>
      <x:c r="K166" s="30"/>
      <x:c r="L166" s="30"/>
      <x:c r="M166" s="30"/>
      <x:c r="N166" s="30" t="str">
        <x:f>IF(I166="","",IFERROR(VLOOKUP(I166,Lookups!$A$2:$B$5,2,FALSE),0))</x:f>
      </x:c>
      <x:c r="O166" s="30" t="str">
        <x:f>IF(OR(L166="",V166&lt;&gt;"Yes"),"",IF(U166="Yes",1,IFS(TODAY()-L166&lt;=365,1,TODAY()-L166&lt;=730,0.8,TODAY()-L166&lt;=1460,0.6,TRUE,0.4)))</x:f>
      </x:c>
      <x:c r="P166" s="30" t="str">
        <x:f>IF(V166&lt;&gt;"Yes","",IFERROR(H166*N166*O166,0))</x:f>
      </x:c>
      <x:c r="Q166" s="30" t="str">
        <x:f>IF(P166="","",G166*P166)</x:f>
      </x:c>
      <x:c r="R166" s="30" t="str">
        <x:f>IF(K166="","",IFERROR(REGEXEXTRACT(K166,"https?://([^/]+)"),""))</x:f>
      </x:c>
      <x:c r="S166" s="30" t="str">
        <x:f>IF(R166&lt;&gt;"",LOWER(R166),IF(J166&lt;&gt;"",LOWER(J166),""))</x:f>
      </x:c>
      <x:c r="T166" s="30"/>
      <x:c r="U166" s="30"/>
      <x:c r="V166" s="30"/>
      <x:c r="W166" s="30" t="str">
        <x:f>IF(B166="","",IF(V166&lt;&gt;"Yes","Excluded",IF(OR(G166="",H166="",I166=""),"Needs review","Included")))</x:f>
      </x:c>
    </x:row>
    <x:row r="167">
      <x:c r="A167" s="30" t="str">
        <x:f>IF(B167="","","EV-"&amp;TEXT(ROW()-1,"0000"))</x:f>
      </x:c>
      <x:c r="B167" s="30"/>
      <x:c r="C167" s="30" t="str">
        <x:f>IF(B167="","",IFERROR(VLOOKUP(B167,Country_Config!$A$2:$G$100,2,FALSE),""))</x:f>
      </x:c>
      <x:c r="D167" s="30" t="str">
        <x:f>IF(B167="","",IFERROR(VLOOKUP(B167,Country_Config!$A$2:$G$100,3,FALSE),""))</x:f>
      </x:c>
      <x:c r="E167" s="30"/>
      <x:c r="F167" s="30"/>
      <x:c r="G167" s="30"/>
      <x:c r="H167" s="30" t="str">
        <x:f>IF(OR(E167="",F167=""),"",IFERROR(VLOOKUP(E167&amp;"|"&amp;F167,Rules_Weights!$A$2:$E$120,4,FALSE),100))</x:f>
      </x:c>
      <x:c r="I167" s="30"/>
      <x:c r="J167" s="30"/>
      <x:c r="K167" s="30"/>
      <x:c r="L167" s="30"/>
      <x:c r="M167" s="30"/>
      <x:c r="N167" s="30" t="str">
        <x:f>IF(I167="","",IFERROR(VLOOKUP(I167,Lookups!$A$2:$B$5,2,FALSE),0))</x:f>
      </x:c>
      <x:c r="O167" s="30" t="str">
        <x:f>IF(OR(L167="",V167&lt;&gt;"Yes"),"",IF(U167="Yes",1,IFS(TODAY()-L167&lt;=365,1,TODAY()-L167&lt;=730,0.8,TODAY()-L167&lt;=1460,0.6,TRUE,0.4)))</x:f>
      </x:c>
      <x:c r="P167" s="30" t="str">
        <x:f>IF(V167&lt;&gt;"Yes","",IFERROR(H167*N167*O167,0))</x:f>
      </x:c>
      <x:c r="Q167" s="30" t="str">
        <x:f>IF(P167="","",G167*P167)</x:f>
      </x:c>
      <x:c r="R167" s="30" t="str">
        <x:f>IF(K167="","",IFERROR(REGEXEXTRACT(K167,"https?://([^/]+)"),""))</x:f>
      </x:c>
      <x:c r="S167" s="30" t="str">
        <x:f>IF(R167&lt;&gt;"",LOWER(R167),IF(J167&lt;&gt;"",LOWER(J167),""))</x:f>
      </x:c>
      <x:c r="T167" s="30"/>
      <x:c r="U167" s="30"/>
      <x:c r="V167" s="30"/>
      <x:c r="W167" s="30" t="str">
        <x:f>IF(B167="","",IF(V167&lt;&gt;"Yes","Excluded",IF(OR(G167="",H167="",I167=""),"Needs review","Included")))</x:f>
      </x:c>
    </x:row>
    <x:row r="168">
      <x:c r="A168" s="30" t="str">
        <x:f>IF(B168="","","EV-"&amp;TEXT(ROW()-1,"0000"))</x:f>
      </x:c>
      <x:c r="B168" s="30"/>
      <x:c r="C168" s="30" t="str">
        <x:f>IF(B168="","",IFERROR(VLOOKUP(B168,Country_Config!$A$2:$G$100,2,FALSE),""))</x:f>
      </x:c>
      <x:c r="D168" s="30" t="str">
        <x:f>IF(B168="","",IFERROR(VLOOKUP(B168,Country_Config!$A$2:$G$100,3,FALSE),""))</x:f>
      </x:c>
      <x:c r="E168" s="30"/>
      <x:c r="F168" s="30"/>
      <x:c r="G168" s="30"/>
      <x:c r="H168" s="30" t="str">
        <x:f>IF(OR(E168="",F168=""),"",IFERROR(VLOOKUP(E168&amp;"|"&amp;F168,Rules_Weights!$A$2:$E$120,4,FALSE),100))</x:f>
      </x:c>
      <x:c r="I168" s="30"/>
      <x:c r="J168" s="30"/>
      <x:c r="K168" s="30"/>
      <x:c r="L168" s="30"/>
      <x:c r="M168" s="30"/>
      <x:c r="N168" s="30" t="str">
        <x:f>IF(I168="","",IFERROR(VLOOKUP(I168,Lookups!$A$2:$B$5,2,FALSE),0))</x:f>
      </x:c>
      <x:c r="O168" s="30" t="str">
        <x:f>IF(OR(L168="",V168&lt;&gt;"Yes"),"",IF(U168="Yes",1,IFS(TODAY()-L168&lt;=365,1,TODAY()-L168&lt;=730,0.8,TODAY()-L168&lt;=1460,0.6,TRUE,0.4)))</x:f>
      </x:c>
      <x:c r="P168" s="30" t="str">
        <x:f>IF(V168&lt;&gt;"Yes","",IFERROR(H168*N168*O168,0))</x:f>
      </x:c>
      <x:c r="Q168" s="30" t="str">
        <x:f>IF(P168="","",G168*P168)</x:f>
      </x:c>
      <x:c r="R168" s="30" t="str">
        <x:f>IF(K168="","",IFERROR(REGEXEXTRACT(K168,"https?://([^/]+)"),""))</x:f>
      </x:c>
      <x:c r="S168" s="30" t="str">
        <x:f>IF(R168&lt;&gt;"",LOWER(R168),IF(J168&lt;&gt;"",LOWER(J168),""))</x:f>
      </x:c>
      <x:c r="T168" s="30"/>
      <x:c r="U168" s="30"/>
      <x:c r="V168" s="30"/>
      <x:c r="W168" s="30" t="str">
        <x:f>IF(B168="","",IF(V168&lt;&gt;"Yes","Excluded",IF(OR(G168="",H168="",I168=""),"Needs review","Included")))</x:f>
      </x:c>
    </x:row>
    <x:row r="169">
      <x:c r="A169" s="30" t="str">
        <x:f>IF(B169="","","EV-"&amp;TEXT(ROW()-1,"0000"))</x:f>
      </x:c>
      <x:c r="B169" s="30"/>
      <x:c r="C169" s="30" t="str">
        <x:f>IF(B169="","",IFERROR(VLOOKUP(B169,Country_Config!$A$2:$G$100,2,FALSE),""))</x:f>
      </x:c>
      <x:c r="D169" s="30" t="str">
        <x:f>IF(B169="","",IFERROR(VLOOKUP(B169,Country_Config!$A$2:$G$100,3,FALSE),""))</x:f>
      </x:c>
      <x:c r="E169" s="30"/>
      <x:c r="F169" s="30"/>
      <x:c r="G169" s="30"/>
      <x:c r="H169" s="30" t="str">
        <x:f>IF(OR(E169="",F169=""),"",IFERROR(VLOOKUP(E169&amp;"|"&amp;F169,Rules_Weights!$A$2:$E$120,4,FALSE),100))</x:f>
      </x:c>
      <x:c r="I169" s="30"/>
      <x:c r="J169" s="30"/>
      <x:c r="K169" s="30"/>
      <x:c r="L169" s="30"/>
      <x:c r="M169" s="30"/>
      <x:c r="N169" s="30" t="str">
        <x:f>IF(I169="","",IFERROR(VLOOKUP(I169,Lookups!$A$2:$B$5,2,FALSE),0))</x:f>
      </x:c>
      <x:c r="O169" s="30" t="str">
        <x:f>IF(OR(L169="",V169&lt;&gt;"Yes"),"",IF(U169="Yes",1,IFS(TODAY()-L169&lt;=365,1,TODAY()-L169&lt;=730,0.8,TODAY()-L169&lt;=1460,0.6,TRUE,0.4)))</x:f>
      </x:c>
      <x:c r="P169" s="30" t="str">
        <x:f>IF(V169&lt;&gt;"Yes","",IFERROR(H169*N169*O169,0))</x:f>
      </x:c>
      <x:c r="Q169" s="30" t="str">
        <x:f>IF(P169="","",G169*P169)</x:f>
      </x:c>
      <x:c r="R169" s="30" t="str">
        <x:f>IF(K169="","",IFERROR(REGEXEXTRACT(K169,"https?://([^/]+)"),""))</x:f>
      </x:c>
      <x:c r="S169" s="30" t="str">
        <x:f>IF(R169&lt;&gt;"",LOWER(R169),IF(J169&lt;&gt;"",LOWER(J169),""))</x:f>
      </x:c>
      <x:c r="T169" s="30"/>
      <x:c r="U169" s="30"/>
      <x:c r="V169" s="30"/>
      <x:c r="W169" s="30" t="str">
        <x:f>IF(B169="","",IF(V169&lt;&gt;"Yes","Excluded",IF(OR(G169="",H169="",I169=""),"Needs review","Included")))</x:f>
      </x:c>
    </x:row>
    <x:row r="170">
      <x:c r="A170" s="30" t="str">
        <x:f>IF(B170="","","EV-"&amp;TEXT(ROW()-1,"0000"))</x:f>
      </x:c>
      <x:c r="B170" s="30"/>
      <x:c r="C170" s="30" t="str">
        <x:f>IF(B170="","",IFERROR(VLOOKUP(B170,Country_Config!$A$2:$G$100,2,FALSE),""))</x:f>
      </x:c>
      <x:c r="D170" s="30" t="str">
        <x:f>IF(B170="","",IFERROR(VLOOKUP(B170,Country_Config!$A$2:$G$100,3,FALSE),""))</x:f>
      </x:c>
      <x:c r="E170" s="30"/>
      <x:c r="F170" s="30"/>
      <x:c r="G170" s="30"/>
      <x:c r="H170" s="30" t="str">
        <x:f>IF(OR(E170="",F170=""),"",IFERROR(VLOOKUP(E170&amp;"|"&amp;F170,Rules_Weights!$A$2:$E$120,4,FALSE),100))</x:f>
      </x:c>
      <x:c r="I170" s="30"/>
      <x:c r="J170" s="30"/>
      <x:c r="K170" s="30"/>
      <x:c r="L170" s="30"/>
      <x:c r="M170" s="30"/>
      <x:c r="N170" s="30" t="str">
        <x:f>IF(I170="","",IFERROR(VLOOKUP(I170,Lookups!$A$2:$B$5,2,FALSE),0))</x:f>
      </x:c>
      <x:c r="O170" s="30" t="str">
        <x:f>IF(OR(L170="",V170&lt;&gt;"Yes"),"",IF(U170="Yes",1,IFS(TODAY()-L170&lt;=365,1,TODAY()-L170&lt;=730,0.8,TODAY()-L170&lt;=1460,0.6,TRUE,0.4)))</x:f>
      </x:c>
      <x:c r="P170" s="30" t="str">
        <x:f>IF(V170&lt;&gt;"Yes","",IFERROR(H170*N170*O170,0))</x:f>
      </x:c>
      <x:c r="Q170" s="30" t="str">
        <x:f>IF(P170="","",G170*P170)</x:f>
      </x:c>
      <x:c r="R170" s="30" t="str">
        <x:f>IF(K170="","",IFERROR(REGEXEXTRACT(K170,"https?://([^/]+)"),""))</x:f>
      </x:c>
      <x:c r="S170" s="30" t="str">
        <x:f>IF(R170&lt;&gt;"",LOWER(R170),IF(J170&lt;&gt;"",LOWER(J170),""))</x:f>
      </x:c>
      <x:c r="T170" s="30"/>
      <x:c r="U170" s="30"/>
      <x:c r="V170" s="30"/>
      <x:c r="W170" s="30" t="str">
        <x:f>IF(B170="","",IF(V170&lt;&gt;"Yes","Excluded",IF(OR(G170="",H170="",I170=""),"Needs review","Included")))</x:f>
      </x:c>
    </x:row>
    <x:row r="171">
      <x:c r="A171" s="30" t="str">
        <x:f>IF(B171="","","EV-"&amp;TEXT(ROW()-1,"0000"))</x:f>
      </x:c>
      <x:c r="B171" s="30"/>
      <x:c r="C171" s="30" t="str">
        <x:f>IF(B171="","",IFERROR(VLOOKUP(B171,Country_Config!$A$2:$G$100,2,FALSE),""))</x:f>
      </x:c>
      <x:c r="D171" s="30" t="str">
        <x:f>IF(B171="","",IFERROR(VLOOKUP(B171,Country_Config!$A$2:$G$100,3,FALSE),""))</x:f>
      </x:c>
      <x:c r="E171" s="30"/>
      <x:c r="F171" s="30"/>
      <x:c r="G171" s="30"/>
      <x:c r="H171" s="30" t="str">
        <x:f>IF(OR(E171="",F171=""),"",IFERROR(VLOOKUP(E171&amp;"|"&amp;F171,Rules_Weights!$A$2:$E$120,4,FALSE),100))</x:f>
      </x:c>
      <x:c r="I171" s="30"/>
      <x:c r="J171" s="30"/>
      <x:c r="K171" s="30"/>
      <x:c r="L171" s="30"/>
      <x:c r="M171" s="30"/>
      <x:c r="N171" s="30" t="str">
        <x:f>IF(I171="","",IFERROR(VLOOKUP(I171,Lookups!$A$2:$B$5,2,FALSE),0))</x:f>
      </x:c>
      <x:c r="O171" s="30" t="str">
        <x:f>IF(OR(L171="",V171&lt;&gt;"Yes"),"",IF(U171="Yes",1,IFS(TODAY()-L171&lt;=365,1,TODAY()-L171&lt;=730,0.8,TODAY()-L171&lt;=1460,0.6,TRUE,0.4)))</x:f>
      </x:c>
      <x:c r="P171" s="30" t="str">
        <x:f>IF(V171&lt;&gt;"Yes","",IFERROR(H171*N171*O171,0))</x:f>
      </x:c>
      <x:c r="Q171" s="30" t="str">
        <x:f>IF(P171="","",G171*P171)</x:f>
      </x:c>
      <x:c r="R171" s="30" t="str">
        <x:f>IF(K171="","",IFERROR(REGEXEXTRACT(K171,"https?://([^/]+)"),""))</x:f>
      </x:c>
      <x:c r="S171" s="30" t="str">
        <x:f>IF(R171&lt;&gt;"",LOWER(R171),IF(J171&lt;&gt;"",LOWER(J171),""))</x:f>
      </x:c>
      <x:c r="T171" s="30"/>
      <x:c r="U171" s="30"/>
      <x:c r="V171" s="30"/>
      <x:c r="W171" s="30" t="str">
        <x:f>IF(B171="","",IF(V171&lt;&gt;"Yes","Excluded",IF(OR(G171="",H171="",I171=""),"Needs review","Included")))</x:f>
      </x:c>
    </x:row>
    <x:row r="172">
      <x:c r="A172" s="30" t="str">
        <x:f>IF(B172="","","EV-"&amp;TEXT(ROW()-1,"0000"))</x:f>
      </x:c>
      <x:c r="B172" s="30"/>
      <x:c r="C172" s="30" t="str">
        <x:f>IF(B172="","",IFERROR(VLOOKUP(B172,Country_Config!$A$2:$G$100,2,FALSE),""))</x:f>
      </x:c>
      <x:c r="D172" s="30" t="str">
        <x:f>IF(B172="","",IFERROR(VLOOKUP(B172,Country_Config!$A$2:$G$100,3,FALSE),""))</x:f>
      </x:c>
      <x:c r="E172" s="30"/>
      <x:c r="F172" s="30"/>
      <x:c r="G172" s="30"/>
      <x:c r="H172" s="30" t="str">
        <x:f>IF(OR(E172="",F172=""),"",IFERROR(VLOOKUP(E172&amp;"|"&amp;F172,Rules_Weights!$A$2:$E$120,4,FALSE),100))</x:f>
      </x:c>
      <x:c r="I172" s="30"/>
      <x:c r="J172" s="30"/>
      <x:c r="K172" s="30"/>
      <x:c r="L172" s="30"/>
      <x:c r="M172" s="30"/>
      <x:c r="N172" s="30" t="str">
        <x:f>IF(I172="","",IFERROR(VLOOKUP(I172,Lookups!$A$2:$B$5,2,FALSE),0))</x:f>
      </x:c>
      <x:c r="O172" s="30" t="str">
        <x:f>IF(OR(L172="",V172&lt;&gt;"Yes"),"",IF(U172="Yes",1,IFS(TODAY()-L172&lt;=365,1,TODAY()-L172&lt;=730,0.8,TODAY()-L172&lt;=1460,0.6,TRUE,0.4)))</x:f>
      </x:c>
      <x:c r="P172" s="30" t="str">
        <x:f>IF(V172&lt;&gt;"Yes","",IFERROR(H172*N172*O172,0))</x:f>
      </x:c>
      <x:c r="Q172" s="30" t="str">
        <x:f>IF(P172="","",G172*P172)</x:f>
      </x:c>
      <x:c r="R172" s="30" t="str">
        <x:f>IF(K172="","",IFERROR(REGEXEXTRACT(K172,"https?://([^/]+)"),""))</x:f>
      </x:c>
      <x:c r="S172" s="30" t="str">
        <x:f>IF(R172&lt;&gt;"",LOWER(R172),IF(J172&lt;&gt;"",LOWER(J172),""))</x:f>
      </x:c>
      <x:c r="T172" s="30"/>
      <x:c r="U172" s="30"/>
      <x:c r="V172" s="30"/>
      <x:c r="W172" s="30" t="str">
        <x:f>IF(B172="","",IF(V172&lt;&gt;"Yes","Excluded",IF(OR(G172="",H172="",I172=""),"Needs review","Included")))</x:f>
      </x:c>
    </x:row>
    <x:row r="173">
      <x:c r="A173" s="30" t="str">
        <x:f>IF(B173="","","EV-"&amp;TEXT(ROW()-1,"0000"))</x:f>
      </x:c>
      <x:c r="B173" s="30"/>
      <x:c r="C173" s="30" t="str">
        <x:f>IF(B173="","",IFERROR(VLOOKUP(B173,Country_Config!$A$2:$G$100,2,FALSE),""))</x:f>
      </x:c>
      <x:c r="D173" s="30" t="str">
        <x:f>IF(B173="","",IFERROR(VLOOKUP(B173,Country_Config!$A$2:$G$100,3,FALSE),""))</x:f>
      </x:c>
      <x:c r="E173" s="30"/>
      <x:c r="F173" s="30"/>
      <x:c r="G173" s="30"/>
      <x:c r="H173" s="30" t="str">
        <x:f>IF(OR(E173="",F173=""),"",IFERROR(VLOOKUP(E173&amp;"|"&amp;F173,Rules_Weights!$A$2:$E$120,4,FALSE),100))</x:f>
      </x:c>
      <x:c r="I173" s="30"/>
      <x:c r="J173" s="30"/>
      <x:c r="K173" s="30"/>
      <x:c r="L173" s="30"/>
      <x:c r="M173" s="30"/>
      <x:c r="N173" s="30" t="str">
        <x:f>IF(I173="","",IFERROR(VLOOKUP(I173,Lookups!$A$2:$B$5,2,FALSE),0))</x:f>
      </x:c>
      <x:c r="O173" s="30" t="str">
        <x:f>IF(OR(L173="",V173&lt;&gt;"Yes"),"",IF(U173="Yes",1,IFS(TODAY()-L173&lt;=365,1,TODAY()-L173&lt;=730,0.8,TODAY()-L173&lt;=1460,0.6,TRUE,0.4)))</x:f>
      </x:c>
      <x:c r="P173" s="30" t="str">
        <x:f>IF(V173&lt;&gt;"Yes","",IFERROR(H173*N173*O173,0))</x:f>
      </x:c>
      <x:c r="Q173" s="30" t="str">
        <x:f>IF(P173="","",G173*P173)</x:f>
      </x:c>
      <x:c r="R173" s="30" t="str">
        <x:f>IF(K173="","",IFERROR(REGEXEXTRACT(K173,"https?://([^/]+)"),""))</x:f>
      </x:c>
      <x:c r="S173" s="30" t="str">
        <x:f>IF(R173&lt;&gt;"",LOWER(R173),IF(J173&lt;&gt;"",LOWER(J173),""))</x:f>
      </x:c>
      <x:c r="T173" s="30"/>
      <x:c r="U173" s="30"/>
      <x:c r="V173" s="30"/>
      <x:c r="W173" s="30" t="str">
        <x:f>IF(B173="","",IF(V173&lt;&gt;"Yes","Excluded",IF(OR(G173="",H173="",I173=""),"Needs review","Included")))</x:f>
      </x:c>
    </x:row>
    <x:row r="174">
      <x:c r="A174" s="30" t="str">
        <x:f>IF(B174="","","EV-"&amp;TEXT(ROW()-1,"0000"))</x:f>
      </x:c>
      <x:c r="B174" s="30"/>
      <x:c r="C174" s="30" t="str">
        <x:f>IF(B174="","",IFERROR(VLOOKUP(B174,Country_Config!$A$2:$G$100,2,FALSE),""))</x:f>
      </x:c>
      <x:c r="D174" s="30" t="str">
        <x:f>IF(B174="","",IFERROR(VLOOKUP(B174,Country_Config!$A$2:$G$100,3,FALSE),""))</x:f>
      </x:c>
      <x:c r="E174" s="30"/>
      <x:c r="F174" s="30"/>
      <x:c r="G174" s="30"/>
      <x:c r="H174" s="30" t="str">
        <x:f>IF(OR(E174="",F174=""),"",IFERROR(VLOOKUP(E174&amp;"|"&amp;F174,Rules_Weights!$A$2:$E$120,4,FALSE),100))</x:f>
      </x:c>
      <x:c r="I174" s="30"/>
      <x:c r="J174" s="30"/>
      <x:c r="K174" s="30"/>
      <x:c r="L174" s="30"/>
      <x:c r="M174" s="30"/>
      <x:c r="N174" s="30" t="str">
        <x:f>IF(I174="","",IFERROR(VLOOKUP(I174,Lookups!$A$2:$B$5,2,FALSE),0))</x:f>
      </x:c>
      <x:c r="O174" s="30" t="str">
        <x:f>IF(OR(L174="",V174&lt;&gt;"Yes"),"",IF(U174="Yes",1,IFS(TODAY()-L174&lt;=365,1,TODAY()-L174&lt;=730,0.8,TODAY()-L174&lt;=1460,0.6,TRUE,0.4)))</x:f>
      </x:c>
      <x:c r="P174" s="30" t="str">
        <x:f>IF(V174&lt;&gt;"Yes","",IFERROR(H174*N174*O174,0))</x:f>
      </x:c>
      <x:c r="Q174" s="30" t="str">
        <x:f>IF(P174="","",G174*P174)</x:f>
      </x:c>
      <x:c r="R174" s="30" t="str">
        <x:f>IF(K174="","",IFERROR(REGEXEXTRACT(K174,"https?://([^/]+)"),""))</x:f>
      </x:c>
      <x:c r="S174" s="30" t="str">
        <x:f>IF(R174&lt;&gt;"",LOWER(R174),IF(J174&lt;&gt;"",LOWER(J174),""))</x:f>
      </x:c>
      <x:c r="T174" s="30"/>
      <x:c r="U174" s="30"/>
      <x:c r="V174" s="30"/>
      <x:c r="W174" s="30" t="str">
        <x:f>IF(B174="","",IF(V174&lt;&gt;"Yes","Excluded",IF(OR(G174="",H174="",I174=""),"Needs review","Included")))</x:f>
      </x:c>
    </x:row>
    <x:row r="175">
      <x:c r="A175" s="30" t="str">
        <x:f>IF(B175="","","EV-"&amp;TEXT(ROW()-1,"0000"))</x:f>
      </x:c>
      <x:c r="B175" s="30"/>
      <x:c r="C175" s="30" t="str">
        <x:f>IF(B175="","",IFERROR(VLOOKUP(B175,Country_Config!$A$2:$G$100,2,FALSE),""))</x:f>
      </x:c>
      <x:c r="D175" s="30" t="str">
        <x:f>IF(B175="","",IFERROR(VLOOKUP(B175,Country_Config!$A$2:$G$100,3,FALSE),""))</x:f>
      </x:c>
      <x:c r="E175" s="30"/>
      <x:c r="F175" s="30"/>
      <x:c r="G175" s="30"/>
      <x:c r="H175" s="30" t="str">
        <x:f>IF(OR(E175="",F175=""),"",IFERROR(VLOOKUP(E175&amp;"|"&amp;F175,Rules_Weights!$A$2:$E$120,4,FALSE),100))</x:f>
      </x:c>
      <x:c r="I175" s="30"/>
      <x:c r="J175" s="30"/>
      <x:c r="K175" s="30"/>
      <x:c r="L175" s="30"/>
      <x:c r="M175" s="30"/>
      <x:c r="N175" s="30" t="str">
        <x:f>IF(I175="","",IFERROR(VLOOKUP(I175,Lookups!$A$2:$B$5,2,FALSE),0))</x:f>
      </x:c>
      <x:c r="O175" s="30" t="str">
        <x:f>IF(OR(L175="",V175&lt;&gt;"Yes"),"",IF(U175="Yes",1,IFS(TODAY()-L175&lt;=365,1,TODAY()-L175&lt;=730,0.8,TODAY()-L175&lt;=1460,0.6,TRUE,0.4)))</x:f>
      </x:c>
      <x:c r="P175" s="30" t="str">
        <x:f>IF(V175&lt;&gt;"Yes","",IFERROR(H175*N175*O175,0))</x:f>
      </x:c>
      <x:c r="Q175" s="30" t="str">
        <x:f>IF(P175="","",G175*P175)</x:f>
      </x:c>
      <x:c r="R175" s="30" t="str">
        <x:f>IF(K175="","",IFERROR(REGEXEXTRACT(K175,"https?://([^/]+)"),""))</x:f>
      </x:c>
      <x:c r="S175" s="30" t="str">
        <x:f>IF(R175&lt;&gt;"",LOWER(R175),IF(J175&lt;&gt;"",LOWER(J175),""))</x:f>
      </x:c>
      <x:c r="T175" s="30"/>
      <x:c r="U175" s="30"/>
      <x:c r="V175" s="30"/>
      <x:c r="W175" s="30" t="str">
        <x:f>IF(B175="","",IF(V175&lt;&gt;"Yes","Excluded",IF(OR(G175="",H175="",I175=""),"Needs review","Included")))</x:f>
      </x:c>
    </x:row>
    <x:row r="176">
      <x:c r="A176" s="30" t="str">
        <x:f>IF(B176="","","EV-"&amp;TEXT(ROW()-1,"0000"))</x:f>
      </x:c>
      <x:c r="B176" s="30"/>
      <x:c r="C176" s="30" t="str">
        <x:f>IF(B176="","",IFERROR(VLOOKUP(B176,Country_Config!$A$2:$G$100,2,FALSE),""))</x:f>
      </x:c>
      <x:c r="D176" s="30" t="str">
        <x:f>IF(B176="","",IFERROR(VLOOKUP(B176,Country_Config!$A$2:$G$100,3,FALSE),""))</x:f>
      </x:c>
      <x:c r="E176" s="30"/>
      <x:c r="F176" s="30"/>
      <x:c r="G176" s="30"/>
      <x:c r="H176" s="30" t="str">
        <x:f>IF(OR(E176="",F176=""),"",IFERROR(VLOOKUP(E176&amp;"|"&amp;F176,Rules_Weights!$A$2:$E$120,4,FALSE),100))</x:f>
      </x:c>
      <x:c r="I176" s="30"/>
      <x:c r="J176" s="30"/>
      <x:c r="K176" s="30"/>
      <x:c r="L176" s="30"/>
      <x:c r="M176" s="30"/>
      <x:c r="N176" s="30" t="str">
        <x:f>IF(I176="","",IFERROR(VLOOKUP(I176,Lookups!$A$2:$B$5,2,FALSE),0))</x:f>
      </x:c>
      <x:c r="O176" s="30" t="str">
        <x:f>IF(OR(L176="",V176&lt;&gt;"Yes"),"",IF(U176="Yes",1,IFS(TODAY()-L176&lt;=365,1,TODAY()-L176&lt;=730,0.8,TODAY()-L176&lt;=1460,0.6,TRUE,0.4)))</x:f>
      </x:c>
      <x:c r="P176" s="30" t="str">
        <x:f>IF(V176&lt;&gt;"Yes","",IFERROR(H176*N176*O176,0))</x:f>
      </x:c>
      <x:c r="Q176" s="30" t="str">
        <x:f>IF(P176="","",G176*P176)</x:f>
      </x:c>
      <x:c r="R176" s="30" t="str">
        <x:f>IF(K176="","",IFERROR(REGEXEXTRACT(K176,"https?://([^/]+)"),""))</x:f>
      </x:c>
      <x:c r="S176" s="30" t="str">
        <x:f>IF(R176&lt;&gt;"",LOWER(R176),IF(J176&lt;&gt;"",LOWER(J176),""))</x:f>
      </x:c>
      <x:c r="T176" s="30"/>
      <x:c r="U176" s="30"/>
      <x:c r="V176" s="30"/>
      <x:c r="W176" s="30" t="str">
        <x:f>IF(B176="","",IF(V176&lt;&gt;"Yes","Excluded",IF(OR(G176="",H176="",I176=""),"Needs review","Included")))</x:f>
      </x:c>
    </x:row>
    <x:row r="177">
      <x:c r="A177" s="30" t="str">
        <x:f>IF(B177="","","EV-"&amp;TEXT(ROW()-1,"0000"))</x:f>
      </x:c>
      <x:c r="B177" s="30"/>
      <x:c r="C177" s="30" t="str">
        <x:f>IF(B177="","",IFERROR(VLOOKUP(B177,Country_Config!$A$2:$G$100,2,FALSE),""))</x:f>
      </x:c>
      <x:c r="D177" s="30" t="str">
        <x:f>IF(B177="","",IFERROR(VLOOKUP(B177,Country_Config!$A$2:$G$100,3,FALSE),""))</x:f>
      </x:c>
      <x:c r="E177" s="30"/>
      <x:c r="F177" s="30"/>
      <x:c r="G177" s="30"/>
      <x:c r="H177" s="30" t="str">
        <x:f>IF(OR(E177="",F177=""),"",IFERROR(VLOOKUP(E177&amp;"|"&amp;F177,Rules_Weights!$A$2:$E$120,4,FALSE),100))</x:f>
      </x:c>
      <x:c r="I177" s="30"/>
      <x:c r="J177" s="30"/>
      <x:c r="K177" s="30"/>
      <x:c r="L177" s="30"/>
      <x:c r="M177" s="30"/>
      <x:c r="N177" s="30" t="str">
        <x:f>IF(I177="","",IFERROR(VLOOKUP(I177,Lookups!$A$2:$B$5,2,FALSE),0))</x:f>
      </x:c>
      <x:c r="O177" s="30" t="str">
        <x:f>IF(OR(L177="",V177&lt;&gt;"Yes"),"",IF(U177="Yes",1,IFS(TODAY()-L177&lt;=365,1,TODAY()-L177&lt;=730,0.8,TODAY()-L177&lt;=1460,0.6,TRUE,0.4)))</x:f>
      </x:c>
      <x:c r="P177" s="30" t="str">
        <x:f>IF(V177&lt;&gt;"Yes","",IFERROR(H177*N177*O177,0))</x:f>
      </x:c>
      <x:c r="Q177" s="30" t="str">
        <x:f>IF(P177="","",G177*P177)</x:f>
      </x:c>
      <x:c r="R177" s="30" t="str">
        <x:f>IF(K177="","",IFERROR(REGEXEXTRACT(K177,"https?://([^/]+)"),""))</x:f>
      </x:c>
      <x:c r="S177" s="30" t="str">
        <x:f>IF(R177&lt;&gt;"",LOWER(R177),IF(J177&lt;&gt;"",LOWER(J177),""))</x:f>
      </x:c>
      <x:c r="T177" s="30"/>
      <x:c r="U177" s="30"/>
      <x:c r="V177" s="30"/>
      <x:c r="W177" s="30" t="str">
        <x:f>IF(B177="","",IF(V177&lt;&gt;"Yes","Excluded",IF(OR(G177="",H177="",I177=""),"Needs review","Included")))</x:f>
      </x:c>
    </x:row>
    <x:row r="178">
      <x:c r="A178" s="30" t="str">
        <x:f>IF(B178="","","EV-"&amp;TEXT(ROW()-1,"0000"))</x:f>
      </x:c>
      <x:c r="B178" s="30"/>
      <x:c r="C178" s="30" t="str">
        <x:f>IF(B178="","",IFERROR(VLOOKUP(B178,Country_Config!$A$2:$G$100,2,FALSE),""))</x:f>
      </x:c>
      <x:c r="D178" s="30" t="str">
        <x:f>IF(B178="","",IFERROR(VLOOKUP(B178,Country_Config!$A$2:$G$100,3,FALSE),""))</x:f>
      </x:c>
      <x:c r="E178" s="30"/>
      <x:c r="F178" s="30"/>
      <x:c r="G178" s="30"/>
      <x:c r="H178" s="30" t="str">
        <x:f>IF(OR(E178="",F178=""),"",IFERROR(VLOOKUP(E178&amp;"|"&amp;F178,Rules_Weights!$A$2:$E$120,4,FALSE),100))</x:f>
      </x:c>
      <x:c r="I178" s="30"/>
      <x:c r="J178" s="30"/>
      <x:c r="K178" s="30"/>
      <x:c r="L178" s="30"/>
      <x:c r="M178" s="30"/>
      <x:c r="N178" s="30" t="str">
        <x:f>IF(I178="","",IFERROR(VLOOKUP(I178,Lookups!$A$2:$B$5,2,FALSE),0))</x:f>
      </x:c>
      <x:c r="O178" s="30" t="str">
        <x:f>IF(OR(L178="",V178&lt;&gt;"Yes"),"",IF(U178="Yes",1,IFS(TODAY()-L178&lt;=365,1,TODAY()-L178&lt;=730,0.8,TODAY()-L178&lt;=1460,0.6,TRUE,0.4)))</x:f>
      </x:c>
      <x:c r="P178" s="30" t="str">
        <x:f>IF(V178&lt;&gt;"Yes","",IFERROR(H178*N178*O178,0))</x:f>
      </x:c>
      <x:c r="Q178" s="30" t="str">
        <x:f>IF(P178="","",G178*P178)</x:f>
      </x:c>
      <x:c r="R178" s="30" t="str">
        <x:f>IF(K178="","",IFERROR(REGEXEXTRACT(K178,"https?://([^/]+)"),""))</x:f>
      </x:c>
      <x:c r="S178" s="30" t="str">
        <x:f>IF(R178&lt;&gt;"",LOWER(R178),IF(J178&lt;&gt;"",LOWER(J178),""))</x:f>
      </x:c>
      <x:c r="T178" s="30"/>
      <x:c r="U178" s="30"/>
      <x:c r="V178" s="30"/>
      <x:c r="W178" s="30" t="str">
        <x:f>IF(B178="","",IF(V178&lt;&gt;"Yes","Excluded",IF(OR(G178="",H178="",I178=""),"Needs review","Included")))</x:f>
      </x:c>
    </x:row>
    <x:row r="179">
      <x:c r="A179" s="30" t="str">
        <x:f>IF(B179="","","EV-"&amp;TEXT(ROW()-1,"0000"))</x:f>
      </x:c>
      <x:c r="B179" s="30"/>
      <x:c r="C179" s="30" t="str">
        <x:f>IF(B179="","",IFERROR(VLOOKUP(B179,Country_Config!$A$2:$G$100,2,FALSE),""))</x:f>
      </x:c>
      <x:c r="D179" s="30" t="str">
        <x:f>IF(B179="","",IFERROR(VLOOKUP(B179,Country_Config!$A$2:$G$100,3,FALSE),""))</x:f>
      </x:c>
      <x:c r="E179" s="30"/>
      <x:c r="F179" s="30"/>
      <x:c r="G179" s="30"/>
      <x:c r="H179" s="30" t="str">
        <x:f>IF(OR(E179="",F179=""),"",IFERROR(VLOOKUP(E179&amp;"|"&amp;F179,Rules_Weights!$A$2:$E$120,4,FALSE),100))</x:f>
      </x:c>
      <x:c r="I179" s="30"/>
      <x:c r="J179" s="30"/>
      <x:c r="K179" s="30"/>
      <x:c r="L179" s="30"/>
      <x:c r="M179" s="30"/>
      <x:c r="N179" s="30" t="str">
        <x:f>IF(I179="","",IFERROR(VLOOKUP(I179,Lookups!$A$2:$B$5,2,FALSE),0))</x:f>
      </x:c>
      <x:c r="O179" s="30" t="str">
        <x:f>IF(OR(L179="",V179&lt;&gt;"Yes"),"",IF(U179="Yes",1,IFS(TODAY()-L179&lt;=365,1,TODAY()-L179&lt;=730,0.8,TODAY()-L179&lt;=1460,0.6,TRUE,0.4)))</x:f>
      </x:c>
      <x:c r="P179" s="30" t="str">
        <x:f>IF(V179&lt;&gt;"Yes","",IFERROR(H179*N179*O179,0))</x:f>
      </x:c>
      <x:c r="Q179" s="30" t="str">
        <x:f>IF(P179="","",G179*P179)</x:f>
      </x:c>
      <x:c r="R179" s="30" t="str">
        <x:f>IF(K179="","",IFERROR(REGEXEXTRACT(K179,"https?://([^/]+)"),""))</x:f>
      </x:c>
      <x:c r="S179" s="30" t="str">
        <x:f>IF(R179&lt;&gt;"",LOWER(R179),IF(J179&lt;&gt;"",LOWER(J179),""))</x:f>
      </x:c>
      <x:c r="T179" s="30"/>
      <x:c r="U179" s="30"/>
      <x:c r="V179" s="30"/>
      <x:c r="W179" s="30" t="str">
        <x:f>IF(B179="","",IF(V179&lt;&gt;"Yes","Excluded",IF(OR(G179="",H179="",I179=""),"Needs review","Included")))</x:f>
      </x:c>
    </x:row>
    <x:row r="180">
      <x:c r="A180" s="30" t="str">
        <x:f>IF(B180="","","EV-"&amp;TEXT(ROW()-1,"0000"))</x:f>
      </x:c>
      <x:c r="B180" s="30"/>
      <x:c r="C180" s="30" t="str">
        <x:f>IF(B180="","",IFERROR(VLOOKUP(B180,Country_Config!$A$2:$G$100,2,FALSE),""))</x:f>
      </x:c>
      <x:c r="D180" s="30" t="str">
        <x:f>IF(B180="","",IFERROR(VLOOKUP(B180,Country_Config!$A$2:$G$100,3,FALSE),""))</x:f>
      </x:c>
      <x:c r="E180" s="30"/>
      <x:c r="F180" s="30"/>
      <x:c r="G180" s="30"/>
      <x:c r="H180" s="30" t="str">
        <x:f>IF(OR(E180="",F180=""),"",IFERROR(VLOOKUP(E180&amp;"|"&amp;F180,Rules_Weights!$A$2:$E$120,4,FALSE),100))</x:f>
      </x:c>
      <x:c r="I180" s="30"/>
      <x:c r="J180" s="30"/>
      <x:c r="K180" s="30"/>
      <x:c r="L180" s="30"/>
      <x:c r="M180" s="30"/>
      <x:c r="N180" s="30" t="str">
        <x:f>IF(I180="","",IFERROR(VLOOKUP(I180,Lookups!$A$2:$B$5,2,FALSE),0))</x:f>
      </x:c>
      <x:c r="O180" s="30" t="str">
        <x:f>IF(OR(L180="",V180&lt;&gt;"Yes"),"",IF(U180="Yes",1,IFS(TODAY()-L180&lt;=365,1,TODAY()-L180&lt;=730,0.8,TODAY()-L180&lt;=1460,0.6,TRUE,0.4)))</x:f>
      </x:c>
      <x:c r="P180" s="30" t="str">
        <x:f>IF(V180&lt;&gt;"Yes","",IFERROR(H180*N180*O180,0))</x:f>
      </x:c>
      <x:c r="Q180" s="30" t="str">
        <x:f>IF(P180="","",G180*P180)</x:f>
      </x:c>
      <x:c r="R180" s="30" t="str">
        <x:f>IF(K180="","",IFERROR(REGEXEXTRACT(K180,"https?://([^/]+)"),""))</x:f>
      </x:c>
      <x:c r="S180" s="30" t="str">
        <x:f>IF(R180&lt;&gt;"",LOWER(R180),IF(J180&lt;&gt;"",LOWER(J180),""))</x:f>
      </x:c>
      <x:c r="T180" s="30"/>
      <x:c r="U180" s="30"/>
      <x:c r="V180" s="30"/>
      <x:c r="W180" s="30" t="str">
        <x:f>IF(B180="","",IF(V180&lt;&gt;"Yes","Excluded",IF(OR(G180="",H180="",I180=""),"Needs review","Included")))</x:f>
      </x:c>
    </x:row>
    <x:row r="181">
      <x:c r="A181" s="30" t="str">
        <x:f>IF(B181="","","EV-"&amp;TEXT(ROW()-1,"0000"))</x:f>
      </x:c>
      <x:c r="B181" s="30"/>
      <x:c r="C181" s="30" t="str">
        <x:f>IF(B181="","",IFERROR(VLOOKUP(B181,Country_Config!$A$2:$G$100,2,FALSE),""))</x:f>
      </x:c>
      <x:c r="D181" s="30" t="str">
        <x:f>IF(B181="","",IFERROR(VLOOKUP(B181,Country_Config!$A$2:$G$100,3,FALSE),""))</x:f>
      </x:c>
      <x:c r="E181" s="30"/>
      <x:c r="F181" s="30"/>
      <x:c r="G181" s="30"/>
      <x:c r="H181" s="30" t="str">
        <x:f>IF(OR(E181="",F181=""),"",IFERROR(VLOOKUP(E181&amp;"|"&amp;F181,Rules_Weights!$A$2:$E$120,4,FALSE),100))</x:f>
      </x:c>
      <x:c r="I181" s="30"/>
      <x:c r="J181" s="30"/>
      <x:c r="K181" s="30"/>
      <x:c r="L181" s="30"/>
      <x:c r="M181" s="30"/>
      <x:c r="N181" s="30" t="str">
        <x:f>IF(I181="","",IFERROR(VLOOKUP(I181,Lookups!$A$2:$B$5,2,FALSE),0))</x:f>
      </x:c>
      <x:c r="O181" s="30" t="str">
        <x:f>IF(OR(L181="",V181&lt;&gt;"Yes"),"",IF(U181="Yes",1,IFS(TODAY()-L181&lt;=365,1,TODAY()-L181&lt;=730,0.8,TODAY()-L181&lt;=1460,0.6,TRUE,0.4)))</x:f>
      </x:c>
      <x:c r="P181" s="30" t="str">
        <x:f>IF(V181&lt;&gt;"Yes","",IFERROR(H181*N181*O181,0))</x:f>
      </x:c>
      <x:c r="Q181" s="30" t="str">
        <x:f>IF(P181="","",G181*P181)</x:f>
      </x:c>
      <x:c r="R181" s="30" t="str">
        <x:f>IF(K181="","",IFERROR(REGEXEXTRACT(K181,"https?://([^/]+)"),""))</x:f>
      </x:c>
      <x:c r="S181" s="30" t="str">
        <x:f>IF(R181&lt;&gt;"",LOWER(R181),IF(J181&lt;&gt;"",LOWER(J181),""))</x:f>
      </x:c>
      <x:c r="T181" s="30"/>
      <x:c r="U181" s="30"/>
      <x:c r="V181" s="30"/>
      <x:c r="W181" s="30" t="str">
        <x:f>IF(B181="","",IF(V181&lt;&gt;"Yes","Excluded",IF(OR(G181="",H181="",I181=""),"Needs review","Included")))</x:f>
      </x:c>
    </x:row>
    <x:row r="182">
      <x:c r="A182" s="30" t="str">
        <x:f>IF(B182="","","EV-"&amp;TEXT(ROW()-1,"0000"))</x:f>
      </x:c>
      <x:c r="B182" s="30"/>
      <x:c r="C182" s="30" t="str">
        <x:f>IF(B182="","",IFERROR(VLOOKUP(B182,Country_Config!$A$2:$G$100,2,FALSE),""))</x:f>
      </x:c>
      <x:c r="D182" s="30" t="str">
        <x:f>IF(B182="","",IFERROR(VLOOKUP(B182,Country_Config!$A$2:$G$100,3,FALSE),""))</x:f>
      </x:c>
      <x:c r="E182" s="30"/>
      <x:c r="F182" s="30"/>
      <x:c r="G182" s="30"/>
      <x:c r="H182" s="30" t="str">
        <x:f>IF(OR(E182="",F182=""),"",IFERROR(VLOOKUP(E182&amp;"|"&amp;F182,Rules_Weights!$A$2:$E$120,4,FALSE),100))</x:f>
      </x:c>
      <x:c r="I182" s="30"/>
      <x:c r="J182" s="30"/>
      <x:c r="K182" s="30"/>
      <x:c r="L182" s="30"/>
      <x:c r="M182" s="30"/>
      <x:c r="N182" s="30" t="str">
        <x:f>IF(I182="","",IFERROR(VLOOKUP(I182,Lookups!$A$2:$B$5,2,FALSE),0))</x:f>
      </x:c>
      <x:c r="O182" s="30" t="str">
        <x:f>IF(OR(L182="",V182&lt;&gt;"Yes"),"",IF(U182="Yes",1,IFS(TODAY()-L182&lt;=365,1,TODAY()-L182&lt;=730,0.8,TODAY()-L182&lt;=1460,0.6,TRUE,0.4)))</x:f>
      </x:c>
      <x:c r="P182" s="30" t="str">
        <x:f>IF(V182&lt;&gt;"Yes","",IFERROR(H182*N182*O182,0))</x:f>
      </x:c>
      <x:c r="Q182" s="30" t="str">
        <x:f>IF(P182="","",G182*P182)</x:f>
      </x:c>
      <x:c r="R182" s="30" t="str">
        <x:f>IF(K182="","",IFERROR(REGEXEXTRACT(K182,"https?://([^/]+)"),""))</x:f>
      </x:c>
      <x:c r="S182" s="30" t="str">
        <x:f>IF(R182&lt;&gt;"",LOWER(R182),IF(J182&lt;&gt;"",LOWER(J182),""))</x:f>
      </x:c>
      <x:c r="T182" s="30"/>
      <x:c r="U182" s="30"/>
      <x:c r="V182" s="30"/>
      <x:c r="W182" s="30" t="str">
        <x:f>IF(B182="","",IF(V182&lt;&gt;"Yes","Excluded",IF(OR(G182="",H182="",I182=""),"Needs review","Included")))</x:f>
      </x:c>
    </x:row>
    <x:row r="183">
      <x:c r="A183" s="30" t="str">
        <x:f>IF(B183="","","EV-"&amp;TEXT(ROW()-1,"0000"))</x:f>
      </x:c>
      <x:c r="B183" s="30"/>
      <x:c r="C183" s="30" t="str">
        <x:f>IF(B183="","",IFERROR(VLOOKUP(B183,Country_Config!$A$2:$G$100,2,FALSE),""))</x:f>
      </x:c>
      <x:c r="D183" s="30" t="str">
        <x:f>IF(B183="","",IFERROR(VLOOKUP(B183,Country_Config!$A$2:$G$100,3,FALSE),""))</x:f>
      </x:c>
      <x:c r="E183" s="30"/>
      <x:c r="F183" s="30"/>
      <x:c r="G183" s="30"/>
      <x:c r="H183" s="30" t="str">
        <x:f>IF(OR(E183="",F183=""),"",IFERROR(VLOOKUP(E183&amp;"|"&amp;F183,Rules_Weights!$A$2:$E$120,4,FALSE),100))</x:f>
      </x:c>
      <x:c r="I183" s="30"/>
      <x:c r="J183" s="30"/>
      <x:c r="K183" s="30"/>
      <x:c r="L183" s="30"/>
      <x:c r="M183" s="30"/>
      <x:c r="N183" s="30" t="str">
        <x:f>IF(I183="","",IFERROR(VLOOKUP(I183,Lookups!$A$2:$B$5,2,FALSE),0))</x:f>
      </x:c>
      <x:c r="O183" s="30" t="str">
        <x:f>IF(OR(L183="",V183&lt;&gt;"Yes"),"",IF(U183="Yes",1,IFS(TODAY()-L183&lt;=365,1,TODAY()-L183&lt;=730,0.8,TODAY()-L183&lt;=1460,0.6,TRUE,0.4)))</x:f>
      </x:c>
      <x:c r="P183" s="30" t="str">
        <x:f>IF(V183&lt;&gt;"Yes","",IFERROR(H183*N183*O183,0))</x:f>
      </x:c>
      <x:c r="Q183" s="30" t="str">
        <x:f>IF(P183="","",G183*P183)</x:f>
      </x:c>
      <x:c r="R183" s="30" t="str">
        <x:f>IF(K183="","",IFERROR(REGEXEXTRACT(K183,"https?://([^/]+)"),""))</x:f>
      </x:c>
      <x:c r="S183" s="30" t="str">
        <x:f>IF(R183&lt;&gt;"",LOWER(R183),IF(J183&lt;&gt;"",LOWER(J183),""))</x:f>
      </x:c>
      <x:c r="T183" s="30"/>
      <x:c r="U183" s="30"/>
      <x:c r="V183" s="30"/>
      <x:c r="W183" s="30" t="str">
        <x:f>IF(B183="","",IF(V183&lt;&gt;"Yes","Excluded",IF(OR(G183="",H183="",I183=""),"Needs review","Included")))</x:f>
      </x:c>
    </x:row>
    <x:row r="184">
      <x:c r="A184" s="30" t="str">
        <x:f>IF(B184="","","EV-"&amp;TEXT(ROW()-1,"0000"))</x:f>
      </x:c>
      <x:c r="B184" s="30"/>
      <x:c r="C184" s="30" t="str">
        <x:f>IF(B184="","",IFERROR(VLOOKUP(B184,Country_Config!$A$2:$G$100,2,FALSE),""))</x:f>
      </x:c>
      <x:c r="D184" s="30" t="str">
        <x:f>IF(B184="","",IFERROR(VLOOKUP(B184,Country_Config!$A$2:$G$100,3,FALSE),""))</x:f>
      </x:c>
      <x:c r="E184" s="30"/>
      <x:c r="F184" s="30"/>
      <x:c r="G184" s="30"/>
      <x:c r="H184" s="30" t="str">
        <x:f>IF(OR(E184="",F184=""),"",IFERROR(VLOOKUP(E184&amp;"|"&amp;F184,Rules_Weights!$A$2:$E$120,4,FALSE),100))</x:f>
      </x:c>
      <x:c r="I184" s="30"/>
      <x:c r="J184" s="30"/>
      <x:c r="K184" s="30"/>
      <x:c r="L184" s="30"/>
      <x:c r="M184" s="30"/>
      <x:c r="N184" s="30" t="str">
        <x:f>IF(I184="","",IFERROR(VLOOKUP(I184,Lookups!$A$2:$B$5,2,FALSE),0))</x:f>
      </x:c>
      <x:c r="O184" s="30" t="str">
        <x:f>IF(OR(L184="",V184&lt;&gt;"Yes"),"",IF(U184="Yes",1,IFS(TODAY()-L184&lt;=365,1,TODAY()-L184&lt;=730,0.8,TODAY()-L184&lt;=1460,0.6,TRUE,0.4)))</x:f>
      </x:c>
      <x:c r="P184" s="30" t="str">
        <x:f>IF(V184&lt;&gt;"Yes","",IFERROR(H184*N184*O184,0))</x:f>
      </x:c>
      <x:c r="Q184" s="30" t="str">
        <x:f>IF(P184="","",G184*P184)</x:f>
      </x:c>
      <x:c r="R184" s="30" t="str">
        <x:f>IF(K184="","",IFERROR(REGEXEXTRACT(K184,"https?://([^/]+)"),""))</x:f>
      </x:c>
      <x:c r="S184" s="30" t="str">
        <x:f>IF(R184&lt;&gt;"",LOWER(R184),IF(J184&lt;&gt;"",LOWER(J184),""))</x:f>
      </x:c>
      <x:c r="T184" s="30"/>
      <x:c r="U184" s="30"/>
      <x:c r="V184" s="30"/>
      <x:c r="W184" s="30" t="str">
        <x:f>IF(B184="","",IF(V184&lt;&gt;"Yes","Excluded",IF(OR(G184="",H184="",I184=""),"Needs review","Included")))</x:f>
      </x:c>
    </x:row>
    <x:row r="185">
      <x:c r="A185" s="30" t="str">
        <x:f>IF(B185="","","EV-"&amp;TEXT(ROW()-1,"0000"))</x:f>
      </x:c>
      <x:c r="B185" s="30"/>
      <x:c r="C185" s="30" t="str">
        <x:f>IF(B185="","",IFERROR(VLOOKUP(B185,Country_Config!$A$2:$G$100,2,FALSE),""))</x:f>
      </x:c>
      <x:c r="D185" s="30" t="str">
        <x:f>IF(B185="","",IFERROR(VLOOKUP(B185,Country_Config!$A$2:$G$100,3,FALSE),""))</x:f>
      </x:c>
      <x:c r="E185" s="30"/>
      <x:c r="F185" s="30"/>
      <x:c r="G185" s="30"/>
      <x:c r="H185" s="30" t="str">
        <x:f>IF(OR(E185="",F185=""),"",IFERROR(VLOOKUP(E185&amp;"|"&amp;F185,Rules_Weights!$A$2:$E$120,4,FALSE),100))</x:f>
      </x:c>
      <x:c r="I185" s="30"/>
      <x:c r="J185" s="30"/>
      <x:c r="K185" s="30"/>
      <x:c r="L185" s="30"/>
      <x:c r="M185" s="30"/>
      <x:c r="N185" s="30" t="str">
        <x:f>IF(I185="","",IFERROR(VLOOKUP(I185,Lookups!$A$2:$B$5,2,FALSE),0))</x:f>
      </x:c>
      <x:c r="O185" s="30" t="str">
        <x:f>IF(OR(L185="",V185&lt;&gt;"Yes"),"",IF(U185="Yes",1,IFS(TODAY()-L185&lt;=365,1,TODAY()-L185&lt;=730,0.8,TODAY()-L185&lt;=1460,0.6,TRUE,0.4)))</x:f>
      </x:c>
      <x:c r="P185" s="30" t="str">
        <x:f>IF(V185&lt;&gt;"Yes","",IFERROR(H185*N185*O185,0))</x:f>
      </x:c>
      <x:c r="Q185" s="30" t="str">
        <x:f>IF(P185="","",G185*P185)</x:f>
      </x:c>
      <x:c r="R185" s="30" t="str">
        <x:f>IF(K185="","",IFERROR(REGEXEXTRACT(K185,"https?://([^/]+)"),""))</x:f>
      </x:c>
      <x:c r="S185" s="30" t="str">
        <x:f>IF(R185&lt;&gt;"",LOWER(R185),IF(J185&lt;&gt;"",LOWER(J185),""))</x:f>
      </x:c>
      <x:c r="T185" s="30"/>
      <x:c r="U185" s="30"/>
      <x:c r="V185" s="30"/>
      <x:c r="W185" s="30" t="str">
        <x:f>IF(B185="","",IF(V185&lt;&gt;"Yes","Excluded",IF(OR(G185="",H185="",I185=""),"Needs review","Included")))</x:f>
      </x:c>
    </x:row>
    <x:row r="186">
      <x:c r="A186" s="30" t="str">
        <x:f>IF(B186="","","EV-"&amp;TEXT(ROW()-1,"0000"))</x:f>
      </x:c>
      <x:c r="B186" s="30"/>
      <x:c r="C186" s="30" t="str">
        <x:f>IF(B186="","",IFERROR(VLOOKUP(B186,Country_Config!$A$2:$G$100,2,FALSE),""))</x:f>
      </x:c>
      <x:c r="D186" s="30" t="str">
        <x:f>IF(B186="","",IFERROR(VLOOKUP(B186,Country_Config!$A$2:$G$100,3,FALSE),""))</x:f>
      </x:c>
      <x:c r="E186" s="30"/>
      <x:c r="F186" s="30"/>
      <x:c r="G186" s="30"/>
      <x:c r="H186" s="30" t="str">
        <x:f>IF(OR(E186="",F186=""),"",IFERROR(VLOOKUP(E186&amp;"|"&amp;F186,Rules_Weights!$A$2:$E$120,4,FALSE),100))</x:f>
      </x:c>
      <x:c r="I186" s="30"/>
      <x:c r="J186" s="30"/>
      <x:c r="K186" s="30"/>
      <x:c r="L186" s="30"/>
      <x:c r="M186" s="30"/>
      <x:c r="N186" s="30" t="str">
        <x:f>IF(I186="","",IFERROR(VLOOKUP(I186,Lookups!$A$2:$B$5,2,FALSE),0))</x:f>
      </x:c>
      <x:c r="O186" s="30" t="str">
        <x:f>IF(OR(L186="",V186&lt;&gt;"Yes"),"",IF(U186="Yes",1,IFS(TODAY()-L186&lt;=365,1,TODAY()-L186&lt;=730,0.8,TODAY()-L186&lt;=1460,0.6,TRUE,0.4)))</x:f>
      </x:c>
      <x:c r="P186" s="30" t="str">
        <x:f>IF(V186&lt;&gt;"Yes","",IFERROR(H186*N186*O186,0))</x:f>
      </x:c>
      <x:c r="Q186" s="30" t="str">
        <x:f>IF(P186="","",G186*P186)</x:f>
      </x:c>
      <x:c r="R186" s="30" t="str">
        <x:f>IF(K186="","",IFERROR(REGEXEXTRACT(K186,"https?://([^/]+)"),""))</x:f>
      </x:c>
      <x:c r="S186" s="30" t="str">
        <x:f>IF(R186&lt;&gt;"",LOWER(R186),IF(J186&lt;&gt;"",LOWER(J186),""))</x:f>
      </x:c>
      <x:c r="T186" s="30"/>
      <x:c r="U186" s="30"/>
      <x:c r="V186" s="30"/>
      <x:c r="W186" s="30" t="str">
        <x:f>IF(B186="","",IF(V186&lt;&gt;"Yes","Excluded",IF(OR(G186="",H186="",I186=""),"Needs review","Included")))</x:f>
      </x:c>
    </x:row>
    <x:row r="187">
      <x:c r="A187" s="30" t="str">
        <x:f>IF(B187="","","EV-"&amp;TEXT(ROW()-1,"0000"))</x:f>
      </x:c>
      <x:c r="B187" s="30"/>
      <x:c r="C187" s="30" t="str">
        <x:f>IF(B187="","",IFERROR(VLOOKUP(B187,Country_Config!$A$2:$G$100,2,FALSE),""))</x:f>
      </x:c>
      <x:c r="D187" s="30" t="str">
        <x:f>IF(B187="","",IFERROR(VLOOKUP(B187,Country_Config!$A$2:$G$100,3,FALSE),""))</x:f>
      </x:c>
      <x:c r="E187" s="30"/>
      <x:c r="F187" s="30"/>
      <x:c r="G187" s="30"/>
      <x:c r="H187" s="30" t="str">
        <x:f>IF(OR(E187="",F187=""),"",IFERROR(VLOOKUP(E187&amp;"|"&amp;F187,Rules_Weights!$A$2:$E$120,4,FALSE),100))</x:f>
      </x:c>
      <x:c r="I187" s="30"/>
      <x:c r="J187" s="30"/>
      <x:c r="K187" s="30"/>
      <x:c r="L187" s="30"/>
      <x:c r="M187" s="30"/>
      <x:c r="N187" s="30" t="str">
        <x:f>IF(I187="","",IFERROR(VLOOKUP(I187,Lookups!$A$2:$B$5,2,FALSE),0))</x:f>
      </x:c>
      <x:c r="O187" s="30" t="str">
        <x:f>IF(OR(L187="",V187&lt;&gt;"Yes"),"",IF(U187="Yes",1,IFS(TODAY()-L187&lt;=365,1,TODAY()-L187&lt;=730,0.8,TODAY()-L187&lt;=1460,0.6,TRUE,0.4)))</x:f>
      </x:c>
      <x:c r="P187" s="30" t="str">
        <x:f>IF(V187&lt;&gt;"Yes","",IFERROR(H187*N187*O187,0))</x:f>
      </x:c>
      <x:c r="Q187" s="30" t="str">
        <x:f>IF(P187="","",G187*P187)</x:f>
      </x:c>
      <x:c r="R187" s="30" t="str">
        <x:f>IF(K187="","",IFERROR(REGEXEXTRACT(K187,"https?://([^/]+)"),""))</x:f>
      </x:c>
      <x:c r="S187" s="30" t="str">
        <x:f>IF(R187&lt;&gt;"",LOWER(R187),IF(J187&lt;&gt;"",LOWER(J187),""))</x:f>
      </x:c>
      <x:c r="T187" s="30"/>
      <x:c r="U187" s="30"/>
      <x:c r="V187" s="30"/>
      <x:c r="W187" s="30" t="str">
        <x:f>IF(B187="","",IF(V187&lt;&gt;"Yes","Excluded",IF(OR(G187="",H187="",I187=""),"Needs review","Included")))</x:f>
      </x:c>
    </x:row>
    <x:row r="188">
      <x:c r="A188" s="30" t="str">
        <x:f>IF(B188="","","EV-"&amp;TEXT(ROW()-1,"0000"))</x:f>
      </x:c>
      <x:c r="B188" s="30"/>
      <x:c r="C188" s="30" t="str">
        <x:f>IF(B188="","",IFERROR(VLOOKUP(B188,Country_Config!$A$2:$G$100,2,FALSE),""))</x:f>
      </x:c>
      <x:c r="D188" s="30" t="str">
        <x:f>IF(B188="","",IFERROR(VLOOKUP(B188,Country_Config!$A$2:$G$100,3,FALSE),""))</x:f>
      </x:c>
      <x:c r="E188" s="30"/>
      <x:c r="F188" s="30"/>
      <x:c r="G188" s="30"/>
      <x:c r="H188" s="30" t="str">
        <x:f>IF(OR(E188="",F188=""),"",IFERROR(VLOOKUP(E188&amp;"|"&amp;F188,Rules_Weights!$A$2:$E$120,4,FALSE),100))</x:f>
      </x:c>
      <x:c r="I188" s="30"/>
      <x:c r="J188" s="30"/>
      <x:c r="K188" s="30"/>
      <x:c r="L188" s="30"/>
      <x:c r="M188" s="30"/>
      <x:c r="N188" s="30" t="str">
        <x:f>IF(I188="","",IFERROR(VLOOKUP(I188,Lookups!$A$2:$B$5,2,FALSE),0))</x:f>
      </x:c>
      <x:c r="O188" s="30" t="str">
        <x:f>IF(OR(L188="",V188&lt;&gt;"Yes"),"",IF(U188="Yes",1,IFS(TODAY()-L188&lt;=365,1,TODAY()-L188&lt;=730,0.8,TODAY()-L188&lt;=1460,0.6,TRUE,0.4)))</x:f>
      </x:c>
      <x:c r="P188" s="30" t="str">
        <x:f>IF(V188&lt;&gt;"Yes","",IFERROR(H188*N188*O188,0))</x:f>
      </x:c>
      <x:c r="Q188" s="30" t="str">
        <x:f>IF(P188="","",G188*P188)</x:f>
      </x:c>
      <x:c r="R188" s="30" t="str">
        <x:f>IF(K188="","",IFERROR(REGEXEXTRACT(K188,"https?://([^/]+)"),""))</x:f>
      </x:c>
      <x:c r="S188" s="30" t="str">
        <x:f>IF(R188&lt;&gt;"",LOWER(R188),IF(J188&lt;&gt;"",LOWER(J188),""))</x:f>
      </x:c>
      <x:c r="T188" s="30"/>
      <x:c r="U188" s="30"/>
      <x:c r="V188" s="30"/>
      <x:c r="W188" s="30" t="str">
        <x:f>IF(B188="","",IF(V188&lt;&gt;"Yes","Excluded",IF(OR(G188="",H188="",I188=""),"Needs review","Included")))</x:f>
      </x:c>
    </x:row>
    <x:row r="189">
      <x:c r="A189" s="30" t="str">
        <x:f>IF(B189="","","EV-"&amp;TEXT(ROW()-1,"0000"))</x:f>
      </x:c>
      <x:c r="B189" s="30"/>
      <x:c r="C189" s="30" t="str">
        <x:f>IF(B189="","",IFERROR(VLOOKUP(B189,Country_Config!$A$2:$G$100,2,FALSE),""))</x:f>
      </x:c>
      <x:c r="D189" s="30" t="str">
        <x:f>IF(B189="","",IFERROR(VLOOKUP(B189,Country_Config!$A$2:$G$100,3,FALSE),""))</x:f>
      </x:c>
      <x:c r="E189" s="30"/>
      <x:c r="F189" s="30"/>
      <x:c r="G189" s="30"/>
      <x:c r="H189" s="30" t="str">
        <x:f>IF(OR(E189="",F189=""),"",IFERROR(VLOOKUP(E189&amp;"|"&amp;F189,Rules_Weights!$A$2:$E$120,4,FALSE),100))</x:f>
      </x:c>
      <x:c r="I189" s="30"/>
      <x:c r="J189" s="30"/>
      <x:c r="K189" s="30"/>
      <x:c r="L189" s="30"/>
      <x:c r="M189" s="30"/>
      <x:c r="N189" s="30" t="str">
        <x:f>IF(I189="","",IFERROR(VLOOKUP(I189,Lookups!$A$2:$B$5,2,FALSE),0))</x:f>
      </x:c>
      <x:c r="O189" s="30" t="str">
        <x:f>IF(OR(L189="",V189&lt;&gt;"Yes"),"",IF(U189="Yes",1,IFS(TODAY()-L189&lt;=365,1,TODAY()-L189&lt;=730,0.8,TODAY()-L189&lt;=1460,0.6,TRUE,0.4)))</x:f>
      </x:c>
      <x:c r="P189" s="30" t="str">
        <x:f>IF(V189&lt;&gt;"Yes","",IFERROR(H189*N189*O189,0))</x:f>
      </x:c>
      <x:c r="Q189" s="30" t="str">
        <x:f>IF(P189="","",G189*P189)</x:f>
      </x:c>
      <x:c r="R189" s="30" t="str">
        <x:f>IF(K189="","",IFERROR(REGEXEXTRACT(K189,"https?://([^/]+)"),""))</x:f>
      </x:c>
      <x:c r="S189" s="30" t="str">
        <x:f>IF(R189&lt;&gt;"",LOWER(R189),IF(J189&lt;&gt;"",LOWER(J189),""))</x:f>
      </x:c>
      <x:c r="T189" s="30"/>
      <x:c r="U189" s="30"/>
      <x:c r="V189" s="30"/>
      <x:c r="W189" s="30" t="str">
        <x:f>IF(B189="","",IF(V189&lt;&gt;"Yes","Excluded",IF(OR(G189="",H189="",I189=""),"Needs review","Included")))</x:f>
      </x:c>
    </x:row>
    <x:row r="190">
      <x:c r="A190" s="30" t="str">
        <x:f>IF(B190="","","EV-"&amp;TEXT(ROW()-1,"0000"))</x:f>
      </x:c>
      <x:c r="B190" s="30"/>
      <x:c r="C190" s="30" t="str">
        <x:f>IF(B190="","",IFERROR(VLOOKUP(B190,Country_Config!$A$2:$G$100,2,FALSE),""))</x:f>
      </x:c>
      <x:c r="D190" s="30" t="str">
        <x:f>IF(B190="","",IFERROR(VLOOKUP(B190,Country_Config!$A$2:$G$100,3,FALSE),""))</x:f>
      </x:c>
      <x:c r="E190" s="30"/>
      <x:c r="F190" s="30"/>
      <x:c r="G190" s="30"/>
      <x:c r="H190" s="30" t="str">
        <x:f>IF(OR(E190="",F190=""),"",IFERROR(VLOOKUP(E190&amp;"|"&amp;F190,Rules_Weights!$A$2:$E$120,4,FALSE),100))</x:f>
      </x:c>
      <x:c r="I190" s="30"/>
      <x:c r="J190" s="30"/>
      <x:c r="K190" s="30"/>
      <x:c r="L190" s="30"/>
      <x:c r="M190" s="30"/>
      <x:c r="N190" s="30" t="str">
        <x:f>IF(I190="","",IFERROR(VLOOKUP(I190,Lookups!$A$2:$B$5,2,FALSE),0))</x:f>
      </x:c>
      <x:c r="O190" s="30" t="str">
        <x:f>IF(OR(L190="",V190&lt;&gt;"Yes"),"",IF(U190="Yes",1,IFS(TODAY()-L190&lt;=365,1,TODAY()-L190&lt;=730,0.8,TODAY()-L190&lt;=1460,0.6,TRUE,0.4)))</x:f>
      </x:c>
      <x:c r="P190" s="30" t="str">
        <x:f>IF(V190&lt;&gt;"Yes","",IFERROR(H190*N190*O190,0))</x:f>
      </x:c>
      <x:c r="Q190" s="30" t="str">
        <x:f>IF(P190="","",G190*P190)</x:f>
      </x:c>
      <x:c r="R190" s="30" t="str">
        <x:f>IF(K190="","",IFERROR(REGEXEXTRACT(K190,"https?://([^/]+)"),""))</x:f>
      </x:c>
      <x:c r="S190" s="30" t="str">
        <x:f>IF(R190&lt;&gt;"",LOWER(R190),IF(J190&lt;&gt;"",LOWER(J190),""))</x:f>
      </x:c>
      <x:c r="T190" s="30"/>
      <x:c r="U190" s="30"/>
      <x:c r="V190" s="30"/>
      <x:c r="W190" s="30" t="str">
        <x:f>IF(B190="","",IF(V190&lt;&gt;"Yes","Excluded",IF(OR(G190="",H190="",I190=""),"Needs review","Included")))</x:f>
      </x:c>
    </x:row>
    <x:row r="191">
      <x:c r="A191" s="30" t="str">
        <x:f>IF(B191="","","EV-"&amp;TEXT(ROW()-1,"0000"))</x:f>
      </x:c>
      <x:c r="B191" s="30"/>
      <x:c r="C191" s="30" t="str">
        <x:f>IF(B191="","",IFERROR(VLOOKUP(B191,Country_Config!$A$2:$G$100,2,FALSE),""))</x:f>
      </x:c>
      <x:c r="D191" s="30" t="str">
        <x:f>IF(B191="","",IFERROR(VLOOKUP(B191,Country_Config!$A$2:$G$100,3,FALSE),""))</x:f>
      </x:c>
      <x:c r="E191" s="30"/>
      <x:c r="F191" s="30"/>
      <x:c r="G191" s="30"/>
      <x:c r="H191" s="30" t="str">
        <x:f>IF(OR(E191="",F191=""),"",IFERROR(VLOOKUP(E191&amp;"|"&amp;F191,Rules_Weights!$A$2:$E$120,4,FALSE),100))</x:f>
      </x:c>
      <x:c r="I191" s="30"/>
      <x:c r="J191" s="30"/>
      <x:c r="K191" s="30"/>
      <x:c r="L191" s="30"/>
      <x:c r="M191" s="30"/>
      <x:c r="N191" s="30" t="str">
        <x:f>IF(I191="","",IFERROR(VLOOKUP(I191,Lookups!$A$2:$B$5,2,FALSE),0))</x:f>
      </x:c>
      <x:c r="O191" s="30" t="str">
        <x:f>IF(OR(L191="",V191&lt;&gt;"Yes"),"",IF(U191="Yes",1,IFS(TODAY()-L191&lt;=365,1,TODAY()-L191&lt;=730,0.8,TODAY()-L191&lt;=1460,0.6,TRUE,0.4)))</x:f>
      </x:c>
      <x:c r="P191" s="30" t="str">
        <x:f>IF(V191&lt;&gt;"Yes","",IFERROR(H191*N191*O191,0))</x:f>
      </x:c>
      <x:c r="Q191" s="30" t="str">
        <x:f>IF(P191="","",G191*P191)</x:f>
      </x:c>
      <x:c r="R191" s="30" t="str">
        <x:f>IF(K191="","",IFERROR(REGEXEXTRACT(K191,"https?://([^/]+)"),""))</x:f>
      </x:c>
      <x:c r="S191" s="30" t="str">
        <x:f>IF(R191&lt;&gt;"",LOWER(R191),IF(J191&lt;&gt;"",LOWER(J191),""))</x:f>
      </x:c>
      <x:c r="T191" s="30"/>
      <x:c r="U191" s="30"/>
      <x:c r="V191" s="30"/>
      <x:c r="W191" s="30" t="str">
        <x:f>IF(B191="","",IF(V191&lt;&gt;"Yes","Excluded",IF(OR(G191="",H191="",I191=""),"Needs review","Included")))</x:f>
      </x:c>
    </x:row>
    <x:row r="192">
      <x:c r="A192" s="30" t="str">
        <x:f>IF(B192="","","EV-"&amp;TEXT(ROW()-1,"0000"))</x:f>
      </x:c>
      <x:c r="B192" s="30"/>
      <x:c r="C192" s="30" t="str">
        <x:f>IF(B192="","",IFERROR(VLOOKUP(B192,Country_Config!$A$2:$G$100,2,FALSE),""))</x:f>
      </x:c>
      <x:c r="D192" s="30" t="str">
        <x:f>IF(B192="","",IFERROR(VLOOKUP(B192,Country_Config!$A$2:$G$100,3,FALSE),""))</x:f>
      </x:c>
      <x:c r="E192" s="30"/>
      <x:c r="F192" s="30"/>
      <x:c r="G192" s="30"/>
      <x:c r="H192" s="30" t="str">
        <x:f>IF(OR(E192="",F192=""),"",IFERROR(VLOOKUP(E192&amp;"|"&amp;F192,Rules_Weights!$A$2:$E$120,4,FALSE),100))</x:f>
      </x:c>
      <x:c r="I192" s="30"/>
      <x:c r="J192" s="30"/>
      <x:c r="K192" s="30"/>
      <x:c r="L192" s="30"/>
      <x:c r="M192" s="30"/>
      <x:c r="N192" s="30" t="str">
        <x:f>IF(I192="","",IFERROR(VLOOKUP(I192,Lookups!$A$2:$B$5,2,FALSE),0))</x:f>
      </x:c>
      <x:c r="O192" s="30" t="str">
        <x:f>IF(OR(L192="",V192&lt;&gt;"Yes"),"",IF(U192="Yes",1,IFS(TODAY()-L192&lt;=365,1,TODAY()-L192&lt;=730,0.8,TODAY()-L192&lt;=1460,0.6,TRUE,0.4)))</x:f>
      </x:c>
      <x:c r="P192" s="30" t="str">
        <x:f>IF(V192&lt;&gt;"Yes","",IFERROR(H192*N192*O192,0))</x:f>
      </x:c>
      <x:c r="Q192" s="30" t="str">
        <x:f>IF(P192="","",G192*P192)</x:f>
      </x:c>
      <x:c r="R192" s="30" t="str">
        <x:f>IF(K192="","",IFERROR(REGEXEXTRACT(K192,"https?://([^/]+)"),""))</x:f>
      </x:c>
      <x:c r="S192" s="30" t="str">
        <x:f>IF(R192&lt;&gt;"",LOWER(R192),IF(J192&lt;&gt;"",LOWER(J192),""))</x:f>
      </x:c>
      <x:c r="T192" s="30"/>
      <x:c r="U192" s="30"/>
      <x:c r="V192" s="30"/>
      <x:c r="W192" s="30" t="str">
        <x:f>IF(B192="","",IF(V192&lt;&gt;"Yes","Excluded",IF(OR(G192="",H192="",I192=""),"Needs review","Included")))</x:f>
      </x:c>
    </x:row>
    <x:row r="193">
      <x:c r="A193" s="30" t="str">
        <x:f>IF(B193="","","EV-"&amp;TEXT(ROW()-1,"0000"))</x:f>
      </x:c>
      <x:c r="B193" s="30"/>
      <x:c r="C193" s="30" t="str">
        <x:f>IF(B193="","",IFERROR(VLOOKUP(B193,Country_Config!$A$2:$G$100,2,FALSE),""))</x:f>
      </x:c>
      <x:c r="D193" s="30" t="str">
        <x:f>IF(B193="","",IFERROR(VLOOKUP(B193,Country_Config!$A$2:$G$100,3,FALSE),""))</x:f>
      </x:c>
      <x:c r="E193" s="30"/>
      <x:c r="F193" s="30"/>
      <x:c r="G193" s="30"/>
      <x:c r="H193" s="30" t="str">
        <x:f>IF(OR(E193="",F193=""),"",IFERROR(VLOOKUP(E193&amp;"|"&amp;F193,Rules_Weights!$A$2:$E$120,4,FALSE),100))</x:f>
      </x:c>
      <x:c r="I193" s="30"/>
      <x:c r="J193" s="30"/>
      <x:c r="K193" s="30"/>
      <x:c r="L193" s="30"/>
      <x:c r="M193" s="30"/>
      <x:c r="N193" s="30" t="str">
        <x:f>IF(I193="","",IFERROR(VLOOKUP(I193,Lookups!$A$2:$B$5,2,FALSE),0))</x:f>
      </x:c>
      <x:c r="O193" s="30" t="str">
        <x:f>IF(OR(L193="",V193&lt;&gt;"Yes"),"",IF(U193="Yes",1,IFS(TODAY()-L193&lt;=365,1,TODAY()-L193&lt;=730,0.8,TODAY()-L193&lt;=1460,0.6,TRUE,0.4)))</x:f>
      </x:c>
      <x:c r="P193" s="30" t="str">
        <x:f>IF(V193&lt;&gt;"Yes","",IFERROR(H193*N193*O193,0))</x:f>
      </x:c>
      <x:c r="Q193" s="30" t="str">
        <x:f>IF(P193="","",G193*P193)</x:f>
      </x:c>
      <x:c r="R193" s="30" t="str">
        <x:f>IF(K193="","",IFERROR(REGEXEXTRACT(K193,"https?://([^/]+)"),""))</x:f>
      </x:c>
      <x:c r="S193" s="30" t="str">
        <x:f>IF(R193&lt;&gt;"",LOWER(R193),IF(J193&lt;&gt;"",LOWER(J193),""))</x:f>
      </x:c>
      <x:c r="T193" s="30"/>
      <x:c r="U193" s="30"/>
      <x:c r="V193" s="30"/>
      <x:c r="W193" s="30" t="str">
        <x:f>IF(B193="","",IF(V193&lt;&gt;"Yes","Excluded",IF(OR(G193="",H193="",I193=""),"Needs review","Included")))</x:f>
      </x:c>
    </x:row>
    <x:row r="194">
      <x:c r="A194" s="30" t="str">
        <x:f>IF(B194="","","EV-"&amp;TEXT(ROW()-1,"0000"))</x:f>
      </x:c>
      <x:c r="B194" s="30"/>
      <x:c r="C194" s="30" t="str">
        <x:f>IF(B194="","",IFERROR(VLOOKUP(B194,Country_Config!$A$2:$G$100,2,FALSE),""))</x:f>
      </x:c>
      <x:c r="D194" s="30" t="str">
        <x:f>IF(B194="","",IFERROR(VLOOKUP(B194,Country_Config!$A$2:$G$100,3,FALSE),""))</x:f>
      </x:c>
      <x:c r="E194" s="30"/>
      <x:c r="F194" s="30"/>
      <x:c r="G194" s="30"/>
      <x:c r="H194" s="30" t="str">
        <x:f>IF(OR(E194="",F194=""),"",IFERROR(VLOOKUP(E194&amp;"|"&amp;F194,Rules_Weights!$A$2:$E$120,4,FALSE),100))</x:f>
      </x:c>
      <x:c r="I194" s="30"/>
      <x:c r="J194" s="30"/>
      <x:c r="K194" s="30"/>
      <x:c r="L194" s="30"/>
      <x:c r="M194" s="30"/>
      <x:c r="N194" s="30" t="str">
        <x:f>IF(I194="","",IFERROR(VLOOKUP(I194,Lookups!$A$2:$B$5,2,FALSE),0))</x:f>
      </x:c>
      <x:c r="O194" s="30" t="str">
        <x:f>IF(OR(L194="",V194&lt;&gt;"Yes"),"",IF(U194="Yes",1,IFS(TODAY()-L194&lt;=365,1,TODAY()-L194&lt;=730,0.8,TODAY()-L194&lt;=1460,0.6,TRUE,0.4)))</x:f>
      </x:c>
      <x:c r="P194" s="30" t="str">
        <x:f>IF(V194&lt;&gt;"Yes","",IFERROR(H194*N194*O194,0))</x:f>
      </x:c>
      <x:c r="Q194" s="30" t="str">
        <x:f>IF(P194="","",G194*P194)</x:f>
      </x:c>
      <x:c r="R194" s="30" t="str">
        <x:f>IF(K194="","",IFERROR(REGEXEXTRACT(K194,"https?://([^/]+)"),""))</x:f>
      </x:c>
      <x:c r="S194" s="30" t="str">
        <x:f>IF(R194&lt;&gt;"",LOWER(R194),IF(J194&lt;&gt;"",LOWER(J194),""))</x:f>
      </x:c>
      <x:c r="T194" s="30"/>
      <x:c r="U194" s="30"/>
      <x:c r="V194" s="30"/>
      <x:c r="W194" s="30" t="str">
        <x:f>IF(B194="","",IF(V194&lt;&gt;"Yes","Excluded",IF(OR(G194="",H194="",I194=""),"Needs review","Included")))</x:f>
      </x:c>
    </x:row>
    <x:row r="195">
      <x:c r="A195" s="30" t="str">
        <x:f>IF(B195="","","EV-"&amp;TEXT(ROW()-1,"0000"))</x:f>
      </x:c>
      <x:c r="B195" s="30"/>
      <x:c r="C195" s="30" t="str">
        <x:f>IF(B195="","",IFERROR(VLOOKUP(B195,Country_Config!$A$2:$G$100,2,FALSE),""))</x:f>
      </x:c>
      <x:c r="D195" s="30" t="str">
        <x:f>IF(B195="","",IFERROR(VLOOKUP(B195,Country_Config!$A$2:$G$100,3,FALSE),""))</x:f>
      </x:c>
      <x:c r="E195" s="30"/>
      <x:c r="F195" s="30"/>
      <x:c r="G195" s="30"/>
      <x:c r="H195" s="30" t="str">
        <x:f>IF(OR(E195="",F195=""),"",IFERROR(VLOOKUP(E195&amp;"|"&amp;F195,Rules_Weights!$A$2:$E$120,4,FALSE),100))</x:f>
      </x:c>
      <x:c r="I195" s="30"/>
      <x:c r="J195" s="30"/>
      <x:c r="K195" s="30"/>
      <x:c r="L195" s="30"/>
      <x:c r="M195" s="30"/>
      <x:c r="N195" s="30" t="str">
        <x:f>IF(I195="","",IFERROR(VLOOKUP(I195,Lookups!$A$2:$B$5,2,FALSE),0))</x:f>
      </x:c>
      <x:c r="O195" s="30" t="str">
        <x:f>IF(OR(L195="",V195&lt;&gt;"Yes"),"",IF(U195="Yes",1,IFS(TODAY()-L195&lt;=365,1,TODAY()-L195&lt;=730,0.8,TODAY()-L195&lt;=1460,0.6,TRUE,0.4)))</x:f>
      </x:c>
      <x:c r="P195" s="30" t="str">
        <x:f>IF(V195&lt;&gt;"Yes","",IFERROR(H195*N195*O195,0))</x:f>
      </x:c>
      <x:c r="Q195" s="30" t="str">
        <x:f>IF(P195="","",G195*P195)</x:f>
      </x:c>
      <x:c r="R195" s="30" t="str">
        <x:f>IF(K195="","",IFERROR(REGEXEXTRACT(K195,"https?://([^/]+)"),""))</x:f>
      </x:c>
      <x:c r="S195" s="30" t="str">
        <x:f>IF(R195&lt;&gt;"",LOWER(R195),IF(J195&lt;&gt;"",LOWER(J195),""))</x:f>
      </x:c>
      <x:c r="T195" s="30"/>
      <x:c r="U195" s="30"/>
      <x:c r="V195" s="30"/>
      <x:c r="W195" s="30" t="str">
        <x:f>IF(B195="","",IF(V195&lt;&gt;"Yes","Excluded",IF(OR(G195="",H195="",I195=""),"Needs review","Included")))</x:f>
      </x:c>
    </x:row>
    <x:row r="196">
      <x:c r="A196" s="30" t="str">
        <x:f>IF(B196="","","EV-"&amp;TEXT(ROW()-1,"0000"))</x:f>
      </x:c>
      <x:c r="B196" s="30"/>
      <x:c r="C196" s="30" t="str">
        <x:f>IF(B196="","",IFERROR(VLOOKUP(B196,Country_Config!$A$2:$G$100,2,FALSE),""))</x:f>
      </x:c>
      <x:c r="D196" s="30" t="str">
        <x:f>IF(B196="","",IFERROR(VLOOKUP(B196,Country_Config!$A$2:$G$100,3,FALSE),""))</x:f>
      </x:c>
      <x:c r="E196" s="30"/>
      <x:c r="F196" s="30"/>
      <x:c r="G196" s="30"/>
      <x:c r="H196" s="30" t="str">
        <x:f>IF(OR(E196="",F196=""),"",IFERROR(VLOOKUP(E196&amp;"|"&amp;F196,Rules_Weights!$A$2:$E$120,4,FALSE),100))</x:f>
      </x:c>
      <x:c r="I196" s="30"/>
      <x:c r="J196" s="30"/>
      <x:c r="K196" s="30"/>
      <x:c r="L196" s="30"/>
      <x:c r="M196" s="30"/>
      <x:c r="N196" s="30" t="str">
        <x:f>IF(I196="","",IFERROR(VLOOKUP(I196,Lookups!$A$2:$B$5,2,FALSE),0))</x:f>
      </x:c>
      <x:c r="O196" s="30" t="str">
        <x:f>IF(OR(L196="",V196&lt;&gt;"Yes"),"",IF(U196="Yes",1,IFS(TODAY()-L196&lt;=365,1,TODAY()-L196&lt;=730,0.8,TODAY()-L196&lt;=1460,0.6,TRUE,0.4)))</x:f>
      </x:c>
      <x:c r="P196" s="30" t="str">
        <x:f>IF(V196&lt;&gt;"Yes","",IFERROR(H196*N196*O196,0))</x:f>
      </x:c>
      <x:c r="Q196" s="30" t="str">
        <x:f>IF(P196="","",G196*P196)</x:f>
      </x:c>
      <x:c r="R196" s="30" t="str">
        <x:f>IF(K196="","",IFERROR(REGEXEXTRACT(K196,"https?://([^/]+)"),""))</x:f>
      </x:c>
      <x:c r="S196" s="30" t="str">
        <x:f>IF(R196&lt;&gt;"",LOWER(R196),IF(J196&lt;&gt;"",LOWER(J196),""))</x:f>
      </x:c>
      <x:c r="T196" s="30"/>
      <x:c r="U196" s="30"/>
      <x:c r="V196" s="30"/>
      <x:c r="W196" s="30" t="str">
        <x:f>IF(B196="","",IF(V196&lt;&gt;"Yes","Excluded",IF(OR(G196="",H196="",I196=""),"Needs review","Included")))</x:f>
      </x:c>
    </x:row>
    <x:row r="197">
      <x:c r="A197" s="30" t="str">
        <x:f>IF(B197="","","EV-"&amp;TEXT(ROW()-1,"0000"))</x:f>
      </x:c>
      <x:c r="B197" s="30"/>
      <x:c r="C197" s="30" t="str">
        <x:f>IF(B197="","",IFERROR(VLOOKUP(B197,Country_Config!$A$2:$G$100,2,FALSE),""))</x:f>
      </x:c>
      <x:c r="D197" s="30" t="str">
        <x:f>IF(B197="","",IFERROR(VLOOKUP(B197,Country_Config!$A$2:$G$100,3,FALSE),""))</x:f>
      </x:c>
      <x:c r="E197" s="30"/>
      <x:c r="F197" s="30"/>
      <x:c r="G197" s="30"/>
      <x:c r="H197" s="30" t="str">
        <x:f>IF(OR(E197="",F197=""),"",IFERROR(VLOOKUP(E197&amp;"|"&amp;F197,Rules_Weights!$A$2:$E$120,4,FALSE),100))</x:f>
      </x:c>
      <x:c r="I197" s="30"/>
      <x:c r="J197" s="30"/>
      <x:c r="K197" s="30"/>
      <x:c r="L197" s="30"/>
      <x:c r="M197" s="30"/>
      <x:c r="N197" s="30" t="str">
        <x:f>IF(I197="","",IFERROR(VLOOKUP(I197,Lookups!$A$2:$B$5,2,FALSE),0))</x:f>
      </x:c>
      <x:c r="O197" s="30" t="str">
        <x:f>IF(OR(L197="",V197&lt;&gt;"Yes"),"",IF(U197="Yes",1,IFS(TODAY()-L197&lt;=365,1,TODAY()-L197&lt;=730,0.8,TODAY()-L197&lt;=1460,0.6,TRUE,0.4)))</x:f>
      </x:c>
      <x:c r="P197" s="30" t="str">
        <x:f>IF(V197&lt;&gt;"Yes","",IFERROR(H197*N197*O197,0))</x:f>
      </x:c>
      <x:c r="Q197" s="30" t="str">
        <x:f>IF(P197="","",G197*P197)</x:f>
      </x:c>
      <x:c r="R197" s="30" t="str">
        <x:f>IF(K197="","",IFERROR(REGEXEXTRACT(K197,"https?://([^/]+)"),""))</x:f>
      </x:c>
      <x:c r="S197" s="30" t="str">
        <x:f>IF(R197&lt;&gt;"",LOWER(R197),IF(J197&lt;&gt;"",LOWER(J197),""))</x:f>
      </x:c>
      <x:c r="T197" s="30"/>
      <x:c r="U197" s="30"/>
      <x:c r="V197" s="30"/>
      <x:c r="W197" s="30" t="str">
        <x:f>IF(B197="","",IF(V197&lt;&gt;"Yes","Excluded",IF(OR(G197="",H197="",I197=""),"Needs review","Included")))</x:f>
      </x:c>
    </x:row>
    <x:row r="198">
      <x:c r="A198" s="30" t="str">
        <x:f>IF(B198="","","EV-"&amp;TEXT(ROW()-1,"0000"))</x:f>
      </x:c>
      <x:c r="B198" s="30"/>
      <x:c r="C198" s="30" t="str">
        <x:f>IF(B198="","",IFERROR(VLOOKUP(B198,Country_Config!$A$2:$G$100,2,FALSE),""))</x:f>
      </x:c>
      <x:c r="D198" s="30" t="str">
        <x:f>IF(B198="","",IFERROR(VLOOKUP(B198,Country_Config!$A$2:$G$100,3,FALSE),""))</x:f>
      </x:c>
      <x:c r="E198" s="30"/>
      <x:c r="F198" s="30"/>
      <x:c r="G198" s="30"/>
      <x:c r="H198" s="30" t="str">
        <x:f>IF(OR(E198="",F198=""),"",IFERROR(VLOOKUP(E198&amp;"|"&amp;F198,Rules_Weights!$A$2:$E$120,4,FALSE),100))</x:f>
      </x:c>
      <x:c r="I198" s="30"/>
      <x:c r="J198" s="30"/>
      <x:c r="K198" s="30"/>
      <x:c r="L198" s="30"/>
      <x:c r="M198" s="30"/>
      <x:c r="N198" s="30" t="str">
        <x:f>IF(I198="","",IFERROR(VLOOKUP(I198,Lookups!$A$2:$B$5,2,FALSE),0))</x:f>
      </x:c>
      <x:c r="O198" s="30" t="str">
        <x:f>IF(OR(L198="",V198&lt;&gt;"Yes"),"",IF(U198="Yes",1,IFS(TODAY()-L198&lt;=365,1,TODAY()-L198&lt;=730,0.8,TODAY()-L198&lt;=1460,0.6,TRUE,0.4)))</x:f>
      </x:c>
      <x:c r="P198" s="30" t="str">
        <x:f>IF(V198&lt;&gt;"Yes","",IFERROR(H198*N198*O198,0))</x:f>
      </x:c>
      <x:c r="Q198" s="30" t="str">
        <x:f>IF(P198="","",G198*P198)</x:f>
      </x:c>
      <x:c r="R198" s="30" t="str">
        <x:f>IF(K198="","",IFERROR(REGEXEXTRACT(K198,"https?://([^/]+)"),""))</x:f>
      </x:c>
      <x:c r="S198" s="30" t="str">
        <x:f>IF(R198&lt;&gt;"",LOWER(R198),IF(J198&lt;&gt;"",LOWER(J198),""))</x:f>
      </x:c>
      <x:c r="T198" s="30"/>
      <x:c r="U198" s="30"/>
      <x:c r="V198" s="30"/>
      <x:c r="W198" s="30" t="str">
        <x:f>IF(B198="","",IF(V198&lt;&gt;"Yes","Excluded",IF(OR(G198="",H198="",I198=""),"Needs review","Included")))</x:f>
      </x:c>
    </x:row>
    <x:row r="199">
      <x:c r="A199" s="30" t="str">
        <x:f>IF(B199="","","EV-"&amp;TEXT(ROW()-1,"0000"))</x:f>
      </x:c>
      <x:c r="B199" s="30"/>
      <x:c r="C199" s="30" t="str">
        <x:f>IF(B199="","",IFERROR(VLOOKUP(B199,Country_Config!$A$2:$G$100,2,FALSE),""))</x:f>
      </x:c>
      <x:c r="D199" s="30" t="str">
        <x:f>IF(B199="","",IFERROR(VLOOKUP(B199,Country_Config!$A$2:$G$100,3,FALSE),""))</x:f>
      </x:c>
      <x:c r="E199" s="30"/>
      <x:c r="F199" s="30"/>
      <x:c r="G199" s="30"/>
      <x:c r="H199" s="30" t="str">
        <x:f>IF(OR(E199="",F199=""),"",IFERROR(VLOOKUP(E199&amp;"|"&amp;F199,Rules_Weights!$A$2:$E$120,4,FALSE),100))</x:f>
      </x:c>
      <x:c r="I199" s="30"/>
      <x:c r="J199" s="30"/>
      <x:c r="K199" s="30"/>
      <x:c r="L199" s="30"/>
      <x:c r="M199" s="30"/>
      <x:c r="N199" s="30" t="str">
        <x:f>IF(I199="","",IFERROR(VLOOKUP(I199,Lookups!$A$2:$B$5,2,FALSE),0))</x:f>
      </x:c>
      <x:c r="O199" s="30" t="str">
        <x:f>IF(OR(L199="",V199&lt;&gt;"Yes"),"",IF(U199="Yes",1,IFS(TODAY()-L199&lt;=365,1,TODAY()-L199&lt;=730,0.8,TODAY()-L199&lt;=1460,0.6,TRUE,0.4)))</x:f>
      </x:c>
      <x:c r="P199" s="30" t="str">
        <x:f>IF(V199&lt;&gt;"Yes","",IFERROR(H199*N199*O199,0))</x:f>
      </x:c>
      <x:c r="Q199" s="30" t="str">
        <x:f>IF(P199="","",G199*P199)</x:f>
      </x:c>
      <x:c r="R199" s="30" t="str">
        <x:f>IF(K199="","",IFERROR(REGEXEXTRACT(K199,"https?://([^/]+)"),""))</x:f>
      </x:c>
      <x:c r="S199" s="30" t="str">
        <x:f>IF(R199&lt;&gt;"",LOWER(R199),IF(J199&lt;&gt;"",LOWER(J199),""))</x:f>
      </x:c>
      <x:c r="T199" s="30"/>
      <x:c r="U199" s="30"/>
      <x:c r="V199" s="30"/>
      <x:c r="W199" s="30" t="str">
        <x:f>IF(B199="","",IF(V199&lt;&gt;"Yes","Excluded",IF(OR(G199="",H199="",I199=""),"Needs review","Included")))</x:f>
      </x:c>
    </x:row>
    <x:row r="200">
      <x:c r="A200" s="30" t="str">
        <x:f>IF(B200="","","EV-"&amp;TEXT(ROW()-1,"0000"))</x:f>
      </x:c>
      <x:c r="B200" s="30"/>
      <x:c r="C200" s="30" t="str">
        <x:f>IF(B200="","",IFERROR(VLOOKUP(B200,Country_Config!$A$2:$G$100,2,FALSE),""))</x:f>
      </x:c>
      <x:c r="D200" s="30" t="str">
        <x:f>IF(B200="","",IFERROR(VLOOKUP(B200,Country_Config!$A$2:$G$100,3,FALSE),""))</x:f>
      </x:c>
      <x:c r="E200" s="30"/>
      <x:c r="F200" s="30"/>
      <x:c r="G200" s="30"/>
      <x:c r="H200" s="30" t="str">
        <x:f>IF(OR(E200="",F200=""),"",IFERROR(VLOOKUP(E200&amp;"|"&amp;F200,Rules_Weights!$A$2:$E$120,4,FALSE),100))</x:f>
      </x:c>
      <x:c r="I200" s="30"/>
      <x:c r="J200" s="30"/>
      <x:c r="K200" s="30"/>
      <x:c r="L200" s="30"/>
      <x:c r="M200" s="30"/>
      <x:c r="N200" s="30" t="str">
        <x:f>IF(I200="","",IFERROR(VLOOKUP(I200,Lookups!$A$2:$B$5,2,FALSE),0))</x:f>
      </x:c>
      <x:c r="O200" s="30" t="str">
        <x:f>IF(OR(L200="",V200&lt;&gt;"Yes"),"",IF(U200="Yes",1,IFS(TODAY()-L200&lt;=365,1,TODAY()-L200&lt;=730,0.8,TODAY()-L200&lt;=1460,0.6,TRUE,0.4)))</x:f>
      </x:c>
      <x:c r="P200" s="30" t="str">
        <x:f>IF(V200&lt;&gt;"Yes","",IFERROR(H200*N200*O200,0))</x:f>
      </x:c>
      <x:c r="Q200" s="30" t="str">
        <x:f>IF(P200="","",G200*P200)</x:f>
      </x:c>
      <x:c r="R200" s="30" t="str">
        <x:f>IF(K200="","",IFERROR(REGEXEXTRACT(K200,"https?://([^/]+)"),""))</x:f>
      </x:c>
      <x:c r="S200" s="30" t="str">
        <x:f>IF(R200&lt;&gt;"",LOWER(R200),IF(J200&lt;&gt;"",LOWER(J200),""))</x:f>
      </x:c>
      <x:c r="T200" s="30"/>
      <x:c r="U200" s="30"/>
      <x:c r="V200" s="30"/>
      <x:c r="W200" s="30" t="str">
        <x:f>IF(B200="","",IF(V200&lt;&gt;"Yes","Excluded",IF(OR(G200="",H200="",I200=""),"Needs review","Included")))</x:f>
      </x:c>
    </x:row>
  </x:sheetData>
  <x:conditionalFormatting sqref="G2:G20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W2:W200">
    <x:cfRule type="expression" dxfId="0" priority="2">
      <x:formula>W2="Needs review"</x:formula>
    </x:cfRule>
    <x:cfRule type="expression" dxfId="1" priority="3">
      <x:formula>W2="Included"</x:formula>
    </x:cfRule>
  </x:conditionalFormatting>
  <x:dataValidations count="6">
    <x:dataValidation type="list" sqref="B2:B200">
      <x:formula1>Country_Config!$A$2:$A$100</x:formula1>
    </x:dataValidation>
    <x:dataValidation type="list" sqref="E2:E200">
      <x:formula1>Lookups!$D$2:$D$5</x:formula1>
    </x:dataValidation>
    <x:dataValidation type="list" sqref="F2:F200">
      <x:formula1>Rules_Weights!$C$2:$C$120</x:formula1>
    </x:dataValidation>
    <x:dataValidation type="list" sqref="G2:G200">
      <x:formula1>"0,1,2,3,4,5"</x:formula1>
    </x:dataValidation>
    <x:dataValidation type="list" sqref="I2:I200">
      <x:formula1>Lookups!$A$2:$A$5</x:formula1>
    </x:dataValidation>
    <x:dataValidation type="list" sqref="U2:V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d9b4e433ca4f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16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4" hidden="0" customWidth="1"/>
    <x:col min="14" max="14" width="12" hidden="0" customWidth="1"/>
    <x:col min="15" max="15" width="12" hidden="0" customWidth="1"/>
    <x:col min="16" max="16" width="16" hidden="0" customWidth="1"/>
    <x:col min="17" max="17" width="62" hidden="0" customWidth="1"/>
  </x:cols>
  <x:sheetData>
    <x:row r="1" ht="28" customHeight="1">
      <x:c r="A1" s="23" t="str">
        <x:v>Score_Key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52" t="str">
        <x:v>Weighted_Score</x:v>
      </x:c>
      <x:c r="G1" s="52" t="str">
        <x:v>Score_0_5</x:v>
      </x:c>
      <x:c r="H1" s="48" t="str">
        <x:v>Confidence_0_100</x:v>
      </x:c>
      <x:c r="I1" s="23" t="str">
        <x:v>Confidence_Band</x:v>
      </x:c>
      <x:c r="J1" s="23" t="str">
        <x:v>Independent_Sources</x:v>
      </x:c>
      <x:c r="K1" s="23" t="str">
        <x:v>Tier1_Or_Tier2_Count</x:v>
      </x:c>
      <x:c r="L1" s="23" t="str">
        <x:v>Evidence_Rows</x:v>
      </x:c>
      <x:c r="M1" s="23" t="str">
        <x:v>Publication_Status</x:v>
      </x:c>
      <x:c r="N1" s="23" t="str">
        <x:v>Colour</x:v>
      </x:c>
      <x:c r="O1" s="52" t="str">
        <x:v>Opacity</x:v>
      </x:c>
      <x:c r="P1" s="50" t="str">
        <x:v>Last_Evidence_Date</x:v>
      </x:c>
      <x:c r="Q1" s="23" t="str">
        <x:v>Score_Note</x:v>
      </x:c>
    </x:row>
    <x:row r="2">
      <x:c r="A2" s="30" t="str">
        <x:f>IF(OR(B2="",E2=""),"",B2&amp;"|"&amp;E2)</x:f>
        <x:v>Ukraine|Russian influence</x:v>
      </x:c>
      <x:c r="B2" s="30" t="str">
        <x:v>Ukraine</x:v>
      </x:c>
      <x:c r="C2" s="30" t="str">
        <x:v>UKR</x:v>
      </x:c>
      <x:c r="D2" s="30" t="str">
        <x:v>Europe</x:v>
      </x:c>
      <x:c r="E2" s="30" t="str">
        <x:v>Russian influence</x:v>
      </x:c>
      <x:c r="F2" s="30" t="n">
        <x:f>IFERROR(SUMIFS(Evidence_Log!$Q$2:$Q$200,Evidence_Log!$B$2:$B$200,$B2,Evidence_Log!$E$2:$E$200,$E2,Evidence_Log!$V$2:$V$200,"Yes")/SUMIFS(Evidence_Log!$P$2:$P$200,Evidence_Log!$B$2:$B$200,$B2,Evidence_Log!$E$2:$E$200,$E2,Evidence_Log!$V$2:$V$200,"Yes"),"")</x:f>
        <x:v>5</x:v>
      </x:c>
      <x:c r="G2" s="30" t="n">
        <x:f>IF(L2=0,"",ROUND(F2,0))</x:f>
        <x:v>5</x:v>
      </x:c>
      <x:c r="H2" s="30" t="n">
        <x:f>IFERROR(MIN(100,ROUND((SUMIFS(Evidence_Log!$N$2:$N$200,Evidence_Log!$B$2:$B$200,$B2,Evidence_Log!$E$2:$E$200,$E2,Evidence_Log!$V$2:$V$200,"Yes")/L2)*(SUMIFS(Evidence_Log!$O$2:$O$200,Evidence_Log!$B$2:$B$200,$B2,Evidence_Log!$E$2:$E$200,$E2,Evidence_Log!$V$2:$V$200,"Yes")/L2)*IF(J2&gt;=3,1.15,IF(J2=2,1,IF(J2=1,0.7,0)))*100,0)),"")</x:f>
        <x:v>14</x:v>
      </x:c>
      <x:c r="I2" s="30" t="str">
        <x:f>IF(H2="","No data",IFS(H2&gt;=80,"High",H2&gt;=60,"Medium",H2&gt;=40,"Low",TRUE,"Needs review"))</x:f>
        <x:v>Needs review</x:v>
      </x:c>
      <x:c r="J2" s="30" t="n">
        <x:f>COUNTIFS(Evidence_Log!$B$2:$B$200,$B2,Evidence_Log!$E$2:$E$200,$E2,Evidence_Log!$V$2:$V$200,"Yes",Evidence_Log!$S$2:$S$200,"&lt;&gt;")</x:f>
        <x:v>1</x:v>
      </x:c>
      <x:c r="K2" s="30" t="n">
        <x:f>COUNTIFS(Evidence_Log!$B$2:$B$200,$B2,Evidence_Log!$E$2:$E$200,$E2,Evidence_Log!$V$2:$V$200,"Yes",Evidence_Log!$I$2:$I$200,"Tier 1")+COUNTIFS(Evidence_Log!$B$2:$B$200,$B2,Evidence_Log!$E$2:$E$200,$E2,Evidence_Log!$V$2:$V$200,"Yes",Evidence_Log!$I$2:$I$200,"Tier 2")</x:f>
        <x:v>0</x:v>
      </x:c>
      <x:c r="L2" s="30" t="n">
        <x:f>COUNTIFS(Evidence_Log!$B$2:$B$200,$B2,Evidence_Log!$E$2:$E$200,$E2,Evidence_Log!$V$2:$V$200,"Yes")</x:f>
        <x:v>1</x:v>
      </x:c>
      <x:c r="M2" s="30" t="str">
        <x:f>IF(L2=0,"No evidence",IF(H2&lt;60,"Needs review",IF(J2&lt;2,"Needs 2 independent sources",IF(K2&lt;1,"Needs Tier 1/2 source","Publishable"))))</x:f>
        <x:v>Needs review</x:v>
      </x:c>
      <x:c r="N2" s="30" t="str">
        <x:f>IFERROR("#"&amp;VLOOKUP(G2,Legend_Config!$A$2:$C$7,3,FALSE),"")</x:f>
        <x:v>#A63603</x:v>
      </x:c>
      <x:c r="O2" s="30" t="n">
        <x:f>IF(I2="","",VLOOKUP(I2,Legend_Config!$F$2:$G$6,2,FALSE))</x:f>
        <x:v>0.25</x:v>
      </x:c>
      <x:c r="P2" s="30" t="n">
        <x:f>IFERROR(MAX(FILTER(Evidence_Log!$L$2:$L$200,Evidence_Log!$B$2:$B$200=$B2,Evidence_Log!$E$2:$E$200=$E2,Evidence_Log!$V$2:$V$200="Yes")),"")</x:f>
        <x:v>45658</x:v>
      </x:c>
      <x:c r="Q2" s="30" t="str">
        <x:f>IF(L2=0,"No evidence logged",G2&amp;" / "&amp;I2&amp;" confidence ("&amp;H2&amp;"%) from "&amp;L2&amp;" evidence row(s), "&amp;J2&amp;" source row(s).")</x:f>
        <x:v>5 / Needs review confidence (14%) from 1 evidence row(s), 1 source row(s).</x:v>
      </x:c>
    </x:row>
    <x:row r="3">
      <x:c r="A3" s="30" t="str">
        <x:f>IF(OR(B3="",E3=""),"",B3&amp;"|"&amp;E3)</x:f>
        <x:v>Ukraine|PMC presence</x:v>
      </x:c>
      <x:c r="B3" s="30" t="str">
        <x:v>Ukraine</x:v>
      </x:c>
      <x:c r="C3" s="30" t="str">
        <x:v>UKR</x:v>
      </x:c>
      <x:c r="D3" s="30" t="str">
        <x:v>Europe</x:v>
      </x:c>
      <x:c r="E3" s="30" t="str">
        <x:v>PMC presence</x:v>
      </x:c>
      <x:c r="F3" s="30" t="n">
        <x:f>IFERROR(SUMIFS(Evidence_Log!$Q$2:$Q$200,Evidence_Log!$B$2:$B$200,$B3,Evidence_Log!$E$2:$E$200,$E3,Evidence_Log!$V$2:$V$200,"Yes")/SUMIFS(Evidence_Log!$P$2:$P$200,Evidence_Log!$B$2:$B$200,$B3,Evidence_Log!$E$2:$E$200,$E3,Evidence_Log!$V$2:$V$200,"Yes"),"")</x:f>
        <x:v>3</x:v>
      </x:c>
      <x:c r="G3" s="30" t="n">
        <x:f>IF(L3=0,"",ROUND(F3,0))</x:f>
        <x:v>3</x:v>
      </x:c>
      <x:c r="H3" s="30" t="n">
        <x:f>IFERROR(MIN(100,ROUND((SUMIFS(Evidence_Log!$N$2:$N$200,Evidence_Log!$B$2:$B$200,$B3,Evidence_Log!$E$2:$E$200,$E3,Evidence_Log!$V$2:$V$200,"Yes")/L3)*(SUMIFS(Evidence_Log!$O$2:$O$200,Evidence_Log!$B$2:$B$200,$B3,Evidence_Log!$E$2:$E$200,$E3,Evidence_Log!$V$2:$V$200,"Yes")/L3)*IF(J3&gt;=3,1.15,IF(J3=2,1,IF(J3=1,0.7,0)))*100,0)),"")</x:f>
        <x:v>14</x:v>
      </x:c>
      <x:c r="I3" s="30" t="str">
        <x:f>IF(H3="","No data",IFS(H3&gt;=80,"High",H3&gt;=60,"Medium",H3&gt;=40,"Low",TRUE,"Needs review"))</x:f>
        <x:v>Needs review</x:v>
      </x:c>
      <x:c r="J3" s="30" t="n">
        <x:f>COUNTIFS(Evidence_Log!$B$2:$B$200,$B3,Evidence_Log!$E$2:$E$200,$E3,Evidence_Log!$V$2:$V$200,"Yes",Evidence_Log!$S$2:$S$200,"&lt;&gt;")</x:f>
        <x:v>1</x:v>
      </x:c>
      <x:c r="K3" s="30" t="n">
        <x:f>COUNTIFS(Evidence_Log!$B$2:$B$200,$B3,Evidence_Log!$E$2:$E$200,$E3,Evidence_Log!$V$2:$V$200,"Yes",Evidence_Log!$I$2:$I$200,"Tier 1")+COUNTIFS(Evidence_Log!$B$2:$B$200,$B3,Evidence_Log!$E$2:$E$200,$E3,Evidence_Log!$V$2:$V$200,"Yes",Evidence_Log!$I$2:$I$200,"Tier 2")</x:f>
        <x:v>0</x:v>
      </x:c>
      <x:c r="L3" s="30" t="n">
        <x:f>COUNTIFS(Evidence_Log!$B$2:$B$200,$B3,Evidence_Log!$E$2:$E$200,$E3,Evidence_Log!$V$2:$V$200,"Yes")</x:f>
        <x:v>1</x:v>
      </x:c>
      <x:c r="M3" s="30" t="str">
        <x:f>IF(L3=0,"No evidence",IF(H3&lt;60,"Needs review",IF(J3&lt;2,"Needs 2 independent sources",IF(K3&lt;1,"Needs Tier 1/2 source","Publishable"))))</x:f>
        <x:v>Needs review</x:v>
      </x:c>
      <x:c r="N3" s="30" t="str">
        <x:f>IFERROR("#"&amp;VLOOKUP(G3,Legend_Config!$A$2:$C$7,3,FALSE),"")</x:f>
        <x:v>#FDAE6B</x:v>
      </x:c>
      <x:c r="O3" s="30" t="n">
        <x:f>IF(I3="","",VLOOKUP(I3,Legend_Config!$F$2:$G$6,2,FALSE))</x:f>
        <x:v>0.25</x:v>
      </x:c>
      <x:c r="P3" s="30" t="n">
        <x:f>IFERROR(MAX(FILTER(Evidence_Log!$L$2:$L$200,Evidence_Log!$B$2:$B$200=$B3,Evidence_Log!$E$2:$E$200=$E3,Evidence_Log!$V$2:$V$200="Yes")),"")</x:f>
        <x:v>45658</x:v>
      </x:c>
      <x:c r="Q3" s="30" t="str">
        <x:f>IF(L3=0,"No evidence logged",G3&amp;" / "&amp;I3&amp;" confidence ("&amp;H3&amp;"%) from "&amp;L3&amp;" evidence row(s), "&amp;J3&amp;" source row(s).")</x:f>
        <x:v>3 / Needs review confidence (14%) from 1 evidence row(s), 1 source row(s).</x:v>
      </x:c>
    </x:row>
    <x:row r="4">
      <x:c r="A4" s="30" t="str">
        <x:f>IF(OR(B4="",E4=""),"",B4&amp;"|"&amp;E4)</x:f>
        <x:v>Ukraine|Propaganda ecosystems</x:v>
      </x:c>
      <x:c r="B4" s="30" t="str">
        <x:v>Ukraine</x:v>
      </x:c>
      <x:c r="C4" s="30" t="str">
        <x:v>UKR</x:v>
      </x:c>
      <x:c r="D4" s="30" t="str">
        <x:v>Europe</x:v>
      </x:c>
      <x:c r="E4" s="30" t="str">
        <x:v>Propaganda ecosystems</x:v>
      </x:c>
      <x:c r="F4" s="30" t="n">
        <x:f>IFERROR(SUMIFS(Evidence_Log!$Q$2:$Q$200,Evidence_Log!$B$2:$B$200,$B4,Evidence_Log!$E$2:$E$200,$E4,Evidence_Log!$V$2:$V$200,"Yes")/SUMIFS(Evidence_Log!$P$2:$P$200,Evidence_Log!$B$2:$B$200,$B4,Evidence_Log!$E$2:$E$200,$E4,Evidence_Log!$V$2:$V$200,"Yes"),"")</x:f>
        <x:v>5</x:v>
      </x:c>
      <x:c r="G4" s="30" t="n">
        <x:f>IF(L4=0,"",ROUND(F4,0))</x:f>
        <x:v>5</x:v>
      </x:c>
      <x:c r="H4" s="30" t="n">
        <x:f>IFERROR(MIN(100,ROUND((SUMIFS(Evidence_Log!$N$2:$N$200,Evidence_Log!$B$2:$B$200,$B4,Evidence_Log!$E$2:$E$200,$E4,Evidence_Log!$V$2:$V$200,"Yes")/L4)*(SUMIFS(Evidence_Log!$O$2:$O$200,Evidence_Log!$B$2:$B$200,$B4,Evidence_Log!$E$2:$E$200,$E4,Evidence_Log!$V$2:$V$200,"Yes")/L4)*IF(J4&gt;=3,1.15,IF(J4=2,1,IF(J4=1,0.7,0)))*100,0)),"")</x:f>
        <x:v>14</x:v>
      </x:c>
      <x:c r="I4" s="30" t="str">
        <x:f>IF(H4="","No data",IFS(H4&gt;=80,"High",H4&gt;=60,"Medium",H4&gt;=40,"Low",TRUE,"Needs review"))</x:f>
        <x:v>Needs review</x:v>
      </x:c>
      <x:c r="J4" s="30" t="n">
        <x:f>COUNTIFS(Evidence_Log!$B$2:$B$200,$B4,Evidence_Log!$E$2:$E$200,$E4,Evidence_Log!$V$2:$V$200,"Yes",Evidence_Log!$S$2:$S$200,"&lt;&gt;")</x:f>
        <x:v>1</x:v>
      </x:c>
      <x:c r="K4" s="30" t="n">
        <x:f>COUNTIFS(Evidence_Log!$B$2:$B$200,$B4,Evidence_Log!$E$2:$E$200,$E4,Evidence_Log!$V$2:$V$200,"Yes",Evidence_Log!$I$2:$I$200,"Tier 1")+COUNTIFS(Evidence_Log!$B$2:$B$200,$B4,Evidence_Log!$E$2:$E$200,$E4,Evidence_Log!$V$2:$V$200,"Yes",Evidence_Log!$I$2:$I$200,"Tier 2")</x:f>
        <x:v>0</x:v>
      </x:c>
      <x:c r="L4" s="30" t="n">
        <x:f>COUNTIFS(Evidence_Log!$B$2:$B$200,$B4,Evidence_Log!$E$2:$E$200,$E4,Evidence_Log!$V$2:$V$200,"Yes")</x:f>
        <x:v>1</x:v>
      </x:c>
      <x:c r="M4" s="30" t="str">
        <x:f>IF(L4=0,"No evidence",IF(H4&lt;60,"Needs review",IF(J4&lt;2,"Needs 2 independent sources",IF(K4&lt;1,"Needs Tier 1/2 source","Publishable"))))</x:f>
        <x:v>Needs review</x:v>
      </x:c>
      <x:c r="N4" s="30" t="str">
        <x:f>IFERROR("#"&amp;VLOOKUP(G4,Legend_Config!$A$2:$C$7,3,FALSE),"")</x:f>
        <x:v>#A63603</x:v>
      </x:c>
      <x:c r="O4" s="30" t="n">
        <x:f>IF(I4="","",VLOOKUP(I4,Legend_Config!$F$2:$G$6,2,FALSE))</x:f>
        <x:v>0.25</x:v>
      </x:c>
      <x:c r="P4" s="30" t="n">
        <x:f>IFERROR(MAX(FILTER(Evidence_Log!$L$2:$L$200,Evidence_Log!$B$2:$B$200=$B4,Evidence_Log!$E$2:$E$200=$E4,Evidence_Log!$V$2:$V$200="Yes")),"")</x:f>
        <x:v>45658</x:v>
      </x:c>
      <x:c r="Q4" s="30" t="str">
        <x:f>IF(L4=0,"No evidence logged",G4&amp;" / "&amp;I4&amp;" confidence ("&amp;H4&amp;"%) from "&amp;L4&amp;" evidence row(s), "&amp;J4&amp;" source row(s).")</x:f>
        <x:v>5 / Needs review confidence (14%) from 1 evidence row(s), 1 source row(s).</x:v>
      </x:c>
    </x:row>
    <x:row r="5">
      <x:c r="A5" s="30" t="str">
        <x:f>IF(OR(B5="",E5=""),"",B5&amp;"|"&amp;E5)</x:f>
        <x:v>Ukraine|Election interference</x:v>
      </x:c>
      <x:c r="B5" s="30" t="str">
        <x:v>Ukraine</x:v>
      </x:c>
      <x:c r="C5" s="30" t="str">
        <x:v>UKR</x:v>
      </x:c>
      <x:c r="D5" s="30" t="str">
        <x:v>Europe</x:v>
      </x:c>
      <x:c r="E5" s="30" t="str">
        <x:v>Election interference</x:v>
      </x:c>
      <x:c r="F5" s="30" t="n">
        <x:f>IFERROR(SUMIFS(Evidence_Log!$Q$2:$Q$200,Evidence_Log!$B$2:$B$200,$B5,Evidence_Log!$E$2:$E$200,$E5,Evidence_Log!$V$2:$V$200,"Yes")/SUMIFS(Evidence_Log!$P$2:$P$200,Evidence_Log!$B$2:$B$200,$B5,Evidence_Log!$E$2:$E$200,$E5,Evidence_Log!$V$2:$V$200,"Yes"),"")</x:f>
        <x:v>5</x:v>
      </x:c>
      <x:c r="G5" s="30" t="n">
        <x:f>IF(L5=0,"",ROUND(F5,0))</x:f>
        <x:v>5</x:v>
      </x:c>
      <x:c r="H5" s="30" t="n">
        <x:f>IFERROR(MIN(100,ROUND((SUMIFS(Evidence_Log!$N$2:$N$200,Evidence_Log!$B$2:$B$200,$B5,Evidence_Log!$E$2:$E$200,$E5,Evidence_Log!$V$2:$V$200,"Yes")/L5)*(SUMIFS(Evidence_Log!$O$2:$O$200,Evidence_Log!$B$2:$B$200,$B5,Evidence_Log!$E$2:$E$200,$E5,Evidence_Log!$V$2:$V$200,"Yes")/L5)*IF(J5&gt;=3,1.15,IF(J5=2,1,IF(J5=1,0.7,0)))*100,0)),"")</x:f>
        <x:v>14</x:v>
      </x:c>
      <x:c r="I5" s="30" t="str">
        <x:f>IF(H5="","No data",IFS(H5&gt;=80,"High",H5&gt;=60,"Medium",H5&gt;=40,"Low",TRUE,"Needs review"))</x:f>
        <x:v>Needs review</x:v>
      </x:c>
      <x:c r="J5" s="30" t="n">
        <x:f>COUNTIFS(Evidence_Log!$B$2:$B$200,$B5,Evidence_Log!$E$2:$E$200,$E5,Evidence_Log!$V$2:$V$200,"Yes",Evidence_Log!$S$2:$S$200,"&lt;&gt;")</x:f>
        <x:v>1</x:v>
      </x:c>
      <x:c r="K5" s="30" t="n">
        <x:f>COUNTIFS(Evidence_Log!$B$2:$B$200,$B5,Evidence_Log!$E$2:$E$200,$E5,Evidence_Log!$V$2:$V$200,"Yes",Evidence_Log!$I$2:$I$200,"Tier 1")+COUNTIFS(Evidence_Log!$B$2:$B$200,$B5,Evidence_Log!$E$2:$E$200,$E5,Evidence_Log!$V$2:$V$200,"Yes",Evidence_Log!$I$2:$I$200,"Tier 2")</x:f>
        <x:v>0</x:v>
      </x:c>
      <x:c r="L5" s="30" t="n">
        <x:f>COUNTIFS(Evidence_Log!$B$2:$B$200,$B5,Evidence_Log!$E$2:$E$200,$E5,Evidence_Log!$V$2:$V$200,"Yes")</x:f>
        <x:v>1</x:v>
      </x:c>
      <x:c r="M5" s="30" t="str">
        <x:f>IF(L5=0,"No evidence",IF(H5&lt;60,"Needs review",IF(J5&lt;2,"Needs 2 independent sources",IF(K5&lt;1,"Needs Tier 1/2 source","Publishable"))))</x:f>
        <x:v>Needs review</x:v>
      </x:c>
      <x:c r="N5" s="30" t="str">
        <x:f>IFERROR("#"&amp;VLOOKUP(G5,Legend_Config!$A$2:$C$7,3,FALSE),"")</x:f>
        <x:v>#A63603</x:v>
      </x:c>
      <x:c r="O5" s="30" t="n">
        <x:f>IF(I5="","",VLOOKUP(I5,Legend_Config!$F$2:$G$6,2,FALSE))</x:f>
        <x:v>0.25</x:v>
      </x:c>
      <x:c r="P5" s="30" t="n">
        <x:f>IFERROR(MAX(FILTER(Evidence_Log!$L$2:$L$200,Evidence_Log!$B$2:$B$200=$B5,Evidence_Log!$E$2:$E$200=$E5,Evidence_Log!$V$2:$V$200="Yes")),"")</x:f>
        <x:v>45658</x:v>
      </x:c>
      <x:c r="Q5" s="30" t="str">
        <x:f>IF(L5=0,"No evidence logged",G5&amp;" / "&amp;I5&amp;" confidence ("&amp;H5&amp;"%) from "&amp;L5&amp;" evidence row(s), "&amp;J5&amp;" source row(s).")</x:f>
        <x:v>5 / Needs review confidence (14%) from 1 evidence row(s), 1 source row(s).</x:v>
      </x:c>
    </x:row>
    <x:row r="6">
      <x:c r="A6" s="30" t="str">
        <x:f>IF(OR(B6="",E6=""),"",B6&amp;"|"&amp;E6)</x:f>
        <x:v>Germany|Russian influence</x:v>
      </x:c>
      <x:c r="B6" s="30" t="str">
        <x:v>Germany</x:v>
      </x:c>
      <x:c r="C6" s="30" t="str">
        <x:v>DEU</x:v>
      </x:c>
      <x:c r="D6" s="30" t="str">
        <x:v>Europe</x:v>
      </x:c>
      <x:c r="E6" s="30" t="str">
        <x:v>Russian influence</x:v>
      </x:c>
      <x:c r="F6" s="30" t="n">
        <x:f>IFERROR(SUMIFS(Evidence_Log!$Q$2:$Q$200,Evidence_Log!$B$2:$B$200,$B6,Evidence_Log!$E$2:$E$200,$E6,Evidence_Log!$V$2:$V$200,"Yes")/SUMIFS(Evidence_Log!$P$2:$P$200,Evidence_Log!$B$2:$B$200,$B6,Evidence_Log!$E$2:$E$200,$E6,Evidence_Log!$V$2:$V$200,"Yes"),"")</x:f>
        <x:v>3</x:v>
      </x:c>
      <x:c r="G6" s="30" t="n">
        <x:f>IF(L6=0,"",ROUND(F6,0))</x:f>
        <x:v>3</x:v>
      </x:c>
      <x:c r="H6" s="30" t="n">
        <x:f>IFERROR(MIN(100,ROUND((SUMIFS(Evidence_Log!$N$2:$N$200,Evidence_Log!$B$2:$B$200,$B6,Evidence_Log!$E$2:$E$200,$E6,Evidence_Log!$V$2:$V$200,"Yes")/L6)*(SUMIFS(Evidence_Log!$O$2:$O$200,Evidence_Log!$B$2:$B$200,$B6,Evidence_Log!$E$2:$E$200,$E6,Evidence_Log!$V$2:$V$200,"Yes")/L6)*IF(J6&gt;=3,1.15,IF(J6=2,1,IF(J6=1,0.7,0)))*100,0)),"")</x:f>
        <x:v>14</x:v>
      </x:c>
      <x:c r="I6" s="30" t="str">
        <x:f>IF(H6="","No data",IFS(H6&gt;=80,"High",H6&gt;=60,"Medium",H6&gt;=40,"Low",TRUE,"Needs review"))</x:f>
        <x:v>Needs review</x:v>
      </x:c>
      <x:c r="J6" s="30" t="n">
        <x:f>COUNTIFS(Evidence_Log!$B$2:$B$200,$B6,Evidence_Log!$E$2:$E$200,$E6,Evidence_Log!$V$2:$V$200,"Yes",Evidence_Log!$S$2:$S$200,"&lt;&gt;")</x:f>
        <x:v>1</x:v>
      </x:c>
      <x:c r="K6" s="30" t="n">
        <x:f>COUNTIFS(Evidence_Log!$B$2:$B$200,$B6,Evidence_Log!$E$2:$E$200,$E6,Evidence_Log!$V$2:$V$200,"Yes",Evidence_Log!$I$2:$I$200,"Tier 1")+COUNTIFS(Evidence_Log!$B$2:$B$200,$B6,Evidence_Log!$E$2:$E$200,$E6,Evidence_Log!$V$2:$V$200,"Yes",Evidence_Log!$I$2:$I$200,"Tier 2")</x:f>
        <x:v>0</x:v>
      </x:c>
      <x:c r="L6" s="30" t="n">
        <x:f>COUNTIFS(Evidence_Log!$B$2:$B$200,$B6,Evidence_Log!$E$2:$E$200,$E6,Evidence_Log!$V$2:$V$200,"Yes")</x:f>
        <x:v>1</x:v>
      </x:c>
      <x:c r="M6" s="30" t="str">
        <x:f>IF(L6=0,"No evidence",IF(H6&lt;60,"Needs review",IF(J6&lt;2,"Needs 2 independent sources",IF(K6&lt;1,"Needs Tier 1/2 source","Publishable"))))</x:f>
        <x:v>Needs review</x:v>
      </x:c>
      <x:c r="N6" s="30" t="str">
        <x:f>IFERROR("#"&amp;VLOOKUP(G6,Legend_Config!$A$2:$C$7,3,FALSE),"")</x:f>
        <x:v>#FDAE6B</x:v>
      </x:c>
      <x:c r="O6" s="30" t="n">
        <x:f>IF(I6="","",VLOOKUP(I6,Legend_Config!$F$2:$G$6,2,FALSE))</x:f>
        <x:v>0.25</x:v>
      </x:c>
      <x:c r="P6" s="30" t="n">
        <x:f>IFERROR(MAX(FILTER(Evidence_Log!$L$2:$L$200,Evidence_Log!$B$2:$B$200=$B6,Evidence_Log!$E$2:$E$200=$E6,Evidence_Log!$V$2:$V$200="Yes")),"")</x:f>
        <x:v>45658</x:v>
      </x:c>
      <x:c r="Q6" s="30" t="str">
        <x:f>IF(L6=0,"No evidence logged",G6&amp;" / "&amp;I6&amp;" confidence ("&amp;H6&amp;"%) from "&amp;L6&amp;" evidence row(s), "&amp;J6&amp;" source row(s).")</x:f>
        <x:v>3 / Needs review confidence (14%) from 1 evidence row(s), 1 source row(s).</x:v>
      </x:c>
    </x:row>
    <x:row r="7">
      <x:c r="A7" s="30" t="str">
        <x:f>IF(OR(B7="",E7=""),"",B7&amp;"|"&amp;E7)</x:f>
        <x:v>Germany|PMC presence</x:v>
      </x:c>
      <x:c r="B7" s="30" t="str">
        <x:v>Germany</x:v>
      </x:c>
      <x:c r="C7" s="30" t="str">
        <x:v>DEU</x:v>
      </x:c>
      <x:c r="D7" s="30" t="str">
        <x:v>Europe</x:v>
      </x:c>
      <x:c r="E7" s="30" t="str">
        <x:v>PMC presence</x:v>
      </x:c>
      <x:c r="F7" s="30" t="n">
        <x:f>IFERROR(SUMIFS(Evidence_Log!$Q$2:$Q$200,Evidence_Log!$B$2:$B$200,$B7,Evidence_Log!$E$2:$E$200,$E7,Evidence_Log!$V$2:$V$200,"Yes")/SUMIFS(Evidence_Log!$P$2:$P$200,Evidence_Log!$B$2:$B$200,$B7,Evidence_Log!$E$2:$E$200,$E7,Evidence_Log!$V$2:$V$200,"Yes"),"")</x:f>
        <x:v>0</x:v>
      </x:c>
      <x:c r="G7" s="30" t="n">
        <x:f>IF(L7=0,"",ROUND(F7,0))</x:f>
        <x:v>0</x:v>
      </x:c>
      <x:c r="H7" s="30" t="n">
        <x:f>IFERROR(MIN(100,ROUND((SUMIFS(Evidence_Log!$N$2:$N$200,Evidence_Log!$B$2:$B$200,$B7,Evidence_Log!$E$2:$E$200,$E7,Evidence_Log!$V$2:$V$200,"Yes")/L7)*(SUMIFS(Evidence_Log!$O$2:$O$200,Evidence_Log!$B$2:$B$200,$B7,Evidence_Log!$E$2:$E$200,$E7,Evidence_Log!$V$2:$V$200,"Yes")/L7)*IF(J7&gt;=3,1.15,IF(J7=2,1,IF(J7=1,0.7,0)))*100,0)),"")</x:f>
        <x:v>14</x:v>
      </x:c>
      <x:c r="I7" s="30" t="str">
        <x:f>IF(H7="","No data",IFS(H7&gt;=80,"High",H7&gt;=60,"Medium",H7&gt;=40,"Low",TRUE,"Needs review"))</x:f>
        <x:v>Needs review</x:v>
      </x:c>
      <x:c r="J7" s="30" t="n">
        <x:f>COUNTIFS(Evidence_Log!$B$2:$B$200,$B7,Evidence_Log!$E$2:$E$200,$E7,Evidence_Log!$V$2:$V$200,"Yes",Evidence_Log!$S$2:$S$200,"&lt;&gt;")</x:f>
        <x:v>1</x:v>
      </x:c>
      <x:c r="K7" s="30" t="n">
        <x:f>COUNTIFS(Evidence_Log!$B$2:$B$200,$B7,Evidence_Log!$E$2:$E$200,$E7,Evidence_Log!$V$2:$V$200,"Yes",Evidence_Log!$I$2:$I$200,"Tier 1")+COUNTIFS(Evidence_Log!$B$2:$B$200,$B7,Evidence_Log!$E$2:$E$200,$E7,Evidence_Log!$V$2:$V$200,"Yes",Evidence_Log!$I$2:$I$200,"Tier 2")</x:f>
        <x:v>0</x:v>
      </x:c>
      <x:c r="L7" s="30" t="n">
        <x:f>COUNTIFS(Evidence_Log!$B$2:$B$200,$B7,Evidence_Log!$E$2:$E$200,$E7,Evidence_Log!$V$2:$V$200,"Yes")</x:f>
        <x:v>1</x:v>
      </x:c>
      <x:c r="M7" s="30" t="str">
        <x:f>IF(L7=0,"No evidence",IF(H7&lt;60,"Needs review",IF(J7&lt;2,"Needs 2 independent sources",IF(K7&lt;1,"Needs Tier 1/2 source","Publishable"))))</x:f>
        <x:v>Needs review</x:v>
      </x:c>
      <x:c r="N7" s="30" t="str">
        <x:f>IFERROR("#"&amp;VLOOKUP(G7,Legend_Config!$A$2:$C$7,3,FALSE),"")</x:f>
        <x:v>#F2F2F2</x:v>
      </x:c>
      <x:c r="O7" s="30" t="n">
        <x:f>IF(I7="","",VLOOKUP(I7,Legend_Config!$F$2:$G$6,2,FALSE))</x:f>
        <x:v>0.25</x:v>
      </x:c>
      <x:c r="P7" s="30" t="n">
        <x:f>IFERROR(MAX(FILTER(Evidence_Log!$L$2:$L$200,Evidence_Log!$B$2:$B$200=$B7,Evidence_Log!$E$2:$E$200=$E7,Evidence_Log!$V$2:$V$200="Yes")),"")</x:f>
        <x:v>45658</x:v>
      </x:c>
      <x:c r="Q7" s="30" t="str">
        <x:f>IF(L7=0,"No evidence logged",G7&amp;" / "&amp;I7&amp;" confidence ("&amp;H7&amp;"%) from "&amp;L7&amp;" evidence row(s), "&amp;J7&amp;" source row(s).")</x:f>
        <x:v>0 / Needs review confidence (14%) from 1 evidence row(s), 1 source row(s).</x:v>
      </x:c>
    </x:row>
    <x:row r="8">
      <x:c r="A8" s="30" t="str">
        <x:f>IF(OR(B8="",E8=""),"",B8&amp;"|"&amp;E8)</x:f>
        <x:v>Germany|Propaganda ecosystems</x:v>
      </x:c>
      <x:c r="B8" s="30" t="str">
        <x:v>Germany</x:v>
      </x:c>
      <x:c r="C8" s="30" t="str">
        <x:v>DEU</x:v>
      </x:c>
      <x:c r="D8" s="30" t="str">
        <x:v>Europe</x:v>
      </x:c>
      <x:c r="E8" s="30" t="str">
        <x:v>Propaganda ecosystems</x:v>
      </x:c>
      <x:c r="F8" s="30" t="n">
        <x:f>IFERROR(SUMIFS(Evidence_Log!$Q$2:$Q$200,Evidence_Log!$B$2:$B$200,$B8,Evidence_Log!$E$2:$E$200,$E8,Evidence_Log!$V$2:$V$200,"Yes")/SUMIFS(Evidence_Log!$P$2:$P$200,Evidence_Log!$B$2:$B$200,$B8,Evidence_Log!$E$2:$E$200,$E8,Evidence_Log!$V$2:$V$200,"Yes"),"")</x:f>
        <x:v>4</x:v>
      </x:c>
      <x:c r="G8" s="30" t="n">
        <x:f>IF(L8=0,"",ROUND(F8,0))</x:f>
        <x:v>4</x:v>
      </x:c>
      <x:c r="H8" s="30" t="n">
        <x:f>IFERROR(MIN(100,ROUND((SUMIFS(Evidence_Log!$N$2:$N$200,Evidence_Log!$B$2:$B$200,$B8,Evidence_Log!$E$2:$E$200,$E8,Evidence_Log!$V$2:$V$200,"Yes")/L8)*(SUMIFS(Evidence_Log!$O$2:$O$200,Evidence_Log!$B$2:$B$200,$B8,Evidence_Log!$E$2:$E$200,$E8,Evidence_Log!$V$2:$V$200,"Yes")/L8)*IF(J8&gt;=3,1.15,IF(J8=2,1,IF(J8=1,0.7,0)))*100,0)),"")</x:f>
        <x:v>14</x:v>
      </x:c>
      <x:c r="I8" s="30" t="str">
        <x:f>IF(H8="","No data",IFS(H8&gt;=80,"High",H8&gt;=60,"Medium",H8&gt;=40,"Low",TRUE,"Needs review"))</x:f>
        <x:v>Needs review</x:v>
      </x:c>
      <x:c r="J8" s="30" t="n">
        <x:f>COUNTIFS(Evidence_Log!$B$2:$B$200,$B8,Evidence_Log!$E$2:$E$200,$E8,Evidence_Log!$V$2:$V$200,"Yes",Evidence_Log!$S$2:$S$200,"&lt;&gt;")</x:f>
        <x:v>1</x:v>
      </x:c>
      <x:c r="K8" s="30" t="n">
        <x:f>COUNTIFS(Evidence_Log!$B$2:$B$200,$B8,Evidence_Log!$E$2:$E$200,$E8,Evidence_Log!$V$2:$V$200,"Yes",Evidence_Log!$I$2:$I$200,"Tier 1")+COUNTIFS(Evidence_Log!$B$2:$B$200,$B8,Evidence_Log!$E$2:$E$200,$E8,Evidence_Log!$V$2:$V$200,"Yes",Evidence_Log!$I$2:$I$200,"Tier 2")</x:f>
        <x:v>0</x:v>
      </x:c>
      <x:c r="L8" s="30" t="n">
        <x:f>COUNTIFS(Evidence_Log!$B$2:$B$200,$B8,Evidence_Log!$E$2:$E$200,$E8,Evidence_Log!$V$2:$V$200,"Yes")</x:f>
        <x:v>1</x:v>
      </x:c>
      <x:c r="M8" s="30" t="str">
        <x:f>IF(L8=0,"No evidence",IF(H8&lt;60,"Needs review",IF(J8&lt;2,"Needs 2 independent sources",IF(K8&lt;1,"Needs Tier 1/2 source","Publishable"))))</x:f>
        <x:v>Needs review</x:v>
      </x:c>
      <x:c r="N8" s="30" t="str">
        <x:f>IFERROR("#"&amp;VLOOKUP(G8,Legend_Config!$A$2:$C$7,3,FALSE),"")</x:f>
        <x:v>#F16913</x:v>
      </x:c>
      <x:c r="O8" s="30" t="n">
        <x:f>IF(I8="","",VLOOKUP(I8,Legend_Config!$F$2:$G$6,2,FALSE))</x:f>
        <x:v>0.25</x:v>
      </x:c>
      <x:c r="P8" s="30" t="n">
        <x:f>IFERROR(MAX(FILTER(Evidence_Log!$L$2:$L$200,Evidence_Log!$B$2:$B$200=$B8,Evidence_Log!$E$2:$E$200=$E8,Evidence_Log!$V$2:$V$200="Yes")),"")</x:f>
        <x:v>45658</x:v>
      </x:c>
      <x:c r="Q8" s="30" t="str">
        <x:f>IF(L8=0,"No evidence logged",G8&amp;" / "&amp;I8&amp;" confidence ("&amp;H8&amp;"%) from "&amp;L8&amp;" evidence row(s), "&amp;J8&amp;" source row(s).")</x:f>
        <x:v>4 / Needs review confidence (14%) from 1 evidence row(s), 1 source row(s).</x:v>
      </x:c>
    </x:row>
    <x:row r="9">
      <x:c r="A9" s="30" t="str">
        <x:f>IF(OR(B9="",E9=""),"",B9&amp;"|"&amp;E9)</x:f>
        <x:v>Germany|Election interference</x:v>
      </x:c>
      <x:c r="B9" s="30" t="str">
        <x:v>Germany</x:v>
      </x:c>
      <x:c r="C9" s="30" t="str">
        <x:v>DEU</x:v>
      </x:c>
      <x:c r="D9" s="30" t="str">
        <x:v>Europe</x:v>
      </x:c>
      <x:c r="E9" s="30" t="str">
        <x:v>Election interference</x:v>
      </x:c>
      <x:c r="F9" s="30" t="n">
        <x:f>IFERROR(SUMIFS(Evidence_Log!$Q$2:$Q$200,Evidence_Log!$B$2:$B$200,$B9,Evidence_Log!$E$2:$E$200,$E9,Evidence_Log!$V$2:$V$200,"Yes")/SUMIFS(Evidence_Log!$P$2:$P$200,Evidence_Log!$B$2:$B$200,$B9,Evidence_Log!$E$2:$E$200,$E9,Evidence_Log!$V$2:$V$200,"Yes"),"")</x:f>
        <x:v>3</x:v>
      </x:c>
      <x:c r="G9" s="30" t="n">
        <x:f>IF(L9=0,"",ROUND(F9,0))</x:f>
        <x:v>3</x:v>
      </x:c>
      <x:c r="H9" s="30" t="n">
        <x:f>IFERROR(MIN(100,ROUND((SUMIFS(Evidence_Log!$N$2:$N$200,Evidence_Log!$B$2:$B$200,$B9,Evidence_Log!$E$2:$E$200,$E9,Evidence_Log!$V$2:$V$200,"Yes")/L9)*(SUMIFS(Evidence_Log!$O$2:$O$200,Evidence_Log!$B$2:$B$200,$B9,Evidence_Log!$E$2:$E$200,$E9,Evidence_Log!$V$2:$V$200,"Yes")/L9)*IF(J9&gt;=3,1.15,IF(J9=2,1,IF(J9=1,0.7,0)))*100,0)),"")</x:f>
        <x:v>14</x:v>
      </x:c>
      <x:c r="I9" s="30" t="str">
        <x:f>IF(H9="","No data",IFS(H9&gt;=80,"High",H9&gt;=60,"Medium",H9&gt;=40,"Low",TRUE,"Needs review"))</x:f>
        <x:v>Needs review</x:v>
      </x:c>
      <x:c r="J9" s="30" t="n">
        <x:f>COUNTIFS(Evidence_Log!$B$2:$B$200,$B9,Evidence_Log!$E$2:$E$200,$E9,Evidence_Log!$V$2:$V$200,"Yes",Evidence_Log!$S$2:$S$200,"&lt;&gt;")</x:f>
        <x:v>1</x:v>
      </x:c>
      <x:c r="K9" s="30" t="n">
        <x:f>COUNTIFS(Evidence_Log!$B$2:$B$200,$B9,Evidence_Log!$E$2:$E$200,$E9,Evidence_Log!$V$2:$V$200,"Yes",Evidence_Log!$I$2:$I$200,"Tier 1")+COUNTIFS(Evidence_Log!$B$2:$B$200,$B9,Evidence_Log!$E$2:$E$200,$E9,Evidence_Log!$V$2:$V$200,"Yes",Evidence_Log!$I$2:$I$200,"Tier 2")</x:f>
        <x:v>0</x:v>
      </x:c>
      <x:c r="L9" s="30" t="n">
        <x:f>COUNTIFS(Evidence_Log!$B$2:$B$200,$B9,Evidence_Log!$E$2:$E$200,$E9,Evidence_Log!$V$2:$V$200,"Yes")</x:f>
        <x:v>1</x:v>
      </x:c>
      <x:c r="M9" s="30" t="str">
        <x:f>IF(L9=0,"No evidence",IF(H9&lt;60,"Needs review",IF(J9&lt;2,"Needs 2 independent sources",IF(K9&lt;1,"Needs Tier 1/2 source","Publishable"))))</x:f>
        <x:v>Needs review</x:v>
      </x:c>
      <x:c r="N9" s="30" t="str">
        <x:f>IFERROR("#"&amp;VLOOKUP(G9,Legend_Config!$A$2:$C$7,3,FALSE),"")</x:f>
        <x:v>#FDAE6B</x:v>
      </x:c>
      <x:c r="O9" s="30" t="n">
        <x:f>IF(I9="","",VLOOKUP(I9,Legend_Config!$F$2:$G$6,2,FALSE))</x:f>
        <x:v>0.25</x:v>
      </x:c>
      <x:c r="P9" s="30" t="n">
        <x:f>IFERROR(MAX(FILTER(Evidence_Log!$L$2:$L$200,Evidence_Log!$B$2:$B$200=$B9,Evidence_Log!$E$2:$E$200=$E9,Evidence_Log!$V$2:$V$200="Yes")),"")</x:f>
        <x:v>45658</x:v>
      </x:c>
      <x:c r="Q9" s="30" t="str">
        <x:f>IF(L9=0,"No evidence logged",G9&amp;" / "&amp;I9&amp;" confidence ("&amp;H9&amp;"%) from "&amp;L9&amp;" evidence row(s), "&amp;J9&amp;" source row(s).")</x:f>
        <x:v>3 / Needs review confidence (14%) from 1 evidence row(s), 1 source row(s).</x:v>
      </x:c>
    </x:row>
    <x:row r="10">
      <x:c r="A10" s="30" t="str">
        <x:f>IF(OR(B10="",E10=""),"",B10&amp;"|"&amp;E10)</x:f>
        <x:v>France|Russian influence</x:v>
      </x:c>
      <x:c r="B10" s="30" t="str">
        <x:v>France</x:v>
      </x:c>
      <x:c r="C10" s="30" t="str">
        <x:v>FRA</x:v>
      </x:c>
      <x:c r="D10" s="30" t="str">
        <x:v>Europe</x:v>
      </x:c>
      <x:c r="E10" s="30" t="str">
        <x:v>Russian influence</x:v>
      </x:c>
      <x:c r="F10" s="30" t="n">
        <x:f>IFERROR(SUMIFS(Evidence_Log!$Q$2:$Q$200,Evidence_Log!$B$2:$B$200,$B10,Evidence_Log!$E$2:$E$200,$E10,Evidence_Log!$V$2:$V$200,"Yes")/SUMIFS(Evidence_Log!$P$2:$P$200,Evidence_Log!$B$2:$B$200,$B10,Evidence_Log!$E$2:$E$200,$E10,Evidence_Log!$V$2:$V$200,"Yes"),"")</x:f>
        <x:v>3</x:v>
      </x:c>
      <x:c r="G10" s="30" t="n">
        <x:f>IF(L10=0,"",ROUND(F10,0))</x:f>
        <x:v>3</x:v>
      </x:c>
      <x:c r="H10" s="30" t="n">
        <x:f>IFERROR(MIN(100,ROUND((SUMIFS(Evidence_Log!$N$2:$N$200,Evidence_Log!$B$2:$B$200,$B10,Evidence_Log!$E$2:$E$200,$E10,Evidence_Log!$V$2:$V$200,"Yes")/L10)*(SUMIFS(Evidence_Log!$O$2:$O$200,Evidence_Log!$B$2:$B$200,$B10,Evidence_Log!$E$2:$E$200,$E10,Evidence_Log!$V$2:$V$200,"Yes")/L10)*IF(J10&gt;=3,1.15,IF(J10=2,1,IF(J10=1,0.7,0)))*100,0)),"")</x:f>
        <x:v>14</x:v>
      </x:c>
      <x:c r="I10" s="30" t="str">
        <x:f>IF(H10="","No data",IFS(H10&gt;=80,"High",H10&gt;=60,"Medium",H10&gt;=40,"Low",TRUE,"Needs review"))</x:f>
        <x:v>Needs review</x:v>
      </x:c>
      <x:c r="J10" s="30" t="n">
        <x:f>COUNTIFS(Evidence_Log!$B$2:$B$200,$B10,Evidence_Log!$E$2:$E$200,$E10,Evidence_Log!$V$2:$V$200,"Yes",Evidence_Log!$S$2:$S$200,"&lt;&gt;")</x:f>
        <x:v>1</x:v>
      </x:c>
      <x:c r="K10" s="30" t="n">
        <x:f>COUNTIFS(Evidence_Log!$B$2:$B$200,$B10,Evidence_Log!$E$2:$E$200,$E10,Evidence_Log!$V$2:$V$200,"Yes",Evidence_Log!$I$2:$I$200,"Tier 1")+COUNTIFS(Evidence_Log!$B$2:$B$200,$B10,Evidence_Log!$E$2:$E$200,$E10,Evidence_Log!$V$2:$V$200,"Yes",Evidence_Log!$I$2:$I$200,"Tier 2")</x:f>
        <x:v>0</x:v>
      </x:c>
      <x:c r="L10" s="30" t="n">
        <x:f>COUNTIFS(Evidence_Log!$B$2:$B$200,$B10,Evidence_Log!$E$2:$E$200,$E10,Evidence_Log!$V$2:$V$200,"Yes")</x:f>
        <x:v>1</x:v>
      </x:c>
      <x:c r="M10" s="30" t="str">
        <x:f>IF(L10=0,"No evidence",IF(H10&lt;60,"Needs review",IF(J10&lt;2,"Needs 2 independent sources",IF(K10&lt;1,"Needs Tier 1/2 source","Publishable"))))</x:f>
        <x:v>Needs review</x:v>
      </x:c>
      <x:c r="N10" s="30" t="str">
        <x:f>IFERROR("#"&amp;VLOOKUP(G10,Legend_Config!$A$2:$C$7,3,FALSE),"")</x:f>
        <x:v>#FDAE6B</x:v>
      </x:c>
      <x:c r="O10" s="30" t="n">
        <x:f>IF(I10="","",VLOOKUP(I10,Legend_Config!$F$2:$G$6,2,FALSE))</x:f>
        <x:v>0.25</x:v>
      </x:c>
      <x:c r="P10" s="30" t="n">
        <x:f>IFERROR(MAX(FILTER(Evidence_Log!$L$2:$L$200,Evidence_Log!$B$2:$B$200=$B10,Evidence_Log!$E$2:$E$200=$E10,Evidence_Log!$V$2:$V$200="Yes")),"")</x:f>
        <x:v>45658</x:v>
      </x:c>
      <x:c r="Q10" s="30" t="str">
        <x:f>IF(L10=0,"No evidence logged",G10&amp;" / "&amp;I10&amp;" confidence ("&amp;H10&amp;"%) from "&amp;L10&amp;" evidence row(s), "&amp;J10&amp;" source row(s).")</x:f>
        <x:v>3 / Needs review confidence (14%) from 1 evidence row(s), 1 source row(s).</x:v>
      </x:c>
    </x:row>
    <x:row r="11">
      <x:c r="A11" s="30" t="str">
        <x:f>IF(OR(B11="",E11=""),"",B11&amp;"|"&amp;E11)</x:f>
        <x:v>France|PMC presence</x:v>
      </x:c>
      <x:c r="B11" s="30" t="str">
        <x:v>France</x:v>
      </x:c>
      <x:c r="C11" s="30" t="str">
        <x:v>FRA</x:v>
      </x:c>
      <x:c r="D11" s="30" t="str">
        <x:v>Europe</x:v>
      </x:c>
      <x:c r="E11" s="30" t="str">
        <x:v>PMC presence</x:v>
      </x:c>
      <x:c r="F11" s="30" t="n">
        <x:f>IFERROR(SUMIFS(Evidence_Log!$Q$2:$Q$200,Evidence_Log!$B$2:$B$200,$B11,Evidence_Log!$E$2:$E$200,$E11,Evidence_Log!$V$2:$V$200,"Yes")/SUMIFS(Evidence_Log!$P$2:$P$200,Evidence_Log!$B$2:$B$200,$B11,Evidence_Log!$E$2:$E$200,$E11,Evidence_Log!$V$2:$V$200,"Yes"),"")</x:f>
        <x:v>0</x:v>
      </x:c>
      <x:c r="G11" s="30" t="n">
        <x:f>IF(L11=0,"",ROUND(F11,0))</x:f>
        <x:v>0</x:v>
      </x:c>
      <x:c r="H11" s="30" t="n">
        <x:f>IFERROR(MIN(100,ROUND((SUMIFS(Evidence_Log!$N$2:$N$200,Evidence_Log!$B$2:$B$200,$B11,Evidence_Log!$E$2:$E$200,$E11,Evidence_Log!$V$2:$V$200,"Yes")/L11)*(SUMIFS(Evidence_Log!$O$2:$O$200,Evidence_Log!$B$2:$B$200,$B11,Evidence_Log!$E$2:$E$200,$E11,Evidence_Log!$V$2:$V$200,"Yes")/L11)*IF(J11&gt;=3,1.15,IF(J11=2,1,IF(J11=1,0.7,0)))*100,0)),"")</x:f>
        <x:v>14</x:v>
      </x:c>
      <x:c r="I11" s="30" t="str">
        <x:f>IF(H11="","No data",IFS(H11&gt;=80,"High",H11&gt;=60,"Medium",H11&gt;=40,"Low",TRUE,"Needs review"))</x:f>
        <x:v>Needs review</x:v>
      </x:c>
      <x:c r="J11" s="30" t="n">
        <x:f>COUNTIFS(Evidence_Log!$B$2:$B$200,$B11,Evidence_Log!$E$2:$E$200,$E11,Evidence_Log!$V$2:$V$200,"Yes",Evidence_Log!$S$2:$S$200,"&lt;&gt;")</x:f>
        <x:v>1</x:v>
      </x:c>
      <x:c r="K11" s="30" t="n">
        <x:f>COUNTIFS(Evidence_Log!$B$2:$B$200,$B11,Evidence_Log!$E$2:$E$200,$E11,Evidence_Log!$V$2:$V$200,"Yes",Evidence_Log!$I$2:$I$200,"Tier 1")+COUNTIFS(Evidence_Log!$B$2:$B$200,$B11,Evidence_Log!$E$2:$E$200,$E11,Evidence_Log!$V$2:$V$200,"Yes",Evidence_Log!$I$2:$I$200,"Tier 2")</x:f>
        <x:v>0</x:v>
      </x:c>
      <x:c r="L11" s="30" t="n">
        <x:f>COUNTIFS(Evidence_Log!$B$2:$B$200,$B11,Evidence_Log!$E$2:$E$200,$E11,Evidence_Log!$V$2:$V$200,"Yes")</x:f>
        <x:v>1</x:v>
      </x:c>
      <x:c r="M11" s="30" t="str">
        <x:f>IF(L11=0,"No evidence",IF(H11&lt;60,"Needs review",IF(J11&lt;2,"Needs 2 independent sources",IF(K11&lt;1,"Needs Tier 1/2 source","Publishable"))))</x:f>
        <x:v>Needs review</x:v>
      </x:c>
      <x:c r="N11" s="30" t="str">
        <x:f>IFERROR("#"&amp;VLOOKUP(G11,Legend_Config!$A$2:$C$7,3,FALSE),"")</x:f>
        <x:v>#F2F2F2</x:v>
      </x:c>
      <x:c r="O11" s="30" t="n">
        <x:f>IF(I11="","",VLOOKUP(I11,Legend_Config!$F$2:$G$6,2,FALSE))</x:f>
        <x:v>0.25</x:v>
      </x:c>
      <x:c r="P11" s="30" t="n">
        <x:f>IFERROR(MAX(FILTER(Evidence_Log!$L$2:$L$200,Evidence_Log!$B$2:$B$200=$B11,Evidence_Log!$E$2:$E$200=$E11,Evidence_Log!$V$2:$V$200="Yes")),"")</x:f>
        <x:v>45658</x:v>
      </x:c>
      <x:c r="Q11" s="30" t="str">
        <x:f>IF(L11=0,"No evidence logged",G11&amp;" / "&amp;I11&amp;" confidence ("&amp;H11&amp;"%) from "&amp;L11&amp;" evidence row(s), "&amp;J11&amp;" source row(s).")</x:f>
        <x:v>0 / Needs review confidence (14%) from 1 evidence row(s), 1 source row(s).</x:v>
      </x:c>
    </x:row>
    <x:row r="12">
      <x:c r="A12" s="30" t="str">
        <x:f>IF(OR(B12="",E12=""),"",B12&amp;"|"&amp;E12)</x:f>
        <x:v>France|Propaganda ecosystems</x:v>
      </x:c>
      <x:c r="B12" s="30" t="str">
        <x:v>France</x:v>
      </x:c>
      <x:c r="C12" s="30" t="str">
        <x:v>FRA</x:v>
      </x:c>
      <x:c r="D12" s="30" t="str">
        <x:v>Europe</x:v>
      </x:c>
      <x:c r="E12" s="30" t="str">
        <x:v>Propaganda ecosystems</x:v>
      </x:c>
      <x:c r="F12" s="30" t="n">
        <x:f>IFERROR(SUMIFS(Evidence_Log!$Q$2:$Q$200,Evidence_Log!$B$2:$B$200,$B12,Evidence_Log!$E$2:$E$200,$E12,Evidence_Log!$V$2:$V$200,"Yes")/SUMIFS(Evidence_Log!$P$2:$P$200,Evidence_Log!$B$2:$B$200,$B12,Evidence_Log!$E$2:$E$200,$E12,Evidence_Log!$V$2:$V$200,"Yes"),"")</x:f>
        <x:v>4</x:v>
      </x:c>
      <x:c r="G12" s="30" t="n">
        <x:f>IF(L12=0,"",ROUND(F12,0))</x:f>
        <x:v>4</x:v>
      </x:c>
      <x:c r="H12" s="30" t="n">
        <x:f>IFERROR(MIN(100,ROUND((SUMIFS(Evidence_Log!$N$2:$N$200,Evidence_Log!$B$2:$B$200,$B12,Evidence_Log!$E$2:$E$200,$E12,Evidence_Log!$V$2:$V$200,"Yes")/L12)*(SUMIFS(Evidence_Log!$O$2:$O$200,Evidence_Log!$B$2:$B$200,$B12,Evidence_Log!$E$2:$E$200,$E12,Evidence_Log!$V$2:$V$200,"Yes")/L12)*IF(J12&gt;=3,1.15,IF(J12=2,1,IF(J12=1,0.7,0)))*100,0)),"")</x:f>
        <x:v>14</x:v>
      </x:c>
      <x:c r="I12" s="30" t="str">
        <x:f>IF(H12="","No data",IFS(H12&gt;=80,"High",H12&gt;=60,"Medium",H12&gt;=40,"Low",TRUE,"Needs review"))</x:f>
        <x:v>Needs review</x:v>
      </x:c>
      <x:c r="J12" s="30" t="n">
        <x:f>COUNTIFS(Evidence_Log!$B$2:$B$200,$B12,Evidence_Log!$E$2:$E$200,$E12,Evidence_Log!$V$2:$V$200,"Yes",Evidence_Log!$S$2:$S$200,"&lt;&gt;")</x:f>
        <x:v>1</x:v>
      </x:c>
      <x:c r="K12" s="30" t="n">
        <x:f>COUNTIFS(Evidence_Log!$B$2:$B$200,$B12,Evidence_Log!$E$2:$E$200,$E12,Evidence_Log!$V$2:$V$200,"Yes",Evidence_Log!$I$2:$I$200,"Tier 1")+COUNTIFS(Evidence_Log!$B$2:$B$200,$B12,Evidence_Log!$E$2:$E$200,$E12,Evidence_Log!$V$2:$V$200,"Yes",Evidence_Log!$I$2:$I$200,"Tier 2")</x:f>
        <x:v>0</x:v>
      </x:c>
      <x:c r="L12" s="30" t="n">
        <x:f>COUNTIFS(Evidence_Log!$B$2:$B$200,$B12,Evidence_Log!$E$2:$E$200,$E12,Evidence_Log!$V$2:$V$200,"Yes")</x:f>
        <x:v>1</x:v>
      </x:c>
      <x:c r="M12" s="30" t="str">
        <x:f>IF(L12=0,"No evidence",IF(H12&lt;60,"Needs review",IF(J12&lt;2,"Needs 2 independent sources",IF(K12&lt;1,"Needs Tier 1/2 source","Publishable"))))</x:f>
        <x:v>Needs review</x:v>
      </x:c>
      <x:c r="N12" s="30" t="str">
        <x:f>IFERROR("#"&amp;VLOOKUP(G12,Legend_Config!$A$2:$C$7,3,FALSE),"")</x:f>
        <x:v>#F16913</x:v>
      </x:c>
      <x:c r="O12" s="30" t="n">
        <x:f>IF(I12="","",VLOOKUP(I12,Legend_Config!$F$2:$G$6,2,FALSE))</x:f>
        <x:v>0.25</x:v>
      </x:c>
      <x:c r="P12" s="30" t="n">
        <x:f>IFERROR(MAX(FILTER(Evidence_Log!$L$2:$L$200,Evidence_Log!$B$2:$B$200=$B12,Evidence_Log!$E$2:$E$200=$E12,Evidence_Log!$V$2:$V$200="Yes")),"")</x:f>
        <x:v>45658</x:v>
      </x:c>
      <x:c r="Q12" s="30" t="str">
        <x:f>IF(L12=0,"No evidence logged",G12&amp;" / "&amp;I12&amp;" confidence ("&amp;H12&amp;"%) from "&amp;L12&amp;" evidence row(s), "&amp;J12&amp;" source row(s).")</x:f>
        <x:v>4 / Needs review confidence (14%) from 1 evidence row(s), 1 source row(s).</x:v>
      </x:c>
    </x:row>
    <x:row r="13">
      <x:c r="A13" s="30" t="str">
        <x:f>IF(OR(B13="",E13=""),"",B13&amp;"|"&amp;E13)</x:f>
        <x:v>France|Election interference</x:v>
      </x:c>
      <x:c r="B13" s="30" t="str">
        <x:v>France</x:v>
      </x:c>
      <x:c r="C13" s="30" t="str">
        <x:v>FRA</x:v>
      </x:c>
      <x:c r="D13" s="30" t="str">
        <x:v>Europe</x:v>
      </x:c>
      <x:c r="E13" s="30" t="str">
        <x:v>Election interference</x:v>
      </x:c>
      <x:c r="F13" s="30" t="n">
        <x:f>IFERROR(SUMIFS(Evidence_Log!$Q$2:$Q$200,Evidence_Log!$B$2:$B$200,$B13,Evidence_Log!$E$2:$E$200,$E13,Evidence_Log!$V$2:$V$200,"Yes")/SUMIFS(Evidence_Log!$P$2:$P$200,Evidence_Log!$B$2:$B$200,$B13,Evidence_Log!$E$2:$E$200,$E13,Evidence_Log!$V$2:$V$200,"Yes"),"")</x:f>
        <x:v>3</x:v>
      </x:c>
      <x:c r="G13" s="30" t="n">
        <x:f>IF(L13=0,"",ROUND(F13,0))</x:f>
        <x:v>3</x:v>
      </x:c>
      <x:c r="H13" s="30" t="n">
        <x:f>IFERROR(MIN(100,ROUND((SUMIFS(Evidence_Log!$N$2:$N$200,Evidence_Log!$B$2:$B$200,$B13,Evidence_Log!$E$2:$E$200,$E13,Evidence_Log!$V$2:$V$200,"Yes")/L13)*(SUMIFS(Evidence_Log!$O$2:$O$200,Evidence_Log!$B$2:$B$200,$B13,Evidence_Log!$E$2:$E$200,$E13,Evidence_Log!$V$2:$V$200,"Yes")/L13)*IF(J13&gt;=3,1.15,IF(J13=2,1,IF(J13=1,0.7,0)))*100,0)),"")</x:f>
        <x:v>14</x:v>
      </x:c>
      <x:c r="I13" s="30" t="str">
        <x:f>IF(H13="","No data",IFS(H13&gt;=80,"High",H13&gt;=60,"Medium",H13&gt;=40,"Low",TRUE,"Needs review"))</x:f>
        <x:v>Needs review</x:v>
      </x:c>
      <x:c r="J13" s="30" t="n">
        <x:f>COUNTIFS(Evidence_Log!$B$2:$B$200,$B13,Evidence_Log!$E$2:$E$200,$E13,Evidence_Log!$V$2:$V$200,"Yes",Evidence_Log!$S$2:$S$200,"&lt;&gt;")</x:f>
        <x:v>1</x:v>
      </x:c>
      <x:c r="K13" s="30" t="n">
        <x:f>COUNTIFS(Evidence_Log!$B$2:$B$200,$B13,Evidence_Log!$E$2:$E$200,$E13,Evidence_Log!$V$2:$V$200,"Yes",Evidence_Log!$I$2:$I$200,"Tier 1")+COUNTIFS(Evidence_Log!$B$2:$B$200,$B13,Evidence_Log!$E$2:$E$200,$E13,Evidence_Log!$V$2:$V$200,"Yes",Evidence_Log!$I$2:$I$200,"Tier 2")</x:f>
        <x:v>0</x:v>
      </x:c>
      <x:c r="L13" s="30" t="n">
        <x:f>COUNTIFS(Evidence_Log!$B$2:$B$200,$B13,Evidence_Log!$E$2:$E$200,$E13,Evidence_Log!$V$2:$V$200,"Yes")</x:f>
        <x:v>1</x:v>
      </x:c>
      <x:c r="M13" s="30" t="str">
        <x:f>IF(L13=0,"No evidence",IF(H13&lt;60,"Needs review",IF(J13&lt;2,"Needs 2 independent sources",IF(K13&lt;1,"Needs Tier 1/2 source","Publishable"))))</x:f>
        <x:v>Needs review</x:v>
      </x:c>
      <x:c r="N13" s="30" t="str">
        <x:f>IFERROR("#"&amp;VLOOKUP(G13,Legend_Config!$A$2:$C$7,3,FALSE),"")</x:f>
        <x:v>#FDAE6B</x:v>
      </x:c>
      <x:c r="O13" s="30" t="n">
        <x:f>IF(I13="","",VLOOKUP(I13,Legend_Config!$F$2:$G$6,2,FALSE))</x:f>
        <x:v>0.25</x:v>
      </x:c>
      <x:c r="P13" s="30" t="n">
        <x:f>IFERROR(MAX(FILTER(Evidence_Log!$L$2:$L$200,Evidence_Log!$B$2:$B$200=$B13,Evidence_Log!$E$2:$E$200=$E13,Evidence_Log!$V$2:$V$200="Yes")),"")</x:f>
        <x:v>45658</x:v>
      </x:c>
      <x:c r="Q13" s="30" t="str">
        <x:f>IF(L13=0,"No evidence logged",G13&amp;" / "&amp;I13&amp;" confidence ("&amp;H13&amp;"%) from "&amp;L13&amp;" evidence row(s), "&amp;J13&amp;" source row(s).")</x:f>
        <x:v>3 / Needs review confidence (14%) from 1 evidence row(s), 1 source row(s).</x:v>
      </x:c>
    </x:row>
    <x:row r="14">
      <x:c r="A14" s="30" t="str">
        <x:f>IF(OR(B14="",E14=""),"",B14&amp;"|"&amp;E14)</x:f>
        <x:v>Mali|Russian influence</x:v>
      </x:c>
      <x:c r="B14" s="30" t="str">
        <x:v>Mali</x:v>
      </x:c>
      <x:c r="C14" s="30" t="str">
        <x:v>MLI</x:v>
      </x:c>
      <x:c r="D14" s="30" t="str">
        <x:v>Africa</x:v>
      </x:c>
      <x:c r="E14" s="30" t="str">
        <x:v>Russian influence</x:v>
      </x:c>
      <x:c r="F14" s="30" t="n">
        <x:f>IFERROR(SUMIFS(Evidence_Log!$Q$2:$Q$200,Evidence_Log!$B$2:$B$200,$B14,Evidence_Log!$E$2:$E$200,$E14,Evidence_Log!$V$2:$V$200,"Yes")/SUMIFS(Evidence_Log!$P$2:$P$200,Evidence_Log!$B$2:$B$200,$B14,Evidence_Log!$E$2:$E$200,$E14,Evidence_Log!$V$2:$V$200,"Yes"),"")</x:f>
        <x:v>5</x:v>
      </x:c>
      <x:c r="G14" s="30" t="n">
        <x:f>IF(L14=0,"",ROUND(F14,0))</x:f>
        <x:v>5</x:v>
      </x:c>
      <x:c r="H14" s="30" t="n">
        <x:f>IFERROR(MIN(100,ROUND((SUMIFS(Evidence_Log!$N$2:$N$200,Evidence_Log!$B$2:$B$200,$B14,Evidence_Log!$E$2:$E$200,$E14,Evidence_Log!$V$2:$V$200,"Yes")/L14)*(SUMIFS(Evidence_Log!$O$2:$O$200,Evidence_Log!$B$2:$B$200,$B14,Evidence_Log!$E$2:$E$200,$E14,Evidence_Log!$V$2:$V$200,"Yes")/L14)*IF(J14&gt;=3,1.15,IF(J14=2,1,IF(J14=1,0.7,0)))*100,0)),"")</x:f>
        <x:v>14</x:v>
      </x:c>
      <x:c r="I14" s="30" t="str">
        <x:f>IF(H14="","No data",IFS(H14&gt;=80,"High",H14&gt;=60,"Medium",H14&gt;=40,"Low",TRUE,"Needs review"))</x:f>
        <x:v>Needs review</x:v>
      </x:c>
      <x:c r="J14" s="30" t="n">
        <x:f>COUNTIFS(Evidence_Log!$B$2:$B$200,$B14,Evidence_Log!$E$2:$E$200,$E14,Evidence_Log!$V$2:$V$200,"Yes",Evidence_Log!$S$2:$S$200,"&lt;&gt;")</x:f>
        <x:v>1</x:v>
      </x:c>
      <x:c r="K14" s="30" t="n">
        <x:f>COUNTIFS(Evidence_Log!$B$2:$B$200,$B14,Evidence_Log!$E$2:$E$200,$E14,Evidence_Log!$V$2:$V$200,"Yes",Evidence_Log!$I$2:$I$200,"Tier 1")+COUNTIFS(Evidence_Log!$B$2:$B$200,$B14,Evidence_Log!$E$2:$E$200,$E14,Evidence_Log!$V$2:$V$200,"Yes",Evidence_Log!$I$2:$I$200,"Tier 2")</x:f>
        <x:v>0</x:v>
      </x:c>
      <x:c r="L14" s="30" t="n">
        <x:f>COUNTIFS(Evidence_Log!$B$2:$B$200,$B14,Evidence_Log!$E$2:$E$200,$E14,Evidence_Log!$V$2:$V$200,"Yes")</x:f>
        <x:v>1</x:v>
      </x:c>
      <x:c r="M14" s="30" t="str">
        <x:f>IF(L14=0,"No evidence",IF(H14&lt;60,"Needs review",IF(J14&lt;2,"Needs 2 independent sources",IF(K14&lt;1,"Needs Tier 1/2 source","Publishable"))))</x:f>
        <x:v>Needs review</x:v>
      </x:c>
      <x:c r="N14" s="30" t="str">
        <x:f>IFERROR("#"&amp;VLOOKUP(G14,Legend_Config!$A$2:$C$7,3,FALSE),"")</x:f>
        <x:v>#A63603</x:v>
      </x:c>
      <x:c r="O14" s="30" t="n">
        <x:f>IF(I14="","",VLOOKUP(I14,Legend_Config!$F$2:$G$6,2,FALSE))</x:f>
        <x:v>0.25</x:v>
      </x:c>
      <x:c r="P14" s="30" t="n">
        <x:f>IFERROR(MAX(FILTER(Evidence_Log!$L$2:$L$200,Evidence_Log!$B$2:$B$200=$B14,Evidence_Log!$E$2:$E$200=$E14,Evidence_Log!$V$2:$V$200="Yes")),"")</x:f>
        <x:v>45658</x:v>
      </x:c>
      <x:c r="Q14" s="30" t="str">
        <x:f>IF(L14=0,"No evidence logged",G14&amp;" / "&amp;I14&amp;" confidence ("&amp;H14&amp;"%) from "&amp;L14&amp;" evidence row(s), "&amp;J14&amp;" source row(s).")</x:f>
        <x:v>5 / Needs review confidence (14%) from 1 evidence row(s), 1 source row(s).</x:v>
      </x:c>
    </x:row>
    <x:row r="15">
      <x:c r="A15" s="30" t="str">
        <x:f>IF(OR(B15="",E15=""),"",B15&amp;"|"&amp;E15)</x:f>
        <x:v>Mali|PMC presence</x:v>
      </x:c>
      <x:c r="B15" s="30" t="str">
        <x:v>Mali</x:v>
      </x:c>
      <x:c r="C15" s="30" t="str">
        <x:v>MLI</x:v>
      </x:c>
      <x:c r="D15" s="30" t="str">
        <x:v>Africa</x:v>
      </x:c>
      <x:c r="E15" s="30" t="str">
        <x:v>PMC presence</x:v>
      </x:c>
      <x:c r="F15" s="30" t="n">
        <x:f>IFERROR(SUMIFS(Evidence_Log!$Q$2:$Q$200,Evidence_Log!$B$2:$B$200,$B15,Evidence_Log!$E$2:$E$200,$E15,Evidence_Log!$V$2:$V$200,"Yes")/SUMIFS(Evidence_Log!$P$2:$P$200,Evidence_Log!$B$2:$B$200,$B15,Evidence_Log!$E$2:$E$200,$E15,Evidence_Log!$V$2:$V$200,"Yes"),"")</x:f>
        <x:v>5</x:v>
      </x:c>
      <x:c r="G15" s="30" t="n">
        <x:f>IF(L15=0,"",ROUND(F15,0))</x:f>
        <x:v>5</x:v>
      </x:c>
      <x:c r="H15" s="30" t="n">
        <x:f>IFERROR(MIN(100,ROUND((SUMIFS(Evidence_Log!$N$2:$N$200,Evidence_Log!$B$2:$B$200,$B15,Evidence_Log!$E$2:$E$200,$E15,Evidence_Log!$V$2:$V$200,"Yes")/L15)*(SUMIFS(Evidence_Log!$O$2:$O$200,Evidence_Log!$B$2:$B$200,$B15,Evidence_Log!$E$2:$E$200,$E15,Evidence_Log!$V$2:$V$200,"Yes")/L15)*IF(J15&gt;=3,1.15,IF(J15=2,1,IF(J15=1,0.7,0)))*100,0)),"")</x:f>
        <x:v>14</x:v>
      </x:c>
      <x:c r="I15" s="30" t="str">
        <x:f>IF(H15="","No data",IFS(H15&gt;=80,"High",H15&gt;=60,"Medium",H15&gt;=40,"Low",TRUE,"Needs review"))</x:f>
        <x:v>Needs review</x:v>
      </x:c>
      <x:c r="J15" s="30" t="n">
        <x:f>COUNTIFS(Evidence_Log!$B$2:$B$200,$B15,Evidence_Log!$E$2:$E$200,$E15,Evidence_Log!$V$2:$V$200,"Yes",Evidence_Log!$S$2:$S$200,"&lt;&gt;")</x:f>
        <x:v>1</x:v>
      </x:c>
      <x:c r="K15" s="30" t="n">
        <x:f>COUNTIFS(Evidence_Log!$B$2:$B$200,$B15,Evidence_Log!$E$2:$E$200,$E15,Evidence_Log!$V$2:$V$200,"Yes",Evidence_Log!$I$2:$I$200,"Tier 1")+COUNTIFS(Evidence_Log!$B$2:$B$200,$B15,Evidence_Log!$E$2:$E$200,$E15,Evidence_Log!$V$2:$V$200,"Yes",Evidence_Log!$I$2:$I$200,"Tier 2")</x:f>
        <x:v>0</x:v>
      </x:c>
      <x:c r="L15" s="30" t="n">
        <x:f>COUNTIFS(Evidence_Log!$B$2:$B$200,$B15,Evidence_Log!$E$2:$E$200,$E15,Evidence_Log!$V$2:$V$200,"Yes")</x:f>
        <x:v>1</x:v>
      </x:c>
      <x:c r="M15" s="30" t="str">
        <x:f>IF(L15=0,"No evidence",IF(H15&lt;60,"Needs review",IF(J15&lt;2,"Needs 2 independent sources",IF(K15&lt;1,"Needs Tier 1/2 source","Publishable"))))</x:f>
        <x:v>Needs review</x:v>
      </x:c>
      <x:c r="N15" s="30" t="str">
        <x:f>IFERROR("#"&amp;VLOOKUP(G15,Legend_Config!$A$2:$C$7,3,FALSE),"")</x:f>
        <x:v>#A63603</x:v>
      </x:c>
      <x:c r="O15" s="30" t="n">
        <x:f>IF(I15="","",VLOOKUP(I15,Legend_Config!$F$2:$G$6,2,FALSE))</x:f>
        <x:v>0.25</x:v>
      </x:c>
      <x:c r="P15" s="30" t="n">
        <x:f>IFERROR(MAX(FILTER(Evidence_Log!$L$2:$L$200,Evidence_Log!$B$2:$B$200=$B15,Evidence_Log!$E$2:$E$200=$E15,Evidence_Log!$V$2:$V$200="Yes")),"")</x:f>
        <x:v>45658</x:v>
      </x:c>
      <x:c r="Q15" s="30" t="str">
        <x:f>IF(L15=0,"No evidence logged",G15&amp;" / "&amp;I15&amp;" confidence ("&amp;H15&amp;"%) from "&amp;L15&amp;" evidence row(s), "&amp;J15&amp;" source row(s).")</x:f>
        <x:v>5 / Needs review confidence (14%) from 1 evidence row(s), 1 source row(s).</x:v>
      </x:c>
    </x:row>
    <x:row r="16">
      <x:c r="A16" s="30" t="str">
        <x:f>IF(OR(B16="",E16=""),"",B16&amp;"|"&amp;E16)</x:f>
        <x:v>Mali|Propaganda ecosystems</x:v>
      </x:c>
      <x:c r="B16" s="30" t="str">
        <x:v>Mali</x:v>
      </x:c>
      <x:c r="C16" s="30" t="str">
        <x:v>MLI</x:v>
      </x:c>
      <x:c r="D16" s="30" t="str">
        <x:v>Africa</x:v>
      </x:c>
      <x:c r="E16" s="30" t="str">
        <x:v>Propaganda ecosystems</x:v>
      </x:c>
      <x:c r="F16" s="30" t="n">
        <x:f>IFERROR(SUMIFS(Evidence_Log!$Q$2:$Q$200,Evidence_Log!$B$2:$B$200,$B16,Evidence_Log!$E$2:$E$200,$E16,Evidence_Log!$V$2:$V$200,"Yes")/SUMIFS(Evidence_Log!$P$2:$P$200,Evidence_Log!$B$2:$B$200,$B16,Evidence_Log!$E$2:$E$200,$E16,Evidence_Log!$V$2:$V$200,"Yes"),"")</x:f>
        <x:v>4</x:v>
      </x:c>
      <x:c r="G16" s="30" t="n">
        <x:f>IF(L16=0,"",ROUND(F16,0))</x:f>
        <x:v>4</x:v>
      </x:c>
      <x:c r="H16" s="30" t="n">
        <x:f>IFERROR(MIN(100,ROUND((SUMIFS(Evidence_Log!$N$2:$N$200,Evidence_Log!$B$2:$B$200,$B16,Evidence_Log!$E$2:$E$200,$E16,Evidence_Log!$V$2:$V$200,"Yes")/L16)*(SUMIFS(Evidence_Log!$O$2:$O$200,Evidence_Log!$B$2:$B$200,$B16,Evidence_Log!$E$2:$E$200,$E16,Evidence_Log!$V$2:$V$200,"Yes")/L16)*IF(J16&gt;=3,1.15,IF(J16=2,1,IF(J16=1,0.7,0)))*100,0)),"")</x:f>
        <x:v>14</x:v>
      </x:c>
      <x:c r="I16" s="30" t="str">
        <x:f>IF(H16="","No data",IFS(H16&gt;=80,"High",H16&gt;=60,"Medium",H16&gt;=40,"Low",TRUE,"Needs review"))</x:f>
        <x:v>Needs review</x:v>
      </x:c>
      <x:c r="J16" s="30" t="n">
        <x:f>COUNTIFS(Evidence_Log!$B$2:$B$200,$B16,Evidence_Log!$E$2:$E$200,$E16,Evidence_Log!$V$2:$V$200,"Yes",Evidence_Log!$S$2:$S$200,"&lt;&gt;")</x:f>
        <x:v>1</x:v>
      </x:c>
      <x:c r="K16" s="30" t="n">
        <x:f>COUNTIFS(Evidence_Log!$B$2:$B$200,$B16,Evidence_Log!$E$2:$E$200,$E16,Evidence_Log!$V$2:$V$200,"Yes",Evidence_Log!$I$2:$I$200,"Tier 1")+COUNTIFS(Evidence_Log!$B$2:$B$200,$B16,Evidence_Log!$E$2:$E$200,$E16,Evidence_Log!$V$2:$V$200,"Yes",Evidence_Log!$I$2:$I$200,"Tier 2")</x:f>
        <x:v>0</x:v>
      </x:c>
      <x:c r="L16" s="30" t="n">
        <x:f>COUNTIFS(Evidence_Log!$B$2:$B$200,$B16,Evidence_Log!$E$2:$E$200,$E16,Evidence_Log!$V$2:$V$200,"Yes")</x:f>
        <x:v>1</x:v>
      </x:c>
      <x:c r="M16" s="30" t="str">
        <x:f>IF(L16=0,"No evidence",IF(H16&lt;60,"Needs review",IF(J16&lt;2,"Needs 2 independent sources",IF(K16&lt;1,"Needs Tier 1/2 source","Publishable"))))</x:f>
        <x:v>Needs review</x:v>
      </x:c>
      <x:c r="N16" s="30" t="str">
        <x:f>IFERROR("#"&amp;VLOOKUP(G16,Legend_Config!$A$2:$C$7,3,FALSE),"")</x:f>
        <x:v>#F16913</x:v>
      </x:c>
      <x:c r="O16" s="30" t="n">
        <x:f>IF(I16="","",VLOOKUP(I16,Legend_Config!$F$2:$G$6,2,FALSE))</x:f>
        <x:v>0.25</x:v>
      </x:c>
      <x:c r="P16" s="30" t="n">
        <x:f>IFERROR(MAX(FILTER(Evidence_Log!$L$2:$L$200,Evidence_Log!$B$2:$B$200=$B16,Evidence_Log!$E$2:$E$200=$E16,Evidence_Log!$V$2:$V$200="Yes")),"")</x:f>
        <x:v>45658</x:v>
      </x:c>
      <x:c r="Q16" s="30" t="str">
        <x:f>IF(L16=0,"No evidence logged",G16&amp;" / "&amp;I16&amp;" confidence ("&amp;H16&amp;"%) from "&amp;L16&amp;" evidence row(s), "&amp;J16&amp;" source row(s).")</x:f>
        <x:v>4 / Needs review confidence (14%) from 1 evidence row(s), 1 source row(s).</x:v>
      </x:c>
    </x:row>
    <x:row r="17">
      <x:c r="A17" s="30" t="str">
        <x:f>IF(OR(B17="",E17=""),"",B17&amp;"|"&amp;E17)</x:f>
        <x:v>Mali|Election interference</x:v>
      </x:c>
      <x:c r="B17" s="30" t="str">
        <x:v>Mali</x:v>
      </x:c>
      <x:c r="C17" s="30" t="str">
        <x:v>MLI</x:v>
      </x:c>
      <x:c r="D17" s="30" t="str">
        <x:v>Africa</x:v>
      </x:c>
      <x:c r="E17" s="30" t="str">
        <x:v>Election interference</x:v>
      </x:c>
      <x:c r="F17" s="30" t="n">
        <x:f>IFERROR(SUMIFS(Evidence_Log!$Q$2:$Q$200,Evidence_Log!$B$2:$B$200,$B17,Evidence_Log!$E$2:$E$200,$E17,Evidence_Log!$V$2:$V$200,"Yes")/SUMIFS(Evidence_Log!$P$2:$P$200,Evidence_Log!$B$2:$B$200,$B17,Evidence_Log!$E$2:$E$200,$E17,Evidence_Log!$V$2:$V$200,"Yes"),"")</x:f>
        <x:v>2</x:v>
      </x:c>
      <x:c r="G17" s="30" t="n">
        <x:f>IF(L17=0,"",ROUND(F17,0))</x:f>
        <x:v>2</x:v>
      </x:c>
      <x:c r="H17" s="30" t="n">
        <x:f>IFERROR(MIN(100,ROUND((SUMIFS(Evidence_Log!$N$2:$N$200,Evidence_Log!$B$2:$B$200,$B17,Evidence_Log!$E$2:$E$200,$E17,Evidence_Log!$V$2:$V$200,"Yes")/L17)*(SUMIFS(Evidence_Log!$O$2:$O$200,Evidence_Log!$B$2:$B$200,$B17,Evidence_Log!$E$2:$E$200,$E17,Evidence_Log!$V$2:$V$200,"Yes")/L17)*IF(J17&gt;=3,1.15,IF(J17=2,1,IF(J17=1,0.7,0)))*100,0)),"")</x:f>
        <x:v>14</x:v>
      </x:c>
      <x:c r="I17" s="30" t="str">
        <x:f>IF(H17="","No data",IFS(H17&gt;=80,"High",H17&gt;=60,"Medium",H17&gt;=40,"Low",TRUE,"Needs review"))</x:f>
        <x:v>Needs review</x:v>
      </x:c>
      <x:c r="J17" s="30" t="n">
        <x:f>COUNTIFS(Evidence_Log!$B$2:$B$200,$B17,Evidence_Log!$E$2:$E$200,$E17,Evidence_Log!$V$2:$V$200,"Yes",Evidence_Log!$S$2:$S$200,"&lt;&gt;")</x:f>
        <x:v>1</x:v>
      </x:c>
      <x:c r="K17" s="30" t="n">
        <x:f>COUNTIFS(Evidence_Log!$B$2:$B$200,$B17,Evidence_Log!$E$2:$E$200,$E17,Evidence_Log!$V$2:$V$200,"Yes",Evidence_Log!$I$2:$I$200,"Tier 1")+COUNTIFS(Evidence_Log!$B$2:$B$200,$B17,Evidence_Log!$E$2:$E$200,$E17,Evidence_Log!$V$2:$V$200,"Yes",Evidence_Log!$I$2:$I$200,"Tier 2")</x:f>
        <x:v>0</x:v>
      </x:c>
      <x:c r="L17" s="30" t="n">
        <x:f>COUNTIFS(Evidence_Log!$B$2:$B$200,$B17,Evidence_Log!$E$2:$E$200,$E17,Evidence_Log!$V$2:$V$200,"Yes")</x:f>
        <x:v>1</x:v>
      </x:c>
      <x:c r="M17" s="30" t="str">
        <x:f>IF(L17=0,"No evidence",IF(H17&lt;60,"Needs review",IF(J17&lt;2,"Needs 2 independent sources",IF(K17&lt;1,"Needs Tier 1/2 source","Publishable"))))</x:f>
        <x:v>Needs review</x:v>
      </x:c>
      <x:c r="N17" s="30" t="str">
        <x:f>IFERROR("#"&amp;VLOOKUP(G17,Legend_Config!$A$2:$C$7,3,FALSE),"")</x:f>
        <x:v>#ADDD8E</x:v>
      </x:c>
      <x:c r="O17" s="30" t="n">
        <x:f>IF(I17="","",VLOOKUP(I17,Legend_Config!$F$2:$G$6,2,FALSE))</x:f>
        <x:v>0.25</x:v>
      </x:c>
      <x:c r="P17" s="30" t="n">
        <x:f>IFERROR(MAX(FILTER(Evidence_Log!$L$2:$L$200,Evidence_Log!$B$2:$B$200=$B17,Evidence_Log!$E$2:$E$200=$E17,Evidence_Log!$V$2:$V$200="Yes")),"")</x:f>
        <x:v>45658</x:v>
      </x:c>
      <x:c r="Q17" s="30" t="str">
        <x:f>IF(L17=0,"No evidence logged",G17&amp;" / "&amp;I17&amp;" confidence ("&amp;H17&amp;"%) from "&amp;L17&amp;" evidence row(s), "&amp;J17&amp;" source row(s).")</x:f>
        <x:v>2 / Needs review confidence (14%) from 1 evidence row(s), 1 source row(s).</x:v>
      </x:c>
    </x:row>
    <x:row r="18">
      <x:c r="A18" s="30" t="str">
        <x:f>IF(OR(B18="",E18=""),"",B18&amp;"|"&amp;E18)</x:f>
        <x:v>Central African Republic|Russian influence</x:v>
      </x:c>
      <x:c r="B18" s="30" t="str">
        <x:v>Central African Republic</x:v>
      </x:c>
      <x:c r="C18" s="30" t="str">
        <x:v>CAF</x:v>
      </x:c>
      <x:c r="D18" s="30" t="str">
        <x:v>Africa</x:v>
      </x:c>
      <x:c r="E18" s="30" t="str">
        <x:v>Russian influence</x:v>
      </x:c>
      <x:c r="F18" s="30" t="n">
        <x:f>IFERROR(SUMIFS(Evidence_Log!$Q$2:$Q$200,Evidence_Log!$B$2:$B$200,$B18,Evidence_Log!$E$2:$E$200,$E18,Evidence_Log!$V$2:$V$200,"Yes")/SUMIFS(Evidence_Log!$P$2:$P$200,Evidence_Log!$B$2:$B$200,$B18,Evidence_Log!$E$2:$E$200,$E18,Evidence_Log!$V$2:$V$200,"Yes"),"")</x:f>
        <x:v>5</x:v>
      </x:c>
      <x:c r="G18" s="30" t="n">
        <x:f>IF(L18=0,"",ROUND(F18,0))</x:f>
        <x:v>5</x:v>
      </x:c>
      <x:c r="H18" s="30" t="n">
        <x:f>IFERROR(MIN(100,ROUND((SUMIFS(Evidence_Log!$N$2:$N$200,Evidence_Log!$B$2:$B$200,$B18,Evidence_Log!$E$2:$E$200,$E18,Evidence_Log!$V$2:$V$200,"Yes")/L18)*(SUMIFS(Evidence_Log!$O$2:$O$200,Evidence_Log!$B$2:$B$200,$B18,Evidence_Log!$E$2:$E$200,$E18,Evidence_Log!$V$2:$V$200,"Yes")/L18)*IF(J18&gt;=3,1.15,IF(J18=2,1,IF(J18=1,0.7,0)))*100,0)),"")</x:f>
        <x:v>14</x:v>
      </x:c>
      <x:c r="I18" s="30" t="str">
        <x:f>IF(H18="","No data",IFS(H18&gt;=80,"High",H18&gt;=60,"Medium",H18&gt;=40,"Low",TRUE,"Needs review"))</x:f>
        <x:v>Needs review</x:v>
      </x:c>
      <x:c r="J18" s="30" t="n">
        <x:f>COUNTIFS(Evidence_Log!$B$2:$B$200,$B18,Evidence_Log!$E$2:$E$200,$E18,Evidence_Log!$V$2:$V$200,"Yes",Evidence_Log!$S$2:$S$200,"&lt;&gt;")</x:f>
        <x:v>1</x:v>
      </x:c>
      <x:c r="K18" s="30" t="n">
        <x:f>COUNTIFS(Evidence_Log!$B$2:$B$200,$B18,Evidence_Log!$E$2:$E$200,$E18,Evidence_Log!$V$2:$V$200,"Yes",Evidence_Log!$I$2:$I$200,"Tier 1")+COUNTIFS(Evidence_Log!$B$2:$B$200,$B18,Evidence_Log!$E$2:$E$200,$E18,Evidence_Log!$V$2:$V$200,"Yes",Evidence_Log!$I$2:$I$200,"Tier 2")</x:f>
        <x:v>0</x:v>
      </x:c>
      <x:c r="L18" s="30" t="n">
        <x:f>COUNTIFS(Evidence_Log!$B$2:$B$200,$B18,Evidence_Log!$E$2:$E$200,$E18,Evidence_Log!$V$2:$V$200,"Yes")</x:f>
        <x:v>1</x:v>
      </x:c>
      <x:c r="M18" s="30" t="str">
        <x:f>IF(L18=0,"No evidence",IF(H18&lt;60,"Needs review",IF(J18&lt;2,"Needs 2 independent sources",IF(K18&lt;1,"Needs Tier 1/2 source","Publishable"))))</x:f>
        <x:v>Needs review</x:v>
      </x:c>
      <x:c r="N18" s="30" t="str">
        <x:f>IFERROR("#"&amp;VLOOKUP(G18,Legend_Config!$A$2:$C$7,3,FALSE),"")</x:f>
        <x:v>#A63603</x:v>
      </x:c>
      <x:c r="O18" s="30" t="n">
        <x:f>IF(I18="","",VLOOKUP(I18,Legend_Config!$F$2:$G$6,2,FALSE))</x:f>
        <x:v>0.25</x:v>
      </x:c>
      <x:c r="P18" s="30" t="n">
        <x:f>IFERROR(MAX(FILTER(Evidence_Log!$L$2:$L$200,Evidence_Log!$B$2:$B$200=$B18,Evidence_Log!$E$2:$E$200=$E18,Evidence_Log!$V$2:$V$200="Yes")),"")</x:f>
        <x:v>45658</x:v>
      </x:c>
      <x:c r="Q18" s="30" t="str">
        <x:f>IF(L18=0,"No evidence logged",G18&amp;" / "&amp;I18&amp;" confidence ("&amp;H18&amp;"%) from "&amp;L18&amp;" evidence row(s), "&amp;J18&amp;" source row(s).")</x:f>
        <x:v>5 / Needs review confidence (14%) from 1 evidence row(s), 1 source row(s).</x:v>
      </x:c>
    </x:row>
    <x:row r="19">
      <x:c r="A19" s="30" t="str">
        <x:f>IF(OR(B19="",E19=""),"",B19&amp;"|"&amp;E19)</x:f>
        <x:v>Central African Republic|PMC presence</x:v>
      </x:c>
      <x:c r="B19" s="30" t="str">
        <x:v>Central African Republic</x:v>
      </x:c>
      <x:c r="C19" s="30" t="str">
        <x:v>CAF</x:v>
      </x:c>
      <x:c r="D19" s="30" t="str">
        <x:v>Africa</x:v>
      </x:c>
      <x:c r="E19" s="30" t="str">
        <x:v>PMC presence</x:v>
      </x:c>
      <x:c r="F19" s="30" t="n">
        <x:f>IFERROR(SUMIFS(Evidence_Log!$Q$2:$Q$200,Evidence_Log!$B$2:$B$200,$B19,Evidence_Log!$E$2:$E$200,$E19,Evidence_Log!$V$2:$V$200,"Yes")/SUMIFS(Evidence_Log!$P$2:$P$200,Evidence_Log!$B$2:$B$200,$B19,Evidence_Log!$E$2:$E$200,$E19,Evidence_Log!$V$2:$V$200,"Yes"),"")</x:f>
        <x:v>5</x:v>
      </x:c>
      <x:c r="G19" s="30" t="n">
        <x:f>IF(L19=0,"",ROUND(F19,0))</x:f>
        <x:v>5</x:v>
      </x:c>
      <x:c r="H19" s="30" t="n">
        <x:f>IFERROR(MIN(100,ROUND((SUMIFS(Evidence_Log!$N$2:$N$200,Evidence_Log!$B$2:$B$200,$B19,Evidence_Log!$E$2:$E$200,$E19,Evidence_Log!$V$2:$V$200,"Yes")/L19)*(SUMIFS(Evidence_Log!$O$2:$O$200,Evidence_Log!$B$2:$B$200,$B19,Evidence_Log!$E$2:$E$200,$E19,Evidence_Log!$V$2:$V$200,"Yes")/L19)*IF(J19&gt;=3,1.15,IF(J19=2,1,IF(J19=1,0.7,0)))*100,0)),"")</x:f>
        <x:v>14</x:v>
      </x:c>
      <x:c r="I19" s="30" t="str">
        <x:f>IF(H19="","No data",IFS(H19&gt;=80,"High",H19&gt;=60,"Medium",H19&gt;=40,"Low",TRUE,"Needs review"))</x:f>
        <x:v>Needs review</x:v>
      </x:c>
      <x:c r="J19" s="30" t="n">
        <x:f>COUNTIFS(Evidence_Log!$B$2:$B$200,$B19,Evidence_Log!$E$2:$E$200,$E19,Evidence_Log!$V$2:$V$200,"Yes",Evidence_Log!$S$2:$S$200,"&lt;&gt;")</x:f>
        <x:v>1</x:v>
      </x:c>
      <x:c r="K19" s="30" t="n">
        <x:f>COUNTIFS(Evidence_Log!$B$2:$B$200,$B19,Evidence_Log!$E$2:$E$200,$E19,Evidence_Log!$V$2:$V$200,"Yes",Evidence_Log!$I$2:$I$200,"Tier 1")+COUNTIFS(Evidence_Log!$B$2:$B$200,$B19,Evidence_Log!$E$2:$E$200,$E19,Evidence_Log!$V$2:$V$200,"Yes",Evidence_Log!$I$2:$I$200,"Tier 2")</x:f>
        <x:v>0</x:v>
      </x:c>
      <x:c r="L19" s="30" t="n">
        <x:f>COUNTIFS(Evidence_Log!$B$2:$B$200,$B19,Evidence_Log!$E$2:$E$200,$E19,Evidence_Log!$V$2:$V$200,"Yes")</x:f>
        <x:v>1</x:v>
      </x:c>
      <x:c r="M19" s="30" t="str">
        <x:f>IF(L19=0,"No evidence",IF(H19&lt;60,"Needs review",IF(J19&lt;2,"Needs 2 independent sources",IF(K19&lt;1,"Needs Tier 1/2 source","Publishable"))))</x:f>
        <x:v>Needs review</x:v>
      </x:c>
      <x:c r="N19" s="30" t="str">
        <x:f>IFERROR("#"&amp;VLOOKUP(G19,Legend_Config!$A$2:$C$7,3,FALSE),"")</x:f>
        <x:v>#A63603</x:v>
      </x:c>
      <x:c r="O19" s="30" t="n">
        <x:f>IF(I19="","",VLOOKUP(I19,Legend_Config!$F$2:$G$6,2,FALSE))</x:f>
        <x:v>0.25</x:v>
      </x:c>
      <x:c r="P19" s="30" t="n">
        <x:f>IFERROR(MAX(FILTER(Evidence_Log!$L$2:$L$200,Evidence_Log!$B$2:$B$200=$B19,Evidence_Log!$E$2:$E$200=$E19,Evidence_Log!$V$2:$V$200="Yes")),"")</x:f>
        <x:v>45658</x:v>
      </x:c>
      <x:c r="Q19" s="30" t="str">
        <x:f>IF(L19=0,"No evidence logged",G19&amp;" / "&amp;I19&amp;" confidence ("&amp;H19&amp;"%) from "&amp;L19&amp;" evidence row(s), "&amp;J19&amp;" source row(s).")</x:f>
        <x:v>5 / Needs review confidence (14%) from 1 evidence row(s), 1 source row(s).</x:v>
      </x:c>
    </x:row>
    <x:row r="20">
      <x:c r="A20" s="30" t="str">
        <x:f>IF(OR(B20="",E20=""),"",B20&amp;"|"&amp;E20)</x:f>
        <x:v>Central African Republic|Propaganda ecosystems</x:v>
      </x:c>
      <x:c r="B20" s="30" t="str">
        <x:v>Central African Republic</x:v>
      </x:c>
      <x:c r="C20" s="30" t="str">
        <x:v>CAF</x:v>
      </x:c>
      <x:c r="D20" s="30" t="str">
        <x:v>Africa</x:v>
      </x:c>
      <x:c r="E20" s="30" t="str">
        <x:v>Propaganda ecosystems</x:v>
      </x:c>
      <x:c r="F20" s="30" t="n">
        <x:f>IFERROR(SUMIFS(Evidence_Log!$Q$2:$Q$200,Evidence_Log!$B$2:$B$200,$B20,Evidence_Log!$E$2:$E$200,$E20,Evidence_Log!$V$2:$V$200,"Yes")/SUMIFS(Evidence_Log!$P$2:$P$200,Evidence_Log!$B$2:$B$200,$B20,Evidence_Log!$E$2:$E$200,$E20,Evidence_Log!$V$2:$V$200,"Yes"),"")</x:f>
        <x:v>4</x:v>
      </x:c>
      <x:c r="G20" s="30" t="n">
        <x:f>IF(L20=0,"",ROUND(F20,0))</x:f>
        <x:v>4</x:v>
      </x:c>
      <x:c r="H20" s="30" t="n">
        <x:f>IFERROR(MIN(100,ROUND((SUMIFS(Evidence_Log!$N$2:$N$200,Evidence_Log!$B$2:$B$200,$B20,Evidence_Log!$E$2:$E$200,$E20,Evidence_Log!$V$2:$V$200,"Yes")/L20)*(SUMIFS(Evidence_Log!$O$2:$O$200,Evidence_Log!$B$2:$B$200,$B20,Evidence_Log!$E$2:$E$200,$E20,Evidence_Log!$V$2:$V$200,"Yes")/L20)*IF(J20&gt;=3,1.15,IF(J20=2,1,IF(J20=1,0.7,0)))*100,0)),"")</x:f>
        <x:v>14</x:v>
      </x:c>
      <x:c r="I20" s="30" t="str">
        <x:f>IF(H20="","No data",IFS(H20&gt;=80,"High",H20&gt;=60,"Medium",H20&gt;=40,"Low",TRUE,"Needs review"))</x:f>
        <x:v>Needs review</x:v>
      </x:c>
      <x:c r="J20" s="30" t="n">
        <x:f>COUNTIFS(Evidence_Log!$B$2:$B$200,$B20,Evidence_Log!$E$2:$E$200,$E20,Evidence_Log!$V$2:$V$200,"Yes",Evidence_Log!$S$2:$S$200,"&lt;&gt;")</x:f>
        <x:v>1</x:v>
      </x:c>
      <x:c r="K20" s="30" t="n">
        <x:f>COUNTIFS(Evidence_Log!$B$2:$B$200,$B20,Evidence_Log!$E$2:$E$200,$E20,Evidence_Log!$V$2:$V$200,"Yes",Evidence_Log!$I$2:$I$200,"Tier 1")+COUNTIFS(Evidence_Log!$B$2:$B$200,$B20,Evidence_Log!$E$2:$E$200,$E20,Evidence_Log!$V$2:$V$200,"Yes",Evidence_Log!$I$2:$I$200,"Tier 2")</x:f>
        <x:v>0</x:v>
      </x:c>
      <x:c r="L20" s="30" t="n">
        <x:f>COUNTIFS(Evidence_Log!$B$2:$B$200,$B20,Evidence_Log!$E$2:$E$200,$E20,Evidence_Log!$V$2:$V$200,"Yes")</x:f>
        <x:v>1</x:v>
      </x:c>
      <x:c r="M20" s="30" t="str">
        <x:f>IF(L20=0,"No evidence",IF(H20&lt;60,"Needs review",IF(J20&lt;2,"Needs 2 independent sources",IF(K20&lt;1,"Needs Tier 1/2 source","Publishable"))))</x:f>
        <x:v>Needs review</x:v>
      </x:c>
      <x:c r="N20" s="30" t="str">
        <x:f>IFERROR("#"&amp;VLOOKUP(G20,Legend_Config!$A$2:$C$7,3,FALSE),"")</x:f>
        <x:v>#F16913</x:v>
      </x:c>
      <x:c r="O20" s="30" t="n">
        <x:f>IF(I20="","",VLOOKUP(I20,Legend_Config!$F$2:$G$6,2,FALSE))</x:f>
        <x:v>0.25</x:v>
      </x:c>
      <x:c r="P20" s="30" t="n">
        <x:f>IFERROR(MAX(FILTER(Evidence_Log!$L$2:$L$200,Evidence_Log!$B$2:$B$200=$B20,Evidence_Log!$E$2:$E$200=$E20,Evidence_Log!$V$2:$V$200="Yes")),"")</x:f>
        <x:v>45658</x:v>
      </x:c>
      <x:c r="Q20" s="30" t="str">
        <x:f>IF(L20=0,"No evidence logged",G20&amp;" / "&amp;I20&amp;" confidence ("&amp;H20&amp;"%) from "&amp;L20&amp;" evidence row(s), "&amp;J20&amp;" source row(s).")</x:f>
        <x:v>4 / Needs review confidence (14%) from 1 evidence row(s), 1 source row(s).</x:v>
      </x:c>
    </x:row>
    <x:row r="21">
      <x:c r="A21" s="30" t="str">
        <x:f>IF(OR(B21="",E21=""),"",B21&amp;"|"&amp;E21)</x:f>
        <x:v>Central African Republic|Election interference</x:v>
      </x:c>
      <x:c r="B21" s="30" t="str">
        <x:v>Central African Republic</x:v>
      </x:c>
      <x:c r="C21" s="30" t="str">
        <x:v>CAF</x:v>
      </x:c>
      <x:c r="D21" s="30" t="str">
        <x:v>Africa</x:v>
      </x:c>
      <x:c r="E21" s="30" t="str">
        <x:v>Election interference</x:v>
      </x:c>
      <x:c r="F21" s="30" t="n">
        <x:f>IFERROR(SUMIFS(Evidence_Log!$Q$2:$Q$200,Evidence_Log!$B$2:$B$200,$B21,Evidence_Log!$E$2:$E$200,$E21,Evidence_Log!$V$2:$V$200,"Yes")/SUMIFS(Evidence_Log!$P$2:$P$200,Evidence_Log!$B$2:$B$200,$B21,Evidence_Log!$E$2:$E$200,$E21,Evidence_Log!$V$2:$V$200,"Yes"),"")</x:f>
        <x:v>1</x:v>
      </x:c>
      <x:c r="G21" s="30" t="n">
        <x:f>IF(L21=0,"",ROUND(F21,0))</x:f>
        <x:v>1</x:v>
      </x:c>
      <x:c r="H21" s="30" t="n">
        <x:f>IFERROR(MIN(100,ROUND((SUMIFS(Evidence_Log!$N$2:$N$200,Evidence_Log!$B$2:$B$200,$B21,Evidence_Log!$E$2:$E$200,$E21,Evidence_Log!$V$2:$V$200,"Yes")/L21)*(SUMIFS(Evidence_Log!$O$2:$O$200,Evidence_Log!$B$2:$B$200,$B21,Evidence_Log!$E$2:$E$200,$E21,Evidence_Log!$V$2:$V$200,"Yes")/L21)*IF(J21&gt;=3,1.15,IF(J21=2,1,IF(J21=1,0.7,0)))*100,0)),"")</x:f>
        <x:v>14</x:v>
      </x:c>
      <x:c r="I21" s="30" t="str">
        <x:f>IF(H21="","No data",IFS(H21&gt;=80,"High",H21&gt;=60,"Medium",H21&gt;=40,"Low",TRUE,"Needs review"))</x:f>
        <x:v>Needs review</x:v>
      </x:c>
      <x:c r="J21" s="30" t="n">
        <x:f>COUNTIFS(Evidence_Log!$B$2:$B$200,$B21,Evidence_Log!$E$2:$E$200,$E21,Evidence_Log!$V$2:$V$200,"Yes",Evidence_Log!$S$2:$S$200,"&lt;&gt;")</x:f>
        <x:v>1</x:v>
      </x:c>
      <x:c r="K21" s="30" t="n">
        <x:f>COUNTIFS(Evidence_Log!$B$2:$B$200,$B21,Evidence_Log!$E$2:$E$200,$E21,Evidence_Log!$V$2:$V$200,"Yes",Evidence_Log!$I$2:$I$200,"Tier 1")+COUNTIFS(Evidence_Log!$B$2:$B$200,$B21,Evidence_Log!$E$2:$E$200,$E21,Evidence_Log!$V$2:$V$200,"Yes",Evidence_Log!$I$2:$I$200,"Tier 2")</x:f>
        <x:v>0</x:v>
      </x:c>
      <x:c r="L21" s="30" t="n">
        <x:f>COUNTIFS(Evidence_Log!$B$2:$B$200,$B21,Evidence_Log!$E$2:$E$200,$E21,Evidence_Log!$V$2:$V$200,"Yes")</x:f>
        <x:v>1</x:v>
      </x:c>
      <x:c r="M21" s="30" t="str">
        <x:f>IF(L21=0,"No evidence",IF(H21&lt;60,"Needs review",IF(J21&lt;2,"Needs 2 independent sources",IF(K21&lt;1,"Needs Tier 1/2 source","Publishable"))))</x:f>
        <x:v>Needs review</x:v>
      </x:c>
      <x:c r="N21" s="30" t="str">
        <x:f>IFERROR("#"&amp;VLOOKUP(G21,Legend_Config!$A$2:$C$7,3,FALSE),"")</x:f>
        <x:v>#D9F0D3</x:v>
      </x:c>
      <x:c r="O21" s="30" t="n">
        <x:f>IF(I21="","",VLOOKUP(I21,Legend_Config!$F$2:$G$6,2,FALSE))</x:f>
        <x:v>0.25</x:v>
      </x:c>
      <x:c r="P21" s="30" t="n">
        <x:f>IFERROR(MAX(FILTER(Evidence_Log!$L$2:$L$200,Evidence_Log!$B$2:$B$200=$B21,Evidence_Log!$E$2:$E$200=$E21,Evidence_Log!$V$2:$V$200="Yes")),"")</x:f>
        <x:v>45658</x:v>
      </x:c>
      <x:c r="Q21" s="30" t="str">
        <x:f>IF(L21=0,"No evidence logged",G21&amp;" / "&amp;I21&amp;" confidence ("&amp;H21&amp;"%) from "&amp;L21&amp;" evidence row(s), "&amp;J21&amp;" source row(s).")</x:f>
        <x:v>1 / Needs review confidence (14%) from 1 evidence row(s), 1 source row(s).</x:v>
      </x:c>
    </x:row>
    <x:row r="22">
      <x:c r="A22" s="30" t="str">
        <x:f>IF(OR(B22="",E22=""),"",B22&amp;"|"&amp;E22)</x:f>
        <x:v>United States|Russian influence</x:v>
      </x:c>
      <x:c r="B22" s="30" t="str">
        <x:v>United States</x:v>
      </x:c>
      <x:c r="C22" s="30" t="str">
        <x:v>USA</x:v>
      </x:c>
      <x:c r="D22" s="30" t="str">
        <x:v>North America</x:v>
      </x:c>
      <x:c r="E22" s="30" t="str">
        <x:v>Russian influence</x:v>
      </x:c>
      <x:c r="F22" s="30" t="n">
        <x:f>IFERROR(SUMIFS(Evidence_Log!$Q$2:$Q$200,Evidence_Log!$B$2:$B$200,$B22,Evidence_Log!$E$2:$E$200,$E22,Evidence_Log!$V$2:$V$200,"Yes")/SUMIFS(Evidence_Log!$P$2:$P$200,Evidence_Log!$B$2:$B$200,$B22,Evidence_Log!$E$2:$E$200,$E22,Evidence_Log!$V$2:$V$200,"Yes"),"")</x:f>
        <x:v>2</x:v>
      </x:c>
      <x:c r="G22" s="30" t="n">
        <x:f>IF(L22=0,"",ROUND(F22,0))</x:f>
        <x:v>2</x:v>
      </x:c>
      <x:c r="H22" s="30" t="n">
        <x:f>IFERROR(MIN(100,ROUND((SUMIFS(Evidence_Log!$N$2:$N$200,Evidence_Log!$B$2:$B$200,$B22,Evidence_Log!$E$2:$E$200,$E22,Evidence_Log!$V$2:$V$200,"Yes")/L22)*(SUMIFS(Evidence_Log!$O$2:$O$200,Evidence_Log!$B$2:$B$200,$B22,Evidence_Log!$E$2:$E$200,$E22,Evidence_Log!$V$2:$V$200,"Yes")/L22)*IF(J22&gt;=3,1.15,IF(J22=2,1,IF(J22=1,0.7,0)))*100,0)),"")</x:f>
        <x:v>14</x:v>
      </x:c>
      <x:c r="I22" s="30" t="str">
        <x:f>IF(H22="","No data",IFS(H22&gt;=80,"High",H22&gt;=60,"Medium",H22&gt;=40,"Low",TRUE,"Needs review"))</x:f>
        <x:v>Needs review</x:v>
      </x:c>
      <x:c r="J22" s="30" t="n">
        <x:f>COUNTIFS(Evidence_Log!$B$2:$B$200,$B22,Evidence_Log!$E$2:$E$200,$E22,Evidence_Log!$V$2:$V$200,"Yes",Evidence_Log!$S$2:$S$200,"&lt;&gt;")</x:f>
        <x:v>1</x:v>
      </x:c>
      <x:c r="K22" s="30" t="n">
        <x:f>COUNTIFS(Evidence_Log!$B$2:$B$200,$B22,Evidence_Log!$E$2:$E$200,$E22,Evidence_Log!$V$2:$V$200,"Yes",Evidence_Log!$I$2:$I$200,"Tier 1")+COUNTIFS(Evidence_Log!$B$2:$B$200,$B22,Evidence_Log!$E$2:$E$200,$E22,Evidence_Log!$V$2:$V$200,"Yes",Evidence_Log!$I$2:$I$200,"Tier 2")</x:f>
        <x:v>0</x:v>
      </x:c>
      <x:c r="L22" s="30" t="n">
        <x:f>COUNTIFS(Evidence_Log!$B$2:$B$200,$B22,Evidence_Log!$E$2:$E$200,$E22,Evidence_Log!$V$2:$V$200,"Yes")</x:f>
        <x:v>1</x:v>
      </x:c>
      <x:c r="M22" s="30" t="str">
        <x:f>IF(L22=0,"No evidence",IF(H22&lt;60,"Needs review",IF(J22&lt;2,"Needs 2 independent sources",IF(K22&lt;1,"Needs Tier 1/2 source","Publishable"))))</x:f>
        <x:v>Needs review</x:v>
      </x:c>
      <x:c r="N22" s="30" t="str">
        <x:f>IFERROR("#"&amp;VLOOKUP(G22,Legend_Config!$A$2:$C$7,3,FALSE),"")</x:f>
        <x:v>#ADDD8E</x:v>
      </x:c>
      <x:c r="O22" s="30" t="n">
        <x:f>IF(I22="","",VLOOKUP(I22,Legend_Config!$F$2:$G$6,2,FALSE))</x:f>
        <x:v>0.25</x:v>
      </x:c>
      <x:c r="P22" s="30" t="n">
        <x:f>IFERROR(MAX(FILTER(Evidence_Log!$L$2:$L$200,Evidence_Log!$B$2:$B$200=$B22,Evidence_Log!$E$2:$E$200=$E22,Evidence_Log!$V$2:$V$200="Yes")),"")</x:f>
        <x:v>45658</x:v>
      </x:c>
      <x:c r="Q22" s="30" t="str">
        <x:f>IF(L22=0,"No evidence logged",G22&amp;" / "&amp;I22&amp;" confidence ("&amp;H22&amp;"%) from "&amp;L22&amp;" evidence row(s), "&amp;J22&amp;" source row(s).")</x:f>
        <x:v>2 / Needs review confidence (14%) from 1 evidence row(s), 1 source row(s).</x:v>
      </x:c>
    </x:row>
    <x:row r="23">
      <x:c r="A23" s="30" t="str">
        <x:f>IF(OR(B23="",E23=""),"",B23&amp;"|"&amp;E23)</x:f>
        <x:v>United States|PMC presence</x:v>
      </x:c>
      <x:c r="B23" s="30" t="str">
        <x:v>United States</x:v>
      </x:c>
      <x:c r="C23" s="30" t="str">
        <x:v>USA</x:v>
      </x:c>
      <x:c r="D23" s="30" t="str">
        <x:v>North America</x:v>
      </x:c>
      <x:c r="E23" s="30" t="str">
        <x:v>PMC presence</x:v>
      </x:c>
      <x:c r="F23" s="30" t="n">
        <x:f>IFERROR(SUMIFS(Evidence_Log!$Q$2:$Q$200,Evidence_Log!$B$2:$B$200,$B23,Evidence_Log!$E$2:$E$200,$E23,Evidence_Log!$V$2:$V$200,"Yes")/SUMIFS(Evidence_Log!$P$2:$P$200,Evidence_Log!$B$2:$B$200,$B23,Evidence_Log!$E$2:$E$200,$E23,Evidence_Log!$V$2:$V$200,"Yes"),"")</x:f>
        <x:v>0</x:v>
      </x:c>
      <x:c r="G23" s="30" t="n">
        <x:f>IF(L23=0,"",ROUND(F23,0))</x:f>
        <x:v>0</x:v>
      </x:c>
      <x:c r="H23" s="30" t="n">
        <x:f>IFERROR(MIN(100,ROUND((SUMIFS(Evidence_Log!$N$2:$N$200,Evidence_Log!$B$2:$B$200,$B23,Evidence_Log!$E$2:$E$200,$E23,Evidence_Log!$V$2:$V$200,"Yes")/L23)*(SUMIFS(Evidence_Log!$O$2:$O$200,Evidence_Log!$B$2:$B$200,$B23,Evidence_Log!$E$2:$E$200,$E23,Evidence_Log!$V$2:$V$200,"Yes")/L23)*IF(J23&gt;=3,1.15,IF(J23=2,1,IF(J23=1,0.7,0)))*100,0)),"")</x:f>
        <x:v>14</x:v>
      </x:c>
      <x:c r="I23" s="30" t="str">
        <x:f>IF(H23="","No data",IFS(H23&gt;=80,"High",H23&gt;=60,"Medium",H23&gt;=40,"Low",TRUE,"Needs review"))</x:f>
        <x:v>Needs review</x:v>
      </x:c>
      <x:c r="J23" s="30" t="n">
        <x:f>COUNTIFS(Evidence_Log!$B$2:$B$200,$B23,Evidence_Log!$E$2:$E$200,$E23,Evidence_Log!$V$2:$V$200,"Yes",Evidence_Log!$S$2:$S$200,"&lt;&gt;")</x:f>
        <x:v>1</x:v>
      </x:c>
      <x:c r="K23" s="30" t="n">
        <x:f>COUNTIFS(Evidence_Log!$B$2:$B$200,$B23,Evidence_Log!$E$2:$E$200,$E23,Evidence_Log!$V$2:$V$200,"Yes",Evidence_Log!$I$2:$I$200,"Tier 1")+COUNTIFS(Evidence_Log!$B$2:$B$200,$B23,Evidence_Log!$E$2:$E$200,$E23,Evidence_Log!$V$2:$V$200,"Yes",Evidence_Log!$I$2:$I$200,"Tier 2")</x:f>
        <x:v>0</x:v>
      </x:c>
      <x:c r="L23" s="30" t="n">
        <x:f>COUNTIFS(Evidence_Log!$B$2:$B$200,$B23,Evidence_Log!$E$2:$E$200,$E23,Evidence_Log!$V$2:$V$200,"Yes")</x:f>
        <x:v>1</x:v>
      </x:c>
      <x:c r="M23" s="30" t="str">
        <x:f>IF(L23=0,"No evidence",IF(H23&lt;60,"Needs review",IF(J23&lt;2,"Needs 2 independent sources",IF(K23&lt;1,"Needs Tier 1/2 source","Publishable"))))</x:f>
        <x:v>Needs review</x:v>
      </x:c>
      <x:c r="N23" s="30" t="str">
        <x:f>IFERROR("#"&amp;VLOOKUP(G23,Legend_Config!$A$2:$C$7,3,FALSE),"")</x:f>
        <x:v>#F2F2F2</x:v>
      </x:c>
      <x:c r="O23" s="30" t="n">
        <x:f>IF(I23="","",VLOOKUP(I23,Legend_Config!$F$2:$G$6,2,FALSE))</x:f>
        <x:v>0.25</x:v>
      </x:c>
      <x:c r="P23" s="30" t="n">
        <x:f>IFERROR(MAX(FILTER(Evidence_Log!$L$2:$L$200,Evidence_Log!$B$2:$B$200=$B23,Evidence_Log!$E$2:$E$200=$E23,Evidence_Log!$V$2:$V$200="Yes")),"")</x:f>
        <x:v>45658</x:v>
      </x:c>
      <x:c r="Q23" s="30" t="str">
        <x:f>IF(L23=0,"No evidence logged",G23&amp;" / "&amp;I23&amp;" confidence ("&amp;H23&amp;"%) from "&amp;L23&amp;" evidence row(s), "&amp;J23&amp;" source row(s).")</x:f>
        <x:v>0 / Needs review confidence (14%) from 1 evidence row(s), 1 source row(s).</x:v>
      </x:c>
    </x:row>
    <x:row r="24">
      <x:c r="A24" s="30" t="str">
        <x:f>IF(OR(B24="",E24=""),"",B24&amp;"|"&amp;E24)</x:f>
        <x:v>United States|Propaganda ecosystems</x:v>
      </x:c>
      <x:c r="B24" s="30" t="str">
        <x:v>United States</x:v>
      </x:c>
      <x:c r="C24" s="30" t="str">
        <x:v>USA</x:v>
      </x:c>
      <x:c r="D24" s="30" t="str">
        <x:v>North America</x:v>
      </x:c>
      <x:c r="E24" s="30" t="str">
        <x:v>Propaganda ecosystems</x:v>
      </x:c>
      <x:c r="F24" s="30" t="n">
        <x:f>IFERROR(SUMIFS(Evidence_Log!$Q$2:$Q$200,Evidence_Log!$B$2:$B$200,$B24,Evidence_Log!$E$2:$E$200,$E24,Evidence_Log!$V$2:$V$200,"Yes")/SUMIFS(Evidence_Log!$P$2:$P$200,Evidence_Log!$B$2:$B$200,$B24,Evidence_Log!$E$2:$E$200,$E24,Evidence_Log!$V$2:$V$200,"Yes"),"")</x:f>
        <x:v>4</x:v>
      </x:c>
      <x:c r="G24" s="30" t="n">
        <x:f>IF(L24=0,"",ROUND(F24,0))</x:f>
        <x:v>4</x:v>
      </x:c>
      <x:c r="H24" s="30" t="n">
        <x:f>IFERROR(MIN(100,ROUND((SUMIFS(Evidence_Log!$N$2:$N$200,Evidence_Log!$B$2:$B$200,$B24,Evidence_Log!$E$2:$E$200,$E24,Evidence_Log!$V$2:$V$200,"Yes")/L24)*(SUMIFS(Evidence_Log!$O$2:$O$200,Evidence_Log!$B$2:$B$200,$B24,Evidence_Log!$E$2:$E$200,$E24,Evidence_Log!$V$2:$V$200,"Yes")/L24)*IF(J24&gt;=3,1.15,IF(J24=2,1,IF(J24=1,0.7,0)))*100,0)),"")</x:f>
        <x:v>14</x:v>
      </x:c>
      <x:c r="I24" s="30" t="str">
        <x:f>IF(H24="","No data",IFS(H24&gt;=80,"High",H24&gt;=60,"Medium",H24&gt;=40,"Low",TRUE,"Needs review"))</x:f>
        <x:v>Needs review</x:v>
      </x:c>
      <x:c r="J24" s="30" t="n">
        <x:f>COUNTIFS(Evidence_Log!$B$2:$B$200,$B24,Evidence_Log!$E$2:$E$200,$E24,Evidence_Log!$V$2:$V$200,"Yes",Evidence_Log!$S$2:$S$200,"&lt;&gt;")</x:f>
        <x:v>1</x:v>
      </x:c>
      <x:c r="K24" s="30" t="n">
        <x:f>COUNTIFS(Evidence_Log!$B$2:$B$200,$B24,Evidence_Log!$E$2:$E$200,$E24,Evidence_Log!$V$2:$V$200,"Yes",Evidence_Log!$I$2:$I$200,"Tier 1")+COUNTIFS(Evidence_Log!$B$2:$B$200,$B24,Evidence_Log!$E$2:$E$200,$E24,Evidence_Log!$V$2:$V$200,"Yes",Evidence_Log!$I$2:$I$200,"Tier 2")</x:f>
        <x:v>0</x:v>
      </x:c>
      <x:c r="L24" s="30" t="n">
        <x:f>COUNTIFS(Evidence_Log!$B$2:$B$200,$B24,Evidence_Log!$E$2:$E$200,$E24,Evidence_Log!$V$2:$V$200,"Yes")</x:f>
        <x:v>1</x:v>
      </x:c>
      <x:c r="M24" s="30" t="str">
        <x:f>IF(L24=0,"No evidence",IF(H24&lt;60,"Needs review",IF(J24&lt;2,"Needs 2 independent sources",IF(K24&lt;1,"Needs Tier 1/2 source","Publishable"))))</x:f>
        <x:v>Needs review</x:v>
      </x:c>
      <x:c r="N24" s="30" t="str">
        <x:f>IFERROR("#"&amp;VLOOKUP(G24,Legend_Config!$A$2:$C$7,3,FALSE),"")</x:f>
        <x:v>#F16913</x:v>
      </x:c>
      <x:c r="O24" s="30" t="n">
        <x:f>IF(I24="","",VLOOKUP(I24,Legend_Config!$F$2:$G$6,2,FALSE))</x:f>
        <x:v>0.25</x:v>
      </x:c>
      <x:c r="P24" s="30" t="n">
        <x:f>IFERROR(MAX(FILTER(Evidence_Log!$L$2:$L$200,Evidence_Log!$B$2:$B$200=$B24,Evidence_Log!$E$2:$E$200=$E24,Evidence_Log!$V$2:$V$200="Yes")),"")</x:f>
        <x:v>45658</x:v>
      </x:c>
      <x:c r="Q24" s="30" t="str">
        <x:f>IF(L24=0,"No evidence logged",G24&amp;" / "&amp;I24&amp;" confidence ("&amp;H24&amp;"%) from "&amp;L24&amp;" evidence row(s), "&amp;J24&amp;" source row(s).")</x:f>
        <x:v>4 / Needs review confidence (14%) from 1 evidence row(s), 1 source row(s).</x:v>
      </x:c>
    </x:row>
    <x:row r="25">
      <x:c r="A25" s="30" t="str">
        <x:f>IF(OR(B25="",E25=""),"",B25&amp;"|"&amp;E25)</x:f>
        <x:v>United States|Election interference</x:v>
      </x:c>
      <x:c r="B25" s="30" t="str">
        <x:v>United States</x:v>
      </x:c>
      <x:c r="C25" s="30" t="str">
        <x:v>USA</x:v>
      </x:c>
      <x:c r="D25" s="30" t="str">
        <x:v>North America</x:v>
      </x:c>
      <x:c r="E25" s="30" t="str">
        <x:v>Election interference</x:v>
      </x:c>
      <x:c r="F25" s="30" t="n">
        <x:f>IFERROR(SUMIFS(Evidence_Log!$Q$2:$Q$200,Evidence_Log!$B$2:$B$200,$B25,Evidence_Log!$E$2:$E$200,$E25,Evidence_Log!$V$2:$V$200,"Yes")/SUMIFS(Evidence_Log!$P$2:$P$200,Evidence_Log!$B$2:$B$200,$B25,Evidence_Log!$E$2:$E$200,$E25,Evidence_Log!$V$2:$V$200,"Yes"),"")</x:f>
        <x:v>5</x:v>
      </x:c>
      <x:c r="G25" s="30" t="n">
        <x:f>IF(L25=0,"",ROUND(F25,0))</x:f>
        <x:v>5</x:v>
      </x:c>
      <x:c r="H25" s="30" t="n">
        <x:f>IFERROR(MIN(100,ROUND((SUMIFS(Evidence_Log!$N$2:$N$200,Evidence_Log!$B$2:$B$200,$B25,Evidence_Log!$E$2:$E$200,$E25,Evidence_Log!$V$2:$V$200,"Yes")/L25)*(SUMIFS(Evidence_Log!$O$2:$O$200,Evidence_Log!$B$2:$B$200,$B25,Evidence_Log!$E$2:$E$200,$E25,Evidence_Log!$V$2:$V$200,"Yes")/L25)*IF(J25&gt;=3,1.15,IF(J25=2,1,IF(J25=1,0.7,0)))*100,0)),"")</x:f>
        <x:v>14</x:v>
      </x:c>
      <x:c r="I25" s="30" t="str">
        <x:f>IF(H25="","No data",IFS(H25&gt;=80,"High",H25&gt;=60,"Medium",H25&gt;=40,"Low",TRUE,"Needs review"))</x:f>
        <x:v>Needs review</x:v>
      </x:c>
      <x:c r="J25" s="30" t="n">
        <x:f>COUNTIFS(Evidence_Log!$B$2:$B$200,$B25,Evidence_Log!$E$2:$E$200,$E25,Evidence_Log!$V$2:$V$200,"Yes",Evidence_Log!$S$2:$S$200,"&lt;&gt;")</x:f>
        <x:v>1</x:v>
      </x:c>
      <x:c r="K25" s="30" t="n">
        <x:f>COUNTIFS(Evidence_Log!$B$2:$B$200,$B25,Evidence_Log!$E$2:$E$200,$E25,Evidence_Log!$V$2:$V$200,"Yes",Evidence_Log!$I$2:$I$200,"Tier 1")+COUNTIFS(Evidence_Log!$B$2:$B$200,$B25,Evidence_Log!$E$2:$E$200,$E25,Evidence_Log!$V$2:$V$200,"Yes",Evidence_Log!$I$2:$I$200,"Tier 2")</x:f>
        <x:v>0</x:v>
      </x:c>
      <x:c r="L25" s="30" t="n">
        <x:f>COUNTIFS(Evidence_Log!$B$2:$B$200,$B25,Evidence_Log!$E$2:$E$200,$E25,Evidence_Log!$V$2:$V$200,"Yes")</x:f>
        <x:v>1</x:v>
      </x:c>
      <x:c r="M25" s="30" t="str">
        <x:f>IF(L25=0,"No evidence",IF(H25&lt;60,"Needs review",IF(J25&lt;2,"Needs 2 independent sources",IF(K25&lt;1,"Needs Tier 1/2 source","Publishable"))))</x:f>
        <x:v>Needs review</x:v>
      </x:c>
      <x:c r="N25" s="30" t="str">
        <x:f>IFERROR("#"&amp;VLOOKUP(G25,Legend_Config!$A$2:$C$7,3,FALSE),"")</x:f>
        <x:v>#A63603</x:v>
      </x:c>
      <x:c r="O25" s="30" t="n">
        <x:f>IF(I25="","",VLOOKUP(I25,Legend_Config!$F$2:$G$6,2,FALSE))</x:f>
        <x:v>0.25</x:v>
      </x:c>
      <x:c r="P25" s="30" t="n">
        <x:f>IFERROR(MAX(FILTER(Evidence_Log!$L$2:$L$200,Evidence_Log!$B$2:$B$200=$B25,Evidence_Log!$E$2:$E$200=$E25,Evidence_Log!$V$2:$V$200="Yes")),"")</x:f>
        <x:v>45658</x:v>
      </x:c>
      <x:c r="Q25" s="30" t="str">
        <x:f>IF(L25=0,"No evidence logged",G25&amp;" / "&amp;I25&amp;" confidence ("&amp;H25&amp;"%) from "&amp;L25&amp;" evidence row(s), "&amp;J25&amp;" source row(s).")</x:f>
        <x:v>5 / Needs review confidence (14%) from 1 evidence row(s), 1 source row(s).</x:v>
      </x:c>
    </x:row>
    <x:row r="26">
      <x:c r="A26" s="30" t="str">
        <x:f>IF(OR(B26="",E26=""),"",B26&amp;"|"&amp;E26)</x:f>
        <x:v>Georgia|Russian influence</x:v>
      </x:c>
      <x:c r="B26" s="30" t="str">
        <x:v>Georgia</x:v>
      </x:c>
      <x:c r="C26" s="30" t="str">
        <x:v>GEO</x:v>
      </x:c>
      <x:c r="D26" s="30" t="str">
        <x:v>Europe/Caucasus</x:v>
      </x:c>
      <x:c r="E26" s="30" t="str">
        <x:v>Russian influence</x:v>
      </x:c>
      <x:c r="F26" s="30" t="n">
        <x:f>IFERROR(SUMIFS(Evidence_Log!$Q$2:$Q$200,Evidence_Log!$B$2:$B$200,$B26,Evidence_Log!$E$2:$E$200,$E26,Evidence_Log!$V$2:$V$200,"Yes")/SUMIFS(Evidence_Log!$P$2:$P$200,Evidence_Log!$B$2:$B$200,$B26,Evidence_Log!$E$2:$E$200,$E26,Evidence_Log!$V$2:$V$200,"Yes"),"")</x:f>
        <x:v>4</x:v>
      </x:c>
      <x:c r="G26" s="30" t="n">
        <x:f>IF(L26=0,"",ROUND(F26,0))</x:f>
        <x:v>4</x:v>
      </x:c>
      <x:c r="H26" s="30" t="n">
        <x:f>IFERROR(MIN(100,ROUND((SUMIFS(Evidence_Log!$N$2:$N$200,Evidence_Log!$B$2:$B$200,$B26,Evidence_Log!$E$2:$E$200,$E26,Evidence_Log!$V$2:$V$200,"Yes")/L26)*(SUMIFS(Evidence_Log!$O$2:$O$200,Evidence_Log!$B$2:$B$200,$B26,Evidence_Log!$E$2:$E$200,$E26,Evidence_Log!$V$2:$V$200,"Yes")/L26)*IF(J26&gt;=3,1.15,IF(J26=2,1,IF(J26=1,0.7,0)))*100,0)),"")</x:f>
        <x:v>14</x:v>
      </x:c>
      <x:c r="I26" s="30" t="str">
        <x:f>IF(H26="","No data",IFS(H26&gt;=80,"High",H26&gt;=60,"Medium",H26&gt;=40,"Low",TRUE,"Needs review"))</x:f>
        <x:v>Needs review</x:v>
      </x:c>
      <x:c r="J26" s="30" t="n">
        <x:f>COUNTIFS(Evidence_Log!$B$2:$B$200,$B26,Evidence_Log!$E$2:$E$200,$E26,Evidence_Log!$V$2:$V$200,"Yes",Evidence_Log!$S$2:$S$200,"&lt;&gt;")</x:f>
        <x:v>1</x:v>
      </x:c>
      <x:c r="K26" s="30" t="n">
        <x:f>COUNTIFS(Evidence_Log!$B$2:$B$200,$B26,Evidence_Log!$E$2:$E$200,$E26,Evidence_Log!$V$2:$V$200,"Yes",Evidence_Log!$I$2:$I$200,"Tier 1")+COUNTIFS(Evidence_Log!$B$2:$B$200,$B26,Evidence_Log!$E$2:$E$200,$E26,Evidence_Log!$V$2:$V$200,"Yes",Evidence_Log!$I$2:$I$200,"Tier 2")</x:f>
        <x:v>0</x:v>
      </x:c>
      <x:c r="L26" s="30" t="n">
        <x:f>COUNTIFS(Evidence_Log!$B$2:$B$200,$B26,Evidence_Log!$E$2:$E$200,$E26,Evidence_Log!$V$2:$V$200,"Yes")</x:f>
        <x:v>1</x:v>
      </x:c>
      <x:c r="M26" s="30" t="str">
        <x:f>IF(L26=0,"No evidence",IF(H26&lt;60,"Needs review",IF(J26&lt;2,"Needs 2 independent sources",IF(K26&lt;1,"Needs Tier 1/2 source","Publishable"))))</x:f>
        <x:v>Needs review</x:v>
      </x:c>
      <x:c r="N26" s="30" t="str">
        <x:f>IFERROR("#"&amp;VLOOKUP(G26,Legend_Config!$A$2:$C$7,3,FALSE),"")</x:f>
        <x:v>#F16913</x:v>
      </x:c>
      <x:c r="O26" s="30" t="n">
        <x:f>IF(I26="","",VLOOKUP(I26,Legend_Config!$F$2:$G$6,2,FALSE))</x:f>
        <x:v>0.25</x:v>
      </x:c>
      <x:c r="P26" s="30" t="n">
        <x:f>IFERROR(MAX(FILTER(Evidence_Log!$L$2:$L$200,Evidence_Log!$B$2:$B$200=$B26,Evidence_Log!$E$2:$E$200=$E26,Evidence_Log!$V$2:$V$200="Yes")),"")</x:f>
        <x:v>45658</x:v>
      </x:c>
      <x:c r="Q26" s="30" t="str">
        <x:f>IF(L26=0,"No evidence logged",G26&amp;" / "&amp;I26&amp;" confidence ("&amp;H26&amp;"%) from "&amp;L26&amp;" evidence row(s), "&amp;J26&amp;" source row(s).")</x:f>
        <x:v>4 / Needs review confidence (14%) from 1 evidence row(s), 1 source row(s).</x:v>
      </x:c>
    </x:row>
    <x:row r="27">
      <x:c r="A27" s="30" t="str">
        <x:f>IF(OR(B27="",E27=""),"",B27&amp;"|"&amp;E27)</x:f>
        <x:v>Georgia|PMC presence</x:v>
      </x:c>
      <x:c r="B27" s="30" t="str">
        <x:v>Georgia</x:v>
      </x:c>
      <x:c r="C27" s="30" t="str">
        <x:v>GEO</x:v>
      </x:c>
      <x:c r="D27" s="30" t="str">
        <x:v>Europe/Caucasus</x:v>
      </x:c>
      <x:c r="E27" s="30" t="str">
        <x:v>PMC presence</x:v>
      </x:c>
      <x:c r="F27" s="30" t="n">
        <x:f>IFERROR(SUMIFS(Evidence_Log!$Q$2:$Q$200,Evidence_Log!$B$2:$B$200,$B27,Evidence_Log!$E$2:$E$200,$E27,Evidence_Log!$V$2:$V$200,"Yes")/SUMIFS(Evidence_Log!$P$2:$P$200,Evidence_Log!$B$2:$B$200,$B27,Evidence_Log!$E$2:$E$200,$E27,Evidence_Log!$V$2:$V$200,"Yes"),"")</x:f>
        <x:v>0</x:v>
      </x:c>
      <x:c r="G27" s="30" t="n">
        <x:f>IF(L27=0,"",ROUND(F27,0))</x:f>
        <x:v>0</x:v>
      </x:c>
      <x:c r="H27" s="30" t="n">
        <x:f>IFERROR(MIN(100,ROUND((SUMIFS(Evidence_Log!$N$2:$N$200,Evidence_Log!$B$2:$B$200,$B27,Evidence_Log!$E$2:$E$200,$E27,Evidence_Log!$V$2:$V$200,"Yes")/L27)*(SUMIFS(Evidence_Log!$O$2:$O$200,Evidence_Log!$B$2:$B$200,$B27,Evidence_Log!$E$2:$E$200,$E27,Evidence_Log!$V$2:$V$200,"Yes")/L27)*IF(J27&gt;=3,1.15,IF(J27=2,1,IF(J27=1,0.7,0)))*100,0)),"")</x:f>
        <x:v>14</x:v>
      </x:c>
      <x:c r="I27" s="30" t="str">
        <x:f>IF(H27="","No data",IFS(H27&gt;=80,"High",H27&gt;=60,"Medium",H27&gt;=40,"Low",TRUE,"Needs review"))</x:f>
        <x:v>Needs review</x:v>
      </x:c>
      <x:c r="J27" s="30" t="n">
        <x:f>COUNTIFS(Evidence_Log!$B$2:$B$200,$B27,Evidence_Log!$E$2:$E$200,$E27,Evidence_Log!$V$2:$V$200,"Yes",Evidence_Log!$S$2:$S$200,"&lt;&gt;")</x:f>
        <x:v>1</x:v>
      </x:c>
      <x:c r="K27" s="30" t="n">
        <x:f>COUNTIFS(Evidence_Log!$B$2:$B$200,$B27,Evidence_Log!$E$2:$E$200,$E27,Evidence_Log!$V$2:$V$200,"Yes",Evidence_Log!$I$2:$I$200,"Tier 1")+COUNTIFS(Evidence_Log!$B$2:$B$200,$B27,Evidence_Log!$E$2:$E$200,$E27,Evidence_Log!$V$2:$V$200,"Yes",Evidence_Log!$I$2:$I$200,"Tier 2")</x:f>
        <x:v>0</x:v>
      </x:c>
      <x:c r="L27" s="30" t="n">
        <x:f>COUNTIFS(Evidence_Log!$B$2:$B$200,$B27,Evidence_Log!$E$2:$E$200,$E27,Evidence_Log!$V$2:$V$200,"Yes")</x:f>
        <x:v>1</x:v>
      </x:c>
      <x:c r="M27" s="30" t="str">
        <x:f>IF(L27=0,"No evidence",IF(H27&lt;60,"Needs review",IF(J27&lt;2,"Needs 2 independent sources",IF(K27&lt;1,"Needs Tier 1/2 source","Publishable"))))</x:f>
        <x:v>Needs review</x:v>
      </x:c>
      <x:c r="N27" s="30" t="str">
        <x:f>IFERROR("#"&amp;VLOOKUP(G27,Legend_Config!$A$2:$C$7,3,FALSE),"")</x:f>
        <x:v>#F2F2F2</x:v>
      </x:c>
      <x:c r="O27" s="30" t="n">
        <x:f>IF(I27="","",VLOOKUP(I27,Legend_Config!$F$2:$G$6,2,FALSE))</x:f>
        <x:v>0.25</x:v>
      </x:c>
      <x:c r="P27" s="30" t="n">
        <x:f>IFERROR(MAX(FILTER(Evidence_Log!$L$2:$L$200,Evidence_Log!$B$2:$B$200=$B27,Evidence_Log!$E$2:$E$200=$E27,Evidence_Log!$V$2:$V$200="Yes")),"")</x:f>
        <x:v>45658</x:v>
      </x:c>
      <x:c r="Q27" s="30" t="str">
        <x:f>IF(L27=0,"No evidence logged",G27&amp;" / "&amp;I27&amp;" confidence ("&amp;H27&amp;"%) from "&amp;L27&amp;" evidence row(s), "&amp;J27&amp;" source row(s).")</x:f>
        <x:v>0 / Needs review confidence (14%) from 1 evidence row(s), 1 source row(s).</x:v>
      </x:c>
    </x:row>
    <x:row r="28">
      <x:c r="A28" s="30" t="str">
        <x:f>IF(OR(B28="",E28=""),"",B28&amp;"|"&amp;E28)</x:f>
        <x:v>Georgia|Propaganda ecosystems</x:v>
      </x:c>
      <x:c r="B28" s="30" t="str">
        <x:v>Georgia</x:v>
      </x:c>
      <x:c r="C28" s="30" t="str">
        <x:v>GEO</x:v>
      </x:c>
      <x:c r="D28" s="30" t="str">
        <x:v>Europe/Caucasus</x:v>
      </x:c>
      <x:c r="E28" s="30" t="str">
        <x:v>Propaganda ecosystems</x:v>
      </x:c>
      <x:c r="F28" s="30" t="n">
        <x:f>IFERROR(SUMIFS(Evidence_Log!$Q$2:$Q$200,Evidence_Log!$B$2:$B$200,$B28,Evidence_Log!$E$2:$E$200,$E28,Evidence_Log!$V$2:$V$200,"Yes")/SUMIFS(Evidence_Log!$P$2:$P$200,Evidence_Log!$B$2:$B$200,$B28,Evidence_Log!$E$2:$E$200,$E28,Evidence_Log!$V$2:$V$200,"Yes"),"")</x:f>
        <x:v>4</x:v>
      </x:c>
      <x:c r="G28" s="30" t="n">
        <x:f>IF(L28=0,"",ROUND(F28,0))</x:f>
        <x:v>4</x:v>
      </x:c>
      <x:c r="H28" s="30" t="n">
        <x:f>IFERROR(MIN(100,ROUND((SUMIFS(Evidence_Log!$N$2:$N$200,Evidence_Log!$B$2:$B$200,$B28,Evidence_Log!$E$2:$E$200,$E28,Evidence_Log!$V$2:$V$200,"Yes")/L28)*(SUMIFS(Evidence_Log!$O$2:$O$200,Evidence_Log!$B$2:$B$200,$B28,Evidence_Log!$E$2:$E$200,$E28,Evidence_Log!$V$2:$V$200,"Yes")/L28)*IF(J28&gt;=3,1.15,IF(J28=2,1,IF(J28=1,0.7,0)))*100,0)),"")</x:f>
        <x:v>14</x:v>
      </x:c>
      <x:c r="I28" s="30" t="str">
        <x:f>IF(H28="","No data",IFS(H28&gt;=80,"High",H28&gt;=60,"Medium",H28&gt;=40,"Low",TRUE,"Needs review"))</x:f>
        <x:v>Needs review</x:v>
      </x:c>
      <x:c r="J28" s="30" t="n">
        <x:f>COUNTIFS(Evidence_Log!$B$2:$B$200,$B28,Evidence_Log!$E$2:$E$200,$E28,Evidence_Log!$V$2:$V$200,"Yes",Evidence_Log!$S$2:$S$200,"&lt;&gt;")</x:f>
        <x:v>1</x:v>
      </x:c>
      <x:c r="K28" s="30" t="n">
        <x:f>COUNTIFS(Evidence_Log!$B$2:$B$200,$B28,Evidence_Log!$E$2:$E$200,$E28,Evidence_Log!$V$2:$V$200,"Yes",Evidence_Log!$I$2:$I$200,"Tier 1")+COUNTIFS(Evidence_Log!$B$2:$B$200,$B28,Evidence_Log!$E$2:$E$200,$E28,Evidence_Log!$V$2:$V$200,"Yes",Evidence_Log!$I$2:$I$200,"Tier 2")</x:f>
        <x:v>0</x:v>
      </x:c>
      <x:c r="L28" s="30" t="n">
        <x:f>COUNTIFS(Evidence_Log!$B$2:$B$200,$B28,Evidence_Log!$E$2:$E$200,$E28,Evidence_Log!$V$2:$V$200,"Yes")</x:f>
        <x:v>1</x:v>
      </x:c>
      <x:c r="M28" s="30" t="str">
        <x:f>IF(L28=0,"No evidence",IF(H28&lt;60,"Needs review",IF(J28&lt;2,"Needs 2 independent sources",IF(K28&lt;1,"Needs Tier 1/2 source","Publishable"))))</x:f>
        <x:v>Needs review</x:v>
      </x:c>
      <x:c r="N28" s="30" t="str">
        <x:f>IFERROR("#"&amp;VLOOKUP(G28,Legend_Config!$A$2:$C$7,3,FALSE),"")</x:f>
        <x:v>#F16913</x:v>
      </x:c>
      <x:c r="O28" s="30" t="n">
        <x:f>IF(I28="","",VLOOKUP(I28,Legend_Config!$F$2:$G$6,2,FALSE))</x:f>
        <x:v>0.25</x:v>
      </x:c>
      <x:c r="P28" s="30" t="n">
        <x:f>IFERROR(MAX(FILTER(Evidence_Log!$L$2:$L$200,Evidence_Log!$B$2:$B$200=$B28,Evidence_Log!$E$2:$E$200=$E28,Evidence_Log!$V$2:$V$200="Yes")),"")</x:f>
        <x:v>45658</x:v>
      </x:c>
      <x:c r="Q28" s="30" t="str">
        <x:f>IF(L28=0,"No evidence logged",G28&amp;" / "&amp;I28&amp;" confidence ("&amp;H28&amp;"%) from "&amp;L28&amp;" evidence row(s), "&amp;J28&amp;" source row(s).")</x:f>
        <x:v>4 / Needs review confidence (14%) from 1 evidence row(s), 1 source row(s).</x:v>
      </x:c>
    </x:row>
    <x:row r="29">
      <x:c r="A29" s="30" t="str">
        <x:f>IF(OR(B29="",E29=""),"",B29&amp;"|"&amp;E29)</x:f>
        <x:v>Georgia|Election interference</x:v>
      </x:c>
      <x:c r="B29" s="30" t="str">
        <x:v>Georgia</x:v>
      </x:c>
      <x:c r="C29" s="30" t="str">
        <x:v>GEO</x:v>
      </x:c>
      <x:c r="D29" s="30" t="str">
        <x:v>Europe/Caucasus</x:v>
      </x:c>
      <x:c r="E29" s="30" t="str">
        <x:v>Election interference</x:v>
      </x:c>
      <x:c r="F29" s="30" t="n">
        <x:f>IFERROR(SUMIFS(Evidence_Log!$Q$2:$Q$200,Evidence_Log!$B$2:$B$200,$B29,Evidence_Log!$E$2:$E$200,$E29,Evidence_Log!$V$2:$V$200,"Yes")/SUMIFS(Evidence_Log!$P$2:$P$200,Evidence_Log!$B$2:$B$200,$B29,Evidence_Log!$E$2:$E$200,$E29,Evidence_Log!$V$2:$V$200,"Yes"),"")</x:f>
        <x:v>3</x:v>
      </x:c>
      <x:c r="G29" s="30" t="n">
        <x:f>IF(L29=0,"",ROUND(F29,0))</x:f>
        <x:v>3</x:v>
      </x:c>
      <x:c r="H29" s="30" t="n">
        <x:f>IFERROR(MIN(100,ROUND((SUMIFS(Evidence_Log!$N$2:$N$200,Evidence_Log!$B$2:$B$200,$B29,Evidence_Log!$E$2:$E$200,$E29,Evidence_Log!$V$2:$V$200,"Yes")/L29)*(SUMIFS(Evidence_Log!$O$2:$O$200,Evidence_Log!$B$2:$B$200,$B29,Evidence_Log!$E$2:$E$200,$E29,Evidence_Log!$V$2:$V$200,"Yes")/L29)*IF(J29&gt;=3,1.15,IF(J29=2,1,IF(J29=1,0.7,0)))*100,0)),"")</x:f>
        <x:v>14</x:v>
      </x:c>
      <x:c r="I29" s="30" t="str">
        <x:f>IF(H29="","No data",IFS(H29&gt;=80,"High",H29&gt;=60,"Medium",H29&gt;=40,"Low",TRUE,"Needs review"))</x:f>
        <x:v>Needs review</x:v>
      </x:c>
      <x:c r="J29" s="30" t="n">
        <x:f>COUNTIFS(Evidence_Log!$B$2:$B$200,$B29,Evidence_Log!$E$2:$E$200,$E29,Evidence_Log!$V$2:$V$200,"Yes",Evidence_Log!$S$2:$S$200,"&lt;&gt;")</x:f>
        <x:v>1</x:v>
      </x:c>
      <x:c r="K29" s="30" t="n">
        <x:f>COUNTIFS(Evidence_Log!$B$2:$B$200,$B29,Evidence_Log!$E$2:$E$200,$E29,Evidence_Log!$V$2:$V$200,"Yes",Evidence_Log!$I$2:$I$200,"Tier 1")+COUNTIFS(Evidence_Log!$B$2:$B$200,$B29,Evidence_Log!$E$2:$E$200,$E29,Evidence_Log!$V$2:$V$200,"Yes",Evidence_Log!$I$2:$I$200,"Tier 2")</x:f>
        <x:v>0</x:v>
      </x:c>
      <x:c r="L29" s="30" t="n">
        <x:f>COUNTIFS(Evidence_Log!$B$2:$B$200,$B29,Evidence_Log!$E$2:$E$200,$E29,Evidence_Log!$V$2:$V$200,"Yes")</x:f>
        <x:v>1</x:v>
      </x:c>
      <x:c r="M29" s="30" t="str">
        <x:f>IF(L29=0,"No evidence",IF(H29&lt;60,"Needs review",IF(J29&lt;2,"Needs 2 independent sources",IF(K29&lt;1,"Needs Tier 1/2 source","Publishable"))))</x:f>
        <x:v>Needs review</x:v>
      </x:c>
      <x:c r="N29" s="30" t="str">
        <x:f>IFERROR("#"&amp;VLOOKUP(G29,Legend_Config!$A$2:$C$7,3,FALSE),"")</x:f>
        <x:v>#FDAE6B</x:v>
      </x:c>
      <x:c r="O29" s="30" t="n">
        <x:f>IF(I29="","",VLOOKUP(I29,Legend_Config!$F$2:$G$6,2,FALSE))</x:f>
        <x:v>0.25</x:v>
      </x:c>
      <x:c r="P29" s="30" t="n">
        <x:f>IFERROR(MAX(FILTER(Evidence_Log!$L$2:$L$200,Evidence_Log!$B$2:$B$200=$B29,Evidence_Log!$E$2:$E$200=$E29,Evidence_Log!$V$2:$V$200="Yes")),"")</x:f>
        <x:v>45658</x:v>
      </x:c>
      <x:c r="Q29" s="30" t="str">
        <x:f>IF(L29=0,"No evidence logged",G29&amp;" / "&amp;I29&amp;" confidence ("&amp;H29&amp;"%) from "&amp;L29&amp;" evidence row(s), "&amp;J29&amp;" source row(s).")</x:f>
        <x:v>3 / Needs review confidence (14%) from 1 evidence row(s), 1 source row(s).</x:v>
      </x:c>
    </x:row>
    <x:row r="30">
      <x:c r="A30" s="30" t="str">
        <x:f>IF(OR(B30="",E30=""),"",B30&amp;"|"&amp;E30)</x:f>
        <x:v>Syria|Russian influence</x:v>
      </x:c>
      <x:c r="B30" s="30" t="str">
        <x:v>Syria</x:v>
      </x:c>
      <x:c r="C30" s="30" t="str">
        <x:v>SYR</x:v>
      </x:c>
      <x:c r="D30" s="30" t="str">
        <x:v>Middle East</x:v>
      </x:c>
      <x:c r="E30" s="30" t="str">
        <x:v>Russian influence</x:v>
      </x:c>
      <x:c r="F30" s="30" t="n">
        <x:f>IFERROR(SUMIFS(Evidence_Log!$Q$2:$Q$200,Evidence_Log!$B$2:$B$200,$B30,Evidence_Log!$E$2:$E$200,$E30,Evidence_Log!$V$2:$V$200,"Yes")/SUMIFS(Evidence_Log!$P$2:$P$200,Evidence_Log!$B$2:$B$200,$B30,Evidence_Log!$E$2:$E$200,$E30,Evidence_Log!$V$2:$V$200,"Yes"),"")</x:f>
        <x:v>5</x:v>
      </x:c>
      <x:c r="G30" s="30" t="n">
        <x:f>IF(L30=0,"",ROUND(F30,0))</x:f>
        <x:v>5</x:v>
      </x:c>
      <x:c r="H30" s="30" t="n">
        <x:f>IFERROR(MIN(100,ROUND((SUMIFS(Evidence_Log!$N$2:$N$200,Evidence_Log!$B$2:$B$200,$B30,Evidence_Log!$E$2:$E$200,$E30,Evidence_Log!$V$2:$V$200,"Yes")/L30)*(SUMIFS(Evidence_Log!$O$2:$O$200,Evidence_Log!$B$2:$B$200,$B30,Evidence_Log!$E$2:$E$200,$E30,Evidence_Log!$V$2:$V$200,"Yes")/L30)*IF(J30&gt;=3,1.15,IF(J30=2,1,IF(J30=1,0.7,0)))*100,0)),"")</x:f>
        <x:v>14</x:v>
      </x:c>
      <x:c r="I30" s="30" t="str">
        <x:f>IF(H30="","No data",IFS(H30&gt;=80,"High",H30&gt;=60,"Medium",H30&gt;=40,"Low",TRUE,"Needs review"))</x:f>
        <x:v>Needs review</x:v>
      </x:c>
      <x:c r="J30" s="30" t="n">
        <x:f>COUNTIFS(Evidence_Log!$B$2:$B$200,$B30,Evidence_Log!$E$2:$E$200,$E30,Evidence_Log!$V$2:$V$200,"Yes",Evidence_Log!$S$2:$S$200,"&lt;&gt;")</x:f>
        <x:v>1</x:v>
      </x:c>
      <x:c r="K30" s="30" t="n">
        <x:f>COUNTIFS(Evidence_Log!$B$2:$B$200,$B30,Evidence_Log!$E$2:$E$200,$E30,Evidence_Log!$V$2:$V$200,"Yes",Evidence_Log!$I$2:$I$200,"Tier 1")+COUNTIFS(Evidence_Log!$B$2:$B$200,$B30,Evidence_Log!$E$2:$E$200,$E30,Evidence_Log!$V$2:$V$200,"Yes",Evidence_Log!$I$2:$I$200,"Tier 2")</x:f>
        <x:v>0</x:v>
      </x:c>
      <x:c r="L30" s="30" t="n">
        <x:f>COUNTIFS(Evidence_Log!$B$2:$B$200,$B30,Evidence_Log!$E$2:$E$200,$E30,Evidence_Log!$V$2:$V$200,"Yes")</x:f>
        <x:v>1</x:v>
      </x:c>
      <x:c r="M30" s="30" t="str">
        <x:f>IF(L30=0,"No evidence",IF(H30&lt;60,"Needs review",IF(J30&lt;2,"Needs 2 independent sources",IF(K30&lt;1,"Needs Tier 1/2 source","Publishable"))))</x:f>
        <x:v>Needs review</x:v>
      </x:c>
      <x:c r="N30" s="30" t="str">
        <x:f>IFERROR("#"&amp;VLOOKUP(G30,Legend_Config!$A$2:$C$7,3,FALSE),"")</x:f>
        <x:v>#A63603</x:v>
      </x:c>
      <x:c r="O30" s="30" t="n">
        <x:f>IF(I30="","",VLOOKUP(I30,Legend_Config!$F$2:$G$6,2,FALSE))</x:f>
        <x:v>0.25</x:v>
      </x:c>
      <x:c r="P30" s="30" t="n">
        <x:f>IFERROR(MAX(FILTER(Evidence_Log!$L$2:$L$200,Evidence_Log!$B$2:$B$200=$B30,Evidence_Log!$E$2:$E$200=$E30,Evidence_Log!$V$2:$V$200="Yes")),"")</x:f>
        <x:v>45658</x:v>
      </x:c>
      <x:c r="Q30" s="30" t="str">
        <x:f>IF(L30=0,"No evidence logged",G30&amp;" / "&amp;I30&amp;" confidence ("&amp;H30&amp;"%) from "&amp;L30&amp;" evidence row(s), "&amp;J30&amp;" source row(s).")</x:f>
        <x:v>5 / Needs review confidence (14%) from 1 evidence row(s), 1 source row(s).</x:v>
      </x:c>
    </x:row>
    <x:row r="31">
      <x:c r="A31" s="30" t="str">
        <x:f>IF(OR(B31="",E31=""),"",B31&amp;"|"&amp;E31)</x:f>
        <x:v>Syria|PMC presence</x:v>
      </x:c>
      <x:c r="B31" s="30" t="str">
        <x:v>Syria</x:v>
      </x:c>
      <x:c r="C31" s="30" t="str">
        <x:v>SYR</x:v>
      </x:c>
      <x:c r="D31" s="30" t="str">
        <x:v>Middle East</x:v>
      </x:c>
      <x:c r="E31" s="30" t="str">
        <x:v>PMC presence</x:v>
      </x:c>
      <x:c r="F31" s="30" t="n">
        <x:f>IFERROR(SUMIFS(Evidence_Log!$Q$2:$Q$200,Evidence_Log!$B$2:$B$200,$B31,Evidence_Log!$E$2:$E$200,$E31,Evidence_Log!$V$2:$V$200,"Yes")/SUMIFS(Evidence_Log!$P$2:$P$200,Evidence_Log!$B$2:$B$200,$B31,Evidence_Log!$E$2:$E$200,$E31,Evidence_Log!$V$2:$V$200,"Yes"),"")</x:f>
        <x:v>5</x:v>
      </x:c>
      <x:c r="G31" s="30" t="n">
        <x:f>IF(L31=0,"",ROUND(F31,0))</x:f>
        <x:v>5</x:v>
      </x:c>
      <x:c r="H31" s="30" t="n">
        <x:f>IFERROR(MIN(100,ROUND((SUMIFS(Evidence_Log!$N$2:$N$200,Evidence_Log!$B$2:$B$200,$B31,Evidence_Log!$E$2:$E$200,$E31,Evidence_Log!$V$2:$V$200,"Yes")/L31)*(SUMIFS(Evidence_Log!$O$2:$O$200,Evidence_Log!$B$2:$B$200,$B31,Evidence_Log!$E$2:$E$200,$E31,Evidence_Log!$V$2:$V$200,"Yes")/L31)*IF(J31&gt;=3,1.15,IF(J31=2,1,IF(J31=1,0.7,0)))*100,0)),"")</x:f>
        <x:v>14</x:v>
      </x:c>
      <x:c r="I31" s="30" t="str">
        <x:f>IF(H31="","No data",IFS(H31&gt;=80,"High",H31&gt;=60,"Medium",H31&gt;=40,"Low",TRUE,"Needs review"))</x:f>
        <x:v>Needs review</x:v>
      </x:c>
      <x:c r="J31" s="30" t="n">
        <x:f>COUNTIFS(Evidence_Log!$B$2:$B$200,$B31,Evidence_Log!$E$2:$E$200,$E31,Evidence_Log!$V$2:$V$200,"Yes",Evidence_Log!$S$2:$S$200,"&lt;&gt;")</x:f>
        <x:v>1</x:v>
      </x:c>
      <x:c r="K31" s="30" t="n">
        <x:f>COUNTIFS(Evidence_Log!$B$2:$B$200,$B31,Evidence_Log!$E$2:$E$200,$E31,Evidence_Log!$V$2:$V$200,"Yes",Evidence_Log!$I$2:$I$200,"Tier 1")+COUNTIFS(Evidence_Log!$B$2:$B$200,$B31,Evidence_Log!$E$2:$E$200,$E31,Evidence_Log!$V$2:$V$200,"Yes",Evidence_Log!$I$2:$I$200,"Tier 2")</x:f>
        <x:v>0</x:v>
      </x:c>
      <x:c r="L31" s="30" t="n">
        <x:f>COUNTIFS(Evidence_Log!$B$2:$B$200,$B31,Evidence_Log!$E$2:$E$200,$E31,Evidence_Log!$V$2:$V$200,"Yes")</x:f>
        <x:v>1</x:v>
      </x:c>
      <x:c r="M31" s="30" t="str">
        <x:f>IF(L31=0,"No evidence",IF(H31&lt;60,"Needs review",IF(J31&lt;2,"Needs 2 independent sources",IF(K31&lt;1,"Needs Tier 1/2 source","Publishable"))))</x:f>
        <x:v>Needs review</x:v>
      </x:c>
      <x:c r="N31" s="30" t="str">
        <x:f>IFERROR("#"&amp;VLOOKUP(G31,Legend_Config!$A$2:$C$7,3,FALSE),"")</x:f>
        <x:v>#A63603</x:v>
      </x:c>
      <x:c r="O31" s="30" t="n">
        <x:f>IF(I31="","",VLOOKUP(I31,Legend_Config!$F$2:$G$6,2,FALSE))</x:f>
        <x:v>0.25</x:v>
      </x:c>
      <x:c r="P31" s="30" t="n">
        <x:f>IFERROR(MAX(FILTER(Evidence_Log!$L$2:$L$200,Evidence_Log!$B$2:$B$200=$B31,Evidence_Log!$E$2:$E$200=$E31,Evidence_Log!$V$2:$V$200="Yes")),"")</x:f>
        <x:v>45658</x:v>
      </x:c>
      <x:c r="Q31" s="30" t="str">
        <x:f>IF(L31=0,"No evidence logged",G31&amp;" / "&amp;I31&amp;" confidence ("&amp;H31&amp;"%) from "&amp;L31&amp;" evidence row(s), "&amp;J31&amp;" source row(s).")</x:f>
        <x:v>5 / Needs review confidence (14%) from 1 evidence row(s), 1 source row(s).</x:v>
      </x:c>
    </x:row>
    <x:row r="32">
      <x:c r="A32" s="30" t="str">
        <x:f>IF(OR(B32="",E32=""),"",B32&amp;"|"&amp;E32)</x:f>
        <x:v>Syria|Propaganda ecosystems</x:v>
      </x:c>
      <x:c r="B32" s="30" t="str">
        <x:v>Syria</x:v>
      </x:c>
      <x:c r="C32" s="30" t="str">
        <x:v>SYR</x:v>
      </x:c>
      <x:c r="D32" s="30" t="str">
        <x:v>Middle East</x:v>
      </x:c>
      <x:c r="E32" s="30" t="str">
        <x:v>Propaganda ecosystems</x:v>
      </x:c>
      <x:c r="F32" s="30" t="n">
        <x:f>IFERROR(SUMIFS(Evidence_Log!$Q$2:$Q$200,Evidence_Log!$B$2:$B$200,$B32,Evidence_Log!$E$2:$E$200,$E32,Evidence_Log!$V$2:$V$200,"Yes")/SUMIFS(Evidence_Log!$P$2:$P$200,Evidence_Log!$B$2:$B$200,$B32,Evidence_Log!$E$2:$E$200,$E32,Evidence_Log!$V$2:$V$200,"Yes"),"")</x:f>
        <x:v>3</x:v>
      </x:c>
      <x:c r="G32" s="30" t="n">
        <x:f>IF(L32=0,"",ROUND(F32,0))</x:f>
        <x:v>3</x:v>
      </x:c>
      <x:c r="H32" s="30" t="n">
        <x:f>IFERROR(MIN(100,ROUND((SUMIFS(Evidence_Log!$N$2:$N$200,Evidence_Log!$B$2:$B$200,$B32,Evidence_Log!$E$2:$E$200,$E32,Evidence_Log!$V$2:$V$200,"Yes")/L32)*(SUMIFS(Evidence_Log!$O$2:$O$200,Evidence_Log!$B$2:$B$200,$B32,Evidence_Log!$E$2:$E$200,$E32,Evidence_Log!$V$2:$V$200,"Yes")/L32)*IF(J32&gt;=3,1.15,IF(J32=2,1,IF(J32=1,0.7,0)))*100,0)),"")</x:f>
        <x:v>14</x:v>
      </x:c>
      <x:c r="I32" s="30" t="str">
        <x:f>IF(H32="","No data",IFS(H32&gt;=80,"High",H32&gt;=60,"Medium",H32&gt;=40,"Low",TRUE,"Needs review"))</x:f>
        <x:v>Needs review</x:v>
      </x:c>
      <x:c r="J32" s="30" t="n">
        <x:f>COUNTIFS(Evidence_Log!$B$2:$B$200,$B32,Evidence_Log!$E$2:$E$200,$E32,Evidence_Log!$V$2:$V$200,"Yes",Evidence_Log!$S$2:$S$200,"&lt;&gt;")</x:f>
        <x:v>1</x:v>
      </x:c>
      <x:c r="K32" s="30" t="n">
        <x:f>COUNTIFS(Evidence_Log!$B$2:$B$200,$B32,Evidence_Log!$E$2:$E$200,$E32,Evidence_Log!$V$2:$V$200,"Yes",Evidence_Log!$I$2:$I$200,"Tier 1")+COUNTIFS(Evidence_Log!$B$2:$B$200,$B32,Evidence_Log!$E$2:$E$200,$E32,Evidence_Log!$V$2:$V$200,"Yes",Evidence_Log!$I$2:$I$200,"Tier 2")</x:f>
        <x:v>0</x:v>
      </x:c>
      <x:c r="L32" s="30" t="n">
        <x:f>COUNTIFS(Evidence_Log!$B$2:$B$200,$B32,Evidence_Log!$E$2:$E$200,$E32,Evidence_Log!$V$2:$V$200,"Yes")</x:f>
        <x:v>1</x:v>
      </x:c>
      <x:c r="M32" s="30" t="str">
        <x:f>IF(L32=0,"No evidence",IF(H32&lt;60,"Needs review",IF(J32&lt;2,"Needs 2 independent sources",IF(K32&lt;1,"Needs Tier 1/2 source","Publishable"))))</x:f>
        <x:v>Needs review</x:v>
      </x:c>
      <x:c r="N32" s="30" t="str">
        <x:f>IFERROR("#"&amp;VLOOKUP(G32,Legend_Config!$A$2:$C$7,3,FALSE),"")</x:f>
        <x:v>#FDAE6B</x:v>
      </x:c>
      <x:c r="O32" s="30" t="n">
        <x:f>IF(I32="","",VLOOKUP(I32,Legend_Config!$F$2:$G$6,2,FALSE))</x:f>
        <x:v>0.25</x:v>
      </x:c>
      <x:c r="P32" s="30" t="n">
        <x:f>IFERROR(MAX(FILTER(Evidence_Log!$L$2:$L$200,Evidence_Log!$B$2:$B$200=$B32,Evidence_Log!$E$2:$E$200=$E32,Evidence_Log!$V$2:$V$200="Yes")),"")</x:f>
        <x:v>45658</x:v>
      </x:c>
      <x:c r="Q32" s="30" t="str">
        <x:f>IF(L32=0,"No evidence logged",G32&amp;" / "&amp;I32&amp;" confidence ("&amp;H32&amp;"%) from "&amp;L32&amp;" evidence row(s), "&amp;J32&amp;" source row(s).")</x:f>
        <x:v>3 / Needs review confidence (14%) from 1 evidence row(s), 1 source row(s).</x:v>
      </x:c>
    </x:row>
    <x:row r="33">
      <x:c r="A33" s="30" t="str">
        <x:f>IF(OR(B33="",E33=""),"",B33&amp;"|"&amp;E33)</x:f>
        <x:v>Syria|Election interference</x:v>
      </x:c>
      <x:c r="B33" s="30" t="str">
        <x:v>Syria</x:v>
      </x:c>
      <x:c r="C33" s="30" t="str">
        <x:v>SYR</x:v>
      </x:c>
      <x:c r="D33" s="30" t="str">
        <x:v>Middle East</x:v>
      </x:c>
      <x:c r="E33" s="30" t="str">
        <x:v>Election interference</x:v>
      </x:c>
      <x:c r="F33" s="30" t="n">
        <x:f>IFERROR(SUMIFS(Evidence_Log!$Q$2:$Q$200,Evidence_Log!$B$2:$B$200,$B33,Evidence_Log!$E$2:$E$200,$E33,Evidence_Log!$V$2:$V$200,"Yes")/SUMIFS(Evidence_Log!$P$2:$P$200,Evidence_Log!$B$2:$B$200,$B33,Evidence_Log!$E$2:$E$200,$E33,Evidence_Log!$V$2:$V$200,"Yes"),"")</x:f>
        <x:v>1</x:v>
      </x:c>
      <x:c r="G33" s="30" t="n">
        <x:f>IF(L33=0,"",ROUND(F33,0))</x:f>
        <x:v>1</x:v>
      </x:c>
      <x:c r="H33" s="30" t="n">
        <x:f>IFERROR(MIN(100,ROUND((SUMIFS(Evidence_Log!$N$2:$N$200,Evidence_Log!$B$2:$B$200,$B33,Evidence_Log!$E$2:$E$200,$E33,Evidence_Log!$V$2:$V$200,"Yes")/L33)*(SUMIFS(Evidence_Log!$O$2:$O$200,Evidence_Log!$B$2:$B$200,$B33,Evidence_Log!$E$2:$E$200,$E33,Evidence_Log!$V$2:$V$200,"Yes")/L33)*IF(J33&gt;=3,1.15,IF(J33=2,1,IF(J33=1,0.7,0)))*100,0)),"")</x:f>
        <x:v>14</x:v>
      </x:c>
      <x:c r="I33" s="30" t="str">
        <x:f>IF(H33="","No data",IFS(H33&gt;=80,"High",H33&gt;=60,"Medium",H33&gt;=40,"Low",TRUE,"Needs review"))</x:f>
        <x:v>Needs review</x:v>
      </x:c>
      <x:c r="J33" s="30" t="n">
        <x:f>COUNTIFS(Evidence_Log!$B$2:$B$200,$B33,Evidence_Log!$E$2:$E$200,$E33,Evidence_Log!$V$2:$V$200,"Yes",Evidence_Log!$S$2:$S$200,"&lt;&gt;")</x:f>
        <x:v>1</x:v>
      </x:c>
      <x:c r="K33" s="30" t="n">
        <x:f>COUNTIFS(Evidence_Log!$B$2:$B$200,$B33,Evidence_Log!$E$2:$E$200,$E33,Evidence_Log!$V$2:$V$200,"Yes",Evidence_Log!$I$2:$I$200,"Tier 1")+COUNTIFS(Evidence_Log!$B$2:$B$200,$B33,Evidence_Log!$E$2:$E$200,$E33,Evidence_Log!$V$2:$V$200,"Yes",Evidence_Log!$I$2:$I$200,"Tier 2")</x:f>
        <x:v>0</x:v>
      </x:c>
      <x:c r="L33" s="30" t="n">
        <x:f>COUNTIFS(Evidence_Log!$B$2:$B$200,$B33,Evidence_Log!$E$2:$E$200,$E33,Evidence_Log!$V$2:$V$200,"Yes")</x:f>
        <x:v>1</x:v>
      </x:c>
      <x:c r="M33" s="30" t="str">
        <x:f>IF(L33=0,"No evidence",IF(H33&lt;60,"Needs review",IF(J33&lt;2,"Needs 2 independent sources",IF(K33&lt;1,"Needs Tier 1/2 source","Publishable"))))</x:f>
        <x:v>Needs review</x:v>
      </x:c>
      <x:c r="N33" s="30" t="str">
        <x:f>IFERROR("#"&amp;VLOOKUP(G33,Legend_Config!$A$2:$C$7,3,FALSE),"")</x:f>
        <x:v>#D9F0D3</x:v>
      </x:c>
      <x:c r="O33" s="30" t="n">
        <x:f>IF(I33="","",VLOOKUP(I33,Legend_Config!$F$2:$G$6,2,FALSE))</x:f>
        <x:v>0.25</x:v>
      </x:c>
      <x:c r="P33" s="30" t="n">
        <x:f>IFERROR(MAX(FILTER(Evidence_Log!$L$2:$L$200,Evidence_Log!$B$2:$B$200=$B33,Evidence_Log!$E$2:$E$200=$E33,Evidence_Log!$V$2:$V$200="Yes")),"")</x:f>
        <x:v>45658</x:v>
      </x:c>
      <x:c r="Q33" s="30" t="str">
        <x:f>IF(L33=0,"No evidence logged",G33&amp;" / "&amp;I33&amp;" confidence ("&amp;H33&amp;"%) from "&amp;L33&amp;" evidence row(s), "&amp;J33&amp;" source row(s).")</x:f>
        <x:v>1 / Needs review confidence (14%) from 1 evidence row(s), 1 source row(s).</x:v>
      </x:c>
    </x:row>
    <x:row r="34">
      <x:c r="A34" s="30" t="str">
        <x:f>IF(OR(B34="",E34=""),"",B34&amp;"|"&amp;E34)</x:f>
        <x:v>Serbia|Russian influence</x:v>
      </x:c>
      <x:c r="B34" s="30" t="str">
        <x:v>Serbia</x:v>
      </x:c>
      <x:c r="C34" s="30" t="str">
        <x:v>SRB</x:v>
      </x:c>
      <x:c r="D34" s="30" t="str">
        <x:v>Europe</x:v>
      </x:c>
      <x:c r="E34" s="30" t="str">
        <x:v>Russian influence</x:v>
      </x:c>
      <x:c r="F34" s="30" t="n">
        <x:f>IFERROR(SUMIFS(Evidence_Log!$Q$2:$Q$200,Evidence_Log!$B$2:$B$200,$B34,Evidence_Log!$E$2:$E$200,$E34,Evidence_Log!$V$2:$V$200,"Yes")/SUMIFS(Evidence_Log!$P$2:$P$200,Evidence_Log!$B$2:$B$200,$B34,Evidence_Log!$E$2:$E$200,$E34,Evidence_Log!$V$2:$V$200,"Yes"),"")</x:f>
        <x:v>4</x:v>
      </x:c>
      <x:c r="G34" s="30" t="n">
        <x:f>IF(L34=0,"",ROUND(F34,0))</x:f>
        <x:v>4</x:v>
      </x:c>
      <x:c r="H34" s="30" t="n">
        <x:f>IFERROR(MIN(100,ROUND((SUMIFS(Evidence_Log!$N$2:$N$200,Evidence_Log!$B$2:$B$200,$B34,Evidence_Log!$E$2:$E$200,$E34,Evidence_Log!$V$2:$V$200,"Yes")/L34)*(SUMIFS(Evidence_Log!$O$2:$O$200,Evidence_Log!$B$2:$B$200,$B34,Evidence_Log!$E$2:$E$200,$E34,Evidence_Log!$V$2:$V$200,"Yes")/L34)*IF(J34&gt;=3,1.15,IF(J34=2,1,IF(J34=1,0.7,0)))*100,0)),"")</x:f>
        <x:v>14</x:v>
      </x:c>
      <x:c r="I34" s="30" t="str">
        <x:f>IF(H34="","No data",IFS(H34&gt;=80,"High",H34&gt;=60,"Medium",H34&gt;=40,"Low",TRUE,"Needs review"))</x:f>
        <x:v>Needs review</x:v>
      </x:c>
      <x:c r="J34" s="30" t="n">
        <x:f>COUNTIFS(Evidence_Log!$B$2:$B$200,$B34,Evidence_Log!$E$2:$E$200,$E34,Evidence_Log!$V$2:$V$200,"Yes",Evidence_Log!$S$2:$S$200,"&lt;&gt;")</x:f>
        <x:v>1</x:v>
      </x:c>
      <x:c r="K34" s="30" t="n">
        <x:f>COUNTIFS(Evidence_Log!$B$2:$B$200,$B34,Evidence_Log!$E$2:$E$200,$E34,Evidence_Log!$V$2:$V$200,"Yes",Evidence_Log!$I$2:$I$200,"Tier 1")+COUNTIFS(Evidence_Log!$B$2:$B$200,$B34,Evidence_Log!$E$2:$E$200,$E34,Evidence_Log!$V$2:$V$200,"Yes",Evidence_Log!$I$2:$I$200,"Tier 2")</x:f>
        <x:v>0</x:v>
      </x:c>
      <x:c r="L34" s="30" t="n">
        <x:f>COUNTIFS(Evidence_Log!$B$2:$B$200,$B34,Evidence_Log!$E$2:$E$200,$E34,Evidence_Log!$V$2:$V$200,"Yes")</x:f>
        <x:v>1</x:v>
      </x:c>
      <x:c r="M34" s="30" t="str">
        <x:f>IF(L34=0,"No evidence",IF(H34&lt;60,"Needs review",IF(J34&lt;2,"Needs 2 independent sources",IF(K34&lt;1,"Needs Tier 1/2 source","Publishable"))))</x:f>
        <x:v>Needs review</x:v>
      </x:c>
      <x:c r="N34" s="30" t="str">
        <x:f>IFERROR("#"&amp;VLOOKUP(G34,Legend_Config!$A$2:$C$7,3,FALSE),"")</x:f>
        <x:v>#F16913</x:v>
      </x:c>
      <x:c r="O34" s="30" t="n">
        <x:f>IF(I34="","",VLOOKUP(I34,Legend_Config!$F$2:$G$6,2,FALSE))</x:f>
        <x:v>0.25</x:v>
      </x:c>
      <x:c r="P34" s="30" t="n">
        <x:f>IFERROR(MAX(FILTER(Evidence_Log!$L$2:$L$200,Evidence_Log!$B$2:$B$200=$B34,Evidence_Log!$E$2:$E$200=$E34,Evidence_Log!$V$2:$V$200="Yes")),"")</x:f>
        <x:v>45658</x:v>
      </x:c>
      <x:c r="Q34" s="30" t="str">
        <x:f>IF(L34=0,"No evidence logged",G34&amp;" / "&amp;I34&amp;" confidence ("&amp;H34&amp;"%) from "&amp;L34&amp;" evidence row(s), "&amp;J34&amp;" source row(s).")</x:f>
        <x:v>4 / Needs review confidence (14%) from 1 evidence row(s), 1 source row(s).</x:v>
      </x:c>
    </x:row>
    <x:row r="35">
      <x:c r="A35" s="30" t="str">
        <x:f>IF(OR(B35="",E35=""),"",B35&amp;"|"&amp;E35)</x:f>
        <x:v>Serbia|PMC presence</x:v>
      </x:c>
      <x:c r="B35" s="30" t="str">
        <x:v>Serbia</x:v>
      </x:c>
      <x:c r="C35" s="30" t="str">
        <x:v>SRB</x:v>
      </x:c>
      <x:c r="D35" s="30" t="str">
        <x:v>Europe</x:v>
      </x:c>
      <x:c r="E35" s="30" t="str">
        <x:v>PMC presence</x:v>
      </x:c>
      <x:c r="F35" s="30" t="n">
        <x:f>IFERROR(SUMIFS(Evidence_Log!$Q$2:$Q$200,Evidence_Log!$B$2:$B$200,$B35,Evidence_Log!$E$2:$E$200,$E35,Evidence_Log!$V$2:$V$200,"Yes")/SUMIFS(Evidence_Log!$P$2:$P$200,Evidence_Log!$B$2:$B$200,$B35,Evidence_Log!$E$2:$E$200,$E35,Evidence_Log!$V$2:$V$200,"Yes"),"")</x:f>
        <x:v>0</x:v>
      </x:c>
      <x:c r="G35" s="30" t="n">
        <x:f>IF(L35=0,"",ROUND(F35,0))</x:f>
        <x:v>0</x:v>
      </x:c>
      <x:c r="H35" s="30" t="n">
        <x:f>IFERROR(MIN(100,ROUND((SUMIFS(Evidence_Log!$N$2:$N$200,Evidence_Log!$B$2:$B$200,$B35,Evidence_Log!$E$2:$E$200,$E35,Evidence_Log!$V$2:$V$200,"Yes")/L35)*(SUMIFS(Evidence_Log!$O$2:$O$200,Evidence_Log!$B$2:$B$200,$B35,Evidence_Log!$E$2:$E$200,$E35,Evidence_Log!$V$2:$V$200,"Yes")/L35)*IF(J35&gt;=3,1.15,IF(J35=2,1,IF(J35=1,0.7,0)))*100,0)),"")</x:f>
        <x:v>14</x:v>
      </x:c>
      <x:c r="I35" s="30" t="str">
        <x:f>IF(H35="","No data",IFS(H35&gt;=80,"High",H35&gt;=60,"Medium",H35&gt;=40,"Low",TRUE,"Needs review"))</x:f>
        <x:v>Needs review</x:v>
      </x:c>
      <x:c r="J35" s="30" t="n">
        <x:f>COUNTIFS(Evidence_Log!$B$2:$B$200,$B35,Evidence_Log!$E$2:$E$200,$E35,Evidence_Log!$V$2:$V$200,"Yes",Evidence_Log!$S$2:$S$200,"&lt;&gt;")</x:f>
        <x:v>1</x:v>
      </x:c>
      <x:c r="K35" s="30" t="n">
        <x:f>COUNTIFS(Evidence_Log!$B$2:$B$200,$B35,Evidence_Log!$E$2:$E$200,$E35,Evidence_Log!$V$2:$V$200,"Yes",Evidence_Log!$I$2:$I$200,"Tier 1")+COUNTIFS(Evidence_Log!$B$2:$B$200,$B35,Evidence_Log!$E$2:$E$200,$E35,Evidence_Log!$V$2:$V$200,"Yes",Evidence_Log!$I$2:$I$200,"Tier 2")</x:f>
        <x:v>0</x:v>
      </x:c>
      <x:c r="L35" s="30" t="n">
        <x:f>COUNTIFS(Evidence_Log!$B$2:$B$200,$B35,Evidence_Log!$E$2:$E$200,$E35,Evidence_Log!$V$2:$V$200,"Yes")</x:f>
        <x:v>1</x:v>
      </x:c>
      <x:c r="M35" s="30" t="str">
        <x:f>IF(L35=0,"No evidence",IF(H35&lt;60,"Needs review",IF(J35&lt;2,"Needs 2 independent sources",IF(K35&lt;1,"Needs Tier 1/2 source","Publishable"))))</x:f>
        <x:v>Needs review</x:v>
      </x:c>
      <x:c r="N35" s="30" t="str">
        <x:f>IFERROR("#"&amp;VLOOKUP(G35,Legend_Config!$A$2:$C$7,3,FALSE),"")</x:f>
        <x:v>#F2F2F2</x:v>
      </x:c>
      <x:c r="O35" s="30" t="n">
        <x:f>IF(I35="","",VLOOKUP(I35,Legend_Config!$F$2:$G$6,2,FALSE))</x:f>
        <x:v>0.25</x:v>
      </x:c>
      <x:c r="P35" s="30" t="n">
        <x:f>IFERROR(MAX(FILTER(Evidence_Log!$L$2:$L$200,Evidence_Log!$B$2:$B$200=$B35,Evidence_Log!$E$2:$E$200=$E35,Evidence_Log!$V$2:$V$200="Yes")),"")</x:f>
        <x:v>45658</x:v>
      </x:c>
      <x:c r="Q35" s="30" t="str">
        <x:f>IF(L35=0,"No evidence logged",G35&amp;" / "&amp;I35&amp;" confidence ("&amp;H35&amp;"%) from "&amp;L35&amp;" evidence row(s), "&amp;J35&amp;" source row(s).")</x:f>
        <x:v>0 / Needs review confidence (14%) from 1 evidence row(s), 1 source row(s).</x:v>
      </x:c>
    </x:row>
    <x:row r="36">
      <x:c r="A36" s="30" t="str">
        <x:f>IF(OR(B36="",E36=""),"",B36&amp;"|"&amp;E36)</x:f>
        <x:v>Serbia|Propaganda ecosystems</x:v>
      </x:c>
      <x:c r="B36" s="30" t="str">
        <x:v>Serbia</x:v>
      </x:c>
      <x:c r="C36" s="30" t="str">
        <x:v>SRB</x:v>
      </x:c>
      <x:c r="D36" s="30" t="str">
        <x:v>Europe</x:v>
      </x:c>
      <x:c r="E36" s="30" t="str">
        <x:v>Propaganda ecosystems</x:v>
      </x:c>
      <x:c r="F36" s="30" t="n">
        <x:f>IFERROR(SUMIFS(Evidence_Log!$Q$2:$Q$200,Evidence_Log!$B$2:$B$200,$B36,Evidence_Log!$E$2:$E$200,$E36,Evidence_Log!$V$2:$V$200,"Yes")/SUMIFS(Evidence_Log!$P$2:$P$200,Evidence_Log!$B$2:$B$200,$B36,Evidence_Log!$E$2:$E$200,$E36,Evidence_Log!$V$2:$V$200,"Yes"),"")</x:f>
        <x:v>4</x:v>
      </x:c>
      <x:c r="G36" s="30" t="n">
        <x:f>IF(L36=0,"",ROUND(F36,0))</x:f>
        <x:v>4</x:v>
      </x:c>
      <x:c r="H36" s="30" t="n">
        <x:f>IFERROR(MIN(100,ROUND((SUMIFS(Evidence_Log!$N$2:$N$200,Evidence_Log!$B$2:$B$200,$B36,Evidence_Log!$E$2:$E$200,$E36,Evidence_Log!$V$2:$V$200,"Yes")/L36)*(SUMIFS(Evidence_Log!$O$2:$O$200,Evidence_Log!$B$2:$B$200,$B36,Evidence_Log!$E$2:$E$200,$E36,Evidence_Log!$V$2:$V$200,"Yes")/L36)*IF(J36&gt;=3,1.15,IF(J36=2,1,IF(J36=1,0.7,0)))*100,0)),"")</x:f>
        <x:v>14</x:v>
      </x:c>
      <x:c r="I36" s="30" t="str">
        <x:f>IF(H36="","No data",IFS(H36&gt;=80,"High",H36&gt;=60,"Medium",H36&gt;=40,"Low",TRUE,"Needs review"))</x:f>
        <x:v>Needs review</x:v>
      </x:c>
      <x:c r="J36" s="30" t="n">
        <x:f>COUNTIFS(Evidence_Log!$B$2:$B$200,$B36,Evidence_Log!$E$2:$E$200,$E36,Evidence_Log!$V$2:$V$200,"Yes",Evidence_Log!$S$2:$S$200,"&lt;&gt;")</x:f>
        <x:v>1</x:v>
      </x:c>
      <x:c r="K36" s="30" t="n">
        <x:f>COUNTIFS(Evidence_Log!$B$2:$B$200,$B36,Evidence_Log!$E$2:$E$200,$E36,Evidence_Log!$V$2:$V$200,"Yes",Evidence_Log!$I$2:$I$200,"Tier 1")+COUNTIFS(Evidence_Log!$B$2:$B$200,$B36,Evidence_Log!$E$2:$E$200,$E36,Evidence_Log!$V$2:$V$200,"Yes",Evidence_Log!$I$2:$I$200,"Tier 2")</x:f>
        <x:v>0</x:v>
      </x:c>
      <x:c r="L36" s="30" t="n">
        <x:f>COUNTIFS(Evidence_Log!$B$2:$B$200,$B36,Evidence_Log!$E$2:$E$200,$E36,Evidence_Log!$V$2:$V$200,"Yes")</x:f>
        <x:v>1</x:v>
      </x:c>
      <x:c r="M36" s="30" t="str">
        <x:f>IF(L36=0,"No evidence",IF(H36&lt;60,"Needs review",IF(J36&lt;2,"Needs 2 independent sources",IF(K36&lt;1,"Needs Tier 1/2 source","Publishable"))))</x:f>
        <x:v>Needs review</x:v>
      </x:c>
      <x:c r="N36" s="30" t="str">
        <x:f>IFERROR("#"&amp;VLOOKUP(G36,Legend_Config!$A$2:$C$7,3,FALSE),"")</x:f>
        <x:v>#F16913</x:v>
      </x:c>
      <x:c r="O36" s="30" t="n">
        <x:f>IF(I36="","",VLOOKUP(I36,Legend_Config!$F$2:$G$6,2,FALSE))</x:f>
        <x:v>0.25</x:v>
      </x:c>
      <x:c r="P36" s="30" t="n">
        <x:f>IFERROR(MAX(FILTER(Evidence_Log!$L$2:$L$200,Evidence_Log!$B$2:$B$200=$B36,Evidence_Log!$E$2:$E$200=$E36,Evidence_Log!$V$2:$V$200="Yes")),"")</x:f>
        <x:v>45658</x:v>
      </x:c>
      <x:c r="Q36" s="30" t="str">
        <x:f>IF(L36=0,"No evidence logged",G36&amp;" / "&amp;I36&amp;" confidence ("&amp;H36&amp;"%) from "&amp;L36&amp;" evidence row(s), "&amp;J36&amp;" source row(s).")</x:f>
        <x:v>4 / Needs review confidence (14%) from 1 evidence row(s), 1 source row(s).</x:v>
      </x:c>
    </x:row>
    <x:row r="37">
      <x:c r="A37" s="30" t="str">
        <x:f>IF(OR(B37="",E37=""),"",B37&amp;"|"&amp;E37)</x:f>
        <x:v>Serbia|Election interference</x:v>
      </x:c>
      <x:c r="B37" s="30" t="str">
        <x:v>Serbia</x:v>
      </x:c>
      <x:c r="C37" s="30" t="str">
        <x:v>SRB</x:v>
      </x:c>
      <x:c r="D37" s="30" t="str">
        <x:v>Europe</x:v>
      </x:c>
      <x:c r="E37" s="30" t="str">
        <x:v>Election interference</x:v>
      </x:c>
      <x:c r="F37" s="30" t="n">
        <x:f>IFERROR(SUMIFS(Evidence_Log!$Q$2:$Q$200,Evidence_Log!$B$2:$B$200,$B37,Evidence_Log!$E$2:$E$200,$E37,Evidence_Log!$V$2:$V$200,"Yes")/SUMIFS(Evidence_Log!$P$2:$P$200,Evidence_Log!$B$2:$B$200,$B37,Evidence_Log!$E$2:$E$200,$E37,Evidence_Log!$V$2:$V$200,"Yes"),"")</x:f>
        <x:v>2</x:v>
      </x:c>
      <x:c r="G37" s="30" t="n">
        <x:f>IF(L37=0,"",ROUND(F37,0))</x:f>
        <x:v>2</x:v>
      </x:c>
      <x:c r="H37" s="30" t="n">
        <x:f>IFERROR(MIN(100,ROUND((SUMIFS(Evidence_Log!$N$2:$N$200,Evidence_Log!$B$2:$B$200,$B37,Evidence_Log!$E$2:$E$200,$E37,Evidence_Log!$V$2:$V$200,"Yes")/L37)*(SUMIFS(Evidence_Log!$O$2:$O$200,Evidence_Log!$B$2:$B$200,$B37,Evidence_Log!$E$2:$E$200,$E37,Evidence_Log!$V$2:$V$200,"Yes")/L37)*IF(J37&gt;=3,1.15,IF(J37=2,1,IF(J37=1,0.7,0)))*100,0)),"")</x:f>
        <x:v>14</x:v>
      </x:c>
      <x:c r="I37" s="30" t="str">
        <x:f>IF(H37="","No data",IFS(H37&gt;=80,"High",H37&gt;=60,"Medium",H37&gt;=40,"Low",TRUE,"Needs review"))</x:f>
        <x:v>Needs review</x:v>
      </x:c>
      <x:c r="J37" s="30" t="n">
        <x:f>COUNTIFS(Evidence_Log!$B$2:$B$200,$B37,Evidence_Log!$E$2:$E$200,$E37,Evidence_Log!$V$2:$V$200,"Yes",Evidence_Log!$S$2:$S$200,"&lt;&gt;")</x:f>
        <x:v>1</x:v>
      </x:c>
      <x:c r="K37" s="30" t="n">
        <x:f>COUNTIFS(Evidence_Log!$B$2:$B$200,$B37,Evidence_Log!$E$2:$E$200,$E37,Evidence_Log!$V$2:$V$200,"Yes",Evidence_Log!$I$2:$I$200,"Tier 1")+COUNTIFS(Evidence_Log!$B$2:$B$200,$B37,Evidence_Log!$E$2:$E$200,$E37,Evidence_Log!$V$2:$V$200,"Yes",Evidence_Log!$I$2:$I$200,"Tier 2")</x:f>
        <x:v>0</x:v>
      </x:c>
      <x:c r="L37" s="30" t="n">
        <x:f>COUNTIFS(Evidence_Log!$B$2:$B$200,$B37,Evidence_Log!$E$2:$E$200,$E37,Evidence_Log!$V$2:$V$200,"Yes")</x:f>
        <x:v>1</x:v>
      </x:c>
      <x:c r="M37" s="30" t="str">
        <x:f>IF(L37=0,"No evidence",IF(H37&lt;60,"Needs review",IF(J37&lt;2,"Needs 2 independent sources",IF(K37&lt;1,"Needs Tier 1/2 source","Publishable"))))</x:f>
        <x:v>Needs review</x:v>
      </x:c>
      <x:c r="N37" s="30" t="str">
        <x:f>IFERROR("#"&amp;VLOOKUP(G37,Legend_Config!$A$2:$C$7,3,FALSE),"")</x:f>
        <x:v>#ADDD8E</x:v>
      </x:c>
      <x:c r="O37" s="30" t="n">
        <x:f>IF(I37="","",VLOOKUP(I37,Legend_Config!$F$2:$G$6,2,FALSE))</x:f>
        <x:v>0.25</x:v>
      </x:c>
      <x:c r="P37" s="30" t="n">
        <x:f>IFERROR(MAX(FILTER(Evidence_Log!$L$2:$L$200,Evidence_Log!$B$2:$B$200=$B37,Evidence_Log!$E$2:$E$200=$E37,Evidence_Log!$V$2:$V$200="Yes")),"")</x:f>
        <x:v>45658</x:v>
      </x:c>
      <x:c r="Q37" s="30" t="str">
        <x:f>IF(L37=0,"No evidence logged",G37&amp;" / "&amp;I37&amp;" confidence ("&amp;H37&amp;"%) from "&amp;L37&amp;" evidence row(s), "&amp;J37&amp;" source row(s).")</x:f>
        <x:v>2 / Needs review confidence (14%) from 1 evidence row(s), 1 source row(s).</x:v>
      </x:c>
    </x:row>
    <x:row r="38">
      <x:c r="A38" s="30" t="str">
        <x:f>IF(OR(B38="",E38=""),"",B38&amp;"|"&amp;E38)</x:f>
        <x:v>Poland|Russian influence</x:v>
      </x:c>
      <x:c r="B38" s="30" t="str">
        <x:v>Poland</x:v>
      </x:c>
      <x:c r="C38" s="30" t="str">
        <x:v>POL</x:v>
      </x:c>
      <x:c r="D38" s="30" t="str">
        <x:v>Europe</x:v>
      </x:c>
      <x:c r="E38" s="30" t="str">
        <x:v>Russian influence</x:v>
      </x:c>
      <x:c r="F38" s="30" t="n">
        <x:f>IFERROR(SUMIFS(Evidence_Log!$Q$2:$Q$200,Evidence_Log!$B$2:$B$200,$B38,Evidence_Log!$E$2:$E$200,$E38,Evidence_Log!$V$2:$V$200,"Yes")/SUMIFS(Evidence_Log!$P$2:$P$200,Evidence_Log!$B$2:$B$200,$B38,Evidence_Log!$E$2:$E$200,$E38,Evidence_Log!$V$2:$V$200,"Yes"),"")</x:f>
        <x:v>3</x:v>
      </x:c>
      <x:c r="G38" s="30" t="n">
        <x:f>IF(L38=0,"",ROUND(F38,0))</x:f>
        <x:v>3</x:v>
      </x:c>
      <x:c r="H38" s="30" t="n">
        <x:f>IFERROR(MIN(100,ROUND((SUMIFS(Evidence_Log!$N$2:$N$200,Evidence_Log!$B$2:$B$200,$B38,Evidence_Log!$E$2:$E$200,$E38,Evidence_Log!$V$2:$V$200,"Yes")/L38)*(SUMIFS(Evidence_Log!$O$2:$O$200,Evidence_Log!$B$2:$B$200,$B38,Evidence_Log!$E$2:$E$200,$E38,Evidence_Log!$V$2:$V$200,"Yes")/L38)*IF(J38&gt;=3,1.15,IF(J38=2,1,IF(J38=1,0.7,0)))*100,0)),"")</x:f>
        <x:v>14</x:v>
      </x:c>
      <x:c r="I38" s="30" t="str">
        <x:f>IF(H38="","No data",IFS(H38&gt;=80,"High",H38&gt;=60,"Medium",H38&gt;=40,"Low",TRUE,"Needs review"))</x:f>
        <x:v>Needs review</x:v>
      </x:c>
      <x:c r="J38" s="30" t="n">
        <x:f>COUNTIFS(Evidence_Log!$B$2:$B$200,$B38,Evidence_Log!$E$2:$E$200,$E38,Evidence_Log!$V$2:$V$200,"Yes",Evidence_Log!$S$2:$S$200,"&lt;&gt;")</x:f>
        <x:v>1</x:v>
      </x:c>
      <x:c r="K38" s="30" t="n">
        <x:f>COUNTIFS(Evidence_Log!$B$2:$B$200,$B38,Evidence_Log!$E$2:$E$200,$E38,Evidence_Log!$V$2:$V$200,"Yes",Evidence_Log!$I$2:$I$200,"Tier 1")+COUNTIFS(Evidence_Log!$B$2:$B$200,$B38,Evidence_Log!$E$2:$E$200,$E38,Evidence_Log!$V$2:$V$200,"Yes",Evidence_Log!$I$2:$I$200,"Tier 2")</x:f>
        <x:v>0</x:v>
      </x:c>
      <x:c r="L38" s="30" t="n">
        <x:f>COUNTIFS(Evidence_Log!$B$2:$B$200,$B38,Evidence_Log!$E$2:$E$200,$E38,Evidence_Log!$V$2:$V$200,"Yes")</x:f>
        <x:v>1</x:v>
      </x:c>
      <x:c r="M38" s="30" t="str">
        <x:f>IF(L38=0,"No evidence",IF(H38&lt;60,"Needs review",IF(J38&lt;2,"Needs 2 independent sources",IF(K38&lt;1,"Needs Tier 1/2 source","Publishable"))))</x:f>
        <x:v>Needs review</x:v>
      </x:c>
      <x:c r="N38" s="30" t="str">
        <x:f>IFERROR("#"&amp;VLOOKUP(G38,Legend_Config!$A$2:$C$7,3,FALSE),"")</x:f>
        <x:v>#FDAE6B</x:v>
      </x:c>
      <x:c r="O38" s="30" t="n">
        <x:f>IF(I38="","",VLOOKUP(I38,Legend_Config!$F$2:$G$6,2,FALSE))</x:f>
        <x:v>0.25</x:v>
      </x:c>
      <x:c r="P38" s="30" t="n">
        <x:f>IFERROR(MAX(FILTER(Evidence_Log!$L$2:$L$200,Evidence_Log!$B$2:$B$200=$B38,Evidence_Log!$E$2:$E$200=$E38,Evidence_Log!$V$2:$V$200="Yes")),"")</x:f>
        <x:v>45658</x:v>
      </x:c>
      <x:c r="Q38" s="30" t="str">
        <x:f>IF(L38=0,"No evidence logged",G38&amp;" / "&amp;I38&amp;" confidence ("&amp;H38&amp;"%) from "&amp;L38&amp;" evidence row(s), "&amp;J38&amp;" source row(s).")</x:f>
        <x:v>3 / Needs review confidence (14%) from 1 evidence row(s), 1 source row(s).</x:v>
      </x:c>
    </x:row>
    <x:row r="39">
      <x:c r="A39" s="30" t="str">
        <x:f>IF(OR(B39="",E39=""),"",B39&amp;"|"&amp;E39)</x:f>
        <x:v>Poland|PMC presence</x:v>
      </x:c>
      <x:c r="B39" s="30" t="str">
        <x:v>Poland</x:v>
      </x:c>
      <x:c r="C39" s="30" t="str">
        <x:v>POL</x:v>
      </x:c>
      <x:c r="D39" s="30" t="str">
        <x:v>Europe</x:v>
      </x:c>
      <x:c r="E39" s="30" t="str">
        <x:v>PMC presence</x:v>
      </x:c>
      <x:c r="F39" s="30" t="n">
        <x:f>IFERROR(SUMIFS(Evidence_Log!$Q$2:$Q$200,Evidence_Log!$B$2:$B$200,$B39,Evidence_Log!$E$2:$E$200,$E39,Evidence_Log!$V$2:$V$200,"Yes")/SUMIFS(Evidence_Log!$P$2:$P$200,Evidence_Log!$B$2:$B$200,$B39,Evidence_Log!$E$2:$E$200,$E39,Evidence_Log!$V$2:$V$200,"Yes"),"")</x:f>
        <x:v>0</x:v>
      </x:c>
      <x:c r="G39" s="30" t="n">
        <x:f>IF(L39=0,"",ROUND(F39,0))</x:f>
        <x:v>0</x:v>
      </x:c>
      <x:c r="H39" s="30" t="n">
        <x:f>IFERROR(MIN(100,ROUND((SUMIFS(Evidence_Log!$N$2:$N$200,Evidence_Log!$B$2:$B$200,$B39,Evidence_Log!$E$2:$E$200,$E39,Evidence_Log!$V$2:$V$200,"Yes")/L39)*(SUMIFS(Evidence_Log!$O$2:$O$200,Evidence_Log!$B$2:$B$200,$B39,Evidence_Log!$E$2:$E$200,$E39,Evidence_Log!$V$2:$V$200,"Yes")/L39)*IF(J39&gt;=3,1.15,IF(J39=2,1,IF(J39=1,0.7,0)))*100,0)),"")</x:f>
        <x:v>14</x:v>
      </x:c>
      <x:c r="I39" s="30" t="str">
        <x:f>IF(H39="","No data",IFS(H39&gt;=80,"High",H39&gt;=60,"Medium",H39&gt;=40,"Low",TRUE,"Needs review"))</x:f>
        <x:v>Needs review</x:v>
      </x:c>
      <x:c r="J39" s="30" t="n">
        <x:f>COUNTIFS(Evidence_Log!$B$2:$B$200,$B39,Evidence_Log!$E$2:$E$200,$E39,Evidence_Log!$V$2:$V$200,"Yes",Evidence_Log!$S$2:$S$200,"&lt;&gt;")</x:f>
        <x:v>1</x:v>
      </x:c>
      <x:c r="K39" s="30" t="n">
        <x:f>COUNTIFS(Evidence_Log!$B$2:$B$200,$B39,Evidence_Log!$E$2:$E$200,$E39,Evidence_Log!$V$2:$V$200,"Yes",Evidence_Log!$I$2:$I$200,"Tier 1")+COUNTIFS(Evidence_Log!$B$2:$B$200,$B39,Evidence_Log!$E$2:$E$200,$E39,Evidence_Log!$V$2:$V$200,"Yes",Evidence_Log!$I$2:$I$200,"Tier 2")</x:f>
        <x:v>0</x:v>
      </x:c>
      <x:c r="L39" s="30" t="n">
        <x:f>COUNTIFS(Evidence_Log!$B$2:$B$200,$B39,Evidence_Log!$E$2:$E$200,$E39,Evidence_Log!$V$2:$V$200,"Yes")</x:f>
        <x:v>1</x:v>
      </x:c>
      <x:c r="M39" s="30" t="str">
        <x:f>IF(L39=0,"No evidence",IF(H39&lt;60,"Needs review",IF(J39&lt;2,"Needs 2 independent sources",IF(K39&lt;1,"Needs Tier 1/2 source","Publishable"))))</x:f>
        <x:v>Needs review</x:v>
      </x:c>
      <x:c r="N39" s="30" t="str">
        <x:f>IFERROR("#"&amp;VLOOKUP(G39,Legend_Config!$A$2:$C$7,3,FALSE),"")</x:f>
        <x:v>#F2F2F2</x:v>
      </x:c>
      <x:c r="O39" s="30" t="n">
        <x:f>IF(I39="","",VLOOKUP(I39,Legend_Config!$F$2:$G$6,2,FALSE))</x:f>
        <x:v>0.25</x:v>
      </x:c>
      <x:c r="P39" s="30" t="n">
        <x:f>IFERROR(MAX(FILTER(Evidence_Log!$L$2:$L$200,Evidence_Log!$B$2:$B$200=$B39,Evidence_Log!$E$2:$E$200=$E39,Evidence_Log!$V$2:$V$200="Yes")),"")</x:f>
        <x:v>45658</x:v>
      </x:c>
      <x:c r="Q39" s="30" t="str">
        <x:f>IF(L39=0,"No evidence logged",G39&amp;" / "&amp;I39&amp;" confidence ("&amp;H39&amp;"%) from "&amp;L39&amp;" evidence row(s), "&amp;J39&amp;" source row(s).")</x:f>
        <x:v>0 / Needs review confidence (14%) from 1 evidence row(s), 1 source row(s).</x:v>
      </x:c>
    </x:row>
    <x:row r="40">
      <x:c r="A40" s="30" t="str">
        <x:f>IF(OR(B40="",E40=""),"",B40&amp;"|"&amp;E40)</x:f>
        <x:v>Poland|Propaganda ecosystems</x:v>
      </x:c>
      <x:c r="B40" s="30" t="str">
        <x:v>Poland</x:v>
      </x:c>
      <x:c r="C40" s="30" t="str">
        <x:v>POL</x:v>
      </x:c>
      <x:c r="D40" s="30" t="str">
        <x:v>Europe</x:v>
      </x:c>
      <x:c r="E40" s="30" t="str">
        <x:v>Propaganda ecosystems</x:v>
      </x:c>
      <x:c r="F40" s="30" t="n">
        <x:f>IFERROR(SUMIFS(Evidence_Log!$Q$2:$Q$200,Evidence_Log!$B$2:$B$200,$B40,Evidence_Log!$E$2:$E$200,$E40,Evidence_Log!$V$2:$V$200,"Yes")/SUMIFS(Evidence_Log!$P$2:$P$200,Evidence_Log!$B$2:$B$200,$B40,Evidence_Log!$E$2:$E$200,$E40,Evidence_Log!$V$2:$V$200,"Yes"),"")</x:f>
        <x:v>3</x:v>
      </x:c>
      <x:c r="G40" s="30" t="n">
        <x:f>IF(L40=0,"",ROUND(F40,0))</x:f>
        <x:v>3</x:v>
      </x:c>
      <x:c r="H40" s="30" t="n">
        <x:f>IFERROR(MIN(100,ROUND((SUMIFS(Evidence_Log!$N$2:$N$200,Evidence_Log!$B$2:$B$200,$B40,Evidence_Log!$E$2:$E$200,$E40,Evidence_Log!$V$2:$V$200,"Yes")/L40)*(SUMIFS(Evidence_Log!$O$2:$O$200,Evidence_Log!$B$2:$B$200,$B40,Evidence_Log!$E$2:$E$200,$E40,Evidence_Log!$V$2:$V$200,"Yes")/L40)*IF(J40&gt;=3,1.15,IF(J40=2,1,IF(J40=1,0.7,0)))*100,0)),"")</x:f>
        <x:v>14</x:v>
      </x:c>
      <x:c r="I40" s="30" t="str">
        <x:f>IF(H40="","No data",IFS(H40&gt;=80,"High",H40&gt;=60,"Medium",H40&gt;=40,"Low",TRUE,"Needs review"))</x:f>
        <x:v>Needs review</x:v>
      </x:c>
      <x:c r="J40" s="30" t="n">
        <x:f>COUNTIFS(Evidence_Log!$B$2:$B$200,$B40,Evidence_Log!$E$2:$E$200,$E40,Evidence_Log!$V$2:$V$200,"Yes",Evidence_Log!$S$2:$S$200,"&lt;&gt;")</x:f>
        <x:v>1</x:v>
      </x:c>
      <x:c r="K40" s="30" t="n">
        <x:f>COUNTIFS(Evidence_Log!$B$2:$B$200,$B40,Evidence_Log!$E$2:$E$200,$E40,Evidence_Log!$V$2:$V$200,"Yes",Evidence_Log!$I$2:$I$200,"Tier 1")+COUNTIFS(Evidence_Log!$B$2:$B$200,$B40,Evidence_Log!$E$2:$E$200,$E40,Evidence_Log!$V$2:$V$200,"Yes",Evidence_Log!$I$2:$I$200,"Tier 2")</x:f>
        <x:v>0</x:v>
      </x:c>
      <x:c r="L40" s="30" t="n">
        <x:f>COUNTIFS(Evidence_Log!$B$2:$B$200,$B40,Evidence_Log!$E$2:$E$200,$E40,Evidence_Log!$V$2:$V$200,"Yes")</x:f>
        <x:v>1</x:v>
      </x:c>
      <x:c r="M40" s="30" t="str">
        <x:f>IF(L40=0,"No evidence",IF(H40&lt;60,"Needs review",IF(J40&lt;2,"Needs 2 independent sources",IF(K40&lt;1,"Needs Tier 1/2 source","Publishable"))))</x:f>
        <x:v>Needs review</x:v>
      </x:c>
      <x:c r="N40" s="30" t="str">
        <x:f>IFERROR("#"&amp;VLOOKUP(G40,Legend_Config!$A$2:$C$7,3,FALSE),"")</x:f>
        <x:v>#FDAE6B</x:v>
      </x:c>
      <x:c r="O40" s="30" t="n">
        <x:f>IF(I40="","",VLOOKUP(I40,Legend_Config!$F$2:$G$6,2,FALSE))</x:f>
        <x:v>0.25</x:v>
      </x:c>
      <x:c r="P40" s="30" t="n">
        <x:f>IFERROR(MAX(FILTER(Evidence_Log!$L$2:$L$200,Evidence_Log!$B$2:$B$200=$B40,Evidence_Log!$E$2:$E$200=$E40,Evidence_Log!$V$2:$V$200="Yes")),"")</x:f>
        <x:v>45658</x:v>
      </x:c>
      <x:c r="Q40" s="30" t="str">
        <x:f>IF(L40=0,"No evidence logged",G40&amp;" / "&amp;I40&amp;" confidence ("&amp;H40&amp;"%) from "&amp;L40&amp;" evidence row(s), "&amp;J40&amp;" source row(s).")</x:f>
        <x:v>3 / Needs review confidence (14%) from 1 evidence row(s), 1 source row(s).</x:v>
      </x:c>
    </x:row>
    <x:row r="41">
      <x:c r="A41" s="30" t="str">
        <x:f>IF(OR(B41="",E41=""),"",B41&amp;"|"&amp;E41)</x:f>
        <x:v>Poland|Election interference</x:v>
      </x:c>
      <x:c r="B41" s="30" t="str">
        <x:v>Poland</x:v>
      </x:c>
      <x:c r="C41" s="30" t="str">
        <x:v>POL</x:v>
      </x:c>
      <x:c r="D41" s="30" t="str">
        <x:v>Europe</x:v>
      </x:c>
      <x:c r="E41" s="30" t="str">
        <x:v>Election interference</x:v>
      </x:c>
      <x:c r="F41" s="30" t="n">
        <x:f>IFERROR(SUMIFS(Evidence_Log!$Q$2:$Q$200,Evidence_Log!$B$2:$B$200,$B41,Evidence_Log!$E$2:$E$200,$E41,Evidence_Log!$V$2:$V$200,"Yes")/SUMIFS(Evidence_Log!$P$2:$P$200,Evidence_Log!$B$2:$B$200,$B41,Evidence_Log!$E$2:$E$200,$E41,Evidence_Log!$V$2:$V$200,"Yes"),"")</x:f>
        <x:v>3</x:v>
      </x:c>
      <x:c r="G41" s="30" t="n">
        <x:f>IF(L41=0,"",ROUND(F41,0))</x:f>
        <x:v>3</x:v>
      </x:c>
      <x:c r="H41" s="30" t="n">
        <x:f>IFERROR(MIN(100,ROUND((SUMIFS(Evidence_Log!$N$2:$N$200,Evidence_Log!$B$2:$B$200,$B41,Evidence_Log!$E$2:$E$200,$E41,Evidence_Log!$V$2:$V$200,"Yes")/L41)*(SUMIFS(Evidence_Log!$O$2:$O$200,Evidence_Log!$B$2:$B$200,$B41,Evidence_Log!$E$2:$E$200,$E41,Evidence_Log!$V$2:$V$200,"Yes")/L41)*IF(J41&gt;=3,1.15,IF(J41=2,1,IF(J41=1,0.7,0)))*100,0)),"")</x:f>
        <x:v>14</x:v>
      </x:c>
      <x:c r="I41" s="30" t="str">
        <x:f>IF(H41="","No data",IFS(H41&gt;=80,"High",H41&gt;=60,"Medium",H41&gt;=40,"Low",TRUE,"Needs review"))</x:f>
        <x:v>Needs review</x:v>
      </x:c>
      <x:c r="J41" s="30" t="n">
        <x:f>COUNTIFS(Evidence_Log!$B$2:$B$200,$B41,Evidence_Log!$E$2:$E$200,$E41,Evidence_Log!$V$2:$V$200,"Yes",Evidence_Log!$S$2:$S$200,"&lt;&gt;")</x:f>
        <x:v>1</x:v>
      </x:c>
      <x:c r="K41" s="30" t="n">
        <x:f>COUNTIFS(Evidence_Log!$B$2:$B$200,$B41,Evidence_Log!$E$2:$E$200,$E41,Evidence_Log!$V$2:$V$200,"Yes",Evidence_Log!$I$2:$I$200,"Tier 1")+COUNTIFS(Evidence_Log!$B$2:$B$200,$B41,Evidence_Log!$E$2:$E$200,$E41,Evidence_Log!$V$2:$V$200,"Yes",Evidence_Log!$I$2:$I$200,"Tier 2")</x:f>
        <x:v>0</x:v>
      </x:c>
      <x:c r="L41" s="30" t="n">
        <x:f>COUNTIFS(Evidence_Log!$B$2:$B$200,$B41,Evidence_Log!$E$2:$E$200,$E41,Evidence_Log!$V$2:$V$200,"Yes")</x:f>
        <x:v>1</x:v>
      </x:c>
      <x:c r="M41" s="30" t="str">
        <x:f>IF(L41=0,"No evidence",IF(H41&lt;60,"Needs review",IF(J41&lt;2,"Needs 2 independent sources",IF(K41&lt;1,"Needs Tier 1/2 source","Publishable"))))</x:f>
        <x:v>Needs review</x:v>
      </x:c>
      <x:c r="N41" s="30" t="str">
        <x:f>IFERROR("#"&amp;VLOOKUP(G41,Legend_Config!$A$2:$C$7,3,FALSE),"")</x:f>
        <x:v>#FDAE6B</x:v>
      </x:c>
      <x:c r="O41" s="30" t="n">
        <x:f>IF(I41="","",VLOOKUP(I41,Legend_Config!$F$2:$G$6,2,FALSE))</x:f>
        <x:v>0.25</x:v>
      </x:c>
      <x:c r="P41" s="30" t="n">
        <x:f>IFERROR(MAX(FILTER(Evidence_Log!$L$2:$L$200,Evidence_Log!$B$2:$B$200=$B41,Evidence_Log!$E$2:$E$200=$E41,Evidence_Log!$V$2:$V$200="Yes")),"")</x:f>
        <x:v>45658</x:v>
      </x:c>
      <x:c r="Q41" s="30" t="str">
        <x:f>IF(L41=0,"No evidence logged",G41&amp;" / "&amp;I41&amp;" confidence ("&amp;H41&amp;"%) from "&amp;L41&amp;" evidence row(s), "&amp;J41&amp;" source row(s).")</x:f>
        <x:v>3 / Needs review confidence (14%) from 1 evidence row(s), 1 source row(s).</x:v>
      </x:c>
    </x:row>
    <x:row r="42">
      <x:c r="A42" s="30" t="str">
        <x:f>IF(OR(B42="",E42=""),"",B42&amp;"|"&amp;E42)</x:f>
      </x:c>
      <x:c r="B42" s="30"/>
      <x:c r="C42" s="30"/>
      <x:c r="D42" s="30"/>
      <x:c r="E42" s="30"/>
      <x:c r="F42" s="30" t="str">
        <x:f>IFERROR(SUMIFS(Evidence_Log!$Q$2:$Q$200,Evidence_Log!$B$2:$B$200,$B42,Evidence_Log!$E$2:$E$200,$E42,Evidence_Log!$V$2:$V$200,"Yes")/SUMIFS(Evidence_Log!$P$2:$P$200,Evidence_Log!$B$2:$B$200,$B42,Evidence_Log!$E$2:$E$200,$E42,Evidence_Log!$V$2:$V$200,"Yes"),"")</x:f>
      </x:c>
      <x:c r="G42" s="30" t="str">
        <x:f>IF(L42=0,"",ROUND(F42,0))</x:f>
      </x:c>
      <x:c r="H42" s="30" t="str">
        <x:f>IFERROR(MIN(100,ROUND((SUMIFS(Evidence_Log!$N$2:$N$200,Evidence_Log!$B$2:$B$200,$B42,Evidence_Log!$E$2:$E$200,$E42,Evidence_Log!$V$2:$V$200,"Yes")/L42)*(SUMIFS(Evidence_Log!$O$2:$O$200,Evidence_Log!$B$2:$B$200,$B42,Evidence_Log!$E$2:$E$200,$E42,Evidence_Log!$V$2:$V$200,"Yes")/L42)*IF(J42&gt;=3,1.15,IF(J42=2,1,IF(J42=1,0.7,0)))*100,0)),"")</x:f>
      </x:c>
      <x:c r="I42" s="30" t="str">
        <x:f>IF(H42="","No data",IFS(H42&gt;=80,"High",H42&gt;=60,"Medium",H42&gt;=40,"Low",TRUE,"Needs review"))</x:f>
        <x:v>No data</x:v>
      </x:c>
      <x:c r="J42" s="30" t="n">
        <x:f>COUNTIFS(Evidence_Log!$B$2:$B$200,$B42,Evidence_Log!$E$2:$E$200,$E42,Evidence_Log!$V$2:$V$200,"Yes",Evidence_Log!$S$2:$S$200,"&lt;&gt;")</x:f>
        <x:v>0</x:v>
      </x:c>
      <x:c r="K42" s="30" t="n">
        <x:f>COUNTIFS(Evidence_Log!$B$2:$B$200,$B42,Evidence_Log!$E$2:$E$200,$E42,Evidence_Log!$V$2:$V$200,"Yes",Evidence_Log!$I$2:$I$200,"Tier 1")+COUNTIFS(Evidence_Log!$B$2:$B$200,$B42,Evidence_Log!$E$2:$E$200,$E42,Evidence_Log!$V$2:$V$200,"Yes",Evidence_Log!$I$2:$I$200,"Tier 2")</x:f>
        <x:v>0</x:v>
      </x:c>
      <x:c r="L42" s="30" t="n">
        <x:f>COUNTIFS(Evidence_Log!$B$2:$B$200,$B42,Evidence_Log!$E$2:$E$200,$E42,Evidence_Log!$V$2:$V$200,"Yes")</x:f>
        <x:v>0</x:v>
      </x:c>
      <x:c r="M42" s="30" t="str">
        <x:f>IF(L42=0,"No evidence",IF(H42&lt;60,"Needs review",IF(J42&lt;2,"Needs 2 independent sources",IF(K42&lt;1,"Needs Tier 1/2 source","Publishable"))))</x:f>
        <x:v>No evidence</x:v>
      </x:c>
      <x:c r="N42" s="30" t="str">
        <x:f>IFERROR("#"&amp;VLOOKUP(G42,Legend_Config!$A$2:$C$7,3,FALSE),"")</x:f>
        <x:v>#F2F2F2</x:v>
      </x:c>
      <x:c r="O42" s="30" t="n">
        <x:f>IF(I42="","",VLOOKUP(I42,Legend_Config!$F$2:$G$6,2,FALSE))</x:f>
        <x:v>0.15</x:v>
      </x:c>
      <x:c r="P42" s="30" t="n">
        <x:f>IFERROR(MAX(FILTER(Evidence_Log!$L$2:$L$200,Evidence_Log!$B$2:$B$200=$B42,Evidence_Log!$E$2:$E$200=$E42,Evidence_Log!$V$2:$V$200="Yes")),"")</x:f>
        <x:v>0</x:v>
      </x:c>
      <x:c r="Q42" s="30" t="str">
        <x:f>IF(L42=0,"No evidence logged",G42&amp;" / "&amp;I42&amp;" confidence ("&amp;H42&amp;"%) from "&amp;L42&amp;" evidence row(s), "&amp;J42&amp;" source row(s).")</x:f>
        <x:v>No evidence logged</x:v>
      </x:c>
    </x:row>
    <x:row r="43">
      <x:c r="A43" s="30" t="str">
        <x:f>IF(OR(B43="",E43=""),"",B43&amp;"|"&amp;E43)</x:f>
      </x:c>
      <x:c r="B43" s="30"/>
      <x:c r="C43" s="30"/>
      <x:c r="D43" s="30"/>
      <x:c r="E43" s="30"/>
      <x:c r="F43" s="30" t="str">
        <x:f>IFERROR(SUMIFS(Evidence_Log!$Q$2:$Q$200,Evidence_Log!$B$2:$B$200,$B43,Evidence_Log!$E$2:$E$200,$E43,Evidence_Log!$V$2:$V$200,"Yes")/SUMIFS(Evidence_Log!$P$2:$P$200,Evidence_Log!$B$2:$B$200,$B43,Evidence_Log!$E$2:$E$200,$E43,Evidence_Log!$V$2:$V$200,"Yes"),"")</x:f>
      </x:c>
      <x:c r="G43" s="30" t="str">
        <x:f>IF(L43=0,"",ROUND(F43,0))</x:f>
      </x:c>
      <x:c r="H43" s="30" t="str">
        <x:f>IFERROR(MIN(100,ROUND((SUMIFS(Evidence_Log!$N$2:$N$200,Evidence_Log!$B$2:$B$200,$B43,Evidence_Log!$E$2:$E$200,$E43,Evidence_Log!$V$2:$V$200,"Yes")/L43)*(SUMIFS(Evidence_Log!$O$2:$O$200,Evidence_Log!$B$2:$B$200,$B43,Evidence_Log!$E$2:$E$200,$E43,Evidence_Log!$V$2:$V$200,"Yes")/L43)*IF(J43&gt;=3,1.15,IF(J43=2,1,IF(J43=1,0.7,0)))*100,0)),"")</x:f>
      </x:c>
      <x:c r="I43" s="30" t="str">
        <x:f>IF(H43="","No data",IFS(H43&gt;=80,"High",H43&gt;=60,"Medium",H43&gt;=40,"Low",TRUE,"Needs review"))</x:f>
        <x:v>No data</x:v>
      </x:c>
      <x:c r="J43" s="30" t="n">
        <x:f>COUNTIFS(Evidence_Log!$B$2:$B$200,$B43,Evidence_Log!$E$2:$E$200,$E43,Evidence_Log!$V$2:$V$200,"Yes",Evidence_Log!$S$2:$S$200,"&lt;&gt;")</x:f>
        <x:v>0</x:v>
      </x:c>
      <x:c r="K43" s="30" t="n">
        <x:f>COUNTIFS(Evidence_Log!$B$2:$B$200,$B43,Evidence_Log!$E$2:$E$200,$E43,Evidence_Log!$V$2:$V$200,"Yes",Evidence_Log!$I$2:$I$200,"Tier 1")+COUNTIFS(Evidence_Log!$B$2:$B$200,$B43,Evidence_Log!$E$2:$E$200,$E43,Evidence_Log!$V$2:$V$200,"Yes",Evidence_Log!$I$2:$I$200,"Tier 2")</x:f>
        <x:v>0</x:v>
      </x:c>
      <x:c r="L43" s="30" t="n">
        <x:f>COUNTIFS(Evidence_Log!$B$2:$B$200,$B43,Evidence_Log!$E$2:$E$200,$E43,Evidence_Log!$V$2:$V$200,"Yes")</x:f>
        <x:v>0</x:v>
      </x:c>
      <x:c r="M43" s="30" t="str">
        <x:f>IF(L43=0,"No evidence",IF(H43&lt;60,"Needs review",IF(J43&lt;2,"Needs 2 independent sources",IF(K43&lt;1,"Needs Tier 1/2 source","Publishable"))))</x:f>
        <x:v>No evidence</x:v>
      </x:c>
      <x:c r="N43" s="30" t="str">
        <x:f>IFERROR("#"&amp;VLOOKUP(G43,Legend_Config!$A$2:$C$7,3,FALSE),"")</x:f>
        <x:v>#F2F2F2</x:v>
      </x:c>
      <x:c r="O43" s="30" t="n">
        <x:f>IF(I43="","",VLOOKUP(I43,Legend_Config!$F$2:$G$6,2,FALSE))</x:f>
        <x:v>0.15</x:v>
      </x:c>
      <x:c r="P43" s="30" t="n">
        <x:f>IFERROR(MAX(FILTER(Evidence_Log!$L$2:$L$200,Evidence_Log!$B$2:$B$200=$B43,Evidence_Log!$E$2:$E$200=$E43,Evidence_Log!$V$2:$V$200="Yes")),"")</x:f>
        <x:v>0</x:v>
      </x:c>
      <x:c r="Q43" s="30" t="str">
        <x:f>IF(L43=0,"No evidence logged",G43&amp;" / "&amp;I43&amp;" confidence ("&amp;H43&amp;"%) from "&amp;L43&amp;" evidence row(s), "&amp;J43&amp;" source row(s).")</x:f>
        <x:v>No evidence logged</x:v>
      </x:c>
    </x:row>
    <x:row r="44">
      <x:c r="A44" s="30" t="str">
        <x:f>IF(OR(B44="",E44=""),"",B44&amp;"|"&amp;E44)</x:f>
      </x:c>
      <x:c r="B44" s="30"/>
      <x:c r="C44" s="30"/>
      <x:c r="D44" s="30"/>
      <x:c r="E44" s="30"/>
      <x:c r="F44" s="30" t="str">
        <x:f>IFERROR(SUMIFS(Evidence_Log!$Q$2:$Q$200,Evidence_Log!$B$2:$B$200,$B44,Evidence_Log!$E$2:$E$200,$E44,Evidence_Log!$V$2:$V$200,"Yes")/SUMIFS(Evidence_Log!$P$2:$P$200,Evidence_Log!$B$2:$B$200,$B44,Evidence_Log!$E$2:$E$200,$E44,Evidence_Log!$V$2:$V$200,"Yes"),"")</x:f>
      </x:c>
      <x:c r="G44" s="30" t="str">
        <x:f>IF(L44=0,"",ROUND(F44,0))</x:f>
      </x:c>
      <x:c r="H44" s="30" t="str">
        <x:f>IFERROR(MIN(100,ROUND((SUMIFS(Evidence_Log!$N$2:$N$200,Evidence_Log!$B$2:$B$200,$B44,Evidence_Log!$E$2:$E$200,$E44,Evidence_Log!$V$2:$V$200,"Yes")/L44)*(SUMIFS(Evidence_Log!$O$2:$O$200,Evidence_Log!$B$2:$B$200,$B44,Evidence_Log!$E$2:$E$200,$E44,Evidence_Log!$V$2:$V$200,"Yes")/L44)*IF(J44&gt;=3,1.15,IF(J44=2,1,IF(J44=1,0.7,0)))*100,0)),"")</x:f>
      </x:c>
      <x:c r="I44" s="30" t="str">
        <x:f>IF(H44="","No data",IFS(H44&gt;=80,"High",H44&gt;=60,"Medium",H44&gt;=40,"Low",TRUE,"Needs review"))</x:f>
        <x:v>No data</x:v>
      </x:c>
      <x:c r="J44" s="30" t="n">
        <x:f>COUNTIFS(Evidence_Log!$B$2:$B$200,$B44,Evidence_Log!$E$2:$E$200,$E44,Evidence_Log!$V$2:$V$200,"Yes",Evidence_Log!$S$2:$S$200,"&lt;&gt;")</x:f>
        <x:v>0</x:v>
      </x:c>
      <x:c r="K44" s="30" t="n">
        <x:f>COUNTIFS(Evidence_Log!$B$2:$B$200,$B44,Evidence_Log!$E$2:$E$200,$E44,Evidence_Log!$V$2:$V$200,"Yes",Evidence_Log!$I$2:$I$200,"Tier 1")+COUNTIFS(Evidence_Log!$B$2:$B$200,$B44,Evidence_Log!$E$2:$E$200,$E44,Evidence_Log!$V$2:$V$200,"Yes",Evidence_Log!$I$2:$I$200,"Tier 2")</x:f>
        <x:v>0</x:v>
      </x:c>
      <x:c r="L44" s="30" t="n">
        <x:f>COUNTIFS(Evidence_Log!$B$2:$B$200,$B44,Evidence_Log!$E$2:$E$200,$E44,Evidence_Log!$V$2:$V$200,"Yes")</x:f>
        <x:v>0</x:v>
      </x:c>
      <x:c r="M44" s="30" t="str">
        <x:f>IF(L44=0,"No evidence",IF(H44&lt;60,"Needs review",IF(J44&lt;2,"Needs 2 independent sources",IF(K44&lt;1,"Needs Tier 1/2 source","Publishable"))))</x:f>
        <x:v>No evidence</x:v>
      </x:c>
      <x:c r="N44" s="30" t="str">
        <x:f>IFERROR("#"&amp;VLOOKUP(G44,Legend_Config!$A$2:$C$7,3,FALSE),"")</x:f>
        <x:v>#F2F2F2</x:v>
      </x:c>
      <x:c r="O44" s="30" t="n">
        <x:f>IF(I44="","",VLOOKUP(I44,Legend_Config!$F$2:$G$6,2,FALSE))</x:f>
        <x:v>0.15</x:v>
      </x:c>
      <x:c r="P44" s="30" t="n">
        <x:f>IFERROR(MAX(FILTER(Evidence_Log!$L$2:$L$200,Evidence_Log!$B$2:$B$200=$B44,Evidence_Log!$E$2:$E$200=$E44,Evidence_Log!$V$2:$V$200="Yes")),"")</x:f>
        <x:v>0</x:v>
      </x:c>
      <x:c r="Q44" s="30" t="str">
        <x:f>IF(L44=0,"No evidence logged",G44&amp;" / "&amp;I44&amp;" confidence ("&amp;H44&amp;"%) from "&amp;L44&amp;" evidence row(s), "&amp;J44&amp;" source row(s).")</x:f>
        <x:v>No evidence logged</x:v>
      </x:c>
    </x:row>
    <x:row r="45">
      <x:c r="A45" s="30" t="str">
        <x:f>IF(OR(B45="",E45=""),"",B45&amp;"|"&amp;E45)</x:f>
      </x:c>
      <x:c r="B45" s="30"/>
      <x:c r="C45" s="30"/>
      <x:c r="D45" s="30"/>
      <x:c r="E45" s="30"/>
      <x:c r="F45" s="30" t="str">
        <x:f>IFERROR(SUMIFS(Evidence_Log!$Q$2:$Q$200,Evidence_Log!$B$2:$B$200,$B45,Evidence_Log!$E$2:$E$200,$E45,Evidence_Log!$V$2:$V$200,"Yes")/SUMIFS(Evidence_Log!$P$2:$P$200,Evidence_Log!$B$2:$B$200,$B45,Evidence_Log!$E$2:$E$200,$E45,Evidence_Log!$V$2:$V$200,"Yes"),"")</x:f>
      </x:c>
      <x:c r="G45" s="30" t="str">
        <x:f>IF(L45=0,"",ROUND(F45,0))</x:f>
      </x:c>
      <x:c r="H45" s="30" t="str">
        <x:f>IFERROR(MIN(100,ROUND((SUMIFS(Evidence_Log!$N$2:$N$200,Evidence_Log!$B$2:$B$200,$B45,Evidence_Log!$E$2:$E$200,$E45,Evidence_Log!$V$2:$V$200,"Yes")/L45)*(SUMIFS(Evidence_Log!$O$2:$O$200,Evidence_Log!$B$2:$B$200,$B45,Evidence_Log!$E$2:$E$200,$E45,Evidence_Log!$V$2:$V$200,"Yes")/L45)*IF(J45&gt;=3,1.15,IF(J45=2,1,IF(J45=1,0.7,0)))*100,0)),"")</x:f>
      </x:c>
      <x:c r="I45" s="30" t="str">
        <x:f>IF(H45="","No data",IFS(H45&gt;=80,"High",H45&gt;=60,"Medium",H45&gt;=40,"Low",TRUE,"Needs review"))</x:f>
        <x:v>No data</x:v>
      </x:c>
      <x:c r="J45" s="30" t="n">
        <x:f>COUNTIFS(Evidence_Log!$B$2:$B$200,$B45,Evidence_Log!$E$2:$E$200,$E45,Evidence_Log!$V$2:$V$200,"Yes",Evidence_Log!$S$2:$S$200,"&lt;&gt;")</x:f>
        <x:v>0</x:v>
      </x:c>
      <x:c r="K45" s="30" t="n">
        <x:f>COUNTIFS(Evidence_Log!$B$2:$B$200,$B45,Evidence_Log!$E$2:$E$200,$E45,Evidence_Log!$V$2:$V$200,"Yes",Evidence_Log!$I$2:$I$200,"Tier 1")+COUNTIFS(Evidence_Log!$B$2:$B$200,$B45,Evidence_Log!$E$2:$E$200,$E45,Evidence_Log!$V$2:$V$200,"Yes",Evidence_Log!$I$2:$I$200,"Tier 2")</x:f>
        <x:v>0</x:v>
      </x:c>
      <x:c r="L45" s="30" t="n">
        <x:f>COUNTIFS(Evidence_Log!$B$2:$B$200,$B45,Evidence_Log!$E$2:$E$200,$E45,Evidence_Log!$V$2:$V$200,"Yes")</x:f>
        <x:v>0</x:v>
      </x:c>
      <x:c r="M45" s="30" t="str">
        <x:f>IF(L45=0,"No evidence",IF(H45&lt;60,"Needs review",IF(J45&lt;2,"Needs 2 independent sources",IF(K45&lt;1,"Needs Tier 1/2 source","Publishable"))))</x:f>
        <x:v>No evidence</x:v>
      </x:c>
      <x:c r="N45" s="30" t="str">
        <x:f>IFERROR("#"&amp;VLOOKUP(G45,Legend_Config!$A$2:$C$7,3,FALSE),"")</x:f>
        <x:v>#F2F2F2</x:v>
      </x:c>
      <x:c r="O45" s="30" t="n">
        <x:f>IF(I45="","",VLOOKUP(I45,Legend_Config!$F$2:$G$6,2,FALSE))</x:f>
        <x:v>0.15</x:v>
      </x:c>
      <x:c r="P45" s="30" t="n">
        <x:f>IFERROR(MAX(FILTER(Evidence_Log!$L$2:$L$200,Evidence_Log!$B$2:$B$200=$B45,Evidence_Log!$E$2:$E$200=$E45,Evidence_Log!$V$2:$V$200="Yes")),"")</x:f>
        <x:v>0</x:v>
      </x:c>
      <x:c r="Q45" s="30" t="str">
        <x:f>IF(L45=0,"No evidence logged",G45&amp;" / "&amp;I45&amp;" confidence ("&amp;H45&amp;"%) from "&amp;L45&amp;" evidence row(s), "&amp;J45&amp;" source row(s).")</x:f>
        <x:v>No evidence logged</x:v>
      </x:c>
    </x:row>
    <x:row r="46">
      <x:c r="A46" s="30" t="str">
        <x:f>IF(OR(B46="",E46=""),"",B46&amp;"|"&amp;E46)</x:f>
      </x:c>
      <x:c r="B46" s="30"/>
      <x:c r="C46" s="30"/>
      <x:c r="D46" s="30"/>
      <x:c r="E46" s="30"/>
      <x:c r="F46" s="30" t="str">
        <x:f>IFERROR(SUMIFS(Evidence_Log!$Q$2:$Q$200,Evidence_Log!$B$2:$B$200,$B46,Evidence_Log!$E$2:$E$200,$E46,Evidence_Log!$V$2:$V$200,"Yes")/SUMIFS(Evidence_Log!$P$2:$P$200,Evidence_Log!$B$2:$B$200,$B46,Evidence_Log!$E$2:$E$200,$E46,Evidence_Log!$V$2:$V$200,"Yes"),"")</x:f>
      </x:c>
      <x:c r="G46" s="30" t="str">
        <x:f>IF(L46=0,"",ROUND(F46,0))</x:f>
      </x:c>
      <x:c r="H46" s="30" t="str">
        <x:f>IFERROR(MIN(100,ROUND((SUMIFS(Evidence_Log!$N$2:$N$200,Evidence_Log!$B$2:$B$200,$B46,Evidence_Log!$E$2:$E$200,$E46,Evidence_Log!$V$2:$V$200,"Yes")/L46)*(SUMIFS(Evidence_Log!$O$2:$O$200,Evidence_Log!$B$2:$B$200,$B46,Evidence_Log!$E$2:$E$200,$E46,Evidence_Log!$V$2:$V$200,"Yes")/L46)*IF(J46&gt;=3,1.15,IF(J46=2,1,IF(J46=1,0.7,0)))*100,0)),"")</x:f>
      </x:c>
      <x:c r="I46" s="30" t="str">
        <x:f>IF(H46="","No data",IFS(H46&gt;=80,"High",H46&gt;=60,"Medium",H46&gt;=40,"Low",TRUE,"Needs review"))</x:f>
        <x:v>No data</x:v>
      </x:c>
      <x:c r="J46" s="30" t="n">
        <x:f>COUNTIFS(Evidence_Log!$B$2:$B$200,$B46,Evidence_Log!$E$2:$E$200,$E46,Evidence_Log!$V$2:$V$200,"Yes",Evidence_Log!$S$2:$S$200,"&lt;&gt;")</x:f>
        <x:v>0</x:v>
      </x:c>
      <x:c r="K46" s="30" t="n">
        <x:f>COUNTIFS(Evidence_Log!$B$2:$B$200,$B46,Evidence_Log!$E$2:$E$200,$E46,Evidence_Log!$V$2:$V$200,"Yes",Evidence_Log!$I$2:$I$200,"Tier 1")+COUNTIFS(Evidence_Log!$B$2:$B$200,$B46,Evidence_Log!$E$2:$E$200,$E46,Evidence_Log!$V$2:$V$200,"Yes",Evidence_Log!$I$2:$I$200,"Tier 2")</x:f>
        <x:v>0</x:v>
      </x:c>
      <x:c r="L46" s="30" t="n">
        <x:f>COUNTIFS(Evidence_Log!$B$2:$B$200,$B46,Evidence_Log!$E$2:$E$200,$E46,Evidence_Log!$V$2:$V$200,"Yes")</x:f>
        <x:v>0</x:v>
      </x:c>
      <x:c r="M46" s="30" t="str">
        <x:f>IF(L46=0,"No evidence",IF(H46&lt;60,"Needs review",IF(J46&lt;2,"Needs 2 independent sources",IF(K46&lt;1,"Needs Tier 1/2 source","Publishable"))))</x:f>
        <x:v>No evidence</x:v>
      </x:c>
      <x:c r="N46" s="30" t="str">
        <x:f>IFERROR("#"&amp;VLOOKUP(G46,Legend_Config!$A$2:$C$7,3,FALSE),"")</x:f>
        <x:v>#F2F2F2</x:v>
      </x:c>
      <x:c r="O46" s="30" t="n">
        <x:f>IF(I46="","",VLOOKUP(I46,Legend_Config!$F$2:$G$6,2,FALSE))</x:f>
        <x:v>0.15</x:v>
      </x:c>
      <x:c r="P46" s="30" t="n">
        <x:f>IFERROR(MAX(FILTER(Evidence_Log!$L$2:$L$200,Evidence_Log!$B$2:$B$200=$B46,Evidence_Log!$E$2:$E$200=$E46,Evidence_Log!$V$2:$V$200="Yes")),"")</x:f>
        <x:v>0</x:v>
      </x:c>
      <x:c r="Q46" s="30" t="str">
        <x:f>IF(L46=0,"No evidence logged",G46&amp;" / "&amp;I46&amp;" confidence ("&amp;H46&amp;"%) from "&amp;L46&amp;" evidence row(s), "&amp;J46&amp;" source row(s).")</x:f>
        <x:v>No evidence logged</x:v>
      </x:c>
    </x:row>
    <x:row r="47">
      <x:c r="A47" s="30" t="str">
        <x:f>IF(OR(B47="",E47=""),"",B47&amp;"|"&amp;E47)</x:f>
      </x:c>
      <x:c r="B47" s="30"/>
      <x:c r="C47" s="30"/>
      <x:c r="D47" s="30"/>
      <x:c r="E47" s="30"/>
      <x:c r="F47" s="30" t="str">
        <x:f>IFERROR(SUMIFS(Evidence_Log!$Q$2:$Q$200,Evidence_Log!$B$2:$B$200,$B47,Evidence_Log!$E$2:$E$200,$E47,Evidence_Log!$V$2:$V$200,"Yes")/SUMIFS(Evidence_Log!$P$2:$P$200,Evidence_Log!$B$2:$B$200,$B47,Evidence_Log!$E$2:$E$200,$E47,Evidence_Log!$V$2:$V$200,"Yes"),"")</x:f>
      </x:c>
      <x:c r="G47" s="30" t="str">
        <x:f>IF(L47=0,"",ROUND(F47,0))</x:f>
      </x:c>
      <x:c r="H47" s="30" t="str">
        <x:f>IFERROR(MIN(100,ROUND((SUMIFS(Evidence_Log!$N$2:$N$200,Evidence_Log!$B$2:$B$200,$B47,Evidence_Log!$E$2:$E$200,$E47,Evidence_Log!$V$2:$V$200,"Yes")/L47)*(SUMIFS(Evidence_Log!$O$2:$O$200,Evidence_Log!$B$2:$B$200,$B47,Evidence_Log!$E$2:$E$200,$E47,Evidence_Log!$V$2:$V$200,"Yes")/L47)*IF(J47&gt;=3,1.15,IF(J47=2,1,IF(J47=1,0.7,0)))*100,0)),"")</x:f>
      </x:c>
      <x:c r="I47" s="30" t="str">
        <x:f>IF(H47="","No data",IFS(H47&gt;=80,"High",H47&gt;=60,"Medium",H47&gt;=40,"Low",TRUE,"Needs review"))</x:f>
        <x:v>No data</x:v>
      </x:c>
      <x:c r="J47" s="30" t="n">
        <x:f>COUNTIFS(Evidence_Log!$B$2:$B$200,$B47,Evidence_Log!$E$2:$E$200,$E47,Evidence_Log!$V$2:$V$200,"Yes",Evidence_Log!$S$2:$S$200,"&lt;&gt;")</x:f>
        <x:v>0</x:v>
      </x:c>
      <x:c r="K47" s="30" t="n">
        <x:f>COUNTIFS(Evidence_Log!$B$2:$B$200,$B47,Evidence_Log!$E$2:$E$200,$E47,Evidence_Log!$V$2:$V$200,"Yes",Evidence_Log!$I$2:$I$200,"Tier 1")+COUNTIFS(Evidence_Log!$B$2:$B$200,$B47,Evidence_Log!$E$2:$E$200,$E47,Evidence_Log!$V$2:$V$200,"Yes",Evidence_Log!$I$2:$I$200,"Tier 2")</x:f>
        <x:v>0</x:v>
      </x:c>
      <x:c r="L47" s="30" t="n">
        <x:f>COUNTIFS(Evidence_Log!$B$2:$B$200,$B47,Evidence_Log!$E$2:$E$200,$E47,Evidence_Log!$V$2:$V$200,"Yes")</x:f>
        <x:v>0</x:v>
      </x:c>
      <x:c r="M47" s="30" t="str">
        <x:f>IF(L47=0,"No evidence",IF(H47&lt;60,"Needs review",IF(J47&lt;2,"Needs 2 independent sources",IF(K47&lt;1,"Needs Tier 1/2 source","Publishable"))))</x:f>
        <x:v>No evidence</x:v>
      </x:c>
      <x:c r="N47" s="30" t="str">
        <x:f>IFERROR("#"&amp;VLOOKUP(G47,Legend_Config!$A$2:$C$7,3,FALSE),"")</x:f>
        <x:v>#F2F2F2</x:v>
      </x:c>
      <x:c r="O47" s="30" t="n">
        <x:f>IF(I47="","",VLOOKUP(I47,Legend_Config!$F$2:$G$6,2,FALSE))</x:f>
        <x:v>0.15</x:v>
      </x:c>
      <x:c r="P47" s="30" t="n">
        <x:f>IFERROR(MAX(FILTER(Evidence_Log!$L$2:$L$200,Evidence_Log!$B$2:$B$200=$B47,Evidence_Log!$E$2:$E$200=$E47,Evidence_Log!$V$2:$V$200="Yes")),"")</x:f>
        <x:v>0</x:v>
      </x:c>
      <x:c r="Q47" s="30" t="str">
        <x:f>IF(L47=0,"No evidence logged",G47&amp;" / "&amp;I47&amp;" confidence ("&amp;H47&amp;"%) from "&amp;L47&amp;" evidence row(s), "&amp;J47&amp;" source row(s).")</x:f>
        <x:v>No evidence logged</x:v>
      </x:c>
    </x:row>
    <x:row r="48">
      <x:c r="A48" s="30" t="str">
        <x:f>IF(OR(B48="",E48=""),"",B48&amp;"|"&amp;E48)</x:f>
      </x:c>
      <x:c r="B48" s="30"/>
      <x:c r="C48" s="30"/>
      <x:c r="D48" s="30"/>
      <x:c r="E48" s="30"/>
      <x:c r="F48" s="30" t="str">
        <x:f>IFERROR(SUMIFS(Evidence_Log!$Q$2:$Q$200,Evidence_Log!$B$2:$B$200,$B48,Evidence_Log!$E$2:$E$200,$E48,Evidence_Log!$V$2:$V$200,"Yes")/SUMIFS(Evidence_Log!$P$2:$P$200,Evidence_Log!$B$2:$B$200,$B48,Evidence_Log!$E$2:$E$200,$E48,Evidence_Log!$V$2:$V$200,"Yes"),"")</x:f>
      </x:c>
      <x:c r="G48" s="30" t="str">
        <x:f>IF(L48=0,"",ROUND(F48,0))</x:f>
      </x:c>
      <x:c r="H48" s="30" t="str">
        <x:f>IFERROR(MIN(100,ROUND((SUMIFS(Evidence_Log!$N$2:$N$200,Evidence_Log!$B$2:$B$200,$B48,Evidence_Log!$E$2:$E$200,$E48,Evidence_Log!$V$2:$V$200,"Yes")/L48)*(SUMIFS(Evidence_Log!$O$2:$O$200,Evidence_Log!$B$2:$B$200,$B48,Evidence_Log!$E$2:$E$200,$E48,Evidence_Log!$V$2:$V$200,"Yes")/L48)*IF(J48&gt;=3,1.15,IF(J48=2,1,IF(J48=1,0.7,0)))*100,0)),"")</x:f>
      </x:c>
      <x:c r="I48" s="30" t="str">
        <x:f>IF(H48="","No data",IFS(H48&gt;=80,"High",H48&gt;=60,"Medium",H48&gt;=40,"Low",TRUE,"Needs review"))</x:f>
        <x:v>No data</x:v>
      </x:c>
      <x:c r="J48" s="30" t="n">
        <x:f>COUNTIFS(Evidence_Log!$B$2:$B$200,$B48,Evidence_Log!$E$2:$E$200,$E48,Evidence_Log!$V$2:$V$200,"Yes",Evidence_Log!$S$2:$S$200,"&lt;&gt;")</x:f>
        <x:v>0</x:v>
      </x:c>
      <x:c r="K48" s="30" t="n">
        <x:f>COUNTIFS(Evidence_Log!$B$2:$B$200,$B48,Evidence_Log!$E$2:$E$200,$E48,Evidence_Log!$V$2:$V$200,"Yes",Evidence_Log!$I$2:$I$200,"Tier 1")+COUNTIFS(Evidence_Log!$B$2:$B$200,$B48,Evidence_Log!$E$2:$E$200,$E48,Evidence_Log!$V$2:$V$200,"Yes",Evidence_Log!$I$2:$I$200,"Tier 2")</x:f>
        <x:v>0</x:v>
      </x:c>
      <x:c r="L48" s="30" t="n">
        <x:f>COUNTIFS(Evidence_Log!$B$2:$B$200,$B48,Evidence_Log!$E$2:$E$200,$E48,Evidence_Log!$V$2:$V$200,"Yes")</x:f>
        <x:v>0</x:v>
      </x:c>
      <x:c r="M48" s="30" t="str">
        <x:f>IF(L48=0,"No evidence",IF(H48&lt;60,"Needs review",IF(J48&lt;2,"Needs 2 independent sources",IF(K48&lt;1,"Needs Tier 1/2 source","Publishable"))))</x:f>
        <x:v>No evidence</x:v>
      </x:c>
      <x:c r="N48" s="30" t="str">
        <x:f>IFERROR("#"&amp;VLOOKUP(G48,Legend_Config!$A$2:$C$7,3,FALSE),"")</x:f>
        <x:v>#F2F2F2</x:v>
      </x:c>
      <x:c r="O48" s="30" t="n">
        <x:f>IF(I48="","",VLOOKUP(I48,Legend_Config!$F$2:$G$6,2,FALSE))</x:f>
        <x:v>0.15</x:v>
      </x:c>
      <x:c r="P48" s="30" t="n">
        <x:f>IFERROR(MAX(FILTER(Evidence_Log!$L$2:$L$200,Evidence_Log!$B$2:$B$200=$B48,Evidence_Log!$E$2:$E$200=$E48,Evidence_Log!$V$2:$V$200="Yes")),"")</x:f>
        <x:v>0</x:v>
      </x:c>
      <x:c r="Q48" s="30" t="str">
        <x:f>IF(L48=0,"No evidence logged",G48&amp;" / "&amp;I48&amp;" confidence ("&amp;H48&amp;"%) from "&amp;L48&amp;" evidence row(s), "&amp;J48&amp;" source row(s).")</x:f>
        <x:v>No evidence logged</x:v>
      </x:c>
    </x:row>
    <x:row r="49">
      <x:c r="A49" s="30" t="str">
        <x:f>IF(OR(B49="",E49=""),"",B49&amp;"|"&amp;E49)</x:f>
      </x:c>
      <x:c r="B49" s="30"/>
      <x:c r="C49" s="30"/>
      <x:c r="D49" s="30"/>
      <x:c r="E49" s="30"/>
      <x:c r="F49" s="30" t="str">
        <x:f>IFERROR(SUMIFS(Evidence_Log!$Q$2:$Q$200,Evidence_Log!$B$2:$B$200,$B49,Evidence_Log!$E$2:$E$200,$E49,Evidence_Log!$V$2:$V$200,"Yes")/SUMIFS(Evidence_Log!$P$2:$P$200,Evidence_Log!$B$2:$B$200,$B49,Evidence_Log!$E$2:$E$200,$E49,Evidence_Log!$V$2:$V$200,"Yes"),"")</x:f>
      </x:c>
      <x:c r="G49" s="30" t="str">
        <x:f>IF(L49=0,"",ROUND(F49,0))</x:f>
      </x:c>
      <x:c r="H49" s="30" t="str">
        <x:f>IFERROR(MIN(100,ROUND((SUMIFS(Evidence_Log!$N$2:$N$200,Evidence_Log!$B$2:$B$200,$B49,Evidence_Log!$E$2:$E$200,$E49,Evidence_Log!$V$2:$V$200,"Yes")/L49)*(SUMIFS(Evidence_Log!$O$2:$O$200,Evidence_Log!$B$2:$B$200,$B49,Evidence_Log!$E$2:$E$200,$E49,Evidence_Log!$V$2:$V$200,"Yes")/L49)*IF(J49&gt;=3,1.15,IF(J49=2,1,IF(J49=1,0.7,0)))*100,0)),"")</x:f>
      </x:c>
      <x:c r="I49" s="30" t="str">
        <x:f>IF(H49="","No data",IFS(H49&gt;=80,"High",H49&gt;=60,"Medium",H49&gt;=40,"Low",TRUE,"Needs review"))</x:f>
        <x:v>No data</x:v>
      </x:c>
      <x:c r="J49" s="30" t="n">
        <x:f>COUNTIFS(Evidence_Log!$B$2:$B$200,$B49,Evidence_Log!$E$2:$E$200,$E49,Evidence_Log!$V$2:$V$200,"Yes",Evidence_Log!$S$2:$S$200,"&lt;&gt;")</x:f>
        <x:v>0</x:v>
      </x:c>
      <x:c r="K49" s="30" t="n">
        <x:f>COUNTIFS(Evidence_Log!$B$2:$B$200,$B49,Evidence_Log!$E$2:$E$200,$E49,Evidence_Log!$V$2:$V$200,"Yes",Evidence_Log!$I$2:$I$200,"Tier 1")+COUNTIFS(Evidence_Log!$B$2:$B$200,$B49,Evidence_Log!$E$2:$E$200,$E49,Evidence_Log!$V$2:$V$200,"Yes",Evidence_Log!$I$2:$I$200,"Tier 2")</x:f>
        <x:v>0</x:v>
      </x:c>
      <x:c r="L49" s="30" t="n">
        <x:f>COUNTIFS(Evidence_Log!$B$2:$B$200,$B49,Evidence_Log!$E$2:$E$200,$E49,Evidence_Log!$V$2:$V$200,"Yes")</x:f>
        <x:v>0</x:v>
      </x:c>
      <x:c r="M49" s="30" t="str">
        <x:f>IF(L49=0,"No evidence",IF(H49&lt;60,"Needs review",IF(J49&lt;2,"Needs 2 independent sources",IF(K49&lt;1,"Needs Tier 1/2 source","Publishable"))))</x:f>
        <x:v>No evidence</x:v>
      </x:c>
      <x:c r="N49" s="30" t="str">
        <x:f>IFERROR("#"&amp;VLOOKUP(G49,Legend_Config!$A$2:$C$7,3,FALSE),"")</x:f>
        <x:v>#F2F2F2</x:v>
      </x:c>
      <x:c r="O49" s="30" t="n">
        <x:f>IF(I49="","",VLOOKUP(I49,Legend_Config!$F$2:$G$6,2,FALSE))</x:f>
        <x:v>0.15</x:v>
      </x:c>
      <x:c r="P49" s="30" t="n">
        <x:f>IFERROR(MAX(FILTER(Evidence_Log!$L$2:$L$200,Evidence_Log!$B$2:$B$200=$B49,Evidence_Log!$E$2:$E$200=$E49,Evidence_Log!$V$2:$V$200="Yes")),"")</x:f>
        <x:v>0</x:v>
      </x:c>
      <x:c r="Q49" s="30" t="str">
        <x:f>IF(L49=0,"No evidence logged",G49&amp;" / "&amp;I49&amp;" confidence ("&amp;H49&amp;"%) from "&amp;L49&amp;" evidence row(s), "&amp;J49&amp;" source row(s).")</x:f>
        <x:v>No evidence logged</x:v>
      </x:c>
    </x:row>
    <x:row r="50">
      <x:c r="A50" s="30" t="str">
        <x:f>IF(OR(B50="",E50=""),"",B50&amp;"|"&amp;E50)</x:f>
      </x:c>
      <x:c r="B50" s="30"/>
      <x:c r="C50" s="30"/>
      <x:c r="D50" s="30"/>
      <x:c r="E50" s="30"/>
      <x:c r="F50" s="30" t="str">
        <x:f>IFERROR(SUMIFS(Evidence_Log!$Q$2:$Q$200,Evidence_Log!$B$2:$B$200,$B50,Evidence_Log!$E$2:$E$200,$E50,Evidence_Log!$V$2:$V$200,"Yes")/SUMIFS(Evidence_Log!$P$2:$P$200,Evidence_Log!$B$2:$B$200,$B50,Evidence_Log!$E$2:$E$200,$E50,Evidence_Log!$V$2:$V$200,"Yes"),"")</x:f>
      </x:c>
      <x:c r="G50" s="30" t="str">
        <x:f>IF(L50=0,"",ROUND(F50,0))</x:f>
      </x:c>
      <x:c r="H50" s="30" t="str">
        <x:f>IFERROR(MIN(100,ROUND((SUMIFS(Evidence_Log!$N$2:$N$200,Evidence_Log!$B$2:$B$200,$B50,Evidence_Log!$E$2:$E$200,$E50,Evidence_Log!$V$2:$V$200,"Yes")/L50)*(SUMIFS(Evidence_Log!$O$2:$O$200,Evidence_Log!$B$2:$B$200,$B50,Evidence_Log!$E$2:$E$200,$E50,Evidence_Log!$V$2:$V$200,"Yes")/L50)*IF(J50&gt;=3,1.15,IF(J50=2,1,IF(J50=1,0.7,0)))*100,0)),"")</x:f>
      </x:c>
      <x:c r="I50" s="30" t="str">
        <x:f>IF(H50="","No data",IFS(H50&gt;=80,"High",H50&gt;=60,"Medium",H50&gt;=40,"Low",TRUE,"Needs review"))</x:f>
        <x:v>No data</x:v>
      </x:c>
      <x:c r="J50" s="30" t="n">
        <x:f>COUNTIFS(Evidence_Log!$B$2:$B$200,$B50,Evidence_Log!$E$2:$E$200,$E50,Evidence_Log!$V$2:$V$200,"Yes",Evidence_Log!$S$2:$S$200,"&lt;&gt;")</x:f>
        <x:v>0</x:v>
      </x:c>
      <x:c r="K50" s="30" t="n">
        <x:f>COUNTIFS(Evidence_Log!$B$2:$B$200,$B50,Evidence_Log!$E$2:$E$200,$E50,Evidence_Log!$V$2:$V$200,"Yes",Evidence_Log!$I$2:$I$200,"Tier 1")+COUNTIFS(Evidence_Log!$B$2:$B$200,$B50,Evidence_Log!$E$2:$E$200,$E50,Evidence_Log!$V$2:$V$200,"Yes",Evidence_Log!$I$2:$I$200,"Tier 2")</x:f>
        <x:v>0</x:v>
      </x:c>
      <x:c r="L50" s="30" t="n">
        <x:f>COUNTIFS(Evidence_Log!$B$2:$B$200,$B50,Evidence_Log!$E$2:$E$200,$E50,Evidence_Log!$V$2:$V$200,"Yes")</x:f>
        <x:v>0</x:v>
      </x:c>
      <x:c r="M50" s="30" t="str">
        <x:f>IF(L50=0,"No evidence",IF(H50&lt;60,"Needs review",IF(J50&lt;2,"Needs 2 independent sources",IF(K50&lt;1,"Needs Tier 1/2 source","Publishable"))))</x:f>
        <x:v>No evidence</x:v>
      </x:c>
      <x:c r="N50" s="30" t="str">
        <x:f>IFERROR("#"&amp;VLOOKUP(G50,Legend_Config!$A$2:$C$7,3,FALSE),"")</x:f>
        <x:v>#F2F2F2</x:v>
      </x:c>
      <x:c r="O50" s="30" t="n">
        <x:f>IF(I50="","",VLOOKUP(I50,Legend_Config!$F$2:$G$6,2,FALSE))</x:f>
        <x:v>0.15</x:v>
      </x:c>
      <x:c r="P50" s="30" t="n">
        <x:f>IFERROR(MAX(FILTER(Evidence_Log!$L$2:$L$200,Evidence_Log!$B$2:$B$200=$B50,Evidence_Log!$E$2:$E$200=$E50,Evidence_Log!$V$2:$V$200="Yes")),"")</x:f>
        <x:v>0</x:v>
      </x:c>
      <x:c r="Q50" s="30" t="str">
        <x:f>IF(L50=0,"No evidence logged",G50&amp;" / "&amp;I50&amp;" confidence ("&amp;H50&amp;"%) from "&amp;L50&amp;" evidence row(s), "&amp;J50&amp;" source row(s).")</x:f>
        <x:v>No evidence logged</x:v>
      </x:c>
    </x:row>
    <x:row r="51">
      <x:c r="A51" s="30" t="str">
        <x:f>IF(OR(B51="",E51=""),"",B51&amp;"|"&amp;E51)</x:f>
      </x:c>
      <x:c r="B51" s="30"/>
      <x:c r="C51" s="30"/>
      <x:c r="D51" s="30"/>
      <x:c r="E51" s="30"/>
      <x:c r="F51" s="30" t="str">
        <x:f>IFERROR(SUMIFS(Evidence_Log!$Q$2:$Q$200,Evidence_Log!$B$2:$B$200,$B51,Evidence_Log!$E$2:$E$200,$E51,Evidence_Log!$V$2:$V$200,"Yes")/SUMIFS(Evidence_Log!$P$2:$P$200,Evidence_Log!$B$2:$B$200,$B51,Evidence_Log!$E$2:$E$200,$E51,Evidence_Log!$V$2:$V$200,"Yes"),"")</x:f>
      </x:c>
      <x:c r="G51" s="30" t="str">
        <x:f>IF(L51=0,"",ROUND(F51,0))</x:f>
      </x:c>
      <x:c r="H51" s="30" t="str">
        <x:f>IFERROR(MIN(100,ROUND((SUMIFS(Evidence_Log!$N$2:$N$200,Evidence_Log!$B$2:$B$200,$B51,Evidence_Log!$E$2:$E$200,$E51,Evidence_Log!$V$2:$V$200,"Yes")/L51)*(SUMIFS(Evidence_Log!$O$2:$O$200,Evidence_Log!$B$2:$B$200,$B51,Evidence_Log!$E$2:$E$200,$E51,Evidence_Log!$V$2:$V$200,"Yes")/L51)*IF(J51&gt;=3,1.15,IF(J51=2,1,IF(J51=1,0.7,0)))*100,0)),"")</x:f>
      </x:c>
      <x:c r="I51" s="30" t="str">
        <x:f>IF(H51="","No data",IFS(H51&gt;=80,"High",H51&gt;=60,"Medium",H51&gt;=40,"Low",TRUE,"Needs review"))</x:f>
        <x:v>No data</x:v>
      </x:c>
      <x:c r="J51" s="30" t="n">
        <x:f>COUNTIFS(Evidence_Log!$B$2:$B$200,$B51,Evidence_Log!$E$2:$E$200,$E51,Evidence_Log!$V$2:$V$200,"Yes",Evidence_Log!$S$2:$S$200,"&lt;&gt;")</x:f>
        <x:v>0</x:v>
      </x:c>
      <x:c r="K51" s="30" t="n">
        <x:f>COUNTIFS(Evidence_Log!$B$2:$B$200,$B51,Evidence_Log!$E$2:$E$200,$E51,Evidence_Log!$V$2:$V$200,"Yes",Evidence_Log!$I$2:$I$200,"Tier 1")+COUNTIFS(Evidence_Log!$B$2:$B$200,$B51,Evidence_Log!$E$2:$E$200,$E51,Evidence_Log!$V$2:$V$200,"Yes",Evidence_Log!$I$2:$I$200,"Tier 2")</x:f>
        <x:v>0</x:v>
      </x:c>
      <x:c r="L51" s="30" t="n">
        <x:f>COUNTIFS(Evidence_Log!$B$2:$B$200,$B51,Evidence_Log!$E$2:$E$200,$E51,Evidence_Log!$V$2:$V$200,"Yes")</x:f>
        <x:v>0</x:v>
      </x:c>
      <x:c r="M51" s="30" t="str">
        <x:f>IF(L51=0,"No evidence",IF(H51&lt;60,"Needs review",IF(J51&lt;2,"Needs 2 independent sources",IF(K51&lt;1,"Needs Tier 1/2 source","Publishable"))))</x:f>
        <x:v>No evidence</x:v>
      </x:c>
      <x:c r="N51" s="30" t="str">
        <x:f>IFERROR("#"&amp;VLOOKUP(G51,Legend_Config!$A$2:$C$7,3,FALSE),"")</x:f>
        <x:v>#F2F2F2</x:v>
      </x:c>
      <x:c r="O51" s="30" t="n">
        <x:f>IF(I51="","",VLOOKUP(I51,Legend_Config!$F$2:$G$6,2,FALSE))</x:f>
        <x:v>0.15</x:v>
      </x:c>
      <x:c r="P51" s="30" t="n">
        <x:f>IFERROR(MAX(FILTER(Evidence_Log!$L$2:$L$200,Evidence_Log!$B$2:$B$200=$B51,Evidence_Log!$E$2:$E$200=$E51,Evidence_Log!$V$2:$V$200="Yes")),"")</x:f>
        <x:v>0</x:v>
      </x:c>
      <x:c r="Q51" s="30" t="str">
        <x:f>IF(L51=0,"No evidence logged",G51&amp;" / "&amp;I51&amp;" confidence ("&amp;H51&amp;"%) from "&amp;L51&amp;" evidence row(s), "&amp;J51&amp;" source row(s).")</x:f>
        <x:v>No evidence logged</x:v>
      </x:c>
    </x:row>
    <x:row r="52">
      <x:c r="A52" s="30" t="str">
        <x:f>IF(OR(B52="",E52=""),"",B52&amp;"|"&amp;E52)</x:f>
      </x:c>
      <x:c r="B52" s="30"/>
      <x:c r="C52" s="30"/>
      <x:c r="D52" s="30"/>
      <x:c r="E52" s="30"/>
      <x:c r="F52" s="30" t="str">
        <x:f>IFERROR(SUMIFS(Evidence_Log!$Q$2:$Q$200,Evidence_Log!$B$2:$B$200,$B52,Evidence_Log!$E$2:$E$200,$E52,Evidence_Log!$V$2:$V$200,"Yes")/SUMIFS(Evidence_Log!$P$2:$P$200,Evidence_Log!$B$2:$B$200,$B52,Evidence_Log!$E$2:$E$200,$E52,Evidence_Log!$V$2:$V$200,"Yes"),"")</x:f>
      </x:c>
      <x:c r="G52" s="30" t="str">
        <x:f>IF(L52=0,"",ROUND(F52,0))</x:f>
      </x:c>
      <x:c r="H52" s="30" t="str">
        <x:f>IFERROR(MIN(100,ROUND((SUMIFS(Evidence_Log!$N$2:$N$200,Evidence_Log!$B$2:$B$200,$B52,Evidence_Log!$E$2:$E$200,$E52,Evidence_Log!$V$2:$V$200,"Yes")/L52)*(SUMIFS(Evidence_Log!$O$2:$O$200,Evidence_Log!$B$2:$B$200,$B52,Evidence_Log!$E$2:$E$200,$E52,Evidence_Log!$V$2:$V$200,"Yes")/L52)*IF(J52&gt;=3,1.15,IF(J52=2,1,IF(J52=1,0.7,0)))*100,0)),"")</x:f>
      </x:c>
      <x:c r="I52" s="30" t="str">
        <x:f>IF(H52="","No data",IFS(H52&gt;=80,"High",H52&gt;=60,"Medium",H52&gt;=40,"Low",TRUE,"Needs review"))</x:f>
        <x:v>No data</x:v>
      </x:c>
      <x:c r="J52" s="30" t="n">
        <x:f>COUNTIFS(Evidence_Log!$B$2:$B$200,$B52,Evidence_Log!$E$2:$E$200,$E52,Evidence_Log!$V$2:$V$200,"Yes",Evidence_Log!$S$2:$S$200,"&lt;&gt;")</x:f>
        <x:v>0</x:v>
      </x:c>
      <x:c r="K52" s="30" t="n">
        <x:f>COUNTIFS(Evidence_Log!$B$2:$B$200,$B52,Evidence_Log!$E$2:$E$200,$E52,Evidence_Log!$V$2:$V$200,"Yes",Evidence_Log!$I$2:$I$200,"Tier 1")+COUNTIFS(Evidence_Log!$B$2:$B$200,$B52,Evidence_Log!$E$2:$E$200,$E52,Evidence_Log!$V$2:$V$200,"Yes",Evidence_Log!$I$2:$I$200,"Tier 2")</x:f>
        <x:v>0</x:v>
      </x:c>
      <x:c r="L52" s="30" t="n">
        <x:f>COUNTIFS(Evidence_Log!$B$2:$B$200,$B52,Evidence_Log!$E$2:$E$200,$E52,Evidence_Log!$V$2:$V$200,"Yes")</x:f>
        <x:v>0</x:v>
      </x:c>
      <x:c r="M52" s="30" t="str">
        <x:f>IF(L52=0,"No evidence",IF(H52&lt;60,"Needs review",IF(J52&lt;2,"Needs 2 independent sources",IF(K52&lt;1,"Needs Tier 1/2 source","Publishable"))))</x:f>
        <x:v>No evidence</x:v>
      </x:c>
      <x:c r="N52" s="30" t="str">
        <x:f>IFERROR("#"&amp;VLOOKUP(G52,Legend_Config!$A$2:$C$7,3,FALSE),"")</x:f>
        <x:v>#F2F2F2</x:v>
      </x:c>
      <x:c r="O52" s="30" t="n">
        <x:f>IF(I52="","",VLOOKUP(I52,Legend_Config!$F$2:$G$6,2,FALSE))</x:f>
        <x:v>0.15</x:v>
      </x:c>
      <x:c r="P52" s="30" t="n">
        <x:f>IFERROR(MAX(FILTER(Evidence_Log!$L$2:$L$200,Evidence_Log!$B$2:$B$200=$B52,Evidence_Log!$E$2:$E$200=$E52,Evidence_Log!$V$2:$V$200="Yes")),"")</x:f>
        <x:v>0</x:v>
      </x:c>
      <x:c r="Q52" s="30" t="str">
        <x:f>IF(L52=0,"No evidence logged",G52&amp;" / "&amp;I52&amp;" confidence ("&amp;H52&amp;"%) from "&amp;L52&amp;" evidence row(s), "&amp;J52&amp;" source row(s).")</x:f>
        <x:v>No evidence logged</x:v>
      </x:c>
    </x:row>
    <x:row r="53">
      <x:c r="A53" s="30" t="str">
        <x:f>IF(OR(B53="",E53=""),"",B53&amp;"|"&amp;E53)</x:f>
      </x:c>
      <x:c r="B53" s="30"/>
      <x:c r="C53" s="30"/>
      <x:c r="D53" s="30"/>
      <x:c r="E53" s="30"/>
      <x:c r="F53" s="30" t="str">
        <x:f>IFERROR(SUMIFS(Evidence_Log!$Q$2:$Q$200,Evidence_Log!$B$2:$B$200,$B53,Evidence_Log!$E$2:$E$200,$E53,Evidence_Log!$V$2:$V$200,"Yes")/SUMIFS(Evidence_Log!$P$2:$P$200,Evidence_Log!$B$2:$B$200,$B53,Evidence_Log!$E$2:$E$200,$E53,Evidence_Log!$V$2:$V$200,"Yes"),"")</x:f>
      </x:c>
      <x:c r="G53" s="30" t="str">
        <x:f>IF(L53=0,"",ROUND(F53,0))</x:f>
      </x:c>
      <x:c r="H53" s="30" t="str">
        <x:f>IFERROR(MIN(100,ROUND((SUMIFS(Evidence_Log!$N$2:$N$200,Evidence_Log!$B$2:$B$200,$B53,Evidence_Log!$E$2:$E$200,$E53,Evidence_Log!$V$2:$V$200,"Yes")/L53)*(SUMIFS(Evidence_Log!$O$2:$O$200,Evidence_Log!$B$2:$B$200,$B53,Evidence_Log!$E$2:$E$200,$E53,Evidence_Log!$V$2:$V$200,"Yes")/L53)*IF(J53&gt;=3,1.15,IF(J53=2,1,IF(J53=1,0.7,0)))*100,0)),"")</x:f>
      </x:c>
      <x:c r="I53" s="30" t="str">
        <x:f>IF(H53="","No data",IFS(H53&gt;=80,"High",H53&gt;=60,"Medium",H53&gt;=40,"Low",TRUE,"Needs review"))</x:f>
        <x:v>No data</x:v>
      </x:c>
      <x:c r="J53" s="30" t="n">
        <x:f>COUNTIFS(Evidence_Log!$B$2:$B$200,$B53,Evidence_Log!$E$2:$E$200,$E53,Evidence_Log!$V$2:$V$200,"Yes",Evidence_Log!$S$2:$S$200,"&lt;&gt;")</x:f>
        <x:v>0</x:v>
      </x:c>
      <x:c r="K53" s="30" t="n">
        <x:f>COUNTIFS(Evidence_Log!$B$2:$B$200,$B53,Evidence_Log!$E$2:$E$200,$E53,Evidence_Log!$V$2:$V$200,"Yes",Evidence_Log!$I$2:$I$200,"Tier 1")+COUNTIFS(Evidence_Log!$B$2:$B$200,$B53,Evidence_Log!$E$2:$E$200,$E53,Evidence_Log!$V$2:$V$200,"Yes",Evidence_Log!$I$2:$I$200,"Tier 2")</x:f>
        <x:v>0</x:v>
      </x:c>
      <x:c r="L53" s="30" t="n">
        <x:f>COUNTIFS(Evidence_Log!$B$2:$B$200,$B53,Evidence_Log!$E$2:$E$200,$E53,Evidence_Log!$V$2:$V$200,"Yes")</x:f>
        <x:v>0</x:v>
      </x:c>
      <x:c r="M53" s="30" t="str">
        <x:f>IF(L53=0,"No evidence",IF(H53&lt;60,"Needs review",IF(J53&lt;2,"Needs 2 independent sources",IF(K53&lt;1,"Needs Tier 1/2 source","Publishable"))))</x:f>
        <x:v>No evidence</x:v>
      </x:c>
      <x:c r="N53" s="30" t="str">
        <x:f>IFERROR("#"&amp;VLOOKUP(G53,Legend_Config!$A$2:$C$7,3,FALSE),"")</x:f>
        <x:v>#F2F2F2</x:v>
      </x:c>
      <x:c r="O53" s="30" t="n">
        <x:f>IF(I53="","",VLOOKUP(I53,Legend_Config!$F$2:$G$6,2,FALSE))</x:f>
        <x:v>0.15</x:v>
      </x:c>
      <x:c r="P53" s="30" t="n">
        <x:f>IFERROR(MAX(FILTER(Evidence_Log!$L$2:$L$200,Evidence_Log!$B$2:$B$200=$B53,Evidence_Log!$E$2:$E$200=$E53,Evidence_Log!$V$2:$V$200="Yes")),"")</x:f>
        <x:v>0</x:v>
      </x:c>
      <x:c r="Q53" s="30" t="str">
        <x:f>IF(L53=0,"No evidence logged",G53&amp;" / "&amp;I53&amp;" confidence ("&amp;H53&amp;"%) from "&amp;L53&amp;" evidence row(s), "&amp;J53&amp;" source row(s).")</x:f>
        <x:v>No evidence logged</x:v>
      </x:c>
    </x:row>
    <x:row r="54">
      <x:c r="A54" s="30" t="str">
        <x:f>IF(OR(B54="",E54=""),"",B54&amp;"|"&amp;E54)</x:f>
      </x:c>
      <x:c r="B54" s="30"/>
      <x:c r="C54" s="30"/>
      <x:c r="D54" s="30"/>
      <x:c r="E54" s="30"/>
      <x:c r="F54" s="30" t="str">
        <x:f>IFERROR(SUMIFS(Evidence_Log!$Q$2:$Q$200,Evidence_Log!$B$2:$B$200,$B54,Evidence_Log!$E$2:$E$200,$E54,Evidence_Log!$V$2:$V$200,"Yes")/SUMIFS(Evidence_Log!$P$2:$P$200,Evidence_Log!$B$2:$B$200,$B54,Evidence_Log!$E$2:$E$200,$E54,Evidence_Log!$V$2:$V$200,"Yes"),"")</x:f>
      </x:c>
      <x:c r="G54" s="30" t="str">
        <x:f>IF(L54=0,"",ROUND(F54,0))</x:f>
      </x:c>
      <x:c r="H54" s="30" t="str">
        <x:f>IFERROR(MIN(100,ROUND((SUMIFS(Evidence_Log!$N$2:$N$200,Evidence_Log!$B$2:$B$200,$B54,Evidence_Log!$E$2:$E$200,$E54,Evidence_Log!$V$2:$V$200,"Yes")/L54)*(SUMIFS(Evidence_Log!$O$2:$O$200,Evidence_Log!$B$2:$B$200,$B54,Evidence_Log!$E$2:$E$200,$E54,Evidence_Log!$V$2:$V$200,"Yes")/L54)*IF(J54&gt;=3,1.15,IF(J54=2,1,IF(J54=1,0.7,0)))*100,0)),"")</x:f>
      </x:c>
      <x:c r="I54" s="30" t="str">
        <x:f>IF(H54="","No data",IFS(H54&gt;=80,"High",H54&gt;=60,"Medium",H54&gt;=40,"Low",TRUE,"Needs review"))</x:f>
        <x:v>No data</x:v>
      </x:c>
      <x:c r="J54" s="30" t="n">
        <x:f>COUNTIFS(Evidence_Log!$B$2:$B$200,$B54,Evidence_Log!$E$2:$E$200,$E54,Evidence_Log!$V$2:$V$200,"Yes",Evidence_Log!$S$2:$S$200,"&lt;&gt;")</x:f>
        <x:v>0</x:v>
      </x:c>
      <x:c r="K54" s="30" t="n">
        <x:f>COUNTIFS(Evidence_Log!$B$2:$B$200,$B54,Evidence_Log!$E$2:$E$200,$E54,Evidence_Log!$V$2:$V$200,"Yes",Evidence_Log!$I$2:$I$200,"Tier 1")+COUNTIFS(Evidence_Log!$B$2:$B$200,$B54,Evidence_Log!$E$2:$E$200,$E54,Evidence_Log!$V$2:$V$200,"Yes",Evidence_Log!$I$2:$I$200,"Tier 2")</x:f>
        <x:v>0</x:v>
      </x:c>
      <x:c r="L54" s="30" t="n">
        <x:f>COUNTIFS(Evidence_Log!$B$2:$B$200,$B54,Evidence_Log!$E$2:$E$200,$E54,Evidence_Log!$V$2:$V$200,"Yes")</x:f>
        <x:v>0</x:v>
      </x:c>
      <x:c r="M54" s="30" t="str">
        <x:f>IF(L54=0,"No evidence",IF(H54&lt;60,"Needs review",IF(J54&lt;2,"Needs 2 independent sources",IF(K54&lt;1,"Needs Tier 1/2 source","Publishable"))))</x:f>
        <x:v>No evidence</x:v>
      </x:c>
      <x:c r="N54" s="30" t="str">
        <x:f>IFERROR("#"&amp;VLOOKUP(G54,Legend_Config!$A$2:$C$7,3,FALSE),"")</x:f>
        <x:v>#F2F2F2</x:v>
      </x:c>
      <x:c r="O54" s="30" t="n">
        <x:f>IF(I54="","",VLOOKUP(I54,Legend_Config!$F$2:$G$6,2,FALSE))</x:f>
        <x:v>0.15</x:v>
      </x:c>
      <x:c r="P54" s="30" t="n">
        <x:f>IFERROR(MAX(FILTER(Evidence_Log!$L$2:$L$200,Evidence_Log!$B$2:$B$200=$B54,Evidence_Log!$E$2:$E$200=$E54,Evidence_Log!$V$2:$V$200="Yes")),"")</x:f>
        <x:v>0</x:v>
      </x:c>
      <x:c r="Q54" s="30" t="str">
        <x:f>IF(L54=0,"No evidence logged",G54&amp;" / "&amp;I54&amp;" confidence ("&amp;H54&amp;"%) from "&amp;L54&amp;" evidence row(s), "&amp;J54&amp;" source row(s).")</x:f>
        <x:v>No evidence logged</x:v>
      </x:c>
    </x:row>
    <x:row r="55">
      <x:c r="A55" s="30" t="str">
        <x:f>IF(OR(B55="",E55=""),"",B55&amp;"|"&amp;E55)</x:f>
      </x:c>
      <x:c r="B55" s="30"/>
      <x:c r="C55" s="30"/>
      <x:c r="D55" s="30"/>
      <x:c r="E55" s="30"/>
      <x:c r="F55" s="30" t="str">
        <x:f>IFERROR(SUMIFS(Evidence_Log!$Q$2:$Q$200,Evidence_Log!$B$2:$B$200,$B55,Evidence_Log!$E$2:$E$200,$E55,Evidence_Log!$V$2:$V$200,"Yes")/SUMIFS(Evidence_Log!$P$2:$P$200,Evidence_Log!$B$2:$B$200,$B55,Evidence_Log!$E$2:$E$200,$E55,Evidence_Log!$V$2:$V$200,"Yes"),"")</x:f>
      </x:c>
      <x:c r="G55" s="30" t="str">
        <x:f>IF(L55=0,"",ROUND(F55,0))</x:f>
      </x:c>
      <x:c r="H55" s="30" t="str">
        <x:f>IFERROR(MIN(100,ROUND((SUMIFS(Evidence_Log!$N$2:$N$200,Evidence_Log!$B$2:$B$200,$B55,Evidence_Log!$E$2:$E$200,$E55,Evidence_Log!$V$2:$V$200,"Yes")/L55)*(SUMIFS(Evidence_Log!$O$2:$O$200,Evidence_Log!$B$2:$B$200,$B55,Evidence_Log!$E$2:$E$200,$E55,Evidence_Log!$V$2:$V$200,"Yes")/L55)*IF(J55&gt;=3,1.15,IF(J55=2,1,IF(J55=1,0.7,0)))*100,0)),"")</x:f>
      </x:c>
      <x:c r="I55" s="30" t="str">
        <x:f>IF(H55="","No data",IFS(H55&gt;=80,"High",H55&gt;=60,"Medium",H55&gt;=40,"Low",TRUE,"Needs review"))</x:f>
        <x:v>No data</x:v>
      </x:c>
      <x:c r="J55" s="30" t="n">
        <x:f>COUNTIFS(Evidence_Log!$B$2:$B$200,$B55,Evidence_Log!$E$2:$E$200,$E55,Evidence_Log!$V$2:$V$200,"Yes",Evidence_Log!$S$2:$S$200,"&lt;&gt;")</x:f>
        <x:v>0</x:v>
      </x:c>
      <x:c r="K55" s="30" t="n">
        <x:f>COUNTIFS(Evidence_Log!$B$2:$B$200,$B55,Evidence_Log!$E$2:$E$200,$E55,Evidence_Log!$V$2:$V$200,"Yes",Evidence_Log!$I$2:$I$200,"Tier 1")+COUNTIFS(Evidence_Log!$B$2:$B$200,$B55,Evidence_Log!$E$2:$E$200,$E55,Evidence_Log!$V$2:$V$200,"Yes",Evidence_Log!$I$2:$I$200,"Tier 2")</x:f>
        <x:v>0</x:v>
      </x:c>
      <x:c r="L55" s="30" t="n">
        <x:f>COUNTIFS(Evidence_Log!$B$2:$B$200,$B55,Evidence_Log!$E$2:$E$200,$E55,Evidence_Log!$V$2:$V$200,"Yes")</x:f>
        <x:v>0</x:v>
      </x:c>
      <x:c r="M55" s="30" t="str">
        <x:f>IF(L55=0,"No evidence",IF(H55&lt;60,"Needs review",IF(J55&lt;2,"Needs 2 independent sources",IF(K55&lt;1,"Needs Tier 1/2 source","Publishable"))))</x:f>
        <x:v>No evidence</x:v>
      </x:c>
      <x:c r="N55" s="30" t="str">
        <x:f>IFERROR("#"&amp;VLOOKUP(G55,Legend_Config!$A$2:$C$7,3,FALSE),"")</x:f>
        <x:v>#F2F2F2</x:v>
      </x:c>
      <x:c r="O55" s="30" t="n">
        <x:f>IF(I55="","",VLOOKUP(I55,Legend_Config!$F$2:$G$6,2,FALSE))</x:f>
        <x:v>0.15</x:v>
      </x:c>
      <x:c r="P55" s="30" t="n">
        <x:f>IFERROR(MAX(FILTER(Evidence_Log!$L$2:$L$200,Evidence_Log!$B$2:$B$200=$B55,Evidence_Log!$E$2:$E$200=$E55,Evidence_Log!$V$2:$V$200="Yes")),"")</x:f>
        <x:v>0</x:v>
      </x:c>
      <x:c r="Q55" s="30" t="str">
        <x:f>IF(L55=0,"No evidence logged",G55&amp;" / "&amp;I55&amp;" confidence ("&amp;H55&amp;"%) from "&amp;L55&amp;" evidence row(s), "&amp;J55&amp;" source row(s).")</x:f>
        <x:v>No evidence logged</x:v>
      </x:c>
    </x:row>
    <x:row r="56">
      <x:c r="A56" s="30" t="str">
        <x:f>IF(OR(B56="",E56=""),"",B56&amp;"|"&amp;E56)</x:f>
      </x:c>
      <x:c r="B56" s="30"/>
      <x:c r="C56" s="30"/>
      <x:c r="D56" s="30"/>
      <x:c r="E56" s="30"/>
      <x:c r="F56" s="30" t="str">
        <x:f>IFERROR(SUMIFS(Evidence_Log!$Q$2:$Q$200,Evidence_Log!$B$2:$B$200,$B56,Evidence_Log!$E$2:$E$200,$E56,Evidence_Log!$V$2:$V$200,"Yes")/SUMIFS(Evidence_Log!$P$2:$P$200,Evidence_Log!$B$2:$B$200,$B56,Evidence_Log!$E$2:$E$200,$E56,Evidence_Log!$V$2:$V$200,"Yes"),"")</x:f>
      </x:c>
      <x:c r="G56" s="30" t="str">
        <x:f>IF(L56=0,"",ROUND(F56,0))</x:f>
      </x:c>
      <x:c r="H56" s="30" t="str">
        <x:f>IFERROR(MIN(100,ROUND((SUMIFS(Evidence_Log!$N$2:$N$200,Evidence_Log!$B$2:$B$200,$B56,Evidence_Log!$E$2:$E$200,$E56,Evidence_Log!$V$2:$V$200,"Yes")/L56)*(SUMIFS(Evidence_Log!$O$2:$O$200,Evidence_Log!$B$2:$B$200,$B56,Evidence_Log!$E$2:$E$200,$E56,Evidence_Log!$V$2:$V$200,"Yes")/L56)*IF(J56&gt;=3,1.15,IF(J56=2,1,IF(J56=1,0.7,0)))*100,0)),"")</x:f>
      </x:c>
      <x:c r="I56" s="30" t="str">
        <x:f>IF(H56="","No data",IFS(H56&gt;=80,"High",H56&gt;=60,"Medium",H56&gt;=40,"Low",TRUE,"Needs review"))</x:f>
        <x:v>No data</x:v>
      </x:c>
      <x:c r="J56" s="30" t="n">
        <x:f>COUNTIFS(Evidence_Log!$B$2:$B$200,$B56,Evidence_Log!$E$2:$E$200,$E56,Evidence_Log!$V$2:$V$200,"Yes",Evidence_Log!$S$2:$S$200,"&lt;&gt;")</x:f>
        <x:v>0</x:v>
      </x:c>
      <x:c r="K56" s="30" t="n">
        <x:f>COUNTIFS(Evidence_Log!$B$2:$B$200,$B56,Evidence_Log!$E$2:$E$200,$E56,Evidence_Log!$V$2:$V$200,"Yes",Evidence_Log!$I$2:$I$200,"Tier 1")+COUNTIFS(Evidence_Log!$B$2:$B$200,$B56,Evidence_Log!$E$2:$E$200,$E56,Evidence_Log!$V$2:$V$200,"Yes",Evidence_Log!$I$2:$I$200,"Tier 2")</x:f>
        <x:v>0</x:v>
      </x:c>
      <x:c r="L56" s="30" t="n">
        <x:f>COUNTIFS(Evidence_Log!$B$2:$B$200,$B56,Evidence_Log!$E$2:$E$200,$E56,Evidence_Log!$V$2:$V$200,"Yes")</x:f>
        <x:v>0</x:v>
      </x:c>
      <x:c r="M56" s="30" t="str">
        <x:f>IF(L56=0,"No evidence",IF(H56&lt;60,"Needs review",IF(J56&lt;2,"Needs 2 independent sources",IF(K56&lt;1,"Needs Tier 1/2 source","Publishable"))))</x:f>
        <x:v>No evidence</x:v>
      </x:c>
      <x:c r="N56" s="30" t="str">
        <x:f>IFERROR("#"&amp;VLOOKUP(G56,Legend_Config!$A$2:$C$7,3,FALSE),"")</x:f>
        <x:v>#F2F2F2</x:v>
      </x:c>
      <x:c r="O56" s="30" t="n">
        <x:f>IF(I56="","",VLOOKUP(I56,Legend_Config!$F$2:$G$6,2,FALSE))</x:f>
        <x:v>0.15</x:v>
      </x:c>
      <x:c r="P56" s="30" t="n">
        <x:f>IFERROR(MAX(FILTER(Evidence_Log!$L$2:$L$200,Evidence_Log!$B$2:$B$200=$B56,Evidence_Log!$E$2:$E$200=$E56,Evidence_Log!$V$2:$V$200="Yes")),"")</x:f>
        <x:v>0</x:v>
      </x:c>
      <x:c r="Q56" s="30" t="str">
        <x:f>IF(L56=0,"No evidence logged",G56&amp;" / "&amp;I56&amp;" confidence ("&amp;H56&amp;"%) from "&amp;L56&amp;" evidence row(s), "&amp;J56&amp;" source row(s).")</x:f>
        <x:v>No evidence logged</x:v>
      </x:c>
    </x:row>
    <x:row r="57">
      <x:c r="A57" s="30" t="str">
        <x:f>IF(OR(B57="",E57=""),"",B57&amp;"|"&amp;E57)</x:f>
      </x:c>
      <x:c r="B57" s="30"/>
      <x:c r="C57" s="30"/>
      <x:c r="D57" s="30"/>
      <x:c r="E57" s="30"/>
      <x:c r="F57" s="30" t="str">
        <x:f>IFERROR(SUMIFS(Evidence_Log!$Q$2:$Q$200,Evidence_Log!$B$2:$B$200,$B57,Evidence_Log!$E$2:$E$200,$E57,Evidence_Log!$V$2:$V$200,"Yes")/SUMIFS(Evidence_Log!$P$2:$P$200,Evidence_Log!$B$2:$B$200,$B57,Evidence_Log!$E$2:$E$200,$E57,Evidence_Log!$V$2:$V$200,"Yes"),"")</x:f>
      </x:c>
      <x:c r="G57" s="30" t="str">
        <x:f>IF(L57=0,"",ROUND(F57,0))</x:f>
      </x:c>
      <x:c r="H57" s="30" t="str">
        <x:f>IFERROR(MIN(100,ROUND((SUMIFS(Evidence_Log!$N$2:$N$200,Evidence_Log!$B$2:$B$200,$B57,Evidence_Log!$E$2:$E$200,$E57,Evidence_Log!$V$2:$V$200,"Yes")/L57)*(SUMIFS(Evidence_Log!$O$2:$O$200,Evidence_Log!$B$2:$B$200,$B57,Evidence_Log!$E$2:$E$200,$E57,Evidence_Log!$V$2:$V$200,"Yes")/L57)*IF(J57&gt;=3,1.15,IF(J57=2,1,IF(J57=1,0.7,0)))*100,0)),"")</x:f>
      </x:c>
      <x:c r="I57" s="30" t="str">
        <x:f>IF(H57="","No data",IFS(H57&gt;=80,"High",H57&gt;=60,"Medium",H57&gt;=40,"Low",TRUE,"Needs review"))</x:f>
        <x:v>No data</x:v>
      </x:c>
      <x:c r="J57" s="30" t="n">
        <x:f>COUNTIFS(Evidence_Log!$B$2:$B$200,$B57,Evidence_Log!$E$2:$E$200,$E57,Evidence_Log!$V$2:$V$200,"Yes",Evidence_Log!$S$2:$S$200,"&lt;&gt;")</x:f>
        <x:v>0</x:v>
      </x:c>
      <x:c r="K57" s="30" t="n">
        <x:f>COUNTIFS(Evidence_Log!$B$2:$B$200,$B57,Evidence_Log!$E$2:$E$200,$E57,Evidence_Log!$V$2:$V$200,"Yes",Evidence_Log!$I$2:$I$200,"Tier 1")+COUNTIFS(Evidence_Log!$B$2:$B$200,$B57,Evidence_Log!$E$2:$E$200,$E57,Evidence_Log!$V$2:$V$200,"Yes",Evidence_Log!$I$2:$I$200,"Tier 2")</x:f>
        <x:v>0</x:v>
      </x:c>
      <x:c r="L57" s="30" t="n">
        <x:f>COUNTIFS(Evidence_Log!$B$2:$B$200,$B57,Evidence_Log!$E$2:$E$200,$E57,Evidence_Log!$V$2:$V$200,"Yes")</x:f>
        <x:v>0</x:v>
      </x:c>
      <x:c r="M57" s="30" t="str">
        <x:f>IF(L57=0,"No evidence",IF(H57&lt;60,"Needs review",IF(J57&lt;2,"Needs 2 independent sources",IF(K57&lt;1,"Needs Tier 1/2 source","Publishable"))))</x:f>
        <x:v>No evidence</x:v>
      </x:c>
      <x:c r="N57" s="30" t="str">
        <x:f>IFERROR("#"&amp;VLOOKUP(G57,Legend_Config!$A$2:$C$7,3,FALSE),"")</x:f>
        <x:v>#F2F2F2</x:v>
      </x:c>
      <x:c r="O57" s="30" t="n">
        <x:f>IF(I57="","",VLOOKUP(I57,Legend_Config!$F$2:$G$6,2,FALSE))</x:f>
        <x:v>0.15</x:v>
      </x:c>
      <x:c r="P57" s="30" t="n">
        <x:f>IFERROR(MAX(FILTER(Evidence_Log!$L$2:$L$200,Evidence_Log!$B$2:$B$200=$B57,Evidence_Log!$E$2:$E$200=$E57,Evidence_Log!$V$2:$V$200="Yes")),"")</x:f>
        <x:v>0</x:v>
      </x:c>
      <x:c r="Q57" s="30" t="str">
        <x:f>IF(L57=0,"No evidence logged",G57&amp;" / "&amp;I57&amp;" confidence ("&amp;H57&amp;"%) from "&amp;L57&amp;" evidence row(s), "&amp;J57&amp;" source row(s).")</x:f>
        <x:v>No evidence logged</x:v>
      </x:c>
    </x:row>
    <x:row r="58">
      <x:c r="A58" s="30" t="str">
        <x:f>IF(OR(B58="",E58=""),"",B58&amp;"|"&amp;E58)</x:f>
      </x:c>
      <x:c r="B58" s="30"/>
      <x:c r="C58" s="30"/>
      <x:c r="D58" s="30"/>
      <x:c r="E58" s="30"/>
      <x:c r="F58" s="30" t="str">
        <x:f>IFERROR(SUMIFS(Evidence_Log!$Q$2:$Q$200,Evidence_Log!$B$2:$B$200,$B58,Evidence_Log!$E$2:$E$200,$E58,Evidence_Log!$V$2:$V$200,"Yes")/SUMIFS(Evidence_Log!$P$2:$P$200,Evidence_Log!$B$2:$B$200,$B58,Evidence_Log!$E$2:$E$200,$E58,Evidence_Log!$V$2:$V$200,"Yes"),"")</x:f>
      </x:c>
      <x:c r="G58" s="30" t="str">
        <x:f>IF(L58=0,"",ROUND(F58,0))</x:f>
      </x:c>
      <x:c r="H58" s="30" t="str">
        <x:f>IFERROR(MIN(100,ROUND((SUMIFS(Evidence_Log!$N$2:$N$200,Evidence_Log!$B$2:$B$200,$B58,Evidence_Log!$E$2:$E$200,$E58,Evidence_Log!$V$2:$V$200,"Yes")/L58)*(SUMIFS(Evidence_Log!$O$2:$O$200,Evidence_Log!$B$2:$B$200,$B58,Evidence_Log!$E$2:$E$200,$E58,Evidence_Log!$V$2:$V$200,"Yes")/L58)*IF(J58&gt;=3,1.15,IF(J58=2,1,IF(J58=1,0.7,0)))*100,0)),"")</x:f>
      </x:c>
      <x:c r="I58" s="30" t="str">
        <x:f>IF(H58="","No data",IFS(H58&gt;=80,"High",H58&gt;=60,"Medium",H58&gt;=40,"Low",TRUE,"Needs review"))</x:f>
        <x:v>No data</x:v>
      </x:c>
      <x:c r="J58" s="30" t="n">
        <x:f>COUNTIFS(Evidence_Log!$B$2:$B$200,$B58,Evidence_Log!$E$2:$E$200,$E58,Evidence_Log!$V$2:$V$200,"Yes",Evidence_Log!$S$2:$S$200,"&lt;&gt;")</x:f>
        <x:v>0</x:v>
      </x:c>
      <x:c r="K58" s="30" t="n">
        <x:f>COUNTIFS(Evidence_Log!$B$2:$B$200,$B58,Evidence_Log!$E$2:$E$200,$E58,Evidence_Log!$V$2:$V$200,"Yes",Evidence_Log!$I$2:$I$200,"Tier 1")+COUNTIFS(Evidence_Log!$B$2:$B$200,$B58,Evidence_Log!$E$2:$E$200,$E58,Evidence_Log!$V$2:$V$200,"Yes",Evidence_Log!$I$2:$I$200,"Tier 2")</x:f>
        <x:v>0</x:v>
      </x:c>
      <x:c r="L58" s="30" t="n">
        <x:f>COUNTIFS(Evidence_Log!$B$2:$B$200,$B58,Evidence_Log!$E$2:$E$200,$E58,Evidence_Log!$V$2:$V$200,"Yes")</x:f>
        <x:v>0</x:v>
      </x:c>
      <x:c r="M58" s="30" t="str">
        <x:f>IF(L58=0,"No evidence",IF(H58&lt;60,"Needs review",IF(J58&lt;2,"Needs 2 independent sources",IF(K58&lt;1,"Needs Tier 1/2 source","Publishable"))))</x:f>
        <x:v>No evidence</x:v>
      </x:c>
      <x:c r="N58" s="30" t="str">
        <x:f>IFERROR("#"&amp;VLOOKUP(G58,Legend_Config!$A$2:$C$7,3,FALSE),"")</x:f>
        <x:v>#F2F2F2</x:v>
      </x:c>
      <x:c r="O58" s="30" t="n">
        <x:f>IF(I58="","",VLOOKUP(I58,Legend_Config!$F$2:$G$6,2,FALSE))</x:f>
        <x:v>0.15</x:v>
      </x:c>
      <x:c r="P58" s="30" t="n">
        <x:f>IFERROR(MAX(FILTER(Evidence_Log!$L$2:$L$200,Evidence_Log!$B$2:$B$200=$B58,Evidence_Log!$E$2:$E$200=$E58,Evidence_Log!$V$2:$V$200="Yes")),"")</x:f>
        <x:v>0</x:v>
      </x:c>
      <x:c r="Q58" s="30" t="str">
        <x:f>IF(L58=0,"No evidence logged",G58&amp;" / "&amp;I58&amp;" confidence ("&amp;H58&amp;"%) from "&amp;L58&amp;" evidence row(s), "&amp;J58&amp;" source row(s).")</x:f>
        <x:v>No evidence logged</x:v>
      </x:c>
    </x:row>
    <x:row r="59">
      <x:c r="A59" s="30" t="str">
        <x:f>IF(OR(B59="",E59=""),"",B59&amp;"|"&amp;E59)</x:f>
      </x:c>
      <x:c r="B59" s="30"/>
      <x:c r="C59" s="30"/>
      <x:c r="D59" s="30"/>
      <x:c r="E59" s="30"/>
      <x:c r="F59" s="30" t="str">
        <x:f>IFERROR(SUMIFS(Evidence_Log!$Q$2:$Q$200,Evidence_Log!$B$2:$B$200,$B59,Evidence_Log!$E$2:$E$200,$E59,Evidence_Log!$V$2:$V$200,"Yes")/SUMIFS(Evidence_Log!$P$2:$P$200,Evidence_Log!$B$2:$B$200,$B59,Evidence_Log!$E$2:$E$200,$E59,Evidence_Log!$V$2:$V$200,"Yes"),"")</x:f>
      </x:c>
      <x:c r="G59" s="30" t="str">
        <x:f>IF(L59=0,"",ROUND(F59,0))</x:f>
      </x:c>
      <x:c r="H59" s="30" t="str">
        <x:f>IFERROR(MIN(100,ROUND((SUMIFS(Evidence_Log!$N$2:$N$200,Evidence_Log!$B$2:$B$200,$B59,Evidence_Log!$E$2:$E$200,$E59,Evidence_Log!$V$2:$V$200,"Yes")/L59)*(SUMIFS(Evidence_Log!$O$2:$O$200,Evidence_Log!$B$2:$B$200,$B59,Evidence_Log!$E$2:$E$200,$E59,Evidence_Log!$V$2:$V$200,"Yes")/L59)*IF(J59&gt;=3,1.15,IF(J59=2,1,IF(J59=1,0.7,0)))*100,0)),"")</x:f>
      </x:c>
      <x:c r="I59" s="30" t="str">
        <x:f>IF(H59="","No data",IFS(H59&gt;=80,"High",H59&gt;=60,"Medium",H59&gt;=40,"Low",TRUE,"Needs review"))</x:f>
        <x:v>No data</x:v>
      </x:c>
      <x:c r="J59" s="30" t="n">
        <x:f>COUNTIFS(Evidence_Log!$B$2:$B$200,$B59,Evidence_Log!$E$2:$E$200,$E59,Evidence_Log!$V$2:$V$200,"Yes",Evidence_Log!$S$2:$S$200,"&lt;&gt;")</x:f>
        <x:v>0</x:v>
      </x:c>
      <x:c r="K59" s="30" t="n">
        <x:f>COUNTIFS(Evidence_Log!$B$2:$B$200,$B59,Evidence_Log!$E$2:$E$200,$E59,Evidence_Log!$V$2:$V$200,"Yes",Evidence_Log!$I$2:$I$200,"Tier 1")+COUNTIFS(Evidence_Log!$B$2:$B$200,$B59,Evidence_Log!$E$2:$E$200,$E59,Evidence_Log!$V$2:$V$200,"Yes",Evidence_Log!$I$2:$I$200,"Tier 2")</x:f>
        <x:v>0</x:v>
      </x:c>
      <x:c r="L59" s="30" t="n">
        <x:f>COUNTIFS(Evidence_Log!$B$2:$B$200,$B59,Evidence_Log!$E$2:$E$200,$E59,Evidence_Log!$V$2:$V$200,"Yes")</x:f>
        <x:v>0</x:v>
      </x:c>
      <x:c r="M59" s="30" t="str">
        <x:f>IF(L59=0,"No evidence",IF(H59&lt;60,"Needs review",IF(J59&lt;2,"Needs 2 independent sources",IF(K59&lt;1,"Needs Tier 1/2 source","Publishable"))))</x:f>
        <x:v>No evidence</x:v>
      </x:c>
      <x:c r="N59" s="30" t="str">
        <x:f>IFERROR("#"&amp;VLOOKUP(G59,Legend_Config!$A$2:$C$7,3,FALSE),"")</x:f>
        <x:v>#F2F2F2</x:v>
      </x:c>
      <x:c r="O59" s="30" t="n">
        <x:f>IF(I59="","",VLOOKUP(I59,Legend_Config!$F$2:$G$6,2,FALSE))</x:f>
        <x:v>0.15</x:v>
      </x:c>
      <x:c r="P59" s="30" t="n">
        <x:f>IFERROR(MAX(FILTER(Evidence_Log!$L$2:$L$200,Evidence_Log!$B$2:$B$200=$B59,Evidence_Log!$E$2:$E$200=$E59,Evidence_Log!$V$2:$V$200="Yes")),"")</x:f>
        <x:v>0</x:v>
      </x:c>
      <x:c r="Q59" s="30" t="str">
        <x:f>IF(L59=0,"No evidence logged",G59&amp;" / "&amp;I59&amp;" confidence ("&amp;H59&amp;"%) from "&amp;L59&amp;" evidence row(s), "&amp;J59&amp;" source row(s).")</x:f>
        <x:v>No evidence logged</x:v>
      </x:c>
    </x:row>
    <x:row r="60">
      <x:c r="A60" s="30" t="str">
        <x:f>IF(OR(B60="",E60=""),"",B60&amp;"|"&amp;E60)</x:f>
      </x:c>
      <x:c r="B60" s="30"/>
      <x:c r="C60" s="30"/>
      <x:c r="D60" s="30"/>
      <x:c r="E60" s="30"/>
      <x:c r="F60" s="30" t="str">
        <x:f>IFERROR(SUMIFS(Evidence_Log!$Q$2:$Q$200,Evidence_Log!$B$2:$B$200,$B60,Evidence_Log!$E$2:$E$200,$E60,Evidence_Log!$V$2:$V$200,"Yes")/SUMIFS(Evidence_Log!$P$2:$P$200,Evidence_Log!$B$2:$B$200,$B60,Evidence_Log!$E$2:$E$200,$E60,Evidence_Log!$V$2:$V$200,"Yes"),"")</x:f>
      </x:c>
      <x:c r="G60" s="30" t="str">
        <x:f>IF(L60=0,"",ROUND(F60,0))</x:f>
      </x:c>
      <x:c r="H60" s="30" t="str">
        <x:f>IFERROR(MIN(100,ROUND((SUMIFS(Evidence_Log!$N$2:$N$200,Evidence_Log!$B$2:$B$200,$B60,Evidence_Log!$E$2:$E$200,$E60,Evidence_Log!$V$2:$V$200,"Yes")/L60)*(SUMIFS(Evidence_Log!$O$2:$O$200,Evidence_Log!$B$2:$B$200,$B60,Evidence_Log!$E$2:$E$200,$E60,Evidence_Log!$V$2:$V$200,"Yes")/L60)*IF(J60&gt;=3,1.15,IF(J60=2,1,IF(J60=1,0.7,0)))*100,0)),"")</x:f>
      </x:c>
      <x:c r="I60" s="30" t="str">
        <x:f>IF(H60="","No data",IFS(H60&gt;=80,"High",H60&gt;=60,"Medium",H60&gt;=40,"Low",TRUE,"Needs review"))</x:f>
        <x:v>No data</x:v>
      </x:c>
      <x:c r="J60" s="30" t="n">
        <x:f>COUNTIFS(Evidence_Log!$B$2:$B$200,$B60,Evidence_Log!$E$2:$E$200,$E60,Evidence_Log!$V$2:$V$200,"Yes",Evidence_Log!$S$2:$S$200,"&lt;&gt;")</x:f>
        <x:v>0</x:v>
      </x:c>
      <x:c r="K60" s="30" t="n">
        <x:f>COUNTIFS(Evidence_Log!$B$2:$B$200,$B60,Evidence_Log!$E$2:$E$200,$E60,Evidence_Log!$V$2:$V$200,"Yes",Evidence_Log!$I$2:$I$200,"Tier 1")+COUNTIFS(Evidence_Log!$B$2:$B$200,$B60,Evidence_Log!$E$2:$E$200,$E60,Evidence_Log!$V$2:$V$200,"Yes",Evidence_Log!$I$2:$I$200,"Tier 2")</x:f>
        <x:v>0</x:v>
      </x:c>
      <x:c r="L60" s="30" t="n">
        <x:f>COUNTIFS(Evidence_Log!$B$2:$B$200,$B60,Evidence_Log!$E$2:$E$200,$E60,Evidence_Log!$V$2:$V$200,"Yes")</x:f>
        <x:v>0</x:v>
      </x:c>
      <x:c r="M60" s="30" t="str">
        <x:f>IF(L60=0,"No evidence",IF(H60&lt;60,"Needs review",IF(J60&lt;2,"Needs 2 independent sources",IF(K60&lt;1,"Needs Tier 1/2 source","Publishable"))))</x:f>
        <x:v>No evidence</x:v>
      </x:c>
      <x:c r="N60" s="30" t="str">
        <x:f>IFERROR("#"&amp;VLOOKUP(G60,Legend_Config!$A$2:$C$7,3,FALSE),"")</x:f>
        <x:v>#F2F2F2</x:v>
      </x:c>
      <x:c r="O60" s="30" t="n">
        <x:f>IF(I60="","",VLOOKUP(I60,Legend_Config!$F$2:$G$6,2,FALSE))</x:f>
        <x:v>0.15</x:v>
      </x:c>
      <x:c r="P60" s="30" t="n">
        <x:f>IFERROR(MAX(FILTER(Evidence_Log!$L$2:$L$200,Evidence_Log!$B$2:$B$200=$B60,Evidence_Log!$E$2:$E$200=$E60,Evidence_Log!$V$2:$V$200="Yes")),"")</x:f>
        <x:v>0</x:v>
      </x:c>
      <x:c r="Q60" s="30" t="str">
        <x:f>IF(L60=0,"No evidence logged",G60&amp;" / "&amp;I60&amp;" confidence ("&amp;H60&amp;"%) from "&amp;L60&amp;" evidence row(s), "&amp;J60&amp;" source row(s).")</x:f>
        <x:v>No evidence logged</x:v>
      </x:c>
    </x:row>
    <x:row r="61">
      <x:c r="A61" s="30" t="str">
        <x:f>IF(OR(B61="",E61=""),"",B61&amp;"|"&amp;E61)</x:f>
      </x:c>
      <x:c r="B61" s="30"/>
      <x:c r="C61" s="30"/>
      <x:c r="D61" s="30"/>
      <x:c r="E61" s="30"/>
      <x:c r="F61" s="30" t="str">
        <x:f>IFERROR(SUMIFS(Evidence_Log!$Q$2:$Q$200,Evidence_Log!$B$2:$B$200,$B61,Evidence_Log!$E$2:$E$200,$E61,Evidence_Log!$V$2:$V$200,"Yes")/SUMIFS(Evidence_Log!$P$2:$P$200,Evidence_Log!$B$2:$B$200,$B61,Evidence_Log!$E$2:$E$200,$E61,Evidence_Log!$V$2:$V$200,"Yes"),"")</x:f>
      </x:c>
      <x:c r="G61" s="30" t="str">
        <x:f>IF(L61=0,"",ROUND(F61,0))</x:f>
      </x:c>
      <x:c r="H61" s="30" t="str">
        <x:f>IFERROR(MIN(100,ROUND((SUMIFS(Evidence_Log!$N$2:$N$200,Evidence_Log!$B$2:$B$200,$B61,Evidence_Log!$E$2:$E$200,$E61,Evidence_Log!$V$2:$V$200,"Yes")/L61)*(SUMIFS(Evidence_Log!$O$2:$O$200,Evidence_Log!$B$2:$B$200,$B61,Evidence_Log!$E$2:$E$200,$E61,Evidence_Log!$V$2:$V$200,"Yes")/L61)*IF(J61&gt;=3,1.15,IF(J61=2,1,IF(J61=1,0.7,0)))*100,0)),"")</x:f>
      </x:c>
      <x:c r="I61" s="30" t="str">
        <x:f>IF(H61="","No data",IFS(H61&gt;=80,"High",H61&gt;=60,"Medium",H61&gt;=40,"Low",TRUE,"Needs review"))</x:f>
        <x:v>No data</x:v>
      </x:c>
      <x:c r="J61" s="30" t="n">
        <x:f>COUNTIFS(Evidence_Log!$B$2:$B$200,$B61,Evidence_Log!$E$2:$E$200,$E61,Evidence_Log!$V$2:$V$200,"Yes",Evidence_Log!$S$2:$S$200,"&lt;&gt;")</x:f>
        <x:v>0</x:v>
      </x:c>
      <x:c r="K61" s="30" t="n">
        <x:f>COUNTIFS(Evidence_Log!$B$2:$B$200,$B61,Evidence_Log!$E$2:$E$200,$E61,Evidence_Log!$V$2:$V$200,"Yes",Evidence_Log!$I$2:$I$200,"Tier 1")+COUNTIFS(Evidence_Log!$B$2:$B$200,$B61,Evidence_Log!$E$2:$E$200,$E61,Evidence_Log!$V$2:$V$200,"Yes",Evidence_Log!$I$2:$I$200,"Tier 2")</x:f>
        <x:v>0</x:v>
      </x:c>
      <x:c r="L61" s="30" t="n">
        <x:f>COUNTIFS(Evidence_Log!$B$2:$B$200,$B61,Evidence_Log!$E$2:$E$200,$E61,Evidence_Log!$V$2:$V$200,"Yes")</x:f>
        <x:v>0</x:v>
      </x:c>
      <x:c r="M61" s="30" t="str">
        <x:f>IF(L61=0,"No evidence",IF(H61&lt;60,"Needs review",IF(J61&lt;2,"Needs 2 independent sources",IF(K61&lt;1,"Needs Tier 1/2 source","Publishable"))))</x:f>
        <x:v>No evidence</x:v>
      </x:c>
      <x:c r="N61" s="30" t="str">
        <x:f>IFERROR("#"&amp;VLOOKUP(G61,Legend_Config!$A$2:$C$7,3,FALSE),"")</x:f>
        <x:v>#F2F2F2</x:v>
      </x:c>
      <x:c r="O61" s="30" t="n">
        <x:f>IF(I61="","",VLOOKUP(I61,Legend_Config!$F$2:$G$6,2,FALSE))</x:f>
        <x:v>0.15</x:v>
      </x:c>
      <x:c r="P61" s="30" t="n">
        <x:f>IFERROR(MAX(FILTER(Evidence_Log!$L$2:$L$200,Evidence_Log!$B$2:$B$200=$B61,Evidence_Log!$E$2:$E$200=$E61,Evidence_Log!$V$2:$V$200="Yes")),"")</x:f>
        <x:v>0</x:v>
      </x:c>
      <x:c r="Q61" s="30" t="str">
        <x:f>IF(L61=0,"No evidence logged",G61&amp;" / "&amp;I61&amp;" confidence ("&amp;H61&amp;"%) from "&amp;L61&amp;" evidence row(s), "&amp;J61&amp;" source row(s).")</x:f>
        <x:v>No evidence logged</x:v>
      </x:c>
    </x:row>
    <x:row r="62">
      <x:c r="A62" s="30" t="str">
        <x:f>IF(OR(B62="",E62=""),"",B62&amp;"|"&amp;E62)</x:f>
      </x:c>
      <x:c r="B62" s="30"/>
      <x:c r="C62" s="30"/>
      <x:c r="D62" s="30"/>
      <x:c r="E62" s="30"/>
      <x:c r="F62" s="30" t="str">
        <x:f>IFERROR(SUMIFS(Evidence_Log!$Q$2:$Q$200,Evidence_Log!$B$2:$B$200,$B62,Evidence_Log!$E$2:$E$200,$E62,Evidence_Log!$V$2:$V$200,"Yes")/SUMIFS(Evidence_Log!$P$2:$P$200,Evidence_Log!$B$2:$B$200,$B62,Evidence_Log!$E$2:$E$200,$E62,Evidence_Log!$V$2:$V$200,"Yes"),"")</x:f>
      </x:c>
      <x:c r="G62" s="30" t="str">
        <x:f>IF(L62=0,"",ROUND(F62,0))</x:f>
      </x:c>
      <x:c r="H62" s="30" t="str">
        <x:f>IFERROR(MIN(100,ROUND((SUMIFS(Evidence_Log!$N$2:$N$200,Evidence_Log!$B$2:$B$200,$B62,Evidence_Log!$E$2:$E$200,$E62,Evidence_Log!$V$2:$V$200,"Yes")/L62)*(SUMIFS(Evidence_Log!$O$2:$O$200,Evidence_Log!$B$2:$B$200,$B62,Evidence_Log!$E$2:$E$200,$E62,Evidence_Log!$V$2:$V$200,"Yes")/L62)*IF(J62&gt;=3,1.15,IF(J62=2,1,IF(J62=1,0.7,0)))*100,0)),"")</x:f>
      </x:c>
      <x:c r="I62" s="30" t="str">
        <x:f>IF(H62="","No data",IFS(H62&gt;=80,"High",H62&gt;=60,"Medium",H62&gt;=40,"Low",TRUE,"Needs review"))</x:f>
        <x:v>No data</x:v>
      </x:c>
      <x:c r="J62" s="30" t="n">
        <x:f>COUNTIFS(Evidence_Log!$B$2:$B$200,$B62,Evidence_Log!$E$2:$E$200,$E62,Evidence_Log!$V$2:$V$200,"Yes",Evidence_Log!$S$2:$S$200,"&lt;&gt;")</x:f>
        <x:v>0</x:v>
      </x:c>
      <x:c r="K62" s="30" t="n">
        <x:f>COUNTIFS(Evidence_Log!$B$2:$B$200,$B62,Evidence_Log!$E$2:$E$200,$E62,Evidence_Log!$V$2:$V$200,"Yes",Evidence_Log!$I$2:$I$200,"Tier 1")+COUNTIFS(Evidence_Log!$B$2:$B$200,$B62,Evidence_Log!$E$2:$E$200,$E62,Evidence_Log!$V$2:$V$200,"Yes",Evidence_Log!$I$2:$I$200,"Tier 2")</x:f>
        <x:v>0</x:v>
      </x:c>
      <x:c r="L62" s="30" t="n">
        <x:f>COUNTIFS(Evidence_Log!$B$2:$B$200,$B62,Evidence_Log!$E$2:$E$200,$E62,Evidence_Log!$V$2:$V$200,"Yes")</x:f>
        <x:v>0</x:v>
      </x:c>
      <x:c r="M62" s="30" t="str">
        <x:f>IF(L62=0,"No evidence",IF(H62&lt;60,"Needs review",IF(J62&lt;2,"Needs 2 independent sources",IF(K62&lt;1,"Needs Tier 1/2 source","Publishable"))))</x:f>
        <x:v>No evidence</x:v>
      </x:c>
      <x:c r="N62" s="30" t="str">
        <x:f>IFERROR("#"&amp;VLOOKUP(G62,Legend_Config!$A$2:$C$7,3,FALSE),"")</x:f>
        <x:v>#F2F2F2</x:v>
      </x:c>
      <x:c r="O62" s="30" t="n">
        <x:f>IF(I62="","",VLOOKUP(I62,Legend_Config!$F$2:$G$6,2,FALSE))</x:f>
        <x:v>0.15</x:v>
      </x:c>
      <x:c r="P62" s="30" t="n">
        <x:f>IFERROR(MAX(FILTER(Evidence_Log!$L$2:$L$200,Evidence_Log!$B$2:$B$200=$B62,Evidence_Log!$E$2:$E$200=$E62,Evidence_Log!$V$2:$V$200="Yes")),"")</x:f>
        <x:v>0</x:v>
      </x:c>
      <x:c r="Q62" s="30" t="str">
        <x:f>IF(L62=0,"No evidence logged",G62&amp;" / "&amp;I62&amp;" confidence ("&amp;H62&amp;"%) from "&amp;L62&amp;" evidence row(s), "&amp;J62&amp;" source row(s).")</x:f>
        <x:v>No evidence logged</x:v>
      </x:c>
    </x:row>
    <x:row r="63">
      <x:c r="A63" s="30" t="str">
        <x:f>IF(OR(B63="",E63=""),"",B63&amp;"|"&amp;E63)</x:f>
      </x:c>
      <x:c r="B63" s="30"/>
      <x:c r="C63" s="30"/>
      <x:c r="D63" s="30"/>
      <x:c r="E63" s="30"/>
      <x:c r="F63" s="30" t="str">
        <x:f>IFERROR(SUMIFS(Evidence_Log!$Q$2:$Q$200,Evidence_Log!$B$2:$B$200,$B63,Evidence_Log!$E$2:$E$200,$E63,Evidence_Log!$V$2:$V$200,"Yes")/SUMIFS(Evidence_Log!$P$2:$P$200,Evidence_Log!$B$2:$B$200,$B63,Evidence_Log!$E$2:$E$200,$E63,Evidence_Log!$V$2:$V$200,"Yes"),"")</x:f>
      </x:c>
      <x:c r="G63" s="30" t="str">
        <x:f>IF(L63=0,"",ROUND(F63,0))</x:f>
      </x:c>
      <x:c r="H63" s="30" t="str">
        <x:f>IFERROR(MIN(100,ROUND((SUMIFS(Evidence_Log!$N$2:$N$200,Evidence_Log!$B$2:$B$200,$B63,Evidence_Log!$E$2:$E$200,$E63,Evidence_Log!$V$2:$V$200,"Yes")/L63)*(SUMIFS(Evidence_Log!$O$2:$O$200,Evidence_Log!$B$2:$B$200,$B63,Evidence_Log!$E$2:$E$200,$E63,Evidence_Log!$V$2:$V$200,"Yes")/L63)*IF(J63&gt;=3,1.15,IF(J63=2,1,IF(J63=1,0.7,0)))*100,0)),"")</x:f>
      </x:c>
      <x:c r="I63" s="30" t="str">
        <x:f>IF(H63="","No data",IFS(H63&gt;=80,"High",H63&gt;=60,"Medium",H63&gt;=40,"Low",TRUE,"Needs review"))</x:f>
        <x:v>No data</x:v>
      </x:c>
      <x:c r="J63" s="30" t="n">
        <x:f>COUNTIFS(Evidence_Log!$B$2:$B$200,$B63,Evidence_Log!$E$2:$E$200,$E63,Evidence_Log!$V$2:$V$200,"Yes",Evidence_Log!$S$2:$S$200,"&lt;&gt;")</x:f>
        <x:v>0</x:v>
      </x:c>
      <x:c r="K63" s="30" t="n">
        <x:f>COUNTIFS(Evidence_Log!$B$2:$B$200,$B63,Evidence_Log!$E$2:$E$200,$E63,Evidence_Log!$V$2:$V$200,"Yes",Evidence_Log!$I$2:$I$200,"Tier 1")+COUNTIFS(Evidence_Log!$B$2:$B$200,$B63,Evidence_Log!$E$2:$E$200,$E63,Evidence_Log!$V$2:$V$200,"Yes",Evidence_Log!$I$2:$I$200,"Tier 2")</x:f>
        <x:v>0</x:v>
      </x:c>
      <x:c r="L63" s="30" t="n">
        <x:f>COUNTIFS(Evidence_Log!$B$2:$B$200,$B63,Evidence_Log!$E$2:$E$200,$E63,Evidence_Log!$V$2:$V$200,"Yes")</x:f>
        <x:v>0</x:v>
      </x:c>
      <x:c r="M63" s="30" t="str">
        <x:f>IF(L63=0,"No evidence",IF(H63&lt;60,"Needs review",IF(J63&lt;2,"Needs 2 independent sources",IF(K63&lt;1,"Needs Tier 1/2 source","Publishable"))))</x:f>
        <x:v>No evidence</x:v>
      </x:c>
      <x:c r="N63" s="30" t="str">
        <x:f>IFERROR("#"&amp;VLOOKUP(G63,Legend_Config!$A$2:$C$7,3,FALSE),"")</x:f>
        <x:v>#F2F2F2</x:v>
      </x:c>
      <x:c r="O63" s="30" t="n">
        <x:f>IF(I63="","",VLOOKUP(I63,Legend_Config!$F$2:$G$6,2,FALSE))</x:f>
        <x:v>0.15</x:v>
      </x:c>
      <x:c r="P63" s="30" t="n">
        <x:f>IFERROR(MAX(FILTER(Evidence_Log!$L$2:$L$200,Evidence_Log!$B$2:$B$200=$B63,Evidence_Log!$E$2:$E$200=$E63,Evidence_Log!$V$2:$V$200="Yes")),"")</x:f>
        <x:v>0</x:v>
      </x:c>
      <x:c r="Q63" s="30" t="str">
        <x:f>IF(L63=0,"No evidence logged",G63&amp;" / "&amp;I63&amp;" confidence ("&amp;H63&amp;"%) from "&amp;L63&amp;" evidence row(s), "&amp;J63&amp;" source row(s).")</x:f>
        <x:v>No evidence logged</x:v>
      </x:c>
    </x:row>
    <x:row r="64">
      <x:c r="A64" s="30" t="str">
        <x:f>IF(OR(B64="",E64=""),"",B64&amp;"|"&amp;E64)</x:f>
      </x:c>
      <x:c r="B64" s="30"/>
      <x:c r="C64" s="30"/>
      <x:c r="D64" s="30"/>
      <x:c r="E64" s="30"/>
      <x:c r="F64" s="30" t="str">
        <x:f>IFERROR(SUMIFS(Evidence_Log!$Q$2:$Q$200,Evidence_Log!$B$2:$B$200,$B64,Evidence_Log!$E$2:$E$200,$E64,Evidence_Log!$V$2:$V$200,"Yes")/SUMIFS(Evidence_Log!$P$2:$P$200,Evidence_Log!$B$2:$B$200,$B64,Evidence_Log!$E$2:$E$200,$E64,Evidence_Log!$V$2:$V$200,"Yes"),"")</x:f>
      </x:c>
      <x:c r="G64" s="30" t="str">
        <x:f>IF(L64=0,"",ROUND(F64,0))</x:f>
      </x:c>
      <x:c r="H64" s="30" t="str">
        <x:f>IFERROR(MIN(100,ROUND((SUMIFS(Evidence_Log!$N$2:$N$200,Evidence_Log!$B$2:$B$200,$B64,Evidence_Log!$E$2:$E$200,$E64,Evidence_Log!$V$2:$V$200,"Yes")/L64)*(SUMIFS(Evidence_Log!$O$2:$O$200,Evidence_Log!$B$2:$B$200,$B64,Evidence_Log!$E$2:$E$200,$E64,Evidence_Log!$V$2:$V$200,"Yes")/L64)*IF(J64&gt;=3,1.15,IF(J64=2,1,IF(J64=1,0.7,0)))*100,0)),"")</x:f>
      </x:c>
      <x:c r="I64" s="30" t="str">
        <x:f>IF(H64="","No data",IFS(H64&gt;=80,"High",H64&gt;=60,"Medium",H64&gt;=40,"Low",TRUE,"Needs review"))</x:f>
        <x:v>No data</x:v>
      </x:c>
      <x:c r="J64" s="30" t="n">
        <x:f>COUNTIFS(Evidence_Log!$B$2:$B$200,$B64,Evidence_Log!$E$2:$E$200,$E64,Evidence_Log!$V$2:$V$200,"Yes",Evidence_Log!$S$2:$S$200,"&lt;&gt;")</x:f>
        <x:v>0</x:v>
      </x:c>
      <x:c r="K64" s="30" t="n">
        <x:f>COUNTIFS(Evidence_Log!$B$2:$B$200,$B64,Evidence_Log!$E$2:$E$200,$E64,Evidence_Log!$V$2:$V$200,"Yes",Evidence_Log!$I$2:$I$200,"Tier 1")+COUNTIFS(Evidence_Log!$B$2:$B$200,$B64,Evidence_Log!$E$2:$E$200,$E64,Evidence_Log!$V$2:$V$200,"Yes",Evidence_Log!$I$2:$I$200,"Tier 2")</x:f>
        <x:v>0</x:v>
      </x:c>
      <x:c r="L64" s="30" t="n">
        <x:f>COUNTIFS(Evidence_Log!$B$2:$B$200,$B64,Evidence_Log!$E$2:$E$200,$E64,Evidence_Log!$V$2:$V$200,"Yes")</x:f>
        <x:v>0</x:v>
      </x:c>
      <x:c r="M64" s="30" t="str">
        <x:f>IF(L64=0,"No evidence",IF(H64&lt;60,"Needs review",IF(J64&lt;2,"Needs 2 independent sources",IF(K64&lt;1,"Needs Tier 1/2 source","Publishable"))))</x:f>
        <x:v>No evidence</x:v>
      </x:c>
      <x:c r="N64" s="30" t="str">
        <x:f>IFERROR("#"&amp;VLOOKUP(G64,Legend_Config!$A$2:$C$7,3,FALSE),"")</x:f>
        <x:v>#F2F2F2</x:v>
      </x:c>
      <x:c r="O64" s="30" t="n">
        <x:f>IF(I64="","",VLOOKUP(I64,Legend_Config!$F$2:$G$6,2,FALSE))</x:f>
        <x:v>0.15</x:v>
      </x:c>
      <x:c r="P64" s="30" t="n">
        <x:f>IFERROR(MAX(FILTER(Evidence_Log!$L$2:$L$200,Evidence_Log!$B$2:$B$200=$B64,Evidence_Log!$E$2:$E$200=$E64,Evidence_Log!$V$2:$V$200="Yes")),"")</x:f>
        <x:v>0</x:v>
      </x:c>
      <x:c r="Q64" s="30" t="str">
        <x:f>IF(L64=0,"No evidence logged",G64&amp;" / "&amp;I64&amp;" confidence ("&amp;H64&amp;"%) from "&amp;L64&amp;" evidence row(s), "&amp;J64&amp;" source row(s).")</x:f>
        <x:v>No evidence logged</x:v>
      </x:c>
    </x:row>
    <x:row r="65">
      <x:c r="A65" s="30" t="str">
        <x:f>IF(OR(B65="",E65=""),"",B65&amp;"|"&amp;E65)</x:f>
      </x:c>
      <x:c r="B65" s="30"/>
      <x:c r="C65" s="30"/>
      <x:c r="D65" s="30"/>
      <x:c r="E65" s="30"/>
      <x:c r="F65" s="30" t="str">
        <x:f>IFERROR(SUMIFS(Evidence_Log!$Q$2:$Q$200,Evidence_Log!$B$2:$B$200,$B65,Evidence_Log!$E$2:$E$200,$E65,Evidence_Log!$V$2:$V$200,"Yes")/SUMIFS(Evidence_Log!$P$2:$P$200,Evidence_Log!$B$2:$B$200,$B65,Evidence_Log!$E$2:$E$200,$E65,Evidence_Log!$V$2:$V$200,"Yes"),"")</x:f>
      </x:c>
      <x:c r="G65" s="30" t="str">
        <x:f>IF(L65=0,"",ROUND(F65,0))</x:f>
      </x:c>
      <x:c r="H65" s="30" t="str">
        <x:f>IFERROR(MIN(100,ROUND((SUMIFS(Evidence_Log!$N$2:$N$200,Evidence_Log!$B$2:$B$200,$B65,Evidence_Log!$E$2:$E$200,$E65,Evidence_Log!$V$2:$V$200,"Yes")/L65)*(SUMIFS(Evidence_Log!$O$2:$O$200,Evidence_Log!$B$2:$B$200,$B65,Evidence_Log!$E$2:$E$200,$E65,Evidence_Log!$V$2:$V$200,"Yes")/L65)*IF(J65&gt;=3,1.15,IF(J65=2,1,IF(J65=1,0.7,0)))*100,0)),"")</x:f>
      </x:c>
      <x:c r="I65" s="30" t="str">
        <x:f>IF(H65="","No data",IFS(H65&gt;=80,"High",H65&gt;=60,"Medium",H65&gt;=40,"Low",TRUE,"Needs review"))</x:f>
        <x:v>No data</x:v>
      </x:c>
      <x:c r="J65" s="30" t="n">
        <x:f>COUNTIFS(Evidence_Log!$B$2:$B$200,$B65,Evidence_Log!$E$2:$E$200,$E65,Evidence_Log!$V$2:$V$200,"Yes",Evidence_Log!$S$2:$S$200,"&lt;&gt;")</x:f>
        <x:v>0</x:v>
      </x:c>
      <x:c r="K65" s="30" t="n">
        <x:f>COUNTIFS(Evidence_Log!$B$2:$B$200,$B65,Evidence_Log!$E$2:$E$200,$E65,Evidence_Log!$V$2:$V$200,"Yes",Evidence_Log!$I$2:$I$200,"Tier 1")+COUNTIFS(Evidence_Log!$B$2:$B$200,$B65,Evidence_Log!$E$2:$E$200,$E65,Evidence_Log!$V$2:$V$200,"Yes",Evidence_Log!$I$2:$I$200,"Tier 2")</x:f>
        <x:v>0</x:v>
      </x:c>
      <x:c r="L65" s="30" t="n">
        <x:f>COUNTIFS(Evidence_Log!$B$2:$B$200,$B65,Evidence_Log!$E$2:$E$200,$E65,Evidence_Log!$V$2:$V$200,"Yes")</x:f>
        <x:v>0</x:v>
      </x:c>
      <x:c r="M65" s="30" t="str">
        <x:f>IF(L65=0,"No evidence",IF(H65&lt;60,"Needs review",IF(J65&lt;2,"Needs 2 independent sources",IF(K65&lt;1,"Needs Tier 1/2 source","Publishable"))))</x:f>
        <x:v>No evidence</x:v>
      </x:c>
      <x:c r="N65" s="30" t="str">
        <x:f>IFERROR("#"&amp;VLOOKUP(G65,Legend_Config!$A$2:$C$7,3,FALSE),"")</x:f>
        <x:v>#F2F2F2</x:v>
      </x:c>
      <x:c r="O65" s="30" t="n">
        <x:f>IF(I65="","",VLOOKUP(I65,Legend_Config!$F$2:$G$6,2,FALSE))</x:f>
        <x:v>0.15</x:v>
      </x:c>
      <x:c r="P65" s="30" t="n">
        <x:f>IFERROR(MAX(FILTER(Evidence_Log!$L$2:$L$200,Evidence_Log!$B$2:$B$200=$B65,Evidence_Log!$E$2:$E$200=$E65,Evidence_Log!$V$2:$V$200="Yes")),"")</x:f>
        <x:v>0</x:v>
      </x:c>
      <x:c r="Q65" s="30" t="str">
        <x:f>IF(L65=0,"No evidence logged",G65&amp;" / "&amp;I65&amp;" confidence ("&amp;H65&amp;"%) from "&amp;L65&amp;" evidence row(s), "&amp;J65&amp;" source row(s).")</x:f>
        <x:v>No evidence logged</x:v>
      </x:c>
    </x:row>
    <x:row r="66">
      <x:c r="A66" s="30" t="str">
        <x:f>IF(OR(B66="",E66=""),"",B66&amp;"|"&amp;E66)</x:f>
      </x:c>
      <x:c r="B66" s="30"/>
      <x:c r="C66" s="30"/>
      <x:c r="D66" s="30"/>
      <x:c r="E66" s="30"/>
      <x:c r="F66" s="30" t="str">
        <x:f>IFERROR(SUMIFS(Evidence_Log!$Q$2:$Q$200,Evidence_Log!$B$2:$B$200,$B66,Evidence_Log!$E$2:$E$200,$E66,Evidence_Log!$V$2:$V$200,"Yes")/SUMIFS(Evidence_Log!$P$2:$P$200,Evidence_Log!$B$2:$B$200,$B66,Evidence_Log!$E$2:$E$200,$E66,Evidence_Log!$V$2:$V$200,"Yes"),"")</x:f>
      </x:c>
      <x:c r="G66" s="30" t="str">
        <x:f>IF(L66=0,"",ROUND(F66,0))</x:f>
      </x:c>
      <x:c r="H66" s="30" t="str">
        <x:f>IFERROR(MIN(100,ROUND((SUMIFS(Evidence_Log!$N$2:$N$200,Evidence_Log!$B$2:$B$200,$B66,Evidence_Log!$E$2:$E$200,$E66,Evidence_Log!$V$2:$V$200,"Yes")/L66)*(SUMIFS(Evidence_Log!$O$2:$O$200,Evidence_Log!$B$2:$B$200,$B66,Evidence_Log!$E$2:$E$200,$E66,Evidence_Log!$V$2:$V$200,"Yes")/L66)*IF(J66&gt;=3,1.15,IF(J66=2,1,IF(J66=1,0.7,0)))*100,0)),"")</x:f>
      </x:c>
      <x:c r="I66" s="30" t="str">
        <x:f>IF(H66="","No data",IFS(H66&gt;=80,"High",H66&gt;=60,"Medium",H66&gt;=40,"Low",TRUE,"Needs review"))</x:f>
        <x:v>No data</x:v>
      </x:c>
      <x:c r="J66" s="30" t="n">
        <x:f>COUNTIFS(Evidence_Log!$B$2:$B$200,$B66,Evidence_Log!$E$2:$E$200,$E66,Evidence_Log!$V$2:$V$200,"Yes",Evidence_Log!$S$2:$S$200,"&lt;&gt;")</x:f>
        <x:v>0</x:v>
      </x:c>
      <x:c r="K66" s="30" t="n">
        <x:f>COUNTIFS(Evidence_Log!$B$2:$B$200,$B66,Evidence_Log!$E$2:$E$200,$E66,Evidence_Log!$V$2:$V$200,"Yes",Evidence_Log!$I$2:$I$200,"Tier 1")+COUNTIFS(Evidence_Log!$B$2:$B$200,$B66,Evidence_Log!$E$2:$E$200,$E66,Evidence_Log!$V$2:$V$200,"Yes",Evidence_Log!$I$2:$I$200,"Tier 2")</x:f>
        <x:v>0</x:v>
      </x:c>
      <x:c r="L66" s="30" t="n">
        <x:f>COUNTIFS(Evidence_Log!$B$2:$B$200,$B66,Evidence_Log!$E$2:$E$200,$E66,Evidence_Log!$V$2:$V$200,"Yes")</x:f>
        <x:v>0</x:v>
      </x:c>
      <x:c r="M66" s="30" t="str">
        <x:f>IF(L66=0,"No evidence",IF(H66&lt;60,"Needs review",IF(J66&lt;2,"Needs 2 independent sources",IF(K66&lt;1,"Needs Tier 1/2 source","Publishable"))))</x:f>
        <x:v>No evidence</x:v>
      </x:c>
      <x:c r="N66" s="30" t="str">
        <x:f>IFERROR("#"&amp;VLOOKUP(G66,Legend_Config!$A$2:$C$7,3,FALSE),"")</x:f>
        <x:v>#F2F2F2</x:v>
      </x:c>
      <x:c r="O66" s="30" t="n">
        <x:f>IF(I66="","",VLOOKUP(I66,Legend_Config!$F$2:$G$6,2,FALSE))</x:f>
        <x:v>0.15</x:v>
      </x:c>
      <x:c r="P66" s="30" t="n">
        <x:f>IFERROR(MAX(FILTER(Evidence_Log!$L$2:$L$200,Evidence_Log!$B$2:$B$200=$B66,Evidence_Log!$E$2:$E$200=$E66,Evidence_Log!$V$2:$V$200="Yes")),"")</x:f>
        <x:v>0</x:v>
      </x:c>
      <x:c r="Q66" s="30" t="str">
        <x:f>IF(L66=0,"No evidence logged",G66&amp;" / "&amp;I66&amp;" confidence ("&amp;H66&amp;"%) from "&amp;L66&amp;" evidence row(s), "&amp;J66&amp;" source row(s).")</x:f>
        <x:v>No evidence logged</x:v>
      </x:c>
    </x:row>
    <x:row r="67">
      <x:c r="A67" s="30" t="str">
        <x:f>IF(OR(B67="",E67=""),"",B67&amp;"|"&amp;E67)</x:f>
      </x:c>
      <x:c r="B67" s="30"/>
      <x:c r="C67" s="30"/>
      <x:c r="D67" s="30"/>
      <x:c r="E67" s="30"/>
      <x:c r="F67" s="30" t="str">
        <x:f>IFERROR(SUMIFS(Evidence_Log!$Q$2:$Q$200,Evidence_Log!$B$2:$B$200,$B67,Evidence_Log!$E$2:$E$200,$E67,Evidence_Log!$V$2:$V$200,"Yes")/SUMIFS(Evidence_Log!$P$2:$P$200,Evidence_Log!$B$2:$B$200,$B67,Evidence_Log!$E$2:$E$200,$E67,Evidence_Log!$V$2:$V$200,"Yes"),"")</x:f>
      </x:c>
      <x:c r="G67" s="30" t="str">
        <x:f>IF(L67=0,"",ROUND(F67,0))</x:f>
      </x:c>
      <x:c r="H67" s="30" t="str">
        <x:f>IFERROR(MIN(100,ROUND((SUMIFS(Evidence_Log!$N$2:$N$200,Evidence_Log!$B$2:$B$200,$B67,Evidence_Log!$E$2:$E$200,$E67,Evidence_Log!$V$2:$V$200,"Yes")/L67)*(SUMIFS(Evidence_Log!$O$2:$O$200,Evidence_Log!$B$2:$B$200,$B67,Evidence_Log!$E$2:$E$200,$E67,Evidence_Log!$V$2:$V$200,"Yes")/L67)*IF(J67&gt;=3,1.15,IF(J67=2,1,IF(J67=1,0.7,0)))*100,0)),"")</x:f>
      </x:c>
      <x:c r="I67" s="30" t="str">
        <x:f>IF(H67="","No data",IFS(H67&gt;=80,"High",H67&gt;=60,"Medium",H67&gt;=40,"Low",TRUE,"Needs review"))</x:f>
        <x:v>No data</x:v>
      </x:c>
      <x:c r="J67" s="30" t="n">
        <x:f>COUNTIFS(Evidence_Log!$B$2:$B$200,$B67,Evidence_Log!$E$2:$E$200,$E67,Evidence_Log!$V$2:$V$200,"Yes",Evidence_Log!$S$2:$S$200,"&lt;&gt;")</x:f>
        <x:v>0</x:v>
      </x:c>
      <x:c r="K67" s="30" t="n">
        <x:f>COUNTIFS(Evidence_Log!$B$2:$B$200,$B67,Evidence_Log!$E$2:$E$200,$E67,Evidence_Log!$V$2:$V$200,"Yes",Evidence_Log!$I$2:$I$200,"Tier 1")+COUNTIFS(Evidence_Log!$B$2:$B$200,$B67,Evidence_Log!$E$2:$E$200,$E67,Evidence_Log!$V$2:$V$200,"Yes",Evidence_Log!$I$2:$I$200,"Tier 2")</x:f>
        <x:v>0</x:v>
      </x:c>
      <x:c r="L67" s="30" t="n">
        <x:f>COUNTIFS(Evidence_Log!$B$2:$B$200,$B67,Evidence_Log!$E$2:$E$200,$E67,Evidence_Log!$V$2:$V$200,"Yes")</x:f>
        <x:v>0</x:v>
      </x:c>
      <x:c r="M67" s="30" t="str">
        <x:f>IF(L67=0,"No evidence",IF(H67&lt;60,"Needs review",IF(J67&lt;2,"Needs 2 independent sources",IF(K67&lt;1,"Needs Tier 1/2 source","Publishable"))))</x:f>
        <x:v>No evidence</x:v>
      </x:c>
      <x:c r="N67" s="30" t="str">
        <x:f>IFERROR("#"&amp;VLOOKUP(G67,Legend_Config!$A$2:$C$7,3,FALSE),"")</x:f>
        <x:v>#F2F2F2</x:v>
      </x:c>
      <x:c r="O67" s="30" t="n">
        <x:f>IF(I67="","",VLOOKUP(I67,Legend_Config!$F$2:$G$6,2,FALSE))</x:f>
        <x:v>0.15</x:v>
      </x:c>
      <x:c r="P67" s="30" t="n">
        <x:f>IFERROR(MAX(FILTER(Evidence_Log!$L$2:$L$200,Evidence_Log!$B$2:$B$200=$B67,Evidence_Log!$E$2:$E$200=$E67,Evidence_Log!$V$2:$V$200="Yes")),"")</x:f>
        <x:v>0</x:v>
      </x:c>
      <x:c r="Q67" s="30" t="str">
        <x:f>IF(L67=0,"No evidence logged",G67&amp;" / "&amp;I67&amp;" confidence ("&amp;H67&amp;"%) from "&amp;L67&amp;" evidence row(s), "&amp;J67&amp;" source row(s).")</x:f>
        <x:v>No evidence logged</x:v>
      </x:c>
    </x:row>
    <x:row r="68">
      <x:c r="A68" s="30" t="str">
        <x:f>IF(OR(B68="",E68=""),"",B68&amp;"|"&amp;E68)</x:f>
      </x:c>
      <x:c r="B68" s="30"/>
      <x:c r="C68" s="30"/>
      <x:c r="D68" s="30"/>
      <x:c r="E68" s="30"/>
      <x:c r="F68" s="30" t="str">
        <x:f>IFERROR(SUMIFS(Evidence_Log!$Q$2:$Q$200,Evidence_Log!$B$2:$B$200,$B68,Evidence_Log!$E$2:$E$200,$E68,Evidence_Log!$V$2:$V$200,"Yes")/SUMIFS(Evidence_Log!$P$2:$P$200,Evidence_Log!$B$2:$B$200,$B68,Evidence_Log!$E$2:$E$200,$E68,Evidence_Log!$V$2:$V$200,"Yes"),"")</x:f>
      </x:c>
      <x:c r="G68" s="30" t="str">
        <x:f>IF(L68=0,"",ROUND(F68,0))</x:f>
      </x:c>
      <x:c r="H68" s="30" t="str">
        <x:f>IFERROR(MIN(100,ROUND((SUMIFS(Evidence_Log!$N$2:$N$200,Evidence_Log!$B$2:$B$200,$B68,Evidence_Log!$E$2:$E$200,$E68,Evidence_Log!$V$2:$V$200,"Yes")/L68)*(SUMIFS(Evidence_Log!$O$2:$O$200,Evidence_Log!$B$2:$B$200,$B68,Evidence_Log!$E$2:$E$200,$E68,Evidence_Log!$V$2:$V$200,"Yes")/L68)*IF(J68&gt;=3,1.15,IF(J68=2,1,IF(J68=1,0.7,0)))*100,0)),"")</x:f>
      </x:c>
      <x:c r="I68" s="30" t="str">
        <x:f>IF(H68="","No data",IFS(H68&gt;=80,"High",H68&gt;=60,"Medium",H68&gt;=40,"Low",TRUE,"Needs review"))</x:f>
        <x:v>No data</x:v>
      </x:c>
      <x:c r="J68" s="30" t="n">
        <x:f>COUNTIFS(Evidence_Log!$B$2:$B$200,$B68,Evidence_Log!$E$2:$E$200,$E68,Evidence_Log!$V$2:$V$200,"Yes",Evidence_Log!$S$2:$S$200,"&lt;&gt;")</x:f>
        <x:v>0</x:v>
      </x:c>
      <x:c r="K68" s="30" t="n">
        <x:f>COUNTIFS(Evidence_Log!$B$2:$B$200,$B68,Evidence_Log!$E$2:$E$200,$E68,Evidence_Log!$V$2:$V$200,"Yes",Evidence_Log!$I$2:$I$200,"Tier 1")+COUNTIFS(Evidence_Log!$B$2:$B$200,$B68,Evidence_Log!$E$2:$E$200,$E68,Evidence_Log!$V$2:$V$200,"Yes",Evidence_Log!$I$2:$I$200,"Tier 2")</x:f>
        <x:v>0</x:v>
      </x:c>
      <x:c r="L68" s="30" t="n">
        <x:f>COUNTIFS(Evidence_Log!$B$2:$B$200,$B68,Evidence_Log!$E$2:$E$200,$E68,Evidence_Log!$V$2:$V$200,"Yes")</x:f>
        <x:v>0</x:v>
      </x:c>
      <x:c r="M68" s="30" t="str">
        <x:f>IF(L68=0,"No evidence",IF(H68&lt;60,"Needs review",IF(J68&lt;2,"Needs 2 independent sources",IF(K68&lt;1,"Needs Tier 1/2 source","Publishable"))))</x:f>
        <x:v>No evidence</x:v>
      </x:c>
      <x:c r="N68" s="30" t="str">
        <x:f>IFERROR("#"&amp;VLOOKUP(G68,Legend_Config!$A$2:$C$7,3,FALSE),"")</x:f>
        <x:v>#F2F2F2</x:v>
      </x:c>
      <x:c r="O68" s="30" t="n">
        <x:f>IF(I68="","",VLOOKUP(I68,Legend_Config!$F$2:$G$6,2,FALSE))</x:f>
        <x:v>0.15</x:v>
      </x:c>
      <x:c r="P68" s="30" t="n">
        <x:f>IFERROR(MAX(FILTER(Evidence_Log!$L$2:$L$200,Evidence_Log!$B$2:$B$200=$B68,Evidence_Log!$E$2:$E$200=$E68,Evidence_Log!$V$2:$V$200="Yes")),"")</x:f>
        <x:v>0</x:v>
      </x:c>
      <x:c r="Q68" s="30" t="str">
        <x:f>IF(L68=0,"No evidence logged",G68&amp;" / "&amp;I68&amp;" confidence ("&amp;H68&amp;"%) from "&amp;L68&amp;" evidence row(s), "&amp;J68&amp;" source row(s).")</x:f>
        <x:v>No evidence logged</x:v>
      </x:c>
    </x:row>
    <x:row r="69">
      <x:c r="A69" s="30" t="str">
        <x:f>IF(OR(B69="",E69=""),"",B69&amp;"|"&amp;E69)</x:f>
      </x:c>
      <x:c r="B69" s="30"/>
      <x:c r="C69" s="30"/>
      <x:c r="D69" s="30"/>
      <x:c r="E69" s="30"/>
      <x:c r="F69" s="30" t="str">
        <x:f>IFERROR(SUMIFS(Evidence_Log!$Q$2:$Q$200,Evidence_Log!$B$2:$B$200,$B69,Evidence_Log!$E$2:$E$200,$E69,Evidence_Log!$V$2:$V$200,"Yes")/SUMIFS(Evidence_Log!$P$2:$P$200,Evidence_Log!$B$2:$B$200,$B69,Evidence_Log!$E$2:$E$200,$E69,Evidence_Log!$V$2:$V$200,"Yes"),"")</x:f>
      </x:c>
      <x:c r="G69" s="30" t="str">
        <x:f>IF(L69=0,"",ROUND(F69,0))</x:f>
      </x:c>
      <x:c r="H69" s="30" t="str">
        <x:f>IFERROR(MIN(100,ROUND((SUMIFS(Evidence_Log!$N$2:$N$200,Evidence_Log!$B$2:$B$200,$B69,Evidence_Log!$E$2:$E$200,$E69,Evidence_Log!$V$2:$V$200,"Yes")/L69)*(SUMIFS(Evidence_Log!$O$2:$O$200,Evidence_Log!$B$2:$B$200,$B69,Evidence_Log!$E$2:$E$200,$E69,Evidence_Log!$V$2:$V$200,"Yes")/L69)*IF(J69&gt;=3,1.15,IF(J69=2,1,IF(J69=1,0.7,0)))*100,0)),"")</x:f>
      </x:c>
      <x:c r="I69" s="30" t="str">
        <x:f>IF(H69="","No data",IFS(H69&gt;=80,"High",H69&gt;=60,"Medium",H69&gt;=40,"Low",TRUE,"Needs review"))</x:f>
        <x:v>No data</x:v>
      </x:c>
      <x:c r="J69" s="30" t="n">
        <x:f>COUNTIFS(Evidence_Log!$B$2:$B$200,$B69,Evidence_Log!$E$2:$E$200,$E69,Evidence_Log!$V$2:$V$200,"Yes",Evidence_Log!$S$2:$S$200,"&lt;&gt;")</x:f>
        <x:v>0</x:v>
      </x:c>
      <x:c r="K69" s="30" t="n">
        <x:f>COUNTIFS(Evidence_Log!$B$2:$B$200,$B69,Evidence_Log!$E$2:$E$200,$E69,Evidence_Log!$V$2:$V$200,"Yes",Evidence_Log!$I$2:$I$200,"Tier 1")+COUNTIFS(Evidence_Log!$B$2:$B$200,$B69,Evidence_Log!$E$2:$E$200,$E69,Evidence_Log!$V$2:$V$200,"Yes",Evidence_Log!$I$2:$I$200,"Tier 2")</x:f>
        <x:v>0</x:v>
      </x:c>
      <x:c r="L69" s="30" t="n">
        <x:f>COUNTIFS(Evidence_Log!$B$2:$B$200,$B69,Evidence_Log!$E$2:$E$200,$E69,Evidence_Log!$V$2:$V$200,"Yes")</x:f>
        <x:v>0</x:v>
      </x:c>
      <x:c r="M69" s="30" t="str">
        <x:f>IF(L69=0,"No evidence",IF(H69&lt;60,"Needs review",IF(J69&lt;2,"Needs 2 independent sources",IF(K69&lt;1,"Needs Tier 1/2 source","Publishable"))))</x:f>
        <x:v>No evidence</x:v>
      </x:c>
      <x:c r="N69" s="30" t="str">
        <x:f>IFERROR("#"&amp;VLOOKUP(G69,Legend_Config!$A$2:$C$7,3,FALSE),"")</x:f>
        <x:v>#F2F2F2</x:v>
      </x:c>
      <x:c r="O69" s="30" t="n">
        <x:f>IF(I69="","",VLOOKUP(I69,Legend_Config!$F$2:$G$6,2,FALSE))</x:f>
        <x:v>0.15</x:v>
      </x:c>
      <x:c r="P69" s="30" t="n">
        <x:f>IFERROR(MAX(FILTER(Evidence_Log!$L$2:$L$200,Evidence_Log!$B$2:$B$200=$B69,Evidence_Log!$E$2:$E$200=$E69,Evidence_Log!$V$2:$V$200="Yes")),"")</x:f>
        <x:v>0</x:v>
      </x:c>
      <x:c r="Q69" s="30" t="str">
        <x:f>IF(L69=0,"No evidence logged",G69&amp;" / "&amp;I69&amp;" confidence ("&amp;H69&amp;"%) from "&amp;L69&amp;" evidence row(s), "&amp;J69&amp;" source row(s).")</x:f>
        <x:v>No evidence logged</x:v>
      </x:c>
    </x:row>
    <x:row r="70">
      <x:c r="A70" s="30" t="str">
        <x:f>IF(OR(B70="",E70=""),"",B70&amp;"|"&amp;E70)</x:f>
      </x:c>
      <x:c r="B70" s="30"/>
      <x:c r="C70" s="30"/>
      <x:c r="D70" s="30"/>
      <x:c r="E70" s="30"/>
      <x:c r="F70" s="30" t="str">
        <x:f>IFERROR(SUMIFS(Evidence_Log!$Q$2:$Q$200,Evidence_Log!$B$2:$B$200,$B70,Evidence_Log!$E$2:$E$200,$E70,Evidence_Log!$V$2:$V$200,"Yes")/SUMIFS(Evidence_Log!$P$2:$P$200,Evidence_Log!$B$2:$B$200,$B70,Evidence_Log!$E$2:$E$200,$E70,Evidence_Log!$V$2:$V$200,"Yes"),"")</x:f>
      </x:c>
      <x:c r="G70" s="30" t="str">
        <x:f>IF(L70=0,"",ROUND(F70,0))</x:f>
      </x:c>
      <x:c r="H70" s="30" t="str">
        <x:f>IFERROR(MIN(100,ROUND((SUMIFS(Evidence_Log!$N$2:$N$200,Evidence_Log!$B$2:$B$200,$B70,Evidence_Log!$E$2:$E$200,$E70,Evidence_Log!$V$2:$V$200,"Yes")/L70)*(SUMIFS(Evidence_Log!$O$2:$O$200,Evidence_Log!$B$2:$B$200,$B70,Evidence_Log!$E$2:$E$200,$E70,Evidence_Log!$V$2:$V$200,"Yes")/L70)*IF(J70&gt;=3,1.15,IF(J70=2,1,IF(J70=1,0.7,0)))*100,0)),"")</x:f>
      </x:c>
      <x:c r="I70" s="30" t="str">
        <x:f>IF(H70="","No data",IFS(H70&gt;=80,"High",H70&gt;=60,"Medium",H70&gt;=40,"Low",TRUE,"Needs review"))</x:f>
        <x:v>No data</x:v>
      </x:c>
      <x:c r="J70" s="30" t="n">
        <x:f>COUNTIFS(Evidence_Log!$B$2:$B$200,$B70,Evidence_Log!$E$2:$E$200,$E70,Evidence_Log!$V$2:$V$200,"Yes",Evidence_Log!$S$2:$S$200,"&lt;&gt;")</x:f>
        <x:v>0</x:v>
      </x:c>
      <x:c r="K70" s="30" t="n">
        <x:f>COUNTIFS(Evidence_Log!$B$2:$B$200,$B70,Evidence_Log!$E$2:$E$200,$E70,Evidence_Log!$V$2:$V$200,"Yes",Evidence_Log!$I$2:$I$200,"Tier 1")+COUNTIFS(Evidence_Log!$B$2:$B$200,$B70,Evidence_Log!$E$2:$E$200,$E70,Evidence_Log!$V$2:$V$200,"Yes",Evidence_Log!$I$2:$I$200,"Tier 2")</x:f>
        <x:v>0</x:v>
      </x:c>
      <x:c r="L70" s="30" t="n">
        <x:f>COUNTIFS(Evidence_Log!$B$2:$B$200,$B70,Evidence_Log!$E$2:$E$200,$E70,Evidence_Log!$V$2:$V$200,"Yes")</x:f>
        <x:v>0</x:v>
      </x:c>
      <x:c r="M70" s="30" t="str">
        <x:f>IF(L70=0,"No evidence",IF(H70&lt;60,"Needs review",IF(J70&lt;2,"Needs 2 independent sources",IF(K70&lt;1,"Needs Tier 1/2 source","Publishable"))))</x:f>
        <x:v>No evidence</x:v>
      </x:c>
      <x:c r="N70" s="30" t="str">
        <x:f>IFERROR("#"&amp;VLOOKUP(G70,Legend_Config!$A$2:$C$7,3,FALSE),"")</x:f>
        <x:v>#F2F2F2</x:v>
      </x:c>
      <x:c r="O70" s="30" t="n">
        <x:f>IF(I70="","",VLOOKUP(I70,Legend_Config!$F$2:$G$6,2,FALSE))</x:f>
        <x:v>0.15</x:v>
      </x:c>
      <x:c r="P70" s="30" t="n">
        <x:f>IFERROR(MAX(FILTER(Evidence_Log!$L$2:$L$200,Evidence_Log!$B$2:$B$200=$B70,Evidence_Log!$E$2:$E$200=$E70,Evidence_Log!$V$2:$V$200="Yes")),"")</x:f>
        <x:v>0</x:v>
      </x:c>
      <x:c r="Q70" s="30" t="str">
        <x:f>IF(L70=0,"No evidence logged",G70&amp;" / "&amp;I70&amp;" confidence ("&amp;H70&amp;"%) from "&amp;L70&amp;" evidence row(s), "&amp;J70&amp;" source row(s).")</x:f>
        <x:v>No evidence logged</x:v>
      </x:c>
    </x:row>
    <x:row r="71">
      <x:c r="A71" s="30" t="str">
        <x:f>IF(OR(B71="",E71=""),"",B71&amp;"|"&amp;E71)</x:f>
      </x:c>
      <x:c r="B71" s="30"/>
      <x:c r="C71" s="30"/>
      <x:c r="D71" s="30"/>
      <x:c r="E71" s="30"/>
      <x:c r="F71" s="30" t="str">
        <x:f>IFERROR(SUMIFS(Evidence_Log!$Q$2:$Q$200,Evidence_Log!$B$2:$B$200,$B71,Evidence_Log!$E$2:$E$200,$E71,Evidence_Log!$V$2:$V$200,"Yes")/SUMIFS(Evidence_Log!$P$2:$P$200,Evidence_Log!$B$2:$B$200,$B71,Evidence_Log!$E$2:$E$200,$E71,Evidence_Log!$V$2:$V$200,"Yes"),"")</x:f>
      </x:c>
      <x:c r="G71" s="30" t="str">
        <x:f>IF(L71=0,"",ROUND(F71,0))</x:f>
      </x:c>
      <x:c r="H71" s="30" t="str">
        <x:f>IFERROR(MIN(100,ROUND((SUMIFS(Evidence_Log!$N$2:$N$200,Evidence_Log!$B$2:$B$200,$B71,Evidence_Log!$E$2:$E$200,$E71,Evidence_Log!$V$2:$V$200,"Yes")/L71)*(SUMIFS(Evidence_Log!$O$2:$O$200,Evidence_Log!$B$2:$B$200,$B71,Evidence_Log!$E$2:$E$200,$E71,Evidence_Log!$V$2:$V$200,"Yes")/L71)*IF(J71&gt;=3,1.15,IF(J71=2,1,IF(J71=1,0.7,0)))*100,0)),"")</x:f>
      </x:c>
      <x:c r="I71" s="30" t="str">
        <x:f>IF(H71="","No data",IFS(H71&gt;=80,"High",H71&gt;=60,"Medium",H71&gt;=40,"Low",TRUE,"Needs review"))</x:f>
        <x:v>No data</x:v>
      </x:c>
      <x:c r="J71" s="30" t="n">
        <x:f>COUNTIFS(Evidence_Log!$B$2:$B$200,$B71,Evidence_Log!$E$2:$E$200,$E71,Evidence_Log!$V$2:$V$200,"Yes",Evidence_Log!$S$2:$S$200,"&lt;&gt;")</x:f>
        <x:v>0</x:v>
      </x:c>
      <x:c r="K71" s="30" t="n">
        <x:f>COUNTIFS(Evidence_Log!$B$2:$B$200,$B71,Evidence_Log!$E$2:$E$200,$E71,Evidence_Log!$V$2:$V$200,"Yes",Evidence_Log!$I$2:$I$200,"Tier 1")+COUNTIFS(Evidence_Log!$B$2:$B$200,$B71,Evidence_Log!$E$2:$E$200,$E71,Evidence_Log!$V$2:$V$200,"Yes",Evidence_Log!$I$2:$I$200,"Tier 2")</x:f>
        <x:v>0</x:v>
      </x:c>
      <x:c r="L71" s="30" t="n">
        <x:f>COUNTIFS(Evidence_Log!$B$2:$B$200,$B71,Evidence_Log!$E$2:$E$200,$E71,Evidence_Log!$V$2:$V$200,"Yes")</x:f>
        <x:v>0</x:v>
      </x:c>
      <x:c r="M71" s="30" t="str">
        <x:f>IF(L71=0,"No evidence",IF(H71&lt;60,"Needs review",IF(J71&lt;2,"Needs 2 independent sources",IF(K71&lt;1,"Needs Tier 1/2 source","Publishable"))))</x:f>
        <x:v>No evidence</x:v>
      </x:c>
      <x:c r="N71" s="30" t="str">
        <x:f>IFERROR("#"&amp;VLOOKUP(G71,Legend_Config!$A$2:$C$7,3,FALSE),"")</x:f>
        <x:v>#F2F2F2</x:v>
      </x:c>
      <x:c r="O71" s="30" t="n">
        <x:f>IF(I71="","",VLOOKUP(I71,Legend_Config!$F$2:$G$6,2,FALSE))</x:f>
        <x:v>0.15</x:v>
      </x:c>
      <x:c r="P71" s="30" t="n">
        <x:f>IFERROR(MAX(FILTER(Evidence_Log!$L$2:$L$200,Evidence_Log!$B$2:$B$200=$B71,Evidence_Log!$E$2:$E$200=$E71,Evidence_Log!$V$2:$V$200="Yes")),"")</x:f>
        <x:v>0</x:v>
      </x:c>
      <x:c r="Q71" s="30" t="str">
        <x:f>IF(L71=0,"No evidence logged",G71&amp;" / "&amp;I71&amp;" confidence ("&amp;H71&amp;"%) from "&amp;L71&amp;" evidence row(s), "&amp;J71&amp;" source row(s).")</x:f>
        <x:v>No evidence logged</x:v>
      </x:c>
    </x:row>
    <x:row r="72">
      <x:c r="A72" s="30" t="str">
        <x:f>IF(OR(B72="",E72=""),"",B72&amp;"|"&amp;E72)</x:f>
      </x:c>
      <x:c r="B72" s="30"/>
      <x:c r="C72" s="30"/>
      <x:c r="D72" s="30"/>
      <x:c r="E72" s="30"/>
      <x:c r="F72" s="30" t="str">
        <x:f>IFERROR(SUMIFS(Evidence_Log!$Q$2:$Q$200,Evidence_Log!$B$2:$B$200,$B72,Evidence_Log!$E$2:$E$200,$E72,Evidence_Log!$V$2:$V$200,"Yes")/SUMIFS(Evidence_Log!$P$2:$P$200,Evidence_Log!$B$2:$B$200,$B72,Evidence_Log!$E$2:$E$200,$E72,Evidence_Log!$V$2:$V$200,"Yes"),"")</x:f>
      </x:c>
      <x:c r="G72" s="30" t="str">
        <x:f>IF(L72=0,"",ROUND(F72,0))</x:f>
      </x:c>
      <x:c r="H72" s="30" t="str">
        <x:f>IFERROR(MIN(100,ROUND((SUMIFS(Evidence_Log!$N$2:$N$200,Evidence_Log!$B$2:$B$200,$B72,Evidence_Log!$E$2:$E$200,$E72,Evidence_Log!$V$2:$V$200,"Yes")/L72)*(SUMIFS(Evidence_Log!$O$2:$O$200,Evidence_Log!$B$2:$B$200,$B72,Evidence_Log!$E$2:$E$200,$E72,Evidence_Log!$V$2:$V$200,"Yes")/L72)*IF(J72&gt;=3,1.15,IF(J72=2,1,IF(J72=1,0.7,0)))*100,0)),"")</x:f>
      </x:c>
      <x:c r="I72" s="30" t="str">
        <x:f>IF(H72="","No data",IFS(H72&gt;=80,"High",H72&gt;=60,"Medium",H72&gt;=40,"Low",TRUE,"Needs review"))</x:f>
        <x:v>No data</x:v>
      </x:c>
      <x:c r="J72" s="30" t="n">
        <x:f>COUNTIFS(Evidence_Log!$B$2:$B$200,$B72,Evidence_Log!$E$2:$E$200,$E72,Evidence_Log!$V$2:$V$200,"Yes",Evidence_Log!$S$2:$S$200,"&lt;&gt;")</x:f>
        <x:v>0</x:v>
      </x:c>
      <x:c r="K72" s="30" t="n">
        <x:f>COUNTIFS(Evidence_Log!$B$2:$B$200,$B72,Evidence_Log!$E$2:$E$200,$E72,Evidence_Log!$V$2:$V$200,"Yes",Evidence_Log!$I$2:$I$200,"Tier 1")+COUNTIFS(Evidence_Log!$B$2:$B$200,$B72,Evidence_Log!$E$2:$E$200,$E72,Evidence_Log!$V$2:$V$200,"Yes",Evidence_Log!$I$2:$I$200,"Tier 2")</x:f>
        <x:v>0</x:v>
      </x:c>
      <x:c r="L72" s="30" t="n">
        <x:f>COUNTIFS(Evidence_Log!$B$2:$B$200,$B72,Evidence_Log!$E$2:$E$200,$E72,Evidence_Log!$V$2:$V$200,"Yes")</x:f>
        <x:v>0</x:v>
      </x:c>
      <x:c r="M72" s="30" t="str">
        <x:f>IF(L72=0,"No evidence",IF(H72&lt;60,"Needs review",IF(J72&lt;2,"Needs 2 independent sources",IF(K72&lt;1,"Needs Tier 1/2 source","Publishable"))))</x:f>
        <x:v>No evidence</x:v>
      </x:c>
      <x:c r="N72" s="30" t="str">
        <x:f>IFERROR("#"&amp;VLOOKUP(G72,Legend_Config!$A$2:$C$7,3,FALSE),"")</x:f>
        <x:v>#F2F2F2</x:v>
      </x:c>
      <x:c r="O72" s="30" t="n">
        <x:f>IF(I72="","",VLOOKUP(I72,Legend_Config!$F$2:$G$6,2,FALSE))</x:f>
        <x:v>0.15</x:v>
      </x:c>
      <x:c r="P72" s="30" t="n">
        <x:f>IFERROR(MAX(FILTER(Evidence_Log!$L$2:$L$200,Evidence_Log!$B$2:$B$200=$B72,Evidence_Log!$E$2:$E$200=$E72,Evidence_Log!$V$2:$V$200="Yes")),"")</x:f>
        <x:v>0</x:v>
      </x:c>
      <x:c r="Q72" s="30" t="str">
        <x:f>IF(L72=0,"No evidence logged",G72&amp;" / "&amp;I72&amp;" confidence ("&amp;H72&amp;"%) from "&amp;L72&amp;" evidence row(s), "&amp;J72&amp;" source row(s).")</x:f>
        <x:v>No evidence logged</x:v>
      </x:c>
    </x:row>
    <x:row r="73">
      <x:c r="A73" s="30" t="str">
        <x:f>IF(OR(B73="",E73=""),"",B73&amp;"|"&amp;E73)</x:f>
      </x:c>
      <x:c r="B73" s="30"/>
      <x:c r="C73" s="30"/>
      <x:c r="D73" s="30"/>
      <x:c r="E73" s="30"/>
      <x:c r="F73" s="30" t="str">
        <x:f>IFERROR(SUMIFS(Evidence_Log!$Q$2:$Q$200,Evidence_Log!$B$2:$B$200,$B73,Evidence_Log!$E$2:$E$200,$E73,Evidence_Log!$V$2:$V$200,"Yes")/SUMIFS(Evidence_Log!$P$2:$P$200,Evidence_Log!$B$2:$B$200,$B73,Evidence_Log!$E$2:$E$200,$E73,Evidence_Log!$V$2:$V$200,"Yes"),"")</x:f>
      </x:c>
      <x:c r="G73" s="30" t="str">
        <x:f>IF(L73=0,"",ROUND(F73,0))</x:f>
      </x:c>
      <x:c r="H73" s="30" t="str">
        <x:f>IFERROR(MIN(100,ROUND((SUMIFS(Evidence_Log!$N$2:$N$200,Evidence_Log!$B$2:$B$200,$B73,Evidence_Log!$E$2:$E$200,$E73,Evidence_Log!$V$2:$V$200,"Yes")/L73)*(SUMIFS(Evidence_Log!$O$2:$O$200,Evidence_Log!$B$2:$B$200,$B73,Evidence_Log!$E$2:$E$200,$E73,Evidence_Log!$V$2:$V$200,"Yes")/L73)*IF(J73&gt;=3,1.15,IF(J73=2,1,IF(J73=1,0.7,0)))*100,0)),"")</x:f>
      </x:c>
      <x:c r="I73" s="30" t="str">
        <x:f>IF(H73="","No data",IFS(H73&gt;=80,"High",H73&gt;=60,"Medium",H73&gt;=40,"Low",TRUE,"Needs review"))</x:f>
        <x:v>No data</x:v>
      </x:c>
      <x:c r="J73" s="30" t="n">
        <x:f>COUNTIFS(Evidence_Log!$B$2:$B$200,$B73,Evidence_Log!$E$2:$E$200,$E73,Evidence_Log!$V$2:$V$200,"Yes",Evidence_Log!$S$2:$S$200,"&lt;&gt;")</x:f>
        <x:v>0</x:v>
      </x:c>
      <x:c r="K73" s="30" t="n">
        <x:f>COUNTIFS(Evidence_Log!$B$2:$B$200,$B73,Evidence_Log!$E$2:$E$200,$E73,Evidence_Log!$V$2:$V$200,"Yes",Evidence_Log!$I$2:$I$200,"Tier 1")+COUNTIFS(Evidence_Log!$B$2:$B$200,$B73,Evidence_Log!$E$2:$E$200,$E73,Evidence_Log!$V$2:$V$200,"Yes",Evidence_Log!$I$2:$I$200,"Tier 2")</x:f>
        <x:v>0</x:v>
      </x:c>
      <x:c r="L73" s="30" t="n">
        <x:f>COUNTIFS(Evidence_Log!$B$2:$B$200,$B73,Evidence_Log!$E$2:$E$200,$E73,Evidence_Log!$V$2:$V$200,"Yes")</x:f>
        <x:v>0</x:v>
      </x:c>
      <x:c r="M73" s="30" t="str">
        <x:f>IF(L73=0,"No evidence",IF(H73&lt;60,"Needs review",IF(J73&lt;2,"Needs 2 independent sources",IF(K73&lt;1,"Needs Tier 1/2 source","Publishable"))))</x:f>
        <x:v>No evidence</x:v>
      </x:c>
      <x:c r="N73" s="30" t="str">
        <x:f>IFERROR("#"&amp;VLOOKUP(G73,Legend_Config!$A$2:$C$7,3,FALSE),"")</x:f>
        <x:v>#F2F2F2</x:v>
      </x:c>
      <x:c r="O73" s="30" t="n">
        <x:f>IF(I73="","",VLOOKUP(I73,Legend_Config!$F$2:$G$6,2,FALSE))</x:f>
        <x:v>0.15</x:v>
      </x:c>
      <x:c r="P73" s="30" t="n">
        <x:f>IFERROR(MAX(FILTER(Evidence_Log!$L$2:$L$200,Evidence_Log!$B$2:$B$200=$B73,Evidence_Log!$E$2:$E$200=$E73,Evidence_Log!$V$2:$V$200="Yes")),"")</x:f>
        <x:v>0</x:v>
      </x:c>
      <x:c r="Q73" s="30" t="str">
        <x:f>IF(L73=0,"No evidence logged",G73&amp;" / "&amp;I73&amp;" confidence ("&amp;H73&amp;"%) from "&amp;L73&amp;" evidence row(s), "&amp;J73&amp;" source row(s).")</x:f>
        <x:v>No evidence logged</x:v>
      </x:c>
    </x:row>
    <x:row r="74">
      <x:c r="A74" s="30" t="str">
        <x:f>IF(OR(B74="",E74=""),"",B74&amp;"|"&amp;E74)</x:f>
      </x:c>
      <x:c r="B74" s="30"/>
      <x:c r="C74" s="30"/>
      <x:c r="D74" s="30"/>
      <x:c r="E74" s="30"/>
      <x:c r="F74" s="30" t="str">
        <x:f>IFERROR(SUMIFS(Evidence_Log!$Q$2:$Q$200,Evidence_Log!$B$2:$B$200,$B74,Evidence_Log!$E$2:$E$200,$E74,Evidence_Log!$V$2:$V$200,"Yes")/SUMIFS(Evidence_Log!$P$2:$P$200,Evidence_Log!$B$2:$B$200,$B74,Evidence_Log!$E$2:$E$200,$E74,Evidence_Log!$V$2:$V$200,"Yes"),"")</x:f>
      </x:c>
      <x:c r="G74" s="30" t="str">
        <x:f>IF(L74=0,"",ROUND(F74,0))</x:f>
      </x:c>
      <x:c r="H74" s="30" t="str">
        <x:f>IFERROR(MIN(100,ROUND((SUMIFS(Evidence_Log!$N$2:$N$200,Evidence_Log!$B$2:$B$200,$B74,Evidence_Log!$E$2:$E$200,$E74,Evidence_Log!$V$2:$V$200,"Yes")/L74)*(SUMIFS(Evidence_Log!$O$2:$O$200,Evidence_Log!$B$2:$B$200,$B74,Evidence_Log!$E$2:$E$200,$E74,Evidence_Log!$V$2:$V$200,"Yes")/L74)*IF(J74&gt;=3,1.15,IF(J74=2,1,IF(J74=1,0.7,0)))*100,0)),"")</x:f>
      </x:c>
      <x:c r="I74" s="30" t="str">
        <x:f>IF(H74="","No data",IFS(H74&gt;=80,"High",H74&gt;=60,"Medium",H74&gt;=40,"Low",TRUE,"Needs review"))</x:f>
        <x:v>No data</x:v>
      </x:c>
      <x:c r="J74" s="30" t="n">
        <x:f>COUNTIFS(Evidence_Log!$B$2:$B$200,$B74,Evidence_Log!$E$2:$E$200,$E74,Evidence_Log!$V$2:$V$200,"Yes",Evidence_Log!$S$2:$S$200,"&lt;&gt;")</x:f>
        <x:v>0</x:v>
      </x:c>
      <x:c r="K74" s="30" t="n">
        <x:f>COUNTIFS(Evidence_Log!$B$2:$B$200,$B74,Evidence_Log!$E$2:$E$200,$E74,Evidence_Log!$V$2:$V$200,"Yes",Evidence_Log!$I$2:$I$200,"Tier 1")+COUNTIFS(Evidence_Log!$B$2:$B$200,$B74,Evidence_Log!$E$2:$E$200,$E74,Evidence_Log!$V$2:$V$200,"Yes",Evidence_Log!$I$2:$I$200,"Tier 2")</x:f>
        <x:v>0</x:v>
      </x:c>
      <x:c r="L74" s="30" t="n">
        <x:f>COUNTIFS(Evidence_Log!$B$2:$B$200,$B74,Evidence_Log!$E$2:$E$200,$E74,Evidence_Log!$V$2:$V$200,"Yes")</x:f>
        <x:v>0</x:v>
      </x:c>
      <x:c r="M74" s="30" t="str">
        <x:f>IF(L74=0,"No evidence",IF(H74&lt;60,"Needs review",IF(J74&lt;2,"Needs 2 independent sources",IF(K74&lt;1,"Needs Tier 1/2 source","Publishable"))))</x:f>
        <x:v>No evidence</x:v>
      </x:c>
      <x:c r="N74" s="30" t="str">
        <x:f>IFERROR("#"&amp;VLOOKUP(G74,Legend_Config!$A$2:$C$7,3,FALSE),"")</x:f>
        <x:v>#F2F2F2</x:v>
      </x:c>
      <x:c r="O74" s="30" t="n">
        <x:f>IF(I74="","",VLOOKUP(I74,Legend_Config!$F$2:$G$6,2,FALSE))</x:f>
        <x:v>0.15</x:v>
      </x:c>
      <x:c r="P74" s="30" t="n">
        <x:f>IFERROR(MAX(FILTER(Evidence_Log!$L$2:$L$200,Evidence_Log!$B$2:$B$200=$B74,Evidence_Log!$E$2:$E$200=$E74,Evidence_Log!$V$2:$V$200="Yes")),"")</x:f>
        <x:v>0</x:v>
      </x:c>
      <x:c r="Q74" s="30" t="str">
        <x:f>IF(L74=0,"No evidence logged",G74&amp;" / "&amp;I74&amp;" confidence ("&amp;H74&amp;"%) from "&amp;L74&amp;" evidence row(s), "&amp;J74&amp;" source row(s).")</x:f>
        <x:v>No evidence logged</x:v>
      </x:c>
    </x:row>
    <x:row r="75">
      <x:c r="A75" s="30" t="str">
        <x:f>IF(OR(B75="",E75=""),"",B75&amp;"|"&amp;E75)</x:f>
      </x:c>
      <x:c r="B75" s="30"/>
      <x:c r="C75" s="30"/>
      <x:c r="D75" s="30"/>
      <x:c r="E75" s="30"/>
      <x:c r="F75" s="30" t="str">
        <x:f>IFERROR(SUMIFS(Evidence_Log!$Q$2:$Q$200,Evidence_Log!$B$2:$B$200,$B75,Evidence_Log!$E$2:$E$200,$E75,Evidence_Log!$V$2:$V$200,"Yes")/SUMIFS(Evidence_Log!$P$2:$P$200,Evidence_Log!$B$2:$B$200,$B75,Evidence_Log!$E$2:$E$200,$E75,Evidence_Log!$V$2:$V$200,"Yes"),"")</x:f>
      </x:c>
      <x:c r="G75" s="30" t="str">
        <x:f>IF(L75=0,"",ROUND(F75,0))</x:f>
      </x:c>
      <x:c r="H75" s="30" t="str">
        <x:f>IFERROR(MIN(100,ROUND((SUMIFS(Evidence_Log!$N$2:$N$200,Evidence_Log!$B$2:$B$200,$B75,Evidence_Log!$E$2:$E$200,$E75,Evidence_Log!$V$2:$V$200,"Yes")/L75)*(SUMIFS(Evidence_Log!$O$2:$O$200,Evidence_Log!$B$2:$B$200,$B75,Evidence_Log!$E$2:$E$200,$E75,Evidence_Log!$V$2:$V$200,"Yes")/L75)*IF(J75&gt;=3,1.15,IF(J75=2,1,IF(J75=1,0.7,0)))*100,0)),"")</x:f>
      </x:c>
      <x:c r="I75" s="30" t="str">
        <x:f>IF(H75="","No data",IFS(H75&gt;=80,"High",H75&gt;=60,"Medium",H75&gt;=40,"Low",TRUE,"Needs review"))</x:f>
        <x:v>No data</x:v>
      </x:c>
      <x:c r="J75" s="30" t="n">
        <x:f>COUNTIFS(Evidence_Log!$B$2:$B$200,$B75,Evidence_Log!$E$2:$E$200,$E75,Evidence_Log!$V$2:$V$200,"Yes",Evidence_Log!$S$2:$S$200,"&lt;&gt;")</x:f>
        <x:v>0</x:v>
      </x:c>
      <x:c r="K75" s="30" t="n">
        <x:f>COUNTIFS(Evidence_Log!$B$2:$B$200,$B75,Evidence_Log!$E$2:$E$200,$E75,Evidence_Log!$V$2:$V$200,"Yes",Evidence_Log!$I$2:$I$200,"Tier 1")+COUNTIFS(Evidence_Log!$B$2:$B$200,$B75,Evidence_Log!$E$2:$E$200,$E75,Evidence_Log!$V$2:$V$200,"Yes",Evidence_Log!$I$2:$I$200,"Tier 2")</x:f>
        <x:v>0</x:v>
      </x:c>
      <x:c r="L75" s="30" t="n">
        <x:f>COUNTIFS(Evidence_Log!$B$2:$B$200,$B75,Evidence_Log!$E$2:$E$200,$E75,Evidence_Log!$V$2:$V$200,"Yes")</x:f>
        <x:v>0</x:v>
      </x:c>
      <x:c r="M75" s="30" t="str">
        <x:f>IF(L75=0,"No evidence",IF(H75&lt;60,"Needs review",IF(J75&lt;2,"Needs 2 independent sources",IF(K75&lt;1,"Needs Tier 1/2 source","Publishable"))))</x:f>
        <x:v>No evidence</x:v>
      </x:c>
      <x:c r="N75" s="30" t="str">
        <x:f>IFERROR("#"&amp;VLOOKUP(G75,Legend_Config!$A$2:$C$7,3,FALSE),"")</x:f>
        <x:v>#F2F2F2</x:v>
      </x:c>
      <x:c r="O75" s="30" t="n">
        <x:f>IF(I75="","",VLOOKUP(I75,Legend_Config!$F$2:$G$6,2,FALSE))</x:f>
        <x:v>0.15</x:v>
      </x:c>
      <x:c r="P75" s="30" t="n">
        <x:f>IFERROR(MAX(FILTER(Evidence_Log!$L$2:$L$200,Evidence_Log!$B$2:$B$200=$B75,Evidence_Log!$E$2:$E$200=$E75,Evidence_Log!$V$2:$V$200="Yes")),"")</x:f>
        <x:v>0</x:v>
      </x:c>
      <x:c r="Q75" s="30" t="str">
        <x:f>IF(L75=0,"No evidence logged",G75&amp;" / "&amp;I75&amp;" confidence ("&amp;H75&amp;"%) from "&amp;L75&amp;" evidence row(s), "&amp;J75&amp;" source row(s).")</x:f>
        <x:v>No evidence logged</x:v>
      </x:c>
    </x:row>
    <x:row r="76">
      <x:c r="A76" s="30" t="str">
        <x:f>IF(OR(B76="",E76=""),"",B76&amp;"|"&amp;E76)</x:f>
      </x:c>
      <x:c r="B76" s="30"/>
      <x:c r="C76" s="30"/>
      <x:c r="D76" s="30"/>
      <x:c r="E76" s="30"/>
      <x:c r="F76" s="30" t="str">
        <x:f>IFERROR(SUMIFS(Evidence_Log!$Q$2:$Q$200,Evidence_Log!$B$2:$B$200,$B76,Evidence_Log!$E$2:$E$200,$E76,Evidence_Log!$V$2:$V$200,"Yes")/SUMIFS(Evidence_Log!$P$2:$P$200,Evidence_Log!$B$2:$B$200,$B76,Evidence_Log!$E$2:$E$200,$E76,Evidence_Log!$V$2:$V$200,"Yes"),"")</x:f>
      </x:c>
      <x:c r="G76" s="30" t="str">
        <x:f>IF(L76=0,"",ROUND(F76,0))</x:f>
      </x:c>
      <x:c r="H76" s="30" t="str">
        <x:f>IFERROR(MIN(100,ROUND((SUMIFS(Evidence_Log!$N$2:$N$200,Evidence_Log!$B$2:$B$200,$B76,Evidence_Log!$E$2:$E$200,$E76,Evidence_Log!$V$2:$V$200,"Yes")/L76)*(SUMIFS(Evidence_Log!$O$2:$O$200,Evidence_Log!$B$2:$B$200,$B76,Evidence_Log!$E$2:$E$200,$E76,Evidence_Log!$V$2:$V$200,"Yes")/L76)*IF(J76&gt;=3,1.15,IF(J76=2,1,IF(J76=1,0.7,0)))*100,0)),"")</x:f>
      </x:c>
      <x:c r="I76" s="30" t="str">
        <x:f>IF(H76="","No data",IFS(H76&gt;=80,"High",H76&gt;=60,"Medium",H76&gt;=40,"Low",TRUE,"Needs review"))</x:f>
        <x:v>No data</x:v>
      </x:c>
      <x:c r="J76" s="30" t="n">
        <x:f>COUNTIFS(Evidence_Log!$B$2:$B$200,$B76,Evidence_Log!$E$2:$E$200,$E76,Evidence_Log!$V$2:$V$200,"Yes",Evidence_Log!$S$2:$S$200,"&lt;&gt;")</x:f>
        <x:v>0</x:v>
      </x:c>
      <x:c r="K76" s="30" t="n">
        <x:f>COUNTIFS(Evidence_Log!$B$2:$B$200,$B76,Evidence_Log!$E$2:$E$200,$E76,Evidence_Log!$V$2:$V$200,"Yes",Evidence_Log!$I$2:$I$200,"Tier 1")+COUNTIFS(Evidence_Log!$B$2:$B$200,$B76,Evidence_Log!$E$2:$E$200,$E76,Evidence_Log!$V$2:$V$200,"Yes",Evidence_Log!$I$2:$I$200,"Tier 2")</x:f>
        <x:v>0</x:v>
      </x:c>
      <x:c r="L76" s="30" t="n">
        <x:f>COUNTIFS(Evidence_Log!$B$2:$B$200,$B76,Evidence_Log!$E$2:$E$200,$E76,Evidence_Log!$V$2:$V$200,"Yes")</x:f>
        <x:v>0</x:v>
      </x:c>
      <x:c r="M76" s="30" t="str">
        <x:f>IF(L76=0,"No evidence",IF(H76&lt;60,"Needs review",IF(J76&lt;2,"Needs 2 independent sources",IF(K76&lt;1,"Needs Tier 1/2 source","Publishable"))))</x:f>
        <x:v>No evidence</x:v>
      </x:c>
      <x:c r="N76" s="30" t="str">
        <x:f>IFERROR("#"&amp;VLOOKUP(G76,Legend_Config!$A$2:$C$7,3,FALSE),"")</x:f>
        <x:v>#F2F2F2</x:v>
      </x:c>
      <x:c r="O76" s="30" t="n">
        <x:f>IF(I76="","",VLOOKUP(I76,Legend_Config!$F$2:$G$6,2,FALSE))</x:f>
        <x:v>0.15</x:v>
      </x:c>
      <x:c r="P76" s="30" t="n">
        <x:f>IFERROR(MAX(FILTER(Evidence_Log!$L$2:$L$200,Evidence_Log!$B$2:$B$200=$B76,Evidence_Log!$E$2:$E$200=$E76,Evidence_Log!$V$2:$V$200="Yes")),"")</x:f>
        <x:v>0</x:v>
      </x:c>
      <x:c r="Q76" s="30" t="str">
        <x:f>IF(L76=0,"No evidence logged",G76&amp;" / "&amp;I76&amp;" confidence ("&amp;H76&amp;"%) from "&amp;L76&amp;" evidence row(s), "&amp;J76&amp;" source row(s).")</x:f>
        <x:v>No evidence logged</x:v>
      </x:c>
    </x:row>
    <x:row r="77">
      <x:c r="A77" s="30" t="str">
        <x:f>IF(OR(B77="",E77=""),"",B77&amp;"|"&amp;E77)</x:f>
      </x:c>
      <x:c r="B77" s="30"/>
      <x:c r="C77" s="30"/>
      <x:c r="D77" s="30"/>
      <x:c r="E77" s="30"/>
      <x:c r="F77" s="30" t="str">
        <x:f>IFERROR(SUMIFS(Evidence_Log!$Q$2:$Q$200,Evidence_Log!$B$2:$B$200,$B77,Evidence_Log!$E$2:$E$200,$E77,Evidence_Log!$V$2:$V$200,"Yes")/SUMIFS(Evidence_Log!$P$2:$P$200,Evidence_Log!$B$2:$B$200,$B77,Evidence_Log!$E$2:$E$200,$E77,Evidence_Log!$V$2:$V$200,"Yes"),"")</x:f>
      </x:c>
      <x:c r="G77" s="30" t="str">
        <x:f>IF(L77=0,"",ROUND(F77,0))</x:f>
      </x:c>
      <x:c r="H77" s="30" t="str">
        <x:f>IFERROR(MIN(100,ROUND((SUMIFS(Evidence_Log!$N$2:$N$200,Evidence_Log!$B$2:$B$200,$B77,Evidence_Log!$E$2:$E$200,$E77,Evidence_Log!$V$2:$V$200,"Yes")/L77)*(SUMIFS(Evidence_Log!$O$2:$O$200,Evidence_Log!$B$2:$B$200,$B77,Evidence_Log!$E$2:$E$200,$E77,Evidence_Log!$V$2:$V$200,"Yes")/L77)*IF(J77&gt;=3,1.15,IF(J77=2,1,IF(J77=1,0.7,0)))*100,0)),"")</x:f>
      </x:c>
      <x:c r="I77" s="30" t="str">
        <x:f>IF(H77="","No data",IFS(H77&gt;=80,"High",H77&gt;=60,"Medium",H77&gt;=40,"Low",TRUE,"Needs review"))</x:f>
        <x:v>No data</x:v>
      </x:c>
      <x:c r="J77" s="30" t="n">
        <x:f>COUNTIFS(Evidence_Log!$B$2:$B$200,$B77,Evidence_Log!$E$2:$E$200,$E77,Evidence_Log!$V$2:$V$200,"Yes",Evidence_Log!$S$2:$S$200,"&lt;&gt;")</x:f>
        <x:v>0</x:v>
      </x:c>
      <x:c r="K77" s="30" t="n">
        <x:f>COUNTIFS(Evidence_Log!$B$2:$B$200,$B77,Evidence_Log!$E$2:$E$200,$E77,Evidence_Log!$V$2:$V$200,"Yes",Evidence_Log!$I$2:$I$200,"Tier 1")+COUNTIFS(Evidence_Log!$B$2:$B$200,$B77,Evidence_Log!$E$2:$E$200,$E77,Evidence_Log!$V$2:$V$200,"Yes",Evidence_Log!$I$2:$I$200,"Tier 2")</x:f>
        <x:v>0</x:v>
      </x:c>
      <x:c r="L77" s="30" t="n">
        <x:f>COUNTIFS(Evidence_Log!$B$2:$B$200,$B77,Evidence_Log!$E$2:$E$200,$E77,Evidence_Log!$V$2:$V$200,"Yes")</x:f>
        <x:v>0</x:v>
      </x:c>
      <x:c r="M77" s="30" t="str">
        <x:f>IF(L77=0,"No evidence",IF(H77&lt;60,"Needs review",IF(J77&lt;2,"Needs 2 independent sources",IF(K77&lt;1,"Needs Tier 1/2 source","Publishable"))))</x:f>
        <x:v>No evidence</x:v>
      </x:c>
      <x:c r="N77" s="30" t="str">
        <x:f>IFERROR("#"&amp;VLOOKUP(G77,Legend_Config!$A$2:$C$7,3,FALSE),"")</x:f>
        <x:v>#F2F2F2</x:v>
      </x:c>
      <x:c r="O77" s="30" t="n">
        <x:f>IF(I77="","",VLOOKUP(I77,Legend_Config!$F$2:$G$6,2,FALSE))</x:f>
        <x:v>0.15</x:v>
      </x:c>
      <x:c r="P77" s="30" t="n">
        <x:f>IFERROR(MAX(FILTER(Evidence_Log!$L$2:$L$200,Evidence_Log!$B$2:$B$200=$B77,Evidence_Log!$E$2:$E$200=$E77,Evidence_Log!$V$2:$V$200="Yes")),"")</x:f>
        <x:v>0</x:v>
      </x:c>
      <x:c r="Q77" s="30" t="str">
        <x:f>IF(L77=0,"No evidence logged",G77&amp;" / "&amp;I77&amp;" confidence ("&amp;H77&amp;"%) from "&amp;L77&amp;" evidence row(s), "&amp;J77&amp;" source row(s).")</x:f>
        <x:v>No evidence logged</x:v>
      </x:c>
    </x:row>
    <x:row r="78">
      <x:c r="A78" s="30" t="str">
        <x:f>IF(OR(B78="",E78=""),"",B78&amp;"|"&amp;E78)</x:f>
      </x:c>
      <x:c r="B78" s="30"/>
      <x:c r="C78" s="30"/>
      <x:c r="D78" s="30"/>
      <x:c r="E78" s="30"/>
      <x:c r="F78" s="30" t="str">
        <x:f>IFERROR(SUMIFS(Evidence_Log!$Q$2:$Q$200,Evidence_Log!$B$2:$B$200,$B78,Evidence_Log!$E$2:$E$200,$E78,Evidence_Log!$V$2:$V$200,"Yes")/SUMIFS(Evidence_Log!$P$2:$P$200,Evidence_Log!$B$2:$B$200,$B78,Evidence_Log!$E$2:$E$200,$E78,Evidence_Log!$V$2:$V$200,"Yes"),"")</x:f>
      </x:c>
      <x:c r="G78" s="30" t="str">
        <x:f>IF(L78=0,"",ROUND(F78,0))</x:f>
      </x:c>
      <x:c r="H78" s="30" t="str">
        <x:f>IFERROR(MIN(100,ROUND((SUMIFS(Evidence_Log!$N$2:$N$200,Evidence_Log!$B$2:$B$200,$B78,Evidence_Log!$E$2:$E$200,$E78,Evidence_Log!$V$2:$V$200,"Yes")/L78)*(SUMIFS(Evidence_Log!$O$2:$O$200,Evidence_Log!$B$2:$B$200,$B78,Evidence_Log!$E$2:$E$200,$E78,Evidence_Log!$V$2:$V$200,"Yes")/L78)*IF(J78&gt;=3,1.15,IF(J78=2,1,IF(J78=1,0.7,0)))*100,0)),"")</x:f>
      </x:c>
      <x:c r="I78" s="30" t="str">
        <x:f>IF(H78="","No data",IFS(H78&gt;=80,"High",H78&gt;=60,"Medium",H78&gt;=40,"Low",TRUE,"Needs review"))</x:f>
        <x:v>No data</x:v>
      </x:c>
      <x:c r="J78" s="30" t="n">
        <x:f>COUNTIFS(Evidence_Log!$B$2:$B$200,$B78,Evidence_Log!$E$2:$E$200,$E78,Evidence_Log!$V$2:$V$200,"Yes",Evidence_Log!$S$2:$S$200,"&lt;&gt;")</x:f>
        <x:v>0</x:v>
      </x:c>
      <x:c r="K78" s="30" t="n">
        <x:f>COUNTIFS(Evidence_Log!$B$2:$B$200,$B78,Evidence_Log!$E$2:$E$200,$E78,Evidence_Log!$V$2:$V$200,"Yes",Evidence_Log!$I$2:$I$200,"Tier 1")+COUNTIFS(Evidence_Log!$B$2:$B$200,$B78,Evidence_Log!$E$2:$E$200,$E78,Evidence_Log!$V$2:$V$200,"Yes",Evidence_Log!$I$2:$I$200,"Tier 2")</x:f>
        <x:v>0</x:v>
      </x:c>
      <x:c r="L78" s="30" t="n">
        <x:f>COUNTIFS(Evidence_Log!$B$2:$B$200,$B78,Evidence_Log!$E$2:$E$200,$E78,Evidence_Log!$V$2:$V$200,"Yes")</x:f>
        <x:v>0</x:v>
      </x:c>
      <x:c r="M78" s="30" t="str">
        <x:f>IF(L78=0,"No evidence",IF(H78&lt;60,"Needs review",IF(J78&lt;2,"Needs 2 independent sources",IF(K78&lt;1,"Needs Tier 1/2 source","Publishable"))))</x:f>
        <x:v>No evidence</x:v>
      </x:c>
      <x:c r="N78" s="30" t="str">
        <x:f>IFERROR("#"&amp;VLOOKUP(G78,Legend_Config!$A$2:$C$7,3,FALSE),"")</x:f>
        <x:v>#F2F2F2</x:v>
      </x:c>
      <x:c r="O78" s="30" t="n">
        <x:f>IF(I78="","",VLOOKUP(I78,Legend_Config!$F$2:$G$6,2,FALSE))</x:f>
        <x:v>0.15</x:v>
      </x:c>
      <x:c r="P78" s="30" t="n">
        <x:f>IFERROR(MAX(FILTER(Evidence_Log!$L$2:$L$200,Evidence_Log!$B$2:$B$200=$B78,Evidence_Log!$E$2:$E$200=$E78,Evidence_Log!$V$2:$V$200="Yes")),"")</x:f>
        <x:v>0</x:v>
      </x:c>
      <x:c r="Q78" s="30" t="str">
        <x:f>IF(L78=0,"No evidence logged",G78&amp;" / "&amp;I78&amp;" confidence ("&amp;H78&amp;"%) from "&amp;L78&amp;" evidence row(s), "&amp;J78&amp;" source row(s).")</x:f>
        <x:v>No evidence logged</x:v>
      </x:c>
    </x:row>
    <x:row r="79">
      <x:c r="A79" s="30" t="str">
        <x:f>IF(OR(B79="",E79=""),"",B79&amp;"|"&amp;E79)</x:f>
      </x:c>
      <x:c r="B79" s="30"/>
      <x:c r="C79" s="30"/>
      <x:c r="D79" s="30"/>
      <x:c r="E79" s="30"/>
      <x:c r="F79" s="30" t="str">
        <x:f>IFERROR(SUMIFS(Evidence_Log!$Q$2:$Q$200,Evidence_Log!$B$2:$B$200,$B79,Evidence_Log!$E$2:$E$200,$E79,Evidence_Log!$V$2:$V$200,"Yes")/SUMIFS(Evidence_Log!$P$2:$P$200,Evidence_Log!$B$2:$B$200,$B79,Evidence_Log!$E$2:$E$200,$E79,Evidence_Log!$V$2:$V$200,"Yes"),"")</x:f>
      </x:c>
      <x:c r="G79" s="30" t="str">
        <x:f>IF(L79=0,"",ROUND(F79,0))</x:f>
      </x:c>
      <x:c r="H79" s="30" t="str">
        <x:f>IFERROR(MIN(100,ROUND((SUMIFS(Evidence_Log!$N$2:$N$200,Evidence_Log!$B$2:$B$200,$B79,Evidence_Log!$E$2:$E$200,$E79,Evidence_Log!$V$2:$V$200,"Yes")/L79)*(SUMIFS(Evidence_Log!$O$2:$O$200,Evidence_Log!$B$2:$B$200,$B79,Evidence_Log!$E$2:$E$200,$E79,Evidence_Log!$V$2:$V$200,"Yes")/L79)*IF(J79&gt;=3,1.15,IF(J79=2,1,IF(J79=1,0.7,0)))*100,0)),"")</x:f>
      </x:c>
      <x:c r="I79" s="30" t="str">
        <x:f>IF(H79="","No data",IFS(H79&gt;=80,"High",H79&gt;=60,"Medium",H79&gt;=40,"Low",TRUE,"Needs review"))</x:f>
        <x:v>No data</x:v>
      </x:c>
      <x:c r="J79" s="30" t="n">
        <x:f>COUNTIFS(Evidence_Log!$B$2:$B$200,$B79,Evidence_Log!$E$2:$E$200,$E79,Evidence_Log!$V$2:$V$200,"Yes",Evidence_Log!$S$2:$S$200,"&lt;&gt;")</x:f>
        <x:v>0</x:v>
      </x:c>
      <x:c r="K79" s="30" t="n">
        <x:f>COUNTIFS(Evidence_Log!$B$2:$B$200,$B79,Evidence_Log!$E$2:$E$200,$E79,Evidence_Log!$V$2:$V$200,"Yes",Evidence_Log!$I$2:$I$200,"Tier 1")+COUNTIFS(Evidence_Log!$B$2:$B$200,$B79,Evidence_Log!$E$2:$E$200,$E79,Evidence_Log!$V$2:$V$200,"Yes",Evidence_Log!$I$2:$I$200,"Tier 2")</x:f>
        <x:v>0</x:v>
      </x:c>
      <x:c r="L79" s="30" t="n">
        <x:f>COUNTIFS(Evidence_Log!$B$2:$B$200,$B79,Evidence_Log!$E$2:$E$200,$E79,Evidence_Log!$V$2:$V$200,"Yes")</x:f>
        <x:v>0</x:v>
      </x:c>
      <x:c r="M79" s="30" t="str">
        <x:f>IF(L79=0,"No evidence",IF(H79&lt;60,"Needs review",IF(J79&lt;2,"Needs 2 independent sources",IF(K79&lt;1,"Needs Tier 1/2 source","Publishable"))))</x:f>
        <x:v>No evidence</x:v>
      </x:c>
      <x:c r="N79" s="30" t="str">
        <x:f>IFERROR("#"&amp;VLOOKUP(G79,Legend_Config!$A$2:$C$7,3,FALSE),"")</x:f>
        <x:v>#F2F2F2</x:v>
      </x:c>
      <x:c r="O79" s="30" t="n">
        <x:f>IF(I79="","",VLOOKUP(I79,Legend_Config!$F$2:$G$6,2,FALSE))</x:f>
        <x:v>0.15</x:v>
      </x:c>
      <x:c r="P79" s="30" t="n">
        <x:f>IFERROR(MAX(FILTER(Evidence_Log!$L$2:$L$200,Evidence_Log!$B$2:$B$200=$B79,Evidence_Log!$E$2:$E$200=$E79,Evidence_Log!$V$2:$V$200="Yes")),"")</x:f>
        <x:v>0</x:v>
      </x:c>
      <x:c r="Q79" s="30" t="str">
        <x:f>IF(L79=0,"No evidence logged",G79&amp;" / "&amp;I79&amp;" confidence ("&amp;H79&amp;"%) from "&amp;L79&amp;" evidence row(s), "&amp;J79&amp;" source row(s).")</x:f>
        <x:v>No evidence logged</x:v>
      </x:c>
    </x:row>
    <x:row r="80">
      <x:c r="A80" s="30" t="str">
        <x:f>IF(OR(B80="",E80=""),"",B80&amp;"|"&amp;E80)</x:f>
      </x:c>
      <x:c r="B80" s="30"/>
      <x:c r="C80" s="30"/>
      <x:c r="D80" s="30"/>
      <x:c r="E80" s="30"/>
      <x:c r="F80" s="30" t="str">
        <x:f>IFERROR(SUMIFS(Evidence_Log!$Q$2:$Q$200,Evidence_Log!$B$2:$B$200,$B80,Evidence_Log!$E$2:$E$200,$E80,Evidence_Log!$V$2:$V$200,"Yes")/SUMIFS(Evidence_Log!$P$2:$P$200,Evidence_Log!$B$2:$B$200,$B80,Evidence_Log!$E$2:$E$200,$E80,Evidence_Log!$V$2:$V$200,"Yes"),"")</x:f>
      </x:c>
      <x:c r="G80" s="30" t="str">
        <x:f>IF(L80=0,"",ROUND(F80,0))</x:f>
      </x:c>
      <x:c r="H80" s="30" t="str">
        <x:f>IFERROR(MIN(100,ROUND((SUMIFS(Evidence_Log!$N$2:$N$200,Evidence_Log!$B$2:$B$200,$B80,Evidence_Log!$E$2:$E$200,$E80,Evidence_Log!$V$2:$V$200,"Yes")/L80)*(SUMIFS(Evidence_Log!$O$2:$O$200,Evidence_Log!$B$2:$B$200,$B80,Evidence_Log!$E$2:$E$200,$E80,Evidence_Log!$V$2:$V$200,"Yes")/L80)*IF(J80&gt;=3,1.15,IF(J80=2,1,IF(J80=1,0.7,0)))*100,0)),"")</x:f>
      </x:c>
      <x:c r="I80" s="30" t="str">
        <x:f>IF(H80="","No data",IFS(H80&gt;=80,"High",H80&gt;=60,"Medium",H80&gt;=40,"Low",TRUE,"Needs review"))</x:f>
        <x:v>No data</x:v>
      </x:c>
      <x:c r="J80" s="30" t="n">
        <x:f>COUNTIFS(Evidence_Log!$B$2:$B$200,$B80,Evidence_Log!$E$2:$E$200,$E80,Evidence_Log!$V$2:$V$200,"Yes",Evidence_Log!$S$2:$S$200,"&lt;&gt;")</x:f>
        <x:v>0</x:v>
      </x:c>
      <x:c r="K80" s="30" t="n">
        <x:f>COUNTIFS(Evidence_Log!$B$2:$B$200,$B80,Evidence_Log!$E$2:$E$200,$E80,Evidence_Log!$V$2:$V$200,"Yes",Evidence_Log!$I$2:$I$200,"Tier 1")+COUNTIFS(Evidence_Log!$B$2:$B$200,$B80,Evidence_Log!$E$2:$E$200,$E80,Evidence_Log!$V$2:$V$200,"Yes",Evidence_Log!$I$2:$I$200,"Tier 2")</x:f>
        <x:v>0</x:v>
      </x:c>
      <x:c r="L80" s="30" t="n">
        <x:f>COUNTIFS(Evidence_Log!$B$2:$B$200,$B80,Evidence_Log!$E$2:$E$200,$E80,Evidence_Log!$V$2:$V$200,"Yes")</x:f>
        <x:v>0</x:v>
      </x:c>
      <x:c r="M80" s="30" t="str">
        <x:f>IF(L80=0,"No evidence",IF(H80&lt;60,"Needs review",IF(J80&lt;2,"Needs 2 independent sources",IF(K80&lt;1,"Needs Tier 1/2 source","Publishable"))))</x:f>
        <x:v>No evidence</x:v>
      </x:c>
      <x:c r="N80" s="30" t="str">
        <x:f>IFERROR("#"&amp;VLOOKUP(G80,Legend_Config!$A$2:$C$7,3,FALSE),"")</x:f>
        <x:v>#F2F2F2</x:v>
      </x:c>
      <x:c r="O80" s="30" t="n">
        <x:f>IF(I80="","",VLOOKUP(I80,Legend_Config!$F$2:$G$6,2,FALSE))</x:f>
        <x:v>0.15</x:v>
      </x:c>
      <x:c r="P80" s="30" t="n">
        <x:f>IFERROR(MAX(FILTER(Evidence_Log!$L$2:$L$200,Evidence_Log!$B$2:$B$200=$B80,Evidence_Log!$E$2:$E$200=$E80,Evidence_Log!$V$2:$V$200="Yes")),"")</x:f>
        <x:v>0</x:v>
      </x:c>
      <x:c r="Q80" s="30" t="str">
        <x:f>IF(L80=0,"No evidence logged",G80&amp;" / "&amp;I80&amp;" confidence ("&amp;H80&amp;"%) from "&amp;L80&amp;" evidence row(s), "&amp;J80&amp;" source row(s).")</x:f>
        <x:v>No evidence logged</x:v>
      </x:c>
    </x:row>
  </x:sheetData>
  <x:conditionalFormatting sqref="G2:G8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M2:M80">
    <x:cfRule type="expression" dxfId="2" priority="2">
      <x:formula>M2="Publishable"</x:formula>
    </x:cfRule>
    <x:cfRule type="expression" dxfId="3" priority="3">
      <x:formula>M2="Needs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432c5c2a934e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4" hidden="0" customWidth="1"/>
    <x:col min="17" max="17" width="14" hidden="0" customWidth="1"/>
    <x:col min="18" max="18" width="20" hidden="0" customWidth="1"/>
    <x:col min="19" max="19" width="20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20" hidden="0" customWidth="1"/>
    <x:col min="25" max="25" width="22" hidden="0" customWidth="1"/>
    <x:col min="26" max="26" width="16" hidden="0" customWidth="1"/>
    <x:col min="27" max="27" width="55" hidden="0" customWidth="1"/>
    <x:col min="28" max="28" width="90" hidden="0" customWidth="1"/>
    <x:col min="29" max="29" width="56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48" t="str">
        <x:v>Russian_influence_score</x:v>
      </x:c>
      <x:c r="G1" s="23" t="str">
        <x:v>Russian_confidence</x:v>
      </x:c>
      <x:c r="H1" s="23" t="str">
        <x:v>Russian_colour</x:v>
      </x:c>
      <x:c r="I1" s="52" t="str">
        <x:v>Russian_opacity</x:v>
      </x:c>
      <x:c r="J1" s="48" t="str">
        <x:v>PMC_presence_score</x:v>
      </x:c>
      <x:c r="K1" s="23" t="str">
        <x:v>PMC_confidence</x:v>
      </x:c>
      <x:c r="L1" s="23" t="str">
        <x:v>PMC_colour</x:v>
      </x:c>
      <x:c r="M1" s="52" t="str">
        <x:v>PMC_opacity</x:v>
      </x:c>
      <x:c r="N1" s="48" t="str">
        <x:v>Propaganda_ecosystems_score</x:v>
      </x:c>
      <x:c r="O1" s="23" t="str">
        <x:v>Propaganda_confidence</x:v>
      </x:c>
      <x:c r="P1" s="23" t="str">
        <x:v>Propaganda_colour</x:v>
      </x:c>
      <x:c r="Q1" s="52" t="str">
        <x:v>Propaganda_opacity</x:v>
      </x:c>
      <x:c r="R1" s="48" t="str">
        <x:v>Election_interference_score</x:v>
      </x:c>
      <x:c r="S1" s="23" t="str">
        <x:v>Election_confidence</x:v>
      </x:c>
      <x:c r="T1" s="23" t="str">
        <x:v>Election_colour</x:v>
      </x:c>
      <x:c r="U1" s="52" t="str">
        <x:v>Election_opacity</x:v>
      </x:c>
      <x:c r="V1" s="48" t="str">
        <x:v>Composite_score</x:v>
      </x:c>
      <x:c r="W1" s="23" t="str">
        <x:v>Composite_colour</x:v>
      </x:c>
      <x:c r="X1" s="23" t="str">
        <x:v>Composite_confidence</x:v>
      </x:c>
      <x:c r="Y1" s="23" t="str">
        <x:v>Layer_status</x:v>
      </x:c>
      <x:c r="Z1" s="50" t="str">
        <x:v>Last_updated</x:v>
      </x:c>
      <x:c r="AA1" s="23" t="str">
        <x:v>GeoJSON_Point</x:v>
      </x:c>
      <x:c r="AB1" s="23" t="str">
        <x:v>Feature_Properties_JSON</x:v>
      </x:c>
      <x:c r="AC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n">
        <x:f>IFERROR(VLOOKUP($A2&amp;"|Russian influence",Score_Calculator!$A$2:$Q$80,7,FALSE),"")</x:f>
        <x:v>5</x:v>
      </x:c>
      <x:c r="G2" s="30" t="str">
        <x:f>IFERROR(VLOOKUP($A2&amp;"|Russian influence",Score_Calculator!$A$2:$Q$80,9,FALSE),"")</x:f>
        <x:v>Needs review</x:v>
      </x:c>
      <x:c r="H2" s="30" t="str">
        <x:f>IFERROR("#"&amp;VLOOKUP(F2,Legend_Config!$A$2:$C$7,3,FALSE),"")</x:f>
        <x:v>#A63603</x:v>
      </x:c>
      <x:c r="I2" s="30" t="n">
        <x:f>IFERROR(VLOOKUP($A2&amp;"|Russian influence",Score_Calculator!$A$2:$Q$80,15,FALSE),"")</x:f>
        <x:v>0.25</x:v>
      </x:c>
      <x:c r="J2" s="30" t="n">
        <x:f>IFERROR(VLOOKUP($A2&amp;"|PMC presence",Score_Calculator!$A$2:$Q$80,7,FALSE),"")</x:f>
        <x:v>3</x:v>
      </x:c>
      <x:c r="K2" s="30" t="str">
        <x:f>IFERROR(VLOOKUP($A2&amp;"|PMC presence",Score_Calculator!$A$2:$Q$80,9,FALSE),"")</x:f>
        <x:v>Needs review</x:v>
      </x:c>
      <x:c r="L2" s="30" t="str">
        <x:f>IFERROR("#"&amp;VLOOKUP(J2,Legend_Config!$A$2:$C$7,3,FALSE),"")</x:f>
        <x:v>#FDAE6B</x:v>
      </x:c>
      <x:c r="M2" s="30" t="n">
        <x:f>IFERROR(VLOOKUP($A2&amp;"|PMC presence",Score_Calculator!$A$2:$Q$80,15,FALSE),"")</x:f>
        <x:v>0.25</x:v>
      </x:c>
      <x:c r="N2" s="30" t="n">
        <x:f>IFERROR(VLOOKUP($A2&amp;"|Propaganda ecosystems",Score_Calculator!$A$2:$Q$80,7,FALSE),"")</x:f>
        <x:v>5</x:v>
      </x:c>
      <x:c r="O2" s="30" t="str">
        <x:f>IFERROR(VLOOKUP($A2&amp;"|Propaganda ecosystems",Score_Calculator!$A$2:$Q$80,9,FALSE),"")</x:f>
        <x:v>Needs review</x:v>
      </x:c>
      <x:c r="P2" s="30" t="str">
        <x:f>IFERROR("#"&amp;VLOOKUP(N2,Legend_Config!$A$2:$C$7,3,FALSE),"")</x:f>
        <x:v>#A63603</x:v>
      </x:c>
      <x:c r="Q2" s="30" t="n">
        <x:f>IFERROR(VLOOKUP($A2&amp;"|Propaganda ecosystems",Score_Calculator!$A$2:$Q$80,15,FALSE),"")</x:f>
        <x:v>0.25</x:v>
      </x:c>
      <x:c r="R2" s="30" t="n">
        <x:f>IFERROR(VLOOKUP($A2&amp;"|Election interference",Score_Calculator!$A$2:$Q$80,7,FALSE),"")</x:f>
        <x:v>5</x:v>
      </x:c>
      <x:c r="S2" s="30" t="str">
        <x:f>IFERROR(VLOOKUP($A2&amp;"|Election interference",Score_Calculator!$A$2:$Q$80,9,FALSE),"")</x:f>
        <x:v>Needs review</x:v>
      </x:c>
      <x:c r="T2" s="30" t="str">
        <x:f>IFERROR("#"&amp;VLOOKUP(R2,Legend_Config!$A$2:$C$7,3,FALSE),"")</x:f>
        <x:v>#A63603</x:v>
      </x:c>
      <x:c r="U2" s="30" t="n">
        <x:f>IFERROR(VLOOKUP($A2&amp;"|Election interference",Score_Calculator!$A$2:$Q$80,15,FALSE),"")</x:f>
        <x:v>0.25</x:v>
      </x:c>
      <x:c r="V2" s="30" t="n">
        <x:f>IFERROR(ROUND(AVERAGE(F2,J2,N2,R2),0),"")</x:f>
        <x:v>5</x:v>
      </x:c>
      <x:c r="W2" s="30" t="str">
        <x:f>IFERROR("#"&amp;VLOOKUP(V2,Legend_Config!$A$2:$C$7,3,FALSE),"")</x:f>
        <x:v>#A63603</x:v>
      </x:c>
      <x:c r="X2" s="30" t="str">
        <x:f>IF(COUNTA(G2,K2,O2,S2)=0,"No data",IF(COUNTIF(G2:S2,"Needs review")&gt;0,"Needs review",IF(COUNTIF(G2:S2,"Low")&gt;0,"Low",IF(COUNTIF(G2:S2,"Medium")&gt;0,"Medium","High"))))</x:f>
        <x:v>Needs review</x:v>
      </x:c>
      <x:c r="Y2" s="30" t="str">
        <x:f>IF(X2="No data","No evidence",IF(OR(X2="High",X2="Medium"),"Ready / publishable","Show with caution"))</x:f>
        <x:v>Show with caution</x:v>
      </x:c>
      <x:c r="Z2" s="30" t="n">
        <x:f>IFERROR(MAX(FILTER(Score_Calculator!$P$2:$P$80,Score_Calculator!$B$2:$B$80=$A2)),"")</x:f>
        <x:v>45658</x:v>
      </x:c>
      <x:c r="AA2" s="30" t="str">
        <x:f>IF(OR(D2="",E2=""),"","{""type"":""Point"",""coordinates"":["&amp;TEXT(E2,"0.0000")&amp;","&amp;TEXT(D2,"0.0000")&amp;"]}")</x:f>
        <x:v>{"type":"Point","coordinates":[31.0000,49.0000]}</x:v>
      </x:c>
      <x:c r="AB2" s="30" t="str">
        <x:f>IF(A2="","","{""country"":"""&amp;A2&amp;""",""iso3"":"""&amp;B2&amp;""",""region"":"""&amp;C2&amp;""",""russian_influence_score"":"&amp;IF(ISNUMBER(F2),F2,"null")&amp;", ""russian_confidence"":"""&amp;G2&amp;""",""pmc_presence_score"":"&amp;IF(ISNUMBER(J2),J2,"null")&amp;", ""pmc_confidence"":"""&amp;K2&amp;""",""propaganda_ecosystems_score"":"&amp;IF(ISNUMBER(N2),N2,"null")&amp;", ""propaganda_confidence"":"""&amp;O2&amp;""",""election_interference_score"":"&amp;IF(ISNUMBER(R2),R2,"null")&amp;", ""election_confidence"":"""&amp;S2&amp;""",""composite_score"":"&amp;IF(ISNUMBER(V2),V2,"null")&amp;", ""colour"":""#"&amp;IFERROR(VLOOKUP(V2,Legend_Config!$A$2:$C$7,3,FALSE),"")&amp;""",""confidence"":"""&amp;X2&amp;""",""layer_status"":"""&amp;Y2&amp;"""}")</x:f>
        <x:v>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</x:v>
      </x:c>
      <x:c r="AC2" s="30" t="str">
        <x:f>IFERROR(VLOOKUP(A2,Country_Config!$A$2:$G$100,7,FALSE),"")</x:f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n">
        <x:f>IFERROR(VLOOKUP($A3&amp;"|Russian influence",Score_Calculator!$A$2:$Q$80,7,FALSE),"")</x:f>
        <x:v>3</x:v>
      </x:c>
      <x:c r="G3" s="30" t="str">
        <x:f>IFERROR(VLOOKUP($A3&amp;"|Russian influence",Score_Calculator!$A$2:$Q$80,9,FALSE),"")</x:f>
        <x:v>Needs review</x:v>
      </x:c>
      <x:c r="H3" s="30" t="str">
        <x:f>IFERROR("#"&amp;VLOOKUP(F3,Legend_Config!$A$2:$C$7,3,FALSE),"")</x:f>
        <x:v>#FDAE6B</x:v>
      </x:c>
      <x:c r="I3" s="30" t="n">
        <x:f>IFERROR(VLOOKUP($A3&amp;"|Russian influence",Score_Calculator!$A$2:$Q$80,15,FALSE),"")</x:f>
        <x:v>0.25</x:v>
      </x:c>
      <x:c r="J3" s="30" t="n">
        <x:f>IFERROR(VLOOKUP($A3&amp;"|PMC presence",Score_Calculator!$A$2:$Q$80,7,FALSE),"")</x:f>
        <x:v>0</x:v>
      </x:c>
      <x:c r="K3" s="30" t="str">
        <x:f>IFERROR(VLOOKUP($A3&amp;"|PMC presence",Score_Calculator!$A$2:$Q$80,9,FALSE),"")</x:f>
        <x:v>Needs review</x:v>
      </x:c>
      <x:c r="L3" s="30" t="str">
        <x:f>IFERROR("#"&amp;VLOOKUP(J3,Legend_Config!$A$2:$C$7,3,FALSE),"")</x:f>
        <x:v>#F2F2F2</x:v>
      </x:c>
      <x:c r="M3" s="30" t="n">
        <x:f>IFERROR(VLOOKUP($A3&amp;"|PMC presence",Score_Calculator!$A$2:$Q$80,15,FALSE),"")</x:f>
        <x:v>0.25</x:v>
      </x:c>
      <x:c r="N3" s="30" t="n">
        <x:f>IFERROR(VLOOKUP($A3&amp;"|Propaganda ecosystems",Score_Calculator!$A$2:$Q$80,7,FALSE),"")</x:f>
        <x:v>4</x:v>
      </x:c>
      <x:c r="O3" s="30" t="str">
        <x:f>IFERROR(VLOOKUP($A3&amp;"|Propaganda ecosystems",Score_Calculator!$A$2:$Q$80,9,FALSE),"")</x:f>
        <x:v>Needs review</x:v>
      </x:c>
      <x:c r="P3" s="30" t="str">
        <x:f>IFERROR("#"&amp;VLOOKUP(N3,Legend_Config!$A$2:$C$7,3,FALSE),"")</x:f>
        <x:v>#F16913</x:v>
      </x:c>
      <x:c r="Q3" s="30" t="n">
        <x:f>IFERROR(VLOOKUP($A3&amp;"|Propaganda ecosystems",Score_Calculator!$A$2:$Q$80,15,FALSE),"")</x:f>
        <x:v>0.25</x:v>
      </x:c>
      <x:c r="R3" s="30" t="n">
        <x:f>IFERROR(VLOOKUP($A3&amp;"|Election interference",Score_Calculator!$A$2:$Q$80,7,FALSE),"")</x:f>
        <x:v>3</x:v>
      </x:c>
      <x:c r="S3" s="30" t="str">
        <x:f>IFERROR(VLOOKUP($A3&amp;"|Election interference",Score_Calculator!$A$2:$Q$80,9,FALSE),"")</x:f>
        <x:v>Needs review</x:v>
      </x:c>
      <x:c r="T3" s="30" t="str">
        <x:f>IFERROR("#"&amp;VLOOKUP(R3,Legend_Config!$A$2:$C$7,3,FALSE),"")</x:f>
        <x:v>#FDAE6B</x:v>
      </x:c>
      <x:c r="U3" s="30" t="n">
        <x:f>IFERROR(VLOOKUP($A3&amp;"|Election interference",Score_Calculator!$A$2:$Q$80,15,FALSE),"")</x:f>
        <x:v>0.25</x:v>
      </x:c>
      <x:c r="V3" s="30" t="n">
        <x:f>IFERROR(ROUND(AVERAGE(F3,J3,N3,R3),0),"")</x:f>
        <x:v>3</x:v>
      </x:c>
      <x:c r="W3" s="30" t="str">
        <x:f>IFERROR("#"&amp;VLOOKUP(V3,Legend_Config!$A$2:$C$7,3,FALSE),"")</x:f>
        <x:v>#FDAE6B</x:v>
      </x:c>
      <x:c r="X3" s="30" t="str">
        <x:f>IF(COUNTA(G3,K3,O3,S3)=0,"No data",IF(COUNTIF(G3:S3,"Needs review")&gt;0,"Needs review",IF(COUNTIF(G3:S3,"Low")&gt;0,"Low",IF(COUNTIF(G3:S3,"Medium")&gt;0,"Medium","High"))))</x:f>
        <x:v>Needs review</x:v>
      </x:c>
      <x:c r="Y3" s="30" t="str">
        <x:f>IF(X3="No data","No evidence",IF(OR(X3="High",X3="Medium"),"Ready / publishable","Show with caution"))</x:f>
        <x:v>Show with caution</x:v>
      </x:c>
      <x:c r="Z3" s="30" t="n">
        <x:f>IFERROR(MAX(FILTER(Score_Calculator!$P$2:$P$80,Score_Calculator!$B$2:$B$80=$A3)),"")</x:f>
        <x:v>45658</x:v>
      </x:c>
      <x:c r="AA3" s="30" t="str">
        <x:f>IF(OR(D3="",E3=""),"","{""type"":""Point"",""coordinates"":["&amp;TEXT(E3,"0.0000")&amp;","&amp;TEXT(D3,"0.0000")&amp;"]}")</x:f>
        <x:v>{"type":"Point","coordinates":[10.0000,51.0000]}</x:v>
      </x:c>
      <x:c r="AB3" s="30" t="str">
        <x:f>IF(A3="","","{""country"":"""&amp;A3&amp;""",""iso3"":"""&amp;B3&amp;""",""region"":"""&amp;C3&amp;""",""russian_influence_score"":"&amp;IF(ISNUMBER(F3),F3,"null")&amp;", ""russian_confidence"":"""&amp;G3&amp;""",""pmc_presence_score"":"&amp;IF(ISNUMBER(J3),J3,"null")&amp;", ""pmc_confidence"":"""&amp;K3&amp;""",""propaganda_ecosystems_score"":"&amp;IF(ISNUMBER(N3),N3,"null")&amp;", ""propaganda_confidence"":"""&amp;O3&amp;""",""election_interference_score"":"&amp;IF(ISNUMBER(R3),R3,"null")&amp;", ""election_confidence"":"""&amp;S3&amp;""",""composite_score"":"&amp;IF(ISNUMBER(V3),V3,"null")&amp;", ""colour"":""#"&amp;IFERROR(VLOOKUP(V3,Legend_Config!$A$2:$C$7,3,FALSE),"")&amp;""",""confidence"":"""&amp;X3&amp;""",""layer_status"":"""&amp;Y3&amp;"""}")</x:f>
        <x:v>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3" s="30" t="str">
        <x:f>IFERROR(VLOOKUP(A3,Country_Config!$A$2:$G$100,7,FALSE),"")</x:f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n">
        <x:f>IFERROR(VLOOKUP($A4&amp;"|Russian influence",Score_Calculator!$A$2:$Q$80,7,FALSE),"")</x:f>
        <x:v>3</x:v>
      </x:c>
      <x:c r="G4" s="30" t="str">
        <x:f>IFERROR(VLOOKUP($A4&amp;"|Russian influence",Score_Calculator!$A$2:$Q$80,9,FALSE),"")</x:f>
        <x:v>Needs review</x:v>
      </x:c>
      <x:c r="H4" s="30" t="str">
        <x:f>IFERROR("#"&amp;VLOOKUP(F4,Legend_Config!$A$2:$C$7,3,FALSE),"")</x:f>
        <x:v>#FDAE6B</x:v>
      </x:c>
      <x:c r="I4" s="30" t="n">
        <x:f>IFERROR(VLOOKUP($A4&amp;"|Russian influence",Score_Calculator!$A$2:$Q$80,15,FALSE),"")</x:f>
        <x:v>0.25</x:v>
      </x:c>
      <x:c r="J4" s="30" t="n">
        <x:f>IFERROR(VLOOKUP($A4&amp;"|PMC presence",Score_Calculator!$A$2:$Q$80,7,FALSE),"")</x:f>
        <x:v>0</x:v>
      </x:c>
      <x:c r="K4" s="30" t="str">
        <x:f>IFERROR(VLOOKUP($A4&amp;"|PMC presence",Score_Calculator!$A$2:$Q$80,9,FALSE),"")</x:f>
        <x:v>Needs review</x:v>
      </x:c>
      <x:c r="L4" s="30" t="str">
        <x:f>IFERROR("#"&amp;VLOOKUP(J4,Legend_Config!$A$2:$C$7,3,FALSE),"")</x:f>
        <x:v>#F2F2F2</x:v>
      </x:c>
      <x:c r="M4" s="30" t="n">
        <x:f>IFERROR(VLOOKUP($A4&amp;"|PMC presence",Score_Calculator!$A$2:$Q$80,15,FALSE),"")</x:f>
        <x:v>0.25</x:v>
      </x:c>
      <x:c r="N4" s="30" t="n">
        <x:f>IFERROR(VLOOKUP($A4&amp;"|Propaganda ecosystems",Score_Calculator!$A$2:$Q$80,7,FALSE),"")</x:f>
        <x:v>4</x:v>
      </x:c>
      <x:c r="O4" s="30" t="str">
        <x:f>IFERROR(VLOOKUP($A4&amp;"|Propaganda ecosystems",Score_Calculator!$A$2:$Q$80,9,FALSE),"")</x:f>
        <x:v>Needs review</x:v>
      </x:c>
      <x:c r="P4" s="30" t="str">
        <x:f>IFERROR("#"&amp;VLOOKUP(N4,Legend_Config!$A$2:$C$7,3,FALSE),"")</x:f>
        <x:v>#F16913</x:v>
      </x:c>
      <x:c r="Q4" s="30" t="n">
        <x:f>IFERROR(VLOOKUP($A4&amp;"|Propaganda ecosystems",Score_Calculator!$A$2:$Q$80,15,FALSE),"")</x:f>
        <x:v>0.25</x:v>
      </x:c>
      <x:c r="R4" s="30" t="n">
        <x:f>IFERROR(VLOOKUP($A4&amp;"|Election interference",Score_Calculator!$A$2:$Q$80,7,FALSE),"")</x:f>
        <x:v>3</x:v>
      </x:c>
      <x:c r="S4" s="30" t="str">
        <x:f>IFERROR(VLOOKUP($A4&amp;"|Election interference",Score_Calculator!$A$2:$Q$80,9,FALSE),"")</x:f>
        <x:v>Needs review</x:v>
      </x:c>
      <x:c r="T4" s="30" t="str">
        <x:f>IFERROR("#"&amp;VLOOKUP(R4,Legend_Config!$A$2:$C$7,3,FALSE),"")</x:f>
        <x:v>#FDAE6B</x:v>
      </x:c>
      <x:c r="U4" s="30" t="n">
        <x:f>IFERROR(VLOOKUP($A4&amp;"|Election interference",Score_Calculator!$A$2:$Q$80,15,FALSE),"")</x:f>
        <x:v>0.25</x:v>
      </x:c>
      <x:c r="V4" s="30" t="n">
        <x:f>IFERROR(ROUND(AVERAGE(F4,J4,N4,R4),0),"")</x:f>
        <x:v>3</x:v>
      </x:c>
      <x:c r="W4" s="30" t="str">
        <x:f>IFERROR("#"&amp;VLOOKUP(V4,Legend_Config!$A$2:$C$7,3,FALSE),"")</x:f>
        <x:v>#FDAE6B</x:v>
      </x:c>
      <x:c r="X4" s="30" t="str">
        <x:f>IF(COUNTA(G4,K4,O4,S4)=0,"No data",IF(COUNTIF(G4:S4,"Needs review")&gt;0,"Needs review",IF(COUNTIF(G4:S4,"Low")&gt;0,"Low",IF(COUNTIF(G4:S4,"Medium")&gt;0,"Medium","High"))))</x:f>
        <x:v>Needs review</x:v>
      </x:c>
      <x:c r="Y4" s="30" t="str">
        <x:f>IF(X4="No data","No evidence",IF(OR(X4="High",X4="Medium"),"Ready / publishable","Show with caution"))</x:f>
        <x:v>Show with caution</x:v>
      </x:c>
      <x:c r="Z4" s="30" t="n">
        <x:f>IFERROR(MAX(FILTER(Score_Calculator!$P$2:$P$80,Score_Calculator!$B$2:$B$80=$A4)),"")</x:f>
        <x:v>45658</x:v>
      </x:c>
      <x:c r="AA4" s="30" t="str">
        <x:f>IF(OR(D4="",E4=""),"","{""type"":""Point"",""coordinates"":["&amp;TEXT(E4,"0.0000")&amp;","&amp;TEXT(D4,"0.0000")&amp;"]}")</x:f>
        <x:v>{"type":"Point","coordinates":[2.2000,46.5000]}</x:v>
      </x:c>
      <x:c r="AB4" s="30" t="str">
        <x:f>IF(A4="","","{""country"":"""&amp;A4&amp;""",""iso3"":"""&amp;B4&amp;""",""region"":"""&amp;C4&amp;""",""russian_influence_score"":"&amp;IF(ISNUMBER(F4),F4,"null")&amp;", ""russian_confidence"":"""&amp;G4&amp;""",""pmc_presence_score"":"&amp;IF(ISNUMBER(J4),J4,"null")&amp;", ""pmc_confidence"":"""&amp;K4&amp;""",""propaganda_ecosystems_score"":"&amp;IF(ISNUMBER(N4),N4,"null")&amp;", ""propaganda_confidence"":"""&amp;O4&amp;""",""election_interference_score"":"&amp;IF(ISNUMBER(R4),R4,"null")&amp;", ""election_confidence"":"""&amp;S4&amp;""",""composite_score"":"&amp;IF(ISNUMBER(V4),V4,"null")&amp;", ""colour"":""#"&amp;IFERROR(VLOOKUP(V4,Legend_Config!$A$2:$C$7,3,FALSE),"")&amp;""",""confidence"":"""&amp;X4&amp;""",""layer_status"":"""&amp;Y4&amp;"""}")</x:f>
        <x:v>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4" s="30" t="str">
        <x:f>IFERROR(VLOOKUP(A4,Country_Config!$A$2:$G$100,7,FALSE),"")</x:f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n">
        <x:f>IFERROR(VLOOKUP($A5&amp;"|Russian influence",Score_Calculator!$A$2:$Q$80,7,FALSE),"")</x:f>
        <x:v>5</x:v>
      </x:c>
      <x:c r="G5" s="30" t="str">
        <x:f>IFERROR(VLOOKUP($A5&amp;"|Russian influence",Score_Calculator!$A$2:$Q$80,9,FALSE),"")</x:f>
        <x:v>Needs review</x:v>
      </x:c>
      <x:c r="H5" s="30" t="str">
        <x:f>IFERROR("#"&amp;VLOOKUP(F5,Legend_Config!$A$2:$C$7,3,FALSE),"")</x:f>
        <x:v>#A63603</x:v>
      </x:c>
      <x:c r="I5" s="30" t="n">
        <x:f>IFERROR(VLOOKUP($A5&amp;"|Russian influence",Score_Calculator!$A$2:$Q$80,15,FALSE),"")</x:f>
        <x:v>0.25</x:v>
      </x:c>
      <x:c r="J5" s="30" t="n">
        <x:f>IFERROR(VLOOKUP($A5&amp;"|PMC presence",Score_Calculator!$A$2:$Q$80,7,FALSE),"")</x:f>
        <x:v>5</x:v>
      </x:c>
      <x:c r="K5" s="30" t="str">
        <x:f>IFERROR(VLOOKUP($A5&amp;"|PMC presence",Score_Calculator!$A$2:$Q$80,9,FALSE),"")</x:f>
        <x:v>Needs review</x:v>
      </x:c>
      <x:c r="L5" s="30" t="str">
        <x:f>IFERROR("#"&amp;VLOOKUP(J5,Legend_Config!$A$2:$C$7,3,FALSE),"")</x:f>
        <x:v>#A63603</x:v>
      </x:c>
      <x:c r="M5" s="30" t="n">
        <x:f>IFERROR(VLOOKUP($A5&amp;"|PMC presence",Score_Calculator!$A$2:$Q$80,15,FALSE),"")</x:f>
        <x:v>0.25</x:v>
      </x:c>
      <x:c r="N5" s="30" t="n">
        <x:f>IFERROR(VLOOKUP($A5&amp;"|Propaganda ecosystems",Score_Calculator!$A$2:$Q$80,7,FALSE),"")</x:f>
        <x:v>4</x:v>
      </x:c>
      <x:c r="O5" s="30" t="str">
        <x:f>IFERROR(VLOOKUP($A5&amp;"|Propaganda ecosystems",Score_Calculator!$A$2:$Q$80,9,FALSE),"")</x:f>
        <x:v>Needs review</x:v>
      </x:c>
      <x:c r="P5" s="30" t="str">
        <x:f>IFERROR("#"&amp;VLOOKUP(N5,Legend_Config!$A$2:$C$7,3,FALSE),"")</x:f>
        <x:v>#F16913</x:v>
      </x:c>
      <x:c r="Q5" s="30" t="n">
        <x:f>IFERROR(VLOOKUP($A5&amp;"|Propaganda ecosystems",Score_Calculator!$A$2:$Q$80,15,FALSE),"")</x:f>
        <x:v>0.25</x:v>
      </x:c>
      <x:c r="R5" s="30" t="n">
        <x:f>IFERROR(VLOOKUP($A5&amp;"|Election interference",Score_Calculator!$A$2:$Q$80,7,FALSE),"")</x:f>
        <x:v>2</x:v>
      </x:c>
      <x:c r="S5" s="30" t="str">
        <x:f>IFERROR(VLOOKUP($A5&amp;"|Election interference",Score_Calculator!$A$2:$Q$80,9,FALSE),"")</x:f>
        <x:v>Needs review</x:v>
      </x:c>
      <x:c r="T5" s="30" t="str">
        <x:f>IFERROR("#"&amp;VLOOKUP(R5,Legend_Config!$A$2:$C$7,3,FALSE),"")</x:f>
        <x:v>#ADDD8E</x:v>
      </x:c>
      <x:c r="U5" s="30" t="n">
        <x:f>IFERROR(VLOOKUP($A5&amp;"|Election interference",Score_Calculator!$A$2:$Q$80,15,FALSE),"")</x:f>
        <x:v>0.25</x:v>
      </x:c>
      <x:c r="V5" s="30" t="n">
        <x:f>IFERROR(ROUND(AVERAGE(F5,J5,N5,R5),0),"")</x:f>
        <x:v>4</x:v>
      </x:c>
      <x:c r="W5" s="30" t="str">
        <x:f>IFERROR("#"&amp;VLOOKUP(V5,Legend_Config!$A$2:$C$7,3,FALSE),"")</x:f>
        <x:v>#F16913</x:v>
      </x:c>
      <x:c r="X5" s="30" t="str">
        <x:f>IF(COUNTA(G5,K5,O5,S5)=0,"No data",IF(COUNTIF(G5:S5,"Needs review")&gt;0,"Needs review",IF(COUNTIF(G5:S5,"Low")&gt;0,"Low",IF(COUNTIF(G5:S5,"Medium")&gt;0,"Medium","High"))))</x:f>
        <x:v>Needs review</x:v>
      </x:c>
      <x:c r="Y5" s="30" t="str">
        <x:f>IF(X5="No data","No evidence",IF(OR(X5="High",X5="Medium"),"Ready / publishable","Show with caution"))</x:f>
        <x:v>Show with caution</x:v>
      </x:c>
      <x:c r="Z5" s="30" t="n">
        <x:f>IFERROR(MAX(FILTER(Score_Calculator!$P$2:$P$80,Score_Calculator!$B$2:$B$80=$A5)),"")</x:f>
        <x:v>45658</x:v>
      </x:c>
      <x:c r="AA5" s="30" t="str">
        <x:f>IF(OR(D5="",E5=""),"","{""type"":""Point"",""coordinates"":["&amp;TEXT(E5,"0.0000")&amp;","&amp;TEXT(D5,"0.0000")&amp;"]}")</x:f>
        <x:v>{"type":"Point","coordinates":[-3.9000,17.5000]}</x:v>
      </x:c>
      <x:c r="AB5" s="30" t="str">
        <x:f>IF(A5="","","{""country"":"""&amp;A5&amp;""",""iso3"":"""&amp;B5&amp;""",""region"":"""&amp;C5&amp;""",""russian_influence_score"":"&amp;IF(ISNUMBER(F5),F5,"null")&amp;", ""russian_confidence"":"""&amp;G5&amp;""",""pmc_presence_score"":"&amp;IF(ISNUMBER(J5),J5,"null")&amp;", ""pmc_confidence"":"""&amp;K5&amp;""",""propaganda_ecosystems_score"":"&amp;IF(ISNUMBER(N5),N5,"null")&amp;", ""propaganda_confidence"":"""&amp;O5&amp;""",""election_interference_score"":"&amp;IF(ISNUMBER(R5),R5,"null")&amp;", ""election_confidence"":"""&amp;S5&amp;""",""composite_score"":"&amp;IF(ISNUMBER(V5),V5,"null")&amp;", ""colour"":""#"&amp;IFERROR(VLOOKUP(V5,Legend_Config!$A$2:$C$7,3,FALSE),"")&amp;""",""confidence"":"""&amp;X5&amp;""",""layer_status"":"""&amp;Y5&amp;"""}")</x:f>
        <x:v>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</x:v>
      </x:c>
      <x:c r="AC5" s="30" t="str">
        <x:f>IFERROR(VLOOKUP(A5,Country_Config!$A$2:$G$100,7,FALSE),"")</x:f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n">
        <x:f>IFERROR(VLOOKUP($A6&amp;"|Russian influence",Score_Calculator!$A$2:$Q$80,7,FALSE),"")</x:f>
        <x:v>5</x:v>
      </x:c>
      <x:c r="G6" s="30" t="str">
        <x:f>IFERROR(VLOOKUP($A6&amp;"|Russian influence",Score_Calculator!$A$2:$Q$80,9,FALSE),"")</x:f>
        <x:v>Needs review</x:v>
      </x:c>
      <x:c r="H6" s="30" t="str">
        <x:f>IFERROR("#"&amp;VLOOKUP(F6,Legend_Config!$A$2:$C$7,3,FALSE),"")</x:f>
        <x:v>#A63603</x:v>
      </x:c>
      <x:c r="I6" s="30" t="n">
        <x:f>IFERROR(VLOOKUP($A6&amp;"|Russian influence",Score_Calculator!$A$2:$Q$80,15,FALSE),"")</x:f>
        <x:v>0.25</x:v>
      </x:c>
      <x:c r="J6" s="30" t="n">
        <x:f>IFERROR(VLOOKUP($A6&amp;"|PMC presence",Score_Calculator!$A$2:$Q$80,7,FALSE),"")</x:f>
        <x:v>5</x:v>
      </x:c>
      <x:c r="K6" s="30" t="str">
        <x:f>IFERROR(VLOOKUP($A6&amp;"|PMC presence",Score_Calculator!$A$2:$Q$80,9,FALSE),"")</x:f>
        <x:v>Needs review</x:v>
      </x:c>
      <x:c r="L6" s="30" t="str">
        <x:f>IFERROR("#"&amp;VLOOKUP(J6,Legend_Config!$A$2:$C$7,3,FALSE),"")</x:f>
        <x:v>#A63603</x:v>
      </x:c>
      <x:c r="M6" s="30" t="n">
        <x:f>IFERROR(VLOOKUP($A6&amp;"|PMC presence",Score_Calculator!$A$2:$Q$80,15,FALSE),"")</x:f>
        <x:v>0.25</x:v>
      </x:c>
      <x:c r="N6" s="30" t="n">
        <x:f>IFERROR(VLOOKUP($A6&amp;"|Propaganda ecosystems",Score_Calculator!$A$2:$Q$80,7,FALSE),"")</x:f>
        <x:v>4</x:v>
      </x:c>
      <x:c r="O6" s="30" t="str">
        <x:f>IFERROR(VLOOKUP($A6&amp;"|Propaganda ecosystems",Score_Calculator!$A$2:$Q$80,9,FALSE),"")</x:f>
        <x:v>Needs review</x:v>
      </x:c>
      <x:c r="P6" s="30" t="str">
        <x:f>IFERROR("#"&amp;VLOOKUP(N6,Legend_Config!$A$2:$C$7,3,FALSE),"")</x:f>
        <x:v>#F16913</x:v>
      </x:c>
      <x:c r="Q6" s="30" t="n">
        <x:f>IFERROR(VLOOKUP($A6&amp;"|Propaganda ecosystems",Score_Calculator!$A$2:$Q$80,15,FALSE),"")</x:f>
        <x:v>0.25</x:v>
      </x:c>
      <x:c r="R6" s="30" t="n">
        <x:f>IFERROR(VLOOKUP($A6&amp;"|Election interference",Score_Calculator!$A$2:$Q$80,7,FALSE),"")</x:f>
        <x:v>1</x:v>
      </x:c>
      <x:c r="S6" s="30" t="str">
        <x:f>IFERROR(VLOOKUP($A6&amp;"|Election interference",Score_Calculator!$A$2:$Q$80,9,FALSE),"")</x:f>
        <x:v>Needs review</x:v>
      </x:c>
      <x:c r="T6" s="30" t="str">
        <x:f>IFERROR("#"&amp;VLOOKUP(R6,Legend_Config!$A$2:$C$7,3,FALSE),"")</x:f>
        <x:v>#D9F0D3</x:v>
      </x:c>
      <x:c r="U6" s="30" t="n">
        <x:f>IFERROR(VLOOKUP($A6&amp;"|Election interference",Score_Calculator!$A$2:$Q$80,15,FALSE),"")</x:f>
        <x:v>0.25</x:v>
      </x:c>
      <x:c r="V6" s="30" t="n">
        <x:f>IFERROR(ROUND(AVERAGE(F6,J6,N6,R6),0),"")</x:f>
        <x:v>4</x:v>
      </x:c>
      <x:c r="W6" s="30" t="str">
        <x:f>IFERROR("#"&amp;VLOOKUP(V6,Legend_Config!$A$2:$C$7,3,FALSE),"")</x:f>
        <x:v>#F16913</x:v>
      </x:c>
      <x:c r="X6" s="30" t="str">
        <x:f>IF(COUNTA(G6,K6,O6,S6)=0,"No data",IF(COUNTIF(G6:S6,"Needs review")&gt;0,"Needs review",IF(COUNTIF(G6:S6,"Low")&gt;0,"Low",IF(COUNTIF(G6:S6,"Medium")&gt;0,"Medium","High"))))</x:f>
        <x:v>Needs review</x:v>
      </x:c>
      <x:c r="Y6" s="30" t="str">
        <x:f>IF(X6="No data","No evidence",IF(OR(X6="High",X6="Medium"),"Ready / publishable","Show with caution"))</x:f>
        <x:v>Show with caution</x:v>
      </x:c>
      <x:c r="Z6" s="30" t="n">
        <x:f>IFERROR(MAX(FILTER(Score_Calculator!$P$2:$P$80,Score_Calculator!$B$2:$B$80=$A6)),"")</x:f>
        <x:v>45658</x:v>
      </x:c>
      <x:c r="AA6" s="30" t="str">
        <x:f>IF(OR(D6="",E6=""),"","{""type"":""Point"",""coordinates"":["&amp;TEXT(E6,"0.0000")&amp;","&amp;TEXT(D6,"0.0000")&amp;"]}")</x:f>
        <x:v>{"type":"Point","coordinates":[20.9000,6.6000]}</x:v>
      </x:c>
      <x:c r="AB6" s="30" t="str">
        <x:f>IF(A6="","","{""country"":"""&amp;A6&amp;""",""iso3"":"""&amp;B6&amp;""",""region"":"""&amp;C6&amp;""",""russian_influence_score"":"&amp;IF(ISNUMBER(F6),F6,"null")&amp;", ""russian_confidence"":"""&amp;G6&amp;""",""pmc_presence_score"":"&amp;IF(ISNUMBER(J6),J6,"null")&amp;", ""pmc_confidence"":"""&amp;K6&amp;""",""propaganda_ecosystems_score"":"&amp;IF(ISNUMBER(N6),N6,"null")&amp;", ""propaganda_confidence"":"""&amp;O6&amp;""",""election_interference_score"":"&amp;IF(ISNUMBER(R6),R6,"null")&amp;", ""election_confidence"":"""&amp;S6&amp;""",""composite_score"":"&amp;IF(ISNUMBER(V6),V6,"null")&amp;", ""colour"":""#"&amp;IFERROR(VLOOKUP(V6,Legend_Config!$A$2:$C$7,3,FALSE),"")&amp;""",""confidence"":"""&amp;X6&amp;""",""layer_status"":"""&amp;Y6&amp;"""}")</x:f>
        <x:v>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</x:v>
      </x:c>
      <x:c r="AC6" s="30" t="str">
        <x:f>IFERROR(VLOOKUP(A6,Country_Config!$A$2:$G$100,7,FALSE),"")</x:f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n">
        <x:f>IFERROR(VLOOKUP($A7&amp;"|Russian influence",Score_Calculator!$A$2:$Q$80,7,FALSE),"")</x:f>
        <x:v>2</x:v>
      </x:c>
      <x:c r="G7" s="30" t="str">
        <x:f>IFERROR(VLOOKUP($A7&amp;"|Russian influence",Score_Calculator!$A$2:$Q$80,9,FALSE),"")</x:f>
        <x:v>Needs review</x:v>
      </x:c>
      <x:c r="H7" s="30" t="str">
        <x:f>IFERROR("#"&amp;VLOOKUP(F7,Legend_Config!$A$2:$C$7,3,FALSE),"")</x:f>
        <x:v>#ADDD8E</x:v>
      </x:c>
      <x:c r="I7" s="30" t="n">
        <x:f>IFERROR(VLOOKUP($A7&amp;"|Russian influence",Score_Calculator!$A$2:$Q$80,15,FALSE),"")</x:f>
        <x:v>0.25</x:v>
      </x:c>
      <x:c r="J7" s="30" t="n">
        <x:f>IFERROR(VLOOKUP($A7&amp;"|PMC presence",Score_Calculator!$A$2:$Q$80,7,FALSE),"")</x:f>
        <x:v>0</x:v>
      </x:c>
      <x:c r="K7" s="30" t="str">
        <x:f>IFERROR(VLOOKUP($A7&amp;"|PMC presence",Score_Calculator!$A$2:$Q$80,9,FALSE),"")</x:f>
        <x:v>Needs review</x:v>
      </x:c>
      <x:c r="L7" s="30" t="str">
        <x:f>IFERROR("#"&amp;VLOOKUP(J7,Legend_Config!$A$2:$C$7,3,FALSE),"")</x:f>
        <x:v>#F2F2F2</x:v>
      </x:c>
      <x:c r="M7" s="30" t="n">
        <x:f>IFERROR(VLOOKUP($A7&amp;"|PMC presence",Score_Calculator!$A$2:$Q$80,15,FALSE),"")</x:f>
        <x:v>0.25</x:v>
      </x:c>
      <x:c r="N7" s="30" t="n">
        <x:f>IFERROR(VLOOKUP($A7&amp;"|Propaganda ecosystems",Score_Calculator!$A$2:$Q$80,7,FALSE),"")</x:f>
        <x:v>4</x:v>
      </x:c>
      <x:c r="O7" s="30" t="str">
        <x:f>IFERROR(VLOOKUP($A7&amp;"|Propaganda ecosystems",Score_Calculator!$A$2:$Q$80,9,FALSE),"")</x:f>
        <x:v>Needs review</x:v>
      </x:c>
      <x:c r="P7" s="30" t="str">
        <x:f>IFERROR("#"&amp;VLOOKUP(N7,Legend_Config!$A$2:$C$7,3,FALSE),"")</x:f>
        <x:v>#F16913</x:v>
      </x:c>
      <x:c r="Q7" s="30" t="n">
        <x:f>IFERROR(VLOOKUP($A7&amp;"|Propaganda ecosystems",Score_Calculator!$A$2:$Q$80,15,FALSE),"")</x:f>
        <x:v>0.25</x:v>
      </x:c>
      <x:c r="R7" s="30" t="n">
        <x:f>IFERROR(VLOOKUP($A7&amp;"|Election interference",Score_Calculator!$A$2:$Q$80,7,FALSE),"")</x:f>
        <x:v>5</x:v>
      </x:c>
      <x:c r="S7" s="30" t="str">
        <x:f>IFERROR(VLOOKUP($A7&amp;"|Election interference",Score_Calculator!$A$2:$Q$80,9,FALSE),"")</x:f>
        <x:v>Needs review</x:v>
      </x:c>
      <x:c r="T7" s="30" t="str">
        <x:f>IFERROR("#"&amp;VLOOKUP(R7,Legend_Config!$A$2:$C$7,3,FALSE),"")</x:f>
        <x:v>#A63603</x:v>
      </x:c>
      <x:c r="U7" s="30" t="n">
        <x:f>IFERROR(VLOOKUP($A7&amp;"|Election interference",Score_Calculator!$A$2:$Q$80,15,FALSE),"")</x:f>
        <x:v>0.25</x:v>
      </x:c>
      <x:c r="V7" s="30" t="n">
        <x:f>IFERROR(ROUND(AVERAGE(F7,J7,N7,R7),0),"")</x:f>
        <x:v>3</x:v>
      </x:c>
      <x:c r="W7" s="30" t="str">
        <x:f>IFERROR("#"&amp;VLOOKUP(V7,Legend_Config!$A$2:$C$7,3,FALSE),"")</x:f>
        <x:v>#FDAE6B</x:v>
      </x:c>
      <x:c r="X7" s="30" t="str">
        <x:f>IF(COUNTA(G7,K7,O7,S7)=0,"No data",IF(COUNTIF(G7:S7,"Needs review")&gt;0,"Needs review",IF(COUNTIF(G7:S7,"Low")&gt;0,"Low",IF(COUNTIF(G7:S7,"Medium")&gt;0,"Medium","High"))))</x:f>
        <x:v>Needs review</x:v>
      </x:c>
      <x:c r="Y7" s="30" t="str">
        <x:f>IF(X7="No data","No evidence",IF(OR(X7="High",X7="Medium"),"Ready / publishable","Show with caution"))</x:f>
        <x:v>Show with caution</x:v>
      </x:c>
      <x:c r="Z7" s="30" t="n">
        <x:f>IFERROR(MAX(FILTER(Score_Calculator!$P$2:$P$80,Score_Calculator!$B$2:$B$80=$A7)),"")</x:f>
        <x:v>45658</x:v>
      </x:c>
      <x:c r="AA7" s="30" t="str">
        <x:f>IF(OR(D7="",E7=""),"","{""type"":""Point"",""coordinates"":["&amp;TEXT(E7,"0.0000")&amp;","&amp;TEXT(D7,"0.0000")&amp;"]}")</x:f>
        <x:v>{"type":"Point","coordinates":[-98.6000,39.8000]}</x:v>
      </x:c>
      <x:c r="AB7" s="30" t="str">
        <x:f>IF(A7="","","{""country"":"""&amp;A7&amp;""",""iso3"":"""&amp;B7&amp;""",""region"":"""&amp;C7&amp;""",""russian_influence_score"":"&amp;IF(ISNUMBER(F7),F7,"null")&amp;", ""russian_confidence"":"""&amp;G7&amp;""",""pmc_presence_score"":"&amp;IF(ISNUMBER(J7),J7,"null")&amp;", ""pmc_confidence"":"""&amp;K7&amp;""",""propaganda_ecosystems_score"":"&amp;IF(ISNUMBER(N7),N7,"null")&amp;", ""propaganda_confidence"":"""&amp;O7&amp;""",""election_interference_score"":"&amp;IF(ISNUMBER(R7),R7,"null")&amp;", ""election_confidence"":"""&amp;S7&amp;""",""composite_score"":"&amp;IF(ISNUMBER(V7),V7,"null")&amp;", ""colour"":""#"&amp;IFERROR(VLOOKUP(V7,Legend_Config!$A$2:$C$7,3,FALSE),"")&amp;""",""confidence"":"""&amp;X7&amp;""",""layer_status"":"""&amp;Y7&amp;"""}")</x:f>
        <x:v>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</x:v>
      </x:c>
      <x:c r="AC7" s="30" t="str">
        <x:f>IFERROR(VLOOKUP(A7,Country_Config!$A$2:$G$100,7,FALSE),"")</x:f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n">
        <x:f>IFERROR(VLOOKUP($A8&amp;"|Russian influence",Score_Calculator!$A$2:$Q$80,7,FALSE),"")</x:f>
        <x:v>4</x:v>
      </x:c>
      <x:c r="G8" s="30" t="str">
        <x:f>IFERROR(VLOOKUP($A8&amp;"|Russian influence",Score_Calculator!$A$2:$Q$80,9,FALSE),"")</x:f>
        <x:v>Needs review</x:v>
      </x:c>
      <x:c r="H8" s="30" t="str">
        <x:f>IFERROR("#"&amp;VLOOKUP(F8,Legend_Config!$A$2:$C$7,3,FALSE),"")</x:f>
        <x:v>#F16913</x:v>
      </x:c>
      <x:c r="I8" s="30" t="n">
        <x:f>IFERROR(VLOOKUP($A8&amp;"|Russian influence",Score_Calculator!$A$2:$Q$80,15,FALSE),"")</x:f>
        <x:v>0.25</x:v>
      </x:c>
      <x:c r="J8" s="30" t="n">
        <x:f>IFERROR(VLOOKUP($A8&amp;"|PMC presence",Score_Calculator!$A$2:$Q$80,7,FALSE),"")</x:f>
        <x:v>0</x:v>
      </x:c>
      <x:c r="K8" s="30" t="str">
        <x:f>IFERROR(VLOOKUP($A8&amp;"|PMC presence",Score_Calculator!$A$2:$Q$80,9,FALSE),"")</x:f>
        <x:v>Needs review</x:v>
      </x:c>
      <x:c r="L8" s="30" t="str">
        <x:f>IFERROR("#"&amp;VLOOKUP(J8,Legend_Config!$A$2:$C$7,3,FALSE),"")</x:f>
        <x:v>#F2F2F2</x:v>
      </x:c>
      <x:c r="M8" s="30" t="n">
        <x:f>IFERROR(VLOOKUP($A8&amp;"|PMC presence",Score_Calculator!$A$2:$Q$80,15,FALSE),"")</x:f>
        <x:v>0.25</x:v>
      </x:c>
      <x:c r="N8" s="30" t="n">
        <x:f>IFERROR(VLOOKUP($A8&amp;"|Propaganda ecosystems",Score_Calculator!$A$2:$Q$80,7,FALSE),"")</x:f>
        <x:v>4</x:v>
      </x:c>
      <x:c r="O8" s="30" t="str">
        <x:f>IFERROR(VLOOKUP($A8&amp;"|Propaganda ecosystems",Score_Calculator!$A$2:$Q$80,9,FALSE),"")</x:f>
        <x:v>Needs review</x:v>
      </x:c>
      <x:c r="P8" s="30" t="str">
        <x:f>IFERROR("#"&amp;VLOOKUP(N8,Legend_Config!$A$2:$C$7,3,FALSE),"")</x:f>
        <x:v>#F16913</x:v>
      </x:c>
      <x:c r="Q8" s="30" t="n">
        <x:f>IFERROR(VLOOKUP($A8&amp;"|Propaganda ecosystems",Score_Calculator!$A$2:$Q$80,15,FALSE),"")</x:f>
        <x:v>0.25</x:v>
      </x:c>
      <x:c r="R8" s="30" t="n">
        <x:f>IFERROR(VLOOKUP($A8&amp;"|Election interference",Score_Calculator!$A$2:$Q$80,7,FALSE),"")</x:f>
        <x:v>3</x:v>
      </x:c>
      <x:c r="S8" s="30" t="str">
        <x:f>IFERROR(VLOOKUP($A8&amp;"|Election interference",Score_Calculator!$A$2:$Q$80,9,FALSE),"")</x:f>
        <x:v>Needs review</x:v>
      </x:c>
      <x:c r="T8" s="30" t="str">
        <x:f>IFERROR("#"&amp;VLOOKUP(R8,Legend_Config!$A$2:$C$7,3,FALSE),"")</x:f>
        <x:v>#FDAE6B</x:v>
      </x:c>
      <x:c r="U8" s="30" t="n">
        <x:f>IFERROR(VLOOKUP($A8&amp;"|Election interference",Score_Calculator!$A$2:$Q$80,15,FALSE),"")</x:f>
        <x:v>0.25</x:v>
      </x:c>
      <x:c r="V8" s="30" t="n">
        <x:f>IFERROR(ROUND(AVERAGE(F8,J8,N8,R8),0),"")</x:f>
        <x:v>3</x:v>
      </x:c>
      <x:c r="W8" s="30" t="str">
        <x:f>IFERROR("#"&amp;VLOOKUP(V8,Legend_Config!$A$2:$C$7,3,FALSE),"")</x:f>
        <x:v>#FDAE6B</x:v>
      </x:c>
      <x:c r="X8" s="30" t="str">
        <x:f>IF(COUNTA(G8,K8,O8,S8)=0,"No data",IF(COUNTIF(G8:S8,"Needs review")&gt;0,"Needs review",IF(COUNTIF(G8:S8,"Low")&gt;0,"Low",IF(COUNTIF(G8:S8,"Medium")&gt;0,"Medium","High"))))</x:f>
        <x:v>Needs review</x:v>
      </x:c>
      <x:c r="Y8" s="30" t="str">
        <x:f>IF(X8="No data","No evidence",IF(OR(X8="High",X8="Medium"),"Ready / publishable","Show with caution"))</x:f>
        <x:v>Show with caution</x:v>
      </x:c>
      <x:c r="Z8" s="30" t="n">
        <x:f>IFERROR(MAX(FILTER(Score_Calculator!$P$2:$P$80,Score_Calculator!$B$2:$B$80=$A8)),"")</x:f>
        <x:v>45658</x:v>
      </x:c>
      <x:c r="AA8" s="30" t="str">
        <x:f>IF(OR(D8="",E8=""),"","{""type"":""Point"",""coordinates"":["&amp;TEXT(E8,"0.0000")&amp;","&amp;TEXT(D8,"0.0000")&amp;"]}")</x:f>
        <x:v>{"type":"Point","coordinates":[43.4000,42.3000]}</x:v>
      </x:c>
      <x:c r="AB8" s="30" t="str">
        <x:f>IF(A8="","","{""country"":"""&amp;A8&amp;""",""iso3"":"""&amp;B8&amp;""",""region"":"""&amp;C8&amp;""",""russian_influence_score"":"&amp;IF(ISNUMBER(F8),F8,"null")&amp;", ""russian_confidence"":"""&amp;G8&amp;""",""pmc_presence_score"":"&amp;IF(ISNUMBER(J8),J8,"null")&amp;", ""pmc_confidence"":"""&amp;K8&amp;""",""propaganda_ecosystems_score"":"&amp;IF(ISNUMBER(N8),N8,"null")&amp;", ""propaganda_confidence"":"""&amp;O8&amp;""",""election_interference_score"":"&amp;IF(ISNUMBER(R8),R8,"null")&amp;", ""election_confidence"":"""&amp;S8&amp;""",""composite_score"":"&amp;IF(ISNUMBER(V8),V8,"null")&amp;", ""colour"":""#"&amp;IFERROR(VLOOKUP(V8,Legend_Config!$A$2:$C$7,3,FALSE),"")&amp;""",""confidence"":"""&amp;X8&amp;""",""layer_status"":"""&amp;Y8&amp;"""}")</x:f>
        <x:v>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8" s="30" t="str">
        <x:f>IFERROR(VLOOKUP(A8,Country_Config!$A$2:$G$100,7,FALSE),"")</x:f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n">
        <x:f>IFERROR(VLOOKUP($A9&amp;"|Russian influence",Score_Calculator!$A$2:$Q$80,7,FALSE),"")</x:f>
        <x:v>5</x:v>
      </x:c>
      <x:c r="G9" s="30" t="str">
        <x:f>IFERROR(VLOOKUP($A9&amp;"|Russian influence",Score_Calculator!$A$2:$Q$80,9,FALSE),"")</x:f>
        <x:v>Needs review</x:v>
      </x:c>
      <x:c r="H9" s="30" t="str">
        <x:f>IFERROR("#"&amp;VLOOKUP(F9,Legend_Config!$A$2:$C$7,3,FALSE),"")</x:f>
        <x:v>#A63603</x:v>
      </x:c>
      <x:c r="I9" s="30" t="n">
        <x:f>IFERROR(VLOOKUP($A9&amp;"|Russian influence",Score_Calculator!$A$2:$Q$80,15,FALSE),"")</x:f>
        <x:v>0.25</x:v>
      </x:c>
      <x:c r="J9" s="30" t="n">
        <x:f>IFERROR(VLOOKUP($A9&amp;"|PMC presence",Score_Calculator!$A$2:$Q$80,7,FALSE),"")</x:f>
        <x:v>5</x:v>
      </x:c>
      <x:c r="K9" s="30" t="str">
        <x:f>IFERROR(VLOOKUP($A9&amp;"|PMC presence",Score_Calculator!$A$2:$Q$80,9,FALSE),"")</x:f>
        <x:v>Needs review</x:v>
      </x:c>
      <x:c r="L9" s="30" t="str">
        <x:f>IFERROR("#"&amp;VLOOKUP(J9,Legend_Config!$A$2:$C$7,3,FALSE),"")</x:f>
        <x:v>#A63603</x:v>
      </x:c>
      <x:c r="M9" s="30" t="n">
        <x:f>IFERROR(VLOOKUP($A9&amp;"|PMC presence",Score_Calculator!$A$2:$Q$80,15,FALSE),"")</x:f>
        <x:v>0.25</x:v>
      </x:c>
      <x:c r="N9" s="30" t="n">
        <x:f>IFERROR(VLOOKUP($A9&amp;"|Propaganda ecosystems",Score_Calculator!$A$2:$Q$80,7,FALSE),"")</x:f>
        <x:v>3</x:v>
      </x:c>
      <x:c r="O9" s="30" t="str">
        <x:f>IFERROR(VLOOKUP($A9&amp;"|Propaganda ecosystems",Score_Calculator!$A$2:$Q$80,9,FALSE),"")</x:f>
        <x:v>Needs review</x:v>
      </x:c>
      <x:c r="P9" s="30" t="str">
        <x:f>IFERROR("#"&amp;VLOOKUP(N9,Legend_Config!$A$2:$C$7,3,FALSE),"")</x:f>
        <x:v>#FDAE6B</x:v>
      </x:c>
      <x:c r="Q9" s="30" t="n">
        <x:f>IFERROR(VLOOKUP($A9&amp;"|Propaganda ecosystems",Score_Calculator!$A$2:$Q$80,15,FALSE),"")</x:f>
        <x:v>0.25</x:v>
      </x:c>
      <x:c r="R9" s="30" t="n">
        <x:f>IFERROR(VLOOKUP($A9&amp;"|Election interference",Score_Calculator!$A$2:$Q$80,7,FALSE),"")</x:f>
        <x:v>1</x:v>
      </x:c>
      <x:c r="S9" s="30" t="str">
        <x:f>IFERROR(VLOOKUP($A9&amp;"|Election interference",Score_Calculator!$A$2:$Q$80,9,FALSE),"")</x:f>
        <x:v>Needs review</x:v>
      </x:c>
      <x:c r="T9" s="30" t="str">
        <x:f>IFERROR("#"&amp;VLOOKUP(R9,Legend_Config!$A$2:$C$7,3,FALSE),"")</x:f>
        <x:v>#D9F0D3</x:v>
      </x:c>
      <x:c r="U9" s="30" t="n">
        <x:f>IFERROR(VLOOKUP($A9&amp;"|Election interference",Score_Calculator!$A$2:$Q$80,15,FALSE),"")</x:f>
        <x:v>0.25</x:v>
      </x:c>
      <x:c r="V9" s="30" t="n">
        <x:f>IFERROR(ROUND(AVERAGE(F9,J9,N9,R9),0),"")</x:f>
        <x:v>4</x:v>
      </x:c>
      <x:c r="W9" s="30" t="str">
        <x:f>IFERROR("#"&amp;VLOOKUP(V9,Legend_Config!$A$2:$C$7,3,FALSE),"")</x:f>
        <x:v>#F16913</x:v>
      </x:c>
      <x:c r="X9" s="30" t="str">
        <x:f>IF(COUNTA(G9,K9,O9,S9)=0,"No data",IF(COUNTIF(G9:S9,"Needs review")&gt;0,"Needs review",IF(COUNTIF(G9:S9,"Low")&gt;0,"Low",IF(COUNTIF(G9:S9,"Medium")&gt;0,"Medium","High"))))</x:f>
        <x:v>Needs review</x:v>
      </x:c>
      <x:c r="Y9" s="30" t="str">
        <x:f>IF(X9="No data","No evidence",IF(OR(X9="High",X9="Medium"),"Ready / publishable","Show with caution"))</x:f>
        <x:v>Show with caution</x:v>
      </x:c>
      <x:c r="Z9" s="30" t="n">
        <x:f>IFERROR(MAX(FILTER(Score_Calculator!$P$2:$P$80,Score_Calculator!$B$2:$B$80=$A9)),"")</x:f>
        <x:v>45658</x:v>
      </x:c>
      <x:c r="AA9" s="30" t="str">
        <x:f>IF(OR(D9="",E9=""),"","{""type"":""Point"",""coordinates"":["&amp;TEXT(E9,"0.0000")&amp;","&amp;TEXT(D9,"0.0000")&amp;"]}")</x:f>
        <x:v>{"type":"Point","coordinates":[38.5000,35.0000]}</x:v>
      </x:c>
      <x:c r="AB9" s="30" t="str">
        <x:f>IF(A9="","","{""country"":"""&amp;A9&amp;""",""iso3"":"""&amp;B9&amp;""",""region"":"""&amp;C9&amp;""",""russian_influence_score"":"&amp;IF(ISNUMBER(F9),F9,"null")&amp;", ""russian_confidence"":"""&amp;G9&amp;""",""pmc_presence_score"":"&amp;IF(ISNUMBER(J9),J9,"null")&amp;", ""pmc_confidence"":"""&amp;K9&amp;""",""propaganda_ecosystems_score"":"&amp;IF(ISNUMBER(N9),N9,"null")&amp;", ""propaganda_confidence"":"""&amp;O9&amp;""",""election_interference_score"":"&amp;IF(ISNUMBER(R9),R9,"null")&amp;", ""election_confidence"":"""&amp;S9&amp;""",""composite_score"":"&amp;IF(ISNUMBER(V9),V9,"null")&amp;", ""colour"":""#"&amp;IFERROR(VLOOKUP(V9,Legend_Config!$A$2:$C$7,3,FALSE),"")&amp;""",""confidence"":"""&amp;X9&amp;""",""layer_status"":"""&amp;Y9&amp;"""}")</x:f>
        <x:v>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</x:v>
      </x:c>
      <x:c r="AC9" s="30" t="str">
        <x:f>IFERROR(VLOOKUP(A9,Country_Config!$A$2:$G$100,7,FALSE),"")</x:f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n">
        <x:f>IFERROR(VLOOKUP($A10&amp;"|Russian influence",Score_Calculator!$A$2:$Q$80,7,FALSE),"")</x:f>
        <x:v>4</x:v>
      </x:c>
      <x:c r="G10" s="30" t="str">
        <x:f>IFERROR(VLOOKUP($A10&amp;"|Russian influence",Score_Calculator!$A$2:$Q$80,9,FALSE),"")</x:f>
        <x:v>Needs review</x:v>
      </x:c>
      <x:c r="H10" s="30" t="str">
        <x:f>IFERROR("#"&amp;VLOOKUP(F10,Legend_Config!$A$2:$C$7,3,FALSE),"")</x:f>
        <x:v>#F16913</x:v>
      </x:c>
      <x:c r="I10" s="30" t="n">
        <x:f>IFERROR(VLOOKUP($A10&amp;"|Russian influence",Score_Calculator!$A$2:$Q$80,15,FALSE),"")</x:f>
        <x:v>0.25</x:v>
      </x:c>
      <x:c r="J10" s="30" t="n">
        <x:f>IFERROR(VLOOKUP($A10&amp;"|PMC presence",Score_Calculator!$A$2:$Q$80,7,FALSE),"")</x:f>
        <x:v>0</x:v>
      </x:c>
      <x:c r="K10" s="30" t="str">
        <x:f>IFERROR(VLOOKUP($A10&amp;"|PMC presence",Score_Calculator!$A$2:$Q$80,9,FALSE),"")</x:f>
        <x:v>Needs review</x:v>
      </x:c>
      <x:c r="L10" s="30" t="str">
        <x:f>IFERROR("#"&amp;VLOOKUP(J10,Legend_Config!$A$2:$C$7,3,FALSE),"")</x:f>
        <x:v>#F2F2F2</x:v>
      </x:c>
      <x:c r="M10" s="30" t="n">
        <x:f>IFERROR(VLOOKUP($A10&amp;"|PMC presence",Score_Calculator!$A$2:$Q$80,15,FALSE),"")</x:f>
        <x:v>0.25</x:v>
      </x:c>
      <x:c r="N10" s="30" t="n">
        <x:f>IFERROR(VLOOKUP($A10&amp;"|Propaganda ecosystems",Score_Calculator!$A$2:$Q$80,7,FALSE),"")</x:f>
        <x:v>4</x:v>
      </x:c>
      <x:c r="O10" s="30" t="str">
        <x:f>IFERROR(VLOOKUP($A10&amp;"|Propaganda ecosystems",Score_Calculator!$A$2:$Q$80,9,FALSE),"")</x:f>
        <x:v>Needs review</x:v>
      </x:c>
      <x:c r="P10" s="30" t="str">
        <x:f>IFERROR("#"&amp;VLOOKUP(N10,Legend_Config!$A$2:$C$7,3,FALSE),"")</x:f>
        <x:v>#F16913</x:v>
      </x:c>
      <x:c r="Q10" s="30" t="n">
        <x:f>IFERROR(VLOOKUP($A10&amp;"|Propaganda ecosystems",Score_Calculator!$A$2:$Q$80,15,FALSE),"")</x:f>
        <x:v>0.25</x:v>
      </x:c>
      <x:c r="R10" s="30" t="n">
        <x:f>IFERROR(VLOOKUP($A10&amp;"|Election interference",Score_Calculator!$A$2:$Q$80,7,FALSE),"")</x:f>
        <x:v>2</x:v>
      </x:c>
      <x:c r="S10" s="30" t="str">
        <x:f>IFERROR(VLOOKUP($A10&amp;"|Election interference",Score_Calculator!$A$2:$Q$80,9,FALSE),"")</x:f>
        <x:v>Needs review</x:v>
      </x:c>
      <x:c r="T10" s="30" t="str">
        <x:f>IFERROR("#"&amp;VLOOKUP(R10,Legend_Config!$A$2:$C$7,3,FALSE),"")</x:f>
        <x:v>#ADDD8E</x:v>
      </x:c>
      <x:c r="U10" s="30" t="n">
        <x:f>IFERROR(VLOOKUP($A10&amp;"|Election interference",Score_Calculator!$A$2:$Q$80,15,FALSE),"")</x:f>
        <x:v>0.25</x:v>
      </x:c>
      <x:c r="V10" s="30" t="n">
        <x:f>IFERROR(ROUND(AVERAGE(F10,J10,N10,R10),0),"")</x:f>
        <x:v>3</x:v>
      </x:c>
      <x:c r="W10" s="30" t="str">
        <x:f>IFERROR("#"&amp;VLOOKUP(V10,Legend_Config!$A$2:$C$7,3,FALSE),"")</x:f>
        <x:v>#FDAE6B</x:v>
      </x:c>
      <x:c r="X10" s="30" t="str">
        <x:f>IF(COUNTA(G10,K10,O10,S10)=0,"No data",IF(COUNTIF(G10:S10,"Needs review")&gt;0,"Needs review",IF(COUNTIF(G10:S10,"Low")&gt;0,"Low",IF(COUNTIF(G10:S10,"Medium")&gt;0,"Medium","High"))))</x:f>
        <x:v>Needs review</x:v>
      </x:c>
      <x:c r="Y10" s="30" t="str">
        <x:f>IF(X10="No data","No evidence",IF(OR(X10="High",X10="Medium"),"Ready / publishable","Show with caution"))</x:f>
        <x:v>Show with caution</x:v>
      </x:c>
      <x:c r="Z10" s="30" t="n">
        <x:f>IFERROR(MAX(FILTER(Score_Calculator!$P$2:$P$80,Score_Calculator!$B$2:$B$80=$A10)),"")</x:f>
        <x:v>45658</x:v>
      </x:c>
      <x:c r="AA10" s="30" t="str">
        <x:f>IF(OR(D10="",E10=""),"","{""type"":""Point"",""coordinates"":["&amp;TEXT(E10,"0.0000")&amp;","&amp;TEXT(D10,"0.0000")&amp;"]}")</x:f>
        <x:v>{"type":"Point","coordinates":[21.0000,44.0000]}</x:v>
      </x:c>
      <x:c r="AB10" s="30" t="str">
        <x:f>IF(A10="","","{""country"":"""&amp;A10&amp;""",""iso3"":"""&amp;B10&amp;""",""region"":"""&amp;C10&amp;""",""russian_influence_score"":"&amp;IF(ISNUMBER(F10),F10,"null")&amp;", ""russian_confidence"":"""&amp;G10&amp;""",""pmc_presence_score"":"&amp;IF(ISNUMBER(J10),J10,"null")&amp;", ""pmc_confidence"":"""&amp;K10&amp;""",""propaganda_ecosystems_score"":"&amp;IF(ISNUMBER(N10),N10,"null")&amp;", ""propaganda_confidence"":"""&amp;O10&amp;""",""election_interference_score"":"&amp;IF(ISNUMBER(R10),R10,"null")&amp;", ""election_confidence"":"""&amp;S10&amp;""",""composite_score"":"&amp;IF(ISNUMBER(V10),V10,"null")&amp;", ""colour"":""#"&amp;IFERROR(VLOOKUP(V10,Legend_Config!$A$2:$C$7,3,FALSE),"")&amp;""",""confidence"":"""&amp;X10&amp;""",""layer_status"":"""&amp;Y10&amp;"""}")</x:f>
        <x:v>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</x:v>
      </x:c>
      <x:c r="AC10" s="30" t="str">
        <x:f>IFERROR(VLOOKUP(A10,Country_Config!$A$2:$G$100,7,FALSE),"")</x:f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n">
        <x:f>IFERROR(VLOOKUP($A11&amp;"|Russian influence",Score_Calculator!$A$2:$Q$80,7,FALSE),"")</x:f>
        <x:v>3</x:v>
      </x:c>
      <x:c r="G11" s="30" t="str">
        <x:f>IFERROR(VLOOKUP($A11&amp;"|Russian influence",Score_Calculator!$A$2:$Q$80,9,FALSE),"")</x:f>
        <x:v>Needs review</x:v>
      </x:c>
      <x:c r="H11" s="30" t="str">
        <x:f>IFERROR("#"&amp;VLOOKUP(F11,Legend_Config!$A$2:$C$7,3,FALSE),"")</x:f>
        <x:v>#FDAE6B</x:v>
      </x:c>
      <x:c r="I11" s="30" t="n">
        <x:f>IFERROR(VLOOKUP($A11&amp;"|Russian influence",Score_Calculator!$A$2:$Q$80,15,FALSE),"")</x:f>
        <x:v>0.25</x:v>
      </x:c>
      <x:c r="J11" s="30" t="n">
        <x:f>IFERROR(VLOOKUP($A11&amp;"|PMC presence",Score_Calculator!$A$2:$Q$80,7,FALSE),"")</x:f>
        <x:v>0</x:v>
      </x:c>
      <x:c r="K11" s="30" t="str">
        <x:f>IFERROR(VLOOKUP($A11&amp;"|PMC presence",Score_Calculator!$A$2:$Q$80,9,FALSE),"")</x:f>
        <x:v>Needs review</x:v>
      </x:c>
      <x:c r="L11" s="30" t="str">
        <x:f>IFERROR("#"&amp;VLOOKUP(J11,Legend_Config!$A$2:$C$7,3,FALSE),"")</x:f>
        <x:v>#F2F2F2</x:v>
      </x:c>
      <x:c r="M11" s="30" t="n">
        <x:f>IFERROR(VLOOKUP($A11&amp;"|PMC presence",Score_Calculator!$A$2:$Q$80,15,FALSE),"")</x:f>
        <x:v>0.25</x:v>
      </x:c>
      <x:c r="N11" s="30" t="n">
        <x:f>IFERROR(VLOOKUP($A11&amp;"|Propaganda ecosystems",Score_Calculator!$A$2:$Q$80,7,FALSE),"")</x:f>
        <x:v>3</x:v>
      </x:c>
      <x:c r="O11" s="30" t="str">
        <x:f>IFERROR(VLOOKUP($A11&amp;"|Propaganda ecosystems",Score_Calculator!$A$2:$Q$80,9,FALSE),"")</x:f>
        <x:v>Needs review</x:v>
      </x:c>
      <x:c r="P11" s="30" t="str">
        <x:f>IFERROR("#"&amp;VLOOKUP(N11,Legend_Config!$A$2:$C$7,3,FALSE),"")</x:f>
        <x:v>#FDAE6B</x:v>
      </x:c>
      <x:c r="Q11" s="30" t="n">
        <x:f>IFERROR(VLOOKUP($A11&amp;"|Propaganda ecosystems",Score_Calculator!$A$2:$Q$80,15,FALSE),"")</x:f>
        <x:v>0.25</x:v>
      </x:c>
      <x:c r="R11" s="30" t="n">
        <x:f>IFERROR(VLOOKUP($A11&amp;"|Election interference",Score_Calculator!$A$2:$Q$80,7,FALSE),"")</x:f>
        <x:v>3</x:v>
      </x:c>
      <x:c r="S11" s="30" t="str">
        <x:f>IFERROR(VLOOKUP($A11&amp;"|Election interference",Score_Calculator!$A$2:$Q$80,9,FALSE),"")</x:f>
        <x:v>Needs review</x:v>
      </x:c>
      <x:c r="T11" s="30" t="str">
        <x:f>IFERROR("#"&amp;VLOOKUP(R11,Legend_Config!$A$2:$C$7,3,FALSE),"")</x:f>
        <x:v>#FDAE6B</x:v>
      </x:c>
      <x:c r="U11" s="30" t="n">
        <x:f>IFERROR(VLOOKUP($A11&amp;"|Election interference",Score_Calculator!$A$2:$Q$80,15,FALSE),"")</x:f>
        <x:v>0.25</x:v>
      </x:c>
      <x:c r="V11" s="30" t="n">
        <x:f>IFERROR(ROUND(AVERAGE(F11,J11,N11,R11),0),"")</x:f>
        <x:v>2</x:v>
      </x:c>
      <x:c r="W11" s="30" t="str">
        <x:f>IFERROR("#"&amp;VLOOKUP(V11,Legend_Config!$A$2:$C$7,3,FALSE),"")</x:f>
        <x:v>#ADDD8E</x:v>
      </x:c>
      <x:c r="X11" s="30" t="str">
        <x:f>IF(COUNTA(G11,K11,O11,S11)=0,"No data",IF(COUNTIF(G11:S11,"Needs review")&gt;0,"Needs review",IF(COUNTIF(G11:S11,"Low")&gt;0,"Low",IF(COUNTIF(G11:S11,"Medium")&gt;0,"Medium","High"))))</x:f>
        <x:v>Needs review</x:v>
      </x:c>
      <x:c r="Y11" s="30" t="str">
        <x:f>IF(X11="No data","No evidence",IF(OR(X11="High",X11="Medium"),"Ready / publishable","Show with caution"))</x:f>
        <x:v>Show with caution</x:v>
      </x:c>
      <x:c r="Z11" s="30" t="n">
        <x:f>IFERROR(MAX(FILTER(Score_Calculator!$P$2:$P$80,Score_Calculator!$B$2:$B$80=$A11)),"")</x:f>
        <x:v>45658</x:v>
      </x:c>
      <x:c r="AA11" s="30" t="str">
        <x:f>IF(OR(D11="",E11=""),"","{""type"":""Point"",""coordinates"":["&amp;TEXT(E11,"0.0000")&amp;","&amp;TEXT(D11,"0.0000")&amp;"]}")</x:f>
        <x:v>{"type":"Point","coordinates":[19.0000,52.0000]}</x:v>
      </x:c>
      <x:c r="AB11" s="30" t="str">
        <x:f>IF(A11="","","{""country"":"""&amp;A11&amp;""",""iso3"":"""&amp;B11&amp;""",""region"":"""&amp;C11&amp;""",""russian_influence_score"":"&amp;IF(ISNUMBER(F11),F11,"null")&amp;", ""russian_confidence"":"""&amp;G11&amp;""",""pmc_presence_score"":"&amp;IF(ISNUMBER(J11),J11,"null")&amp;", ""pmc_confidence"":"""&amp;K11&amp;""",""propaganda_ecosystems_score"":"&amp;IF(ISNUMBER(N11),N11,"null")&amp;", ""propaganda_confidence"":"""&amp;O11&amp;""",""election_interference_score"":"&amp;IF(ISNUMBER(R11),R11,"null")&amp;", ""election_confidence"":"""&amp;S11&amp;""",""composite_score"":"&amp;IF(ISNUMBER(V11),V11,"null")&amp;", ""colour"":""#"&amp;IFERROR(VLOOKUP(V11,Legend_Config!$A$2:$C$7,3,FALSE),"")&amp;""",""confidence"":"""&amp;X11&amp;""",""layer_status"":"""&amp;Y11&amp;"""}")</x:f>
        <x:v>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</x:v>
      </x:c>
      <x:c r="AC11" s="30" t="str">
        <x:f>IFERROR(VLOOKUP(A11,Country_Config!$A$2:$G$100,7,FALSE),"")</x:f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 t="str">
        <x:f>IFERROR(VLOOKUP($A12&amp;"|Russian influence",Score_Calculator!$A$2:$Q$80,7,FALSE),"")</x:f>
      </x:c>
      <x:c r="G12" s="30" t="str">
        <x:f>IFERROR(VLOOKUP($A12&amp;"|Russian influence",Score_Calculator!$A$2:$Q$80,9,FALSE),"")</x:f>
      </x:c>
      <x:c r="H12" s="30" t="str">
        <x:f>IFERROR("#"&amp;VLOOKUP(F12,Legend_Config!$A$2:$C$7,3,FALSE),"")</x:f>
        <x:v>#F2F2F2</x:v>
      </x:c>
      <x:c r="I12" s="30" t="str">
        <x:f>IFERROR(VLOOKUP($A12&amp;"|Russian influence",Score_Calculator!$A$2:$Q$80,15,FALSE),"")</x:f>
      </x:c>
      <x:c r="J12" s="30" t="str">
        <x:f>IFERROR(VLOOKUP($A12&amp;"|PMC presence",Score_Calculator!$A$2:$Q$80,7,FALSE),"")</x:f>
      </x:c>
      <x:c r="K12" s="30" t="str">
        <x:f>IFERROR(VLOOKUP($A12&amp;"|PMC presence",Score_Calculator!$A$2:$Q$80,9,FALSE),"")</x:f>
      </x:c>
      <x:c r="L12" s="30" t="str">
        <x:f>IFERROR("#"&amp;VLOOKUP(J12,Legend_Config!$A$2:$C$7,3,FALSE),"")</x:f>
        <x:v>#F2F2F2</x:v>
      </x:c>
      <x:c r="M12" s="30" t="str">
        <x:f>IFERROR(VLOOKUP($A12&amp;"|PMC presence",Score_Calculator!$A$2:$Q$80,15,FALSE),"")</x:f>
      </x:c>
      <x:c r="N12" s="30" t="str">
        <x:f>IFERROR(VLOOKUP($A12&amp;"|Propaganda ecosystems",Score_Calculator!$A$2:$Q$80,7,FALSE),"")</x:f>
      </x:c>
      <x:c r="O12" s="30" t="str">
        <x:f>IFERROR(VLOOKUP($A12&amp;"|Propaganda ecosystems",Score_Calculator!$A$2:$Q$80,9,FALSE),"")</x:f>
      </x:c>
      <x:c r="P12" s="30" t="str">
        <x:f>IFERROR("#"&amp;VLOOKUP(N12,Legend_Config!$A$2:$C$7,3,FALSE),"")</x:f>
        <x:v>#F2F2F2</x:v>
      </x:c>
      <x:c r="Q12" s="30" t="str">
        <x:f>IFERROR(VLOOKUP($A12&amp;"|Propaganda ecosystems",Score_Calculator!$A$2:$Q$80,15,FALSE),"")</x:f>
      </x:c>
      <x:c r="R12" s="30" t="str">
        <x:f>IFERROR(VLOOKUP($A12&amp;"|Election interference",Score_Calculator!$A$2:$Q$80,7,FALSE),"")</x:f>
      </x:c>
      <x:c r="S12" s="30" t="str">
        <x:f>IFERROR(VLOOKUP($A12&amp;"|Election interference",Score_Calculator!$A$2:$Q$80,9,FALSE),"")</x:f>
      </x:c>
      <x:c r="T12" s="30" t="str">
        <x:f>IFERROR("#"&amp;VLOOKUP(R12,Legend_Config!$A$2:$C$7,3,FALSE),"")</x:f>
        <x:v>#F2F2F2</x:v>
      </x:c>
      <x:c r="U12" s="30" t="str">
        <x:f>IFERROR(VLOOKUP($A12&amp;"|Election interference",Score_Calculator!$A$2:$Q$80,15,FALSE),"")</x:f>
      </x:c>
      <x:c r="V12" s="30" t="n">
        <x:f>IFERROR(ROUND(AVERAGE(F12,J12,N12,R12),0),"")</x:f>
        <x:v>0</x:v>
      </x:c>
      <x:c r="W12" s="30" t="str">
        <x:f>IFERROR("#"&amp;VLOOKUP(V12,Legend_Config!$A$2:$C$7,3,FALSE),"")</x:f>
        <x:v>#F2F2F2</x:v>
      </x:c>
      <x:c r="X12" s="30" t="str">
        <x:f>IF(COUNTA(G12,K12,O12,S12)=0,"No data",IF(COUNTIF(G12:S12,"Needs review")&gt;0,"Needs review",IF(COUNTIF(G12:S12,"Low")&gt;0,"Low",IF(COUNTIF(G12:S12,"Medium")&gt;0,"Medium","High"))))</x:f>
        <x:v>High</x:v>
      </x:c>
      <x:c r="Y12" s="30" t="str">
        <x:f>IF(X12="No data","No evidence",IF(OR(X12="High",X12="Medium"),"Ready / publishable","Show with caution"))</x:f>
        <x:v>Ready / publishable</x:v>
      </x:c>
      <x:c r="Z12" s="30" t="n">
        <x:f>IFERROR(MAX(FILTER(Score_Calculator!$P$2:$P$80,Score_Calculator!$B$2:$B$80=$A12)),"")</x:f>
        <x:v>0</x:v>
      </x:c>
      <x:c r="AA12" s="30" t="str">
        <x:f>IF(OR(D12="",E12=""),"","{""type"":""Point"",""coordinates"":["&amp;TEXT(E12,"0.0000")&amp;","&amp;TEXT(D12,"0.0000")&amp;"]}")</x:f>
      </x:c>
      <x:c r="AB12" s="30" t="str">
        <x:f>IF(A12="","","{""country"":"""&amp;A12&amp;""",""iso3"":"""&amp;B12&amp;""",""region"":"""&amp;C12&amp;""",""russian_influence_score"":"&amp;IF(ISNUMBER(F12),F12,"null")&amp;", ""russian_confidence"":"""&amp;G12&amp;""",""pmc_presence_score"":"&amp;IF(ISNUMBER(J12),J12,"null")&amp;", ""pmc_confidence"":"""&amp;K12&amp;""",""propaganda_ecosystems_score"":"&amp;IF(ISNUMBER(N12),N12,"null")&amp;", ""propaganda_confidence"":"""&amp;O12&amp;""",""election_interference_score"":"&amp;IF(ISNUMBER(R12),R12,"null")&amp;", ""election_confidence"":"""&amp;S12&amp;""",""composite_score"":"&amp;IF(ISNUMBER(V12),V12,"null")&amp;", ""colour"":""#"&amp;IFERROR(VLOOKUP(V12,Legend_Config!$A$2:$C$7,3,FALSE),"")&amp;""",""confidence"":"""&amp;X12&amp;""",""layer_status"":"""&amp;Y12&amp;"""}")</x:f>
      </x:c>
      <x:c r="AC12" s="30" t="str">
        <x:f>IFERROR(VLOOKUP(A12,Country_Config!$A$2:$G$100,7,FALSE),"")</x:f>
      </x:c>
    </x:row>
    <x:row r="13">
      <x:c r="A13" s="30"/>
      <x:c r="B13" s="30"/>
      <x:c r="C13" s="30"/>
      <x:c r="D13" s="30"/>
      <x:c r="E13" s="30"/>
      <x:c r="F13" s="30" t="str">
        <x:f>IFERROR(VLOOKUP($A13&amp;"|Russian influence",Score_Calculator!$A$2:$Q$80,7,FALSE),"")</x:f>
      </x:c>
      <x:c r="G13" s="30" t="str">
        <x:f>IFERROR(VLOOKUP($A13&amp;"|Russian influence",Score_Calculator!$A$2:$Q$80,9,FALSE),"")</x:f>
      </x:c>
      <x:c r="H13" s="30" t="str">
        <x:f>IFERROR("#"&amp;VLOOKUP(F13,Legend_Config!$A$2:$C$7,3,FALSE),"")</x:f>
        <x:v>#F2F2F2</x:v>
      </x:c>
      <x:c r="I13" s="30" t="str">
        <x:f>IFERROR(VLOOKUP($A13&amp;"|Russian influence",Score_Calculator!$A$2:$Q$80,15,FALSE),"")</x:f>
      </x:c>
      <x:c r="J13" s="30" t="str">
        <x:f>IFERROR(VLOOKUP($A13&amp;"|PMC presence",Score_Calculator!$A$2:$Q$80,7,FALSE),"")</x:f>
      </x:c>
      <x:c r="K13" s="30" t="str">
        <x:f>IFERROR(VLOOKUP($A13&amp;"|PMC presence",Score_Calculator!$A$2:$Q$80,9,FALSE),"")</x:f>
      </x:c>
      <x:c r="L13" s="30" t="str">
        <x:f>IFERROR("#"&amp;VLOOKUP(J13,Legend_Config!$A$2:$C$7,3,FALSE),"")</x:f>
        <x:v>#F2F2F2</x:v>
      </x:c>
      <x:c r="M13" s="30" t="str">
        <x:f>IFERROR(VLOOKUP($A13&amp;"|PMC presence",Score_Calculator!$A$2:$Q$80,15,FALSE),"")</x:f>
      </x:c>
      <x:c r="N13" s="30" t="str">
        <x:f>IFERROR(VLOOKUP($A13&amp;"|Propaganda ecosystems",Score_Calculator!$A$2:$Q$80,7,FALSE),"")</x:f>
      </x:c>
      <x:c r="O13" s="30" t="str">
        <x:f>IFERROR(VLOOKUP($A13&amp;"|Propaganda ecosystems",Score_Calculator!$A$2:$Q$80,9,FALSE),"")</x:f>
      </x:c>
      <x:c r="P13" s="30" t="str">
        <x:f>IFERROR("#"&amp;VLOOKUP(N13,Legend_Config!$A$2:$C$7,3,FALSE),"")</x:f>
        <x:v>#F2F2F2</x:v>
      </x:c>
      <x:c r="Q13" s="30" t="str">
        <x:f>IFERROR(VLOOKUP($A13&amp;"|Propaganda ecosystems",Score_Calculator!$A$2:$Q$80,15,FALSE),"")</x:f>
      </x:c>
      <x:c r="R13" s="30" t="str">
        <x:f>IFERROR(VLOOKUP($A13&amp;"|Election interference",Score_Calculator!$A$2:$Q$80,7,FALSE),"")</x:f>
      </x:c>
      <x:c r="S13" s="30" t="str">
        <x:f>IFERROR(VLOOKUP($A13&amp;"|Election interference",Score_Calculator!$A$2:$Q$80,9,FALSE),"")</x:f>
      </x:c>
      <x:c r="T13" s="30" t="str">
        <x:f>IFERROR("#"&amp;VLOOKUP(R13,Legend_Config!$A$2:$C$7,3,FALSE),"")</x:f>
        <x:v>#F2F2F2</x:v>
      </x:c>
      <x:c r="U13" s="30" t="str">
        <x:f>IFERROR(VLOOKUP($A13&amp;"|Election interference",Score_Calculator!$A$2:$Q$80,15,FALSE),"")</x:f>
      </x:c>
      <x:c r="V13" s="30" t="n">
        <x:f>IFERROR(ROUND(AVERAGE(F13,J13,N13,R13),0),"")</x:f>
        <x:v>0</x:v>
      </x:c>
      <x:c r="W13" s="30" t="str">
        <x:f>IFERROR("#"&amp;VLOOKUP(V13,Legend_Config!$A$2:$C$7,3,FALSE),"")</x:f>
        <x:v>#F2F2F2</x:v>
      </x:c>
      <x:c r="X13" s="30" t="str">
        <x:f>IF(COUNTA(G13,K13,O13,S13)=0,"No data",IF(COUNTIF(G13:S13,"Needs review")&gt;0,"Needs review",IF(COUNTIF(G13:S13,"Low")&gt;0,"Low",IF(COUNTIF(G13:S13,"Medium")&gt;0,"Medium","High"))))</x:f>
        <x:v>High</x:v>
      </x:c>
      <x:c r="Y13" s="30" t="str">
        <x:f>IF(X13="No data","No evidence",IF(OR(X13="High",X13="Medium"),"Ready / publishable","Show with caution"))</x:f>
        <x:v>Ready / publishable</x:v>
      </x:c>
      <x:c r="Z13" s="30" t="n">
        <x:f>IFERROR(MAX(FILTER(Score_Calculator!$P$2:$P$80,Score_Calculator!$B$2:$B$80=$A13)),"")</x:f>
        <x:v>0</x:v>
      </x:c>
      <x:c r="AA13" s="30" t="str">
        <x:f>IF(OR(D13="",E13=""),"","{""type"":""Point"",""coordinates"":["&amp;TEXT(E13,"0.0000")&amp;","&amp;TEXT(D13,"0.0000")&amp;"]}")</x:f>
      </x:c>
      <x:c r="AB13" s="30" t="str">
        <x:f>IF(A13="","","{""country"":"""&amp;A13&amp;""",""iso3"":"""&amp;B13&amp;""",""region"":"""&amp;C13&amp;""",""russian_influence_score"":"&amp;IF(ISNUMBER(F13),F13,"null")&amp;", ""russian_confidence"":"""&amp;G13&amp;""",""pmc_presence_score"":"&amp;IF(ISNUMBER(J13),J13,"null")&amp;", ""pmc_confidence"":"""&amp;K13&amp;""",""propaganda_ecosystems_score"":"&amp;IF(ISNUMBER(N13),N13,"null")&amp;", ""propaganda_confidence"":"""&amp;O13&amp;""",""election_interference_score"":"&amp;IF(ISNUMBER(R13),R13,"null")&amp;", ""election_confidence"":"""&amp;S13&amp;""",""composite_score"":"&amp;IF(ISNUMBER(V13),V13,"null")&amp;", ""colour"":""#"&amp;IFERROR(VLOOKUP(V13,Legend_Config!$A$2:$C$7,3,FALSE),"")&amp;""",""confidence"":"""&amp;X13&amp;""",""layer_status"":"""&amp;Y13&amp;"""}")</x:f>
      </x:c>
      <x:c r="AC13" s="30" t="str">
        <x:f>IFERROR(VLOOKUP(A13,Country_Config!$A$2:$G$100,7,FALSE),"")</x:f>
      </x:c>
    </x:row>
    <x:row r="14">
      <x:c r="A14" s="30"/>
      <x:c r="B14" s="30"/>
      <x:c r="C14" s="30"/>
      <x:c r="D14" s="30"/>
      <x:c r="E14" s="30"/>
      <x:c r="F14" s="30" t="str">
        <x:f>IFERROR(VLOOKUP($A14&amp;"|Russian influence",Score_Calculator!$A$2:$Q$80,7,FALSE),"")</x:f>
      </x:c>
      <x:c r="G14" s="30" t="str">
        <x:f>IFERROR(VLOOKUP($A14&amp;"|Russian influence",Score_Calculator!$A$2:$Q$80,9,FALSE),"")</x:f>
      </x:c>
      <x:c r="H14" s="30" t="str">
        <x:f>IFERROR("#"&amp;VLOOKUP(F14,Legend_Config!$A$2:$C$7,3,FALSE),"")</x:f>
        <x:v>#F2F2F2</x:v>
      </x:c>
      <x:c r="I14" s="30" t="str">
        <x:f>IFERROR(VLOOKUP($A14&amp;"|Russian influence",Score_Calculator!$A$2:$Q$80,15,FALSE),"")</x:f>
      </x:c>
      <x:c r="J14" s="30" t="str">
        <x:f>IFERROR(VLOOKUP($A14&amp;"|PMC presence",Score_Calculator!$A$2:$Q$80,7,FALSE),"")</x:f>
      </x:c>
      <x:c r="K14" s="30" t="str">
        <x:f>IFERROR(VLOOKUP($A14&amp;"|PMC presence",Score_Calculator!$A$2:$Q$80,9,FALSE),"")</x:f>
      </x:c>
      <x:c r="L14" s="30" t="str">
        <x:f>IFERROR("#"&amp;VLOOKUP(J14,Legend_Config!$A$2:$C$7,3,FALSE),"")</x:f>
        <x:v>#F2F2F2</x:v>
      </x:c>
      <x:c r="M14" s="30" t="str">
        <x:f>IFERROR(VLOOKUP($A14&amp;"|PMC presence",Score_Calculator!$A$2:$Q$80,15,FALSE),"")</x:f>
      </x:c>
      <x:c r="N14" s="30" t="str">
        <x:f>IFERROR(VLOOKUP($A14&amp;"|Propaganda ecosystems",Score_Calculator!$A$2:$Q$80,7,FALSE),"")</x:f>
      </x:c>
      <x:c r="O14" s="30" t="str">
        <x:f>IFERROR(VLOOKUP($A14&amp;"|Propaganda ecosystems",Score_Calculator!$A$2:$Q$80,9,FALSE),"")</x:f>
      </x:c>
      <x:c r="P14" s="30" t="str">
        <x:f>IFERROR("#"&amp;VLOOKUP(N14,Legend_Config!$A$2:$C$7,3,FALSE),"")</x:f>
        <x:v>#F2F2F2</x:v>
      </x:c>
      <x:c r="Q14" s="30" t="str">
        <x:f>IFERROR(VLOOKUP($A14&amp;"|Propaganda ecosystems",Score_Calculator!$A$2:$Q$80,15,FALSE),"")</x:f>
      </x:c>
      <x:c r="R14" s="30" t="str">
        <x:f>IFERROR(VLOOKUP($A14&amp;"|Election interference",Score_Calculator!$A$2:$Q$80,7,FALSE),"")</x:f>
      </x:c>
      <x:c r="S14" s="30" t="str">
        <x:f>IFERROR(VLOOKUP($A14&amp;"|Election interference",Score_Calculator!$A$2:$Q$80,9,FALSE),"")</x:f>
      </x:c>
      <x:c r="T14" s="30" t="str">
        <x:f>IFERROR("#"&amp;VLOOKUP(R14,Legend_Config!$A$2:$C$7,3,FALSE),"")</x:f>
        <x:v>#F2F2F2</x:v>
      </x:c>
      <x:c r="U14" s="30" t="str">
        <x:f>IFERROR(VLOOKUP($A14&amp;"|Election interference",Score_Calculator!$A$2:$Q$80,15,FALSE),"")</x:f>
      </x:c>
      <x:c r="V14" s="30" t="n">
        <x:f>IFERROR(ROUND(AVERAGE(F14,J14,N14,R14),0),"")</x:f>
        <x:v>0</x:v>
      </x:c>
      <x:c r="W14" s="30" t="str">
        <x:f>IFERROR("#"&amp;VLOOKUP(V14,Legend_Config!$A$2:$C$7,3,FALSE),"")</x:f>
        <x:v>#F2F2F2</x:v>
      </x:c>
      <x:c r="X14" s="30" t="str">
        <x:f>IF(COUNTA(G14,K14,O14,S14)=0,"No data",IF(COUNTIF(G14:S14,"Needs review")&gt;0,"Needs review",IF(COUNTIF(G14:S14,"Low")&gt;0,"Low",IF(COUNTIF(G14:S14,"Medium")&gt;0,"Medium","High"))))</x:f>
        <x:v>High</x:v>
      </x:c>
      <x:c r="Y14" s="30" t="str">
        <x:f>IF(X14="No data","No evidence",IF(OR(X14="High",X14="Medium"),"Ready / publishable","Show with caution"))</x:f>
        <x:v>Ready / publishable</x:v>
      </x:c>
      <x:c r="Z14" s="30" t="n">
        <x:f>IFERROR(MAX(FILTER(Score_Calculator!$P$2:$P$80,Score_Calculator!$B$2:$B$80=$A14)),"")</x:f>
        <x:v>0</x:v>
      </x:c>
      <x:c r="AA14" s="30" t="str">
        <x:f>IF(OR(D14="",E14=""),"","{""type"":""Point"",""coordinates"":["&amp;TEXT(E14,"0.0000")&amp;","&amp;TEXT(D14,"0.0000")&amp;"]}")</x:f>
      </x:c>
      <x:c r="AB14" s="30" t="str">
        <x:f>IF(A14="","","{""country"":"""&amp;A14&amp;""",""iso3"":"""&amp;B14&amp;""",""region"":"""&amp;C14&amp;""",""russian_influence_score"":"&amp;IF(ISNUMBER(F14),F14,"null")&amp;", ""russian_confidence"":"""&amp;G14&amp;""",""pmc_presence_score"":"&amp;IF(ISNUMBER(J14),J14,"null")&amp;", ""pmc_confidence"":"""&amp;K14&amp;""",""propaganda_ecosystems_score"":"&amp;IF(ISNUMBER(N14),N14,"null")&amp;", ""propaganda_confidence"":"""&amp;O14&amp;""",""election_interference_score"":"&amp;IF(ISNUMBER(R14),R14,"null")&amp;", ""election_confidence"":"""&amp;S14&amp;""",""composite_score"":"&amp;IF(ISNUMBER(V14),V14,"null")&amp;", ""colour"":""#"&amp;IFERROR(VLOOKUP(V14,Legend_Config!$A$2:$C$7,3,FALSE),"")&amp;""",""confidence"":"""&amp;X14&amp;""",""layer_status"":"""&amp;Y14&amp;"""}")</x:f>
      </x:c>
      <x:c r="AC14" s="30" t="str">
        <x:f>IFERROR(VLOOKUP(A14,Country_Config!$A$2:$G$100,7,FALSE),"")</x:f>
      </x:c>
    </x:row>
    <x:row r="15">
      <x:c r="A15" s="30"/>
      <x:c r="B15" s="30"/>
      <x:c r="C15" s="30"/>
      <x:c r="D15" s="30"/>
      <x:c r="E15" s="30"/>
      <x:c r="F15" s="30" t="str">
        <x:f>IFERROR(VLOOKUP($A15&amp;"|Russian influence",Score_Calculator!$A$2:$Q$80,7,FALSE),"")</x:f>
      </x:c>
      <x:c r="G15" s="30" t="str">
        <x:f>IFERROR(VLOOKUP($A15&amp;"|Russian influence",Score_Calculator!$A$2:$Q$80,9,FALSE),"")</x:f>
      </x:c>
      <x:c r="H15" s="30" t="str">
        <x:f>IFERROR("#"&amp;VLOOKUP(F15,Legend_Config!$A$2:$C$7,3,FALSE),"")</x:f>
        <x:v>#F2F2F2</x:v>
      </x:c>
      <x:c r="I15" s="30" t="str">
        <x:f>IFERROR(VLOOKUP($A15&amp;"|Russian influence",Score_Calculator!$A$2:$Q$80,15,FALSE),"")</x:f>
      </x:c>
      <x:c r="J15" s="30" t="str">
        <x:f>IFERROR(VLOOKUP($A15&amp;"|PMC presence",Score_Calculator!$A$2:$Q$80,7,FALSE),"")</x:f>
      </x:c>
      <x:c r="K15" s="30" t="str">
        <x:f>IFERROR(VLOOKUP($A15&amp;"|PMC presence",Score_Calculator!$A$2:$Q$80,9,FALSE),"")</x:f>
      </x:c>
      <x:c r="L15" s="30" t="str">
        <x:f>IFERROR("#"&amp;VLOOKUP(J15,Legend_Config!$A$2:$C$7,3,FALSE),"")</x:f>
        <x:v>#F2F2F2</x:v>
      </x:c>
      <x:c r="M15" s="30" t="str">
        <x:f>IFERROR(VLOOKUP($A15&amp;"|PMC presence",Score_Calculator!$A$2:$Q$80,15,FALSE),"")</x:f>
      </x:c>
      <x:c r="N15" s="30" t="str">
        <x:f>IFERROR(VLOOKUP($A15&amp;"|Propaganda ecosystems",Score_Calculator!$A$2:$Q$80,7,FALSE),"")</x:f>
      </x:c>
      <x:c r="O15" s="30" t="str">
        <x:f>IFERROR(VLOOKUP($A15&amp;"|Propaganda ecosystems",Score_Calculator!$A$2:$Q$80,9,FALSE),"")</x:f>
      </x:c>
      <x:c r="P15" s="30" t="str">
        <x:f>IFERROR("#"&amp;VLOOKUP(N15,Legend_Config!$A$2:$C$7,3,FALSE),"")</x:f>
        <x:v>#F2F2F2</x:v>
      </x:c>
      <x:c r="Q15" s="30" t="str">
        <x:f>IFERROR(VLOOKUP($A15&amp;"|Propaganda ecosystems",Score_Calculator!$A$2:$Q$80,15,FALSE),"")</x:f>
      </x:c>
      <x:c r="R15" s="30" t="str">
        <x:f>IFERROR(VLOOKUP($A15&amp;"|Election interference",Score_Calculator!$A$2:$Q$80,7,FALSE),"")</x:f>
      </x:c>
      <x:c r="S15" s="30" t="str">
        <x:f>IFERROR(VLOOKUP($A15&amp;"|Election interference",Score_Calculator!$A$2:$Q$80,9,FALSE),"")</x:f>
      </x:c>
      <x:c r="T15" s="30" t="str">
        <x:f>IFERROR("#"&amp;VLOOKUP(R15,Legend_Config!$A$2:$C$7,3,FALSE),"")</x:f>
        <x:v>#F2F2F2</x:v>
      </x:c>
      <x:c r="U15" s="30" t="str">
        <x:f>IFERROR(VLOOKUP($A15&amp;"|Election interference",Score_Calculator!$A$2:$Q$80,15,FALSE),"")</x:f>
      </x:c>
      <x:c r="V15" s="30" t="n">
        <x:f>IFERROR(ROUND(AVERAGE(F15,J15,N15,R15),0),"")</x:f>
        <x:v>0</x:v>
      </x:c>
      <x:c r="W15" s="30" t="str">
        <x:f>IFERROR("#"&amp;VLOOKUP(V15,Legend_Config!$A$2:$C$7,3,FALSE),"")</x:f>
        <x:v>#F2F2F2</x:v>
      </x:c>
      <x:c r="X15" s="30" t="str">
        <x:f>IF(COUNTA(G15,K15,O15,S15)=0,"No data",IF(COUNTIF(G15:S15,"Needs review")&gt;0,"Needs review",IF(COUNTIF(G15:S15,"Low")&gt;0,"Low",IF(COUNTIF(G15:S15,"Medium")&gt;0,"Medium","High"))))</x:f>
        <x:v>High</x:v>
      </x:c>
      <x:c r="Y15" s="30" t="str">
        <x:f>IF(X15="No data","No evidence",IF(OR(X15="High",X15="Medium"),"Ready / publishable","Show with caution"))</x:f>
        <x:v>Ready / publishable</x:v>
      </x:c>
      <x:c r="Z15" s="30" t="n">
        <x:f>IFERROR(MAX(FILTER(Score_Calculator!$P$2:$P$80,Score_Calculator!$B$2:$B$80=$A15)),"")</x:f>
        <x:v>0</x:v>
      </x:c>
      <x:c r="AA15" s="30" t="str">
        <x:f>IF(OR(D15="",E15=""),"","{""type"":""Point"",""coordinates"":["&amp;TEXT(E15,"0.0000")&amp;","&amp;TEXT(D15,"0.0000")&amp;"]}")</x:f>
      </x:c>
      <x:c r="AB15" s="30" t="str">
        <x:f>IF(A15="","","{""country"":"""&amp;A15&amp;""",""iso3"":"""&amp;B15&amp;""",""region"":"""&amp;C15&amp;""",""russian_influence_score"":"&amp;IF(ISNUMBER(F15),F15,"null")&amp;", ""russian_confidence"":"""&amp;G15&amp;""",""pmc_presence_score"":"&amp;IF(ISNUMBER(J15),J15,"null")&amp;", ""pmc_confidence"":"""&amp;K15&amp;""",""propaganda_ecosystems_score"":"&amp;IF(ISNUMBER(N15),N15,"null")&amp;", ""propaganda_confidence"":"""&amp;O15&amp;""",""election_interference_score"":"&amp;IF(ISNUMBER(R15),R15,"null")&amp;", ""election_confidence"":"""&amp;S15&amp;""",""composite_score"":"&amp;IF(ISNUMBER(V15),V15,"null")&amp;", ""colour"":""#"&amp;IFERROR(VLOOKUP(V15,Legend_Config!$A$2:$C$7,3,FALSE),"")&amp;""",""confidence"":"""&amp;X15&amp;""",""layer_status"":"""&amp;Y15&amp;"""}")</x:f>
      </x:c>
      <x:c r="AC15" s="30" t="str">
        <x:f>IFERROR(VLOOKUP(A15,Country_Config!$A$2:$G$100,7,FALSE),"")</x:f>
      </x:c>
    </x:row>
    <x:row r="16">
      <x:c r="A16" s="30"/>
      <x:c r="B16" s="30"/>
      <x:c r="C16" s="30"/>
      <x:c r="D16" s="30"/>
      <x:c r="E16" s="30"/>
      <x:c r="F16" s="30" t="str">
        <x:f>IFERROR(VLOOKUP($A16&amp;"|Russian influence",Score_Calculator!$A$2:$Q$80,7,FALSE),"")</x:f>
      </x:c>
      <x:c r="G16" s="30" t="str">
        <x:f>IFERROR(VLOOKUP($A16&amp;"|Russian influence",Score_Calculator!$A$2:$Q$80,9,FALSE),"")</x:f>
      </x:c>
      <x:c r="H16" s="30" t="str">
        <x:f>IFERROR("#"&amp;VLOOKUP(F16,Legend_Config!$A$2:$C$7,3,FALSE),"")</x:f>
        <x:v>#F2F2F2</x:v>
      </x:c>
      <x:c r="I16" s="30" t="str">
        <x:f>IFERROR(VLOOKUP($A16&amp;"|Russian influence",Score_Calculator!$A$2:$Q$80,15,FALSE),"")</x:f>
      </x:c>
      <x:c r="J16" s="30" t="str">
        <x:f>IFERROR(VLOOKUP($A16&amp;"|PMC presence",Score_Calculator!$A$2:$Q$80,7,FALSE),"")</x:f>
      </x:c>
      <x:c r="K16" s="30" t="str">
        <x:f>IFERROR(VLOOKUP($A16&amp;"|PMC presence",Score_Calculator!$A$2:$Q$80,9,FALSE),"")</x:f>
      </x:c>
      <x:c r="L16" s="30" t="str">
        <x:f>IFERROR("#"&amp;VLOOKUP(J16,Legend_Config!$A$2:$C$7,3,FALSE),"")</x:f>
        <x:v>#F2F2F2</x:v>
      </x:c>
      <x:c r="M16" s="30" t="str">
        <x:f>IFERROR(VLOOKUP($A16&amp;"|PMC presence",Score_Calculator!$A$2:$Q$80,15,FALSE),"")</x:f>
      </x:c>
      <x:c r="N16" s="30" t="str">
        <x:f>IFERROR(VLOOKUP($A16&amp;"|Propaganda ecosystems",Score_Calculator!$A$2:$Q$80,7,FALSE),"")</x:f>
      </x:c>
      <x:c r="O16" s="30" t="str">
        <x:f>IFERROR(VLOOKUP($A16&amp;"|Propaganda ecosystems",Score_Calculator!$A$2:$Q$80,9,FALSE),"")</x:f>
      </x:c>
      <x:c r="P16" s="30" t="str">
        <x:f>IFERROR("#"&amp;VLOOKUP(N16,Legend_Config!$A$2:$C$7,3,FALSE),"")</x:f>
        <x:v>#F2F2F2</x:v>
      </x:c>
      <x:c r="Q16" s="30" t="str">
        <x:f>IFERROR(VLOOKUP($A16&amp;"|Propaganda ecosystems",Score_Calculator!$A$2:$Q$80,15,FALSE),"")</x:f>
      </x:c>
      <x:c r="R16" s="30" t="str">
        <x:f>IFERROR(VLOOKUP($A16&amp;"|Election interference",Score_Calculator!$A$2:$Q$80,7,FALSE),"")</x:f>
      </x:c>
      <x:c r="S16" s="30" t="str">
        <x:f>IFERROR(VLOOKUP($A16&amp;"|Election interference",Score_Calculator!$A$2:$Q$80,9,FALSE),"")</x:f>
      </x:c>
      <x:c r="T16" s="30" t="str">
        <x:f>IFERROR("#"&amp;VLOOKUP(R16,Legend_Config!$A$2:$C$7,3,FALSE),"")</x:f>
        <x:v>#F2F2F2</x:v>
      </x:c>
      <x:c r="U16" s="30" t="str">
        <x:f>IFERROR(VLOOKUP($A16&amp;"|Election interference",Score_Calculator!$A$2:$Q$80,15,FALSE),"")</x:f>
      </x:c>
      <x:c r="V16" s="30" t="n">
        <x:f>IFERROR(ROUND(AVERAGE(F16,J16,N16,R16),0),"")</x:f>
        <x:v>0</x:v>
      </x:c>
      <x:c r="W16" s="30" t="str">
        <x:f>IFERROR("#"&amp;VLOOKUP(V16,Legend_Config!$A$2:$C$7,3,FALSE),"")</x:f>
        <x:v>#F2F2F2</x:v>
      </x:c>
      <x:c r="X16" s="30" t="str">
        <x:f>IF(COUNTA(G16,K16,O16,S16)=0,"No data",IF(COUNTIF(G16:S16,"Needs review")&gt;0,"Needs review",IF(COUNTIF(G16:S16,"Low")&gt;0,"Low",IF(COUNTIF(G16:S16,"Medium")&gt;0,"Medium","High"))))</x:f>
        <x:v>High</x:v>
      </x:c>
      <x:c r="Y16" s="30" t="str">
        <x:f>IF(X16="No data","No evidence",IF(OR(X16="High",X16="Medium"),"Ready / publishable","Show with caution"))</x:f>
        <x:v>Ready / publishable</x:v>
      </x:c>
      <x:c r="Z16" s="30" t="n">
        <x:f>IFERROR(MAX(FILTER(Score_Calculator!$P$2:$P$80,Score_Calculator!$B$2:$B$80=$A16)),"")</x:f>
        <x:v>0</x:v>
      </x:c>
      <x:c r="AA16" s="30" t="str">
        <x:f>IF(OR(D16="",E16=""),"","{""type"":""Point"",""coordinates"":["&amp;TEXT(E16,"0.0000")&amp;","&amp;TEXT(D16,"0.0000")&amp;"]}")</x:f>
      </x:c>
      <x:c r="AB16" s="30" t="str">
        <x:f>IF(A16="","","{""country"":"""&amp;A16&amp;""",""iso3"":"""&amp;B16&amp;""",""region"":"""&amp;C16&amp;""",""russian_influence_score"":"&amp;IF(ISNUMBER(F16),F16,"null")&amp;", ""russian_confidence"":"""&amp;G16&amp;""",""pmc_presence_score"":"&amp;IF(ISNUMBER(J16),J16,"null")&amp;", ""pmc_confidence"":"""&amp;K16&amp;""",""propaganda_ecosystems_score"":"&amp;IF(ISNUMBER(N16),N16,"null")&amp;", ""propaganda_confidence"":"""&amp;O16&amp;""",""election_interference_score"":"&amp;IF(ISNUMBER(R16),R16,"null")&amp;", ""election_confidence"":"""&amp;S16&amp;""",""composite_score"":"&amp;IF(ISNUMBER(V16),V16,"null")&amp;", ""colour"":""#"&amp;IFERROR(VLOOKUP(V16,Legend_Config!$A$2:$C$7,3,FALSE),"")&amp;""",""confidence"":"""&amp;X16&amp;""",""layer_status"":"""&amp;Y16&amp;"""}")</x:f>
      </x:c>
      <x:c r="AC16" s="30" t="str">
        <x:f>IFERROR(VLOOKUP(A16,Country_Config!$A$2:$G$100,7,FALSE),"")</x:f>
      </x:c>
    </x:row>
    <x:row r="17">
      <x:c r="A17" s="30"/>
      <x:c r="B17" s="30"/>
      <x:c r="C17" s="30"/>
      <x:c r="D17" s="30"/>
      <x:c r="E17" s="30"/>
      <x:c r="F17" s="30" t="str">
        <x:f>IFERROR(VLOOKUP($A17&amp;"|Russian influence",Score_Calculator!$A$2:$Q$80,7,FALSE),"")</x:f>
      </x:c>
      <x:c r="G17" s="30" t="str">
        <x:f>IFERROR(VLOOKUP($A17&amp;"|Russian influence",Score_Calculator!$A$2:$Q$80,9,FALSE),"")</x:f>
      </x:c>
      <x:c r="H17" s="30" t="str">
        <x:f>IFERROR("#"&amp;VLOOKUP(F17,Legend_Config!$A$2:$C$7,3,FALSE),"")</x:f>
        <x:v>#F2F2F2</x:v>
      </x:c>
      <x:c r="I17" s="30" t="str">
        <x:f>IFERROR(VLOOKUP($A17&amp;"|Russian influence",Score_Calculator!$A$2:$Q$80,15,FALSE),"")</x:f>
      </x:c>
      <x:c r="J17" s="30" t="str">
        <x:f>IFERROR(VLOOKUP($A17&amp;"|PMC presence",Score_Calculator!$A$2:$Q$80,7,FALSE),"")</x:f>
      </x:c>
      <x:c r="K17" s="30" t="str">
        <x:f>IFERROR(VLOOKUP($A17&amp;"|PMC presence",Score_Calculator!$A$2:$Q$80,9,FALSE),"")</x:f>
      </x:c>
      <x:c r="L17" s="30" t="str">
        <x:f>IFERROR("#"&amp;VLOOKUP(J17,Legend_Config!$A$2:$C$7,3,FALSE),"")</x:f>
        <x:v>#F2F2F2</x:v>
      </x:c>
      <x:c r="M17" s="30" t="str">
        <x:f>IFERROR(VLOOKUP($A17&amp;"|PMC presence",Score_Calculator!$A$2:$Q$80,15,FALSE),"")</x:f>
      </x:c>
      <x:c r="N17" s="30" t="str">
        <x:f>IFERROR(VLOOKUP($A17&amp;"|Propaganda ecosystems",Score_Calculator!$A$2:$Q$80,7,FALSE),"")</x:f>
      </x:c>
      <x:c r="O17" s="30" t="str">
        <x:f>IFERROR(VLOOKUP($A17&amp;"|Propaganda ecosystems",Score_Calculator!$A$2:$Q$80,9,FALSE),"")</x:f>
      </x:c>
      <x:c r="P17" s="30" t="str">
        <x:f>IFERROR("#"&amp;VLOOKUP(N17,Legend_Config!$A$2:$C$7,3,FALSE),"")</x:f>
        <x:v>#F2F2F2</x:v>
      </x:c>
      <x:c r="Q17" s="30" t="str">
        <x:f>IFERROR(VLOOKUP($A17&amp;"|Propaganda ecosystems",Score_Calculator!$A$2:$Q$80,15,FALSE),"")</x:f>
      </x:c>
      <x:c r="R17" s="30" t="str">
        <x:f>IFERROR(VLOOKUP($A17&amp;"|Election interference",Score_Calculator!$A$2:$Q$80,7,FALSE),"")</x:f>
      </x:c>
      <x:c r="S17" s="30" t="str">
        <x:f>IFERROR(VLOOKUP($A17&amp;"|Election interference",Score_Calculator!$A$2:$Q$80,9,FALSE),"")</x:f>
      </x:c>
      <x:c r="T17" s="30" t="str">
        <x:f>IFERROR("#"&amp;VLOOKUP(R17,Legend_Config!$A$2:$C$7,3,FALSE),"")</x:f>
        <x:v>#F2F2F2</x:v>
      </x:c>
      <x:c r="U17" s="30" t="str">
        <x:f>IFERROR(VLOOKUP($A17&amp;"|Election interference",Score_Calculator!$A$2:$Q$80,15,FALSE),"")</x:f>
      </x:c>
      <x:c r="V17" s="30" t="n">
        <x:f>IFERROR(ROUND(AVERAGE(F17,J17,N17,R17),0),"")</x:f>
        <x:v>0</x:v>
      </x:c>
      <x:c r="W17" s="30" t="str">
        <x:f>IFERROR("#"&amp;VLOOKUP(V17,Legend_Config!$A$2:$C$7,3,FALSE),"")</x:f>
        <x:v>#F2F2F2</x:v>
      </x:c>
      <x:c r="X17" s="30" t="str">
        <x:f>IF(COUNTA(G17,K17,O17,S17)=0,"No data",IF(COUNTIF(G17:S17,"Needs review")&gt;0,"Needs review",IF(COUNTIF(G17:S17,"Low")&gt;0,"Low",IF(COUNTIF(G17:S17,"Medium")&gt;0,"Medium","High"))))</x:f>
        <x:v>High</x:v>
      </x:c>
      <x:c r="Y17" s="30" t="str">
        <x:f>IF(X17="No data","No evidence",IF(OR(X17="High",X17="Medium"),"Ready / publishable","Show with caution"))</x:f>
        <x:v>Ready / publishable</x:v>
      </x:c>
      <x:c r="Z17" s="30" t="n">
        <x:f>IFERROR(MAX(FILTER(Score_Calculator!$P$2:$P$80,Score_Calculator!$B$2:$B$80=$A17)),"")</x:f>
        <x:v>0</x:v>
      </x:c>
      <x:c r="AA17" s="30" t="str">
        <x:f>IF(OR(D17="",E17=""),"","{""type"":""Point"",""coordinates"":["&amp;TEXT(E17,"0.0000")&amp;","&amp;TEXT(D17,"0.0000")&amp;"]}")</x:f>
      </x:c>
      <x:c r="AB17" s="30" t="str">
        <x:f>IF(A17="","","{""country"":"""&amp;A17&amp;""",""iso3"":"""&amp;B17&amp;""",""region"":"""&amp;C17&amp;""",""russian_influence_score"":"&amp;IF(ISNUMBER(F17),F17,"null")&amp;", ""russian_confidence"":"""&amp;G17&amp;""",""pmc_presence_score"":"&amp;IF(ISNUMBER(J17),J17,"null")&amp;", ""pmc_confidence"":"""&amp;K17&amp;""",""propaganda_ecosystems_score"":"&amp;IF(ISNUMBER(N17),N17,"null")&amp;", ""propaganda_confidence"":"""&amp;O17&amp;""",""election_interference_score"":"&amp;IF(ISNUMBER(R17),R17,"null")&amp;", ""election_confidence"":"""&amp;S17&amp;""",""composite_score"":"&amp;IF(ISNUMBER(V17),V17,"null")&amp;", ""colour"":""#"&amp;IFERROR(VLOOKUP(V17,Legend_Config!$A$2:$C$7,3,FALSE),"")&amp;""",""confidence"":"""&amp;X17&amp;""",""layer_status"":"""&amp;Y17&amp;"""}")</x:f>
      </x:c>
      <x:c r="AC17" s="30" t="str">
        <x:f>IFERROR(VLOOKUP(A17,Country_Config!$A$2:$G$100,7,FALSE),"")</x:f>
      </x:c>
    </x:row>
    <x:row r="18">
      <x:c r="A18" s="30"/>
      <x:c r="B18" s="30"/>
      <x:c r="C18" s="30"/>
      <x:c r="D18" s="30"/>
      <x:c r="E18" s="30"/>
      <x:c r="F18" s="30" t="str">
        <x:f>IFERROR(VLOOKUP($A18&amp;"|Russian influence",Score_Calculator!$A$2:$Q$80,7,FALSE),"")</x:f>
      </x:c>
      <x:c r="G18" s="30" t="str">
        <x:f>IFERROR(VLOOKUP($A18&amp;"|Russian influence",Score_Calculator!$A$2:$Q$80,9,FALSE),"")</x:f>
      </x:c>
      <x:c r="H18" s="30" t="str">
        <x:f>IFERROR("#"&amp;VLOOKUP(F18,Legend_Config!$A$2:$C$7,3,FALSE),"")</x:f>
        <x:v>#F2F2F2</x:v>
      </x:c>
      <x:c r="I18" s="30" t="str">
        <x:f>IFERROR(VLOOKUP($A18&amp;"|Russian influence",Score_Calculator!$A$2:$Q$80,15,FALSE),"")</x:f>
      </x:c>
      <x:c r="J18" s="30" t="str">
        <x:f>IFERROR(VLOOKUP($A18&amp;"|PMC presence",Score_Calculator!$A$2:$Q$80,7,FALSE),"")</x:f>
      </x:c>
      <x:c r="K18" s="30" t="str">
        <x:f>IFERROR(VLOOKUP($A18&amp;"|PMC presence",Score_Calculator!$A$2:$Q$80,9,FALSE),"")</x:f>
      </x:c>
      <x:c r="L18" s="30" t="str">
        <x:f>IFERROR("#"&amp;VLOOKUP(J18,Legend_Config!$A$2:$C$7,3,FALSE),"")</x:f>
        <x:v>#F2F2F2</x:v>
      </x:c>
      <x:c r="M18" s="30" t="str">
        <x:f>IFERROR(VLOOKUP($A18&amp;"|PMC presence",Score_Calculator!$A$2:$Q$80,15,FALSE),"")</x:f>
      </x:c>
      <x:c r="N18" s="30" t="str">
        <x:f>IFERROR(VLOOKUP($A18&amp;"|Propaganda ecosystems",Score_Calculator!$A$2:$Q$80,7,FALSE),"")</x:f>
      </x:c>
      <x:c r="O18" s="30" t="str">
        <x:f>IFERROR(VLOOKUP($A18&amp;"|Propaganda ecosystems",Score_Calculator!$A$2:$Q$80,9,FALSE),"")</x:f>
      </x:c>
      <x:c r="P18" s="30" t="str">
        <x:f>IFERROR("#"&amp;VLOOKUP(N18,Legend_Config!$A$2:$C$7,3,FALSE),"")</x:f>
        <x:v>#F2F2F2</x:v>
      </x:c>
      <x:c r="Q18" s="30" t="str">
        <x:f>IFERROR(VLOOKUP($A18&amp;"|Propaganda ecosystems",Score_Calculator!$A$2:$Q$80,15,FALSE),"")</x:f>
      </x:c>
      <x:c r="R18" s="30" t="str">
        <x:f>IFERROR(VLOOKUP($A18&amp;"|Election interference",Score_Calculator!$A$2:$Q$80,7,FALSE),"")</x:f>
      </x:c>
      <x:c r="S18" s="30" t="str">
        <x:f>IFERROR(VLOOKUP($A18&amp;"|Election interference",Score_Calculator!$A$2:$Q$80,9,FALSE),"")</x:f>
      </x:c>
      <x:c r="T18" s="30" t="str">
        <x:f>IFERROR("#"&amp;VLOOKUP(R18,Legend_Config!$A$2:$C$7,3,FALSE),"")</x:f>
        <x:v>#F2F2F2</x:v>
      </x:c>
      <x:c r="U18" s="30" t="str">
        <x:f>IFERROR(VLOOKUP($A18&amp;"|Election interference",Score_Calculator!$A$2:$Q$80,15,FALSE),"")</x:f>
      </x:c>
      <x:c r="V18" s="30" t="n">
        <x:f>IFERROR(ROUND(AVERAGE(F18,J18,N18,R18),0),"")</x:f>
        <x:v>0</x:v>
      </x:c>
      <x:c r="W18" s="30" t="str">
        <x:f>IFERROR("#"&amp;VLOOKUP(V18,Legend_Config!$A$2:$C$7,3,FALSE),"")</x:f>
        <x:v>#F2F2F2</x:v>
      </x:c>
      <x:c r="X18" s="30" t="str">
        <x:f>IF(COUNTA(G18,K18,O18,S18)=0,"No data",IF(COUNTIF(G18:S18,"Needs review")&gt;0,"Needs review",IF(COUNTIF(G18:S18,"Low")&gt;0,"Low",IF(COUNTIF(G18:S18,"Medium")&gt;0,"Medium","High"))))</x:f>
        <x:v>High</x:v>
      </x:c>
      <x:c r="Y18" s="30" t="str">
        <x:f>IF(X18="No data","No evidence",IF(OR(X18="High",X18="Medium"),"Ready / publishable","Show with caution"))</x:f>
        <x:v>Ready / publishable</x:v>
      </x:c>
      <x:c r="Z18" s="30" t="n">
        <x:f>IFERROR(MAX(FILTER(Score_Calculator!$P$2:$P$80,Score_Calculator!$B$2:$B$80=$A18)),"")</x:f>
        <x:v>0</x:v>
      </x:c>
      <x:c r="AA18" s="30" t="str">
        <x:f>IF(OR(D18="",E18=""),"","{""type"":""Point"",""coordinates"":["&amp;TEXT(E18,"0.0000")&amp;","&amp;TEXT(D18,"0.0000")&amp;"]}")</x:f>
      </x:c>
      <x:c r="AB18" s="30" t="str">
        <x:f>IF(A18="","","{""country"":"""&amp;A18&amp;""",""iso3"":"""&amp;B18&amp;""",""region"":"""&amp;C18&amp;""",""russian_influence_score"":"&amp;IF(ISNUMBER(F18),F18,"null")&amp;", ""russian_confidence"":"""&amp;G18&amp;""",""pmc_presence_score"":"&amp;IF(ISNUMBER(J18),J18,"null")&amp;", ""pmc_confidence"":"""&amp;K18&amp;""",""propaganda_ecosystems_score"":"&amp;IF(ISNUMBER(N18),N18,"null")&amp;", ""propaganda_confidence"":"""&amp;O18&amp;""",""election_interference_score"":"&amp;IF(ISNUMBER(R18),R18,"null")&amp;", ""election_confidence"":"""&amp;S18&amp;""",""composite_score"":"&amp;IF(ISNUMBER(V18),V18,"null")&amp;", ""colour"":""#"&amp;IFERROR(VLOOKUP(V18,Legend_Config!$A$2:$C$7,3,FALSE),"")&amp;""",""confidence"":"""&amp;X18&amp;""",""layer_status"":"""&amp;Y18&amp;"""}")</x:f>
      </x:c>
      <x:c r="AC18" s="30" t="str">
        <x:f>IFERROR(VLOOKUP(A18,Country_Config!$A$2:$G$100,7,FALSE),"")</x:f>
      </x:c>
    </x:row>
    <x:row r="19">
      <x:c r="A19" s="30"/>
      <x:c r="B19" s="30"/>
      <x:c r="C19" s="30"/>
      <x:c r="D19" s="30"/>
      <x:c r="E19" s="30"/>
      <x:c r="F19" s="30" t="str">
        <x:f>IFERROR(VLOOKUP($A19&amp;"|Russian influence",Score_Calculator!$A$2:$Q$80,7,FALSE),"")</x:f>
      </x:c>
      <x:c r="G19" s="30" t="str">
        <x:f>IFERROR(VLOOKUP($A19&amp;"|Russian influence",Score_Calculator!$A$2:$Q$80,9,FALSE),"")</x:f>
      </x:c>
      <x:c r="H19" s="30" t="str">
        <x:f>IFERROR("#"&amp;VLOOKUP(F19,Legend_Config!$A$2:$C$7,3,FALSE),"")</x:f>
        <x:v>#F2F2F2</x:v>
      </x:c>
      <x:c r="I19" s="30" t="str">
        <x:f>IFERROR(VLOOKUP($A19&amp;"|Russian influence",Score_Calculator!$A$2:$Q$80,15,FALSE),"")</x:f>
      </x:c>
      <x:c r="J19" s="30" t="str">
        <x:f>IFERROR(VLOOKUP($A19&amp;"|PMC presence",Score_Calculator!$A$2:$Q$80,7,FALSE),"")</x:f>
      </x:c>
      <x:c r="K19" s="30" t="str">
        <x:f>IFERROR(VLOOKUP($A19&amp;"|PMC presence",Score_Calculator!$A$2:$Q$80,9,FALSE),"")</x:f>
      </x:c>
      <x:c r="L19" s="30" t="str">
        <x:f>IFERROR("#"&amp;VLOOKUP(J19,Legend_Config!$A$2:$C$7,3,FALSE),"")</x:f>
        <x:v>#F2F2F2</x:v>
      </x:c>
      <x:c r="M19" s="30" t="str">
        <x:f>IFERROR(VLOOKUP($A19&amp;"|PMC presence",Score_Calculator!$A$2:$Q$80,15,FALSE),"")</x:f>
      </x:c>
      <x:c r="N19" s="30" t="str">
        <x:f>IFERROR(VLOOKUP($A19&amp;"|Propaganda ecosystems",Score_Calculator!$A$2:$Q$80,7,FALSE),"")</x:f>
      </x:c>
      <x:c r="O19" s="30" t="str">
        <x:f>IFERROR(VLOOKUP($A19&amp;"|Propaganda ecosystems",Score_Calculator!$A$2:$Q$80,9,FALSE),"")</x:f>
      </x:c>
      <x:c r="P19" s="30" t="str">
        <x:f>IFERROR("#"&amp;VLOOKUP(N19,Legend_Config!$A$2:$C$7,3,FALSE),"")</x:f>
        <x:v>#F2F2F2</x:v>
      </x:c>
      <x:c r="Q19" s="30" t="str">
        <x:f>IFERROR(VLOOKUP($A19&amp;"|Propaganda ecosystems",Score_Calculator!$A$2:$Q$80,15,FALSE),"")</x:f>
      </x:c>
      <x:c r="R19" s="30" t="str">
        <x:f>IFERROR(VLOOKUP($A19&amp;"|Election interference",Score_Calculator!$A$2:$Q$80,7,FALSE),"")</x:f>
      </x:c>
      <x:c r="S19" s="30" t="str">
        <x:f>IFERROR(VLOOKUP($A19&amp;"|Election interference",Score_Calculator!$A$2:$Q$80,9,FALSE),"")</x:f>
      </x:c>
      <x:c r="T19" s="30" t="str">
        <x:f>IFERROR("#"&amp;VLOOKUP(R19,Legend_Config!$A$2:$C$7,3,FALSE),"")</x:f>
        <x:v>#F2F2F2</x:v>
      </x:c>
      <x:c r="U19" s="30" t="str">
        <x:f>IFERROR(VLOOKUP($A19&amp;"|Election interference",Score_Calculator!$A$2:$Q$80,15,FALSE),"")</x:f>
      </x:c>
      <x:c r="V19" s="30" t="n">
        <x:f>IFERROR(ROUND(AVERAGE(F19,J19,N19,R19),0),"")</x:f>
        <x:v>0</x:v>
      </x:c>
      <x:c r="W19" s="30" t="str">
        <x:f>IFERROR("#"&amp;VLOOKUP(V19,Legend_Config!$A$2:$C$7,3,FALSE),"")</x:f>
        <x:v>#F2F2F2</x:v>
      </x:c>
      <x:c r="X19" s="30" t="str">
        <x:f>IF(COUNTA(G19,K19,O19,S19)=0,"No data",IF(COUNTIF(G19:S19,"Needs review")&gt;0,"Needs review",IF(COUNTIF(G19:S19,"Low")&gt;0,"Low",IF(COUNTIF(G19:S19,"Medium")&gt;0,"Medium","High"))))</x:f>
        <x:v>High</x:v>
      </x:c>
      <x:c r="Y19" s="30" t="str">
        <x:f>IF(X19="No data","No evidence",IF(OR(X19="High",X19="Medium"),"Ready / publishable","Show with caution"))</x:f>
        <x:v>Ready / publishable</x:v>
      </x:c>
      <x:c r="Z19" s="30" t="n">
        <x:f>IFERROR(MAX(FILTER(Score_Calculator!$P$2:$P$80,Score_Calculator!$B$2:$B$80=$A19)),"")</x:f>
        <x:v>0</x:v>
      </x:c>
      <x:c r="AA19" s="30" t="str">
        <x:f>IF(OR(D19="",E19=""),"","{""type"":""Point"",""coordinates"":["&amp;TEXT(E19,"0.0000")&amp;","&amp;TEXT(D19,"0.0000")&amp;"]}")</x:f>
      </x:c>
      <x:c r="AB19" s="30" t="str">
        <x:f>IF(A19="","","{""country"":"""&amp;A19&amp;""",""iso3"":"""&amp;B19&amp;""",""region"":"""&amp;C19&amp;""",""russian_influence_score"":"&amp;IF(ISNUMBER(F19),F19,"null")&amp;", ""russian_confidence"":"""&amp;G19&amp;""",""pmc_presence_score"":"&amp;IF(ISNUMBER(J19),J19,"null")&amp;", ""pmc_confidence"":"""&amp;K19&amp;""",""propaganda_ecosystems_score"":"&amp;IF(ISNUMBER(N19),N19,"null")&amp;", ""propaganda_confidence"":"""&amp;O19&amp;""",""election_interference_score"":"&amp;IF(ISNUMBER(R19),R19,"null")&amp;", ""election_confidence"":"""&amp;S19&amp;""",""composite_score"":"&amp;IF(ISNUMBER(V19),V19,"null")&amp;", ""colour"":""#"&amp;IFERROR(VLOOKUP(V19,Legend_Config!$A$2:$C$7,3,FALSE),"")&amp;""",""confidence"":"""&amp;X19&amp;""",""layer_status"":"""&amp;Y19&amp;"""}")</x:f>
      </x:c>
      <x:c r="AC19" s="30" t="str">
        <x:f>IFERROR(VLOOKUP(A19,Country_Config!$A$2:$G$100,7,FALSE),"")</x:f>
      </x:c>
    </x:row>
    <x:row r="20">
      <x:c r="A20" s="30"/>
      <x:c r="B20" s="30"/>
      <x:c r="C20" s="30"/>
      <x:c r="D20" s="30"/>
      <x:c r="E20" s="30"/>
      <x:c r="F20" s="30" t="str">
        <x:f>IFERROR(VLOOKUP($A20&amp;"|Russian influence",Score_Calculator!$A$2:$Q$80,7,FALSE),"")</x:f>
      </x:c>
      <x:c r="G20" s="30" t="str">
        <x:f>IFERROR(VLOOKUP($A20&amp;"|Russian influence",Score_Calculator!$A$2:$Q$80,9,FALSE),"")</x:f>
      </x:c>
      <x:c r="H20" s="30" t="str">
        <x:f>IFERROR("#"&amp;VLOOKUP(F20,Legend_Config!$A$2:$C$7,3,FALSE),"")</x:f>
        <x:v>#F2F2F2</x:v>
      </x:c>
      <x:c r="I20" s="30" t="str">
        <x:f>IFERROR(VLOOKUP($A20&amp;"|Russian influence",Score_Calculator!$A$2:$Q$80,15,FALSE),"")</x:f>
      </x:c>
      <x:c r="J20" s="30" t="str">
        <x:f>IFERROR(VLOOKUP($A20&amp;"|PMC presence",Score_Calculator!$A$2:$Q$80,7,FALSE),"")</x:f>
      </x:c>
      <x:c r="K20" s="30" t="str">
        <x:f>IFERROR(VLOOKUP($A20&amp;"|PMC presence",Score_Calculator!$A$2:$Q$80,9,FALSE),"")</x:f>
      </x:c>
      <x:c r="L20" s="30" t="str">
        <x:f>IFERROR("#"&amp;VLOOKUP(J20,Legend_Config!$A$2:$C$7,3,FALSE),"")</x:f>
        <x:v>#F2F2F2</x:v>
      </x:c>
      <x:c r="M20" s="30" t="str">
        <x:f>IFERROR(VLOOKUP($A20&amp;"|PMC presence",Score_Calculator!$A$2:$Q$80,15,FALSE),"")</x:f>
      </x:c>
      <x:c r="N20" s="30" t="str">
        <x:f>IFERROR(VLOOKUP($A20&amp;"|Propaganda ecosystems",Score_Calculator!$A$2:$Q$80,7,FALSE),"")</x:f>
      </x:c>
      <x:c r="O20" s="30" t="str">
        <x:f>IFERROR(VLOOKUP($A20&amp;"|Propaganda ecosystems",Score_Calculator!$A$2:$Q$80,9,FALSE),"")</x:f>
      </x:c>
      <x:c r="P20" s="30" t="str">
        <x:f>IFERROR("#"&amp;VLOOKUP(N20,Legend_Config!$A$2:$C$7,3,FALSE),"")</x:f>
        <x:v>#F2F2F2</x:v>
      </x:c>
      <x:c r="Q20" s="30" t="str">
        <x:f>IFERROR(VLOOKUP($A20&amp;"|Propaganda ecosystems",Score_Calculator!$A$2:$Q$80,15,FALSE),"")</x:f>
      </x:c>
      <x:c r="R20" s="30" t="str">
        <x:f>IFERROR(VLOOKUP($A20&amp;"|Election interference",Score_Calculator!$A$2:$Q$80,7,FALSE),"")</x:f>
      </x:c>
      <x:c r="S20" s="30" t="str">
        <x:f>IFERROR(VLOOKUP($A20&amp;"|Election interference",Score_Calculator!$A$2:$Q$80,9,FALSE),"")</x:f>
      </x:c>
      <x:c r="T20" s="30" t="str">
        <x:f>IFERROR("#"&amp;VLOOKUP(R20,Legend_Config!$A$2:$C$7,3,FALSE),"")</x:f>
        <x:v>#F2F2F2</x:v>
      </x:c>
      <x:c r="U20" s="30" t="str">
        <x:f>IFERROR(VLOOKUP($A20&amp;"|Election interference",Score_Calculator!$A$2:$Q$80,15,FALSE),"")</x:f>
      </x:c>
      <x:c r="V20" s="30" t="n">
        <x:f>IFERROR(ROUND(AVERAGE(F20,J20,N20,R20),0),"")</x:f>
        <x:v>0</x:v>
      </x:c>
      <x:c r="W20" s="30" t="str">
        <x:f>IFERROR("#"&amp;VLOOKUP(V20,Legend_Config!$A$2:$C$7,3,FALSE),"")</x:f>
        <x:v>#F2F2F2</x:v>
      </x:c>
      <x:c r="X20" s="30" t="str">
        <x:f>IF(COUNTA(G20,K20,O20,S20)=0,"No data",IF(COUNTIF(G20:S20,"Needs review")&gt;0,"Needs review",IF(COUNTIF(G20:S20,"Low")&gt;0,"Low",IF(COUNTIF(G20:S20,"Medium")&gt;0,"Medium","High"))))</x:f>
        <x:v>High</x:v>
      </x:c>
      <x:c r="Y20" s="30" t="str">
        <x:f>IF(X20="No data","No evidence",IF(OR(X20="High",X20="Medium"),"Ready / publishable","Show with caution"))</x:f>
        <x:v>Ready / publishable</x:v>
      </x:c>
      <x:c r="Z20" s="30" t="n">
        <x:f>IFERROR(MAX(FILTER(Score_Calculator!$P$2:$P$80,Score_Calculator!$B$2:$B$80=$A20)),"")</x:f>
        <x:v>0</x:v>
      </x:c>
      <x:c r="AA20" s="30" t="str">
        <x:f>IF(OR(D20="",E20=""),"","{""type"":""Point"",""coordinates"":["&amp;TEXT(E20,"0.0000")&amp;","&amp;TEXT(D20,"0.0000")&amp;"]}")</x:f>
      </x:c>
      <x:c r="AB20" s="30" t="str">
        <x:f>IF(A20="","","{""country"":"""&amp;A20&amp;""",""iso3"":"""&amp;B20&amp;""",""region"":"""&amp;C20&amp;""",""russian_influence_score"":"&amp;IF(ISNUMBER(F20),F20,"null")&amp;", ""russian_confidence"":"""&amp;G20&amp;""",""pmc_presence_score"":"&amp;IF(ISNUMBER(J20),J20,"null")&amp;", ""pmc_confidence"":"""&amp;K20&amp;""",""propaganda_ecosystems_score"":"&amp;IF(ISNUMBER(N20),N20,"null")&amp;", ""propaganda_confidence"":"""&amp;O20&amp;""",""election_interference_score"":"&amp;IF(ISNUMBER(R20),R20,"null")&amp;", ""election_confidence"":"""&amp;S20&amp;""",""composite_score"":"&amp;IF(ISNUMBER(V20),V20,"null")&amp;", ""colour"":""#"&amp;IFERROR(VLOOKUP(V20,Legend_Config!$A$2:$C$7,3,FALSE),"")&amp;""",""confidence"":"""&amp;X20&amp;""",""layer_status"":"""&amp;Y20&amp;"""}")</x:f>
      </x:c>
      <x:c r="AC20" s="30" t="str">
        <x:f>IFERROR(VLOOKUP(A20,Country_Config!$A$2:$G$100,7,FALSE),"")</x:f>
      </x:c>
    </x:row>
    <x:row r="21">
      <x:c r="A21" s="30"/>
      <x:c r="B21" s="30"/>
      <x:c r="C21" s="30"/>
      <x:c r="D21" s="30"/>
      <x:c r="E21" s="30"/>
      <x:c r="F21" s="30" t="str">
        <x:f>IFERROR(VLOOKUP($A21&amp;"|Russian influence",Score_Calculator!$A$2:$Q$80,7,FALSE),"")</x:f>
      </x:c>
      <x:c r="G21" s="30" t="str">
        <x:f>IFERROR(VLOOKUP($A21&amp;"|Russian influence",Score_Calculator!$A$2:$Q$80,9,FALSE),"")</x:f>
      </x:c>
      <x:c r="H21" s="30" t="str">
        <x:f>IFERROR("#"&amp;VLOOKUP(F21,Legend_Config!$A$2:$C$7,3,FALSE),"")</x:f>
        <x:v>#F2F2F2</x:v>
      </x:c>
      <x:c r="I21" s="30" t="str">
        <x:f>IFERROR(VLOOKUP($A21&amp;"|Russian influence",Score_Calculator!$A$2:$Q$80,15,FALSE),"")</x:f>
      </x:c>
      <x:c r="J21" s="30" t="str">
        <x:f>IFERROR(VLOOKUP($A21&amp;"|PMC presence",Score_Calculator!$A$2:$Q$80,7,FALSE),"")</x:f>
      </x:c>
      <x:c r="K21" s="30" t="str">
        <x:f>IFERROR(VLOOKUP($A21&amp;"|PMC presence",Score_Calculator!$A$2:$Q$80,9,FALSE),"")</x:f>
      </x:c>
      <x:c r="L21" s="30" t="str">
        <x:f>IFERROR("#"&amp;VLOOKUP(J21,Legend_Config!$A$2:$C$7,3,FALSE),"")</x:f>
        <x:v>#F2F2F2</x:v>
      </x:c>
      <x:c r="M21" s="30" t="str">
        <x:f>IFERROR(VLOOKUP($A21&amp;"|PMC presence",Score_Calculator!$A$2:$Q$80,15,FALSE),"")</x:f>
      </x:c>
      <x:c r="N21" s="30" t="str">
        <x:f>IFERROR(VLOOKUP($A21&amp;"|Propaganda ecosystems",Score_Calculator!$A$2:$Q$80,7,FALSE),"")</x:f>
      </x:c>
      <x:c r="O21" s="30" t="str">
        <x:f>IFERROR(VLOOKUP($A21&amp;"|Propaganda ecosystems",Score_Calculator!$A$2:$Q$80,9,FALSE),"")</x:f>
      </x:c>
      <x:c r="P21" s="30" t="str">
        <x:f>IFERROR("#"&amp;VLOOKUP(N21,Legend_Config!$A$2:$C$7,3,FALSE),"")</x:f>
        <x:v>#F2F2F2</x:v>
      </x:c>
      <x:c r="Q21" s="30" t="str">
        <x:f>IFERROR(VLOOKUP($A21&amp;"|Propaganda ecosystems",Score_Calculator!$A$2:$Q$80,15,FALSE),"")</x:f>
      </x:c>
      <x:c r="R21" s="30" t="str">
        <x:f>IFERROR(VLOOKUP($A21&amp;"|Election interference",Score_Calculator!$A$2:$Q$80,7,FALSE),"")</x:f>
      </x:c>
      <x:c r="S21" s="30" t="str">
        <x:f>IFERROR(VLOOKUP($A21&amp;"|Election interference",Score_Calculator!$A$2:$Q$80,9,FALSE),"")</x:f>
      </x:c>
      <x:c r="T21" s="30" t="str">
        <x:f>IFERROR("#"&amp;VLOOKUP(R21,Legend_Config!$A$2:$C$7,3,FALSE),"")</x:f>
        <x:v>#F2F2F2</x:v>
      </x:c>
      <x:c r="U21" s="30" t="str">
        <x:f>IFERROR(VLOOKUP($A21&amp;"|Election interference",Score_Calculator!$A$2:$Q$80,15,FALSE),"")</x:f>
      </x:c>
      <x:c r="V21" s="30" t="n">
        <x:f>IFERROR(ROUND(AVERAGE(F21,J21,N21,R21),0),"")</x:f>
        <x:v>0</x:v>
      </x:c>
      <x:c r="W21" s="30" t="str">
        <x:f>IFERROR("#"&amp;VLOOKUP(V21,Legend_Config!$A$2:$C$7,3,FALSE),"")</x:f>
        <x:v>#F2F2F2</x:v>
      </x:c>
      <x:c r="X21" s="30" t="str">
        <x:f>IF(COUNTA(G21,K21,O21,S21)=0,"No data",IF(COUNTIF(G21:S21,"Needs review")&gt;0,"Needs review",IF(COUNTIF(G21:S21,"Low")&gt;0,"Low",IF(COUNTIF(G21:S21,"Medium")&gt;0,"Medium","High"))))</x:f>
        <x:v>High</x:v>
      </x:c>
      <x:c r="Y21" s="30" t="str">
        <x:f>IF(X21="No data","No evidence",IF(OR(X21="High",X21="Medium"),"Ready / publishable","Show with caution"))</x:f>
        <x:v>Ready / publishable</x:v>
      </x:c>
      <x:c r="Z21" s="30" t="n">
        <x:f>IFERROR(MAX(FILTER(Score_Calculator!$P$2:$P$80,Score_Calculator!$B$2:$B$80=$A21)),"")</x:f>
        <x:v>0</x:v>
      </x:c>
      <x:c r="AA21" s="30" t="str">
        <x:f>IF(OR(D21="",E21=""),"","{""type"":""Point"",""coordinates"":["&amp;TEXT(E21,"0.0000")&amp;","&amp;TEXT(D21,"0.0000")&amp;"]}")</x:f>
      </x:c>
      <x:c r="AB21" s="30" t="str">
        <x:f>IF(A21="","","{""country"":"""&amp;A21&amp;""",""iso3"":"""&amp;B21&amp;""",""region"":"""&amp;C21&amp;""",""russian_influence_score"":"&amp;IF(ISNUMBER(F21),F21,"null")&amp;", ""russian_confidence"":"""&amp;G21&amp;""",""pmc_presence_score"":"&amp;IF(ISNUMBER(J21),J21,"null")&amp;", ""pmc_confidence"":"""&amp;K21&amp;""",""propaganda_ecosystems_score"":"&amp;IF(ISNUMBER(N21),N21,"null")&amp;", ""propaganda_confidence"":"""&amp;O21&amp;""",""election_interference_score"":"&amp;IF(ISNUMBER(R21),R21,"null")&amp;", ""election_confidence"":"""&amp;S21&amp;""",""composite_score"":"&amp;IF(ISNUMBER(V21),V21,"null")&amp;", ""colour"":""#"&amp;IFERROR(VLOOKUP(V21,Legend_Config!$A$2:$C$7,3,FALSE),"")&amp;""",""confidence"":"""&amp;X21&amp;""",""layer_status"":"""&amp;Y21&amp;"""}")</x:f>
      </x:c>
      <x:c r="AC21" s="30" t="str">
        <x:f>IFERROR(VLOOKUP(A21,Country_Config!$A$2:$G$100,7,FALSE),"")</x:f>
      </x:c>
    </x:row>
    <x:row r="22">
      <x:c r="A22" s="30"/>
      <x:c r="B22" s="30"/>
      <x:c r="C22" s="30"/>
      <x:c r="D22" s="30"/>
      <x:c r="E22" s="30"/>
      <x:c r="F22" s="30" t="str">
        <x:f>IFERROR(VLOOKUP($A22&amp;"|Russian influence",Score_Calculator!$A$2:$Q$80,7,FALSE),"")</x:f>
      </x:c>
      <x:c r="G22" s="30" t="str">
        <x:f>IFERROR(VLOOKUP($A22&amp;"|Russian influence",Score_Calculator!$A$2:$Q$80,9,FALSE),"")</x:f>
      </x:c>
      <x:c r="H22" s="30" t="str">
        <x:f>IFERROR("#"&amp;VLOOKUP(F22,Legend_Config!$A$2:$C$7,3,FALSE),"")</x:f>
        <x:v>#F2F2F2</x:v>
      </x:c>
      <x:c r="I22" s="30" t="str">
        <x:f>IFERROR(VLOOKUP($A22&amp;"|Russian influence",Score_Calculator!$A$2:$Q$80,15,FALSE),"")</x:f>
      </x:c>
      <x:c r="J22" s="30" t="str">
        <x:f>IFERROR(VLOOKUP($A22&amp;"|PMC presence",Score_Calculator!$A$2:$Q$80,7,FALSE),"")</x:f>
      </x:c>
      <x:c r="K22" s="30" t="str">
        <x:f>IFERROR(VLOOKUP($A22&amp;"|PMC presence",Score_Calculator!$A$2:$Q$80,9,FALSE),"")</x:f>
      </x:c>
      <x:c r="L22" s="30" t="str">
        <x:f>IFERROR("#"&amp;VLOOKUP(J22,Legend_Config!$A$2:$C$7,3,FALSE),"")</x:f>
        <x:v>#F2F2F2</x:v>
      </x:c>
      <x:c r="M22" s="30" t="str">
        <x:f>IFERROR(VLOOKUP($A22&amp;"|PMC presence",Score_Calculator!$A$2:$Q$80,15,FALSE),"")</x:f>
      </x:c>
      <x:c r="N22" s="30" t="str">
        <x:f>IFERROR(VLOOKUP($A22&amp;"|Propaganda ecosystems",Score_Calculator!$A$2:$Q$80,7,FALSE),"")</x:f>
      </x:c>
      <x:c r="O22" s="30" t="str">
        <x:f>IFERROR(VLOOKUP($A22&amp;"|Propaganda ecosystems",Score_Calculator!$A$2:$Q$80,9,FALSE),"")</x:f>
      </x:c>
      <x:c r="P22" s="30" t="str">
        <x:f>IFERROR("#"&amp;VLOOKUP(N22,Legend_Config!$A$2:$C$7,3,FALSE),"")</x:f>
        <x:v>#F2F2F2</x:v>
      </x:c>
      <x:c r="Q22" s="30" t="str">
        <x:f>IFERROR(VLOOKUP($A22&amp;"|Propaganda ecosystems",Score_Calculator!$A$2:$Q$80,15,FALSE),"")</x:f>
      </x:c>
      <x:c r="R22" s="30" t="str">
        <x:f>IFERROR(VLOOKUP($A22&amp;"|Election interference",Score_Calculator!$A$2:$Q$80,7,FALSE),"")</x:f>
      </x:c>
      <x:c r="S22" s="30" t="str">
        <x:f>IFERROR(VLOOKUP($A22&amp;"|Election interference",Score_Calculator!$A$2:$Q$80,9,FALSE),"")</x:f>
      </x:c>
      <x:c r="T22" s="30" t="str">
        <x:f>IFERROR("#"&amp;VLOOKUP(R22,Legend_Config!$A$2:$C$7,3,FALSE),"")</x:f>
        <x:v>#F2F2F2</x:v>
      </x:c>
      <x:c r="U22" s="30" t="str">
        <x:f>IFERROR(VLOOKUP($A22&amp;"|Election interference",Score_Calculator!$A$2:$Q$80,15,FALSE),"")</x:f>
      </x:c>
      <x:c r="V22" s="30" t="n">
        <x:f>IFERROR(ROUND(AVERAGE(F22,J22,N22,R22),0),"")</x:f>
        <x:v>0</x:v>
      </x:c>
      <x:c r="W22" s="30" t="str">
        <x:f>IFERROR("#"&amp;VLOOKUP(V22,Legend_Config!$A$2:$C$7,3,FALSE),"")</x:f>
        <x:v>#F2F2F2</x:v>
      </x:c>
      <x:c r="X22" s="30" t="str">
        <x:f>IF(COUNTA(G22,K22,O22,S22)=0,"No data",IF(COUNTIF(G22:S22,"Needs review")&gt;0,"Needs review",IF(COUNTIF(G22:S22,"Low")&gt;0,"Low",IF(COUNTIF(G22:S22,"Medium")&gt;0,"Medium","High"))))</x:f>
        <x:v>High</x:v>
      </x:c>
      <x:c r="Y22" s="30" t="str">
        <x:f>IF(X22="No data","No evidence",IF(OR(X22="High",X22="Medium"),"Ready / publishable","Show with caution"))</x:f>
        <x:v>Ready / publishable</x:v>
      </x:c>
      <x:c r="Z22" s="30" t="n">
        <x:f>IFERROR(MAX(FILTER(Score_Calculator!$P$2:$P$80,Score_Calculator!$B$2:$B$80=$A22)),"")</x:f>
        <x:v>0</x:v>
      </x:c>
      <x:c r="AA22" s="30" t="str">
        <x:f>IF(OR(D22="",E22=""),"","{""type"":""Point"",""coordinates"":["&amp;TEXT(E22,"0.0000")&amp;","&amp;TEXT(D22,"0.0000")&amp;"]}")</x:f>
      </x:c>
      <x:c r="AB22" s="30" t="str">
        <x:f>IF(A22="","","{""country"":"""&amp;A22&amp;""",""iso3"":"""&amp;B22&amp;""",""region"":"""&amp;C22&amp;""",""russian_influence_score"":"&amp;IF(ISNUMBER(F22),F22,"null")&amp;", ""russian_confidence"":"""&amp;G22&amp;""",""pmc_presence_score"":"&amp;IF(ISNUMBER(J22),J22,"null")&amp;", ""pmc_confidence"":"""&amp;K22&amp;""",""propaganda_ecosystems_score"":"&amp;IF(ISNUMBER(N22),N22,"null")&amp;", ""propaganda_confidence"":"""&amp;O22&amp;""",""election_interference_score"":"&amp;IF(ISNUMBER(R22),R22,"null")&amp;", ""election_confidence"":"""&amp;S22&amp;""",""composite_score"":"&amp;IF(ISNUMBER(V22),V22,"null")&amp;", ""colour"":""#"&amp;IFERROR(VLOOKUP(V22,Legend_Config!$A$2:$C$7,3,FALSE),"")&amp;""",""confidence"":"""&amp;X22&amp;""",""layer_status"":"""&amp;Y22&amp;"""}")</x:f>
      </x:c>
      <x:c r="AC22" s="30" t="str">
        <x:f>IFERROR(VLOOKUP(A22,Country_Config!$A$2:$G$100,7,FALSE),"")</x:f>
      </x:c>
    </x:row>
    <x:row r="23">
      <x:c r="A23" s="30"/>
      <x:c r="B23" s="30"/>
      <x:c r="C23" s="30"/>
      <x:c r="D23" s="30"/>
      <x:c r="E23" s="30"/>
      <x:c r="F23" s="30" t="str">
        <x:f>IFERROR(VLOOKUP($A23&amp;"|Russian influence",Score_Calculator!$A$2:$Q$80,7,FALSE),"")</x:f>
      </x:c>
      <x:c r="G23" s="30" t="str">
        <x:f>IFERROR(VLOOKUP($A23&amp;"|Russian influence",Score_Calculator!$A$2:$Q$80,9,FALSE),"")</x:f>
      </x:c>
      <x:c r="H23" s="30" t="str">
        <x:f>IFERROR("#"&amp;VLOOKUP(F23,Legend_Config!$A$2:$C$7,3,FALSE),"")</x:f>
        <x:v>#F2F2F2</x:v>
      </x:c>
      <x:c r="I23" s="30" t="str">
        <x:f>IFERROR(VLOOKUP($A23&amp;"|Russian influence",Score_Calculator!$A$2:$Q$80,15,FALSE),"")</x:f>
      </x:c>
      <x:c r="J23" s="30" t="str">
        <x:f>IFERROR(VLOOKUP($A23&amp;"|PMC presence",Score_Calculator!$A$2:$Q$80,7,FALSE),"")</x:f>
      </x:c>
      <x:c r="K23" s="30" t="str">
        <x:f>IFERROR(VLOOKUP($A23&amp;"|PMC presence",Score_Calculator!$A$2:$Q$80,9,FALSE),"")</x:f>
      </x:c>
      <x:c r="L23" s="30" t="str">
        <x:f>IFERROR("#"&amp;VLOOKUP(J23,Legend_Config!$A$2:$C$7,3,FALSE),"")</x:f>
        <x:v>#F2F2F2</x:v>
      </x:c>
      <x:c r="M23" s="30" t="str">
        <x:f>IFERROR(VLOOKUP($A23&amp;"|PMC presence",Score_Calculator!$A$2:$Q$80,15,FALSE),"")</x:f>
      </x:c>
      <x:c r="N23" s="30" t="str">
        <x:f>IFERROR(VLOOKUP($A23&amp;"|Propaganda ecosystems",Score_Calculator!$A$2:$Q$80,7,FALSE),"")</x:f>
      </x:c>
      <x:c r="O23" s="30" t="str">
        <x:f>IFERROR(VLOOKUP($A23&amp;"|Propaganda ecosystems",Score_Calculator!$A$2:$Q$80,9,FALSE),"")</x:f>
      </x:c>
      <x:c r="P23" s="30" t="str">
        <x:f>IFERROR("#"&amp;VLOOKUP(N23,Legend_Config!$A$2:$C$7,3,FALSE),"")</x:f>
        <x:v>#F2F2F2</x:v>
      </x:c>
      <x:c r="Q23" s="30" t="str">
        <x:f>IFERROR(VLOOKUP($A23&amp;"|Propaganda ecosystems",Score_Calculator!$A$2:$Q$80,15,FALSE),"")</x:f>
      </x:c>
      <x:c r="R23" s="30" t="str">
        <x:f>IFERROR(VLOOKUP($A23&amp;"|Election interference",Score_Calculator!$A$2:$Q$80,7,FALSE),"")</x:f>
      </x:c>
      <x:c r="S23" s="30" t="str">
        <x:f>IFERROR(VLOOKUP($A23&amp;"|Election interference",Score_Calculator!$A$2:$Q$80,9,FALSE),"")</x:f>
      </x:c>
      <x:c r="T23" s="30" t="str">
        <x:f>IFERROR("#"&amp;VLOOKUP(R23,Legend_Config!$A$2:$C$7,3,FALSE),"")</x:f>
        <x:v>#F2F2F2</x:v>
      </x:c>
      <x:c r="U23" s="30" t="str">
        <x:f>IFERROR(VLOOKUP($A23&amp;"|Election interference",Score_Calculator!$A$2:$Q$80,15,FALSE),"")</x:f>
      </x:c>
      <x:c r="V23" s="30" t="n">
        <x:f>IFERROR(ROUND(AVERAGE(F23,J23,N23,R23),0),"")</x:f>
        <x:v>0</x:v>
      </x:c>
      <x:c r="W23" s="30" t="str">
        <x:f>IFERROR("#"&amp;VLOOKUP(V23,Legend_Config!$A$2:$C$7,3,FALSE),"")</x:f>
        <x:v>#F2F2F2</x:v>
      </x:c>
      <x:c r="X23" s="30" t="str">
        <x:f>IF(COUNTA(G23,K23,O23,S23)=0,"No data",IF(COUNTIF(G23:S23,"Needs review")&gt;0,"Needs review",IF(COUNTIF(G23:S23,"Low")&gt;0,"Low",IF(COUNTIF(G23:S23,"Medium")&gt;0,"Medium","High"))))</x:f>
        <x:v>High</x:v>
      </x:c>
      <x:c r="Y23" s="30" t="str">
        <x:f>IF(X23="No data","No evidence",IF(OR(X23="High",X23="Medium"),"Ready / publishable","Show with caution"))</x:f>
        <x:v>Ready / publishable</x:v>
      </x:c>
      <x:c r="Z23" s="30" t="n">
        <x:f>IFERROR(MAX(FILTER(Score_Calculator!$P$2:$P$80,Score_Calculator!$B$2:$B$80=$A23)),"")</x:f>
        <x:v>0</x:v>
      </x:c>
      <x:c r="AA23" s="30" t="str">
        <x:f>IF(OR(D23="",E23=""),"","{""type"":""Point"",""coordinates"":["&amp;TEXT(E23,"0.0000")&amp;","&amp;TEXT(D23,"0.0000")&amp;"]}")</x:f>
      </x:c>
      <x:c r="AB23" s="30" t="str">
        <x:f>IF(A23="","","{""country"":"""&amp;A23&amp;""",""iso3"":"""&amp;B23&amp;""",""region"":"""&amp;C23&amp;""",""russian_influence_score"":"&amp;IF(ISNUMBER(F23),F23,"null")&amp;", ""russian_confidence"":"""&amp;G23&amp;""",""pmc_presence_score"":"&amp;IF(ISNUMBER(J23),J23,"null")&amp;", ""pmc_confidence"":"""&amp;K23&amp;""",""propaganda_ecosystems_score"":"&amp;IF(ISNUMBER(N23),N23,"null")&amp;", ""propaganda_confidence"":"""&amp;O23&amp;""",""election_interference_score"":"&amp;IF(ISNUMBER(R23),R23,"null")&amp;", ""election_confidence"":"""&amp;S23&amp;""",""composite_score"":"&amp;IF(ISNUMBER(V23),V23,"null")&amp;", ""colour"":""#"&amp;IFERROR(VLOOKUP(V23,Legend_Config!$A$2:$C$7,3,FALSE),"")&amp;""",""confidence"":"""&amp;X23&amp;""",""layer_status"":"""&amp;Y23&amp;"""}")</x:f>
      </x:c>
      <x:c r="AC23" s="30" t="str">
        <x:f>IFERROR(VLOOKUP(A23,Country_Config!$A$2:$G$100,7,FALSE),"")</x:f>
      </x:c>
    </x:row>
    <x:row r="24">
      <x:c r="A24" s="30"/>
      <x:c r="B24" s="30"/>
      <x:c r="C24" s="30"/>
      <x:c r="D24" s="30"/>
      <x:c r="E24" s="30"/>
      <x:c r="F24" s="30" t="str">
        <x:f>IFERROR(VLOOKUP($A24&amp;"|Russian influence",Score_Calculator!$A$2:$Q$80,7,FALSE),"")</x:f>
      </x:c>
      <x:c r="G24" s="30" t="str">
        <x:f>IFERROR(VLOOKUP($A24&amp;"|Russian influence",Score_Calculator!$A$2:$Q$80,9,FALSE),"")</x:f>
      </x:c>
      <x:c r="H24" s="30" t="str">
        <x:f>IFERROR("#"&amp;VLOOKUP(F24,Legend_Config!$A$2:$C$7,3,FALSE),"")</x:f>
        <x:v>#F2F2F2</x:v>
      </x:c>
      <x:c r="I24" s="30" t="str">
        <x:f>IFERROR(VLOOKUP($A24&amp;"|Russian influence",Score_Calculator!$A$2:$Q$80,15,FALSE),"")</x:f>
      </x:c>
      <x:c r="J24" s="30" t="str">
        <x:f>IFERROR(VLOOKUP($A24&amp;"|PMC presence",Score_Calculator!$A$2:$Q$80,7,FALSE),"")</x:f>
      </x:c>
      <x:c r="K24" s="30" t="str">
        <x:f>IFERROR(VLOOKUP($A24&amp;"|PMC presence",Score_Calculator!$A$2:$Q$80,9,FALSE),"")</x:f>
      </x:c>
      <x:c r="L24" s="30" t="str">
        <x:f>IFERROR("#"&amp;VLOOKUP(J24,Legend_Config!$A$2:$C$7,3,FALSE),"")</x:f>
        <x:v>#F2F2F2</x:v>
      </x:c>
      <x:c r="M24" s="30" t="str">
        <x:f>IFERROR(VLOOKUP($A24&amp;"|PMC presence",Score_Calculator!$A$2:$Q$80,15,FALSE),"")</x:f>
      </x:c>
      <x:c r="N24" s="30" t="str">
        <x:f>IFERROR(VLOOKUP($A24&amp;"|Propaganda ecosystems",Score_Calculator!$A$2:$Q$80,7,FALSE),"")</x:f>
      </x:c>
      <x:c r="O24" s="30" t="str">
        <x:f>IFERROR(VLOOKUP($A24&amp;"|Propaganda ecosystems",Score_Calculator!$A$2:$Q$80,9,FALSE),"")</x:f>
      </x:c>
      <x:c r="P24" s="30" t="str">
        <x:f>IFERROR("#"&amp;VLOOKUP(N24,Legend_Config!$A$2:$C$7,3,FALSE),"")</x:f>
        <x:v>#F2F2F2</x:v>
      </x:c>
      <x:c r="Q24" s="30" t="str">
        <x:f>IFERROR(VLOOKUP($A24&amp;"|Propaganda ecosystems",Score_Calculator!$A$2:$Q$80,15,FALSE),"")</x:f>
      </x:c>
      <x:c r="R24" s="30" t="str">
        <x:f>IFERROR(VLOOKUP($A24&amp;"|Election interference",Score_Calculator!$A$2:$Q$80,7,FALSE),"")</x:f>
      </x:c>
      <x:c r="S24" s="30" t="str">
        <x:f>IFERROR(VLOOKUP($A24&amp;"|Election interference",Score_Calculator!$A$2:$Q$80,9,FALSE),"")</x:f>
      </x:c>
      <x:c r="T24" s="30" t="str">
        <x:f>IFERROR("#"&amp;VLOOKUP(R24,Legend_Config!$A$2:$C$7,3,FALSE),"")</x:f>
        <x:v>#F2F2F2</x:v>
      </x:c>
      <x:c r="U24" s="30" t="str">
        <x:f>IFERROR(VLOOKUP($A24&amp;"|Election interference",Score_Calculator!$A$2:$Q$80,15,FALSE),"")</x:f>
      </x:c>
      <x:c r="V24" s="30" t="n">
        <x:f>IFERROR(ROUND(AVERAGE(F24,J24,N24,R24),0),"")</x:f>
        <x:v>0</x:v>
      </x:c>
      <x:c r="W24" s="30" t="str">
        <x:f>IFERROR("#"&amp;VLOOKUP(V24,Legend_Config!$A$2:$C$7,3,FALSE),"")</x:f>
        <x:v>#F2F2F2</x:v>
      </x:c>
      <x:c r="X24" s="30" t="str">
        <x:f>IF(COUNTA(G24,K24,O24,S24)=0,"No data",IF(COUNTIF(G24:S24,"Needs review")&gt;0,"Needs review",IF(COUNTIF(G24:S24,"Low")&gt;0,"Low",IF(COUNTIF(G24:S24,"Medium")&gt;0,"Medium","High"))))</x:f>
        <x:v>High</x:v>
      </x:c>
      <x:c r="Y24" s="30" t="str">
        <x:f>IF(X24="No data","No evidence",IF(OR(X24="High",X24="Medium"),"Ready / publishable","Show with caution"))</x:f>
        <x:v>Ready / publishable</x:v>
      </x:c>
      <x:c r="Z24" s="30" t="n">
        <x:f>IFERROR(MAX(FILTER(Score_Calculator!$P$2:$P$80,Score_Calculator!$B$2:$B$80=$A24)),"")</x:f>
        <x:v>0</x:v>
      </x:c>
      <x:c r="AA24" s="30" t="str">
        <x:f>IF(OR(D24="",E24=""),"","{""type"":""Point"",""coordinates"":["&amp;TEXT(E24,"0.0000")&amp;","&amp;TEXT(D24,"0.0000")&amp;"]}")</x:f>
      </x:c>
      <x:c r="AB24" s="30" t="str">
        <x:f>IF(A24="","","{""country"":"""&amp;A24&amp;""",""iso3"":"""&amp;B24&amp;""",""region"":"""&amp;C24&amp;""",""russian_influence_score"":"&amp;IF(ISNUMBER(F24),F24,"null")&amp;", ""russian_confidence"":"""&amp;G24&amp;""",""pmc_presence_score"":"&amp;IF(ISNUMBER(J24),J24,"null")&amp;", ""pmc_confidence"":"""&amp;K24&amp;""",""propaganda_ecosystems_score"":"&amp;IF(ISNUMBER(N24),N24,"null")&amp;", ""propaganda_confidence"":"""&amp;O24&amp;""",""election_interference_score"":"&amp;IF(ISNUMBER(R24),R24,"null")&amp;", ""election_confidence"":"""&amp;S24&amp;""",""composite_score"":"&amp;IF(ISNUMBER(V24),V24,"null")&amp;", ""colour"":""#"&amp;IFERROR(VLOOKUP(V24,Legend_Config!$A$2:$C$7,3,FALSE),"")&amp;""",""confidence"":"""&amp;X24&amp;""",""layer_status"":"""&amp;Y24&amp;"""}")</x:f>
      </x:c>
      <x:c r="AC24" s="30" t="str">
        <x:f>IFERROR(VLOOKUP(A24,Country_Config!$A$2:$G$100,7,FALSE),"")</x:f>
      </x:c>
    </x:row>
    <x:row r="25">
      <x:c r="A25" s="30"/>
      <x:c r="B25" s="30"/>
      <x:c r="C25" s="30"/>
      <x:c r="D25" s="30"/>
      <x:c r="E25" s="30"/>
      <x:c r="F25" s="30" t="str">
        <x:f>IFERROR(VLOOKUP($A25&amp;"|Russian influence",Score_Calculator!$A$2:$Q$80,7,FALSE),"")</x:f>
      </x:c>
      <x:c r="G25" s="30" t="str">
        <x:f>IFERROR(VLOOKUP($A25&amp;"|Russian influence",Score_Calculator!$A$2:$Q$80,9,FALSE),"")</x:f>
      </x:c>
      <x:c r="H25" s="30" t="str">
        <x:f>IFERROR("#"&amp;VLOOKUP(F25,Legend_Config!$A$2:$C$7,3,FALSE),"")</x:f>
        <x:v>#F2F2F2</x:v>
      </x:c>
      <x:c r="I25" s="30" t="str">
        <x:f>IFERROR(VLOOKUP($A25&amp;"|Russian influence",Score_Calculator!$A$2:$Q$80,15,FALSE),"")</x:f>
      </x:c>
      <x:c r="J25" s="30" t="str">
        <x:f>IFERROR(VLOOKUP($A25&amp;"|PMC presence",Score_Calculator!$A$2:$Q$80,7,FALSE),"")</x:f>
      </x:c>
      <x:c r="K25" s="30" t="str">
        <x:f>IFERROR(VLOOKUP($A25&amp;"|PMC presence",Score_Calculator!$A$2:$Q$80,9,FALSE),"")</x:f>
      </x:c>
      <x:c r="L25" s="30" t="str">
        <x:f>IFERROR("#"&amp;VLOOKUP(J25,Legend_Config!$A$2:$C$7,3,FALSE),"")</x:f>
        <x:v>#F2F2F2</x:v>
      </x:c>
      <x:c r="M25" s="30" t="str">
        <x:f>IFERROR(VLOOKUP($A25&amp;"|PMC presence",Score_Calculator!$A$2:$Q$80,15,FALSE),"")</x:f>
      </x:c>
      <x:c r="N25" s="30" t="str">
        <x:f>IFERROR(VLOOKUP($A25&amp;"|Propaganda ecosystems",Score_Calculator!$A$2:$Q$80,7,FALSE),"")</x:f>
      </x:c>
      <x:c r="O25" s="30" t="str">
        <x:f>IFERROR(VLOOKUP($A25&amp;"|Propaganda ecosystems",Score_Calculator!$A$2:$Q$80,9,FALSE),"")</x:f>
      </x:c>
      <x:c r="P25" s="30" t="str">
        <x:f>IFERROR("#"&amp;VLOOKUP(N25,Legend_Config!$A$2:$C$7,3,FALSE),"")</x:f>
        <x:v>#F2F2F2</x:v>
      </x:c>
      <x:c r="Q25" s="30" t="str">
        <x:f>IFERROR(VLOOKUP($A25&amp;"|Propaganda ecosystems",Score_Calculator!$A$2:$Q$80,15,FALSE),"")</x:f>
      </x:c>
      <x:c r="R25" s="30" t="str">
        <x:f>IFERROR(VLOOKUP($A25&amp;"|Election interference",Score_Calculator!$A$2:$Q$80,7,FALSE),"")</x:f>
      </x:c>
      <x:c r="S25" s="30" t="str">
        <x:f>IFERROR(VLOOKUP($A25&amp;"|Election interference",Score_Calculator!$A$2:$Q$80,9,FALSE),"")</x:f>
      </x:c>
      <x:c r="T25" s="30" t="str">
        <x:f>IFERROR("#"&amp;VLOOKUP(R25,Legend_Config!$A$2:$C$7,3,FALSE),"")</x:f>
        <x:v>#F2F2F2</x:v>
      </x:c>
      <x:c r="U25" s="30" t="str">
        <x:f>IFERROR(VLOOKUP($A25&amp;"|Election interference",Score_Calculator!$A$2:$Q$80,15,FALSE),"")</x:f>
      </x:c>
      <x:c r="V25" s="30" t="n">
        <x:f>IFERROR(ROUND(AVERAGE(F25,J25,N25,R25),0),"")</x:f>
        <x:v>0</x:v>
      </x:c>
      <x:c r="W25" s="30" t="str">
        <x:f>IFERROR("#"&amp;VLOOKUP(V25,Legend_Config!$A$2:$C$7,3,FALSE),"")</x:f>
        <x:v>#F2F2F2</x:v>
      </x:c>
      <x:c r="X25" s="30" t="str">
        <x:f>IF(COUNTA(G25,K25,O25,S25)=0,"No data",IF(COUNTIF(G25:S25,"Needs review")&gt;0,"Needs review",IF(COUNTIF(G25:S25,"Low")&gt;0,"Low",IF(COUNTIF(G25:S25,"Medium")&gt;0,"Medium","High"))))</x:f>
        <x:v>High</x:v>
      </x:c>
      <x:c r="Y25" s="30" t="str">
        <x:f>IF(X25="No data","No evidence",IF(OR(X25="High",X25="Medium"),"Ready / publishable","Show with caution"))</x:f>
        <x:v>Ready / publishable</x:v>
      </x:c>
      <x:c r="Z25" s="30" t="n">
        <x:f>IFERROR(MAX(FILTER(Score_Calculator!$P$2:$P$80,Score_Calculator!$B$2:$B$80=$A25)),"")</x:f>
        <x:v>0</x:v>
      </x:c>
      <x:c r="AA25" s="30" t="str">
        <x:f>IF(OR(D25="",E25=""),"","{""type"":""Point"",""coordinates"":["&amp;TEXT(E25,"0.0000")&amp;","&amp;TEXT(D25,"0.0000")&amp;"]}")</x:f>
      </x:c>
      <x:c r="AB25" s="30" t="str">
        <x:f>IF(A25="","","{""country"":"""&amp;A25&amp;""",""iso3"":"""&amp;B25&amp;""",""region"":"""&amp;C25&amp;""",""russian_influence_score"":"&amp;IF(ISNUMBER(F25),F25,"null")&amp;", ""russian_confidence"":"""&amp;G25&amp;""",""pmc_presence_score"":"&amp;IF(ISNUMBER(J25),J25,"null")&amp;", ""pmc_confidence"":"""&amp;K25&amp;""",""propaganda_ecosystems_score"":"&amp;IF(ISNUMBER(N25),N25,"null")&amp;", ""propaganda_confidence"":"""&amp;O25&amp;""",""election_interference_score"":"&amp;IF(ISNUMBER(R25),R25,"null")&amp;", ""election_confidence"":"""&amp;S25&amp;""",""composite_score"":"&amp;IF(ISNUMBER(V25),V25,"null")&amp;", ""colour"":""#"&amp;IFERROR(VLOOKUP(V25,Legend_Config!$A$2:$C$7,3,FALSE),"")&amp;""",""confidence"":"""&amp;X25&amp;""",""layer_status"":"""&amp;Y25&amp;"""}")</x:f>
      </x:c>
      <x:c r="AC25" s="30" t="str">
        <x:f>IFERROR(VLOOKUP(A25,Country_Config!$A$2:$G$100,7,FALSE),"")</x:f>
      </x:c>
    </x:row>
    <x:row r="26">
      <x:c r="A26" s="30"/>
      <x:c r="B26" s="30"/>
      <x:c r="C26" s="30"/>
      <x:c r="D26" s="30"/>
      <x:c r="E26" s="30"/>
      <x:c r="F26" s="30" t="str">
        <x:f>IFERROR(VLOOKUP($A26&amp;"|Russian influence",Score_Calculator!$A$2:$Q$80,7,FALSE),"")</x:f>
      </x:c>
      <x:c r="G26" s="30" t="str">
        <x:f>IFERROR(VLOOKUP($A26&amp;"|Russian influence",Score_Calculator!$A$2:$Q$80,9,FALSE),"")</x:f>
      </x:c>
      <x:c r="H26" s="30" t="str">
        <x:f>IFERROR("#"&amp;VLOOKUP(F26,Legend_Config!$A$2:$C$7,3,FALSE),"")</x:f>
        <x:v>#F2F2F2</x:v>
      </x:c>
      <x:c r="I26" s="30" t="str">
        <x:f>IFERROR(VLOOKUP($A26&amp;"|Russian influence",Score_Calculator!$A$2:$Q$80,15,FALSE),"")</x:f>
      </x:c>
      <x:c r="J26" s="30" t="str">
        <x:f>IFERROR(VLOOKUP($A26&amp;"|PMC presence",Score_Calculator!$A$2:$Q$80,7,FALSE),"")</x:f>
      </x:c>
      <x:c r="K26" s="30" t="str">
        <x:f>IFERROR(VLOOKUP($A26&amp;"|PMC presence",Score_Calculator!$A$2:$Q$80,9,FALSE),"")</x:f>
      </x:c>
      <x:c r="L26" s="30" t="str">
        <x:f>IFERROR("#"&amp;VLOOKUP(J26,Legend_Config!$A$2:$C$7,3,FALSE),"")</x:f>
        <x:v>#F2F2F2</x:v>
      </x:c>
      <x:c r="M26" s="30" t="str">
        <x:f>IFERROR(VLOOKUP($A26&amp;"|PMC presence",Score_Calculator!$A$2:$Q$80,15,FALSE),"")</x:f>
      </x:c>
      <x:c r="N26" s="30" t="str">
        <x:f>IFERROR(VLOOKUP($A26&amp;"|Propaganda ecosystems",Score_Calculator!$A$2:$Q$80,7,FALSE),"")</x:f>
      </x:c>
      <x:c r="O26" s="30" t="str">
        <x:f>IFERROR(VLOOKUP($A26&amp;"|Propaganda ecosystems",Score_Calculator!$A$2:$Q$80,9,FALSE),"")</x:f>
      </x:c>
      <x:c r="P26" s="30" t="str">
        <x:f>IFERROR("#"&amp;VLOOKUP(N26,Legend_Config!$A$2:$C$7,3,FALSE),"")</x:f>
        <x:v>#F2F2F2</x:v>
      </x:c>
      <x:c r="Q26" s="30" t="str">
        <x:f>IFERROR(VLOOKUP($A26&amp;"|Propaganda ecosystems",Score_Calculator!$A$2:$Q$80,15,FALSE),"")</x:f>
      </x:c>
      <x:c r="R26" s="30" t="str">
        <x:f>IFERROR(VLOOKUP($A26&amp;"|Election interference",Score_Calculator!$A$2:$Q$80,7,FALSE),"")</x:f>
      </x:c>
      <x:c r="S26" s="30" t="str">
        <x:f>IFERROR(VLOOKUP($A26&amp;"|Election interference",Score_Calculator!$A$2:$Q$80,9,FALSE),"")</x:f>
      </x:c>
      <x:c r="T26" s="30" t="str">
        <x:f>IFERROR("#"&amp;VLOOKUP(R26,Legend_Config!$A$2:$C$7,3,FALSE),"")</x:f>
        <x:v>#F2F2F2</x:v>
      </x:c>
      <x:c r="U26" s="30" t="str">
        <x:f>IFERROR(VLOOKUP($A26&amp;"|Election interference",Score_Calculator!$A$2:$Q$80,15,FALSE),"")</x:f>
      </x:c>
      <x:c r="V26" s="30" t="n">
        <x:f>IFERROR(ROUND(AVERAGE(F26,J26,N26,R26),0),"")</x:f>
        <x:v>0</x:v>
      </x:c>
      <x:c r="W26" s="30" t="str">
        <x:f>IFERROR("#"&amp;VLOOKUP(V26,Legend_Config!$A$2:$C$7,3,FALSE),"")</x:f>
        <x:v>#F2F2F2</x:v>
      </x:c>
      <x:c r="X26" s="30" t="str">
        <x:f>IF(COUNTA(G26,K26,O26,S26)=0,"No data",IF(COUNTIF(G26:S26,"Needs review")&gt;0,"Needs review",IF(COUNTIF(G26:S26,"Low")&gt;0,"Low",IF(COUNTIF(G26:S26,"Medium")&gt;0,"Medium","High"))))</x:f>
        <x:v>High</x:v>
      </x:c>
      <x:c r="Y26" s="30" t="str">
        <x:f>IF(X26="No data","No evidence",IF(OR(X26="High",X26="Medium"),"Ready / publishable","Show with caution"))</x:f>
        <x:v>Ready / publishable</x:v>
      </x:c>
      <x:c r="Z26" s="30" t="n">
        <x:f>IFERROR(MAX(FILTER(Score_Calculator!$P$2:$P$80,Score_Calculator!$B$2:$B$80=$A26)),"")</x:f>
        <x:v>0</x:v>
      </x:c>
      <x:c r="AA26" s="30" t="str">
        <x:f>IF(OR(D26="",E26=""),"","{""type"":""Point"",""coordinates"":["&amp;TEXT(E26,"0.0000")&amp;","&amp;TEXT(D26,"0.0000")&amp;"]}")</x:f>
      </x:c>
      <x:c r="AB26" s="30" t="str">
        <x:f>IF(A26="","","{""country"":"""&amp;A26&amp;""",""iso3"":"""&amp;B26&amp;""",""region"":"""&amp;C26&amp;""",""russian_influence_score"":"&amp;IF(ISNUMBER(F26),F26,"null")&amp;", ""russian_confidence"":"""&amp;G26&amp;""",""pmc_presence_score"":"&amp;IF(ISNUMBER(J26),J26,"null")&amp;", ""pmc_confidence"":"""&amp;K26&amp;""",""propaganda_ecosystems_score"":"&amp;IF(ISNUMBER(N26),N26,"null")&amp;", ""propaganda_confidence"":"""&amp;O26&amp;""",""election_interference_score"":"&amp;IF(ISNUMBER(R26),R26,"null")&amp;", ""election_confidence"":"""&amp;S26&amp;""",""composite_score"":"&amp;IF(ISNUMBER(V26),V26,"null")&amp;", ""colour"":""#"&amp;IFERROR(VLOOKUP(V26,Legend_Config!$A$2:$C$7,3,FALSE),"")&amp;""",""confidence"":"""&amp;X26&amp;""",""layer_status"":"""&amp;Y26&amp;"""}")</x:f>
      </x:c>
      <x:c r="AC26" s="30" t="str">
        <x:f>IFERROR(VLOOKUP(A26,Country_Config!$A$2:$G$100,7,FALSE),"")</x:f>
      </x:c>
    </x:row>
    <x:row r="27">
      <x:c r="A27" s="30"/>
      <x:c r="B27" s="30"/>
      <x:c r="C27" s="30"/>
      <x:c r="D27" s="30"/>
      <x:c r="E27" s="30"/>
      <x:c r="F27" s="30" t="str">
        <x:f>IFERROR(VLOOKUP($A27&amp;"|Russian influence",Score_Calculator!$A$2:$Q$80,7,FALSE),"")</x:f>
      </x:c>
      <x:c r="G27" s="30" t="str">
        <x:f>IFERROR(VLOOKUP($A27&amp;"|Russian influence",Score_Calculator!$A$2:$Q$80,9,FALSE),"")</x:f>
      </x:c>
      <x:c r="H27" s="30" t="str">
        <x:f>IFERROR("#"&amp;VLOOKUP(F27,Legend_Config!$A$2:$C$7,3,FALSE),"")</x:f>
        <x:v>#F2F2F2</x:v>
      </x:c>
      <x:c r="I27" s="30" t="str">
        <x:f>IFERROR(VLOOKUP($A27&amp;"|Russian influence",Score_Calculator!$A$2:$Q$80,15,FALSE),"")</x:f>
      </x:c>
      <x:c r="J27" s="30" t="str">
        <x:f>IFERROR(VLOOKUP($A27&amp;"|PMC presence",Score_Calculator!$A$2:$Q$80,7,FALSE),"")</x:f>
      </x:c>
      <x:c r="K27" s="30" t="str">
        <x:f>IFERROR(VLOOKUP($A27&amp;"|PMC presence",Score_Calculator!$A$2:$Q$80,9,FALSE),"")</x:f>
      </x:c>
      <x:c r="L27" s="30" t="str">
        <x:f>IFERROR("#"&amp;VLOOKUP(J27,Legend_Config!$A$2:$C$7,3,FALSE),"")</x:f>
        <x:v>#F2F2F2</x:v>
      </x:c>
      <x:c r="M27" s="30" t="str">
        <x:f>IFERROR(VLOOKUP($A27&amp;"|PMC presence",Score_Calculator!$A$2:$Q$80,15,FALSE),"")</x:f>
      </x:c>
      <x:c r="N27" s="30" t="str">
        <x:f>IFERROR(VLOOKUP($A27&amp;"|Propaganda ecosystems",Score_Calculator!$A$2:$Q$80,7,FALSE),"")</x:f>
      </x:c>
      <x:c r="O27" s="30" t="str">
        <x:f>IFERROR(VLOOKUP($A27&amp;"|Propaganda ecosystems",Score_Calculator!$A$2:$Q$80,9,FALSE),"")</x:f>
      </x:c>
      <x:c r="P27" s="30" t="str">
        <x:f>IFERROR("#"&amp;VLOOKUP(N27,Legend_Config!$A$2:$C$7,3,FALSE),"")</x:f>
        <x:v>#F2F2F2</x:v>
      </x:c>
      <x:c r="Q27" s="30" t="str">
        <x:f>IFERROR(VLOOKUP($A27&amp;"|Propaganda ecosystems",Score_Calculator!$A$2:$Q$80,15,FALSE),"")</x:f>
      </x:c>
      <x:c r="R27" s="30" t="str">
        <x:f>IFERROR(VLOOKUP($A27&amp;"|Election interference",Score_Calculator!$A$2:$Q$80,7,FALSE),"")</x:f>
      </x:c>
      <x:c r="S27" s="30" t="str">
        <x:f>IFERROR(VLOOKUP($A27&amp;"|Election interference",Score_Calculator!$A$2:$Q$80,9,FALSE),"")</x:f>
      </x:c>
      <x:c r="T27" s="30" t="str">
        <x:f>IFERROR("#"&amp;VLOOKUP(R27,Legend_Config!$A$2:$C$7,3,FALSE),"")</x:f>
        <x:v>#F2F2F2</x:v>
      </x:c>
      <x:c r="U27" s="30" t="str">
        <x:f>IFERROR(VLOOKUP($A27&amp;"|Election interference",Score_Calculator!$A$2:$Q$80,15,FALSE),"")</x:f>
      </x:c>
      <x:c r="V27" s="30" t="n">
        <x:f>IFERROR(ROUND(AVERAGE(F27,J27,N27,R27),0),"")</x:f>
        <x:v>0</x:v>
      </x:c>
      <x:c r="W27" s="30" t="str">
        <x:f>IFERROR("#"&amp;VLOOKUP(V27,Legend_Config!$A$2:$C$7,3,FALSE),"")</x:f>
        <x:v>#F2F2F2</x:v>
      </x:c>
      <x:c r="X27" s="30" t="str">
        <x:f>IF(COUNTA(G27,K27,O27,S27)=0,"No data",IF(COUNTIF(G27:S27,"Needs review")&gt;0,"Needs review",IF(COUNTIF(G27:S27,"Low")&gt;0,"Low",IF(COUNTIF(G27:S27,"Medium")&gt;0,"Medium","High"))))</x:f>
        <x:v>High</x:v>
      </x:c>
      <x:c r="Y27" s="30" t="str">
        <x:f>IF(X27="No data","No evidence",IF(OR(X27="High",X27="Medium"),"Ready / publishable","Show with caution"))</x:f>
        <x:v>Ready / publishable</x:v>
      </x:c>
      <x:c r="Z27" s="30" t="n">
        <x:f>IFERROR(MAX(FILTER(Score_Calculator!$P$2:$P$80,Score_Calculator!$B$2:$B$80=$A27)),"")</x:f>
        <x:v>0</x:v>
      </x:c>
      <x:c r="AA27" s="30" t="str">
        <x:f>IF(OR(D27="",E27=""),"","{""type"":""Point"",""coordinates"":["&amp;TEXT(E27,"0.0000")&amp;","&amp;TEXT(D27,"0.0000")&amp;"]}")</x:f>
      </x:c>
      <x:c r="AB27" s="30" t="str">
        <x:f>IF(A27="","","{""country"":"""&amp;A27&amp;""",""iso3"":"""&amp;B27&amp;""",""region"":"""&amp;C27&amp;""",""russian_influence_score"":"&amp;IF(ISNUMBER(F27),F27,"null")&amp;", ""russian_confidence"":"""&amp;G27&amp;""",""pmc_presence_score"":"&amp;IF(ISNUMBER(J27),J27,"null")&amp;", ""pmc_confidence"":"""&amp;K27&amp;""",""propaganda_ecosystems_score"":"&amp;IF(ISNUMBER(N27),N27,"null")&amp;", ""propaganda_confidence"":"""&amp;O27&amp;""",""election_interference_score"":"&amp;IF(ISNUMBER(R27),R27,"null")&amp;", ""election_confidence"":"""&amp;S27&amp;""",""composite_score"":"&amp;IF(ISNUMBER(V27),V27,"null")&amp;", ""colour"":""#"&amp;IFERROR(VLOOKUP(V27,Legend_Config!$A$2:$C$7,3,FALSE),"")&amp;""",""confidence"":"""&amp;X27&amp;""",""layer_status"":"""&amp;Y27&amp;"""}")</x:f>
      </x:c>
      <x:c r="AC27" s="30" t="str">
        <x:f>IFERROR(VLOOKUP(A27,Country_Config!$A$2:$G$100,7,FALSE),"")</x:f>
      </x:c>
    </x:row>
    <x:row r="28">
      <x:c r="A28" s="30"/>
      <x:c r="B28" s="30"/>
      <x:c r="C28" s="30"/>
      <x:c r="D28" s="30"/>
      <x:c r="E28" s="30"/>
      <x:c r="F28" s="30" t="str">
        <x:f>IFERROR(VLOOKUP($A28&amp;"|Russian influence",Score_Calculator!$A$2:$Q$80,7,FALSE),"")</x:f>
      </x:c>
      <x:c r="G28" s="30" t="str">
        <x:f>IFERROR(VLOOKUP($A28&amp;"|Russian influence",Score_Calculator!$A$2:$Q$80,9,FALSE),"")</x:f>
      </x:c>
      <x:c r="H28" s="30" t="str">
        <x:f>IFERROR("#"&amp;VLOOKUP(F28,Legend_Config!$A$2:$C$7,3,FALSE),"")</x:f>
        <x:v>#F2F2F2</x:v>
      </x:c>
      <x:c r="I28" s="30" t="str">
        <x:f>IFERROR(VLOOKUP($A28&amp;"|Russian influence",Score_Calculator!$A$2:$Q$80,15,FALSE),"")</x:f>
      </x:c>
      <x:c r="J28" s="30" t="str">
        <x:f>IFERROR(VLOOKUP($A28&amp;"|PMC presence",Score_Calculator!$A$2:$Q$80,7,FALSE),"")</x:f>
      </x:c>
      <x:c r="K28" s="30" t="str">
        <x:f>IFERROR(VLOOKUP($A28&amp;"|PMC presence",Score_Calculator!$A$2:$Q$80,9,FALSE),"")</x:f>
      </x:c>
      <x:c r="L28" s="30" t="str">
        <x:f>IFERROR("#"&amp;VLOOKUP(J28,Legend_Config!$A$2:$C$7,3,FALSE),"")</x:f>
        <x:v>#F2F2F2</x:v>
      </x:c>
      <x:c r="M28" s="30" t="str">
        <x:f>IFERROR(VLOOKUP($A28&amp;"|PMC presence",Score_Calculator!$A$2:$Q$80,15,FALSE),"")</x:f>
      </x:c>
      <x:c r="N28" s="30" t="str">
        <x:f>IFERROR(VLOOKUP($A28&amp;"|Propaganda ecosystems",Score_Calculator!$A$2:$Q$80,7,FALSE),"")</x:f>
      </x:c>
      <x:c r="O28" s="30" t="str">
        <x:f>IFERROR(VLOOKUP($A28&amp;"|Propaganda ecosystems",Score_Calculator!$A$2:$Q$80,9,FALSE),"")</x:f>
      </x:c>
      <x:c r="P28" s="30" t="str">
        <x:f>IFERROR("#"&amp;VLOOKUP(N28,Legend_Config!$A$2:$C$7,3,FALSE),"")</x:f>
        <x:v>#F2F2F2</x:v>
      </x:c>
      <x:c r="Q28" s="30" t="str">
        <x:f>IFERROR(VLOOKUP($A28&amp;"|Propaganda ecosystems",Score_Calculator!$A$2:$Q$80,15,FALSE),"")</x:f>
      </x:c>
      <x:c r="R28" s="30" t="str">
        <x:f>IFERROR(VLOOKUP($A28&amp;"|Election interference",Score_Calculator!$A$2:$Q$80,7,FALSE),"")</x:f>
      </x:c>
      <x:c r="S28" s="30" t="str">
        <x:f>IFERROR(VLOOKUP($A28&amp;"|Election interference",Score_Calculator!$A$2:$Q$80,9,FALSE),"")</x:f>
      </x:c>
      <x:c r="T28" s="30" t="str">
        <x:f>IFERROR("#"&amp;VLOOKUP(R28,Legend_Config!$A$2:$C$7,3,FALSE),"")</x:f>
        <x:v>#F2F2F2</x:v>
      </x:c>
      <x:c r="U28" s="30" t="str">
        <x:f>IFERROR(VLOOKUP($A28&amp;"|Election interference",Score_Calculator!$A$2:$Q$80,15,FALSE),"")</x:f>
      </x:c>
      <x:c r="V28" s="30" t="n">
        <x:f>IFERROR(ROUND(AVERAGE(F28,J28,N28,R28),0),"")</x:f>
        <x:v>0</x:v>
      </x:c>
      <x:c r="W28" s="30" t="str">
        <x:f>IFERROR("#"&amp;VLOOKUP(V28,Legend_Config!$A$2:$C$7,3,FALSE),"")</x:f>
        <x:v>#F2F2F2</x:v>
      </x:c>
      <x:c r="X28" s="30" t="str">
        <x:f>IF(COUNTA(G28,K28,O28,S28)=0,"No data",IF(COUNTIF(G28:S28,"Needs review")&gt;0,"Needs review",IF(COUNTIF(G28:S28,"Low")&gt;0,"Low",IF(COUNTIF(G28:S28,"Medium")&gt;0,"Medium","High"))))</x:f>
        <x:v>High</x:v>
      </x:c>
      <x:c r="Y28" s="30" t="str">
        <x:f>IF(X28="No data","No evidence",IF(OR(X28="High",X28="Medium"),"Ready / publishable","Show with caution"))</x:f>
        <x:v>Ready / publishable</x:v>
      </x:c>
      <x:c r="Z28" s="30" t="n">
        <x:f>IFERROR(MAX(FILTER(Score_Calculator!$P$2:$P$80,Score_Calculator!$B$2:$B$80=$A28)),"")</x:f>
        <x:v>0</x:v>
      </x:c>
      <x:c r="AA28" s="30" t="str">
        <x:f>IF(OR(D28="",E28=""),"","{""type"":""Point"",""coordinates"":["&amp;TEXT(E28,"0.0000")&amp;","&amp;TEXT(D28,"0.0000")&amp;"]}")</x:f>
      </x:c>
      <x:c r="AB28" s="30" t="str">
        <x:f>IF(A28="","","{""country"":"""&amp;A28&amp;""",""iso3"":"""&amp;B28&amp;""",""region"":"""&amp;C28&amp;""",""russian_influence_score"":"&amp;IF(ISNUMBER(F28),F28,"null")&amp;", ""russian_confidence"":"""&amp;G28&amp;""",""pmc_presence_score"":"&amp;IF(ISNUMBER(J28),J28,"null")&amp;", ""pmc_confidence"":"""&amp;K28&amp;""",""propaganda_ecosystems_score"":"&amp;IF(ISNUMBER(N28),N28,"null")&amp;", ""propaganda_confidence"":"""&amp;O28&amp;""",""election_interference_score"":"&amp;IF(ISNUMBER(R28),R28,"null")&amp;", ""election_confidence"":"""&amp;S28&amp;""",""composite_score"":"&amp;IF(ISNUMBER(V28),V28,"null")&amp;", ""colour"":""#"&amp;IFERROR(VLOOKUP(V28,Legend_Config!$A$2:$C$7,3,FALSE),"")&amp;""",""confidence"":"""&amp;X28&amp;""",""layer_status"":"""&amp;Y28&amp;"""}")</x:f>
      </x:c>
      <x:c r="AC28" s="30" t="str">
        <x:f>IFERROR(VLOOKUP(A28,Country_Config!$A$2:$G$100,7,FALSE),"")</x:f>
      </x:c>
    </x:row>
    <x:row r="29">
      <x:c r="A29" s="30"/>
      <x:c r="B29" s="30"/>
      <x:c r="C29" s="30"/>
      <x:c r="D29" s="30"/>
      <x:c r="E29" s="30"/>
      <x:c r="F29" s="30" t="str">
        <x:f>IFERROR(VLOOKUP($A29&amp;"|Russian influence",Score_Calculator!$A$2:$Q$80,7,FALSE),"")</x:f>
      </x:c>
      <x:c r="G29" s="30" t="str">
        <x:f>IFERROR(VLOOKUP($A29&amp;"|Russian influence",Score_Calculator!$A$2:$Q$80,9,FALSE),"")</x:f>
      </x:c>
      <x:c r="H29" s="30" t="str">
        <x:f>IFERROR("#"&amp;VLOOKUP(F29,Legend_Config!$A$2:$C$7,3,FALSE),"")</x:f>
        <x:v>#F2F2F2</x:v>
      </x:c>
      <x:c r="I29" s="30" t="str">
        <x:f>IFERROR(VLOOKUP($A29&amp;"|Russian influence",Score_Calculator!$A$2:$Q$80,15,FALSE),"")</x:f>
      </x:c>
      <x:c r="J29" s="30" t="str">
        <x:f>IFERROR(VLOOKUP($A29&amp;"|PMC presence",Score_Calculator!$A$2:$Q$80,7,FALSE),"")</x:f>
      </x:c>
      <x:c r="K29" s="30" t="str">
        <x:f>IFERROR(VLOOKUP($A29&amp;"|PMC presence",Score_Calculator!$A$2:$Q$80,9,FALSE),"")</x:f>
      </x:c>
      <x:c r="L29" s="30" t="str">
        <x:f>IFERROR("#"&amp;VLOOKUP(J29,Legend_Config!$A$2:$C$7,3,FALSE),"")</x:f>
        <x:v>#F2F2F2</x:v>
      </x:c>
      <x:c r="M29" s="30" t="str">
        <x:f>IFERROR(VLOOKUP($A29&amp;"|PMC presence",Score_Calculator!$A$2:$Q$80,15,FALSE),"")</x:f>
      </x:c>
      <x:c r="N29" s="30" t="str">
        <x:f>IFERROR(VLOOKUP($A29&amp;"|Propaganda ecosystems",Score_Calculator!$A$2:$Q$80,7,FALSE),"")</x:f>
      </x:c>
      <x:c r="O29" s="30" t="str">
        <x:f>IFERROR(VLOOKUP($A29&amp;"|Propaganda ecosystems",Score_Calculator!$A$2:$Q$80,9,FALSE),"")</x:f>
      </x:c>
      <x:c r="P29" s="30" t="str">
        <x:f>IFERROR("#"&amp;VLOOKUP(N29,Legend_Config!$A$2:$C$7,3,FALSE),"")</x:f>
        <x:v>#F2F2F2</x:v>
      </x:c>
      <x:c r="Q29" s="30" t="str">
        <x:f>IFERROR(VLOOKUP($A29&amp;"|Propaganda ecosystems",Score_Calculator!$A$2:$Q$80,15,FALSE),"")</x:f>
      </x:c>
      <x:c r="R29" s="30" t="str">
        <x:f>IFERROR(VLOOKUP($A29&amp;"|Election interference",Score_Calculator!$A$2:$Q$80,7,FALSE),"")</x:f>
      </x:c>
      <x:c r="S29" s="30" t="str">
        <x:f>IFERROR(VLOOKUP($A29&amp;"|Election interference",Score_Calculator!$A$2:$Q$80,9,FALSE),"")</x:f>
      </x:c>
      <x:c r="T29" s="30" t="str">
        <x:f>IFERROR("#"&amp;VLOOKUP(R29,Legend_Config!$A$2:$C$7,3,FALSE),"")</x:f>
        <x:v>#F2F2F2</x:v>
      </x:c>
      <x:c r="U29" s="30" t="str">
        <x:f>IFERROR(VLOOKUP($A29&amp;"|Election interference",Score_Calculator!$A$2:$Q$80,15,FALSE),"")</x:f>
      </x:c>
      <x:c r="V29" s="30" t="n">
        <x:f>IFERROR(ROUND(AVERAGE(F29,J29,N29,R29),0),"")</x:f>
        <x:v>0</x:v>
      </x:c>
      <x:c r="W29" s="30" t="str">
        <x:f>IFERROR("#"&amp;VLOOKUP(V29,Legend_Config!$A$2:$C$7,3,FALSE),"")</x:f>
        <x:v>#F2F2F2</x:v>
      </x:c>
      <x:c r="X29" s="30" t="str">
        <x:f>IF(COUNTA(G29,K29,O29,S29)=0,"No data",IF(COUNTIF(G29:S29,"Needs review")&gt;0,"Needs review",IF(COUNTIF(G29:S29,"Low")&gt;0,"Low",IF(COUNTIF(G29:S29,"Medium")&gt;0,"Medium","High"))))</x:f>
        <x:v>High</x:v>
      </x:c>
      <x:c r="Y29" s="30" t="str">
        <x:f>IF(X29="No data","No evidence",IF(OR(X29="High",X29="Medium"),"Ready / publishable","Show with caution"))</x:f>
        <x:v>Ready / publishable</x:v>
      </x:c>
      <x:c r="Z29" s="30" t="n">
        <x:f>IFERROR(MAX(FILTER(Score_Calculator!$P$2:$P$80,Score_Calculator!$B$2:$B$80=$A29)),"")</x:f>
        <x:v>0</x:v>
      </x:c>
      <x:c r="AA29" s="30" t="str">
        <x:f>IF(OR(D29="",E29=""),"","{""type"":""Point"",""coordinates"":["&amp;TEXT(E29,"0.0000")&amp;","&amp;TEXT(D29,"0.0000")&amp;"]}")</x:f>
      </x:c>
      <x:c r="AB29" s="30" t="str">
        <x:f>IF(A29="","","{""country"":"""&amp;A29&amp;""",""iso3"":"""&amp;B29&amp;""",""region"":"""&amp;C29&amp;""",""russian_influence_score"":"&amp;IF(ISNUMBER(F29),F29,"null")&amp;", ""russian_confidence"":"""&amp;G29&amp;""",""pmc_presence_score"":"&amp;IF(ISNUMBER(J29),J29,"null")&amp;", ""pmc_confidence"":"""&amp;K29&amp;""",""propaganda_ecosystems_score"":"&amp;IF(ISNUMBER(N29),N29,"null")&amp;", ""propaganda_confidence"":"""&amp;O29&amp;""",""election_interference_score"":"&amp;IF(ISNUMBER(R29),R29,"null")&amp;", ""election_confidence"":"""&amp;S29&amp;""",""composite_score"":"&amp;IF(ISNUMBER(V29),V29,"null")&amp;", ""colour"":""#"&amp;IFERROR(VLOOKUP(V29,Legend_Config!$A$2:$C$7,3,FALSE),"")&amp;""",""confidence"":"""&amp;X29&amp;""",""layer_status"":"""&amp;Y29&amp;"""}")</x:f>
      </x:c>
      <x:c r="AC29" s="30" t="str">
        <x:f>IFERROR(VLOOKUP(A29,Country_Config!$A$2:$G$100,7,FALSE),"")</x:f>
      </x:c>
    </x:row>
    <x:row r="30">
      <x:c r="A30" s="30"/>
      <x:c r="B30" s="30"/>
      <x:c r="C30" s="30"/>
      <x:c r="D30" s="30"/>
      <x:c r="E30" s="30"/>
      <x:c r="F30" s="30" t="str">
        <x:f>IFERROR(VLOOKUP($A30&amp;"|Russian influence",Score_Calculator!$A$2:$Q$80,7,FALSE),"")</x:f>
      </x:c>
      <x:c r="G30" s="30" t="str">
        <x:f>IFERROR(VLOOKUP($A30&amp;"|Russian influence",Score_Calculator!$A$2:$Q$80,9,FALSE),"")</x:f>
      </x:c>
      <x:c r="H30" s="30" t="str">
        <x:f>IFERROR("#"&amp;VLOOKUP(F30,Legend_Config!$A$2:$C$7,3,FALSE),"")</x:f>
        <x:v>#F2F2F2</x:v>
      </x:c>
      <x:c r="I30" s="30" t="str">
        <x:f>IFERROR(VLOOKUP($A30&amp;"|Russian influence",Score_Calculator!$A$2:$Q$80,15,FALSE),"")</x:f>
      </x:c>
      <x:c r="J30" s="30" t="str">
        <x:f>IFERROR(VLOOKUP($A30&amp;"|PMC presence",Score_Calculator!$A$2:$Q$80,7,FALSE),"")</x:f>
      </x:c>
      <x:c r="K30" s="30" t="str">
        <x:f>IFERROR(VLOOKUP($A30&amp;"|PMC presence",Score_Calculator!$A$2:$Q$80,9,FALSE),"")</x:f>
      </x:c>
      <x:c r="L30" s="30" t="str">
        <x:f>IFERROR("#"&amp;VLOOKUP(J30,Legend_Config!$A$2:$C$7,3,FALSE),"")</x:f>
        <x:v>#F2F2F2</x:v>
      </x:c>
      <x:c r="M30" s="30" t="str">
        <x:f>IFERROR(VLOOKUP($A30&amp;"|PMC presence",Score_Calculator!$A$2:$Q$80,15,FALSE),"")</x:f>
      </x:c>
      <x:c r="N30" s="30" t="str">
        <x:f>IFERROR(VLOOKUP($A30&amp;"|Propaganda ecosystems",Score_Calculator!$A$2:$Q$80,7,FALSE),"")</x:f>
      </x:c>
      <x:c r="O30" s="30" t="str">
        <x:f>IFERROR(VLOOKUP($A30&amp;"|Propaganda ecosystems",Score_Calculator!$A$2:$Q$80,9,FALSE),"")</x:f>
      </x:c>
      <x:c r="P30" s="30" t="str">
        <x:f>IFERROR("#"&amp;VLOOKUP(N30,Legend_Config!$A$2:$C$7,3,FALSE),"")</x:f>
        <x:v>#F2F2F2</x:v>
      </x:c>
      <x:c r="Q30" s="30" t="str">
        <x:f>IFERROR(VLOOKUP($A30&amp;"|Propaganda ecosystems",Score_Calculator!$A$2:$Q$80,15,FALSE),"")</x:f>
      </x:c>
      <x:c r="R30" s="30" t="str">
        <x:f>IFERROR(VLOOKUP($A30&amp;"|Election interference",Score_Calculator!$A$2:$Q$80,7,FALSE),"")</x:f>
      </x:c>
      <x:c r="S30" s="30" t="str">
        <x:f>IFERROR(VLOOKUP($A30&amp;"|Election interference",Score_Calculator!$A$2:$Q$80,9,FALSE),"")</x:f>
      </x:c>
      <x:c r="T30" s="30" t="str">
        <x:f>IFERROR("#"&amp;VLOOKUP(R30,Legend_Config!$A$2:$C$7,3,FALSE),"")</x:f>
        <x:v>#F2F2F2</x:v>
      </x:c>
      <x:c r="U30" s="30" t="str">
        <x:f>IFERROR(VLOOKUP($A30&amp;"|Election interference",Score_Calculator!$A$2:$Q$80,15,FALSE),"")</x:f>
      </x:c>
      <x:c r="V30" s="30" t="n">
        <x:f>IFERROR(ROUND(AVERAGE(F30,J30,N30,R30),0),"")</x:f>
        <x:v>0</x:v>
      </x:c>
      <x:c r="W30" s="30" t="str">
        <x:f>IFERROR("#"&amp;VLOOKUP(V30,Legend_Config!$A$2:$C$7,3,FALSE),"")</x:f>
        <x:v>#F2F2F2</x:v>
      </x:c>
      <x:c r="X30" s="30" t="str">
        <x:f>IF(COUNTA(G30,K30,O30,S30)=0,"No data",IF(COUNTIF(G30:S30,"Needs review")&gt;0,"Needs review",IF(COUNTIF(G30:S30,"Low")&gt;0,"Low",IF(COUNTIF(G30:S30,"Medium")&gt;0,"Medium","High"))))</x:f>
        <x:v>High</x:v>
      </x:c>
      <x:c r="Y30" s="30" t="str">
        <x:f>IF(X30="No data","No evidence",IF(OR(X30="High",X30="Medium"),"Ready / publishable","Show with caution"))</x:f>
        <x:v>Ready / publishable</x:v>
      </x:c>
      <x:c r="Z30" s="30" t="n">
        <x:f>IFERROR(MAX(FILTER(Score_Calculator!$P$2:$P$80,Score_Calculator!$B$2:$B$80=$A30)),"")</x:f>
        <x:v>0</x:v>
      </x:c>
      <x:c r="AA30" s="30" t="str">
        <x:f>IF(OR(D30="",E30=""),"","{""type"":""Point"",""coordinates"":["&amp;TEXT(E30,"0.0000")&amp;","&amp;TEXT(D30,"0.0000")&amp;"]}")</x:f>
      </x:c>
      <x:c r="AB30" s="30" t="str">
        <x:f>IF(A30="","","{""country"":"""&amp;A30&amp;""",""iso3"":"""&amp;B30&amp;""",""region"":"""&amp;C30&amp;""",""russian_influence_score"":"&amp;IF(ISNUMBER(F30),F30,"null")&amp;", ""russian_confidence"":"""&amp;G30&amp;""",""pmc_presence_score"":"&amp;IF(ISNUMBER(J30),J30,"null")&amp;", ""pmc_confidence"":"""&amp;K30&amp;""",""propaganda_ecosystems_score"":"&amp;IF(ISNUMBER(N30),N30,"null")&amp;", ""propaganda_confidence"":"""&amp;O30&amp;""",""election_interference_score"":"&amp;IF(ISNUMBER(R30),R30,"null")&amp;", ""election_confidence"":"""&amp;S30&amp;""",""composite_score"":"&amp;IF(ISNUMBER(V30),V30,"null")&amp;", ""colour"":""#"&amp;IFERROR(VLOOKUP(V30,Legend_Config!$A$2:$C$7,3,FALSE),"")&amp;""",""confidence"":"""&amp;X30&amp;""",""layer_status"":"""&amp;Y30&amp;"""}")</x:f>
      </x:c>
      <x:c r="AC30" s="30" t="str">
        <x:f>IFERROR(VLOOKUP(A30,Country_Config!$A$2:$G$100,7,FALSE),"")</x:f>
      </x:c>
    </x:row>
    <x:row r="31">
      <x:c r="A31" s="30"/>
      <x:c r="B31" s="30"/>
      <x:c r="C31" s="30"/>
      <x:c r="D31" s="30"/>
      <x:c r="E31" s="30"/>
      <x:c r="F31" s="30" t="str">
        <x:f>IFERROR(VLOOKUP($A31&amp;"|Russian influence",Score_Calculator!$A$2:$Q$80,7,FALSE),"")</x:f>
      </x:c>
      <x:c r="G31" s="30" t="str">
        <x:f>IFERROR(VLOOKUP($A31&amp;"|Russian influence",Score_Calculator!$A$2:$Q$80,9,FALSE),"")</x:f>
      </x:c>
      <x:c r="H31" s="30" t="str">
        <x:f>IFERROR("#"&amp;VLOOKUP(F31,Legend_Config!$A$2:$C$7,3,FALSE),"")</x:f>
        <x:v>#F2F2F2</x:v>
      </x:c>
      <x:c r="I31" s="30" t="str">
        <x:f>IFERROR(VLOOKUP($A31&amp;"|Russian influence",Score_Calculator!$A$2:$Q$80,15,FALSE),"")</x:f>
      </x:c>
      <x:c r="J31" s="30" t="str">
        <x:f>IFERROR(VLOOKUP($A31&amp;"|PMC presence",Score_Calculator!$A$2:$Q$80,7,FALSE),"")</x:f>
      </x:c>
      <x:c r="K31" s="30" t="str">
        <x:f>IFERROR(VLOOKUP($A31&amp;"|PMC presence",Score_Calculator!$A$2:$Q$80,9,FALSE),"")</x:f>
      </x:c>
      <x:c r="L31" s="30" t="str">
        <x:f>IFERROR("#"&amp;VLOOKUP(J31,Legend_Config!$A$2:$C$7,3,FALSE),"")</x:f>
        <x:v>#F2F2F2</x:v>
      </x:c>
      <x:c r="M31" s="30" t="str">
        <x:f>IFERROR(VLOOKUP($A31&amp;"|PMC presence",Score_Calculator!$A$2:$Q$80,15,FALSE),"")</x:f>
      </x:c>
      <x:c r="N31" s="30" t="str">
        <x:f>IFERROR(VLOOKUP($A31&amp;"|Propaganda ecosystems",Score_Calculator!$A$2:$Q$80,7,FALSE),"")</x:f>
      </x:c>
      <x:c r="O31" s="30" t="str">
        <x:f>IFERROR(VLOOKUP($A31&amp;"|Propaganda ecosystems",Score_Calculator!$A$2:$Q$80,9,FALSE),"")</x:f>
      </x:c>
      <x:c r="P31" s="30" t="str">
        <x:f>IFERROR("#"&amp;VLOOKUP(N31,Legend_Config!$A$2:$C$7,3,FALSE),"")</x:f>
        <x:v>#F2F2F2</x:v>
      </x:c>
      <x:c r="Q31" s="30" t="str">
        <x:f>IFERROR(VLOOKUP($A31&amp;"|Propaganda ecosystems",Score_Calculator!$A$2:$Q$80,15,FALSE),"")</x:f>
      </x:c>
      <x:c r="R31" s="30" t="str">
        <x:f>IFERROR(VLOOKUP($A31&amp;"|Election interference",Score_Calculator!$A$2:$Q$80,7,FALSE),"")</x:f>
      </x:c>
      <x:c r="S31" s="30" t="str">
        <x:f>IFERROR(VLOOKUP($A31&amp;"|Election interference",Score_Calculator!$A$2:$Q$80,9,FALSE),"")</x:f>
      </x:c>
      <x:c r="T31" s="30" t="str">
        <x:f>IFERROR("#"&amp;VLOOKUP(R31,Legend_Config!$A$2:$C$7,3,FALSE),"")</x:f>
        <x:v>#F2F2F2</x:v>
      </x:c>
      <x:c r="U31" s="30" t="str">
        <x:f>IFERROR(VLOOKUP($A31&amp;"|Election interference",Score_Calculator!$A$2:$Q$80,15,FALSE),"")</x:f>
      </x:c>
      <x:c r="V31" s="30" t="n">
        <x:f>IFERROR(ROUND(AVERAGE(F31,J31,N31,R31),0),"")</x:f>
        <x:v>0</x:v>
      </x:c>
      <x:c r="W31" s="30" t="str">
        <x:f>IFERROR("#"&amp;VLOOKUP(V31,Legend_Config!$A$2:$C$7,3,FALSE),"")</x:f>
        <x:v>#F2F2F2</x:v>
      </x:c>
      <x:c r="X31" s="30" t="str">
        <x:f>IF(COUNTA(G31,K31,O31,S31)=0,"No data",IF(COUNTIF(G31:S31,"Needs review")&gt;0,"Needs review",IF(COUNTIF(G31:S31,"Low")&gt;0,"Low",IF(COUNTIF(G31:S31,"Medium")&gt;0,"Medium","High"))))</x:f>
        <x:v>High</x:v>
      </x:c>
      <x:c r="Y31" s="30" t="str">
        <x:f>IF(X31="No data","No evidence",IF(OR(X31="High",X31="Medium"),"Ready / publishable","Show with caution"))</x:f>
        <x:v>Ready / publishable</x:v>
      </x:c>
      <x:c r="Z31" s="30" t="n">
        <x:f>IFERROR(MAX(FILTER(Score_Calculator!$P$2:$P$80,Score_Calculator!$B$2:$B$80=$A31)),"")</x:f>
        <x:v>0</x:v>
      </x:c>
      <x:c r="AA31" s="30" t="str">
        <x:f>IF(OR(D31="",E31=""),"","{""type"":""Point"",""coordinates"":["&amp;TEXT(E31,"0.0000")&amp;","&amp;TEXT(D31,"0.0000")&amp;"]}")</x:f>
      </x:c>
      <x:c r="AB31" s="30" t="str">
        <x:f>IF(A31="","","{""country"":"""&amp;A31&amp;""",""iso3"":"""&amp;B31&amp;""",""region"":"""&amp;C31&amp;""",""russian_influence_score"":"&amp;IF(ISNUMBER(F31),F31,"null")&amp;", ""russian_confidence"":"""&amp;G31&amp;""",""pmc_presence_score"":"&amp;IF(ISNUMBER(J31),J31,"null")&amp;", ""pmc_confidence"":"""&amp;K31&amp;""",""propaganda_ecosystems_score"":"&amp;IF(ISNUMBER(N31),N31,"null")&amp;", ""propaganda_confidence"":"""&amp;O31&amp;""",""election_interference_score"":"&amp;IF(ISNUMBER(R31),R31,"null")&amp;", ""election_confidence"":"""&amp;S31&amp;""",""composite_score"":"&amp;IF(ISNUMBER(V31),V31,"null")&amp;", ""colour"":""#"&amp;IFERROR(VLOOKUP(V31,Legend_Config!$A$2:$C$7,3,FALSE),"")&amp;""",""confidence"":"""&amp;X31&amp;""",""layer_status"":"""&amp;Y31&amp;"""}")</x:f>
      </x:c>
      <x:c r="AC31" s="30" t="str">
        <x:f>IFERROR(VLOOKUP(A31,Country_Config!$A$2:$G$100,7,FALSE),"")</x:f>
      </x:c>
    </x:row>
    <x:row r="32">
      <x:c r="A32" s="30"/>
      <x:c r="B32" s="30"/>
      <x:c r="C32" s="30"/>
      <x:c r="D32" s="30"/>
      <x:c r="E32" s="30"/>
      <x:c r="F32" s="30" t="str">
        <x:f>IFERROR(VLOOKUP($A32&amp;"|Russian influence",Score_Calculator!$A$2:$Q$80,7,FALSE),"")</x:f>
      </x:c>
      <x:c r="G32" s="30" t="str">
        <x:f>IFERROR(VLOOKUP($A32&amp;"|Russian influence",Score_Calculator!$A$2:$Q$80,9,FALSE),"")</x:f>
      </x:c>
      <x:c r="H32" s="30" t="str">
        <x:f>IFERROR("#"&amp;VLOOKUP(F32,Legend_Config!$A$2:$C$7,3,FALSE),"")</x:f>
        <x:v>#F2F2F2</x:v>
      </x:c>
      <x:c r="I32" s="30" t="str">
        <x:f>IFERROR(VLOOKUP($A32&amp;"|Russian influence",Score_Calculator!$A$2:$Q$80,15,FALSE),"")</x:f>
      </x:c>
      <x:c r="J32" s="30" t="str">
        <x:f>IFERROR(VLOOKUP($A32&amp;"|PMC presence",Score_Calculator!$A$2:$Q$80,7,FALSE),"")</x:f>
      </x:c>
      <x:c r="K32" s="30" t="str">
        <x:f>IFERROR(VLOOKUP($A32&amp;"|PMC presence",Score_Calculator!$A$2:$Q$80,9,FALSE),"")</x:f>
      </x:c>
      <x:c r="L32" s="30" t="str">
        <x:f>IFERROR("#"&amp;VLOOKUP(J32,Legend_Config!$A$2:$C$7,3,FALSE),"")</x:f>
        <x:v>#F2F2F2</x:v>
      </x:c>
      <x:c r="M32" s="30" t="str">
        <x:f>IFERROR(VLOOKUP($A32&amp;"|PMC presence",Score_Calculator!$A$2:$Q$80,15,FALSE),"")</x:f>
      </x:c>
      <x:c r="N32" s="30" t="str">
        <x:f>IFERROR(VLOOKUP($A32&amp;"|Propaganda ecosystems",Score_Calculator!$A$2:$Q$80,7,FALSE),"")</x:f>
      </x:c>
      <x:c r="O32" s="30" t="str">
        <x:f>IFERROR(VLOOKUP($A32&amp;"|Propaganda ecosystems",Score_Calculator!$A$2:$Q$80,9,FALSE),"")</x:f>
      </x:c>
      <x:c r="P32" s="30" t="str">
        <x:f>IFERROR("#"&amp;VLOOKUP(N32,Legend_Config!$A$2:$C$7,3,FALSE),"")</x:f>
        <x:v>#F2F2F2</x:v>
      </x:c>
      <x:c r="Q32" s="30" t="str">
        <x:f>IFERROR(VLOOKUP($A32&amp;"|Propaganda ecosystems",Score_Calculator!$A$2:$Q$80,15,FALSE),"")</x:f>
      </x:c>
      <x:c r="R32" s="30" t="str">
        <x:f>IFERROR(VLOOKUP($A32&amp;"|Election interference",Score_Calculator!$A$2:$Q$80,7,FALSE),"")</x:f>
      </x:c>
      <x:c r="S32" s="30" t="str">
        <x:f>IFERROR(VLOOKUP($A32&amp;"|Election interference",Score_Calculator!$A$2:$Q$80,9,FALSE),"")</x:f>
      </x:c>
      <x:c r="T32" s="30" t="str">
        <x:f>IFERROR("#"&amp;VLOOKUP(R32,Legend_Config!$A$2:$C$7,3,FALSE),"")</x:f>
        <x:v>#F2F2F2</x:v>
      </x:c>
      <x:c r="U32" s="30" t="str">
        <x:f>IFERROR(VLOOKUP($A32&amp;"|Election interference",Score_Calculator!$A$2:$Q$80,15,FALSE),"")</x:f>
      </x:c>
      <x:c r="V32" s="30" t="n">
        <x:f>IFERROR(ROUND(AVERAGE(F32,J32,N32,R32),0),"")</x:f>
        <x:v>0</x:v>
      </x:c>
      <x:c r="W32" s="30" t="str">
        <x:f>IFERROR("#"&amp;VLOOKUP(V32,Legend_Config!$A$2:$C$7,3,FALSE),"")</x:f>
        <x:v>#F2F2F2</x:v>
      </x:c>
      <x:c r="X32" s="30" t="str">
        <x:f>IF(COUNTA(G32,K32,O32,S32)=0,"No data",IF(COUNTIF(G32:S32,"Needs review")&gt;0,"Needs review",IF(COUNTIF(G32:S32,"Low")&gt;0,"Low",IF(COUNTIF(G32:S32,"Medium")&gt;0,"Medium","High"))))</x:f>
        <x:v>High</x:v>
      </x:c>
      <x:c r="Y32" s="30" t="str">
        <x:f>IF(X32="No data","No evidence",IF(OR(X32="High",X32="Medium"),"Ready / publishable","Show with caution"))</x:f>
        <x:v>Ready / publishable</x:v>
      </x:c>
      <x:c r="Z32" s="30" t="n">
        <x:f>IFERROR(MAX(FILTER(Score_Calculator!$P$2:$P$80,Score_Calculator!$B$2:$B$80=$A32)),"")</x:f>
        <x:v>0</x:v>
      </x:c>
      <x:c r="AA32" s="30" t="str">
        <x:f>IF(OR(D32="",E32=""),"","{""type"":""Point"",""coordinates"":["&amp;TEXT(E32,"0.0000")&amp;","&amp;TEXT(D32,"0.0000")&amp;"]}")</x:f>
      </x:c>
      <x:c r="AB32" s="30" t="str">
        <x:f>IF(A32="","","{""country"":"""&amp;A32&amp;""",""iso3"":"""&amp;B32&amp;""",""region"":"""&amp;C32&amp;""",""russian_influence_score"":"&amp;IF(ISNUMBER(F32),F32,"null")&amp;", ""russian_confidence"":"""&amp;G32&amp;""",""pmc_presence_score"":"&amp;IF(ISNUMBER(J32),J32,"null")&amp;", ""pmc_confidence"":"""&amp;K32&amp;""",""propaganda_ecosystems_score"":"&amp;IF(ISNUMBER(N32),N32,"null")&amp;", ""propaganda_confidence"":"""&amp;O32&amp;""",""election_interference_score"":"&amp;IF(ISNUMBER(R32),R32,"null")&amp;", ""election_confidence"":"""&amp;S32&amp;""",""composite_score"":"&amp;IF(ISNUMBER(V32),V32,"null")&amp;", ""colour"":""#"&amp;IFERROR(VLOOKUP(V32,Legend_Config!$A$2:$C$7,3,FALSE),"")&amp;""",""confidence"":"""&amp;X32&amp;""",""layer_status"":"""&amp;Y32&amp;"""}")</x:f>
      </x:c>
      <x:c r="AC32" s="30" t="str">
        <x:f>IFERROR(VLOOKUP(A32,Country_Config!$A$2:$G$100,7,FALSE),"")</x:f>
      </x:c>
    </x:row>
    <x:row r="33">
      <x:c r="A33" s="30"/>
      <x:c r="B33" s="30"/>
      <x:c r="C33" s="30"/>
      <x:c r="D33" s="30"/>
      <x:c r="E33" s="30"/>
      <x:c r="F33" s="30" t="str">
        <x:f>IFERROR(VLOOKUP($A33&amp;"|Russian influence",Score_Calculator!$A$2:$Q$80,7,FALSE),"")</x:f>
      </x:c>
      <x:c r="G33" s="30" t="str">
        <x:f>IFERROR(VLOOKUP($A33&amp;"|Russian influence",Score_Calculator!$A$2:$Q$80,9,FALSE),"")</x:f>
      </x:c>
      <x:c r="H33" s="30" t="str">
        <x:f>IFERROR("#"&amp;VLOOKUP(F33,Legend_Config!$A$2:$C$7,3,FALSE),"")</x:f>
        <x:v>#F2F2F2</x:v>
      </x:c>
      <x:c r="I33" s="30" t="str">
        <x:f>IFERROR(VLOOKUP($A33&amp;"|Russian influence",Score_Calculator!$A$2:$Q$80,15,FALSE),"")</x:f>
      </x:c>
      <x:c r="J33" s="30" t="str">
        <x:f>IFERROR(VLOOKUP($A33&amp;"|PMC presence",Score_Calculator!$A$2:$Q$80,7,FALSE),"")</x:f>
      </x:c>
      <x:c r="K33" s="30" t="str">
        <x:f>IFERROR(VLOOKUP($A33&amp;"|PMC presence",Score_Calculator!$A$2:$Q$80,9,FALSE),"")</x:f>
      </x:c>
      <x:c r="L33" s="30" t="str">
        <x:f>IFERROR("#"&amp;VLOOKUP(J33,Legend_Config!$A$2:$C$7,3,FALSE),"")</x:f>
        <x:v>#F2F2F2</x:v>
      </x:c>
      <x:c r="M33" s="30" t="str">
        <x:f>IFERROR(VLOOKUP($A33&amp;"|PMC presence",Score_Calculator!$A$2:$Q$80,15,FALSE),"")</x:f>
      </x:c>
      <x:c r="N33" s="30" t="str">
        <x:f>IFERROR(VLOOKUP($A33&amp;"|Propaganda ecosystems",Score_Calculator!$A$2:$Q$80,7,FALSE),"")</x:f>
      </x:c>
      <x:c r="O33" s="30" t="str">
        <x:f>IFERROR(VLOOKUP($A33&amp;"|Propaganda ecosystems",Score_Calculator!$A$2:$Q$80,9,FALSE),"")</x:f>
      </x:c>
      <x:c r="P33" s="30" t="str">
        <x:f>IFERROR("#"&amp;VLOOKUP(N33,Legend_Config!$A$2:$C$7,3,FALSE),"")</x:f>
        <x:v>#F2F2F2</x:v>
      </x:c>
      <x:c r="Q33" s="30" t="str">
        <x:f>IFERROR(VLOOKUP($A33&amp;"|Propaganda ecosystems",Score_Calculator!$A$2:$Q$80,15,FALSE),"")</x:f>
      </x:c>
      <x:c r="R33" s="30" t="str">
        <x:f>IFERROR(VLOOKUP($A33&amp;"|Election interference",Score_Calculator!$A$2:$Q$80,7,FALSE),"")</x:f>
      </x:c>
      <x:c r="S33" s="30" t="str">
        <x:f>IFERROR(VLOOKUP($A33&amp;"|Election interference",Score_Calculator!$A$2:$Q$80,9,FALSE),"")</x:f>
      </x:c>
      <x:c r="T33" s="30" t="str">
        <x:f>IFERROR("#"&amp;VLOOKUP(R33,Legend_Config!$A$2:$C$7,3,FALSE),"")</x:f>
        <x:v>#F2F2F2</x:v>
      </x:c>
      <x:c r="U33" s="30" t="str">
        <x:f>IFERROR(VLOOKUP($A33&amp;"|Election interference",Score_Calculator!$A$2:$Q$80,15,FALSE),"")</x:f>
      </x:c>
      <x:c r="V33" s="30" t="n">
        <x:f>IFERROR(ROUND(AVERAGE(F33,J33,N33,R33),0),"")</x:f>
        <x:v>0</x:v>
      </x:c>
      <x:c r="W33" s="30" t="str">
        <x:f>IFERROR("#"&amp;VLOOKUP(V33,Legend_Config!$A$2:$C$7,3,FALSE),"")</x:f>
        <x:v>#F2F2F2</x:v>
      </x:c>
      <x:c r="X33" s="30" t="str">
        <x:f>IF(COUNTA(G33,K33,O33,S33)=0,"No data",IF(COUNTIF(G33:S33,"Needs review")&gt;0,"Needs review",IF(COUNTIF(G33:S33,"Low")&gt;0,"Low",IF(COUNTIF(G33:S33,"Medium")&gt;0,"Medium","High"))))</x:f>
        <x:v>High</x:v>
      </x:c>
      <x:c r="Y33" s="30" t="str">
        <x:f>IF(X33="No data","No evidence",IF(OR(X33="High",X33="Medium"),"Ready / publishable","Show with caution"))</x:f>
        <x:v>Ready / publishable</x:v>
      </x:c>
      <x:c r="Z33" s="30" t="n">
        <x:f>IFERROR(MAX(FILTER(Score_Calculator!$P$2:$P$80,Score_Calculator!$B$2:$B$80=$A33)),"")</x:f>
        <x:v>0</x:v>
      </x:c>
      <x:c r="AA33" s="30" t="str">
        <x:f>IF(OR(D33="",E33=""),"","{""type"":""Point"",""coordinates"":["&amp;TEXT(E33,"0.0000")&amp;","&amp;TEXT(D33,"0.0000")&amp;"]}")</x:f>
      </x:c>
      <x:c r="AB33" s="30" t="str">
        <x:f>IF(A33="","","{""country"":"""&amp;A33&amp;""",""iso3"":"""&amp;B33&amp;""",""region"":"""&amp;C33&amp;""",""russian_influence_score"":"&amp;IF(ISNUMBER(F33),F33,"null")&amp;", ""russian_confidence"":"""&amp;G33&amp;""",""pmc_presence_score"":"&amp;IF(ISNUMBER(J33),J33,"null")&amp;", ""pmc_confidence"":"""&amp;K33&amp;""",""propaganda_ecosystems_score"":"&amp;IF(ISNUMBER(N33),N33,"null")&amp;", ""propaganda_confidence"":"""&amp;O33&amp;""",""election_interference_score"":"&amp;IF(ISNUMBER(R33),R33,"null")&amp;", ""election_confidence"":"""&amp;S33&amp;""",""composite_score"":"&amp;IF(ISNUMBER(V33),V33,"null")&amp;", ""colour"":""#"&amp;IFERROR(VLOOKUP(V33,Legend_Config!$A$2:$C$7,3,FALSE),"")&amp;""",""confidence"":"""&amp;X33&amp;""",""layer_status"":"""&amp;Y33&amp;"""}")</x:f>
      </x:c>
      <x:c r="AC33" s="30" t="str">
        <x:f>IFERROR(VLOOKUP(A33,Country_Config!$A$2:$G$100,7,FALSE),"")</x:f>
      </x:c>
    </x:row>
    <x:row r="34">
      <x:c r="A34" s="30"/>
      <x:c r="B34" s="30"/>
      <x:c r="C34" s="30"/>
      <x:c r="D34" s="30"/>
      <x:c r="E34" s="30"/>
      <x:c r="F34" s="30" t="str">
        <x:f>IFERROR(VLOOKUP($A34&amp;"|Russian influence",Score_Calculator!$A$2:$Q$80,7,FALSE),"")</x:f>
      </x:c>
      <x:c r="G34" s="30" t="str">
        <x:f>IFERROR(VLOOKUP($A34&amp;"|Russian influence",Score_Calculator!$A$2:$Q$80,9,FALSE),"")</x:f>
      </x:c>
      <x:c r="H34" s="30" t="str">
        <x:f>IFERROR("#"&amp;VLOOKUP(F34,Legend_Config!$A$2:$C$7,3,FALSE),"")</x:f>
        <x:v>#F2F2F2</x:v>
      </x:c>
      <x:c r="I34" s="30" t="str">
        <x:f>IFERROR(VLOOKUP($A34&amp;"|Russian influence",Score_Calculator!$A$2:$Q$80,15,FALSE),"")</x:f>
      </x:c>
      <x:c r="J34" s="30" t="str">
        <x:f>IFERROR(VLOOKUP($A34&amp;"|PMC presence",Score_Calculator!$A$2:$Q$80,7,FALSE),"")</x:f>
      </x:c>
      <x:c r="K34" s="30" t="str">
        <x:f>IFERROR(VLOOKUP($A34&amp;"|PMC presence",Score_Calculator!$A$2:$Q$80,9,FALSE),"")</x:f>
      </x:c>
      <x:c r="L34" s="30" t="str">
        <x:f>IFERROR("#"&amp;VLOOKUP(J34,Legend_Config!$A$2:$C$7,3,FALSE),"")</x:f>
        <x:v>#F2F2F2</x:v>
      </x:c>
      <x:c r="M34" s="30" t="str">
        <x:f>IFERROR(VLOOKUP($A34&amp;"|PMC presence",Score_Calculator!$A$2:$Q$80,15,FALSE),"")</x:f>
      </x:c>
      <x:c r="N34" s="30" t="str">
        <x:f>IFERROR(VLOOKUP($A34&amp;"|Propaganda ecosystems",Score_Calculator!$A$2:$Q$80,7,FALSE),"")</x:f>
      </x:c>
      <x:c r="O34" s="30" t="str">
        <x:f>IFERROR(VLOOKUP($A34&amp;"|Propaganda ecosystems",Score_Calculator!$A$2:$Q$80,9,FALSE),"")</x:f>
      </x:c>
      <x:c r="P34" s="30" t="str">
        <x:f>IFERROR("#"&amp;VLOOKUP(N34,Legend_Config!$A$2:$C$7,3,FALSE),"")</x:f>
        <x:v>#F2F2F2</x:v>
      </x:c>
      <x:c r="Q34" s="30" t="str">
        <x:f>IFERROR(VLOOKUP($A34&amp;"|Propaganda ecosystems",Score_Calculator!$A$2:$Q$80,15,FALSE),"")</x:f>
      </x:c>
      <x:c r="R34" s="30" t="str">
        <x:f>IFERROR(VLOOKUP($A34&amp;"|Election interference",Score_Calculator!$A$2:$Q$80,7,FALSE),"")</x:f>
      </x:c>
      <x:c r="S34" s="30" t="str">
        <x:f>IFERROR(VLOOKUP($A34&amp;"|Election interference",Score_Calculator!$A$2:$Q$80,9,FALSE),"")</x:f>
      </x:c>
      <x:c r="T34" s="30" t="str">
        <x:f>IFERROR("#"&amp;VLOOKUP(R34,Legend_Config!$A$2:$C$7,3,FALSE),"")</x:f>
        <x:v>#F2F2F2</x:v>
      </x:c>
      <x:c r="U34" s="30" t="str">
        <x:f>IFERROR(VLOOKUP($A34&amp;"|Election interference",Score_Calculator!$A$2:$Q$80,15,FALSE),"")</x:f>
      </x:c>
      <x:c r="V34" s="30" t="n">
        <x:f>IFERROR(ROUND(AVERAGE(F34,J34,N34,R34),0),"")</x:f>
        <x:v>0</x:v>
      </x:c>
      <x:c r="W34" s="30" t="str">
        <x:f>IFERROR("#"&amp;VLOOKUP(V34,Legend_Config!$A$2:$C$7,3,FALSE),"")</x:f>
        <x:v>#F2F2F2</x:v>
      </x:c>
      <x:c r="X34" s="30" t="str">
        <x:f>IF(COUNTA(G34,K34,O34,S34)=0,"No data",IF(COUNTIF(G34:S34,"Needs review")&gt;0,"Needs review",IF(COUNTIF(G34:S34,"Low")&gt;0,"Low",IF(COUNTIF(G34:S34,"Medium")&gt;0,"Medium","High"))))</x:f>
        <x:v>High</x:v>
      </x:c>
      <x:c r="Y34" s="30" t="str">
        <x:f>IF(X34="No data","No evidence",IF(OR(X34="High",X34="Medium"),"Ready / publishable","Show with caution"))</x:f>
        <x:v>Ready / publishable</x:v>
      </x:c>
      <x:c r="Z34" s="30" t="n">
        <x:f>IFERROR(MAX(FILTER(Score_Calculator!$P$2:$P$80,Score_Calculator!$B$2:$B$80=$A34)),"")</x:f>
        <x:v>0</x:v>
      </x:c>
      <x:c r="AA34" s="30" t="str">
        <x:f>IF(OR(D34="",E34=""),"","{""type"":""Point"",""coordinates"":["&amp;TEXT(E34,"0.0000")&amp;","&amp;TEXT(D34,"0.0000")&amp;"]}")</x:f>
      </x:c>
      <x:c r="AB34" s="30" t="str">
        <x:f>IF(A34="","","{""country"":"""&amp;A34&amp;""",""iso3"":"""&amp;B34&amp;""",""region"":"""&amp;C34&amp;""",""russian_influence_score"":"&amp;IF(ISNUMBER(F34),F34,"null")&amp;", ""russian_confidence"":"""&amp;G34&amp;""",""pmc_presence_score"":"&amp;IF(ISNUMBER(J34),J34,"null")&amp;", ""pmc_confidence"":"""&amp;K34&amp;""",""propaganda_ecosystems_score"":"&amp;IF(ISNUMBER(N34),N34,"null")&amp;", ""propaganda_confidence"":"""&amp;O34&amp;""",""election_interference_score"":"&amp;IF(ISNUMBER(R34),R34,"null")&amp;", ""election_confidence"":"""&amp;S34&amp;""",""composite_score"":"&amp;IF(ISNUMBER(V34),V34,"null")&amp;", ""colour"":""#"&amp;IFERROR(VLOOKUP(V34,Legend_Config!$A$2:$C$7,3,FALSE),"")&amp;""",""confidence"":"""&amp;X34&amp;""",""layer_status"":"""&amp;Y34&amp;"""}")</x:f>
      </x:c>
      <x:c r="AC34" s="30" t="str">
        <x:f>IFERROR(VLOOKUP(A34,Country_Config!$A$2:$G$100,7,FALSE),"")</x:f>
      </x:c>
    </x:row>
    <x:row r="35">
      <x:c r="A35" s="30"/>
      <x:c r="B35" s="30"/>
      <x:c r="C35" s="30"/>
      <x:c r="D35" s="30"/>
      <x:c r="E35" s="30"/>
      <x:c r="F35" s="30" t="str">
        <x:f>IFERROR(VLOOKUP($A35&amp;"|Russian influence",Score_Calculator!$A$2:$Q$80,7,FALSE),"")</x:f>
      </x:c>
      <x:c r="G35" s="30" t="str">
        <x:f>IFERROR(VLOOKUP($A35&amp;"|Russian influence",Score_Calculator!$A$2:$Q$80,9,FALSE),"")</x:f>
      </x:c>
      <x:c r="H35" s="30" t="str">
        <x:f>IFERROR("#"&amp;VLOOKUP(F35,Legend_Config!$A$2:$C$7,3,FALSE),"")</x:f>
        <x:v>#F2F2F2</x:v>
      </x:c>
      <x:c r="I35" s="30" t="str">
        <x:f>IFERROR(VLOOKUP($A35&amp;"|Russian influence",Score_Calculator!$A$2:$Q$80,15,FALSE),"")</x:f>
      </x:c>
      <x:c r="J35" s="30" t="str">
        <x:f>IFERROR(VLOOKUP($A35&amp;"|PMC presence",Score_Calculator!$A$2:$Q$80,7,FALSE),"")</x:f>
      </x:c>
      <x:c r="K35" s="30" t="str">
        <x:f>IFERROR(VLOOKUP($A35&amp;"|PMC presence",Score_Calculator!$A$2:$Q$80,9,FALSE),"")</x:f>
      </x:c>
      <x:c r="L35" s="30" t="str">
        <x:f>IFERROR("#"&amp;VLOOKUP(J35,Legend_Config!$A$2:$C$7,3,FALSE),"")</x:f>
        <x:v>#F2F2F2</x:v>
      </x:c>
      <x:c r="M35" s="30" t="str">
        <x:f>IFERROR(VLOOKUP($A35&amp;"|PMC presence",Score_Calculator!$A$2:$Q$80,15,FALSE),"")</x:f>
      </x:c>
      <x:c r="N35" s="30" t="str">
        <x:f>IFERROR(VLOOKUP($A35&amp;"|Propaganda ecosystems",Score_Calculator!$A$2:$Q$80,7,FALSE),"")</x:f>
      </x:c>
      <x:c r="O35" s="30" t="str">
        <x:f>IFERROR(VLOOKUP($A35&amp;"|Propaganda ecosystems",Score_Calculator!$A$2:$Q$80,9,FALSE),"")</x:f>
      </x:c>
      <x:c r="P35" s="30" t="str">
        <x:f>IFERROR("#"&amp;VLOOKUP(N35,Legend_Config!$A$2:$C$7,3,FALSE),"")</x:f>
        <x:v>#F2F2F2</x:v>
      </x:c>
      <x:c r="Q35" s="30" t="str">
        <x:f>IFERROR(VLOOKUP($A35&amp;"|Propaganda ecosystems",Score_Calculator!$A$2:$Q$80,15,FALSE),"")</x:f>
      </x:c>
      <x:c r="R35" s="30" t="str">
        <x:f>IFERROR(VLOOKUP($A35&amp;"|Election interference",Score_Calculator!$A$2:$Q$80,7,FALSE),"")</x:f>
      </x:c>
      <x:c r="S35" s="30" t="str">
        <x:f>IFERROR(VLOOKUP($A35&amp;"|Election interference",Score_Calculator!$A$2:$Q$80,9,FALSE),"")</x:f>
      </x:c>
      <x:c r="T35" s="30" t="str">
        <x:f>IFERROR("#"&amp;VLOOKUP(R35,Legend_Config!$A$2:$C$7,3,FALSE),"")</x:f>
        <x:v>#F2F2F2</x:v>
      </x:c>
      <x:c r="U35" s="30" t="str">
        <x:f>IFERROR(VLOOKUP($A35&amp;"|Election interference",Score_Calculator!$A$2:$Q$80,15,FALSE),"")</x:f>
      </x:c>
      <x:c r="V35" s="30" t="n">
        <x:f>IFERROR(ROUND(AVERAGE(F35,J35,N35,R35),0),"")</x:f>
        <x:v>0</x:v>
      </x:c>
      <x:c r="W35" s="30" t="str">
        <x:f>IFERROR("#"&amp;VLOOKUP(V35,Legend_Config!$A$2:$C$7,3,FALSE),"")</x:f>
        <x:v>#F2F2F2</x:v>
      </x:c>
      <x:c r="X35" s="30" t="str">
        <x:f>IF(COUNTA(G35,K35,O35,S35)=0,"No data",IF(COUNTIF(G35:S35,"Needs review")&gt;0,"Needs review",IF(COUNTIF(G35:S35,"Low")&gt;0,"Low",IF(COUNTIF(G35:S35,"Medium")&gt;0,"Medium","High"))))</x:f>
        <x:v>High</x:v>
      </x:c>
      <x:c r="Y35" s="30" t="str">
        <x:f>IF(X35="No data","No evidence",IF(OR(X35="High",X35="Medium"),"Ready / publishable","Show with caution"))</x:f>
        <x:v>Ready / publishable</x:v>
      </x:c>
      <x:c r="Z35" s="30" t="n">
        <x:f>IFERROR(MAX(FILTER(Score_Calculator!$P$2:$P$80,Score_Calculator!$B$2:$B$80=$A35)),"")</x:f>
        <x:v>0</x:v>
      </x:c>
      <x:c r="AA35" s="30" t="str">
        <x:f>IF(OR(D35="",E35=""),"","{""type"":""Point"",""coordinates"":["&amp;TEXT(E35,"0.0000")&amp;","&amp;TEXT(D35,"0.0000")&amp;"]}")</x:f>
      </x:c>
      <x:c r="AB35" s="30" t="str">
        <x:f>IF(A35="","","{""country"":"""&amp;A35&amp;""",""iso3"":"""&amp;B35&amp;""",""region"":"""&amp;C35&amp;""",""russian_influence_score"":"&amp;IF(ISNUMBER(F35),F35,"null")&amp;", ""russian_confidence"":"""&amp;G35&amp;""",""pmc_presence_score"":"&amp;IF(ISNUMBER(J35),J35,"null")&amp;", ""pmc_confidence"":"""&amp;K35&amp;""",""propaganda_ecosystems_score"":"&amp;IF(ISNUMBER(N35),N35,"null")&amp;", ""propaganda_confidence"":"""&amp;O35&amp;""",""election_interference_score"":"&amp;IF(ISNUMBER(R35),R35,"null")&amp;", ""election_confidence"":"""&amp;S35&amp;""",""composite_score"":"&amp;IF(ISNUMBER(V35),V35,"null")&amp;", ""colour"":""#"&amp;IFERROR(VLOOKUP(V35,Legend_Config!$A$2:$C$7,3,FALSE),"")&amp;""",""confidence"":"""&amp;X35&amp;""",""layer_status"":"""&amp;Y35&amp;"""}")</x:f>
      </x:c>
      <x:c r="AC35" s="30" t="str">
        <x:f>IFERROR(VLOOKUP(A35,Country_Config!$A$2:$G$100,7,FALSE),"")</x:f>
      </x:c>
    </x:row>
    <x:row r="36">
      <x:c r="A36" s="30"/>
      <x:c r="B36" s="30"/>
      <x:c r="C36" s="30"/>
      <x:c r="D36" s="30"/>
      <x:c r="E36" s="30"/>
      <x:c r="F36" s="30" t="str">
        <x:f>IFERROR(VLOOKUP($A36&amp;"|Russian influence",Score_Calculator!$A$2:$Q$80,7,FALSE),"")</x:f>
      </x:c>
      <x:c r="G36" s="30" t="str">
        <x:f>IFERROR(VLOOKUP($A36&amp;"|Russian influence",Score_Calculator!$A$2:$Q$80,9,FALSE),"")</x:f>
      </x:c>
      <x:c r="H36" s="30" t="str">
        <x:f>IFERROR("#"&amp;VLOOKUP(F36,Legend_Config!$A$2:$C$7,3,FALSE),"")</x:f>
        <x:v>#F2F2F2</x:v>
      </x:c>
      <x:c r="I36" s="30" t="str">
        <x:f>IFERROR(VLOOKUP($A36&amp;"|Russian influence",Score_Calculator!$A$2:$Q$80,15,FALSE),"")</x:f>
      </x:c>
      <x:c r="J36" s="30" t="str">
        <x:f>IFERROR(VLOOKUP($A36&amp;"|PMC presence",Score_Calculator!$A$2:$Q$80,7,FALSE),"")</x:f>
      </x:c>
      <x:c r="K36" s="30" t="str">
        <x:f>IFERROR(VLOOKUP($A36&amp;"|PMC presence",Score_Calculator!$A$2:$Q$80,9,FALSE),"")</x:f>
      </x:c>
      <x:c r="L36" s="30" t="str">
        <x:f>IFERROR("#"&amp;VLOOKUP(J36,Legend_Config!$A$2:$C$7,3,FALSE),"")</x:f>
        <x:v>#F2F2F2</x:v>
      </x:c>
      <x:c r="M36" s="30" t="str">
        <x:f>IFERROR(VLOOKUP($A36&amp;"|PMC presence",Score_Calculator!$A$2:$Q$80,15,FALSE),"")</x:f>
      </x:c>
      <x:c r="N36" s="30" t="str">
        <x:f>IFERROR(VLOOKUP($A36&amp;"|Propaganda ecosystems",Score_Calculator!$A$2:$Q$80,7,FALSE),"")</x:f>
      </x:c>
      <x:c r="O36" s="30" t="str">
        <x:f>IFERROR(VLOOKUP($A36&amp;"|Propaganda ecosystems",Score_Calculator!$A$2:$Q$80,9,FALSE),"")</x:f>
      </x:c>
      <x:c r="P36" s="30" t="str">
        <x:f>IFERROR("#"&amp;VLOOKUP(N36,Legend_Config!$A$2:$C$7,3,FALSE),"")</x:f>
        <x:v>#F2F2F2</x:v>
      </x:c>
      <x:c r="Q36" s="30" t="str">
        <x:f>IFERROR(VLOOKUP($A36&amp;"|Propaganda ecosystems",Score_Calculator!$A$2:$Q$80,15,FALSE),"")</x:f>
      </x:c>
      <x:c r="R36" s="30" t="str">
        <x:f>IFERROR(VLOOKUP($A36&amp;"|Election interference",Score_Calculator!$A$2:$Q$80,7,FALSE),"")</x:f>
      </x:c>
      <x:c r="S36" s="30" t="str">
        <x:f>IFERROR(VLOOKUP($A36&amp;"|Election interference",Score_Calculator!$A$2:$Q$80,9,FALSE),"")</x:f>
      </x:c>
      <x:c r="T36" s="30" t="str">
        <x:f>IFERROR("#"&amp;VLOOKUP(R36,Legend_Config!$A$2:$C$7,3,FALSE),"")</x:f>
        <x:v>#F2F2F2</x:v>
      </x:c>
      <x:c r="U36" s="30" t="str">
        <x:f>IFERROR(VLOOKUP($A36&amp;"|Election interference",Score_Calculator!$A$2:$Q$80,15,FALSE),"")</x:f>
      </x:c>
      <x:c r="V36" s="30" t="n">
        <x:f>IFERROR(ROUND(AVERAGE(F36,J36,N36,R36),0),"")</x:f>
        <x:v>0</x:v>
      </x:c>
      <x:c r="W36" s="30" t="str">
        <x:f>IFERROR("#"&amp;VLOOKUP(V36,Legend_Config!$A$2:$C$7,3,FALSE),"")</x:f>
        <x:v>#F2F2F2</x:v>
      </x:c>
      <x:c r="X36" s="30" t="str">
        <x:f>IF(COUNTA(G36,K36,O36,S36)=0,"No data",IF(COUNTIF(G36:S36,"Needs review")&gt;0,"Needs review",IF(COUNTIF(G36:S36,"Low")&gt;0,"Low",IF(COUNTIF(G36:S36,"Medium")&gt;0,"Medium","High"))))</x:f>
        <x:v>High</x:v>
      </x:c>
      <x:c r="Y36" s="30" t="str">
        <x:f>IF(X36="No data","No evidence",IF(OR(X36="High",X36="Medium"),"Ready / publishable","Show with caution"))</x:f>
        <x:v>Ready / publishable</x:v>
      </x:c>
      <x:c r="Z36" s="30" t="n">
        <x:f>IFERROR(MAX(FILTER(Score_Calculator!$P$2:$P$80,Score_Calculator!$B$2:$B$80=$A36)),"")</x:f>
        <x:v>0</x:v>
      </x:c>
      <x:c r="AA36" s="30" t="str">
        <x:f>IF(OR(D36="",E36=""),"","{""type"":""Point"",""coordinates"":["&amp;TEXT(E36,"0.0000")&amp;","&amp;TEXT(D36,"0.0000")&amp;"]}")</x:f>
      </x:c>
      <x:c r="AB36" s="30" t="str">
        <x:f>IF(A36="","","{""country"":"""&amp;A36&amp;""",""iso3"":"""&amp;B36&amp;""",""region"":"""&amp;C36&amp;""",""russian_influence_score"":"&amp;IF(ISNUMBER(F36),F36,"null")&amp;", ""russian_confidence"":"""&amp;G36&amp;""",""pmc_presence_score"":"&amp;IF(ISNUMBER(J36),J36,"null")&amp;", ""pmc_confidence"":"""&amp;K36&amp;""",""propaganda_ecosystems_score"":"&amp;IF(ISNUMBER(N36),N36,"null")&amp;", ""propaganda_confidence"":"""&amp;O36&amp;""",""election_interference_score"":"&amp;IF(ISNUMBER(R36),R36,"null")&amp;", ""election_confidence"":"""&amp;S36&amp;""",""composite_score"":"&amp;IF(ISNUMBER(V36),V36,"null")&amp;", ""colour"":""#"&amp;IFERROR(VLOOKUP(V36,Legend_Config!$A$2:$C$7,3,FALSE),"")&amp;""",""confidence"":"""&amp;X36&amp;""",""layer_status"":"""&amp;Y36&amp;"""}")</x:f>
      </x:c>
      <x:c r="AC36" s="30" t="str">
        <x:f>IFERROR(VLOOKUP(A36,Country_Config!$A$2:$G$100,7,FALSE),"")</x:f>
      </x:c>
    </x:row>
    <x:row r="37">
      <x:c r="A37" s="30"/>
      <x:c r="B37" s="30"/>
      <x:c r="C37" s="30"/>
      <x:c r="D37" s="30"/>
      <x:c r="E37" s="30"/>
      <x:c r="F37" s="30" t="str">
        <x:f>IFERROR(VLOOKUP($A37&amp;"|Russian influence",Score_Calculator!$A$2:$Q$80,7,FALSE),"")</x:f>
      </x:c>
      <x:c r="G37" s="30" t="str">
        <x:f>IFERROR(VLOOKUP($A37&amp;"|Russian influence",Score_Calculator!$A$2:$Q$80,9,FALSE),"")</x:f>
      </x:c>
      <x:c r="H37" s="30" t="str">
        <x:f>IFERROR("#"&amp;VLOOKUP(F37,Legend_Config!$A$2:$C$7,3,FALSE),"")</x:f>
        <x:v>#F2F2F2</x:v>
      </x:c>
      <x:c r="I37" s="30" t="str">
        <x:f>IFERROR(VLOOKUP($A37&amp;"|Russian influence",Score_Calculator!$A$2:$Q$80,15,FALSE),"")</x:f>
      </x:c>
      <x:c r="J37" s="30" t="str">
        <x:f>IFERROR(VLOOKUP($A37&amp;"|PMC presence",Score_Calculator!$A$2:$Q$80,7,FALSE),"")</x:f>
      </x:c>
      <x:c r="K37" s="30" t="str">
        <x:f>IFERROR(VLOOKUP($A37&amp;"|PMC presence",Score_Calculator!$A$2:$Q$80,9,FALSE),"")</x:f>
      </x:c>
      <x:c r="L37" s="30" t="str">
        <x:f>IFERROR("#"&amp;VLOOKUP(J37,Legend_Config!$A$2:$C$7,3,FALSE),"")</x:f>
        <x:v>#F2F2F2</x:v>
      </x:c>
      <x:c r="M37" s="30" t="str">
        <x:f>IFERROR(VLOOKUP($A37&amp;"|PMC presence",Score_Calculator!$A$2:$Q$80,15,FALSE),"")</x:f>
      </x:c>
      <x:c r="N37" s="30" t="str">
        <x:f>IFERROR(VLOOKUP($A37&amp;"|Propaganda ecosystems",Score_Calculator!$A$2:$Q$80,7,FALSE),"")</x:f>
      </x:c>
      <x:c r="O37" s="30" t="str">
        <x:f>IFERROR(VLOOKUP($A37&amp;"|Propaganda ecosystems",Score_Calculator!$A$2:$Q$80,9,FALSE),"")</x:f>
      </x:c>
      <x:c r="P37" s="30" t="str">
        <x:f>IFERROR("#"&amp;VLOOKUP(N37,Legend_Config!$A$2:$C$7,3,FALSE),"")</x:f>
        <x:v>#F2F2F2</x:v>
      </x:c>
      <x:c r="Q37" s="30" t="str">
        <x:f>IFERROR(VLOOKUP($A37&amp;"|Propaganda ecosystems",Score_Calculator!$A$2:$Q$80,15,FALSE),"")</x:f>
      </x:c>
      <x:c r="R37" s="30" t="str">
        <x:f>IFERROR(VLOOKUP($A37&amp;"|Election interference",Score_Calculator!$A$2:$Q$80,7,FALSE),"")</x:f>
      </x:c>
      <x:c r="S37" s="30" t="str">
        <x:f>IFERROR(VLOOKUP($A37&amp;"|Election interference",Score_Calculator!$A$2:$Q$80,9,FALSE),"")</x:f>
      </x:c>
      <x:c r="T37" s="30" t="str">
        <x:f>IFERROR("#"&amp;VLOOKUP(R37,Legend_Config!$A$2:$C$7,3,FALSE),"")</x:f>
        <x:v>#F2F2F2</x:v>
      </x:c>
      <x:c r="U37" s="30" t="str">
        <x:f>IFERROR(VLOOKUP($A37&amp;"|Election interference",Score_Calculator!$A$2:$Q$80,15,FALSE),"")</x:f>
      </x:c>
      <x:c r="V37" s="30" t="n">
        <x:f>IFERROR(ROUND(AVERAGE(F37,J37,N37,R37),0),"")</x:f>
        <x:v>0</x:v>
      </x:c>
      <x:c r="W37" s="30" t="str">
        <x:f>IFERROR("#"&amp;VLOOKUP(V37,Legend_Config!$A$2:$C$7,3,FALSE),"")</x:f>
        <x:v>#F2F2F2</x:v>
      </x:c>
      <x:c r="X37" s="30" t="str">
        <x:f>IF(COUNTA(G37,K37,O37,S37)=0,"No data",IF(COUNTIF(G37:S37,"Needs review")&gt;0,"Needs review",IF(COUNTIF(G37:S37,"Low")&gt;0,"Low",IF(COUNTIF(G37:S37,"Medium")&gt;0,"Medium","High"))))</x:f>
        <x:v>High</x:v>
      </x:c>
      <x:c r="Y37" s="30" t="str">
        <x:f>IF(X37="No data","No evidence",IF(OR(X37="High",X37="Medium"),"Ready / publishable","Show with caution"))</x:f>
        <x:v>Ready / publishable</x:v>
      </x:c>
      <x:c r="Z37" s="30" t="n">
        <x:f>IFERROR(MAX(FILTER(Score_Calculator!$P$2:$P$80,Score_Calculator!$B$2:$B$80=$A37)),"")</x:f>
        <x:v>0</x:v>
      </x:c>
      <x:c r="AA37" s="30" t="str">
        <x:f>IF(OR(D37="",E37=""),"","{""type"":""Point"",""coordinates"":["&amp;TEXT(E37,"0.0000")&amp;","&amp;TEXT(D37,"0.0000")&amp;"]}")</x:f>
      </x:c>
      <x:c r="AB37" s="30" t="str">
        <x:f>IF(A37="","","{""country"":"""&amp;A37&amp;""",""iso3"":"""&amp;B37&amp;""",""region"":"""&amp;C37&amp;""",""russian_influence_score"":"&amp;IF(ISNUMBER(F37),F37,"null")&amp;", ""russian_confidence"":"""&amp;G37&amp;""",""pmc_presence_score"":"&amp;IF(ISNUMBER(J37),J37,"null")&amp;", ""pmc_confidence"":"""&amp;K37&amp;""",""propaganda_ecosystems_score"":"&amp;IF(ISNUMBER(N37),N37,"null")&amp;", ""propaganda_confidence"":"""&amp;O37&amp;""",""election_interference_score"":"&amp;IF(ISNUMBER(R37),R37,"null")&amp;", ""election_confidence"":"""&amp;S37&amp;""",""composite_score"":"&amp;IF(ISNUMBER(V37),V37,"null")&amp;", ""colour"":""#"&amp;IFERROR(VLOOKUP(V37,Legend_Config!$A$2:$C$7,3,FALSE),"")&amp;""",""confidence"":"""&amp;X37&amp;""",""layer_status"":"""&amp;Y37&amp;"""}")</x:f>
      </x:c>
      <x:c r="AC37" s="30" t="str">
        <x:f>IFERROR(VLOOKUP(A37,Country_Config!$A$2:$G$100,7,FALSE),"")</x:f>
      </x:c>
    </x:row>
    <x:row r="38">
      <x:c r="A38" s="30"/>
      <x:c r="B38" s="30"/>
      <x:c r="C38" s="30"/>
      <x:c r="D38" s="30"/>
      <x:c r="E38" s="30"/>
      <x:c r="F38" s="30" t="str">
        <x:f>IFERROR(VLOOKUP($A38&amp;"|Russian influence",Score_Calculator!$A$2:$Q$80,7,FALSE),"")</x:f>
      </x:c>
      <x:c r="G38" s="30" t="str">
        <x:f>IFERROR(VLOOKUP($A38&amp;"|Russian influence",Score_Calculator!$A$2:$Q$80,9,FALSE),"")</x:f>
      </x:c>
      <x:c r="H38" s="30" t="str">
        <x:f>IFERROR("#"&amp;VLOOKUP(F38,Legend_Config!$A$2:$C$7,3,FALSE),"")</x:f>
        <x:v>#F2F2F2</x:v>
      </x:c>
      <x:c r="I38" s="30" t="str">
        <x:f>IFERROR(VLOOKUP($A38&amp;"|Russian influence",Score_Calculator!$A$2:$Q$80,15,FALSE),"")</x:f>
      </x:c>
      <x:c r="J38" s="30" t="str">
        <x:f>IFERROR(VLOOKUP($A38&amp;"|PMC presence",Score_Calculator!$A$2:$Q$80,7,FALSE),"")</x:f>
      </x:c>
      <x:c r="K38" s="30" t="str">
        <x:f>IFERROR(VLOOKUP($A38&amp;"|PMC presence",Score_Calculator!$A$2:$Q$80,9,FALSE),"")</x:f>
      </x:c>
      <x:c r="L38" s="30" t="str">
        <x:f>IFERROR("#"&amp;VLOOKUP(J38,Legend_Config!$A$2:$C$7,3,FALSE),"")</x:f>
        <x:v>#F2F2F2</x:v>
      </x:c>
      <x:c r="M38" s="30" t="str">
        <x:f>IFERROR(VLOOKUP($A38&amp;"|PMC presence",Score_Calculator!$A$2:$Q$80,15,FALSE),"")</x:f>
      </x:c>
      <x:c r="N38" s="30" t="str">
        <x:f>IFERROR(VLOOKUP($A38&amp;"|Propaganda ecosystems",Score_Calculator!$A$2:$Q$80,7,FALSE),"")</x:f>
      </x:c>
      <x:c r="O38" s="30" t="str">
        <x:f>IFERROR(VLOOKUP($A38&amp;"|Propaganda ecosystems",Score_Calculator!$A$2:$Q$80,9,FALSE),"")</x:f>
      </x:c>
      <x:c r="P38" s="30" t="str">
        <x:f>IFERROR("#"&amp;VLOOKUP(N38,Legend_Config!$A$2:$C$7,3,FALSE),"")</x:f>
        <x:v>#F2F2F2</x:v>
      </x:c>
      <x:c r="Q38" s="30" t="str">
        <x:f>IFERROR(VLOOKUP($A38&amp;"|Propaganda ecosystems",Score_Calculator!$A$2:$Q$80,15,FALSE),"")</x:f>
      </x:c>
      <x:c r="R38" s="30" t="str">
        <x:f>IFERROR(VLOOKUP($A38&amp;"|Election interference",Score_Calculator!$A$2:$Q$80,7,FALSE),"")</x:f>
      </x:c>
      <x:c r="S38" s="30" t="str">
        <x:f>IFERROR(VLOOKUP($A38&amp;"|Election interference",Score_Calculator!$A$2:$Q$80,9,FALSE),"")</x:f>
      </x:c>
      <x:c r="T38" s="30" t="str">
        <x:f>IFERROR("#"&amp;VLOOKUP(R38,Legend_Config!$A$2:$C$7,3,FALSE),"")</x:f>
        <x:v>#F2F2F2</x:v>
      </x:c>
      <x:c r="U38" s="30" t="str">
        <x:f>IFERROR(VLOOKUP($A38&amp;"|Election interference",Score_Calculator!$A$2:$Q$80,15,FALSE),"")</x:f>
      </x:c>
      <x:c r="V38" s="30" t="n">
        <x:f>IFERROR(ROUND(AVERAGE(F38,J38,N38,R38),0),"")</x:f>
        <x:v>0</x:v>
      </x:c>
      <x:c r="W38" s="30" t="str">
        <x:f>IFERROR("#"&amp;VLOOKUP(V38,Legend_Config!$A$2:$C$7,3,FALSE),"")</x:f>
        <x:v>#F2F2F2</x:v>
      </x:c>
      <x:c r="X38" s="30" t="str">
        <x:f>IF(COUNTA(G38,K38,O38,S38)=0,"No data",IF(COUNTIF(G38:S38,"Needs review")&gt;0,"Needs review",IF(COUNTIF(G38:S38,"Low")&gt;0,"Low",IF(COUNTIF(G38:S38,"Medium")&gt;0,"Medium","High"))))</x:f>
        <x:v>High</x:v>
      </x:c>
      <x:c r="Y38" s="30" t="str">
        <x:f>IF(X38="No data","No evidence",IF(OR(X38="High",X38="Medium"),"Ready / publishable","Show with caution"))</x:f>
        <x:v>Ready / publishable</x:v>
      </x:c>
      <x:c r="Z38" s="30" t="n">
        <x:f>IFERROR(MAX(FILTER(Score_Calculator!$P$2:$P$80,Score_Calculator!$B$2:$B$80=$A38)),"")</x:f>
        <x:v>0</x:v>
      </x:c>
      <x:c r="AA38" s="30" t="str">
        <x:f>IF(OR(D38="",E38=""),"","{""type"":""Point"",""coordinates"":["&amp;TEXT(E38,"0.0000")&amp;","&amp;TEXT(D38,"0.0000")&amp;"]}")</x:f>
      </x:c>
      <x:c r="AB38" s="30" t="str">
        <x:f>IF(A38="","","{""country"":"""&amp;A38&amp;""",""iso3"":"""&amp;B38&amp;""",""region"":"""&amp;C38&amp;""",""russian_influence_score"":"&amp;IF(ISNUMBER(F38),F38,"null")&amp;", ""russian_confidence"":"""&amp;G38&amp;""",""pmc_presence_score"":"&amp;IF(ISNUMBER(J38),J38,"null")&amp;", ""pmc_confidence"":"""&amp;K38&amp;""",""propaganda_ecosystems_score"":"&amp;IF(ISNUMBER(N38),N38,"null")&amp;", ""propaganda_confidence"":"""&amp;O38&amp;""",""election_interference_score"":"&amp;IF(ISNUMBER(R38),R38,"null")&amp;", ""election_confidence"":"""&amp;S38&amp;""",""composite_score"":"&amp;IF(ISNUMBER(V38),V38,"null")&amp;", ""colour"":""#"&amp;IFERROR(VLOOKUP(V38,Legend_Config!$A$2:$C$7,3,FALSE),"")&amp;""",""confidence"":"""&amp;X38&amp;""",""layer_status"":"""&amp;Y38&amp;"""}")</x:f>
      </x:c>
      <x:c r="AC38" s="30" t="str">
        <x:f>IFERROR(VLOOKUP(A38,Country_Config!$A$2:$G$100,7,FALSE),"")</x:f>
      </x:c>
    </x:row>
    <x:row r="39">
      <x:c r="A39" s="30"/>
      <x:c r="B39" s="30"/>
      <x:c r="C39" s="30"/>
      <x:c r="D39" s="30"/>
      <x:c r="E39" s="30"/>
      <x:c r="F39" s="30" t="str">
        <x:f>IFERROR(VLOOKUP($A39&amp;"|Russian influence",Score_Calculator!$A$2:$Q$80,7,FALSE),"")</x:f>
      </x:c>
      <x:c r="G39" s="30" t="str">
        <x:f>IFERROR(VLOOKUP($A39&amp;"|Russian influence",Score_Calculator!$A$2:$Q$80,9,FALSE),"")</x:f>
      </x:c>
      <x:c r="H39" s="30" t="str">
        <x:f>IFERROR("#"&amp;VLOOKUP(F39,Legend_Config!$A$2:$C$7,3,FALSE),"")</x:f>
        <x:v>#F2F2F2</x:v>
      </x:c>
      <x:c r="I39" s="30" t="str">
        <x:f>IFERROR(VLOOKUP($A39&amp;"|Russian influence",Score_Calculator!$A$2:$Q$80,15,FALSE),"")</x:f>
      </x:c>
      <x:c r="J39" s="30" t="str">
        <x:f>IFERROR(VLOOKUP($A39&amp;"|PMC presence",Score_Calculator!$A$2:$Q$80,7,FALSE),"")</x:f>
      </x:c>
      <x:c r="K39" s="30" t="str">
        <x:f>IFERROR(VLOOKUP($A39&amp;"|PMC presence",Score_Calculator!$A$2:$Q$80,9,FALSE),"")</x:f>
      </x:c>
      <x:c r="L39" s="30" t="str">
        <x:f>IFERROR("#"&amp;VLOOKUP(J39,Legend_Config!$A$2:$C$7,3,FALSE),"")</x:f>
        <x:v>#F2F2F2</x:v>
      </x:c>
      <x:c r="M39" s="30" t="str">
        <x:f>IFERROR(VLOOKUP($A39&amp;"|PMC presence",Score_Calculator!$A$2:$Q$80,15,FALSE),"")</x:f>
      </x:c>
      <x:c r="N39" s="30" t="str">
        <x:f>IFERROR(VLOOKUP($A39&amp;"|Propaganda ecosystems",Score_Calculator!$A$2:$Q$80,7,FALSE),"")</x:f>
      </x:c>
      <x:c r="O39" s="30" t="str">
        <x:f>IFERROR(VLOOKUP($A39&amp;"|Propaganda ecosystems",Score_Calculator!$A$2:$Q$80,9,FALSE),"")</x:f>
      </x:c>
      <x:c r="P39" s="30" t="str">
        <x:f>IFERROR("#"&amp;VLOOKUP(N39,Legend_Config!$A$2:$C$7,3,FALSE),"")</x:f>
        <x:v>#F2F2F2</x:v>
      </x:c>
      <x:c r="Q39" s="30" t="str">
        <x:f>IFERROR(VLOOKUP($A39&amp;"|Propaganda ecosystems",Score_Calculator!$A$2:$Q$80,15,FALSE),"")</x:f>
      </x:c>
      <x:c r="R39" s="30" t="str">
        <x:f>IFERROR(VLOOKUP($A39&amp;"|Election interference",Score_Calculator!$A$2:$Q$80,7,FALSE),"")</x:f>
      </x:c>
      <x:c r="S39" s="30" t="str">
        <x:f>IFERROR(VLOOKUP($A39&amp;"|Election interference",Score_Calculator!$A$2:$Q$80,9,FALSE),"")</x:f>
      </x:c>
      <x:c r="T39" s="30" t="str">
        <x:f>IFERROR("#"&amp;VLOOKUP(R39,Legend_Config!$A$2:$C$7,3,FALSE),"")</x:f>
        <x:v>#F2F2F2</x:v>
      </x:c>
      <x:c r="U39" s="30" t="str">
        <x:f>IFERROR(VLOOKUP($A39&amp;"|Election interference",Score_Calculator!$A$2:$Q$80,15,FALSE),"")</x:f>
      </x:c>
      <x:c r="V39" s="30" t="n">
        <x:f>IFERROR(ROUND(AVERAGE(F39,J39,N39,R39),0),"")</x:f>
        <x:v>0</x:v>
      </x:c>
      <x:c r="W39" s="30" t="str">
        <x:f>IFERROR("#"&amp;VLOOKUP(V39,Legend_Config!$A$2:$C$7,3,FALSE),"")</x:f>
        <x:v>#F2F2F2</x:v>
      </x:c>
      <x:c r="X39" s="30" t="str">
        <x:f>IF(COUNTA(G39,K39,O39,S39)=0,"No data",IF(COUNTIF(G39:S39,"Needs review")&gt;0,"Needs review",IF(COUNTIF(G39:S39,"Low")&gt;0,"Low",IF(COUNTIF(G39:S39,"Medium")&gt;0,"Medium","High"))))</x:f>
        <x:v>High</x:v>
      </x:c>
      <x:c r="Y39" s="30" t="str">
        <x:f>IF(X39="No data","No evidence",IF(OR(X39="High",X39="Medium"),"Ready / publishable","Show with caution"))</x:f>
        <x:v>Ready / publishable</x:v>
      </x:c>
      <x:c r="Z39" s="30" t="n">
        <x:f>IFERROR(MAX(FILTER(Score_Calculator!$P$2:$P$80,Score_Calculator!$B$2:$B$80=$A39)),"")</x:f>
        <x:v>0</x:v>
      </x:c>
      <x:c r="AA39" s="30" t="str">
        <x:f>IF(OR(D39="",E39=""),"","{""type"":""Point"",""coordinates"":["&amp;TEXT(E39,"0.0000")&amp;","&amp;TEXT(D39,"0.0000")&amp;"]}")</x:f>
      </x:c>
      <x:c r="AB39" s="30" t="str">
        <x:f>IF(A39="","","{""country"":"""&amp;A39&amp;""",""iso3"":"""&amp;B39&amp;""",""region"":"""&amp;C39&amp;""",""russian_influence_score"":"&amp;IF(ISNUMBER(F39),F39,"null")&amp;", ""russian_confidence"":"""&amp;G39&amp;""",""pmc_presence_score"":"&amp;IF(ISNUMBER(J39),J39,"null")&amp;", ""pmc_confidence"":"""&amp;K39&amp;""",""propaganda_ecosystems_score"":"&amp;IF(ISNUMBER(N39),N39,"null")&amp;", ""propaganda_confidence"":"""&amp;O39&amp;""",""election_interference_score"":"&amp;IF(ISNUMBER(R39),R39,"null")&amp;", ""election_confidence"":"""&amp;S39&amp;""",""composite_score"":"&amp;IF(ISNUMBER(V39),V39,"null")&amp;", ""colour"":""#"&amp;IFERROR(VLOOKUP(V39,Legend_Config!$A$2:$C$7,3,FALSE),"")&amp;""",""confidence"":"""&amp;X39&amp;""",""layer_status"":"""&amp;Y39&amp;"""}")</x:f>
      </x:c>
      <x:c r="AC39" s="30" t="str">
        <x:f>IFERROR(VLOOKUP(A39,Country_Config!$A$2:$G$100,7,FALSE),"")</x:f>
      </x:c>
    </x:row>
    <x:row r="40">
      <x:c r="A40" s="30"/>
      <x:c r="B40" s="30"/>
      <x:c r="C40" s="30"/>
      <x:c r="D40" s="30"/>
      <x:c r="E40" s="30"/>
      <x:c r="F40" s="30" t="str">
        <x:f>IFERROR(VLOOKUP($A40&amp;"|Russian influence",Score_Calculator!$A$2:$Q$80,7,FALSE),"")</x:f>
      </x:c>
      <x:c r="G40" s="30" t="str">
        <x:f>IFERROR(VLOOKUP($A40&amp;"|Russian influence",Score_Calculator!$A$2:$Q$80,9,FALSE),"")</x:f>
      </x:c>
      <x:c r="H40" s="30" t="str">
        <x:f>IFERROR("#"&amp;VLOOKUP(F40,Legend_Config!$A$2:$C$7,3,FALSE),"")</x:f>
        <x:v>#F2F2F2</x:v>
      </x:c>
      <x:c r="I40" s="30" t="str">
        <x:f>IFERROR(VLOOKUP($A40&amp;"|Russian influence",Score_Calculator!$A$2:$Q$80,15,FALSE),"")</x:f>
      </x:c>
      <x:c r="J40" s="30" t="str">
        <x:f>IFERROR(VLOOKUP($A40&amp;"|PMC presence",Score_Calculator!$A$2:$Q$80,7,FALSE),"")</x:f>
      </x:c>
      <x:c r="K40" s="30" t="str">
        <x:f>IFERROR(VLOOKUP($A40&amp;"|PMC presence",Score_Calculator!$A$2:$Q$80,9,FALSE),"")</x:f>
      </x:c>
      <x:c r="L40" s="30" t="str">
        <x:f>IFERROR("#"&amp;VLOOKUP(J40,Legend_Config!$A$2:$C$7,3,FALSE),"")</x:f>
        <x:v>#F2F2F2</x:v>
      </x:c>
      <x:c r="M40" s="30" t="str">
        <x:f>IFERROR(VLOOKUP($A40&amp;"|PMC presence",Score_Calculator!$A$2:$Q$80,15,FALSE),"")</x:f>
      </x:c>
      <x:c r="N40" s="30" t="str">
        <x:f>IFERROR(VLOOKUP($A40&amp;"|Propaganda ecosystems",Score_Calculator!$A$2:$Q$80,7,FALSE),"")</x:f>
      </x:c>
      <x:c r="O40" s="30" t="str">
        <x:f>IFERROR(VLOOKUP($A40&amp;"|Propaganda ecosystems",Score_Calculator!$A$2:$Q$80,9,FALSE),"")</x:f>
      </x:c>
      <x:c r="P40" s="30" t="str">
        <x:f>IFERROR("#"&amp;VLOOKUP(N40,Legend_Config!$A$2:$C$7,3,FALSE),"")</x:f>
        <x:v>#F2F2F2</x:v>
      </x:c>
      <x:c r="Q40" s="30" t="str">
        <x:f>IFERROR(VLOOKUP($A40&amp;"|Propaganda ecosystems",Score_Calculator!$A$2:$Q$80,15,FALSE),"")</x:f>
      </x:c>
      <x:c r="R40" s="30" t="str">
        <x:f>IFERROR(VLOOKUP($A40&amp;"|Election interference",Score_Calculator!$A$2:$Q$80,7,FALSE),"")</x:f>
      </x:c>
      <x:c r="S40" s="30" t="str">
        <x:f>IFERROR(VLOOKUP($A40&amp;"|Election interference",Score_Calculator!$A$2:$Q$80,9,FALSE),"")</x:f>
      </x:c>
      <x:c r="T40" s="30" t="str">
        <x:f>IFERROR("#"&amp;VLOOKUP(R40,Legend_Config!$A$2:$C$7,3,FALSE),"")</x:f>
        <x:v>#F2F2F2</x:v>
      </x:c>
      <x:c r="U40" s="30" t="str">
        <x:f>IFERROR(VLOOKUP($A40&amp;"|Election interference",Score_Calculator!$A$2:$Q$80,15,FALSE),"")</x:f>
      </x:c>
      <x:c r="V40" s="30" t="n">
        <x:f>IFERROR(ROUND(AVERAGE(F40,J40,N40,R40),0),"")</x:f>
        <x:v>0</x:v>
      </x:c>
      <x:c r="W40" s="30" t="str">
        <x:f>IFERROR("#"&amp;VLOOKUP(V40,Legend_Config!$A$2:$C$7,3,FALSE),"")</x:f>
        <x:v>#F2F2F2</x:v>
      </x:c>
      <x:c r="X40" s="30" t="str">
        <x:f>IF(COUNTA(G40,K40,O40,S40)=0,"No data",IF(COUNTIF(G40:S40,"Needs review")&gt;0,"Needs review",IF(COUNTIF(G40:S40,"Low")&gt;0,"Low",IF(COUNTIF(G40:S40,"Medium")&gt;0,"Medium","High"))))</x:f>
        <x:v>High</x:v>
      </x:c>
      <x:c r="Y40" s="30" t="str">
        <x:f>IF(X40="No data","No evidence",IF(OR(X40="High",X40="Medium"),"Ready / publishable","Show with caution"))</x:f>
        <x:v>Ready / publishable</x:v>
      </x:c>
      <x:c r="Z40" s="30" t="n">
        <x:f>IFERROR(MAX(FILTER(Score_Calculator!$P$2:$P$80,Score_Calculator!$B$2:$B$80=$A40)),"")</x:f>
        <x:v>0</x:v>
      </x:c>
      <x:c r="AA40" s="30" t="str">
        <x:f>IF(OR(D40="",E40=""),"","{""type"":""Point"",""coordinates"":["&amp;TEXT(E40,"0.0000")&amp;","&amp;TEXT(D40,"0.0000")&amp;"]}")</x:f>
      </x:c>
      <x:c r="AB40" s="30" t="str">
        <x:f>IF(A40="","","{""country"":"""&amp;A40&amp;""",""iso3"":"""&amp;B40&amp;""",""region"":"""&amp;C40&amp;""",""russian_influence_score"":"&amp;IF(ISNUMBER(F40),F40,"null")&amp;", ""russian_confidence"":"""&amp;G40&amp;""",""pmc_presence_score"":"&amp;IF(ISNUMBER(J40),J40,"null")&amp;", ""pmc_confidence"":"""&amp;K40&amp;""",""propaganda_ecosystems_score"":"&amp;IF(ISNUMBER(N40),N40,"null")&amp;", ""propaganda_confidence"":"""&amp;O40&amp;""",""election_interference_score"":"&amp;IF(ISNUMBER(R40),R40,"null")&amp;", ""election_confidence"":"""&amp;S40&amp;""",""composite_score"":"&amp;IF(ISNUMBER(V40),V40,"null")&amp;", ""colour"":""#"&amp;IFERROR(VLOOKUP(V40,Legend_Config!$A$2:$C$7,3,FALSE),"")&amp;""",""confidence"":"""&amp;X40&amp;""",""layer_status"":"""&amp;Y40&amp;"""}")</x:f>
      </x:c>
      <x:c r="AC40" s="30" t="str">
        <x:f>IFERROR(VLOOKUP(A40,Country_Config!$A$2:$G$100,7,FALSE),"")</x:f>
      </x:c>
    </x:row>
    <x:row r="41">
      <x:c r="A41" s="30"/>
      <x:c r="B41" s="30"/>
      <x:c r="C41" s="30"/>
      <x:c r="D41" s="30"/>
      <x:c r="E41" s="30"/>
      <x:c r="F41" s="30" t="str">
        <x:f>IFERROR(VLOOKUP($A41&amp;"|Russian influence",Score_Calculator!$A$2:$Q$80,7,FALSE),"")</x:f>
      </x:c>
      <x:c r="G41" s="30" t="str">
        <x:f>IFERROR(VLOOKUP($A41&amp;"|Russian influence",Score_Calculator!$A$2:$Q$80,9,FALSE),"")</x:f>
      </x:c>
      <x:c r="H41" s="30" t="str">
        <x:f>IFERROR("#"&amp;VLOOKUP(F41,Legend_Config!$A$2:$C$7,3,FALSE),"")</x:f>
        <x:v>#F2F2F2</x:v>
      </x:c>
      <x:c r="I41" s="30" t="str">
        <x:f>IFERROR(VLOOKUP($A41&amp;"|Russian influence",Score_Calculator!$A$2:$Q$80,15,FALSE),"")</x:f>
      </x:c>
      <x:c r="J41" s="30" t="str">
        <x:f>IFERROR(VLOOKUP($A41&amp;"|PMC presence",Score_Calculator!$A$2:$Q$80,7,FALSE),"")</x:f>
      </x:c>
      <x:c r="K41" s="30" t="str">
        <x:f>IFERROR(VLOOKUP($A41&amp;"|PMC presence",Score_Calculator!$A$2:$Q$80,9,FALSE),"")</x:f>
      </x:c>
      <x:c r="L41" s="30" t="str">
        <x:f>IFERROR("#"&amp;VLOOKUP(J41,Legend_Config!$A$2:$C$7,3,FALSE),"")</x:f>
        <x:v>#F2F2F2</x:v>
      </x:c>
      <x:c r="M41" s="30" t="str">
        <x:f>IFERROR(VLOOKUP($A41&amp;"|PMC presence",Score_Calculator!$A$2:$Q$80,15,FALSE),"")</x:f>
      </x:c>
      <x:c r="N41" s="30" t="str">
        <x:f>IFERROR(VLOOKUP($A41&amp;"|Propaganda ecosystems",Score_Calculator!$A$2:$Q$80,7,FALSE),"")</x:f>
      </x:c>
      <x:c r="O41" s="30" t="str">
        <x:f>IFERROR(VLOOKUP($A41&amp;"|Propaganda ecosystems",Score_Calculator!$A$2:$Q$80,9,FALSE),"")</x:f>
      </x:c>
      <x:c r="P41" s="30" t="str">
        <x:f>IFERROR("#"&amp;VLOOKUP(N41,Legend_Config!$A$2:$C$7,3,FALSE),"")</x:f>
        <x:v>#F2F2F2</x:v>
      </x:c>
      <x:c r="Q41" s="30" t="str">
        <x:f>IFERROR(VLOOKUP($A41&amp;"|Propaganda ecosystems",Score_Calculator!$A$2:$Q$80,15,FALSE),"")</x:f>
      </x:c>
      <x:c r="R41" s="30" t="str">
        <x:f>IFERROR(VLOOKUP($A41&amp;"|Election interference",Score_Calculator!$A$2:$Q$80,7,FALSE),"")</x:f>
      </x:c>
      <x:c r="S41" s="30" t="str">
        <x:f>IFERROR(VLOOKUP($A41&amp;"|Election interference",Score_Calculator!$A$2:$Q$80,9,FALSE),"")</x:f>
      </x:c>
      <x:c r="T41" s="30" t="str">
        <x:f>IFERROR("#"&amp;VLOOKUP(R41,Legend_Config!$A$2:$C$7,3,FALSE),"")</x:f>
        <x:v>#F2F2F2</x:v>
      </x:c>
      <x:c r="U41" s="30" t="str">
        <x:f>IFERROR(VLOOKUP($A41&amp;"|Election interference",Score_Calculator!$A$2:$Q$80,15,FALSE),"")</x:f>
      </x:c>
      <x:c r="V41" s="30" t="n">
        <x:f>IFERROR(ROUND(AVERAGE(F41,J41,N41,R41),0),"")</x:f>
        <x:v>0</x:v>
      </x:c>
      <x:c r="W41" s="30" t="str">
        <x:f>IFERROR("#"&amp;VLOOKUP(V41,Legend_Config!$A$2:$C$7,3,FALSE),"")</x:f>
        <x:v>#F2F2F2</x:v>
      </x:c>
      <x:c r="X41" s="30" t="str">
        <x:f>IF(COUNTA(G41,K41,O41,S41)=0,"No data",IF(COUNTIF(G41:S41,"Needs review")&gt;0,"Needs review",IF(COUNTIF(G41:S41,"Low")&gt;0,"Low",IF(COUNTIF(G41:S41,"Medium")&gt;0,"Medium","High"))))</x:f>
        <x:v>High</x:v>
      </x:c>
      <x:c r="Y41" s="30" t="str">
        <x:f>IF(X41="No data","No evidence",IF(OR(X41="High",X41="Medium"),"Ready / publishable","Show with caution"))</x:f>
        <x:v>Ready / publishable</x:v>
      </x:c>
      <x:c r="Z41" s="30" t="n">
        <x:f>IFERROR(MAX(FILTER(Score_Calculator!$P$2:$P$80,Score_Calculator!$B$2:$B$80=$A41)),"")</x:f>
        <x:v>0</x:v>
      </x:c>
      <x:c r="AA41" s="30" t="str">
        <x:f>IF(OR(D41="",E41=""),"","{""type"":""Point"",""coordinates"":["&amp;TEXT(E41,"0.0000")&amp;","&amp;TEXT(D41,"0.0000")&amp;"]}")</x:f>
      </x:c>
      <x:c r="AB41" s="30" t="str">
        <x:f>IF(A41="","","{""country"":"""&amp;A41&amp;""",""iso3"":"""&amp;B41&amp;""",""region"":"""&amp;C41&amp;""",""russian_influence_score"":"&amp;IF(ISNUMBER(F41),F41,"null")&amp;", ""russian_confidence"":"""&amp;G41&amp;""",""pmc_presence_score"":"&amp;IF(ISNUMBER(J41),J41,"null")&amp;", ""pmc_confidence"":"""&amp;K41&amp;""",""propaganda_ecosystems_score"":"&amp;IF(ISNUMBER(N41),N41,"null")&amp;", ""propaganda_confidence"":"""&amp;O41&amp;""",""election_interference_score"":"&amp;IF(ISNUMBER(R41),R41,"null")&amp;", ""election_confidence"":"""&amp;S41&amp;""",""composite_score"":"&amp;IF(ISNUMBER(V41),V41,"null")&amp;", ""colour"":""#"&amp;IFERROR(VLOOKUP(V41,Legend_Config!$A$2:$C$7,3,FALSE),"")&amp;""",""confidence"":"""&amp;X41&amp;""",""layer_status"":"""&amp;Y41&amp;"""}")</x:f>
      </x:c>
      <x:c r="AC41" s="30" t="str">
        <x:f>IFERROR(VLOOKUP(A41,Country_Config!$A$2:$G$100,7,FALSE),"")</x:f>
      </x:c>
    </x:row>
    <x:row r="42">
      <x:c r="A42" s="30"/>
      <x:c r="B42" s="30"/>
      <x:c r="C42" s="30"/>
      <x:c r="D42" s="30"/>
      <x:c r="E42" s="30"/>
      <x:c r="F42" s="30" t="str">
        <x:f>IFERROR(VLOOKUP($A42&amp;"|Russian influence",Score_Calculator!$A$2:$Q$80,7,FALSE),"")</x:f>
      </x:c>
      <x:c r="G42" s="30" t="str">
        <x:f>IFERROR(VLOOKUP($A42&amp;"|Russian influence",Score_Calculator!$A$2:$Q$80,9,FALSE),"")</x:f>
      </x:c>
      <x:c r="H42" s="30" t="str">
        <x:f>IFERROR("#"&amp;VLOOKUP(F42,Legend_Config!$A$2:$C$7,3,FALSE),"")</x:f>
        <x:v>#F2F2F2</x:v>
      </x:c>
      <x:c r="I42" s="30" t="str">
        <x:f>IFERROR(VLOOKUP($A42&amp;"|Russian influence",Score_Calculator!$A$2:$Q$80,15,FALSE),"")</x:f>
      </x:c>
      <x:c r="J42" s="30" t="str">
        <x:f>IFERROR(VLOOKUP($A42&amp;"|PMC presence",Score_Calculator!$A$2:$Q$80,7,FALSE),"")</x:f>
      </x:c>
      <x:c r="K42" s="30" t="str">
        <x:f>IFERROR(VLOOKUP($A42&amp;"|PMC presence",Score_Calculator!$A$2:$Q$80,9,FALSE),"")</x:f>
      </x:c>
      <x:c r="L42" s="30" t="str">
        <x:f>IFERROR("#"&amp;VLOOKUP(J42,Legend_Config!$A$2:$C$7,3,FALSE),"")</x:f>
        <x:v>#F2F2F2</x:v>
      </x:c>
      <x:c r="M42" s="30" t="str">
        <x:f>IFERROR(VLOOKUP($A42&amp;"|PMC presence",Score_Calculator!$A$2:$Q$80,15,FALSE),"")</x:f>
      </x:c>
      <x:c r="N42" s="30" t="str">
        <x:f>IFERROR(VLOOKUP($A42&amp;"|Propaganda ecosystems",Score_Calculator!$A$2:$Q$80,7,FALSE),"")</x:f>
      </x:c>
      <x:c r="O42" s="30" t="str">
        <x:f>IFERROR(VLOOKUP($A42&amp;"|Propaganda ecosystems",Score_Calculator!$A$2:$Q$80,9,FALSE),"")</x:f>
      </x:c>
      <x:c r="P42" s="30" t="str">
        <x:f>IFERROR("#"&amp;VLOOKUP(N42,Legend_Config!$A$2:$C$7,3,FALSE),"")</x:f>
        <x:v>#F2F2F2</x:v>
      </x:c>
      <x:c r="Q42" s="30" t="str">
        <x:f>IFERROR(VLOOKUP($A42&amp;"|Propaganda ecosystems",Score_Calculator!$A$2:$Q$80,15,FALSE),"")</x:f>
      </x:c>
      <x:c r="R42" s="30" t="str">
        <x:f>IFERROR(VLOOKUP($A42&amp;"|Election interference",Score_Calculator!$A$2:$Q$80,7,FALSE),"")</x:f>
      </x:c>
      <x:c r="S42" s="30" t="str">
        <x:f>IFERROR(VLOOKUP($A42&amp;"|Election interference",Score_Calculator!$A$2:$Q$80,9,FALSE),"")</x:f>
      </x:c>
      <x:c r="T42" s="30" t="str">
        <x:f>IFERROR("#"&amp;VLOOKUP(R42,Legend_Config!$A$2:$C$7,3,FALSE),"")</x:f>
        <x:v>#F2F2F2</x:v>
      </x:c>
      <x:c r="U42" s="30" t="str">
        <x:f>IFERROR(VLOOKUP($A42&amp;"|Election interference",Score_Calculator!$A$2:$Q$80,15,FALSE),"")</x:f>
      </x:c>
      <x:c r="V42" s="30" t="n">
        <x:f>IFERROR(ROUND(AVERAGE(F42,J42,N42,R42),0),"")</x:f>
        <x:v>0</x:v>
      </x:c>
      <x:c r="W42" s="30" t="str">
        <x:f>IFERROR("#"&amp;VLOOKUP(V42,Legend_Config!$A$2:$C$7,3,FALSE),"")</x:f>
        <x:v>#F2F2F2</x:v>
      </x:c>
      <x:c r="X42" s="30" t="str">
        <x:f>IF(COUNTA(G42,K42,O42,S42)=0,"No data",IF(COUNTIF(G42:S42,"Needs review")&gt;0,"Needs review",IF(COUNTIF(G42:S42,"Low")&gt;0,"Low",IF(COUNTIF(G42:S42,"Medium")&gt;0,"Medium","High"))))</x:f>
        <x:v>High</x:v>
      </x:c>
      <x:c r="Y42" s="30" t="str">
        <x:f>IF(X42="No data","No evidence",IF(OR(X42="High",X42="Medium"),"Ready / publishable","Show with caution"))</x:f>
        <x:v>Ready / publishable</x:v>
      </x:c>
      <x:c r="Z42" s="30" t="n">
        <x:f>IFERROR(MAX(FILTER(Score_Calculator!$P$2:$P$80,Score_Calculator!$B$2:$B$80=$A42)),"")</x:f>
        <x:v>0</x:v>
      </x:c>
      <x:c r="AA42" s="30" t="str">
        <x:f>IF(OR(D42="",E42=""),"","{""type"":""Point"",""coordinates"":["&amp;TEXT(E42,"0.0000")&amp;","&amp;TEXT(D42,"0.0000")&amp;"]}")</x:f>
      </x:c>
      <x:c r="AB42" s="30" t="str">
        <x:f>IF(A42="","","{""country"":"""&amp;A42&amp;""",""iso3"":"""&amp;B42&amp;""",""region"":"""&amp;C42&amp;""",""russian_influence_score"":"&amp;IF(ISNUMBER(F42),F42,"null")&amp;", ""russian_confidence"":"""&amp;G42&amp;""",""pmc_presence_score"":"&amp;IF(ISNUMBER(J42),J42,"null")&amp;", ""pmc_confidence"":"""&amp;K42&amp;""",""propaganda_ecosystems_score"":"&amp;IF(ISNUMBER(N42),N42,"null")&amp;", ""propaganda_confidence"":"""&amp;O42&amp;""",""election_interference_score"":"&amp;IF(ISNUMBER(R42),R42,"null")&amp;", ""election_confidence"":"""&amp;S42&amp;""",""composite_score"":"&amp;IF(ISNUMBER(V42),V42,"null")&amp;", ""colour"":""#"&amp;IFERROR(VLOOKUP(V42,Legend_Config!$A$2:$C$7,3,FALSE),"")&amp;""",""confidence"":"""&amp;X42&amp;""",""layer_status"":"""&amp;Y42&amp;"""}")</x:f>
      </x:c>
      <x:c r="AC42" s="30" t="str">
        <x:f>IFERROR(VLOOKUP(A42,Country_Config!$A$2:$G$100,7,FALSE),"")</x:f>
      </x:c>
    </x:row>
    <x:row r="43">
      <x:c r="A43" s="30"/>
      <x:c r="B43" s="30"/>
      <x:c r="C43" s="30"/>
      <x:c r="D43" s="30"/>
      <x:c r="E43" s="30"/>
      <x:c r="F43" s="30" t="str">
        <x:f>IFERROR(VLOOKUP($A43&amp;"|Russian influence",Score_Calculator!$A$2:$Q$80,7,FALSE),"")</x:f>
      </x:c>
      <x:c r="G43" s="30" t="str">
        <x:f>IFERROR(VLOOKUP($A43&amp;"|Russian influence",Score_Calculator!$A$2:$Q$80,9,FALSE),"")</x:f>
      </x:c>
      <x:c r="H43" s="30" t="str">
        <x:f>IFERROR("#"&amp;VLOOKUP(F43,Legend_Config!$A$2:$C$7,3,FALSE),"")</x:f>
        <x:v>#F2F2F2</x:v>
      </x:c>
      <x:c r="I43" s="30" t="str">
        <x:f>IFERROR(VLOOKUP($A43&amp;"|Russian influence",Score_Calculator!$A$2:$Q$80,15,FALSE),"")</x:f>
      </x:c>
      <x:c r="J43" s="30" t="str">
        <x:f>IFERROR(VLOOKUP($A43&amp;"|PMC presence",Score_Calculator!$A$2:$Q$80,7,FALSE),"")</x:f>
      </x:c>
      <x:c r="K43" s="30" t="str">
        <x:f>IFERROR(VLOOKUP($A43&amp;"|PMC presence",Score_Calculator!$A$2:$Q$80,9,FALSE),"")</x:f>
      </x:c>
      <x:c r="L43" s="30" t="str">
        <x:f>IFERROR("#"&amp;VLOOKUP(J43,Legend_Config!$A$2:$C$7,3,FALSE),"")</x:f>
        <x:v>#F2F2F2</x:v>
      </x:c>
      <x:c r="M43" s="30" t="str">
        <x:f>IFERROR(VLOOKUP($A43&amp;"|PMC presence",Score_Calculator!$A$2:$Q$80,15,FALSE),"")</x:f>
      </x:c>
      <x:c r="N43" s="30" t="str">
        <x:f>IFERROR(VLOOKUP($A43&amp;"|Propaganda ecosystems",Score_Calculator!$A$2:$Q$80,7,FALSE),"")</x:f>
      </x:c>
      <x:c r="O43" s="30" t="str">
        <x:f>IFERROR(VLOOKUP($A43&amp;"|Propaganda ecosystems",Score_Calculator!$A$2:$Q$80,9,FALSE),"")</x:f>
      </x:c>
      <x:c r="P43" s="30" t="str">
        <x:f>IFERROR("#"&amp;VLOOKUP(N43,Legend_Config!$A$2:$C$7,3,FALSE),"")</x:f>
        <x:v>#F2F2F2</x:v>
      </x:c>
      <x:c r="Q43" s="30" t="str">
        <x:f>IFERROR(VLOOKUP($A43&amp;"|Propaganda ecosystems",Score_Calculator!$A$2:$Q$80,15,FALSE),"")</x:f>
      </x:c>
      <x:c r="R43" s="30" t="str">
        <x:f>IFERROR(VLOOKUP($A43&amp;"|Election interference",Score_Calculator!$A$2:$Q$80,7,FALSE),"")</x:f>
      </x:c>
      <x:c r="S43" s="30" t="str">
        <x:f>IFERROR(VLOOKUP($A43&amp;"|Election interference",Score_Calculator!$A$2:$Q$80,9,FALSE),"")</x:f>
      </x:c>
      <x:c r="T43" s="30" t="str">
        <x:f>IFERROR("#"&amp;VLOOKUP(R43,Legend_Config!$A$2:$C$7,3,FALSE),"")</x:f>
        <x:v>#F2F2F2</x:v>
      </x:c>
      <x:c r="U43" s="30" t="str">
        <x:f>IFERROR(VLOOKUP($A43&amp;"|Election interference",Score_Calculator!$A$2:$Q$80,15,FALSE),"")</x:f>
      </x:c>
      <x:c r="V43" s="30" t="n">
        <x:f>IFERROR(ROUND(AVERAGE(F43,J43,N43,R43),0),"")</x:f>
        <x:v>0</x:v>
      </x:c>
      <x:c r="W43" s="30" t="str">
        <x:f>IFERROR("#"&amp;VLOOKUP(V43,Legend_Config!$A$2:$C$7,3,FALSE),"")</x:f>
        <x:v>#F2F2F2</x:v>
      </x:c>
      <x:c r="X43" s="30" t="str">
        <x:f>IF(COUNTA(G43,K43,O43,S43)=0,"No data",IF(COUNTIF(G43:S43,"Needs review")&gt;0,"Needs review",IF(COUNTIF(G43:S43,"Low")&gt;0,"Low",IF(COUNTIF(G43:S43,"Medium")&gt;0,"Medium","High"))))</x:f>
        <x:v>High</x:v>
      </x:c>
      <x:c r="Y43" s="30" t="str">
        <x:f>IF(X43="No data","No evidence",IF(OR(X43="High",X43="Medium"),"Ready / publishable","Show with caution"))</x:f>
        <x:v>Ready / publishable</x:v>
      </x:c>
      <x:c r="Z43" s="30" t="n">
        <x:f>IFERROR(MAX(FILTER(Score_Calculator!$P$2:$P$80,Score_Calculator!$B$2:$B$80=$A43)),"")</x:f>
        <x:v>0</x:v>
      </x:c>
      <x:c r="AA43" s="30" t="str">
        <x:f>IF(OR(D43="",E43=""),"","{""type"":""Point"",""coordinates"":["&amp;TEXT(E43,"0.0000")&amp;","&amp;TEXT(D43,"0.0000")&amp;"]}")</x:f>
      </x:c>
      <x:c r="AB43" s="30" t="str">
        <x:f>IF(A43="","","{""country"":"""&amp;A43&amp;""",""iso3"":"""&amp;B43&amp;""",""region"":"""&amp;C43&amp;""",""russian_influence_score"":"&amp;IF(ISNUMBER(F43),F43,"null")&amp;", ""russian_confidence"":"""&amp;G43&amp;""",""pmc_presence_score"":"&amp;IF(ISNUMBER(J43),J43,"null")&amp;", ""pmc_confidence"":"""&amp;K43&amp;""",""propaganda_ecosystems_score"":"&amp;IF(ISNUMBER(N43),N43,"null")&amp;", ""propaganda_confidence"":"""&amp;O43&amp;""",""election_interference_score"":"&amp;IF(ISNUMBER(R43),R43,"null")&amp;", ""election_confidence"":"""&amp;S43&amp;""",""composite_score"":"&amp;IF(ISNUMBER(V43),V43,"null")&amp;", ""colour"":""#"&amp;IFERROR(VLOOKUP(V43,Legend_Config!$A$2:$C$7,3,FALSE),"")&amp;""",""confidence"":"""&amp;X43&amp;""",""layer_status"":"""&amp;Y43&amp;"""}")</x:f>
      </x:c>
      <x:c r="AC43" s="30" t="str">
        <x:f>IFERROR(VLOOKUP(A43,Country_Config!$A$2:$G$100,7,FALSE),"")</x:f>
      </x:c>
    </x:row>
    <x:row r="44">
      <x:c r="A44" s="30"/>
      <x:c r="B44" s="30"/>
      <x:c r="C44" s="30"/>
      <x:c r="D44" s="30"/>
      <x:c r="E44" s="30"/>
      <x:c r="F44" s="30" t="str">
        <x:f>IFERROR(VLOOKUP($A44&amp;"|Russian influence",Score_Calculator!$A$2:$Q$80,7,FALSE),"")</x:f>
      </x:c>
      <x:c r="G44" s="30" t="str">
        <x:f>IFERROR(VLOOKUP($A44&amp;"|Russian influence",Score_Calculator!$A$2:$Q$80,9,FALSE),"")</x:f>
      </x:c>
      <x:c r="H44" s="30" t="str">
        <x:f>IFERROR("#"&amp;VLOOKUP(F44,Legend_Config!$A$2:$C$7,3,FALSE),"")</x:f>
        <x:v>#F2F2F2</x:v>
      </x:c>
      <x:c r="I44" s="30" t="str">
        <x:f>IFERROR(VLOOKUP($A44&amp;"|Russian influence",Score_Calculator!$A$2:$Q$80,15,FALSE),"")</x:f>
      </x:c>
      <x:c r="J44" s="30" t="str">
        <x:f>IFERROR(VLOOKUP($A44&amp;"|PMC presence",Score_Calculator!$A$2:$Q$80,7,FALSE),"")</x:f>
      </x:c>
      <x:c r="K44" s="30" t="str">
        <x:f>IFERROR(VLOOKUP($A44&amp;"|PMC presence",Score_Calculator!$A$2:$Q$80,9,FALSE),"")</x:f>
      </x:c>
      <x:c r="L44" s="30" t="str">
        <x:f>IFERROR("#"&amp;VLOOKUP(J44,Legend_Config!$A$2:$C$7,3,FALSE),"")</x:f>
        <x:v>#F2F2F2</x:v>
      </x:c>
      <x:c r="M44" s="30" t="str">
        <x:f>IFERROR(VLOOKUP($A44&amp;"|PMC presence",Score_Calculator!$A$2:$Q$80,15,FALSE),"")</x:f>
      </x:c>
      <x:c r="N44" s="30" t="str">
        <x:f>IFERROR(VLOOKUP($A44&amp;"|Propaganda ecosystems",Score_Calculator!$A$2:$Q$80,7,FALSE),"")</x:f>
      </x:c>
      <x:c r="O44" s="30" t="str">
        <x:f>IFERROR(VLOOKUP($A44&amp;"|Propaganda ecosystems",Score_Calculator!$A$2:$Q$80,9,FALSE),"")</x:f>
      </x:c>
      <x:c r="P44" s="30" t="str">
        <x:f>IFERROR("#"&amp;VLOOKUP(N44,Legend_Config!$A$2:$C$7,3,FALSE),"")</x:f>
        <x:v>#F2F2F2</x:v>
      </x:c>
      <x:c r="Q44" s="30" t="str">
        <x:f>IFERROR(VLOOKUP($A44&amp;"|Propaganda ecosystems",Score_Calculator!$A$2:$Q$80,15,FALSE),"")</x:f>
      </x:c>
      <x:c r="R44" s="30" t="str">
        <x:f>IFERROR(VLOOKUP($A44&amp;"|Election interference",Score_Calculator!$A$2:$Q$80,7,FALSE),"")</x:f>
      </x:c>
      <x:c r="S44" s="30" t="str">
        <x:f>IFERROR(VLOOKUP($A44&amp;"|Election interference",Score_Calculator!$A$2:$Q$80,9,FALSE),"")</x:f>
      </x:c>
      <x:c r="T44" s="30" t="str">
        <x:f>IFERROR("#"&amp;VLOOKUP(R44,Legend_Config!$A$2:$C$7,3,FALSE),"")</x:f>
        <x:v>#F2F2F2</x:v>
      </x:c>
      <x:c r="U44" s="30" t="str">
        <x:f>IFERROR(VLOOKUP($A44&amp;"|Election interference",Score_Calculator!$A$2:$Q$80,15,FALSE),"")</x:f>
      </x:c>
      <x:c r="V44" s="30" t="n">
        <x:f>IFERROR(ROUND(AVERAGE(F44,J44,N44,R44),0),"")</x:f>
        <x:v>0</x:v>
      </x:c>
      <x:c r="W44" s="30" t="str">
        <x:f>IFERROR("#"&amp;VLOOKUP(V44,Legend_Config!$A$2:$C$7,3,FALSE),"")</x:f>
        <x:v>#F2F2F2</x:v>
      </x:c>
      <x:c r="X44" s="30" t="str">
        <x:f>IF(COUNTA(G44,K44,O44,S44)=0,"No data",IF(COUNTIF(G44:S44,"Needs review")&gt;0,"Needs review",IF(COUNTIF(G44:S44,"Low")&gt;0,"Low",IF(COUNTIF(G44:S44,"Medium")&gt;0,"Medium","High"))))</x:f>
        <x:v>High</x:v>
      </x:c>
      <x:c r="Y44" s="30" t="str">
        <x:f>IF(X44="No data","No evidence",IF(OR(X44="High",X44="Medium"),"Ready / publishable","Show with caution"))</x:f>
        <x:v>Ready / publishable</x:v>
      </x:c>
      <x:c r="Z44" s="30" t="n">
        <x:f>IFERROR(MAX(FILTER(Score_Calculator!$P$2:$P$80,Score_Calculator!$B$2:$B$80=$A44)),"")</x:f>
        <x:v>0</x:v>
      </x:c>
      <x:c r="AA44" s="30" t="str">
        <x:f>IF(OR(D44="",E44=""),"","{""type"":""Point"",""coordinates"":["&amp;TEXT(E44,"0.0000")&amp;","&amp;TEXT(D44,"0.0000")&amp;"]}")</x:f>
      </x:c>
      <x:c r="AB44" s="30" t="str">
        <x:f>IF(A44="","","{""country"":"""&amp;A44&amp;""",""iso3"":"""&amp;B44&amp;""",""region"":"""&amp;C44&amp;""",""russian_influence_score"":"&amp;IF(ISNUMBER(F44),F44,"null")&amp;", ""russian_confidence"":"""&amp;G44&amp;""",""pmc_presence_score"":"&amp;IF(ISNUMBER(J44),J44,"null")&amp;", ""pmc_confidence"":"""&amp;K44&amp;""",""propaganda_ecosystems_score"":"&amp;IF(ISNUMBER(N44),N44,"null")&amp;", ""propaganda_confidence"":"""&amp;O44&amp;""",""election_interference_score"":"&amp;IF(ISNUMBER(R44),R44,"null")&amp;", ""election_confidence"":"""&amp;S44&amp;""",""composite_score"":"&amp;IF(ISNUMBER(V44),V44,"null")&amp;", ""colour"":""#"&amp;IFERROR(VLOOKUP(V44,Legend_Config!$A$2:$C$7,3,FALSE),"")&amp;""",""confidence"":"""&amp;X44&amp;""",""layer_status"":"""&amp;Y44&amp;"""}")</x:f>
      </x:c>
      <x:c r="AC44" s="30" t="str">
        <x:f>IFERROR(VLOOKUP(A44,Country_Config!$A$2:$G$100,7,FALSE),"")</x:f>
      </x:c>
    </x:row>
    <x:row r="45">
      <x:c r="A45" s="30"/>
      <x:c r="B45" s="30"/>
      <x:c r="C45" s="30"/>
      <x:c r="D45" s="30"/>
      <x:c r="E45" s="30"/>
      <x:c r="F45" s="30" t="str">
        <x:f>IFERROR(VLOOKUP($A45&amp;"|Russian influence",Score_Calculator!$A$2:$Q$80,7,FALSE),"")</x:f>
      </x:c>
      <x:c r="G45" s="30" t="str">
        <x:f>IFERROR(VLOOKUP($A45&amp;"|Russian influence",Score_Calculator!$A$2:$Q$80,9,FALSE),"")</x:f>
      </x:c>
      <x:c r="H45" s="30" t="str">
        <x:f>IFERROR("#"&amp;VLOOKUP(F45,Legend_Config!$A$2:$C$7,3,FALSE),"")</x:f>
        <x:v>#F2F2F2</x:v>
      </x:c>
      <x:c r="I45" s="30" t="str">
        <x:f>IFERROR(VLOOKUP($A45&amp;"|Russian influence",Score_Calculator!$A$2:$Q$80,15,FALSE),"")</x:f>
      </x:c>
      <x:c r="J45" s="30" t="str">
        <x:f>IFERROR(VLOOKUP($A45&amp;"|PMC presence",Score_Calculator!$A$2:$Q$80,7,FALSE),"")</x:f>
      </x:c>
      <x:c r="K45" s="30" t="str">
        <x:f>IFERROR(VLOOKUP($A45&amp;"|PMC presence",Score_Calculator!$A$2:$Q$80,9,FALSE),"")</x:f>
      </x:c>
      <x:c r="L45" s="30" t="str">
        <x:f>IFERROR("#"&amp;VLOOKUP(J45,Legend_Config!$A$2:$C$7,3,FALSE),"")</x:f>
        <x:v>#F2F2F2</x:v>
      </x:c>
      <x:c r="M45" s="30" t="str">
        <x:f>IFERROR(VLOOKUP($A45&amp;"|PMC presence",Score_Calculator!$A$2:$Q$80,15,FALSE),"")</x:f>
      </x:c>
      <x:c r="N45" s="30" t="str">
        <x:f>IFERROR(VLOOKUP($A45&amp;"|Propaganda ecosystems",Score_Calculator!$A$2:$Q$80,7,FALSE),"")</x:f>
      </x:c>
      <x:c r="O45" s="30" t="str">
        <x:f>IFERROR(VLOOKUP($A45&amp;"|Propaganda ecosystems",Score_Calculator!$A$2:$Q$80,9,FALSE),"")</x:f>
      </x:c>
      <x:c r="P45" s="30" t="str">
        <x:f>IFERROR("#"&amp;VLOOKUP(N45,Legend_Config!$A$2:$C$7,3,FALSE),"")</x:f>
        <x:v>#F2F2F2</x:v>
      </x:c>
      <x:c r="Q45" s="30" t="str">
        <x:f>IFERROR(VLOOKUP($A45&amp;"|Propaganda ecosystems",Score_Calculator!$A$2:$Q$80,15,FALSE),"")</x:f>
      </x:c>
      <x:c r="R45" s="30" t="str">
        <x:f>IFERROR(VLOOKUP($A45&amp;"|Election interference",Score_Calculator!$A$2:$Q$80,7,FALSE),"")</x:f>
      </x:c>
      <x:c r="S45" s="30" t="str">
        <x:f>IFERROR(VLOOKUP($A45&amp;"|Election interference",Score_Calculator!$A$2:$Q$80,9,FALSE),"")</x:f>
      </x:c>
      <x:c r="T45" s="30" t="str">
        <x:f>IFERROR("#"&amp;VLOOKUP(R45,Legend_Config!$A$2:$C$7,3,FALSE),"")</x:f>
        <x:v>#F2F2F2</x:v>
      </x:c>
      <x:c r="U45" s="30" t="str">
        <x:f>IFERROR(VLOOKUP($A45&amp;"|Election interference",Score_Calculator!$A$2:$Q$80,15,FALSE),"")</x:f>
      </x:c>
      <x:c r="V45" s="30" t="n">
        <x:f>IFERROR(ROUND(AVERAGE(F45,J45,N45,R45),0),"")</x:f>
        <x:v>0</x:v>
      </x:c>
      <x:c r="W45" s="30" t="str">
        <x:f>IFERROR("#"&amp;VLOOKUP(V45,Legend_Config!$A$2:$C$7,3,FALSE),"")</x:f>
        <x:v>#F2F2F2</x:v>
      </x:c>
      <x:c r="X45" s="30" t="str">
        <x:f>IF(COUNTA(G45,K45,O45,S45)=0,"No data",IF(COUNTIF(G45:S45,"Needs review")&gt;0,"Needs review",IF(COUNTIF(G45:S45,"Low")&gt;0,"Low",IF(COUNTIF(G45:S45,"Medium")&gt;0,"Medium","High"))))</x:f>
        <x:v>High</x:v>
      </x:c>
      <x:c r="Y45" s="30" t="str">
        <x:f>IF(X45="No data","No evidence",IF(OR(X45="High",X45="Medium"),"Ready / publishable","Show with caution"))</x:f>
        <x:v>Ready / publishable</x:v>
      </x:c>
      <x:c r="Z45" s="30" t="n">
        <x:f>IFERROR(MAX(FILTER(Score_Calculator!$P$2:$P$80,Score_Calculator!$B$2:$B$80=$A45)),"")</x:f>
        <x:v>0</x:v>
      </x:c>
      <x:c r="AA45" s="30" t="str">
        <x:f>IF(OR(D45="",E45=""),"","{""type"":""Point"",""coordinates"":["&amp;TEXT(E45,"0.0000")&amp;","&amp;TEXT(D45,"0.0000")&amp;"]}")</x:f>
      </x:c>
      <x:c r="AB45" s="30" t="str">
        <x:f>IF(A45="","","{""country"":"""&amp;A45&amp;""",""iso3"":"""&amp;B45&amp;""",""region"":"""&amp;C45&amp;""",""russian_influence_score"":"&amp;IF(ISNUMBER(F45),F45,"null")&amp;", ""russian_confidence"":"""&amp;G45&amp;""",""pmc_presence_score"":"&amp;IF(ISNUMBER(J45),J45,"null")&amp;", ""pmc_confidence"":"""&amp;K45&amp;""",""propaganda_ecosystems_score"":"&amp;IF(ISNUMBER(N45),N45,"null")&amp;", ""propaganda_confidence"":"""&amp;O45&amp;""",""election_interference_score"":"&amp;IF(ISNUMBER(R45),R45,"null")&amp;", ""election_confidence"":"""&amp;S45&amp;""",""composite_score"":"&amp;IF(ISNUMBER(V45),V45,"null")&amp;", ""colour"":""#"&amp;IFERROR(VLOOKUP(V45,Legend_Config!$A$2:$C$7,3,FALSE),"")&amp;""",""confidence"":"""&amp;X45&amp;""",""layer_status"":"""&amp;Y45&amp;"""}")</x:f>
      </x:c>
      <x:c r="AC45" s="30" t="str">
        <x:f>IFERROR(VLOOKUP(A45,Country_Config!$A$2:$G$100,7,FALSE),"")</x:f>
      </x:c>
    </x:row>
    <x:row r="46">
      <x:c r="A46" s="30"/>
      <x:c r="B46" s="30"/>
      <x:c r="C46" s="30"/>
      <x:c r="D46" s="30"/>
      <x:c r="E46" s="30"/>
      <x:c r="F46" s="30" t="str">
        <x:f>IFERROR(VLOOKUP($A46&amp;"|Russian influence",Score_Calculator!$A$2:$Q$80,7,FALSE),"")</x:f>
      </x:c>
      <x:c r="G46" s="30" t="str">
        <x:f>IFERROR(VLOOKUP($A46&amp;"|Russian influence",Score_Calculator!$A$2:$Q$80,9,FALSE),"")</x:f>
      </x:c>
      <x:c r="H46" s="30" t="str">
        <x:f>IFERROR("#"&amp;VLOOKUP(F46,Legend_Config!$A$2:$C$7,3,FALSE),"")</x:f>
        <x:v>#F2F2F2</x:v>
      </x:c>
      <x:c r="I46" s="30" t="str">
        <x:f>IFERROR(VLOOKUP($A46&amp;"|Russian influence",Score_Calculator!$A$2:$Q$80,15,FALSE),"")</x:f>
      </x:c>
      <x:c r="J46" s="30" t="str">
        <x:f>IFERROR(VLOOKUP($A46&amp;"|PMC presence",Score_Calculator!$A$2:$Q$80,7,FALSE),"")</x:f>
      </x:c>
      <x:c r="K46" s="30" t="str">
        <x:f>IFERROR(VLOOKUP($A46&amp;"|PMC presence",Score_Calculator!$A$2:$Q$80,9,FALSE),"")</x:f>
      </x:c>
      <x:c r="L46" s="30" t="str">
        <x:f>IFERROR("#"&amp;VLOOKUP(J46,Legend_Config!$A$2:$C$7,3,FALSE),"")</x:f>
        <x:v>#F2F2F2</x:v>
      </x:c>
      <x:c r="M46" s="30" t="str">
        <x:f>IFERROR(VLOOKUP($A46&amp;"|PMC presence",Score_Calculator!$A$2:$Q$80,15,FALSE),"")</x:f>
      </x:c>
      <x:c r="N46" s="30" t="str">
        <x:f>IFERROR(VLOOKUP($A46&amp;"|Propaganda ecosystems",Score_Calculator!$A$2:$Q$80,7,FALSE),"")</x:f>
      </x:c>
      <x:c r="O46" s="30" t="str">
        <x:f>IFERROR(VLOOKUP($A46&amp;"|Propaganda ecosystems",Score_Calculator!$A$2:$Q$80,9,FALSE),"")</x:f>
      </x:c>
      <x:c r="P46" s="30" t="str">
        <x:f>IFERROR("#"&amp;VLOOKUP(N46,Legend_Config!$A$2:$C$7,3,FALSE),"")</x:f>
        <x:v>#F2F2F2</x:v>
      </x:c>
      <x:c r="Q46" s="30" t="str">
        <x:f>IFERROR(VLOOKUP($A46&amp;"|Propaganda ecosystems",Score_Calculator!$A$2:$Q$80,15,FALSE),"")</x:f>
      </x:c>
      <x:c r="R46" s="30" t="str">
        <x:f>IFERROR(VLOOKUP($A46&amp;"|Election interference",Score_Calculator!$A$2:$Q$80,7,FALSE),"")</x:f>
      </x:c>
      <x:c r="S46" s="30" t="str">
        <x:f>IFERROR(VLOOKUP($A46&amp;"|Election interference",Score_Calculator!$A$2:$Q$80,9,FALSE),"")</x:f>
      </x:c>
      <x:c r="T46" s="30" t="str">
        <x:f>IFERROR("#"&amp;VLOOKUP(R46,Legend_Config!$A$2:$C$7,3,FALSE),"")</x:f>
        <x:v>#F2F2F2</x:v>
      </x:c>
      <x:c r="U46" s="30" t="str">
        <x:f>IFERROR(VLOOKUP($A46&amp;"|Election interference",Score_Calculator!$A$2:$Q$80,15,FALSE),"")</x:f>
      </x:c>
      <x:c r="V46" s="30" t="n">
        <x:f>IFERROR(ROUND(AVERAGE(F46,J46,N46,R46),0),"")</x:f>
        <x:v>0</x:v>
      </x:c>
      <x:c r="W46" s="30" t="str">
        <x:f>IFERROR("#"&amp;VLOOKUP(V46,Legend_Config!$A$2:$C$7,3,FALSE),"")</x:f>
        <x:v>#F2F2F2</x:v>
      </x:c>
      <x:c r="X46" s="30" t="str">
        <x:f>IF(COUNTA(G46,K46,O46,S46)=0,"No data",IF(COUNTIF(G46:S46,"Needs review")&gt;0,"Needs review",IF(COUNTIF(G46:S46,"Low")&gt;0,"Low",IF(COUNTIF(G46:S46,"Medium")&gt;0,"Medium","High"))))</x:f>
        <x:v>High</x:v>
      </x:c>
      <x:c r="Y46" s="30" t="str">
        <x:f>IF(X46="No data","No evidence",IF(OR(X46="High",X46="Medium"),"Ready / publishable","Show with caution"))</x:f>
        <x:v>Ready / publishable</x:v>
      </x:c>
      <x:c r="Z46" s="30" t="n">
        <x:f>IFERROR(MAX(FILTER(Score_Calculator!$P$2:$P$80,Score_Calculator!$B$2:$B$80=$A46)),"")</x:f>
        <x:v>0</x:v>
      </x:c>
      <x:c r="AA46" s="30" t="str">
        <x:f>IF(OR(D46="",E46=""),"","{""type"":""Point"",""coordinates"":["&amp;TEXT(E46,"0.0000")&amp;","&amp;TEXT(D46,"0.0000")&amp;"]}")</x:f>
      </x:c>
      <x:c r="AB46" s="30" t="str">
        <x:f>IF(A46="","","{""country"":"""&amp;A46&amp;""",""iso3"":"""&amp;B46&amp;""",""region"":"""&amp;C46&amp;""",""russian_influence_score"":"&amp;IF(ISNUMBER(F46),F46,"null")&amp;", ""russian_confidence"":"""&amp;G46&amp;""",""pmc_presence_score"":"&amp;IF(ISNUMBER(J46),J46,"null")&amp;", ""pmc_confidence"":"""&amp;K46&amp;""",""propaganda_ecosystems_score"":"&amp;IF(ISNUMBER(N46),N46,"null")&amp;", ""propaganda_confidence"":"""&amp;O46&amp;""",""election_interference_score"":"&amp;IF(ISNUMBER(R46),R46,"null")&amp;", ""election_confidence"":"""&amp;S46&amp;""",""composite_score"":"&amp;IF(ISNUMBER(V46),V46,"null")&amp;", ""colour"":""#"&amp;IFERROR(VLOOKUP(V46,Legend_Config!$A$2:$C$7,3,FALSE),"")&amp;""",""confidence"":"""&amp;X46&amp;""",""layer_status"":"""&amp;Y46&amp;"""}")</x:f>
      </x:c>
      <x:c r="AC46" s="30" t="str">
        <x:f>IFERROR(VLOOKUP(A46,Country_Config!$A$2:$G$100,7,FALSE),"")</x:f>
      </x:c>
    </x:row>
    <x:row r="47">
      <x:c r="A47" s="30"/>
      <x:c r="B47" s="30"/>
      <x:c r="C47" s="30"/>
      <x:c r="D47" s="30"/>
      <x:c r="E47" s="30"/>
      <x:c r="F47" s="30" t="str">
        <x:f>IFERROR(VLOOKUP($A47&amp;"|Russian influence",Score_Calculator!$A$2:$Q$80,7,FALSE),"")</x:f>
      </x:c>
      <x:c r="G47" s="30" t="str">
        <x:f>IFERROR(VLOOKUP($A47&amp;"|Russian influence",Score_Calculator!$A$2:$Q$80,9,FALSE),"")</x:f>
      </x:c>
      <x:c r="H47" s="30" t="str">
        <x:f>IFERROR("#"&amp;VLOOKUP(F47,Legend_Config!$A$2:$C$7,3,FALSE),"")</x:f>
        <x:v>#F2F2F2</x:v>
      </x:c>
      <x:c r="I47" s="30" t="str">
        <x:f>IFERROR(VLOOKUP($A47&amp;"|Russian influence",Score_Calculator!$A$2:$Q$80,15,FALSE),"")</x:f>
      </x:c>
      <x:c r="J47" s="30" t="str">
        <x:f>IFERROR(VLOOKUP($A47&amp;"|PMC presence",Score_Calculator!$A$2:$Q$80,7,FALSE),"")</x:f>
      </x:c>
      <x:c r="K47" s="30" t="str">
        <x:f>IFERROR(VLOOKUP($A47&amp;"|PMC presence",Score_Calculator!$A$2:$Q$80,9,FALSE),"")</x:f>
      </x:c>
      <x:c r="L47" s="30" t="str">
        <x:f>IFERROR("#"&amp;VLOOKUP(J47,Legend_Config!$A$2:$C$7,3,FALSE),"")</x:f>
        <x:v>#F2F2F2</x:v>
      </x:c>
      <x:c r="M47" s="30" t="str">
        <x:f>IFERROR(VLOOKUP($A47&amp;"|PMC presence",Score_Calculator!$A$2:$Q$80,15,FALSE),"")</x:f>
      </x:c>
      <x:c r="N47" s="30" t="str">
        <x:f>IFERROR(VLOOKUP($A47&amp;"|Propaganda ecosystems",Score_Calculator!$A$2:$Q$80,7,FALSE),"")</x:f>
      </x:c>
      <x:c r="O47" s="30" t="str">
        <x:f>IFERROR(VLOOKUP($A47&amp;"|Propaganda ecosystems",Score_Calculator!$A$2:$Q$80,9,FALSE),"")</x:f>
      </x:c>
      <x:c r="P47" s="30" t="str">
        <x:f>IFERROR("#"&amp;VLOOKUP(N47,Legend_Config!$A$2:$C$7,3,FALSE),"")</x:f>
        <x:v>#F2F2F2</x:v>
      </x:c>
      <x:c r="Q47" s="30" t="str">
        <x:f>IFERROR(VLOOKUP($A47&amp;"|Propaganda ecosystems",Score_Calculator!$A$2:$Q$80,15,FALSE),"")</x:f>
      </x:c>
      <x:c r="R47" s="30" t="str">
        <x:f>IFERROR(VLOOKUP($A47&amp;"|Election interference",Score_Calculator!$A$2:$Q$80,7,FALSE),"")</x:f>
      </x:c>
      <x:c r="S47" s="30" t="str">
        <x:f>IFERROR(VLOOKUP($A47&amp;"|Election interference",Score_Calculator!$A$2:$Q$80,9,FALSE),"")</x:f>
      </x:c>
      <x:c r="T47" s="30" t="str">
        <x:f>IFERROR("#"&amp;VLOOKUP(R47,Legend_Config!$A$2:$C$7,3,FALSE),"")</x:f>
        <x:v>#F2F2F2</x:v>
      </x:c>
      <x:c r="U47" s="30" t="str">
        <x:f>IFERROR(VLOOKUP($A47&amp;"|Election interference",Score_Calculator!$A$2:$Q$80,15,FALSE),"")</x:f>
      </x:c>
      <x:c r="V47" s="30" t="n">
        <x:f>IFERROR(ROUND(AVERAGE(F47,J47,N47,R47),0),"")</x:f>
        <x:v>0</x:v>
      </x:c>
      <x:c r="W47" s="30" t="str">
        <x:f>IFERROR("#"&amp;VLOOKUP(V47,Legend_Config!$A$2:$C$7,3,FALSE),"")</x:f>
        <x:v>#F2F2F2</x:v>
      </x:c>
      <x:c r="X47" s="30" t="str">
        <x:f>IF(COUNTA(G47,K47,O47,S47)=0,"No data",IF(COUNTIF(G47:S47,"Needs review")&gt;0,"Needs review",IF(COUNTIF(G47:S47,"Low")&gt;0,"Low",IF(COUNTIF(G47:S47,"Medium")&gt;0,"Medium","High"))))</x:f>
        <x:v>High</x:v>
      </x:c>
      <x:c r="Y47" s="30" t="str">
        <x:f>IF(X47="No data","No evidence",IF(OR(X47="High",X47="Medium"),"Ready / publishable","Show with caution"))</x:f>
        <x:v>Ready / publishable</x:v>
      </x:c>
      <x:c r="Z47" s="30" t="n">
        <x:f>IFERROR(MAX(FILTER(Score_Calculator!$P$2:$P$80,Score_Calculator!$B$2:$B$80=$A47)),"")</x:f>
        <x:v>0</x:v>
      </x:c>
      <x:c r="AA47" s="30" t="str">
        <x:f>IF(OR(D47="",E47=""),"","{""type"":""Point"",""coordinates"":["&amp;TEXT(E47,"0.0000")&amp;","&amp;TEXT(D47,"0.0000")&amp;"]}")</x:f>
      </x:c>
      <x:c r="AB47" s="30" t="str">
        <x:f>IF(A47="","","{""country"":"""&amp;A47&amp;""",""iso3"":"""&amp;B47&amp;""",""region"":"""&amp;C47&amp;""",""russian_influence_score"":"&amp;IF(ISNUMBER(F47),F47,"null")&amp;", ""russian_confidence"":"""&amp;G47&amp;""",""pmc_presence_score"":"&amp;IF(ISNUMBER(J47),J47,"null")&amp;", ""pmc_confidence"":"""&amp;K47&amp;""",""propaganda_ecosystems_score"":"&amp;IF(ISNUMBER(N47),N47,"null")&amp;", ""propaganda_confidence"":"""&amp;O47&amp;""",""election_interference_score"":"&amp;IF(ISNUMBER(R47),R47,"null")&amp;", ""election_confidence"":"""&amp;S47&amp;""",""composite_score"":"&amp;IF(ISNUMBER(V47),V47,"null")&amp;", ""colour"":""#"&amp;IFERROR(VLOOKUP(V47,Legend_Config!$A$2:$C$7,3,FALSE),"")&amp;""",""confidence"":"""&amp;X47&amp;""",""layer_status"":"""&amp;Y47&amp;"""}")</x:f>
      </x:c>
      <x:c r="AC47" s="30" t="str">
        <x:f>IFERROR(VLOOKUP(A47,Country_Config!$A$2:$G$100,7,FALSE),"")</x:f>
      </x:c>
    </x:row>
    <x:row r="48">
      <x:c r="A48" s="30"/>
      <x:c r="B48" s="30"/>
      <x:c r="C48" s="30"/>
      <x:c r="D48" s="30"/>
      <x:c r="E48" s="30"/>
      <x:c r="F48" s="30" t="str">
        <x:f>IFERROR(VLOOKUP($A48&amp;"|Russian influence",Score_Calculator!$A$2:$Q$80,7,FALSE),"")</x:f>
      </x:c>
      <x:c r="G48" s="30" t="str">
        <x:f>IFERROR(VLOOKUP($A48&amp;"|Russian influence",Score_Calculator!$A$2:$Q$80,9,FALSE),"")</x:f>
      </x:c>
      <x:c r="H48" s="30" t="str">
        <x:f>IFERROR("#"&amp;VLOOKUP(F48,Legend_Config!$A$2:$C$7,3,FALSE),"")</x:f>
        <x:v>#F2F2F2</x:v>
      </x:c>
      <x:c r="I48" s="30" t="str">
        <x:f>IFERROR(VLOOKUP($A48&amp;"|Russian influence",Score_Calculator!$A$2:$Q$80,15,FALSE),"")</x:f>
      </x:c>
      <x:c r="J48" s="30" t="str">
        <x:f>IFERROR(VLOOKUP($A48&amp;"|PMC presence",Score_Calculator!$A$2:$Q$80,7,FALSE),"")</x:f>
      </x:c>
      <x:c r="K48" s="30" t="str">
        <x:f>IFERROR(VLOOKUP($A48&amp;"|PMC presence",Score_Calculator!$A$2:$Q$80,9,FALSE),"")</x:f>
      </x:c>
      <x:c r="L48" s="30" t="str">
        <x:f>IFERROR("#"&amp;VLOOKUP(J48,Legend_Config!$A$2:$C$7,3,FALSE),"")</x:f>
        <x:v>#F2F2F2</x:v>
      </x:c>
      <x:c r="M48" s="30" t="str">
        <x:f>IFERROR(VLOOKUP($A48&amp;"|PMC presence",Score_Calculator!$A$2:$Q$80,15,FALSE),"")</x:f>
      </x:c>
      <x:c r="N48" s="30" t="str">
        <x:f>IFERROR(VLOOKUP($A48&amp;"|Propaganda ecosystems",Score_Calculator!$A$2:$Q$80,7,FALSE),"")</x:f>
      </x:c>
      <x:c r="O48" s="30" t="str">
        <x:f>IFERROR(VLOOKUP($A48&amp;"|Propaganda ecosystems",Score_Calculator!$A$2:$Q$80,9,FALSE),"")</x:f>
      </x:c>
      <x:c r="P48" s="30" t="str">
        <x:f>IFERROR("#"&amp;VLOOKUP(N48,Legend_Config!$A$2:$C$7,3,FALSE),"")</x:f>
        <x:v>#F2F2F2</x:v>
      </x:c>
      <x:c r="Q48" s="30" t="str">
        <x:f>IFERROR(VLOOKUP($A48&amp;"|Propaganda ecosystems",Score_Calculator!$A$2:$Q$80,15,FALSE),"")</x:f>
      </x:c>
      <x:c r="R48" s="30" t="str">
        <x:f>IFERROR(VLOOKUP($A48&amp;"|Election interference",Score_Calculator!$A$2:$Q$80,7,FALSE),"")</x:f>
      </x:c>
      <x:c r="S48" s="30" t="str">
        <x:f>IFERROR(VLOOKUP($A48&amp;"|Election interference",Score_Calculator!$A$2:$Q$80,9,FALSE),"")</x:f>
      </x:c>
      <x:c r="T48" s="30" t="str">
        <x:f>IFERROR("#"&amp;VLOOKUP(R48,Legend_Config!$A$2:$C$7,3,FALSE),"")</x:f>
        <x:v>#F2F2F2</x:v>
      </x:c>
      <x:c r="U48" s="30" t="str">
        <x:f>IFERROR(VLOOKUP($A48&amp;"|Election interference",Score_Calculator!$A$2:$Q$80,15,FALSE),"")</x:f>
      </x:c>
      <x:c r="V48" s="30" t="n">
        <x:f>IFERROR(ROUND(AVERAGE(F48,J48,N48,R48),0),"")</x:f>
        <x:v>0</x:v>
      </x:c>
      <x:c r="W48" s="30" t="str">
        <x:f>IFERROR("#"&amp;VLOOKUP(V48,Legend_Config!$A$2:$C$7,3,FALSE),"")</x:f>
        <x:v>#F2F2F2</x:v>
      </x:c>
      <x:c r="X48" s="30" t="str">
        <x:f>IF(COUNTA(G48,K48,O48,S48)=0,"No data",IF(COUNTIF(G48:S48,"Needs review")&gt;0,"Needs review",IF(COUNTIF(G48:S48,"Low")&gt;0,"Low",IF(COUNTIF(G48:S48,"Medium")&gt;0,"Medium","High"))))</x:f>
        <x:v>High</x:v>
      </x:c>
      <x:c r="Y48" s="30" t="str">
        <x:f>IF(X48="No data","No evidence",IF(OR(X48="High",X48="Medium"),"Ready / publishable","Show with caution"))</x:f>
        <x:v>Ready / publishable</x:v>
      </x:c>
      <x:c r="Z48" s="30" t="n">
        <x:f>IFERROR(MAX(FILTER(Score_Calculator!$P$2:$P$80,Score_Calculator!$B$2:$B$80=$A48)),"")</x:f>
        <x:v>0</x:v>
      </x:c>
      <x:c r="AA48" s="30" t="str">
        <x:f>IF(OR(D48="",E48=""),"","{""type"":""Point"",""coordinates"":["&amp;TEXT(E48,"0.0000")&amp;","&amp;TEXT(D48,"0.0000")&amp;"]}")</x:f>
      </x:c>
      <x:c r="AB48" s="30" t="str">
        <x:f>IF(A48="","","{""country"":"""&amp;A48&amp;""",""iso3"":"""&amp;B48&amp;""",""region"":"""&amp;C48&amp;""",""russian_influence_score"":"&amp;IF(ISNUMBER(F48),F48,"null")&amp;", ""russian_confidence"":"""&amp;G48&amp;""",""pmc_presence_score"":"&amp;IF(ISNUMBER(J48),J48,"null")&amp;", ""pmc_confidence"":"""&amp;K48&amp;""",""propaganda_ecosystems_score"":"&amp;IF(ISNUMBER(N48),N48,"null")&amp;", ""propaganda_confidence"":"""&amp;O48&amp;""",""election_interference_score"":"&amp;IF(ISNUMBER(R48),R48,"null")&amp;", ""election_confidence"":"""&amp;S48&amp;""",""composite_score"":"&amp;IF(ISNUMBER(V48),V48,"null")&amp;", ""colour"":""#"&amp;IFERROR(VLOOKUP(V48,Legend_Config!$A$2:$C$7,3,FALSE),"")&amp;""",""confidence"":"""&amp;X48&amp;""",""layer_status"":"""&amp;Y48&amp;"""}")</x:f>
      </x:c>
      <x:c r="AC48" s="30" t="str">
        <x:f>IFERROR(VLOOKUP(A48,Country_Config!$A$2:$G$100,7,FALSE),"")</x:f>
      </x:c>
    </x:row>
    <x:row r="49">
      <x:c r="A49" s="30"/>
      <x:c r="B49" s="30"/>
      <x:c r="C49" s="30"/>
      <x:c r="D49" s="30"/>
      <x:c r="E49" s="30"/>
      <x:c r="F49" s="30" t="str">
        <x:f>IFERROR(VLOOKUP($A49&amp;"|Russian influence",Score_Calculator!$A$2:$Q$80,7,FALSE),"")</x:f>
      </x:c>
      <x:c r="G49" s="30" t="str">
        <x:f>IFERROR(VLOOKUP($A49&amp;"|Russian influence",Score_Calculator!$A$2:$Q$80,9,FALSE),"")</x:f>
      </x:c>
      <x:c r="H49" s="30" t="str">
        <x:f>IFERROR("#"&amp;VLOOKUP(F49,Legend_Config!$A$2:$C$7,3,FALSE),"")</x:f>
        <x:v>#F2F2F2</x:v>
      </x:c>
      <x:c r="I49" s="30" t="str">
        <x:f>IFERROR(VLOOKUP($A49&amp;"|Russian influence",Score_Calculator!$A$2:$Q$80,15,FALSE),"")</x:f>
      </x:c>
      <x:c r="J49" s="30" t="str">
        <x:f>IFERROR(VLOOKUP($A49&amp;"|PMC presence",Score_Calculator!$A$2:$Q$80,7,FALSE),"")</x:f>
      </x:c>
      <x:c r="K49" s="30" t="str">
        <x:f>IFERROR(VLOOKUP($A49&amp;"|PMC presence",Score_Calculator!$A$2:$Q$80,9,FALSE),"")</x:f>
      </x:c>
      <x:c r="L49" s="30" t="str">
        <x:f>IFERROR("#"&amp;VLOOKUP(J49,Legend_Config!$A$2:$C$7,3,FALSE),"")</x:f>
        <x:v>#F2F2F2</x:v>
      </x:c>
      <x:c r="M49" s="30" t="str">
        <x:f>IFERROR(VLOOKUP($A49&amp;"|PMC presence",Score_Calculator!$A$2:$Q$80,15,FALSE),"")</x:f>
      </x:c>
      <x:c r="N49" s="30" t="str">
        <x:f>IFERROR(VLOOKUP($A49&amp;"|Propaganda ecosystems",Score_Calculator!$A$2:$Q$80,7,FALSE),"")</x:f>
      </x:c>
      <x:c r="O49" s="30" t="str">
        <x:f>IFERROR(VLOOKUP($A49&amp;"|Propaganda ecosystems",Score_Calculator!$A$2:$Q$80,9,FALSE),"")</x:f>
      </x:c>
      <x:c r="P49" s="30" t="str">
        <x:f>IFERROR("#"&amp;VLOOKUP(N49,Legend_Config!$A$2:$C$7,3,FALSE),"")</x:f>
        <x:v>#F2F2F2</x:v>
      </x:c>
      <x:c r="Q49" s="30" t="str">
        <x:f>IFERROR(VLOOKUP($A49&amp;"|Propaganda ecosystems",Score_Calculator!$A$2:$Q$80,15,FALSE),"")</x:f>
      </x:c>
      <x:c r="R49" s="30" t="str">
        <x:f>IFERROR(VLOOKUP($A49&amp;"|Election interference",Score_Calculator!$A$2:$Q$80,7,FALSE),"")</x:f>
      </x:c>
      <x:c r="S49" s="30" t="str">
        <x:f>IFERROR(VLOOKUP($A49&amp;"|Election interference",Score_Calculator!$A$2:$Q$80,9,FALSE),"")</x:f>
      </x:c>
      <x:c r="T49" s="30" t="str">
        <x:f>IFERROR("#"&amp;VLOOKUP(R49,Legend_Config!$A$2:$C$7,3,FALSE),"")</x:f>
        <x:v>#F2F2F2</x:v>
      </x:c>
      <x:c r="U49" s="30" t="str">
        <x:f>IFERROR(VLOOKUP($A49&amp;"|Election interference",Score_Calculator!$A$2:$Q$80,15,FALSE),"")</x:f>
      </x:c>
      <x:c r="V49" s="30" t="n">
        <x:f>IFERROR(ROUND(AVERAGE(F49,J49,N49,R49),0),"")</x:f>
        <x:v>0</x:v>
      </x:c>
      <x:c r="W49" s="30" t="str">
        <x:f>IFERROR("#"&amp;VLOOKUP(V49,Legend_Config!$A$2:$C$7,3,FALSE),"")</x:f>
        <x:v>#F2F2F2</x:v>
      </x:c>
      <x:c r="X49" s="30" t="str">
        <x:f>IF(COUNTA(G49,K49,O49,S49)=0,"No data",IF(COUNTIF(G49:S49,"Needs review")&gt;0,"Needs review",IF(COUNTIF(G49:S49,"Low")&gt;0,"Low",IF(COUNTIF(G49:S49,"Medium")&gt;0,"Medium","High"))))</x:f>
        <x:v>High</x:v>
      </x:c>
      <x:c r="Y49" s="30" t="str">
        <x:f>IF(X49="No data","No evidence",IF(OR(X49="High",X49="Medium"),"Ready / publishable","Show with caution"))</x:f>
        <x:v>Ready / publishable</x:v>
      </x:c>
      <x:c r="Z49" s="30" t="n">
        <x:f>IFERROR(MAX(FILTER(Score_Calculator!$P$2:$P$80,Score_Calculator!$B$2:$B$80=$A49)),"")</x:f>
        <x:v>0</x:v>
      </x:c>
      <x:c r="AA49" s="30" t="str">
        <x:f>IF(OR(D49="",E49=""),"","{""type"":""Point"",""coordinates"":["&amp;TEXT(E49,"0.0000")&amp;","&amp;TEXT(D49,"0.0000")&amp;"]}")</x:f>
      </x:c>
      <x:c r="AB49" s="30" t="str">
        <x:f>IF(A49="","","{""country"":"""&amp;A49&amp;""",""iso3"":"""&amp;B49&amp;""",""region"":"""&amp;C49&amp;""",""russian_influence_score"":"&amp;IF(ISNUMBER(F49),F49,"null")&amp;", ""russian_confidence"":"""&amp;G49&amp;""",""pmc_presence_score"":"&amp;IF(ISNUMBER(J49),J49,"null")&amp;", ""pmc_confidence"":"""&amp;K49&amp;""",""propaganda_ecosystems_score"":"&amp;IF(ISNUMBER(N49),N49,"null")&amp;", ""propaganda_confidence"":"""&amp;O49&amp;""",""election_interference_score"":"&amp;IF(ISNUMBER(R49),R49,"null")&amp;", ""election_confidence"":"""&amp;S49&amp;""",""composite_score"":"&amp;IF(ISNUMBER(V49),V49,"null")&amp;", ""colour"":""#"&amp;IFERROR(VLOOKUP(V49,Legend_Config!$A$2:$C$7,3,FALSE),"")&amp;""",""confidence"":"""&amp;X49&amp;""",""layer_status"":"""&amp;Y49&amp;"""}")</x:f>
      </x:c>
      <x:c r="AC49" s="30" t="str">
        <x:f>IFERROR(VLOOKUP(A49,Country_Config!$A$2:$G$100,7,FALSE),"")</x:f>
      </x:c>
    </x:row>
    <x:row r="50">
      <x:c r="A50" s="30"/>
      <x:c r="B50" s="30"/>
      <x:c r="C50" s="30"/>
      <x:c r="D50" s="30"/>
      <x:c r="E50" s="30"/>
      <x:c r="F50" s="30" t="str">
        <x:f>IFERROR(VLOOKUP($A50&amp;"|Russian influence",Score_Calculator!$A$2:$Q$80,7,FALSE),"")</x:f>
      </x:c>
      <x:c r="G50" s="30" t="str">
        <x:f>IFERROR(VLOOKUP($A50&amp;"|Russian influence",Score_Calculator!$A$2:$Q$80,9,FALSE),"")</x:f>
      </x:c>
      <x:c r="H50" s="30" t="str">
        <x:f>IFERROR("#"&amp;VLOOKUP(F50,Legend_Config!$A$2:$C$7,3,FALSE),"")</x:f>
        <x:v>#F2F2F2</x:v>
      </x:c>
      <x:c r="I50" s="30" t="str">
        <x:f>IFERROR(VLOOKUP($A50&amp;"|Russian influence",Score_Calculator!$A$2:$Q$80,15,FALSE),"")</x:f>
      </x:c>
      <x:c r="J50" s="30" t="str">
        <x:f>IFERROR(VLOOKUP($A50&amp;"|PMC presence",Score_Calculator!$A$2:$Q$80,7,FALSE),"")</x:f>
      </x:c>
      <x:c r="K50" s="30" t="str">
        <x:f>IFERROR(VLOOKUP($A50&amp;"|PMC presence",Score_Calculator!$A$2:$Q$80,9,FALSE),"")</x:f>
      </x:c>
      <x:c r="L50" s="30" t="str">
        <x:f>IFERROR("#"&amp;VLOOKUP(J50,Legend_Config!$A$2:$C$7,3,FALSE),"")</x:f>
        <x:v>#F2F2F2</x:v>
      </x:c>
      <x:c r="M50" s="30" t="str">
        <x:f>IFERROR(VLOOKUP($A50&amp;"|PMC presence",Score_Calculator!$A$2:$Q$80,15,FALSE),"")</x:f>
      </x:c>
      <x:c r="N50" s="30" t="str">
        <x:f>IFERROR(VLOOKUP($A50&amp;"|Propaganda ecosystems",Score_Calculator!$A$2:$Q$80,7,FALSE),"")</x:f>
      </x:c>
      <x:c r="O50" s="30" t="str">
        <x:f>IFERROR(VLOOKUP($A50&amp;"|Propaganda ecosystems",Score_Calculator!$A$2:$Q$80,9,FALSE),"")</x:f>
      </x:c>
      <x:c r="P50" s="30" t="str">
        <x:f>IFERROR("#"&amp;VLOOKUP(N50,Legend_Config!$A$2:$C$7,3,FALSE),"")</x:f>
        <x:v>#F2F2F2</x:v>
      </x:c>
      <x:c r="Q50" s="30" t="str">
        <x:f>IFERROR(VLOOKUP($A50&amp;"|Propaganda ecosystems",Score_Calculator!$A$2:$Q$80,15,FALSE),"")</x:f>
      </x:c>
      <x:c r="R50" s="30" t="str">
        <x:f>IFERROR(VLOOKUP($A50&amp;"|Election interference",Score_Calculator!$A$2:$Q$80,7,FALSE),"")</x:f>
      </x:c>
      <x:c r="S50" s="30" t="str">
        <x:f>IFERROR(VLOOKUP($A50&amp;"|Election interference",Score_Calculator!$A$2:$Q$80,9,FALSE),"")</x:f>
      </x:c>
      <x:c r="T50" s="30" t="str">
        <x:f>IFERROR("#"&amp;VLOOKUP(R50,Legend_Config!$A$2:$C$7,3,FALSE),"")</x:f>
        <x:v>#F2F2F2</x:v>
      </x:c>
      <x:c r="U50" s="30" t="str">
        <x:f>IFERROR(VLOOKUP($A50&amp;"|Election interference",Score_Calculator!$A$2:$Q$80,15,FALSE),"")</x:f>
      </x:c>
      <x:c r="V50" s="30" t="n">
        <x:f>IFERROR(ROUND(AVERAGE(F50,J50,N50,R50),0),"")</x:f>
        <x:v>0</x:v>
      </x:c>
      <x:c r="W50" s="30" t="str">
        <x:f>IFERROR("#"&amp;VLOOKUP(V50,Legend_Config!$A$2:$C$7,3,FALSE),"")</x:f>
        <x:v>#F2F2F2</x:v>
      </x:c>
      <x:c r="X50" s="30" t="str">
        <x:f>IF(COUNTA(G50,K50,O50,S50)=0,"No data",IF(COUNTIF(G50:S50,"Needs review")&gt;0,"Needs review",IF(COUNTIF(G50:S50,"Low")&gt;0,"Low",IF(COUNTIF(G50:S50,"Medium")&gt;0,"Medium","High"))))</x:f>
        <x:v>High</x:v>
      </x:c>
      <x:c r="Y50" s="30" t="str">
        <x:f>IF(X50="No data","No evidence",IF(OR(X50="High",X50="Medium"),"Ready / publishable","Show with caution"))</x:f>
        <x:v>Ready / publishable</x:v>
      </x:c>
      <x:c r="Z50" s="30" t="n">
        <x:f>IFERROR(MAX(FILTER(Score_Calculator!$P$2:$P$80,Score_Calculator!$B$2:$B$80=$A50)),"")</x:f>
        <x:v>0</x:v>
      </x:c>
      <x:c r="AA50" s="30" t="str">
        <x:f>IF(OR(D50="",E50=""),"","{""type"":""Point"",""coordinates"":["&amp;TEXT(E50,"0.0000")&amp;","&amp;TEXT(D50,"0.0000")&amp;"]}")</x:f>
      </x:c>
      <x:c r="AB50" s="30" t="str">
        <x:f>IF(A50="","","{""country"":"""&amp;A50&amp;""",""iso3"":"""&amp;B50&amp;""",""region"":"""&amp;C50&amp;""",""russian_influence_score"":"&amp;IF(ISNUMBER(F50),F50,"null")&amp;", ""russian_confidence"":"""&amp;G50&amp;""",""pmc_presence_score"":"&amp;IF(ISNUMBER(J50),J50,"null")&amp;", ""pmc_confidence"":"""&amp;K50&amp;""",""propaganda_ecosystems_score"":"&amp;IF(ISNUMBER(N50),N50,"null")&amp;", ""propaganda_confidence"":"""&amp;O50&amp;""",""election_interference_score"":"&amp;IF(ISNUMBER(R50),R50,"null")&amp;", ""election_confidence"":"""&amp;S50&amp;""",""composite_score"":"&amp;IF(ISNUMBER(V50),V50,"null")&amp;", ""colour"":""#"&amp;IFERROR(VLOOKUP(V50,Legend_Config!$A$2:$C$7,3,FALSE),"")&amp;""",""confidence"":"""&amp;X50&amp;""",""layer_status"":"""&amp;Y50&amp;"""}")</x:f>
      </x:c>
      <x:c r="AC50" s="30" t="str">
        <x:f>IFERROR(VLOOKUP(A50,Country_Config!$A$2:$G$100,7,FALSE),"")</x:f>
      </x:c>
    </x:row>
  </x:sheetData>
  <x:conditionalFormatting sqref="F2:F5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J2:J50">
    <x:cfRule type="colorScale" priority="2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N2:N50">
    <x:cfRule type="colorScale" priority="3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R2:R50">
    <x:cfRule type="colorScale" priority="4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V2:V50">
    <x:cfRule type="colorScale" priority="5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Y2:Y50">
    <x:cfRule type="expression" dxfId="4" priority="6">
      <x:formula>Y2="Show with caution"</x:formula>
    </x:cfRule>
    <x:cfRule type="expression" dxfId="5" priority="7">
      <x:formula>Y2="Ready / publishable"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d10f7a6899498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10" hidden="0" customWidth="1"/>
    <x:col min="3" max="3" width="28" hidden="0" customWidth="1"/>
    <x:col min="4" max="4" width="10" hidden="0" customWidth="1"/>
  </x:cols>
  <x:sheetData>
    <x:row r="1" ht="28" customHeight="1">
      <x:c r="A1" s="6" t="str">
        <x:v>GeoJSON export — copy A3 after Google Sheets recalculates</x:v>
      </x:c>
    </x:row>
    <x:row r="2">
      <x:c r="A2" s="23" t="str">
        <x:v>FeatureCollection_JSON</x:v>
      </x:c>
      <x:c r="B2" s="23" t="str">
        <x:v>Per_Feature_JSON</x:v>
      </x:c>
      <x:c r="C2" s="23" t="str">
        <x:v>Country</x:v>
      </x:c>
      <x:c r="D2" s="23" t="str">
        <x:v>ISO3</x:v>
      </x:c>
    </x:row>
    <x:row r="3">
      <x:c r="A3" s="30" t="str">
        <x:f>"{""type"":""FeatureCollection"",""features"":["&amp;TEXTJOIN(",",TRUE,FILTER(B3:B50,B3:B50&lt;&gt;""))&amp;"]}"</x:f>
        <x:v>{"type":"FeatureCollection","features":[{"type":"Feature","geometry":{"type":"Point","coordinates":[31.0000,49.0000]},"properties":{"country":"Ukraine","iso3":"UKR","region":"Europe","russian_influence_score":5,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caution"}},{"type":"Feature","geometry":{"type":"Point","coordinates":[10.0000,51.0000]},"properties":{"country":"Germany","iso3":"DEU","region":"Europe","russian_influence_score":3,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caution"}},{"type":"Feature","geometry":{"type":"Point","coordinates":[20.9000,6.6000]},"properties":{"country":"Central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caution"}},{"type":"Feature","geometry":{"type":"Point","coordinates":[-98.6000,39.8000]},"properties":{"country":"United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caution"}},{"type":"Feature","geometry":{"type":"Point","coordinates":[43.4000,42.3000]},"properties":{"country":"Georgia","iso3":"GEO","region":"Europe/Caucasus","russian_influence_score":4,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caution"}},{"type":"Feature","geometry":{"type":"Point","coordinates":[21.0000,44.0000]},"properties":{"country":"Serbia","iso3":"SRB","region":"Europe","russian_influence_score":4,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caution"}},{"type":"Feature","geometry":{"type":"Point","coordinates":[19.0000,52.0000]},"properties":{"country":"Poland","iso3":"POL","region":"Europe","russian_influence_score":3,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caution"}}]}</x:v>
      </x:c>
      <x:c r="B3" s="30" t="str">
        <x:f>IF(Map_Data!A2="","","{""type"":""Feature"",""geometry"":"&amp;Map_Data!AA2&amp;",""properties"":"&amp;Map_Data!AB2&amp;"}")</x:f>
        <x:v>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</x:v>
      </x:c>
      <x:c r="C3" s="30" t="str">
        <x:f>Map_Data!A2</x:f>
        <x:v>Ukraine</x:v>
      </x:c>
      <x:c r="D3" s="30" t="str">
        <x:f>Map_Data!B2</x:f>
        <x:v>UKR</x:v>
      </x:c>
    </x:row>
    <x:row r="4">
      <x:c r="A4" s="30"/>
      <x:c r="B4" s="30" t="str">
        <x:f>IF(Map_Data!A3="","","{""type"":""Feature"",""geometry"":"&amp;Map_Data!AA3&amp;",""properties"":"&amp;Map_Data!AB3&amp;"}")</x:f>
        <x:v>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4" s="30" t="str">
        <x:f>Map_Data!A3</x:f>
        <x:v>Germany</x:v>
      </x:c>
      <x:c r="D4" s="30" t="str">
        <x:f>Map_Data!B3</x:f>
        <x:v>DEU</x:v>
      </x:c>
    </x:row>
    <x:row r="5">
      <x:c r="A5" s="30"/>
      <x:c r="B5" s="30" t="str">
        <x:f>IF(Map_Data!A4="","","{""type"":""Feature"",""geometry"":"&amp;Map_Data!AA4&amp;",""properties"":"&amp;Map_Data!AB4&amp;"}")</x:f>
        <x:v>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5" s="30" t="str">
        <x:f>Map_Data!A4</x:f>
        <x:v>France</x:v>
      </x:c>
      <x:c r="D5" s="30" t="str">
        <x:f>Map_Data!B4</x:f>
        <x:v>FRA</x:v>
      </x:c>
    </x:row>
    <x:row r="6">
      <x:c r="A6" s="30"/>
      <x:c r="B6" s="30" t="str">
        <x:f>IF(Map_Data!A5="","","{""type"":""Feature"",""geometry"":"&amp;Map_Data!AA5&amp;",""properties"":"&amp;Map_Data!AB5&amp;"}")</x:f>
        <x:v>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</x:v>
      </x:c>
      <x:c r="C6" s="30" t="str">
        <x:f>Map_Data!A5</x:f>
        <x:v>Mali</x:v>
      </x:c>
      <x:c r="D6" s="30" t="str">
        <x:f>Map_Data!B5</x:f>
        <x:v>MLI</x:v>
      </x:c>
    </x:row>
    <x:row r="7">
      <x:c r="A7" s="30"/>
      <x:c r="B7" s="30" t="str">
        <x:f>IF(Map_Data!A6="","","{""type"":""Feature"",""geometry"":"&amp;Map_Data!AA6&amp;",""properties"":"&amp;Map_Data!AB6&amp;"}")</x:f>
        <x:v>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</x:v>
      </x:c>
      <x:c r="C7" s="30" t="str">
        <x:f>Map_Data!A6</x:f>
        <x:v>Central African Republic</x:v>
      </x:c>
      <x:c r="D7" s="30" t="str">
        <x:f>Map_Data!B6</x:f>
        <x:v>CAF</x:v>
      </x:c>
    </x:row>
    <x:row r="8">
      <x:c r="A8" s="30"/>
      <x:c r="B8" s="30" t="str">
        <x:f>IF(Map_Data!A7="","","{""type"":""Feature"",""geometry"":"&amp;Map_Data!AA7&amp;",""properties"":"&amp;Map_Data!AB7&amp;"}")</x:f>
        <x:v>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</x:v>
      </x:c>
      <x:c r="C8" s="30" t="str">
        <x:f>Map_Data!A7</x:f>
        <x:v>United States</x:v>
      </x:c>
      <x:c r="D8" s="30" t="str">
        <x:f>Map_Data!B7</x:f>
        <x:v>USA</x:v>
      </x:c>
    </x:row>
    <x:row r="9">
      <x:c r="A9" s="30"/>
      <x:c r="B9" s="30" t="str">
        <x:f>IF(Map_Data!A8="","","{""type"":""Feature"",""geometry"":"&amp;Map_Data!AA8&amp;",""properties"":"&amp;Map_Data!AB8&amp;"}")</x:f>
        <x:v>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9" s="30" t="str">
        <x:f>Map_Data!A8</x:f>
        <x:v>Georgia</x:v>
      </x:c>
      <x:c r="D9" s="30" t="str">
        <x:f>Map_Data!B8</x:f>
        <x:v>GEO</x:v>
      </x:c>
    </x:row>
    <x:row r="10">
      <x:c r="A10" s="30"/>
      <x:c r="B10" s="30" t="str">
        <x:f>IF(Map_Data!A9="","","{""type"":""Feature"",""geometry"":"&amp;Map_Data!AA9&amp;",""properties"":"&amp;Map_Data!AB9&amp;"}")</x:f>
        <x:v>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</x:v>
      </x:c>
      <x:c r="C10" s="30" t="str">
        <x:f>Map_Data!A9</x:f>
        <x:v>Syria</x:v>
      </x:c>
      <x:c r="D10" s="30" t="str">
        <x:f>Map_Data!B9</x:f>
        <x:v>SYR</x:v>
      </x:c>
    </x:row>
    <x:row r="11">
      <x:c r="A11" s="30"/>
      <x:c r="B11" s="30" t="str">
        <x:f>IF(Map_Data!A10="","","{""type"":""Feature"",""geometry"":"&amp;Map_Data!AA10&amp;",""properties"":"&amp;Map_Data!AB10&amp;"}")</x:f>
        <x:v>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</x:v>
      </x:c>
      <x:c r="C11" s="30" t="str">
        <x:f>Map_Data!A10</x:f>
        <x:v>Serbia</x:v>
      </x:c>
      <x:c r="D11" s="30" t="str">
        <x:f>Map_Data!B10</x:f>
        <x:v>SRB</x:v>
      </x:c>
    </x:row>
    <x:row r="12">
      <x:c r="A12" s="30"/>
      <x:c r="B12" s="30" t="str">
        <x:f>IF(Map_Data!A11="","","{""type"":""Feature"",""geometry"":"&amp;Map_Data!AA11&amp;",""properties"":"&amp;Map_Data!AB11&amp;"}")</x:f>
        <x:v>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</x:v>
      </x:c>
      <x:c r="C12" s="30" t="str">
        <x:f>Map_Data!A11</x:f>
        <x:v>Poland</x:v>
      </x:c>
      <x:c r="D12" s="30" t="str">
        <x:f>Map_Data!B11</x:f>
        <x:v>POL</x:v>
      </x:c>
    </x:row>
    <x:row r="13">
      <x:c r="A13" s="30"/>
      <x:c r="B13" s="30" t="str">
        <x:f>IF(Map_Data!A12="","","{""type"":""Feature"",""geometry"":"&amp;Map_Data!AA12&amp;",""properties"":"&amp;Map_Data!AB12&amp;"}")</x:f>
      </x:c>
      <x:c r="C13" s="30" t="n">
        <x:f>Map_Data!A12</x:f>
        <x:v>0</x:v>
      </x:c>
      <x:c r="D13" s="30" t="n">
        <x:f>Map_Data!B12</x:f>
        <x:v>0</x:v>
      </x:c>
    </x:row>
    <x:row r="14">
      <x:c r="A14" s="30"/>
      <x:c r="B14" s="30" t="str">
        <x:f>IF(Map_Data!A13="","","{""type"":""Feature"",""geometry"":"&amp;Map_Data!AA13&amp;",""properties"":"&amp;Map_Data!AB13&amp;"}")</x:f>
      </x:c>
      <x:c r="C14" s="30" t="n">
        <x:f>Map_Data!A13</x:f>
        <x:v>0</x:v>
      </x:c>
      <x:c r="D14" s="30" t="n">
        <x:f>Map_Data!B13</x:f>
        <x:v>0</x:v>
      </x:c>
    </x:row>
    <x:row r="15">
      <x:c r="A15" s="30"/>
      <x:c r="B15" s="30" t="str">
        <x:f>IF(Map_Data!A14="","","{""type"":""Feature"",""geometry"":"&amp;Map_Data!AA14&amp;",""properties"":"&amp;Map_Data!AB14&amp;"}")</x:f>
      </x:c>
      <x:c r="C15" s="30" t="n">
        <x:f>Map_Data!A14</x:f>
        <x:v>0</x:v>
      </x:c>
      <x:c r="D15" s="30" t="n">
        <x:f>Map_Data!B14</x:f>
        <x:v>0</x:v>
      </x:c>
    </x:row>
    <x:row r="16">
      <x:c r="A16" s="30"/>
      <x:c r="B16" s="30" t="str">
        <x:f>IF(Map_Data!A15="","","{""type"":""Feature"",""geometry"":"&amp;Map_Data!AA15&amp;",""properties"":"&amp;Map_Data!AB15&amp;"}")</x:f>
      </x:c>
      <x:c r="C16" s="30" t="n">
        <x:f>Map_Data!A15</x:f>
        <x:v>0</x:v>
      </x:c>
      <x:c r="D16" s="30" t="n">
        <x:f>Map_Data!B15</x:f>
        <x:v>0</x:v>
      </x:c>
    </x:row>
    <x:row r="17">
      <x:c r="A17" s="30"/>
      <x:c r="B17" s="30" t="str">
        <x:f>IF(Map_Data!A16="","","{""type"":""Feature"",""geometry"":"&amp;Map_Data!AA16&amp;",""properties"":"&amp;Map_Data!AB16&amp;"}")</x:f>
      </x:c>
      <x:c r="C17" s="30" t="n">
        <x:f>Map_Data!A16</x:f>
        <x:v>0</x:v>
      </x:c>
      <x:c r="D17" s="30" t="n">
        <x:f>Map_Data!B16</x:f>
        <x:v>0</x:v>
      </x:c>
    </x:row>
    <x:row r="18">
      <x:c r="A18" s="30"/>
      <x:c r="B18" s="30" t="str">
        <x:f>IF(Map_Data!A17="","","{""type"":""Feature"",""geometry"":"&amp;Map_Data!AA17&amp;",""properties"":"&amp;Map_Data!AB17&amp;"}")</x:f>
      </x:c>
      <x:c r="C18" s="30" t="n">
        <x:f>Map_Data!A17</x:f>
        <x:v>0</x:v>
      </x:c>
      <x:c r="D18" s="30" t="n">
        <x:f>Map_Data!B17</x:f>
        <x:v>0</x:v>
      </x:c>
    </x:row>
    <x:row r="19">
      <x:c r="A19" s="30"/>
      <x:c r="B19" s="30" t="str">
        <x:f>IF(Map_Data!A18="","","{""type"":""Feature"",""geometry"":"&amp;Map_Data!AA18&amp;",""properties"":"&amp;Map_Data!AB18&amp;"}")</x:f>
      </x:c>
      <x:c r="C19" s="30" t="n">
        <x:f>Map_Data!A18</x:f>
        <x:v>0</x:v>
      </x:c>
      <x:c r="D19" s="30" t="n">
        <x:f>Map_Data!B18</x:f>
        <x:v>0</x:v>
      </x:c>
    </x:row>
    <x:row r="20">
      <x:c r="A20" s="30"/>
      <x:c r="B20" s="30" t="str">
        <x:f>IF(Map_Data!A19="","","{""type"":""Feature"",""geometry"":"&amp;Map_Data!AA19&amp;",""properties"":"&amp;Map_Data!AB19&amp;"}")</x:f>
      </x:c>
      <x:c r="C20" s="30" t="n">
        <x:f>Map_Data!A19</x:f>
        <x:v>0</x:v>
      </x:c>
      <x:c r="D20" s="30" t="n">
        <x:f>Map_Data!B19</x:f>
        <x:v>0</x:v>
      </x:c>
    </x:row>
    <x:row r="21">
      <x:c r="A21" s="30"/>
      <x:c r="B21" s="30" t="str">
        <x:f>IF(Map_Data!A20="","","{""type"":""Feature"",""geometry"":"&amp;Map_Data!AA20&amp;",""properties"":"&amp;Map_Data!AB20&amp;"}")</x:f>
      </x:c>
      <x:c r="C21" s="30" t="n">
        <x:f>Map_Data!A20</x:f>
        <x:v>0</x:v>
      </x:c>
      <x:c r="D21" s="30" t="n">
        <x:f>Map_Data!B20</x:f>
        <x:v>0</x:v>
      </x:c>
    </x:row>
    <x:row r="22">
      <x:c r="A22" s="30"/>
      <x:c r="B22" s="30" t="str">
        <x:f>IF(Map_Data!A21="","","{""type"":""Feature"",""geometry"":"&amp;Map_Data!AA21&amp;",""properties"":"&amp;Map_Data!AB21&amp;"}")</x:f>
      </x:c>
      <x:c r="C22" s="30" t="n">
        <x:f>Map_Data!A21</x:f>
        <x:v>0</x:v>
      </x:c>
      <x:c r="D22" s="30" t="n">
        <x:f>Map_Data!B21</x:f>
        <x:v>0</x:v>
      </x:c>
    </x:row>
    <x:row r="23">
      <x:c r="A23" s="30"/>
      <x:c r="B23" s="30" t="str">
        <x:f>IF(Map_Data!A22="","","{""type"":""Feature"",""geometry"":"&amp;Map_Data!AA22&amp;",""properties"":"&amp;Map_Data!AB22&amp;"}")</x:f>
      </x:c>
      <x:c r="C23" s="30" t="n">
        <x:f>Map_Data!A22</x:f>
        <x:v>0</x:v>
      </x:c>
      <x:c r="D23" s="30" t="n">
        <x:f>Map_Data!B22</x:f>
        <x:v>0</x:v>
      </x:c>
    </x:row>
    <x:row r="24">
      <x:c r="A24" s="30"/>
      <x:c r="B24" s="30" t="str">
        <x:f>IF(Map_Data!A23="","","{""type"":""Feature"",""geometry"":"&amp;Map_Data!AA23&amp;",""properties"":"&amp;Map_Data!AB23&amp;"}")</x:f>
      </x:c>
      <x:c r="C24" s="30" t="n">
        <x:f>Map_Data!A23</x:f>
        <x:v>0</x:v>
      </x:c>
      <x:c r="D24" s="30" t="n">
        <x:f>Map_Data!B23</x:f>
        <x:v>0</x:v>
      </x:c>
    </x:row>
    <x:row r="25">
      <x:c r="A25" s="30"/>
      <x:c r="B25" s="30" t="str">
        <x:f>IF(Map_Data!A24="","","{""type"":""Feature"",""geometry"":"&amp;Map_Data!AA24&amp;",""properties"":"&amp;Map_Data!AB24&amp;"}")</x:f>
      </x:c>
      <x:c r="C25" s="30" t="n">
        <x:f>Map_Data!A24</x:f>
        <x:v>0</x:v>
      </x:c>
      <x:c r="D25" s="30" t="n">
        <x:f>Map_Data!B24</x:f>
        <x:v>0</x:v>
      </x:c>
    </x:row>
    <x:row r="26">
      <x:c r="A26" s="30"/>
      <x:c r="B26" s="30" t="str">
        <x:f>IF(Map_Data!A25="","","{""type"":""Feature"",""geometry"":"&amp;Map_Data!AA25&amp;",""properties"":"&amp;Map_Data!AB25&amp;"}")</x:f>
      </x:c>
      <x:c r="C26" s="30" t="n">
        <x:f>Map_Data!A25</x:f>
        <x:v>0</x:v>
      </x:c>
      <x:c r="D26" s="30" t="n">
        <x:f>Map_Data!B25</x:f>
        <x:v>0</x:v>
      </x:c>
    </x:row>
    <x:row r="27">
      <x:c r="A27" s="30"/>
      <x:c r="B27" s="30" t="str">
        <x:f>IF(Map_Data!A26="","","{""type"":""Feature"",""geometry"":"&amp;Map_Data!AA26&amp;",""properties"":"&amp;Map_Data!AB26&amp;"}")</x:f>
      </x:c>
      <x:c r="C27" s="30" t="n">
        <x:f>Map_Data!A26</x:f>
        <x:v>0</x:v>
      </x:c>
      <x:c r="D27" s="30" t="n">
        <x:f>Map_Data!B26</x:f>
        <x:v>0</x:v>
      </x:c>
    </x:row>
    <x:row r="28">
      <x:c r="A28" s="30"/>
      <x:c r="B28" s="30" t="str">
        <x:f>IF(Map_Data!A27="","","{""type"":""Feature"",""geometry"":"&amp;Map_Data!AA27&amp;",""properties"":"&amp;Map_Data!AB27&amp;"}")</x:f>
      </x:c>
      <x:c r="C28" s="30" t="n">
        <x:f>Map_Data!A27</x:f>
        <x:v>0</x:v>
      </x:c>
      <x:c r="D28" s="30" t="n">
        <x:f>Map_Data!B27</x:f>
        <x:v>0</x:v>
      </x:c>
    </x:row>
    <x:row r="29">
      <x:c r="A29" s="30"/>
      <x:c r="B29" s="30" t="str">
        <x:f>IF(Map_Data!A28="","","{""type"":""Feature"",""geometry"":"&amp;Map_Data!AA28&amp;",""properties"":"&amp;Map_Data!AB28&amp;"}")</x:f>
      </x:c>
      <x:c r="C29" s="30" t="n">
        <x:f>Map_Data!A28</x:f>
        <x:v>0</x:v>
      </x:c>
      <x:c r="D29" s="30" t="n">
        <x:f>Map_Data!B28</x:f>
        <x:v>0</x:v>
      </x:c>
    </x:row>
    <x:row r="30">
      <x:c r="A30" s="30"/>
      <x:c r="B30" s="30" t="str">
        <x:f>IF(Map_Data!A29="","","{""type"":""Feature"",""geometry"":"&amp;Map_Data!AA29&amp;",""properties"":"&amp;Map_Data!AB29&amp;"}")</x:f>
      </x:c>
      <x:c r="C30" s="30" t="n">
        <x:f>Map_Data!A29</x:f>
        <x:v>0</x:v>
      </x:c>
      <x:c r="D30" s="30" t="n">
        <x:f>Map_Data!B29</x:f>
        <x:v>0</x:v>
      </x:c>
    </x:row>
    <x:row r="31">
      <x:c r="A31" s="30"/>
      <x:c r="B31" s="30" t="str">
        <x:f>IF(Map_Data!A30="","","{""type"":""Feature"",""geometry"":"&amp;Map_Data!AA30&amp;",""properties"":"&amp;Map_Data!AB30&amp;"}")</x:f>
      </x:c>
      <x:c r="C31" s="30" t="n">
        <x:f>Map_Data!A30</x:f>
        <x:v>0</x:v>
      </x:c>
      <x:c r="D31" s="30" t="n">
        <x:f>Map_Data!B30</x:f>
        <x:v>0</x:v>
      </x:c>
    </x:row>
    <x:row r="32">
      <x:c r="A32" s="30"/>
      <x:c r="B32" s="30" t="str">
        <x:f>IF(Map_Data!A31="","","{""type"":""Feature"",""geometry"":"&amp;Map_Data!AA31&amp;",""properties"":"&amp;Map_Data!AB31&amp;"}")</x:f>
      </x:c>
      <x:c r="C32" s="30" t="n">
        <x:f>Map_Data!A31</x:f>
        <x:v>0</x:v>
      </x:c>
      <x:c r="D32" s="30" t="n">
        <x:f>Map_Data!B31</x:f>
        <x:v>0</x:v>
      </x:c>
    </x:row>
    <x:row r="33">
      <x:c r="A33" s="30"/>
      <x:c r="B33" s="30" t="str">
        <x:f>IF(Map_Data!A32="","","{""type"":""Feature"",""geometry"":"&amp;Map_Data!AA32&amp;",""properties"":"&amp;Map_Data!AB32&amp;"}")</x:f>
      </x:c>
      <x:c r="C33" s="30" t="n">
        <x:f>Map_Data!A32</x:f>
        <x:v>0</x:v>
      </x:c>
      <x:c r="D33" s="30" t="n">
        <x:f>Map_Data!B32</x:f>
        <x:v>0</x:v>
      </x:c>
    </x:row>
    <x:row r="34">
      <x:c r="A34" s="30"/>
      <x:c r="B34" s="30" t="str">
        <x:f>IF(Map_Data!A33="","","{""type"":""Feature"",""geometry"":"&amp;Map_Data!AA33&amp;",""properties"":"&amp;Map_Data!AB33&amp;"}")</x:f>
      </x:c>
      <x:c r="C34" s="30" t="n">
        <x:f>Map_Data!A33</x:f>
        <x:v>0</x:v>
      </x:c>
      <x:c r="D34" s="30" t="n">
        <x:f>Map_Data!B33</x:f>
        <x:v>0</x:v>
      </x:c>
    </x:row>
    <x:row r="35">
      <x:c r="A35" s="30"/>
      <x:c r="B35" s="30" t="str">
        <x:f>IF(Map_Data!A34="","","{""type"":""Feature"",""geometry"":"&amp;Map_Data!AA34&amp;",""properties"":"&amp;Map_Data!AB34&amp;"}")</x:f>
      </x:c>
      <x:c r="C35" s="30" t="n">
        <x:f>Map_Data!A34</x:f>
        <x:v>0</x:v>
      </x:c>
      <x:c r="D35" s="30" t="n">
        <x:f>Map_Data!B34</x:f>
        <x:v>0</x:v>
      </x:c>
    </x:row>
    <x:row r="36">
      <x:c r="A36" s="30"/>
      <x:c r="B36" s="30" t="str">
        <x:f>IF(Map_Data!A35="","","{""type"":""Feature"",""geometry"":"&amp;Map_Data!AA35&amp;",""properties"":"&amp;Map_Data!AB35&amp;"}")</x:f>
      </x:c>
      <x:c r="C36" s="30" t="n">
        <x:f>Map_Data!A35</x:f>
        <x:v>0</x:v>
      </x:c>
      <x:c r="D36" s="30" t="n">
        <x:f>Map_Data!B35</x:f>
        <x:v>0</x:v>
      </x:c>
    </x:row>
    <x:row r="37">
      <x:c r="A37" s="30"/>
      <x:c r="B37" s="30" t="str">
        <x:f>IF(Map_Data!A36="","","{""type"":""Feature"",""geometry"":"&amp;Map_Data!AA36&amp;",""properties"":"&amp;Map_Data!AB36&amp;"}")</x:f>
      </x:c>
      <x:c r="C37" s="30" t="n">
        <x:f>Map_Data!A36</x:f>
        <x:v>0</x:v>
      </x:c>
      <x:c r="D37" s="30" t="n">
        <x:f>Map_Data!B36</x:f>
        <x:v>0</x:v>
      </x:c>
    </x:row>
    <x:row r="38">
      <x:c r="A38" s="30"/>
      <x:c r="B38" s="30" t="str">
        <x:f>IF(Map_Data!A37="","","{""type"":""Feature"",""geometry"":"&amp;Map_Data!AA37&amp;",""properties"":"&amp;Map_Data!AB37&amp;"}")</x:f>
      </x:c>
      <x:c r="C38" s="30" t="n">
        <x:f>Map_Data!A37</x:f>
        <x:v>0</x:v>
      </x:c>
      <x:c r="D38" s="30" t="n">
        <x:f>Map_Data!B37</x:f>
        <x:v>0</x:v>
      </x:c>
    </x:row>
    <x:row r="39">
      <x:c r="A39" s="30"/>
      <x:c r="B39" s="30" t="str">
        <x:f>IF(Map_Data!A38="","","{""type"":""Feature"",""geometry"":"&amp;Map_Data!AA38&amp;",""properties"":"&amp;Map_Data!AB38&amp;"}")</x:f>
      </x:c>
      <x:c r="C39" s="30" t="n">
        <x:f>Map_Data!A38</x:f>
        <x:v>0</x:v>
      </x:c>
      <x:c r="D39" s="30" t="n">
        <x:f>Map_Data!B38</x:f>
        <x:v>0</x:v>
      </x:c>
    </x:row>
    <x:row r="40">
      <x:c r="A40" s="30"/>
      <x:c r="B40" s="30" t="str">
        <x:f>IF(Map_Data!A39="","","{""type"":""Feature"",""geometry"":"&amp;Map_Data!AA39&amp;",""properties"":"&amp;Map_Data!AB39&amp;"}")</x:f>
      </x:c>
      <x:c r="C40" s="30" t="n">
        <x:f>Map_Data!A39</x:f>
        <x:v>0</x:v>
      </x:c>
      <x:c r="D40" s="30" t="n">
        <x:f>Map_Data!B39</x:f>
        <x:v>0</x:v>
      </x:c>
    </x:row>
    <x:row r="41">
      <x:c r="A41" s="30"/>
      <x:c r="B41" s="30" t="str">
        <x:f>IF(Map_Data!A40="","","{""type"":""Feature"",""geometry"":"&amp;Map_Data!AA40&amp;",""properties"":"&amp;Map_Data!AB40&amp;"}")</x:f>
      </x:c>
      <x:c r="C41" s="30" t="n">
        <x:f>Map_Data!A40</x:f>
        <x:v>0</x:v>
      </x:c>
      <x:c r="D41" s="30" t="n">
        <x:f>Map_Data!B40</x:f>
        <x:v>0</x:v>
      </x:c>
    </x:row>
    <x:row r="42">
      <x:c r="A42" s="30"/>
      <x:c r="B42" s="30" t="str">
        <x:f>IF(Map_Data!A41="","","{""type"":""Feature"",""geometry"":"&amp;Map_Data!AA41&amp;",""properties"":"&amp;Map_Data!AB41&amp;"}")</x:f>
      </x:c>
      <x:c r="C42" s="30" t="n">
        <x:f>Map_Data!A41</x:f>
        <x:v>0</x:v>
      </x:c>
      <x:c r="D42" s="30" t="n">
        <x:f>Map_Data!B41</x:f>
        <x:v>0</x:v>
      </x:c>
    </x:row>
    <x:row r="43">
      <x:c r="A43" s="30"/>
      <x:c r="B43" s="30" t="str">
        <x:f>IF(Map_Data!A42="","","{""type"":""Feature"",""geometry"":"&amp;Map_Data!AA42&amp;",""properties"":"&amp;Map_Data!AB42&amp;"}")</x:f>
      </x:c>
      <x:c r="C43" s="30" t="n">
        <x:f>Map_Data!A42</x:f>
        <x:v>0</x:v>
      </x:c>
      <x:c r="D43" s="30" t="n">
        <x:f>Map_Data!B42</x:f>
        <x:v>0</x:v>
      </x:c>
    </x:row>
    <x:row r="44">
      <x:c r="A44" s="30"/>
      <x:c r="B44" s="30" t="str">
        <x:f>IF(Map_Data!A43="","","{""type"":""Feature"",""geometry"":"&amp;Map_Data!AA43&amp;",""properties"":"&amp;Map_Data!AB43&amp;"}")</x:f>
      </x:c>
      <x:c r="C44" s="30" t="n">
        <x:f>Map_Data!A43</x:f>
        <x:v>0</x:v>
      </x:c>
      <x:c r="D44" s="30" t="n">
        <x:f>Map_Data!B43</x:f>
        <x:v>0</x:v>
      </x:c>
    </x:row>
    <x:row r="45">
      <x:c r="A45" s="30"/>
      <x:c r="B45" s="30" t="str">
        <x:f>IF(Map_Data!A44="","","{""type"":""Feature"",""geometry"":"&amp;Map_Data!AA44&amp;",""properties"":"&amp;Map_Data!AB44&amp;"}")</x:f>
      </x:c>
      <x:c r="C45" s="30" t="n">
        <x:f>Map_Data!A44</x:f>
        <x:v>0</x:v>
      </x:c>
      <x:c r="D45" s="30" t="n">
        <x:f>Map_Data!B44</x:f>
        <x:v>0</x:v>
      </x:c>
    </x:row>
    <x:row r="46">
      <x:c r="A46" s="30"/>
      <x:c r="B46" s="30" t="str">
        <x:f>IF(Map_Data!A45="","","{""type"":""Feature"",""geometry"":"&amp;Map_Data!AA45&amp;",""properties"":"&amp;Map_Data!AB45&amp;"}")</x:f>
      </x:c>
      <x:c r="C46" s="30" t="n">
        <x:f>Map_Data!A45</x:f>
        <x:v>0</x:v>
      </x:c>
      <x:c r="D46" s="30" t="n">
        <x:f>Map_Data!B45</x:f>
        <x:v>0</x:v>
      </x:c>
    </x:row>
    <x:row r="47">
      <x:c r="A47" s="30"/>
      <x:c r="B47" s="30" t="str">
        <x:f>IF(Map_Data!A46="","","{""type"":""Feature"",""geometry"":"&amp;Map_Data!AA46&amp;",""properties"":"&amp;Map_Data!AB46&amp;"}")</x:f>
      </x:c>
      <x:c r="C47" s="30" t="n">
        <x:f>Map_Data!A46</x:f>
        <x:v>0</x:v>
      </x:c>
      <x:c r="D47" s="30" t="n">
        <x:f>Map_Data!B46</x:f>
        <x:v>0</x:v>
      </x:c>
    </x:row>
    <x:row r="48">
      <x:c r="A48" s="30"/>
      <x:c r="B48" s="30" t="str">
        <x:f>IF(Map_Data!A47="","","{""type"":""Feature"",""geometry"":"&amp;Map_Data!AA47&amp;",""properties"":"&amp;Map_Data!AB47&amp;"}")</x:f>
      </x:c>
      <x:c r="C48" s="30" t="n">
        <x:f>Map_Data!A47</x:f>
        <x:v>0</x:v>
      </x:c>
      <x:c r="D48" s="30" t="n">
        <x:f>Map_Data!B47</x:f>
        <x:v>0</x:v>
      </x:c>
    </x:row>
    <x:row r="49">
      <x:c r="A49" s="30"/>
      <x:c r="B49" s="30" t="str">
        <x:f>IF(Map_Data!A48="","","{""type"":""Feature"",""geometry"":"&amp;Map_Data!AA48&amp;",""properties"":"&amp;Map_Data!AB48&amp;"}")</x:f>
      </x:c>
      <x:c r="C49" s="30" t="n">
        <x:f>Map_Data!A48</x:f>
        <x:v>0</x:v>
      </x:c>
      <x:c r="D49" s="30" t="n">
        <x:f>Map_Data!B48</x:f>
        <x:v>0</x:v>
      </x:c>
    </x:row>
    <x:row r="50">
      <x:c r="A50" s="30"/>
      <x:c r="B50" s="30" t="str">
        <x:f>IF(Map_Data!A49="","","{""type"":""Feature"",""geometry"":"&amp;Map_Data!AA49&amp;",""properties"":"&amp;Map_Data!AB49&amp;"}")</x:f>
      </x:c>
      <x:c r="C50" s="30" t="n">
        <x:f>Map_Data!A49</x:f>
        <x:v>0</x:v>
      </x:c>
      <x:c r="D50" s="30" t="n">
        <x:f>Map_Data!B49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6" hidden="0" customWidth="1"/>
    <x:col min="5" max="5" width="48" hidden="0" customWidth="1"/>
    <x:col min="6" max="6" width="18" hidden="0" customWidth="1"/>
    <x:col min="7" max="7" width="10" hidden="0" customWidth="1"/>
    <x:col min="8" max="8" width="16" hidden="0" customWidth="1"/>
    <x:col min="10" max="10" width="28" hidden="0" customWidth="1"/>
    <x:col min="11" max="11" width="28" hidden="0" customWidth="1"/>
    <x:col min="12" max="12" width="14" hidden="0" customWidth="1"/>
    <x:col min="13" max="13" width="60" hidden="0" customWidth="1"/>
  </x:cols>
  <x:sheetData>
    <x:row r="1" ht="28" customHeight="1">
      <x:c r="A1" s="23" t="str">
        <x:v>Score</x:v>
      </x:c>
      <x:c r="B1" s="23" t="str">
        <x:v>Risk_Label</x:v>
      </x:c>
      <x:c r="C1" s="23" t="str">
        <x:v>Hex_Colour_NoHash</x:v>
      </x:c>
      <x:c r="D1" s="23" t="str">
        <x:v>Default_Opacity</x:v>
      </x:c>
      <x:c r="E1" s="23" t="str">
        <x:v>Meaning</x:v>
      </x:c>
      <x:c r="F1" s="23" t="str">
        <x:v>Confidence_Band</x:v>
      </x:c>
      <x:c r="G1" s="23" t="str">
        <x:v>Opacity</x:v>
      </x:c>
      <x:c r="H1" s="23" t="str">
        <x:v>Confidence_Range</x:v>
      </x:c>
      <x:c r="J1" s="23" t="str">
        <x:v>Factor</x:v>
      </x:c>
      <x:c r="K1" s="23" t="str">
        <x:v>Layer_Display_Name</x:v>
      </x:c>
      <x:c r="L1" s="23" t="str">
        <x:v>Default_Visible</x:v>
      </x:c>
      <x:c r="M1" s="23" t="str">
        <x:v>Layer_Description</x:v>
      </x:c>
    </x:row>
    <x:row r="2">
      <x:c r="A2" s="30" t="n">
        <x:v>0</x:v>
      </x:c>
      <x:c r="B2" s="30" t="str">
        <x:v>No confirmed signs</x:v>
      </x:c>
      <x:c r="C2" s="34" t="str">
        <x:v>F2F2F2</x:v>
      </x:c>
      <x:c r="D2" s="30" t="n">
        <x:v>0.15</x:v>
      </x:c>
      <x:c r="E2" s="30" t="str">
        <x:v>No confirmed evidence or not applicable</x:v>
      </x:c>
      <x:c r="F2" s="30" t="str">
        <x:v>High</x:v>
      </x:c>
      <x:c r="G2" s="30" t="n">
        <x:v>1</x:v>
      </x:c>
      <x:c r="H2" s="30" t="str">
        <x:v>80–100</x:v>
      </x:c>
      <x:c r="I2" s="30"/>
      <x:c r="J2" s="30" t="str">
        <x:v>Russian influence</x:v>
      </x:c>
      <x:c r="K2" s="30" t="str">
        <x:v>Russian influence</x:v>
      </x:c>
      <x:c r="L2" s="30" t="str">
        <x:v>Yes</x:v>
      </x:c>
      <x:c r="M2" s="30" t="str">
        <x:v>Composite of military/security, political, economic, information and cyber indicators.</x:v>
      </x:c>
    </x:row>
    <x:row r="3">
      <x:c r="A3" s="30" t="n">
        <x:v>1</x:v>
      </x:c>
      <x:c r="B3" s="30" t="str">
        <x:v>Weak / isolated</x:v>
      </x:c>
      <x:c r="C3" s="36" t="str">
        <x:v>D9F0D3</x:v>
      </x:c>
      <x:c r="D3" s="30" t="n">
        <x:v>0.35</x:v>
      </x:c>
      <x:c r="E3" s="30" t="str">
        <x:v>Weak, isolated or speculative signs</x:v>
      </x:c>
      <x:c r="F3" s="30" t="str">
        <x:v>Medium</x:v>
      </x:c>
      <x:c r="G3" s="30" t="n">
        <x:v>0.75</x:v>
      </x:c>
      <x:c r="H3" s="30" t="str">
        <x:v>60–79</x:v>
      </x:c>
      <x:c r="I3" s="30"/>
      <x:c r="J3" s="30" t="str">
        <x:v>PMC presence</x:v>
      </x:c>
      <x:c r="K3" s="30" t="str">
        <x:v>PMC presence</x:v>
      </x:c>
      <x:c r="L3" s="30" t="str">
        <x:v>Yes</x:v>
      </x:c>
      <x:c r="M3" s="30" t="str">
        <x:v>Presence and role of Wagner/Africa Corps/other Russian-linked contractors.</x:v>
      </x:c>
    </x:row>
    <x:row r="4">
      <x:c r="A4" s="30" t="n">
        <x:v>2</x:v>
      </x:c>
      <x:c r="B4" s="30" t="str">
        <x:v>Limited</x:v>
      </x:c>
      <x:c r="C4" s="38" t="str">
        <x:v>ADDD8E</x:v>
      </x:c>
      <x:c r="D4" s="30" t="n">
        <x:v>0.5</x:v>
      </x:c>
      <x:c r="E4" s="30" t="str">
        <x:v>Limited, indirect or sporadic influence</x:v>
      </x:c>
      <x:c r="F4" s="30" t="str">
        <x:v>Low</x:v>
      </x:c>
      <x:c r="G4" s="30" t="n">
        <x:v>0.45</x:v>
      </x:c>
      <x:c r="H4" s="30" t="str">
        <x:v>40–59</x:v>
      </x:c>
      <x:c r="I4" s="30"/>
      <x:c r="J4" s="30" t="str">
        <x:v>Propaganda ecosystems</x:v>
      </x:c>
      <x:c r="K4" s="30" t="str">
        <x:v>Propaganda ecosystems</x:v>
      </x:c>
      <x:c r="L4" s="30" t="str">
        <x:v>Yes</x:v>
      </x:c>
      <x:c r="M4" s="30" t="str">
        <x:v>Narrative volume, amplification, coordination, platform reach and cross-border targeting.</x:v>
      </x:c>
    </x:row>
    <x:row r="5">
      <x:c r="A5" s="30" t="n">
        <x:v>3</x:v>
      </x:c>
      <x:c r="B5" s="30" t="str">
        <x:v>Medium</x:v>
      </x:c>
      <x:c r="C5" s="40" t="str">
        <x:v>FDAE6B</x:v>
      </x:c>
      <x:c r="D5" s="30" t="n">
        <x:v>0.7</x:v>
      </x:c>
      <x:c r="E5" s="30" t="str">
        <x:v>Regular, visible or repeated influence</x:v>
      </x:c>
      <x:c r="F5" s="30" t="str">
        <x:v>Needs review</x:v>
      </x:c>
      <x:c r="G5" s="30" t="n">
        <x:v>0.25</x:v>
      </x:c>
      <x:c r="H5" s="30" t="str">
        <x:v>0–39</x:v>
      </x:c>
      <x:c r="I5" s="30"/>
      <x:c r="J5" s="30" t="str">
        <x:v>Election interference</x:v>
      </x:c>
      <x:c r="K5" s="30" t="str">
        <x:v>Election interference</x:v>
      </x:c>
      <x:c r="L5" s="30" t="str">
        <x:v>Yes</x:v>
      </x:c>
      <x:c r="M5" s="30" t="str">
        <x:v>Attribution, timing, cyber/leak operations, disinformation and impact indicators.</x:v>
      </x:c>
    </x:row>
    <x:row r="6">
      <x:c r="A6" s="30" t="n">
        <x:v>4</x:v>
      </x:c>
      <x:c r="B6" s="30" t="str">
        <x:v>High</x:v>
      </x:c>
      <x:c r="C6" s="42" t="str">
        <x:v>F16913</x:v>
      </x:c>
      <x:c r="D6" s="30" t="n">
        <x:v>0.85</x:v>
      </x:c>
      <x:c r="E6" s="30" t="str">
        <x:v>Systemic influence across several channels</x:v>
      </x:c>
      <x:c r="F6" s="30" t="str">
        <x:v>No data</x:v>
      </x:c>
      <x:c r="G6" s="30" t="n">
        <x:v>0.15</x:v>
      </x:c>
      <x:c r="H6" s="30" t="str">
        <x:v>No evidence rows</x:v>
      </x:c>
      <x:c r="I6" s="30"/>
      <x:c r="J6" s="30"/>
      <x:c r="K6" s="30"/>
      <x:c r="L6" s="30"/>
      <x:c r="M6" s="30"/>
    </x:row>
    <x:row r="7">
      <x:c r="A7" s="30" t="n">
        <x:v>5</x:v>
      </x:c>
      <x:c r="B7" s="30" t="str">
        <x:v>Severe</x:v>
      </x:c>
      <x:c r="C7" s="44" t="str">
        <x:v>A63603</x:v>
      </x:c>
      <x:c r="D7" s="30" t="n">
        <x:v>1</x:v>
      </x:c>
      <x:c r="E7" s="30" t="str">
        <x:v>Direct, institutionalized, decisive or critical influence</x:v>
      </x:c>
      <x:c r="F7" s="30"/>
      <x:c r="G7" s="30"/>
      <x:c r="H7" s="30"/>
      <x:c r="I7" s="30"/>
      <x:c r="J7" s="30"/>
      <x:c r="K7" s="30"/>
      <x:c r="L7" s="30"/>
      <x:c r="M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8" hidden="0" customWidth="1"/>
    <x:col min="3" max="3" width="44" hidden="0" customWidth="1"/>
    <x:col min="4" max="4" width="18" hidden="0" customWidth="1"/>
    <x:col min="5" max="5" width="68" hidden="0" customWidth="1"/>
  </x:cols>
  <x:sheetData>
    <x:row r="1" ht="28" customHeight="1">
      <x:c r="A1" s="23" t="str">
        <x:v>Rule_Key</x:v>
      </x:c>
      <x:c r="B1" s="23" t="str">
        <x:v>Factor</x:v>
      </x:c>
      <x:c r="C1" s="23" t="str">
        <x:v>Indicator</x:v>
      </x:c>
      <x:c r="D1" s="23" t="str">
        <x:v>Indicator_Weight</x:v>
      </x:c>
      <x:c r="E1" s="23" t="str">
        <x:v>Scoring_Note</x:v>
      </x:c>
    </x:row>
    <x:row r="2">
      <x:c r="A2" s="30" t="str">
        <x:v>Russian influence|Pilot baseline estimate</x:v>
      </x:c>
      <x:c r="B2" s="30" t="str">
        <x:v>Russian influence</x:v>
      </x:c>
      <x:c r="C2" s="30" t="str">
        <x:v>Pilot baseline estimate</x:v>
      </x:c>
      <x:c r="D2" s="30" t="n">
        <x:v>100</x:v>
      </x:c>
      <x:c r="E2" s="30" t="str">
        <x:v>Temporary one-line pilot estimate; replace with indicator-level evidence.</x:v>
      </x:c>
    </x:row>
    <x:row r="3">
      <x:c r="A3" s="30" t="str">
        <x:v>Russian influence|Military/security cooperation</x:v>
      </x:c>
      <x:c r="B3" s="30" t="str">
        <x:v>Russian influence</x:v>
      </x:c>
      <x:c r="C3" s="30" t="str">
        <x:v>Military/security cooperation</x:v>
      </x:c>
      <x:c r="D3" s="30" t="n">
        <x:v>25</x:v>
      </x:c>
      <x:c r="E3" s="30" t="str">
        <x:v>Training, basing, arms, intelligence, or security dependence.</x:v>
      </x:c>
    </x:row>
    <x:row r="4">
      <x:c r="A4" s="30" t="str">
        <x:v>Russian influence|Political alignment / elite ties</x:v>
      </x:c>
      <x:c r="B4" s="30" t="str">
        <x:v>Russian influence</x:v>
      </x:c>
      <x:c r="C4" s="30" t="str">
        <x:v>Political alignment / elite ties</x:v>
      </x:c>
      <x:c r="D4" s="30" t="n">
        <x:v>25</x:v>
      </x:c>
      <x:c r="E4" s="30" t="str">
        <x:v>Elite networks, party links, diplomatic alignment, patronage.</x:v>
      </x:c>
    </x:row>
    <x:row r="5">
      <x:c r="A5" s="30" t="str">
        <x:v>Russian influence|Economic or energy dependence</x:v>
      </x:c>
      <x:c r="B5" s="30" t="str">
        <x:v>Russian influence</x:v>
      </x:c>
      <x:c r="C5" s="30" t="str">
        <x:v>Economic or energy dependence</x:v>
      </x:c>
      <x:c r="D5" s="30" t="n">
        <x:v>20</x:v>
      </x:c>
      <x:c r="E5" s="30" t="str">
        <x:v>Energy, trade, debt, mining, logistics, or strategic dependencies.</x:v>
      </x:c>
    </x:row>
    <x:row r="6">
      <x:c r="A6" s="30" t="str">
        <x:v>Russian influence|Information influence</x:v>
      </x:c>
      <x:c r="B6" s="30" t="str">
        <x:v>Russian influence</x:v>
      </x:c>
      <x:c r="C6" s="30" t="str">
        <x:v>Information influence</x:v>
      </x:c>
      <x:c r="D6" s="30" t="n">
        <x:v>20</x:v>
      </x:c>
      <x:c r="E6" s="30" t="str">
        <x:v>State media, content networks, narrative penetration.</x:v>
      </x:c>
    </x:row>
    <x:row r="7">
      <x:c r="A7" s="30" t="str">
        <x:v>Russian influence|Cyber / intelligence activity</x:v>
      </x:c>
      <x:c r="B7" s="30" t="str">
        <x:v>Russian influence</x:v>
      </x:c>
      <x:c r="C7" s="30" t="str">
        <x:v>Cyber / intelligence activity</x:v>
      </x:c>
      <x:c r="D7" s="30" t="n">
        <x:v>10</x:v>
      </x:c>
      <x:c r="E7" s="30" t="str">
        <x:v>Cyber operations, espionage, influence-linked cyber incidents.</x:v>
      </x:c>
    </x:row>
    <x:row r="8">
      <x:c r="A8" s="30" t="str">
        <x:v>PMC presence|Pilot baseline estimate</x:v>
      </x:c>
      <x:c r="B8" s="30" t="str">
        <x:v>PMC presence</x:v>
      </x:c>
      <x:c r="C8" s="30" t="str">
        <x:v>Pilot baseline estimate</x:v>
      </x:c>
      <x:c r="D8" s="30" t="n">
        <x:v>100</x:v>
      </x:c>
      <x:c r="E8" s="30" t="str">
        <x:v>Temporary one-line pilot estimate; replace with indicator-level evidence.</x:v>
      </x:c>
    </x:row>
    <x:row r="9">
      <x:c r="A9" s="30" t="str">
        <x:v>PMC presence|Confirmed deployment</x:v>
      </x:c>
      <x:c r="B9" s="30" t="str">
        <x:v>PMC presence</x:v>
      </x:c>
      <x:c r="C9" s="30" t="str">
        <x:v>Confirmed deployment</x:v>
      </x:c>
      <x:c r="D9" s="30" t="n">
        <x:v>35</x:v>
      </x:c>
      <x:c r="E9" s="30" t="str">
        <x:v>Confirmed presence of Wagner/Africa Corps/other Russian-linked contractors.</x:v>
      </x:c>
    </x:row>
    <x:row r="10">
      <x:c r="A10" s="30" t="str">
        <x:v>PMC presence|Combat or security role</x:v>
      </x:c>
      <x:c r="B10" s="30" t="str">
        <x:v>PMC presence</x:v>
      </x:c>
      <x:c r="C10" s="30" t="str">
        <x:v>Combat or security role</x:v>
      </x:c>
      <x:c r="D10" s="30" t="n">
        <x:v>25</x:v>
      </x:c>
      <x:c r="E10" s="30" t="str">
        <x:v>Combat operations, convoy security, regime protection, base protection.</x:v>
      </x:c>
    </x:row>
    <x:row r="11">
      <x:c r="A11" s="30" t="str">
        <x:v>PMC presence|Integration with state forces</x:v>
      </x:c>
      <x:c r="B11" s="30" t="str">
        <x:v>PMC presence</x:v>
      </x:c>
      <x:c r="C11" s="30" t="str">
        <x:v>Integration with state forces</x:v>
      </x:c>
      <x:c r="D11" s="30" t="n">
        <x:v>20</x:v>
      </x:c>
      <x:c r="E11" s="30" t="str">
        <x:v>Training, joint operations, command integration or state security functions.</x:v>
      </x:c>
    </x:row>
    <x:row r="12">
      <x:c r="A12" s="30" t="str">
        <x:v>PMC presence|Resource/security contracts</x:v>
      </x:c>
      <x:c r="B12" s="30" t="str">
        <x:v>PMC presence</x:v>
      </x:c>
      <x:c r="C12" s="30" t="str">
        <x:v>Resource/security contracts</x:v>
      </x:c>
      <x:c r="D12" s="30" t="n">
        <x:v>10</x:v>
      </x:c>
      <x:c r="E12" s="30" t="str">
        <x:v>Mining, energy, port, logistics, or security-for-resource arrangements.</x:v>
      </x:c>
    </x:row>
    <x:row r="13">
      <x:c r="A13" s="30" t="str">
        <x:v>PMC presence|Recency of activity</x:v>
      </x:c>
      <x:c r="B13" s="30" t="str">
        <x:v>PMC presence</x:v>
      </x:c>
      <x:c r="C13" s="30" t="str">
        <x:v>Recency of activity</x:v>
      </x:c>
      <x:c r="D13" s="30" t="n">
        <x:v>10</x:v>
      </x:c>
      <x:c r="E13" s="30" t="str">
        <x:v>Evidence of current or recent activity.</x:v>
      </x:c>
    </x:row>
    <x:row r="14">
      <x:c r="A14" s="30" t="str">
        <x:v>Propaganda ecosystems|Pilot baseline estimate</x:v>
      </x:c>
      <x:c r="B14" s="30" t="str">
        <x:v>Propaganda ecosystems</x:v>
      </x:c>
      <x:c r="C14" s="30" t="str">
        <x:v>Pilot baseline estimate</x:v>
      </x:c>
      <x:c r="D14" s="30" t="n">
        <x:v>100</x:v>
      </x:c>
      <x:c r="E14" s="30" t="str">
        <x:v>Temporary one-line pilot estimate; replace with indicator-level evidence.</x:v>
      </x:c>
    </x:row>
    <x:row r="15">
      <x:c r="A15" s="30" t="str">
        <x:v>Propaganda ecosystems|Volume of pro-Kremlin narratives</x:v>
      </x:c>
      <x:c r="B15" s="30" t="str">
        <x:v>Propaganda ecosystems</x:v>
      </x:c>
      <x:c r="C15" s="30" t="str">
        <x:v>Volume of pro-Kremlin narratives</x:v>
      </x:c>
      <x:c r="D15" s="30" t="n">
        <x:v>25</x:v>
      </x:c>
      <x:c r="E15" s="30" t="str">
        <x:v>Repeated narratives across media, social or political channels.</x:v>
      </x:c>
    </x:row>
    <x:row r="16">
      <x:c r="A16" s="30" t="str">
        <x:v>Propaganda ecosystems|Domestic amplification by local media/politicians</x:v>
      </x:c>
      <x:c r="B16" s="30" t="str">
        <x:v>Propaganda ecosystems</x:v>
      </x:c>
      <x:c r="C16" s="30" t="str">
        <x:v>Domestic amplification by local media/politicians</x:v>
      </x:c>
      <x:c r="D16" s="30" t="n">
        <x:v>25</x:v>
      </x:c>
      <x:c r="E16" s="30" t="str">
        <x:v>Local intermediaries amplify narratives.</x:v>
      </x:c>
    </x:row>
    <x:row r="17">
      <x:c r="A17" s="30" t="str">
        <x:v>Propaganda ecosystems|Coordination / network behaviour</x:v>
      </x:c>
      <x:c r="B17" s="30" t="str">
        <x:v>Propaganda ecosystems</x:v>
      </x:c>
      <x:c r="C17" s="30" t="str">
        <x:v>Coordination / network behaviour</x:v>
      </x:c>
      <x:c r="D17" s="30" t="n">
        <x:v>20</x:v>
      </x:c>
      <x:c r="E17" s="30" t="str">
        <x:v>Coordinated posting, bot/troll farms, linked media networks.</x:v>
      </x:c>
    </x:row>
    <x:row r="18">
      <x:c r="A18" s="30" t="str">
        <x:v>Propaganda ecosystems|Platform reach</x:v>
      </x:c>
      <x:c r="B18" s="30" t="str">
        <x:v>Propaganda ecosystems</x:v>
      </x:c>
      <x:c r="C18" s="30" t="str">
        <x:v>Platform reach</x:v>
      </x:c>
      <x:c r="D18" s="30" t="n">
        <x:v>15</x:v>
      </x:c>
      <x:c r="E18" s="30" t="str">
        <x:v>Meaningful audience reach across platforms.</x:v>
      </x:c>
    </x:row>
    <x:row r="19">
      <x:c r="A19" s="30" t="str">
        <x:v>Propaganda ecosystems|Multilingual/cross-border targeting</x:v>
      </x:c>
      <x:c r="B19" s="30" t="str">
        <x:v>Propaganda ecosystems</x:v>
      </x:c>
      <x:c r="C19" s="30" t="str">
        <x:v>Multilingual/cross-border targeting</x:v>
      </x:c>
      <x:c r="D19" s="30" t="n">
        <x:v>15</x:v>
      </x:c>
      <x:c r="E19" s="30" t="str">
        <x:v>Narratives translated or exported across borders.</x:v>
      </x:c>
    </x:row>
    <x:row r="20">
      <x:c r="A20" s="30" t="str">
        <x:v>Election interference|Pilot baseline estimate</x:v>
      </x:c>
      <x:c r="B20" s="30" t="str">
        <x:v>Election interference</x:v>
      </x:c>
      <x:c r="C20" s="30" t="str">
        <x:v>Pilot baseline estimate</x:v>
      </x:c>
      <x:c r="D20" s="30" t="n">
        <x:v>100</x:v>
      </x:c>
      <x:c r="E20" s="30" t="str">
        <x:v>Temporary one-line pilot estimate; replace with indicator-level evidence.</x:v>
      </x:c>
    </x:row>
    <x:row r="21">
      <x:c r="A21" s="30" t="str">
        <x:v>Election interference|Attribution to Russian/state-linked actors</x:v>
      </x:c>
      <x:c r="B21" s="30" t="str">
        <x:v>Election interference</x:v>
      </x:c>
      <x:c r="C21" s="30" t="str">
        <x:v>Attribution to Russian/state-linked actors</x:v>
      </x:c>
      <x:c r="D21" s="30" t="n">
        <x:v>30</x:v>
      </x:c>
      <x:c r="E21" s="30" t="str">
        <x:v>Credible attribution to Russian state, proxies or aligned actors.</x:v>
      </x:c>
    </x:row>
    <x:row r="22">
      <x:c r="A22" s="30" t="str">
        <x:v>Election interference|Timing around election cycle</x:v>
      </x:c>
      <x:c r="B22" s="30" t="str">
        <x:v>Election interference</x:v>
      </x:c>
      <x:c r="C22" s="30" t="str">
        <x:v>Timing around election cycle</x:v>
      </x:c>
      <x:c r="D22" s="30" t="n">
        <x:v>20</x:v>
      </x:c>
      <x:c r="E22" s="30" t="str">
        <x:v>Activity close to campaign, voting, counting, or transition periods.</x:v>
      </x:c>
    </x:row>
    <x:row r="23">
      <x:c r="A23" s="30" t="str">
        <x:v>Election interference|Cyber / hack / leak activity</x:v>
      </x:c>
      <x:c r="B23" s="30" t="str">
        <x:v>Election interference</x:v>
      </x:c>
      <x:c r="C23" s="30" t="str">
        <x:v>Cyber / hack / leak activity</x:v>
      </x:c>
      <x:c r="D23" s="30" t="n">
        <x:v>20</x:v>
      </x:c>
      <x:c r="E23" s="30" t="str">
        <x:v>Hacking, leaks, phishing, cyber probing of election infrastructure.</x:v>
      </x:c>
    </x:row>
    <x:row r="24">
      <x:c r="A24" s="30" t="str">
        <x:v>Election interference|Disinformation or bot operations</x:v>
      </x:c>
      <x:c r="B24" s="30" t="str">
        <x:v>Election interference</x:v>
      </x:c>
      <x:c r="C24" s="30" t="str">
        <x:v>Disinformation or bot operations</x:v>
      </x:c>
      <x:c r="D24" s="30" t="n">
        <x:v>20</x:v>
      </x:c>
      <x:c r="E24" s="30" t="str">
        <x:v>Targeted narratives, bot/troll activity, manipulated media.</x:v>
      </x:c>
    </x:row>
    <x:row r="25">
      <x:c r="A25" s="30" t="str">
        <x:v>Election interference|Measurable institutional or public impact</x:v>
      </x:c>
      <x:c r="B25" s="30" t="str">
        <x:v>Election interference</x:v>
      </x:c>
      <x:c r="C25" s="30" t="str">
        <x:v>Measurable institutional or public impact</x:v>
      </x:c>
      <x:c r="D25" s="30" t="n">
        <x:v>10</x:v>
      </x:c>
      <x:c r="E25" s="30" t="str">
        <x:v>Institutional disruption, public trust effect, official investigation.</x:v>
      </x:c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</x:sheetData>
  <x:pageMargins left="0.7" right="0.7" top="0.75" bottom="0.75" header="0.3" footer="0.3"/>
  <x:tableParts count="1">
    <x:tablePart xmlns:r="http://schemas.openxmlformats.org/officeDocument/2006/relationships" r:id="Rf50dd9d61be64fc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8" hidden="0" customWidth="1"/>
    <x:col min="5" max="5" width="68" hidden="0" customWidth="1"/>
    <x:col min="6" max="6" width="36" hidden="0" customWidth="1"/>
    <x:col min="7" max="7" width="60" hidden="0" customWidth="1"/>
  </x:cols>
  <x:sheetData>
    <x:row r="1" ht="28" customHeight="1">
      <x:c r="A1" s="23" t="str">
        <x:v>Source_ID</x:v>
      </x:c>
      <x:c r="B1" s="23" t="str">
        <x:v>Source_Name</x:v>
      </x:c>
      <x:c r="C1" s="23" t="str">
        <x:v>Default_Tier</x:v>
      </x:c>
      <x:c r="D1" s="23" t="str">
        <x:v>Reliability_Weight</x:v>
      </x:c>
      <x:c r="E1" s="23" t="str">
        <x:v>URL</x:v>
      </x:c>
      <x:c r="F1" s="23" t="str">
        <x:v>Useful_For_Factor</x:v>
      </x:c>
      <x:c r="G1" s="23" t="str">
        <x:v>Notes</x:v>
      </x:c>
    </x:row>
    <x:row r="2">
      <x:c r="A2" s="30" t="str">
        <x:v>SRC-001</x:v>
      </x:c>
      <x:c r="B2" s="30" t="str">
        <x:v>V-Dem Dataset</x:v>
      </x:c>
      <x:c r="C2" s="30" t="str">
        <x:v>Tier 1</x:v>
      </x:c>
      <x:c r="D2" s="30" t="n">
        <x:f>IF(C2="","",IFERROR(VLOOKUP(C2,Lookups!$A$2:$B$5,2,FALSE),""))</x:f>
        <x:v>1</x:v>
      </x:c>
      <x:c r="E2" s="30" t="str">
        <x:v>https://www.v-dem.net/data/the-v-dem-dataset/</x:v>
      </x:c>
      <x:c r="F2" s="30" t="str">
        <x:v>Election interference; Russian influence</x:v>
      </x:c>
      <x:c r="G2" s="30" t="str">
        <x:v>Use for democracy/election context and expert-coded indicators.</x:v>
      </x:c>
    </x:row>
    <x:row r="3">
      <x:c r="A3" s="30" t="str">
        <x:v>SRC-002</x:v>
      </x:c>
      <x:c r="B3" s="30" t="str">
        <x:v>Freedom House — Freedom on the Net methodology</x:v>
      </x:c>
      <x:c r="C3" s="30" t="str">
        <x:v>Tier 1</x:v>
      </x:c>
      <x:c r="D3" s="30" t="n">
        <x:f>IF(C3="","",IFERROR(VLOOKUP(C3,Lookups!$A$2:$B$5,2,FALSE),""))</x:f>
        <x:v>1</x:v>
      </x:c>
      <x:c r="E3" s="30" t="str">
        <x:v>https://freedomhouse.org/reports/freedom-net/freedom-net-research-methodology</x:v>
      </x:c>
      <x:c r="F3" s="30" t="str">
        <x:v>Propaganda ecosystems; Election interference</x:v>
      </x:c>
      <x:c r="G3" s="30" t="str">
        <x:v>Use for digital rights, online manipulation and country narratives.</x:v>
      </x:c>
    </x:row>
    <x:row r="4">
      <x:c r="A4" s="30" t="str">
        <x:v>SRC-003</x:v>
      </x:c>
      <x:c r="B4" s="30" t="str">
        <x:v>ACLED — Wagner Group and Africa Corps</x:v>
      </x:c>
      <x:c r="C4" s="30" t="str">
        <x:v>Tier 1</x:v>
      </x:c>
      <x:c r="D4" s="30" t="n">
        <x:f>IF(C4="","",IFERROR(VLOOKUP(C4,Lookups!$A$2:$B$5,2,FALSE),""))</x:f>
        <x:v>1</x:v>
      </x:c>
      <x:c r="E4" s="30" t="str">
        <x:v>https://acleddata.com/armed-group/wagner-group-and-africa-corps</x:v>
      </x:c>
      <x:c r="F4" s="30" t="str">
        <x:v>PMC presence</x:v>
      </x:c>
      <x:c r="G4" s="30" t="str">
        <x:v>Use for event-based political violence and PMC-linked activity.</x:v>
      </x:c>
    </x:row>
    <x:row r="5">
      <x:c r="A5" s="30" t="str">
        <x:v>SRC-004</x:v>
      </x:c>
      <x:c r="B5" s="30" t="str">
        <x:v>EUvsDisinfo — Disinformation cases</x:v>
      </x:c>
      <x:c r="C5" s="30" t="str">
        <x:v>Tier 1</x:v>
      </x:c>
      <x:c r="D5" s="30" t="n">
        <x:f>IF(C5="","",IFERROR(VLOOKUP(C5,Lookups!$A$2:$B$5,2,FALSE),""))</x:f>
        <x:v>1</x:v>
      </x:c>
      <x:c r="E5" s="30" t="str">
        <x:v>https://euvsdisinfo.eu/disinformation-cases/</x:v>
      </x:c>
      <x:c r="F5" s="30" t="str">
        <x:v>Propaganda ecosystems</x:v>
      </x:c>
      <x:c r="G5" s="30" t="str">
        <x:v>Use for pro-Kremlin disinformation case logging.</x:v>
      </x:c>
    </x:row>
    <x:row r="6">
      <x:c r="A6" s="30" t="str">
        <x:v>SRC-005</x:v>
      </x:c>
      <x:c r="B6" s="30" t="str">
        <x:v>Official sanctions lists / government reports</x:v>
      </x:c>
      <x:c r="C6" s="30" t="str">
        <x:v>Tier 1</x:v>
      </x:c>
      <x:c r="D6" s="30" t="n">
        <x:f>IF(C6="","",IFERROR(VLOOKUP(C6,Lookups!$A$2:$B$5,2,FALSE),""))</x:f>
        <x:v>1</x:v>
      </x:c>
      <x:c r="E6" s="30" t="str"/>
      <x:c r="F6" s="30" t="str">
        <x:v>All factors</x:v>
      </x:c>
      <x:c r="G6" s="30" t="str">
        <x:v>Use source-specific URLs in Evidence_Log.</x:v>
      </x:c>
    </x:row>
    <x:row r="7">
      <x:c r="A7" s="30" t="str">
        <x:v>SRC-006</x:v>
      </x:c>
      <x:c r="B7" s="30" t="str">
        <x:v>Reputable think tank or investigative media</x:v>
      </x:c>
      <x:c r="C7" s="30" t="str">
        <x:v>Tier 2</x:v>
      </x:c>
      <x:c r="D7" s="30" t="n">
        <x:f>IF(C7="","",IFERROR(VLOOKUP(C7,Lookups!$A$2:$B$5,2,FALSE),""))</x:f>
        <x:v>0.75</x:v>
      </x:c>
      <x:c r="E7" s="30" t="str"/>
      <x:c r="F7" s="30" t="str">
        <x:v>All factors</x:v>
      </x:c>
      <x:c r="G7" s="30" t="str">
        <x:v>Use only with source URL and analyst note.</x:v>
      </x:c>
    </x:row>
    <x:row r="8">
      <x:c r="A8" s="30" t="str">
        <x:v>SRC-007</x:v>
      </x:c>
      <x:c r="B8" s="30" t="str">
        <x:v>Local media / NGO / expert commentary</x:v>
      </x:c>
      <x:c r="C8" s="30" t="str">
        <x:v>Tier 3</x:v>
      </x:c>
      <x:c r="D8" s="30" t="n">
        <x:f>IF(C8="","",IFERROR(VLOOKUP(C8,Lookups!$A$2:$B$5,2,FALSE),""))</x:f>
        <x:v>0.5</x:v>
      </x:c>
      <x:c r="E8" s="30" t="str"/>
      <x:c r="F8" s="30" t="str">
        <x:v>All factors</x:v>
      </x:c>
      <x:c r="G8" s="30" t="str">
        <x:v>Use for triangulation, not as sole high-confidence evidence.</x:v>
      </x:c>
    </x:row>
    <x:row r="9">
      <x:c r="A9" s="30"/>
      <x:c r="B9" s="30"/>
      <x:c r="C9" s="30"/>
      <x:c r="D9" s="30" t="str">
        <x:f>IF(C9="","",IFERROR(VLOOKUP(C9,Lookups!$A$2:$B$5,2,FALSE),""))</x:f>
      </x:c>
      <x:c r="E9" s="30"/>
      <x:c r="F9" s="30"/>
      <x:c r="G9" s="30"/>
    </x:row>
    <x:row r="10">
      <x:c r="A10" s="30"/>
      <x:c r="B10" s="30"/>
      <x:c r="C10" s="30"/>
      <x:c r="D10" s="30" t="str">
        <x:f>IF(C10="","",IFERROR(VLOOKUP(C10,Lookups!$A$2:$B$5,2,FALSE),""))</x:f>
      </x:c>
      <x:c r="E10" s="30"/>
      <x:c r="F10" s="30"/>
      <x:c r="G10" s="30"/>
    </x:row>
    <x:row r="11">
      <x:c r="A11" s="30"/>
      <x:c r="B11" s="30"/>
      <x:c r="C11" s="30"/>
      <x:c r="D11" s="30" t="str">
        <x:f>IF(C11="","",IFERROR(VLOOKUP(C11,Lookups!$A$2:$B$5,2,FALSE),""))</x:f>
      </x:c>
      <x:c r="E11" s="30"/>
      <x:c r="F11" s="30"/>
      <x:c r="G11" s="30"/>
    </x:row>
    <x:row r="12">
      <x:c r="A12" s="30"/>
      <x:c r="B12" s="30"/>
      <x:c r="C12" s="30"/>
      <x:c r="D12" s="30" t="str">
        <x:f>IF(C12="","",IFERROR(VLOOKUP(C12,Lookups!$A$2:$B$5,2,FALSE),""))</x:f>
      </x:c>
      <x:c r="E12" s="30"/>
      <x:c r="F12" s="30"/>
      <x:c r="G12" s="30"/>
    </x:row>
    <x:row r="13">
      <x:c r="A13" s="30"/>
      <x:c r="B13" s="30"/>
      <x:c r="C13" s="30"/>
      <x:c r="D13" s="30" t="str">
        <x:f>IF(C13="","",IFERROR(VLOOKUP(C13,Lookups!$A$2:$B$5,2,FALSE),""))</x:f>
      </x:c>
      <x:c r="E13" s="30"/>
      <x:c r="F13" s="30"/>
      <x:c r="G13" s="30"/>
    </x:row>
    <x:row r="14">
      <x:c r="A14" s="30"/>
      <x:c r="B14" s="30"/>
      <x:c r="C14" s="30"/>
      <x:c r="D14" s="30" t="str">
        <x:f>IF(C14="","",IFERROR(VLOOKUP(C14,Lookups!$A$2:$B$5,2,FALSE),""))</x:f>
      </x:c>
      <x:c r="E14" s="30"/>
      <x:c r="F14" s="30"/>
      <x:c r="G14" s="30"/>
    </x:row>
    <x:row r="15">
      <x:c r="A15" s="30"/>
      <x:c r="B15" s="30"/>
      <x:c r="C15" s="30"/>
      <x:c r="D15" s="30" t="str">
        <x:f>IF(C15="","",IFERROR(VLOOKUP(C15,Lookups!$A$2:$B$5,2,FALSE),""))</x:f>
      </x:c>
      <x:c r="E15" s="30"/>
      <x:c r="F15" s="30"/>
      <x:c r="G15" s="30"/>
    </x:row>
    <x:row r="16">
      <x:c r="A16" s="30"/>
      <x:c r="B16" s="30"/>
      <x:c r="C16" s="30"/>
      <x:c r="D16" s="30" t="str">
        <x:f>IF(C16="","",IFERROR(VLOOKUP(C16,Lookups!$A$2:$B$5,2,FALSE),""))</x:f>
      </x:c>
      <x:c r="E16" s="30"/>
      <x:c r="F16" s="30"/>
      <x:c r="G16" s="30"/>
    </x:row>
    <x:row r="17">
      <x:c r="A17" s="30"/>
      <x:c r="B17" s="30"/>
      <x:c r="C17" s="30"/>
      <x:c r="D17" s="30" t="str">
        <x:f>IF(C17="","",IFERROR(VLOOKUP(C17,Lookups!$A$2:$B$5,2,FALSE),""))</x:f>
      </x:c>
      <x:c r="E17" s="30"/>
      <x:c r="F17" s="30"/>
      <x:c r="G17" s="30"/>
    </x:row>
    <x:row r="18">
      <x:c r="A18" s="30"/>
      <x:c r="B18" s="30"/>
      <x:c r="C18" s="30"/>
      <x:c r="D18" s="30" t="str">
        <x:f>IF(C18="","",IFERROR(VLOOKUP(C18,Lookups!$A$2:$B$5,2,FALSE),""))</x:f>
      </x:c>
      <x:c r="E18" s="30"/>
      <x:c r="F18" s="30"/>
      <x:c r="G18" s="30"/>
    </x:row>
    <x:row r="19">
      <x:c r="A19" s="30"/>
      <x:c r="B19" s="30"/>
      <x:c r="C19" s="30"/>
      <x:c r="D19" s="30" t="str">
        <x:f>IF(C19="","",IFERROR(VLOOKUP(C19,Lookups!$A$2:$B$5,2,FALSE),""))</x:f>
      </x:c>
      <x:c r="E19" s="30"/>
      <x:c r="F19" s="30"/>
      <x:c r="G19" s="30"/>
    </x:row>
    <x:row r="20">
      <x:c r="A20" s="30"/>
      <x:c r="B20" s="30"/>
      <x:c r="C20" s="30"/>
      <x:c r="D20" s="30" t="str">
        <x:f>IF(C20="","",IFERROR(VLOOKUP(C20,Lookups!$A$2:$B$5,2,FALSE),""))</x:f>
      </x:c>
      <x:c r="E20" s="30"/>
      <x:c r="F20" s="30"/>
      <x:c r="G20" s="30"/>
    </x:row>
    <x:row r="21">
      <x:c r="A21" s="30"/>
      <x:c r="B21" s="30"/>
      <x:c r="C21" s="30"/>
      <x:c r="D21" s="30" t="str">
        <x:f>IF(C21="","",IFERROR(VLOOKUP(C21,Lookups!$A$2:$B$5,2,FALSE),""))</x:f>
      </x:c>
      <x:c r="E21" s="30"/>
      <x:c r="F21" s="30"/>
      <x:c r="G21" s="30"/>
    </x:row>
    <x:row r="22">
      <x:c r="A22" s="30"/>
      <x:c r="B22" s="30"/>
      <x:c r="C22" s="30"/>
      <x:c r="D22" s="30" t="str">
        <x:f>IF(C22="","",IFERROR(VLOOKUP(C22,Lookups!$A$2:$B$5,2,FALSE),""))</x:f>
      </x:c>
      <x:c r="E22" s="30"/>
      <x:c r="F22" s="30"/>
      <x:c r="G22" s="30"/>
    </x:row>
    <x:row r="23">
      <x:c r="A23" s="30"/>
      <x:c r="B23" s="30"/>
      <x:c r="C23" s="30"/>
      <x:c r="D23" s="30" t="str">
        <x:f>IF(C23="","",IFERROR(VLOOKUP(C23,Lookups!$A$2:$B$5,2,FALSE),""))</x:f>
      </x:c>
      <x:c r="E23" s="30"/>
      <x:c r="F23" s="30"/>
      <x:c r="G23" s="30"/>
    </x:row>
    <x:row r="24">
      <x:c r="A24" s="30"/>
      <x:c r="B24" s="30"/>
      <x:c r="C24" s="30"/>
      <x:c r="D24" s="30" t="str">
        <x:f>IF(C24="","",IFERROR(VLOOKUP(C24,Lookups!$A$2:$B$5,2,FALSE),""))</x:f>
      </x:c>
      <x:c r="E24" s="30"/>
      <x:c r="F24" s="30"/>
      <x:c r="G24" s="30"/>
    </x:row>
    <x:row r="25">
      <x:c r="A25" s="30"/>
      <x:c r="B25" s="30"/>
      <x:c r="C25" s="30"/>
      <x:c r="D25" s="30" t="str">
        <x:f>IF(C25="","",IFERROR(VLOOKUP(C25,Lookups!$A$2:$B$5,2,FALSE),""))</x:f>
      </x:c>
      <x:c r="E25" s="30"/>
      <x:c r="F25" s="30"/>
      <x:c r="G25" s="30"/>
    </x:row>
    <x:row r="26">
      <x:c r="A26" s="30"/>
      <x:c r="B26" s="30"/>
      <x:c r="C26" s="30"/>
      <x:c r="D26" s="30" t="str">
        <x:f>IF(C26="","",IFERROR(VLOOKUP(C26,Lookups!$A$2:$B$5,2,FALSE),""))</x:f>
      </x:c>
      <x:c r="E26" s="30"/>
      <x:c r="F26" s="30"/>
      <x:c r="G26" s="30"/>
    </x:row>
    <x:row r="27">
      <x:c r="A27" s="30"/>
      <x:c r="B27" s="30"/>
      <x:c r="C27" s="30"/>
      <x:c r="D27" s="30" t="str">
        <x:f>IF(C27="","",IFERROR(VLOOKUP(C27,Lookups!$A$2:$B$5,2,FALSE),""))</x:f>
      </x:c>
      <x:c r="E27" s="30"/>
      <x:c r="F27" s="30"/>
      <x:c r="G27" s="30"/>
    </x:row>
    <x:row r="28">
      <x:c r="A28" s="30"/>
      <x:c r="B28" s="30"/>
      <x:c r="C28" s="30"/>
      <x:c r="D28" s="30" t="str">
        <x:f>IF(C28="","",IFERROR(VLOOKUP(C28,Lookups!$A$2:$B$5,2,FALSE),""))</x:f>
      </x:c>
      <x:c r="E28" s="30"/>
      <x:c r="F28" s="30"/>
      <x:c r="G28" s="30"/>
    </x:row>
    <x:row r="29">
      <x:c r="A29" s="30"/>
      <x:c r="B29" s="30"/>
      <x:c r="C29" s="30"/>
      <x:c r="D29" s="30" t="str">
        <x:f>IF(C29="","",IFERROR(VLOOKUP(C29,Lookups!$A$2:$B$5,2,FALSE),""))</x:f>
      </x:c>
      <x:c r="E29" s="30"/>
      <x:c r="F29" s="30"/>
      <x:c r="G29" s="30"/>
    </x:row>
    <x:row r="30">
      <x:c r="A30" s="30"/>
      <x:c r="B30" s="30"/>
      <x:c r="C30" s="30"/>
      <x:c r="D30" s="30" t="str">
        <x:f>IF(C30="","",IFERROR(VLOOKUP(C30,Lookups!$A$2:$B$5,2,FALSE),""))</x:f>
      </x:c>
      <x:c r="E30" s="30"/>
      <x:c r="F30" s="30"/>
      <x:c r="G30" s="30"/>
    </x:row>
    <x:row r="31">
      <x:c r="A31" s="30"/>
      <x:c r="B31" s="30"/>
      <x:c r="C31" s="30"/>
      <x:c r="D31" s="30" t="str">
        <x:f>IF(C31="","",IFERROR(VLOOKUP(C31,Lookups!$A$2:$B$5,2,FALSE),""))</x:f>
      </x:c>
      <x:c r="E31" s="30"/>
      <x:c r="F31" s="30"/>
      <x:c r="G31" s="30"/>
    </x:row>
    <x:row r="32">
      <x:c r="A32" s="30"/>
      <x:c r="B32" s="30"/>
      <x:c r="C32" s="30"/>
      <x:c r="D32" s="30" t="str">
        <x:f>IF(C32="","",IFERROR(VLOOKUP(C32,Lookups!$A$2:$B$5,2,FALSE),""))</x:f>
      </x:c>
      <x:c r="E32" s="30"/>
      <x:c r="F32" s="30"/>
      <x:c r="G32" s="30"/>
    </x:row>
    <x:row r="33">
      <x:c r="A33" s="30"/>
      <x:c r="B33" s="30"/>
      <x:c r="C33" s="30"/>
      <x:c r="D33" s="30" t="str">
        <x:f>IF(C33="","",IFERROR(VLOOKUP(C33,Lookups!$A$2:$B$5,2,FALSE),""))</x:f>
      </x:c>
      <x:c r="E33" s="30"/>
      <x:c r="F33" s="30"/>
      <x:c r="G33" s="30"/>
    </x:row>
    <x:row r="34">
      <x:c r="A34" s="30"/>
      <x:c r="B34" s="30"/>
      <x:c r="C34" s="30"/>
      <x:c r="D34" s="30" t="str">
        <x:f>IF(C34="","",IFERROR(VLOOKUP(C34,Lookups!$A$2:$B$5,2,FALSE),""))</x:f>
      </x:c>
      <x:c r="E34" s="30"/>
      <x:c r="F34" s="30"/>
      <x:c r="G34" s="30"/>
    </x:row>
    <x:row r="35">
      <x:c r="A35" s="30"/>
      <x:c r="B35" s="30"/>
      <x:c r="C35" s="30"/>
      <x:c r="D35" s="30" t="str">
        <x:f>IF(C35="","",IFERROR(VLOOKUP(C35,Lookups!$A$2:$B$5,2,FALSE),""))</x:f>
      </x:c>
      <x:c r="E35" s="30"/>
      <x:c r="F35" s="30"/>
      <x:c r="G35" s="30"/>
    </x:row>
    <x:row r="36">
      <x:c r="A36" s="30"/>
      <x:c r="B36" s="30"/>
      <x:c r="C36" s="30"/>
      <x:c r="D36" s="30" t="str">
        <x:f>IF(C36="","",IFERROR(VLOOKUP(C36,Lookups!$A$2:$B$5,2,FALSE),""))</x:f>
      </x:c>
      <x:c r="E36" s="30"/>
      <x:c r="F36" s="30"/>
      <x:c r="G36" s="30"/>
    </x:row>
    <x:row r="37">
      <x:c r="A37" s="30"/>
      <x:c r="B37" s="30"/>
      <x:c r="C37" s="30"/>
      <x:c r="D37" s="30" t="str">
        <x:f>IF(C37="","",IFERROR(VLOOKUP(C37,Lookups!$A$2:$B$5,2,FALSE),""))</x:f>
      </x:c>
      <x:c r="E37" s="30"/>
      <x:c r="F37" s="30"/>
      <x:c r="G37" s="30"/>
    </x:row>
    <x:row r="38">
      <x:c r="A38" s="30"/>
      <x:c r="B38" s="30"/>
      <x:c r="C38" s="30"/>
      <x:c r="D38" s="30" t="str">
        <x:f>IF(C38="","",IFERROR(VLOOKUP(C38,Lookups!$A$2:$B$5,2,FALSE),""))</x:f>
      </x:c>
      <x:c r="E38" s="30"/>
      <x:c r="F38" s="30"/>
      <x:c r="G38" s="30"/>
    </x:row>
    <x:row r="39">
      <x:c r="A39" s="30"/>
      <x:c r="B39" s="30"/>
      <x:c r="C39" s="30"/>
      <x:c r="D39" s="30" t="str">
        <x:f>IF(C39="","",IFERROR(VLOOKUP(C39,Lookups!$A$2:$B$5,2,FALSE),""))</x:f>
      </x:c>
      <x:c r="E39" s="30"/>
      <x:c r="F39" s="30"/>
      <x:c r="G39" s="30"/>
    </x:row>
    <x:row r="40">
      <x:c r="A40" s="30"/>
      <x:c r="B40" s="30"/>
      <x:c r="C40" s="30"/>
      <x:c r="D40" s="30" t="str">
        <x:f>IF(C40="","",IFERROR(VLOOKUP(C40,Lookups!$A$2:$B$5,2,FALSE),""))</x:f>
      </x:c>
      <x:c r="E40" s="30"/>
      <x:c r="F40" s="30"/>
      <x:c r="G40" s="30"/>
    </x:row>
    <x:row r="41">
      <x:c r="A41" s="30"/>
      <x:c r="B41" s="30"/>
      <x:c r="C41" s="30"/>
      <x:c r="D41" s="30" t="str">
        <x:f>IF(C41="","",IFERROR(VLOOKUP(C41,Lookups!$A$2:$B$5,2,FALSE),""))</x:f>
      </x:c>
      <x:c r="E41" s="30"/>
      <x:c r="F41" s="30"/>
      <x:c r="G41" s="30"/>
    </x:row>
    <x:row r="42">
      <x:c r="A42" s="30"/>
      <x:c r="B42" s="30"/>
      <x:c r="C42" s="30"/>
      <x:c r="D42" s="30" t="str">
        <x:f>IF(C42="","",IFERROR(VLOOKUP(C42,Lookups!$A$2:$B$5,2,FALSE),""))</x:f>
      </x:c>
      <x:c r="E42" s="30"/>
      <x:c r="F42" s="30"/>
      <x:c r="G42" s="30"/>
    </x:row>
    <x:row r="43">
      <x:c r="A43" s="30"/>
      <x:c r="B43" s="30"/>
      <x:c r="C43" s="30"/>
      <x:c r="D43" s="30" t="str">
        <x:f>IF(C43="","",IFERROR(VLOOKUP(C43,Lookups!$A$2:$B$5,2,FALSE),""))</x:f>
      </x:c>
      <x:c r="E43" s="30"/>
      <x:c r="F43" s="30"/>
      <x:c r="G43" s="30"/>
    </x:row>
    <x:row r="44">
      <x:c r="A44" s="30"/>
      <x:c r="B44" s="30"/>
      <x:c r="C44" s="30"/>
      <x:c r="D44" s="30" t="str">
        <x:f>IF(C44="","",IFERROR(VLOOKUP(C44,Lookups!$A$2:$B$5,2,FALSE),""))</x:f>
      </x:c>
      <x:c r="E44" s="30"/>
      <x:c r="F44" s="30"/>
      <x:c r="G44" s="30"/>
    </x:row>
    <x:row r="45">
      <x:c r="A45" s="30"/>
      <x:c r="B45" s="30"/>
      <x:c r="C45" s="30"/>
      <x:c r="D45" s="30" t="str">
        <x:f>IF(C45="","",IFERROR(VLOOKUP(C45,Lookups!$A$2:$B$5,2,FALSE),""))</x:f>
      </x:c>
      <x:c r="E45" s="30"/>
      <x:c r="F45" s="30"/>
      <x:c r="G45" s="30"/>
    </x:row>
    <x:row r="46">
      <x:c r="A46" s="30"/>
      <x:c r="B46" s="30"/>
      <x:c r="C46" s="30"/>
      <x:c r="D46" s="30" t="str">
        <x:f>IF(C46="","",IFERROR(VLOOKUP(C46,Lookups!$A$2:$B$5,2,FALSE),""))</x:f>
      </x:c>
      <x:c r="E46" s="30"/>
      <x:c r="F46" s="30"/>
      <x:c r="G46" s="30"/>
    </x:row>
    <x:row r="47">
      <x:c r="A47" s="30"/>
      <x:c r="B47" s="30"/>
      <x:c r="C47" s="30"/>
      <x:c r="D47" s="30" t="str">
        <x:f>IF(C47="","",IFERROR(VLOOKUP(C47,Lookups!$A$2:$B$5,2,FALSE),""))</x:f>
      </x:c>
      <x:c r="E47" s="30"/>
      <x:c r="F47" s="30"/>
      <x:c r="G47" s="30"/>
    </x:row>
    <x:row r="48">
      <x:c r="A48" s="30"/>
      <x:c r="B48" s="30"/>
      <x:c r="C48" s="30"/>
      <x:c r="D48" s="30" t="str">
        <x:f>IF(C48="","",IFERROR(VLOOKUP(C48,Lookups!$A$2:$B$5,2,FALSE),""))</x:f>
      </x:c>
      <x:c r="E48" s="30"/>
      <x:c r="F48" s="30"/>
      <x:c r="G48" s="30"/>
    </x:row>
    <x:row r="49">
      <x:c r="A49" s="30"/>
      <x:c r="B49" s="30"/>
      <x:c r="C49" s="30"/>
      <x:c r="D49" s="30" t="str">
        <x:f>IF(C49="","",IFERROR(VLOOKUP(C49,Lookups!$A$2:$B$5,2,FALSE),""))</x:f>
      </x:c>
      <x:c r="E49" s="30"/>
      <x:c r="F49" s="30"/>
      <x:c r="G49" s="30"/>
    </x:row>
    <x:row r="50">
      <x:c r="A50" s="30"/>
      <x:c r="B50" s="30"/>
      <x:c r="C50" s="30"/>
      <x:c r="D50" s="30" t="str">
        <x:f>IF(C50="","",IFERROR(VLOOKUP(C50,Lookups!$A$2:$B$5,2,FALSE),""))</x:f>
      </x:c>
      <x:c r="E50" s="30"/>
      <x:c r="F50" s="30"/>
      <x:c r="G50" s="30"/>
    </x:row>
  </x:sheetData>
  <x:dataValidations count="1">
    <x:dataValidation type="list" sqref="C2:C50">
      <x:formula1>Lookups!$A$2:$A$5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a74cf59b7d479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8" hidden="0" customWidth="1"/>
    <x:col min="9" max="9" width="28" hidden="0" customWidth="1"/>
    <x:col min="10" max="10" width="24" hidden="0" customWidth="1"/>
    <x:col min="11" max="11" width="60" hidden="0" customWidth="1"/>
  </x:cols>
  <x:sheetData>
    <x:row r="1" ht="28" customHeight="1">
      <x:c r="A1" s="23" t="str">
        <x:v>Change_ID</x:v>
      </x:c>
      <x:c r="B1" s="50" t="str">
        <x:v>Date</x:v>
      </x:c>
      <x:c r="C1" s="23" t="str">
        <x:v>Analyst</x:v>
      </x:c>
      <x:c r="D1" s="23" t="str">
        <x:v>Country</x:v>
      </x:c>
      <x:c r="E1" s="23" t="str">
        <x:v>Factor</x:v>
      </x:c>
      <x:c r="F1" s="23" t="str">
        <x:v>Old_Score</x:v>
      </x:c>
      <x:c r="G1" s="23" t="str">
        <x:v>New_Score</x:v>
      </x:c>
      <x:c r="H1" s="23" t="str">
        <x:v>Confidence_0_100</x:v>
      </x:c>
      <x:c r="I1" s="23" t="str">
        <x:v>Evidence_IDs</x:v>
      </x:c>
      <x:c r="J1" s="23" t="str">
        <x:v>Decision</x:v>
      </x:c>
      <x:c r="K1" s="23" t="str">
        <x:v>Notes</x:v>
      </x:c>
    </x:row>
    <x:row r="2">
      <x:c r="A2" s="30" t="str">
        <x:v>CHG-0001</x:v>
      </x:c>
      <x:c r="B2" s="30" t="n">
        <x:v>46151</x:v>
      </x:c>
      <x:c r="C2" s="30" t="str"/>
      <x:c r="D2" s="30" t="str"/>
      <x:c r="E2" s="30" t="str"/>
      <x:c r="F2" s="30" t="str"/>
      <x:c r="G2" s="30" t="str"/>
      <x:c r="H2" s="30" t="str"/>
      <x:c r="I2" s="30" t="str"/>
      <x:c r="J2" s="30" t="str">
        <x:v>Template created</x:v>
      </x:c>
      <x:c r="K2" s="30" t="str">
        <x:v>Use this sheet to audit manual score changes or publication decisions.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</x:sheetData>
  <x:dataValidations count="3">
    <x:dataValidation type="list" sqref="D2:D100">
      <x:formula1>Country_Config!$A$2:$A$100</x:formula1>
    </x:dataValidation>
    <x:dataValidation type="list" sqref="E2:E100">
      <x:formula1>Lookups!$D$2:$D$5</x:formula1>
    </x:dataValidation>
    <x:dataValidation type="list" sqref="J2:J100">
      <x:formula1>"Template created,Updated,Rejected,Needs review,Published,Retracted"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f62c17ac64404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26" hidden="0" customWidth="1"/>
    <x:col min="6" max="6" width="10" hidden="0" customWidth="1"/>
    <x:col min="7" max="7" width="22" hidden="0" customWidth="1"/>
    <x:col min="8" max="8" width="14" hidden="0" customWidth="1"/>
    <x:col min="10" max="10" width="12" hidden="0" customWidth="1"/>
    <x:col min="11" max="11" width="20" hidden="0" customWidth="1"/>
    <x:col min="13" max="13" width="28" hidden="0" customWidth="1"/>
    <x:col min="14" max="14" width="40" hidden="0" customWidth="1"/>
    <x:col min="16" max="16" width="18" hidden="0" customWidth="1"/>
    <x:col min="17" max="17" width="10" hidden="0" customWidth="1"/>
  </x:cols>
  <x:sheetData>
    <x:row r="1" ht="28" customHeight="1">
      <x:c r="A1" s="23" t="str">
        <x:v>Source_Tier</x:v>
      </x:c>
      <x:c r="B1" s="23" t="str">
        <x:v>Reliability_Weight</x:v>
      </x:c>
      <x:c r="C1" s="23" t="str">
        <x:v>Definition</x:v>
      </x:c>
      <x:c r="D1" s="23" t="str">
        <x:v>Factor</x:v>
      </x:c>
      <x:c r="F1" s="23" t="str">
        <x:v>Score</x:v>
      </x:c>
      <x:c r="G1" s="23" t="str">
        <x:v>Score_Label</x:v>
      </x:c>
      <x:c r="H1" s="23" t="str">
        <x:v>Colour</x:v>
      </x:c>
      <x:c r="J1" s="23" t="str">
        <x:v>Yes_No</x:v>
      </x:c>
      <x:c r="K1" s="23" t="str">
        <x:v>Description</x:v>
      </x:c>
      <x:c r="M1" s="23" t="str">
        <x:v>Publication_Status</x:v>
      </x:c>
      <x:c r="N1" s="23" t="str">
        <x:v>Meaning</x:v>
      </x:c>
      <x:c r="P1" s="23" t="str">
        <x:v>Confidence_Band</x:v>
      </x:c>
      <x:c r="Q1" s="23" t="str">
        <x:v>Opacity</x:v>
      </x:c>
    </x:row>
    <x:row r="2">
      <x:c r="A2" s="30" t="str">
        <x:v>Tier 1</x:v>
      </x:c>
      <x:c r="B2" s="30" t="n">
        <x:v>1</x:v>
      </x:c>
      <x:c r="C2" s="30" t="str">
        <x:v>Official/primary/structured datasets</x:v>
      </x:c>
      <x:c r="D2" s="30" t="str">
        <x:v>Russian influence</x:v>
      </x:c>
      <x:c r="E2" s="30"/>
      <x:c r="F2" s="30" t="n">
        <x:v>0</x:v>
      </x:c>
      <x:c r="G2" s="30" t="str">
        <x:v>No confirmed signs</x:v>
      </x:c>
      <x:c r="H2" s="30" t="str">
        <x:v>F2F2F2</x:v>
      </x:c>
      <x:c r="I2" s="30"/>
      <x:c r="J2" s="30" t="str">
        <x:v>Yes</x:v>
      </x:c>
      <x:c r="K2" s="30" t="str">
        <x:v>Included / true</x:v>
      </x:c>
      <x:c r="L2" s="30"/>
      <x:c r="M2" s="30" t="str">
        <x:v>Publishable</x:v>
      </x:c>
      <x:c r="N2" s="30" t="str">
        <x:v>Meets source and confidence requirements</x:v>
      </x:c>
      <x:c r="O2" s="30"/>
      <x:c r="P2" s="30" t="str">
        <x:v>High</x:v>
      </x:c>
      <x:c r="Q2" s="30" t="n">
        <x:v>1</x:v>
      </x:c>
    </x:row>
    <x:row r="3">
      <x:c r="A3" s="30" t="str">
        <x:v>Tier 2</x:v>
      </x:c>
      <x:c r="B3" s="30" t="n">
        <x:v>0.75</x:v>
      </x:c>
      <x:c r="C3" s="30" t="str">
        <x:v>Reputable think tanks, investigative media, academic papers</x:v>
      </x:c>
      <x:c r="D3" s="30" t="str">
        <x:v>PMC presence</x:v>
      </x:c>
      <x:c r="E3" s="30"/>
      <x:c r="F3" s="30" t="n">
        <x:v>1</x:v>
      </x:c>
      <x:c r="G3" s="30" t="str">
        <x:v>Weak / isolated</x:v>
      </x:c>
      <x:c r="H3" s="30" t="str">
        <x:v>D9F0D3</x:v>
      </x:c>
      <x:c r="I3" s="30"/>
      <x:c r="J3" s="30" t="str">
        <x:v>No</x:v>
      </x:c>
      <x:c r="K3" s="30" t="str">
        <x:v>Excluded / false</x:v>
      </x:c>
      <x:c r="L3" s="30"/>
      <x:c r="M3" s="30" t="str">
        <x:v>Needs review</x:v>
      </x:c>
      <x:c r="N3" s="30" t="str">
        <x:v>Confidence is too low</x:v>
      </x:c>
      <x:c r="O3" s="30"/>
      <x:c r="P3" s="30" t="str">
        <x:v>Medium</x:v>
      </x:c>
      <x:c r="Q3" s="30" t="n">
        <x:v>0.75</x:v>
      </x:c>
    </x:row>
    <x:row r="4">
      <x:c r="A4" s="30" t="str">
        <x:v>Tier 3</x:v>
      </x:c>
      <x:c r="B4" s="30" t="n">
        <x:v>0.5</x:v>
      </x:c>
      <x:c r="C4" s="30" t="str">
        <x:v>Local media, NGO reports, expert commentary</x:v>
      </x:c>
      <x:c r="D4" s="30" t="str">
        <x:v>Propaganda ecosystems</x:v>
      </x:c>
      <x:c r="E4" s="30"/>
      <x:c r="F4" s="30" t="n">
        <x:v>2</x:v>
      </x:c>
      <x:c r="G4" s="30" t="str">
        <x:v>Limited</x:v>
      </x:c>
      <x:c r="H4" s="30" t="str">
        <x:v>ADDD8E</x:v>
      </x:c>
      <x:c r="I4" s="30"/>
      <x:c r="J4" s="30"/>
      <x:c r="K4" s="30"/>
      <x:c r="L4" s="30"/>
      <x:c r="M4" s="30" t="str">
        <x:v>Needs 2 independent sources</x:v>
      </x:c>
      <x:c r="N4" s="30" t="str">
        <x:v>Corroboration missing</x:v>
      </x:c>
      <x:c r="O4" s="30"/>
      <x:c r="P4" s="30" t="str">
        <x:v>Low</x:v>
      </x:c>
      <x:c r="Q4" s="30" t="n">
        <x:v>0.45</x:v>
      </x:c>
    </x:row>
    <x:row r="5">
      <x:c r="A5" s="30" t="str">
        <x:v>Unverified</x:v>
      </x:c>
      <x:c r="B5" s="30" t="n">
        <x:v>0.25</x:v>
      </x:c>
      <x:c r="C5" s="30" t="str">
        <x:v>Single-source claims, social media, anonymous or pilot estimates</x:v>
      </x:c>
      <x:c r="D5" s="30" t="str">
        <x:v>Election interference</x:v>
      </x:c>
      <x:c r="E5" s="30"/>
      <x:c r="F5" s="30" t="n">
        <x:v>3</x:v>
      </x:c>
      <x:c r="G5" s="30" t="str">
        <x:v>Medium</x:v>
      </x:c>
      <x:c r="H5" s="30" t="str">
        <x:v>FDAE6B</x:v>
      </x:c>
      <x:c r="I5" s="30"/>
      <x:c r="J5" s="30"/>
      <x:c r="K5" s="30"/>
      <x:c r="L5" s="30"/>
      <x:c r="M5" s="30" t="str">
        <x:v>Needs Tier 1/2 source</x:v>
      </x:c>
      <x:c r="N5" s="30" t="str">
        <x:v>Source quality too low</x:v>
      </x:c>
      <x:c r="O5" s="30"/>
      <x:c r="P5" s="30" t="str">
        <x:v>Needs review</x:v>
      </x:c>
      <x:c r="Q5" s="30" t="n">
        <x:v>0.25</x:v>
      </x:c>
    </x:row>
    <x:row r="6">
      <x:c r="A6" s="30"/>
      <x:c r="B6" s="30"/>
      <x:c r="C6" s="30"/>
      <x:c r="D6" s="30"/>
      <x:c r="E6" s="30"/>
      <x:c r="F6" s="30" t="n">
        <x:v>4</x:v>
      </x:c>
      <x:c r="G6" s="30" t="str">
        <x:v>High</x:v>
      </x:c>
      <x:c r="H6" s="30" t="str">
        <x:v>F16913</x:v>
      </x:c>
      <x:c r="I6" s="30"/>
      <x:c r="J6" s="30"/>
      <x:c r="K6" s="30"/>
      <x:c r="L6" s="30"/>
      <x:c r="M6" s="30" t="str">
        <x:v>No evidence</x:v>
      </x:c>
      <x:c r="N6" s="30" t="str">
        <x:v>No evidence rows included</x:v>
      </x:c>
      <x:c r="O6" s="30"/>
      <x:c r="P6" s="30" t="str">
        <x:v>No data</x:v>
      </x:c>
      <x:c r="Q6" s="30" t="n">
        <x:v>0.15</x:v>
      </x:c>
    </x:row>
    <x:row r="7">
      <x:c r="A7" s="30"/>
      <x:c r="B7" s="30"/>
      <x:c r="C7" s="30"/>
      <x:c r="D7" s="30"/>
      <x:c r="E7" s="30"/>
      <x:c r="F7" s="30" t="n">
        <x:v>5</x:v>
      </x:c>
      <x:c r="G7" s="30" t="str">
        <x:v>Severe</x:v>
      </x:c>
      <x:c r="H7" s="30" t="str">
        <x:v>A63603</x:v>
      </x:c>
      <x:c r="I7" s="30"/>
      <x:c r="J7" s="30"/>
      <x:c r="K7" s="30"/>
      <x:c r="L7" s="30"/>
      <x:c r="M7" s="30"/>
      <x:c r="N7" s="30"/>
      <x:c r="O7" s="30"/>
      <x:c r="P7" s="30"/>
      <x:c r="Q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6" t="str">
        <x:v>Leaflet / Mapbox snippets using Map_Data + GeoJSON_Export</x:v>
      </x:c>
    </x:row>
    <x:row r="3">
      <x:c r="A3" s="23" t="str">
        <x:v>Snippet</x:v>
      </x:c>
      <x:c r="B3" s="23" t="str">
        <x:v>Code / Template</x:v>
      </x:c>
    </x:row>
    <x:row r="4">
      <x:c r="A4" s="30" t="str">
        <x:v>Leaflet style function</x:v>
      </x:c>
      <x:c r="B4" s="30" t="str">
        <x:v>function style(feature) {
  return {
    fillColor: feature.properties.colour || '#cccccc',
    weight: 1,
    opacity: 1,
    color: '#555555',
    fillOpacity: confidenceOpacity(feature.properties.confidence)
  };
}
function confidenceOpacity(confidence) {
  const values = { 'High': 1.0, 'Medium': 0.75, 'Low': 0.45, 'Needs review': 0.25, 'No data': 0.15 };
  return values[confidence] || 0.25;
}</x:v>
      </x:c>
    </x:row>
    <x:row r="5">
      <x:c r="A5" s="30" t="str">
        <x:v>Leaflet layer</x:v>
      </x:c>
      <x:c r="B5" s="30" t="str">
        <x:v>const geojson = /* paste GeoJSON_Export!A3 here */;
L.geoJSON(geojson, {
  pointToLayer: (feature, latlng) =&gt; L.circleMarker(latlng, { radius: 7 }),
  style,
  onEachFeature: (feature, layer) =&gt; {
    const p = feature.properties;
    layer.bindPopup(`${p.country}&lt;br&gt;Composite: ${p.composite_score}&lt;br&gt;Confidence: ${p.confidence}`);
  }
}).addTo(map);</x:v>
      </x:c>
    </x:row>
    <x:row r="6">
      <x:c r="A6" s="30" t="str">
        <x:v>Mapbox join note</x:v>
      </x:c>
      <x:c r="B6" s="30" t="str">
        <x:v>For country polygons, join Map_Data to a boundary tileset/GeoJSON using ISO3. Use Composite_colour or factor-specific colour columns for fill-color.</x:v>
      </x:c>
    </x:row>
    <x:row r="7">
      <x:c r="A7" s="30" t="str">
        <x:v>Legend source</x:v>
      </x:c>
      <x:c r="B7" s="30" t="str">
        <x:v>Use Legend_Config!A2:E7 for score labels and colours; use Legend_Config!F2:H6 for opacity/confidence labels.</x:v>
      </x:c>
    </x:row>
    <x:row r="8">
      <x:c r="A8" s="30"/>
      <x:c r="B8" s="30"/>
    </x:row>
    <x:row r="9">
      <x:c r="A9" s="30"/>
      <x:c r="B9" s="30"/>
    </x:row>
    <x:row r="10">
      <x:c r="A10" s="30"/>
      <x:c r="B10" s="30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86" t="str">
        <x:v>USA Influence Evaluation Layer for Interactive Authoritarian Map</x:v>
      </x:c>
      <x:c r="B1" s="87"/>
      <x:c r="C1" s="87"/>
      <x:c r="D1" s="87"/>
      <x:c r="E1" s="87"/>
      <x:c r="F1" s="87"/>
      <x:c r="G1" s="87"/>
      <x:c r="H1" s="87"/>
    </x:row>
    <x:row r="2">
      <x:c r="A2" s="87"/>
      <x:c r="B2" s="87"/>
      <x:c r="C2" s="87"/>
      <x:c r="D2" s="87"/>
      <x:c r="E2" s="87"/>
      <x:c r="F2" s="87"/>
      <x:c r="G2" s="87"/>
      <x:c r="H2" s="87"/>
    </x:row>
    <x:row r="3">
      <x:c r="A3" s="88" t="str">
        <x:v>Purpose</x:v>
      </x:c>
      <x:c r="B3" s="80" t="str">
        <x:v>Country-level scoring layer for approaches of U.S. influence, PMC/private-contractor presence, U.S.-funded information ecosystems, and election/political-transition interference.</x:v>
      </x:c>
      <x:c r="C3" s="87"/>
      <x:c r="D3" s="87"/>
      <x:c r="E3" s="87"/>
      <x:c r="F3" s="87"/>
      <x:c r="G3" s="87"/>
      <x:c r="H3" s="87"/>
    </x:row>
    <x:row r="4">
      <x:c r="A4" s="88" t="str">
        <x:v>Base file</x:v>
      </x:c>
      <x:c r="B4" s="80" t="str">
        <x:v>This workbook keeps the original interactive map workbook sheets intact and adds USA_* sheets for the U.S.-influence layer.</x:v>
      </x:c>
      <x:c r="C4" s="87"/>
      <x:c r="D4" s="87"/>
      <x:c r="E4" s="87"/>
      <x:c r="F4" s="87"/>
      <x:c r="G4" s="87"/>
      <x:c r="H4" s="87"/>
    </x:row>
    <x:row r="5">
      <x:c r="A5" s="88" t="str">
        <x:v>Scoring scale</x:v>
      </x:c>
      <x:c r="B5" s="80" t="str">
        <x:v>0=None verified, 1=low/open-source signal, 2=limited/moderate, 3=substantial, 4=strong, 5=very strong or decisive verified evidence.</x:v>
      </x:c>
      <x:c r="C5" s="87"/>
      <x:c r="D5" s="87"/>
      <x:c r="E5" s="87"/>
      <x:c r="F5" s="87"/>
      <x:c r="G5" s="87"/>
      <x:c r="H5" s="87"/>
    </x:row>
    <x:row r="6">
      <x:c r="A6" s="88" t="str">
        <x:v>Composite</x:v>
      </x:c>
      <x:c r="B6" s="80" t="str">
        <x:v>Equal-weight average of four factors by default. Change factor scores in USA_Evidence_Log or weights in USA_Scoring_Rubric to update outputs.</x:v>
      </x:c>
      <x:c r="C6" s="87"/>
      <x:c r="D6" s="87"/>
      <x:c r="E6" s="87"/>
      <x:c r="F6" s="87"/>
      <x:c r="G6" s="87"/>
      <x:c r="H6" s="87"/>
    </x:row>
    <x:row r="7">
      <x:c r="A7" s="88" t="str">
        <x:v>Important distinction</x:v>
      </x:c>
      <x:c r="B7" s="80" t="str">
        <x:v>PMC / contractor presence includes private security, logistics, base operations, and DoD contractors. It is not automatically equivalent to armed mercenary activity.</x:v>
      </x:c>
      <x:c r="C7" s="87"/>
      <x:c r="D7" s="87"/>
      <x:c r="E7" s="87"/>
      <x:c r="F7" s="87"/>
      <x:c r="G7" s="87"/>
      <x:c r="H7" s="87"/>
    </x:row>
    <x:row r="8">
      <x:c r="A8" s="88" t="str">
        <x:v>Election category</x:v>
      </x:c>
      <x:c r="B8" s="80" t="str">
        <x:v>Includes verified covert election interference, direct opposition/electoral strategy financing, or regime/political-transition interference. Democracy assistance alone is not automatically coded as election interference.</x:v>
      </x:c>
      <x:c r="C8" s="87"/>
      <x:c r="D8" s="87"/>
      <x:c r="E8" s="87"/>
      <x:c r="F8" s="87"/>
      <x:c r="G8" s="87"/>
      <x:c r="H8" s="87"/>
    </x:row>
    <x:row r="9">
      <x:c r="A9" s="88" t="str">
        <x:v>Confidence</x:v>
      </x:c>
      <x:c r="B9" s="80" t="str">
        <x:v>Confidence reflects source tier, specificity, recency, and whether the source directly supports the country/factor rather than a regional/general inference.</x:v>
      </x:c>
      <x:c r="C9" s="87"/>
      <x:c r="D9" s="87"/>
      <x:c r="E9" s="87"/>
      <x:c r="F9" s="87"/>
      <x:c r="G9" s="87"/>
      <x:c r="H9" s="87"/>
    </x:row>
    <x:row r="10">
      <x:c r="A10" s="88" t="str">
        <x:v>Caution</x:v>
      </x:c>
      <x:c r="B10" s="80" t="str">
        <x:v>Historical cases remain in the map for comparability but are flagged in notes. A current-only version should down-weight or filter legacy cases.</x:v>
      </x:c>
      <x:c r="C10" s="87"/>
      <x:c r="D10" s="87"/>
      <x:c r="E10" s="87"/>
      <x:c r="F10" s="87"/>
      <x:c r="G10" s="87"/>
      <x:c r="H10" s="87"/>
    </x:row>
    <x:row r="11">
      <x:c r="A11" s="87"/>
      <x:c r="B11" s="87"/>
      <x:c r="C11" s="87"/>
      <x:c r="D11" s="87"/>
      <x:c r="E11" s="87"/>
      <x:c r="F11" s="87"/>
      <x:c r="G11" s="87"/>
      <x:c r="H11" s="87"/>
    </x:row>
    <x:row r="12">
      <x:c r="A12" s="88" t="str">
        <x:v>How to use</x:v>
      </x:c>
      <x:c r="B12" s="87"/>
      <x:c r="C12" s="87"/>
      <x:c r="D12" s="87"/>
      <x:c r="E12" s="87"/>
      <x:c r="F12" s="87"/>
      <x:c r="G12" s="87"/>
      <x:c r="H12" s="87"/>
    </x:row>
    <x:row r="13">
      <x:c r="A13" s="85" t="str">
        <x:v>1</x:v>
      </x:c>
      <x:c r="B13" s="80" t="str">
        <x:v>Review USA_Dashboard for headline metrics and top composite scores.</x:v>
      </x:c>
      <x:c r="C13" s="87"/>
      <x:c r="D13" s="87"/>
      <x:c r="E13" s="87"/>
      <x:c r="F13" s="87"/>
      <x:c r="G13" s="87"/>
      <x:c r="H13" s="87"/>
    </x:row>
    <x:row r="14">
      <x:c r="A14" s="85" t="str">
        <x:v>2</x:v>
      </x:c>
      <x:c r="B14" s="80" t="str">
        <x:v>Use USA_Country_Scores for score table, confidence, map color, and opacity.</x:v>
      </x:c>
      <x:c r="C14" s="87"/>
      <x:c r="D14" s="87"/>
      <x:c r="E14" s="87"/>
      <x:c r="F14" s="87"/>
      <x:c r="G14" s="87"/>
      <x:c r="H14" s="87"/>
    </x:row>
    <x:row r="15">
      <x:c r="A15" s="85" t="str">
        <x:v>3</x:v>
      </x:c>
      <x:c r="B15" s="80" t="str">
        <x:v>Use USA_Map_Data or USA_GeoJSON_Export to connect the layer to your interactive map.</x:v>
      </x:c>
      <x:c r="C15" s="87"/>
      <x:c r="D15" s="87"/>
      <x:c r="E15" s="87"/>
      <x:c r="F15" s="87"/>
      <x:c r="G15" s="87"/>
      <x:c r="H15" s="87"/>
    </x:row>
    <x:row r="16">
      <x:c r="A16" s="85" t="str">
        <x:v>4</x:v>
      </x:c>
      <x:c r="B16" s="80" t="str">
        <x:v>Use USA_Evidence_Log and USA_Source_Register to audit every country/factor score.</x:v>
      </x:c>
      <x:c r="C16" s="87"/>
      <x:c r="D16" s="87"/>
      <x:c r="E16" s="87"/>
      <x:c r="F16" s="87"/>
      <x:c r="G16" s="87"/>
      <x:c r="H16" s="87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18" hidden="0" customWidth="1"/>
    <x:col min="5" max="5" width="14" hidden="0" customWidth="1"/>
    <x:col min="6" max="6" width="24" hidden="0" customWidth="1"/>
    <x:col min="7" max="7" width="4" hidden="0" customWidth="1"/>
    <x:col min="8" max="8" width="28" hidden="0" customWidth="1"/>
    <x:col min="9" max="9" width="20" hidden="0" customWidth="1"/>
    <x:col min="10" max="10" width="14" hidden="0" customWidth="1"/>
    <x:col min="11" max="11" width="48" hidden="0" customWidth="1"/>
    <x:col min="12" max="12" width="3" hidden="0" customWidth="1"/>
    <x:col min="13" max="13" width="3" hidden="0" customWidth="1"/>
    <x:col min="14" max="14" width="3" hidden="0" customWidth="1"/>
  </x:cols>
  <x:sheetData>
    <x:row r="1" ht="24" customHeight="1">
      <x:c r="A1" s="86" t="str">
        <x:v>USA Influence Evaluation Dashboard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</x:row>
    <x:row r="2" ht="28" customHeight="1">
      <x:c r="A2" s="86" t="str">
        <x:v>USA Influence Evaluation Dashboard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7"/>
      <x:c r="M2" s="87"/>
      <x:c r="N2" s="87"/>
    </x:row>
    <x:row r="3" ht="24" customHeight="1">
      <x:c r="A3" s="88" t="str">
        <x:v>Headline metrics</x:v>
      </x:c>
      <x:c r="B3" s="87"/>
      <x:c r="C3" s="87"/>
      <x:c r="D3" s="87"/>
      <x:c r="E3" s="88" t="str">
        <x:v>Factor averages</x:v>
      </x:c>
      <x:c r="F3" s="87"/>
      <x:c r="G3" s="87"/>
      <x:c r="H3" s="87"/>
      <x:c r="I3" s="87"/>
      <x:c r="J3" s="87"/>
      <x:c r="K3" s="87"/>
      <x:c r="L3" s="87"/>
      <x:c r="M3" s="87"/>
      <x:c r="N3" s="87"/>
    </x:row>
    <x:row r="4">
      <x:c r="A4" s="85" t="str">
        <x:v>Countries scored</x:v>
      </x:c>
      <x:c r="B4" s="140" t="n">
        <x:f>COUNTA(USA_Country_Scores!A2:A200)</x:f>
        <x:v>20</x:v>
      </x:c>
      <x:c r="C4" s="80" t="str">
        <x:v>Number of country rows in USA_Country_Scores</x:v>
      </x:c>
      <x:c r="D4" s="87"/>
      <x:c r="E4" s="93" t="str">
        <x:v>Factor</x:v>
      </x:c>
      <x:c r="F4" s="93" t="str">
        <x:v>Average</x:v>
      </x:c>
      <x:c r="G4" s="93" t="str">
        <x:v>Weight</x:v>
      </x:c>
      <x:c r="H4" s="93" t="str">
        <x:v>Interpretation</x:v>
      </x:c>
      <x:c r="I4" s="87"/>
      <x:c r="J4" s="87"/>
      <x:c r="K4" s="87"/>
      <x:c r="L4" s="87"/>
      <x:c r="M4" s="87"/>
      <x:c r="N4" s="87"/>
    </x:row>
    <x:row r="5">
      <x:c r="A5" s="85" t="str">
        <x:v>Average composite</x:v>
      </x:c>
      <x:c r="B5" s="125" t="n">
        <x:f>ROUND(AVERAGE(USA_Country_Scores!J2:J200),2)</x:f>
        <x:v>2.76</x:v>
      </x:c>
      <x:c r="C5" s="80" t="str">
        <x:v>Equal-weight average of four factors</x:v>
      </x:c>
      <x:c r="D5" s="87"/>
      <x:c r="E5" s="80" t="str">
        <x:v>U.S. influence / leverage</x:v>
      </x:c>
      <x:c r="F5" s="126" t="n">
        <x:f>ROUND(AVERAGE(USA_Country_Scores!F2:F200),2)</x:f>
        <x:v>3.8</x:v>
      </x:c>
      <x:c r="G5" s="94" t="n">
        <x:v>1</x:v>
      </x:c>
      <x:c r="H5" s="80" t="str">
        <x:v>Higher value means stronger verified signal.</x:v>
      </x:c>
      <x:c r="I5" s="87"/>
      <x:c r="J5" s="87"/>
      <x:c r="K5" s="87"/>
      <x:c r="L5" s="87"/>
      <x:c r="M5" s="87"/>
      <x:c r="N5" s="87"/>
    </x:row>
    <x:row r="6">
      <x:c r="A6" s="85" t="str">
        <x:v>High/Critical composite count</x:v>
      </x:c>
      <x:c r="B6" s="140" t="n">
        <x:f>COUNTIF(USA_Country_Scores!J2:J200,"&gt;=3.5")</x:f>
        <x:v>2</x:v>
      </x:c>
      <x:c r="C6" s="80" t="str">
        <x:v>Composite &gt;= 3.5</x:v>
      </x:c>
      <x:c r="D6" s="87"/>
      <x:c r="E6" s="80" t="str">
        <x:v>PMC / contractor presence</x:v>
      </x:c>
      <x:c r="F6" s="126" t="n">
        <x:f>ROUND(AVERAGE(USA_Country_Scores!G2:G200),2)</x:f>
        <x:v>2.15</x:v>
      </x:c>
      <x:c r="G6" s="94" t="n">
        <x:v>1</x:v>
      </x:c>
      <x:c r="H6" s="80" t="str">
        <x:v>Higher value means stronger verified signal.</x:v>
      </x:c>
      <x:c r="I6" s="87"/>
      <x:c r="J6" s="87"/>
      <x:c r="K6" s="87"/>
      <x:c r="L6" s="87"/>
      <x:c r="M6" s="87"/>
      <x:c r="N6" s="87"/>
    </x:row>
    <x:row r="7">
      <x:c r="A7" s="85" t="str">
        <x:v>Publication-ready rows</x:v>
      </x:c>
      <x:c r="B7" s="140" t="n">
        <x:f>COUNTIF(USA_Country_Scores!O2:O200,"Ready")</x:f>
        <x:v>20</x:v>
      </x:c>
      <x:c r="C7" s="80" t="str">
        <x:v>Confidence &gt;=60 and at least 3 evidence rows</x:v>
      </x:c>
      <x:c r="D7" s="87"/>
      <x:c r="E7" s="80" t="str">
        <x:v>U.S.-backed information ecosystem</x:v>
      </x:c>
      <x:c r="F7" s="126" t="n">
        <x:f>ROUND(AVERAGE(USA_Country_Scores!H2:H200),2)</x:f>
        <x:v>2.8</x:v>
      </x:c>
      <x:c r="G7" s="94" t="n">
        <x:v>1</x:v>
      </x:c>
      <x:c r="H7" s="80" t="str">
        <x:v>Higher value means stronger verified signal.</x:v>
      </x:c>
      <x:c r="I7" s="87"/>
      <x:c r="J7" s="87"/>
      <x:c r="K7" s="87"/>
      <x:c r="L7" s="87"/>
      <x:c r="M7" s="87"/>
      <x:c r="N7" s="87"/>
    </x:row>
    <x:row r="8">
      <x:c r="A8" s="85" t="str">
        <x:v>Mean confidence</x:v>
      </x:c>
      <x:c r="B8" s="140" t="n">
        <x:f>ROUND(AVERAGE(USA_Country_Scores!M2:M200),0)</x:f>
        <x:v>75</x:v>
      </x:c>
      <x:c r="C8" s="80" t="str">
        <x:v>Country-level confidence score</x:v>
      </x:c>
      <x:c r="D8" s="87"/>
      <x:c r="E8" s="80" t="str">
        <x:v>Election / political-transition interference</x:v>
      </x:c>
      <x:c r="F8" s="126" t="n">
        <x:f>ROUND(AVERAGE(USA_Country_Scores!I2:I200),2)</x:f>
        <x:v>2.3</x:v>
      </x:c>
      <x:c r="G8" s="94" t="n">
        <x:v>1</x:v>
      </x:c>
      <x:c r="H8" s="80" t="str">
        <x:v>Higher value means stronger verified signal.</x:v>
      </x:c>
      <x:c r="I8" s="87"/>
      <x:c r="J8" s="87"/>
      <x:c r="K8" s="87"/>
      <x:c r="L8" s="87"/>
      <x:c r="M8" s="87"/>
      <x:c r="N8" s="87"/>
    </x:row>
    <x:row r="9">
      <x:c r="A9" s="85" t="str">
        <x:v>Top composite country</x:v>
      </x:c>
      <x:c r="B9" s="141" t="str">
        <x:f>INDEX(USA_Country_Scores!A2:A200,MATCH(MAX(USA_Country_Scores!T2:T200),USA_Country_Scores!T2:T200,0))</x:f>
        <x:v>Afghanistan</x:v>
      </x:c>
      <x:c r="C9" s="80" t="str">
        <x:v>First country by max composite</x:v>
      </x:c>
      <x:c r="D9" s="87"/>
      <x:c r="E9" s="87"/>
      <x:c r="F9" s="87"/>
      <x:c r="G9" s="87"/>
      <x:c r="H9" s="87"/>
      <x:c r="I9" s="87"/>
      <x:c r="J9" s="87"/>
      <x:c r="K9" s="87"/>
      <x:c r="L9" s="87"/>
      <x:c r="M9" s="87"/>
      <x:c r="N9" s="87"/>
    </x:row>
    <x:row r="10">
      <x:c r="A10" s="87"/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7"/>
      <x:c r="M10" s="87"/>
      <x:c r="N10" s="87"/>
    </x:row>
    <x:row r="11" ht="24" customHeight="1">
      <x:c r="A11" s="88" t="str">
        <x:v>Top 10 composite scores</x:v>
      </x:c>
      <x:c r="B11" s="87"/>
      <x:c r="C11" s="87"/>
      <x:c r="D11" s="87"/>
      <x:c r="E11" s="87"/>
      <x:c r="F11" s="87"/>
      <x:c r="G11" s="87"/>
      <x:c r="H11" s="88" t="str">
        <x:v>Map score legend</x:v>
      </x:c>
      <x:c r="I11" s="87"/>
      <x:c r="J11" s="87"/>
      <x:c r="K11" s="87"/>
      <x:c r="L11" s="87"/>
      <x:c r="M11" s="87"/>
      <x:c r="N11" s="87"/>
    </x:row>
    <x:row r="12" ht="24" customHeight="1">
      <x:c r="A12" s="93" t="str">
        <x:v>Rank</x:v>
      </x:c>
      <x:c r="B12" s="93" t="str">
        <x:v>Country</x:v>
      </x:c>
      <x:c r="C12" s="93" t="str">
        <x:v>Composite</x:v>
      </x:c>
      <x:c r="D12" s="93" t="str">
        <x:v>Score band</x:v>
      </x:c>
      <x:c r="E12" s="93" t="str">
        <x:v>Confidence</x:v>
      </x:c>
      <x:c r="F12" s="93" t="str">
        <x:v>Main source IDs</x:v>
      </x:c>
      <x:c r="G12" s="87"/>
      <x:c r="H12" s="93" t="str">
        <x:v>Composite range</x:v>
      </x:c>
      <x:c r="I12" s="93" t="str">
        <x:v>Band</x:v>
      </x:c>
      <x:c r="J12" s="93" t="str">
        <x:v>Map color</x:v>
      </x:c>
      <x:c r="K12" s="93" t="str">
        <x:v>Interpretation</x:v>
      </x:c>
      <x:c r="L12" s="87"/>
      <x:c r="M12" s="87"/>
      <x:c r="N12" s="87"/>
    </x:row>
    <x:row r="13" ht="28" customHeight="1">
      <x:c r="A13" s="151" t="n">
        <x:v>1</x:v>
      </x:c>
      <x:c r="B13" s="148" t="str">
        <x:f>INDEX(USA_Country_Scores!$A$2:$A$21,MATCH(LARGE(USA_Country_Scores!$T$2:$T$21,A13),USA_Country_Scores!$T$2:$T$21,0))</x:f>
        <x:v>Afghanistan</x:v>
      </x:c>
      <x:c r="C13" s="149" t="n">
        <x:f>INDEX(USA_Country_Scores!$J$2:$J$21,MATCH(LARGE(USA_Country_Scores!$T$2:$T$21,A13),USA_Country_Scores!$T$2:$T$21,0))</x:f>
        <x:v>4</x:v>
      </x:c>
      <x:c r="D13" s="148" t="str">
        <x:f>INDEX(USA_Country_Scores!$K$2:$K$21,MATCH(LARGE(USA_Country_Scores!$T$2:$T$21,A13),USA_Country_Scores!$T$2:$T$21,0))</x:f>
        <x:v>High</x:v>
      </x:c>
      <x:c r="E13" s="150" t="n">
        <x:f>INDEX(USA_Country_Scores!$M$2:$M$21,MATCH(LARGE(USA_Country_Scores!$T$2:$T$21,A13),USA_Country_Scores!$T$2:$T$21,0))</x:f>
        <x:v>73</x:v>
      </x:c>
      <x:c r="F13" s="148" t="str">
        <x:f>INDEX(USA_Country_Scores!$S$2:$S$21,MATCH(LARGE(USA_Country_Scores!$T$2:$T$21,A13),USA_Country_Scores!$T$2:$T$21,0))</x:f>
        <x:v>S023; S024; S004; S006</x:v>
      </x:c>
      <x:c r="G13" s="87"/>
      <x:c r="H13" s="80" t="str">
        <x:v>4.5-5.0</x:v>
      </x:c>
      <x:c r="I13" s="80" t="str">
        <x:v>Critical</x:v>
      </x:c>
      <x:c r="J13" s="110" t="str">
        <x:v>#A63603</x:v>
      </x:c>
      <x:c r="K13" s="80" t="str">
        <x:v>Decisive / very strong verified signal</x:v>
      </x:c>
      <x:c r="L13" s="87"/>
      <x:c r="M13" s="87"/>
      <x:c r="N13" s="87"/>
    </x:row>
    <x:row r="14" ht="28" customHeight="1">
      <x:c r="A14" s="151" t="n">
        <x:v>2</x:v>
      </x:c>
      <x:c r="B14" s="148" t="str">
        <x:f>INDEX(USA_Country_Scores!$A$2:$A$21,MATCH(LARGE(USA_Country_Scores!$T$2:$T$21,A14),USA_Country_Scores!$T$2:$T$21,0))</x:f>
        <x:v>Iraq</x:v>
      </x:c>
      <x:c r="C14" s="149" t="n">
        <x:f>INDEX(USA_Country_Scores!$J$2:$J$21,MATCH(LARGE(USA_Country_Scores!$T$2:$T$21,A14),USA_Country_Scores!$T$2:$T$21,0))</x:f>
        <x:v>4</x:v>
      </x:c>
      <x:c r="D14" s="148" t="str">
        <x:f>INDEX(USA_Country_Scores!$K$2:$K$21,MATCH(LARGE(USA_Country_Scores!$T$2:$T$21,A14),USA_Country_Scores!$T$2:$T$21,0))</x:f>
        <x:v>High</x:v>
      </x:c>
      <x:c r="E14" s="150" t="n">
        <x:f>INDEX(USA_Country_Scores!$M$2:$M$21,MATCH(LARGE(USA_Country_Scores!$T$2:$T$21,A14),USA_Country_Scores!$T$2:$T$21,0))</x:f>
        <x:v>80</x:v>
      </x:c>
      <x:c r="F14" s="148" t="str">
        <x:f>INDEX(USA_Country_Scores!$S$2:$S$21,MATCH(LARGE(USA_Country_Scores!$T$2:$T$21,A14),USA_Country_Scores!$T$2:$T$21,0))</x:f>
        <x:v>S002; S003; S004; S005; S019</x:v>
      </x:c>
      <x:c r="G14" s="87"/>
      <x:c r="H14" s="80" t="str">
        <x:v>3.5-4.49</x:v>
      </x:c>
      <x:c r="I14" s="80" t="str">
        <x:v>High</x:v>
      </x:c>
      <x:c r="J14" s="113" t="str">
        <x:v>#F16913</x:v>
      </x:c>
      <x:c r="K14" s="80" t="str">
        <x:v>Strong verified signal</x:v>
      </x:c>
      <x:c r="L14" s="87"/>
      <x:c r="M14" s="87"/>
      <x:c r="N14" s="87"/>
    </x:row>
    <x:row r="15" ht="28" customHeight="1">
      <x:c r="A15" s="151" t="n">
        <x:v>3</x:v>
      </x:c>
      <x:c r="B15" s="148" t="str">
        <x:f>INDEX(USA_Country_Scores!$A$2:$A$21,MATCH(LARGE(USA_Country_Scores!$T$2:$T$21,A15),USA_Country_Scores!$T$2:$T$21,0))</x:f>
        <x:v>Guatemala</x:v>
      </x:c>
      <x:c r="C15" s="149" t="n">
        <x:f>INDEX(USA_Country_Scores!$J$2:$J$21,MATCH(LARGE(USA_Country_Scores!$T$2:$T$21,A15),USA_Country_Scores!$T$2:$T$21,0))</x:f>
        <x:v>3.25</x:v>
      </x:c>
      <x:c r="D15" s="148" t="str">
        <x:f>INDEX(USA_Country_Scores!$K$2:$K$21,MATCH(LARGE(USA_Country_Scores!$T$2:$T$21,A15),USA_Country_Scores!$T$2:$T$21,0))</x:f>
        <x:v>Elevated</x:v>
      </x:c>
      <x:c r="E15" s="150" t="n">
        <x:f>INDEX(USA_Country_Scores!$M$2:$M$21,MATCH(LARGE(USA_Country_Scores!$T$2:$T$21,A15),USA_Country_Scores!$T$2:$T$21,0))</x:f>
        <x:v>75</x:v>
      </x:c>
      <x:c r="F15" s="148" t="str">
        <x:f>INDEX(USA_Country_Scores!$S$2:$S$21,MATCH(LARGE(USA_Country_Scores!$T$2:$T$21,A15),USA_Country_Scores!$T$2:$T$21,0))</x:f>
        <x:v>S007; S008</x:v>
      </x:c>
      <x:c r="G15" s="87"/>
      <x:c r="H15" s="80" t="str">
        <x:v>2.5-3.49</x:v>
      </x:c>
      <x:c r="I15" s="80" t="str">
        <x:v>Elevated</x:v>
      </x:c>
      <x:c r="J15" s="116" t="str">
        <x:v>#FDAE6B</x:v>
      </x:c>
      <x:c r="K15" s="80" t="str">
        <x:v>Substantial verified signal</x:v>
      </x:c>
      <x:c r="L15" s="87"/>
      <x:c r="M15" s="87"/>
      <x:c r="N15" s="87"/>
    </x:row>
    <x:row r="16" ht="28" customHeight="1">
      <x:c r="A16" s="151" t="n">
        <x:v>4</x:v>
      </x:c>
      <x:c r="B16" s="148" t="str">
        <x:f>INDEX(USA_Country_Scores!$A$2:$A$21,MATCH(LARGE(USA_Country_Scores!$T$2:$T$21,A16),USA_Country_Scores!$T$2:$T$21,0))</x:f>
        <x:v>Serbia</x:v>
      </x:c>
      <x:c r="C16" s="149" t="n">
        <x:f>INDEX(USA_Country_Scores!$J$2:$J$21,MATCH(LARGE(USA_Country_Scores!$T$2:$T$21,A16),USA_Country_Scores!$T$2:$T$21,0))</x:f>
        <x:v>3</x:v>
      </x:c>
      <x:c r="D16" s="148" t="str">
        <x:f>INDEX(USA_Country_Scores!$K$2:$K$21,MATCH(LARGE(USA_Country_Scores!$T$2:$T$21,A16),USA_Country_Scores!$T$2:$T$21,0))</x:f>
        <x:v>Elevated</x:v>
      </x:c>
      <x:c r="E16" s="150" t="n">
        <x:f>INDEX(USA_Country_Scores!$M$2:$M$21,MATCH(LARGE(USA_Country_Scores!$T$2:$T$21,A16),USA_Country_Scores!$T$2:$T$21,0))</x:f>
        <x:v>75</x:v>
      </x:c>
      <x:c r="F16" s="148" t="str">
        <x:f>INDEX(USA_Country_Scores!$S$2:$S$21,MATCH(LARGE(USA_Country_Scores!$T$2:$T$21,A16),USA_Country_Scores!$T$2:$T$21,0))</x:f>
        <x:v>S004; S005; S011</x:v>
      </x:c>
      <x:c r="G16" s="87"/>
      <x:c r="H16" s="80" t="str">
        <x:v>1.5-2.49</x:v>
      </x:c>
      <x:c r="I16" s="80" t="str">
        <x:v>Moderate</x:v>
      </x:c>
      <x:c r="J16" s="118" t="str">
        <x:v>#ADDD8E</x:v>
      </x:c>
      <x:c r="K16" s="80" t="str">
        <x:v>Limited/moderate verified signal</x:v>
      </x:c>
      <x:c r="L16" s="87"/>
      <x:c r="M16" s="87"/>
      <x:c r="N16" s="87"/>
    </x:row>
    <x:row r="17" ht="28" customHeight="1">
      <x:c r="A17" s="151" t="n">
        <x:v>5</x:v>
      </x:c>
      <x:c r="B17" s="148" t="str">
        <x:f>INDEX(USA_Country_Scores!$A$2:$A$21,MATCH(LARGE(USA_Country_Scores!$T$2:$T$21,A17),USA_Country_Scores!$T$2:$T$21,0))</x:f>
        <x:v>Ukraine</x:v>
      </x:c>
      <x:c r="C17" s="149" t="n">
        <x:f>INDEX(USA_Country_Scores!$J$2:$J$21,MATCH(LARGE(USA_Country_Scores!$T$2:$T$21,A17),USA_Country_Scores!$T$2:$T$21,0))</x:f>
        <x:v>3</x:v>
      </x:c>
      <x:c r="D17" s="148" t="str">
        <x:f>INDEX(USA_Country_Scores!$K$2:$K$21,MATCH(LARGE(USA_Country_Scores!$T$2:$T$21,A17),USA_Country_Scores!$T$2:$T$21,0))</x:f>
        <x:v>Elevated</x:v>
      </x:c>
      <x:c r="E17" s="150" t="n">
        <x:f>INDEX(USA_Country_Scores!$M$2:$M$21,MATCH(LARGE(USA_Country_Scores!$T$2:$T$21,A17),USA_Country_Scores!$T$2:$T$21,0))</x:f>
        <x:v>75</x:v>
      </x:c>
      <x:c r="F17" s="148" t="str">
        <x:f>INDEX(USA_Country_Scores!$S$2:$S$21,MATCH(LARGE(USA_Country_Scores!$T$2:$T$21,A17),USA_Country_Scores!$T$2:$T$21,0))</x:f>
        <x:v>S013; S014; S004; S005</x:v>
      </x:c>
      <x:c r="G17" s="87"/>
      <x:c r="H17" s="80" t="str">
        <x:v>0.1-1.49</x:v>
      </x:c>
      <x:c r="I17" s="80" t="str">
        <x:v>Low</x:v>
      </x:c>
      <x:c r="J17" s="120" t="str">
        <x:v>#D9F0D3</x:v>
      </x:c>
      <x:c r="K17" s="80" t="str">
        <x:v>Low verified signal</x:v>
      </x:c>
      <x:c r="L17" s="87"/>
      <x:c r="M17" s="87"/>
      <x:c r="N17" s="87"/>
    </x:row>
    <x:row r="18" ht="28" customHeight="1">
      <x:c r="A18" s="151" t="n">
        <x:v>6</x:v>
      </x:c>
      <x:c r="B18" s="148" t="str">
        <x:f>INDEX(USA_Country_Scores!$A$2:$A$21,MATCH(LARGE(USA_Country_Scores!$T$2:$T$21,A18),USA_Country_Scores!$T$2:$T$21,0))</x:f>
        <x:v>Syria</x:v>
      </x:c>
      <x:c r="C18" s="149" t="n">
        <x:f>INDEX(USA_Country_Scores!$J$2:$J$21,MATCH(LARGE(USA_Country_Scores!$T$2:$T$21,A18),USA_Country_Scores!$T$2:$T$21,0))</x:f>
        <x:v>3</x:v>
      </x:c>
      <x:c r="D18" s="148" t="str">
        <x:f>INDEX(USA_Country_Scores!$K$2:$K$21,MATCH(LARGE(USA_Country_Scores!$T$2:$T$21,A18),USA_Country_Scores!$T$2:$T$21,0))</x:f>
        <x:v>Elevated</x:v>
      </x:c>
      <x:c r="E18" s="150" t="n">
        <x:f>INDEX(USA_Country_Scores!$M$2:$M$21,MATCH(LARGE(USA_Country_Scores!$T$2:$T$21,A18),USA_Country_Scores!$T$2:$T$21,0))</x:f>
        <x:v>79</x:v>
      </x:c>
      <x:c r="F18" s="148" t="str">
        <x:f>INDEX(USA_Country_Scores!$S$2:$S$21,MATCH(LARGE(USA_Country_Scores!$T$2:$T$21,A18),USA_Country_Scores!$T$2:$T$21,0))</x:f>
        <x:v>S002; S003; S004; S019</x:v>
      </x:c>
      <x:c r="G18" s="87"/>
      <x:c r="H18" s="80" t="str">
        <x:v>0</x:v>
      </x:c>
      <x:c r="I18" s="80" t="str">
        <x:v>No verified evidence</x:v>
      </x:c>
      <x:c r="J18" s="122" t="str">
        <x:v>#F2F2F2</x:v>
      </x:c>
      <x:c r="K18" s="80" t="str">
        <x:v>No selected-source evidence</x:v>
      </x:c>
      <x:c r="L18" s="87"/>
      <x:c r="M18" s="87"/>
      <x:c r="N18" s="87"/>
    </x:row>
    <x:row r="19" ht="28" customHeight="1">
      <x:c r="A19" s="151" t="n">
        <x:v>7</x:v>
      </x:c>
      <x:c r="B19" s="148" t="str">
        <x:f>INDEX(USA_Country_Scores!$A$2:$A$21,MATCH(LARGE(USA_Country_Scores!$T$2:$T$21,A19),USA_Country_Scores!$T$2:$T$21,0))</x:f>
        <x:v>Cuba</x:v>
      </x:c>
      <x:c r="C19" s="149" t="n">
        <x:f>INDEX(USA_Country_Scores!$J$2:$J$21,MATCH(LARGE(USA_Country_Scores!$T$2:$T$21,A19),USA_Country_Scores!$T$2:$T$21,0))</x:f>
        <x:v>2.75</x:v>
      </x:c>
      <x:c r="D19" s="148" t="str">
        <x:f>INDEX(USA_Country_Scores!$K$2:$K$21,MATCH(LARGE(USA_Country_Scores!$T$2:$T$21,A19),USA_Country_Scores!$T$2:$T$21,0))</x:f>
        <x:v>Elevated</x:v>
      </x:c>
      <x:c r="E19" s="150" t="n">
        <x:f>INDEX(USA_Country_Scores!$M$2:$M$21,MATCH(LARGE(USA_Country_Scores!$T$2:$T$21,A19),USA_Country_Scores!$T$2:$T$21,0))</x:f>
        <x:v>74</x:v>
      </x:c>
      <x:c r="F19" s="148" t="str">
        <x:f>INDEX(USA_Country_Scores!$S$2:$S$21,MATCH(LARGE(USA_Country_Scores!$T$2:$T$21,A19),USA_Country_Scores!$T$2:$T$21,0))</x:f>
        <x:v>S018; S006</x:v>
      </x:c>
      <x:c r="G19" s="87"/>
      <x:c r="H19" s="87"/>
      <x:c r="I19" s="87"/>
      <x:c r="J19" s="87"/>
      <x:c r="K19" s="87"/>
      <x:c r="L19" s="87"/>
      <x:c r="M19" s="87"/>
      <x:c r="N19" s="87"/>
    </x:row>
    <x:row r="20" ht="28" customHeight="1">
      <x:c r="A20" s="151" t="n">
        <x:v>8</x:v>
      </x:c>
      <x:c r="B20" s="148" t="str">
        <x:f>INDEX(USA_Country_Scores!$A$2:$A$21,MATCH(LARGE(USA_Country_Scores!$T$2:$T$21,A20),USA_Country_Scores!$T$2:$T$21,0))</x:f>
        <x:v>Italy</x:v>
      </x:c>
      <x:c r="C20" s="149" t="n">
        <x:f>INDEX(USA_Country_Scores!$J$2:$J$21,MATCH(LARGE(USA_Country_Scores!$T$2:$T$21,A20),USA_Country_Scores!$T$2:$T$21,0))</x:f>
        <x:v>2.75</x:v>
      </x:c>
      <x:c r="D20" s="148" t="str">
        <x:f>INDEX(USA_Country_Scores!$K$2:$K$21,MATCH(LARGE(USA_Country_Scores!$T$2:$T$21,A20),USA_Country_Scores!$T$2:$T$21,0))</x:f>
        <x:v>Elevated</x:v>
      </x:c>
      <x:c r="E20" s="150" t="n">
        <x:f>INDEX(USA_Country_Scores!$M$2:$M$21,MATCH(LARGE(USA_Country_Scores!$T$2:$T$21,A20),USA_Country_Scores!$T$2:$T$21,0))</x:f>
        <x:v>74</x:v>
      </x:c>
      <x:c r="F20" s="148" t="str">
        <x:f>INDEX(USA_Country_Scores!$S$2:$S$21,MATCH(LARGE(USA_Country_Scores!$T$2:$T$21,A20),USA_Country_Scores!$T$2:$T$21,0))</x:f>
        <x:v>S001; S007; S010</x:v>
      </x:c>
      <x:c r="G20" s="87"/>
      <x:c r="H20" s="88"/>
      <x:c r="I20" s="87"/>
      <x:c r="J20" s="87"/>
      <x:c r="K20" s="87"/>
      <x:c r="L20" s="87"/>
      <x:c r="M20" s="87"/>
      <x:c r="N20" s="87"/>
    </x:row>
    <x:row r="21" ht="28" customHeight="1">
      <x:c r="A21" s="151" t="n">
        <x:v>9</x:v>
      </x:c>
      <x:c r="B21" s="148" t="str">
        <x:f>INDEX(USA_Country_Scores!$A$2:$A$21,MATCH(LARGE(USA_Country_Scores!$T$2:$T$21,A21),USA_Country_Scores!$T$2:$T$21,0))</x:f>
        <x:v>Nicaragua</x:v>
      </x:c>
      <x:c r="C21" s="149" t="n">
        <x:f>INDEX(USA_Country_Scores!$J$2:$J$21,MATCH(LARGE(USA_Country_Scores!$T$2:$T$21,A21),USA_Country_Scores!$T$2:$T$21,0))</x:f>
        <x:v>2.75</x:v>
      </x:c>
      <x:c r="D21" s="148" t="str">
        <x:f>INDEX(USA_Country_Scores!$K$2:$K$21,MATCH(LARGE(USA_Country_Scores!$T$2:$T$21,A21),USA_Country_Scores!$T$2:$T$21,0))</x:f>
        <x:v>Elevated</x:v>
      </x:c>
      <x:c r="E21" s="150" t="n">
        <x:f>INDEX(USA_Country_Scores!$M$2:$M$21,MATCH(LARGE(USA_Country_Scores!$T$2:$T$21,A21),USA_Country_Scores!$T$2:$T$21,0))</x:f>
        <x:v>75</x:v>
      </x:c>
      <x:c r="F21" s="148" t="str">
        <x:f>INDEX(USA_Country_Scores!$S$2:$S$21,MATCH(LARGE(USA_Country_Scores!$T$2:$T$21,A21),USA_Country_Scores!$T$2:$T$21,0))</x:f>
        <x:v>S007; S012</x:v>
      </x:c>
      <x:c r="G21" s="87"/>
      <x:c r="H21" s="80"/>
      <x:c r="I21" s="87"/>
      <x:c r="J21" s="87"/>
      <x:c r="K21" s="87"/>
      <x:c r="L21" s="87"/>
      <x:c r="M21" s="87"/>
      <x:c r="N21" s="87"/>
    </x:row>
    <x:row r="22" ht="28" customHeight="1">
      <x:c r="A22" s="151" t="n">
        <x:v>10</x:v>
      </x:c>
      <x:c r="B22" s="148" t="str">
        <x:f>INDEX(USA_Country_Scores!$A$2:$A$21,MATCH(LARGE(USA_Country_Scores!$T$2:$T$21,A22),USA_Country_Scores!$T$2:$T$21,0))</x:f>
        <x:v>Qatar</x:v>
      </x:c>
      <x:c r="C22" s="149" t="n">
        <x:f>INDEX(USA_Country_Scores!$J$2:$J$21,MATCH(LARGE(USA_Country_Scores!$T$2:$T$21,A22),USA_Country_Scores!$T$2:$T$21,0))</x:f>
        <x:v>2.5</x:v>
      </x:c>
      <x:c r="D22" s="148" t="str">
        <x:f>INDEX(USA_Country_Scores!$K$2:$K$21,MATCH(LARGE(USA_Country_Scores!$T$2:$T$21,A22),USA_Country_Scores!$T$2:$T$21,0))</x:f>
        <x:v>Elevated</x:v>
      </x:c>
      <x:c r="E22" s="150" t="n">
        <x:f>INDEX(USA_Country_Scores!$M$2:$M$21,MATCH(LARGE(USA_Country_Scores!$T$2:$T$21,A22),USA_Country_Scores!$T$2:$T$21,0))</x:f>
        <x:v>76</x:v>
      </x:c>
      <x:c r="F22" s="148" t="str">
        <x:f>INDEX(USA_Country_Scores!$S$2:$S$21,MATCH(LARGE(USA_Country_Scores!$T$2:$T$21,A22),USA_Country_Scores!$T$2:$T$21,0))</x:f>
        <x:v>S002; S019</x:v>
      </x:c>
      <x:c r="G22" s="87"/>
      <x:c r="H22" s="87"/>
      <x:c r="I22" s="87"/>
      <x:c r="J22" s="87"/>
      <x:c r="K22" s="87"/>
      <x:c r="L22" s="87"/>
      <x:c r="M22" s="87"/>
      <x:c r="N22" s="87"/>
    </x:row>
    <x:row r="23">
      <x:c r="A23" s="87"/>
      <x:c r="B23" s="87"/>
      <x:c r="C23" s="87"/>
      <x:c r="D23" s="87"/>
      <x:c r="E23" s="87"/>
      <x:c r="F23" s="87"/>
      <x:c r="G23" s="87"/>
      <x:c r="H23" s="88" t="str">
        <x:v>Method note</x:v>
      </x:c>
      <x:c r="I23" s="87"/>
      <x:c r="J23" s="87"/>
      <x:c r="K23" s="87"/>
      <x:c r="L23" s="87"/>
      <x:c r="M23" s="87"/>
      <x:c r="N23" s="87"/>
    </x:row>
    <x:row r="24">
      <x:c r="A24" s="87"/>
      <x:c r="B24" s="87"/>
      <x:c r="C24" s="87"/>
      <x:c r="D24" s="87"/>
      <x:c r="E24" s="87"/>
      <x:c r="F24" s="87"/>
      <x:c r="G24" s="87"/>
      <x:c r="H24" s="80" t="str">
        <x:v>Scores are evidence-based index values, not legal determinations. The map separates U.S. military/security leverage, contractor/PMC presence, information ecosystems, and election/political-transition interference. Historical cases are included for comparability but should be filtered or time-decayed for a current-only product.</x:v>
      </x:c>
      <x:c r="I24" s="87"/>
      <x:c r="J24" s="87"/>
      <x:c r="K24" s="87"/>
      <x:c r="L24" s="87"/>
      <x:c r="M24" s="87"/>
      <x:c r="N24" s="87"/>
    </x:row>
  </x:sheetData>
  <x:mergeCells>
    <x:mergeCell ref="A1:N1"/>
    <x:mergeCell ref="A3:D3"/>
    <x:mergeCell ref="E3:H3"/>
    <x:mergeCell ref="A11:F11"/>
    <x:mergeCell ref="H11:N11"/>
    <x:mergeCell ref="A2:K2"/>
    <x:mergeCell ref="H23:K23"/>
    <x:mergeCell ref="H24:K27"/>
  </x:mergeCells>
  <x:conditionalFormatting sqref="C13:C22">
    <x:cfRule type="dataBar" priority="1">
      <x:dataBar>
        <x:cfvo type="min"/>
        <x:cfvo type="max"/>
        <x:color rgb="F97316"/>
      </x:dataBar>
      <x:extLst>
        <x:ext xmlns:x14="http://schemas.microsoft.com/office/spreadsheetml/2009/9/main" uri="{B025F937-C7B1-47D3-B67F-A62EFF666E3E}">
          <x14:id>{D1F55411-06F2-6856-87CE-F1056E7D1468}</x14:id>
        </x:ext>
      </x:extLst>
    </x:cfRule>
  </x:conditionalFormatting>
  <x:conditionalFormatting sqref="E13:E22">
    <x:cfRule type="dataBar" priority="2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{57E89BE5-9F72-0A94-E608-3C76F0E0471A}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F55411-06F2-6856-87CE-F1056E7D1468}">
            <x14:dataBar gradient="1">
              <x14:cfvo type="min"/>
              <x14:cfvo type="max"/>
              <x14:fillColor rgb="F97316"/>
            </x14:dataBar>
          </x14:cfRule>
          <xm:sqref>C13:C22</xm:sqref>
        </x14:conditionalFormatting>
        <x14:conditionalFormatting>
          <x14:cfRule type="dataBar" priority="2" id="{57E89BE5-9F72-0A94-E608-3C76F0E0471A}">
            <x14:dataBar gradient="1">
              <x14:cfvo type="min"/>
              <x14:cfvo type="max"/>
              <x14:fillColor rgb="2563EB"/>
            </x14:dataBar>
          </x14:cfRule>
          <xm:sqref>E13:E22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2" hidden="0" customWidth="1"/>
    <x:col min="4" max="4" width="11" hidden="0" customWidth="1"/>
    <x:col min="5" max="5" width="11" hidden="0" customWidth="1"/>
    <x:col min="6" max="6" width="18" hidden="0" customWidth="1"/>
    <x:col min="7" max="7" width="20" hidden="0" customWidth="1"/>
    <x:col min="8" max="8" width="24" hidden="0" customWidth="1"/>
    <x:col min="9" max="9" width="26" hidden="0" customWidth="1"/>
    <x:col min="10" max="10" width="15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2" hidden="0" customWidth="1"/>
    <x:col min="17" max="17" width="10" hidden="0" customWidth="1"/>
    <x:col min="18" max="18" width="72" hidden="0" customWidth="1"/>
    <x:col min="19" max="19" width="24" hidden="0" customWidth="1"/>
    <x:col min="20" max="20" width="10" hidden="0" customWidth="1"/>
  </x:cols>
  <x:sheetData>
    <x:row r="1">
      <x:c r="A1" s="93" t="str">
        <x:v>Country</x:v>
      </x:c>
      <x:c r="B1" s="93" t="str">
        <x:v>ISO3</x:v>
      </x:c>
      <x:c r="C1" s="93" t="str">
        <x:v>Region</x:v>
      </x:c>
      <x:c r="D1" s="93" t="str">
        <x:v>Latitude</x:v>
      </x:c>
      <x:c r="E1" s="93" t="str">
        <x:v>Longitude</x:v>
      </x:c>
      <x:c r="F1" s="93" t="str">
        <x:v>U.S. influence / leverage</x:v>
      </x:c>
      <x:c r="G1" s="93" t="str">
        <x:v>PMC / contractor presence</x:v>
      </x:c>
      <x:c r="H1" s="93" t="str">
        <x:v>U.S.-backed information ecosystem</x:v>
      </x:c>
      <x:c r="I1" s="93" t="str">
        <x:v>Election / political-transition interference</x:v>
      </x:c>
      <x:c r="J1" s="93" t="str">
        <x:v>Composite_Score</x:v>
      </x:c>
      <x:c r="K1" s="93" t="str">
        <x:v>Score_Band</x:v>
      </x:c>
      <x:c r="L1" s="93" t="str">
        <x:v>Highest_Factor</x:v>
      </x:c>
      <x:c r="M1" s="93" t="str">
        <x:v>Confidence_0_100</x:v>
      </x:c>
      <x:c r="N1" s="93" t="str">
        <x:v>Confidence_Band</x:v>
      </x:c>
      <x:c r="O1" s="93" t="str">
        <x:v>Publication_Status</x:v>
      </x:c>
      <x:c r="P1" s="93" t="str">
        <x:v>Map_Color</x:v>
      </x:c>
      <x:c r="Q1" s="93" t="str">
        <x:v>Opacity</x:v>
      </x:c>
      <x:c r="R1" s="93" t="str">
        <x:v>Primary_Evidence_Notes</x:v>
      </x:c>
      <x:c r="S1" s="93" t="str">
        <x:v>Primary_Source_IDs</x:v>
      </x:c>
      <x:c r="T1" s="130" t="str">
        <x:v>Sort_Key</x:v>
      </x:c>
    </x:row>
    <x:row r="2">
      <x:c r="A2" s="87" t="str">
        <x:v>Iraq</x:v>
      </x:c>
      <x:c r="B2" s="87" t="str">
        <x:v>IRQ</x:v>
      </x:c>
      <x:c r="C2" s="87" t="str">
        <x:v>Middle East / West Asia</x:v>
      </x:c>
      <x:c r="D2" s="97" t="n">
        <x:v>33.2232</x:v>
      </x:c>
      <x:c r="E2" s="97" t="n">
        <x:v>43.6793</x:v>
      </x:c>
      <x:c r="F2" s="94" t="n">
        <x:f>IFERROR(ROUND(SUMPRODUCT((USA_Evidence_Log!$B$2:$B$500=$A2)*(USA_Evidence_Log!$E$2:$E$500=F$1)*(USA_Evidence_Log!$T$2:$T$500="Yes")*USA_Evidence_Log!$R$2:$R$500)/SUMPRODUCT((USA_Evidence_Log!$B$2:$B$500=$A2)*(USA_Evidence_Log!$E$2:$E$500=F$1)*(USA_Evidence_Log!$T$2:$T$500="Yes")*USA_Evidence_Log!$Q$2:$Q$500),1),0)</x:f>
        <x:v>5</x:v>
      </x:c>
      <x:c r="G2" s="94" t="n">
        <x:f>IFERROR(ROUND(SUMPRODUCT((USA_Evidence_Log!$B$2:$B$500=$A2)*(USA_Evidence_Log!$E$2:$E$500=G$1)*(USA_Evidence_Log!$T$2:$T$500="Yes")*USA_Evidence_Log!$R$2:$R$500)/SUMPRODUCT((USA_Evidence_Log!$B$2:$B$500=$A2)*(USA_Evidence_Log!$E$2:$E$500=G$1)*(USA_Evidence_Log!$T$2:$T$500="Yes")*USA_Evidence_Log!$Q$2:$Q$500),1),0)</x:f>
        <x:v>5</x:v>
      </x:c>
      <x:c r="H2" s="94" t="n">
        <x:f>IFERROR(ROUND(SUMPRODUCT((USA_Evidence_Log!$B$2:$B$500=$A2)*(USA_Evidence_Log!$E$2:$E$500=H$1)*(USA_Evidence_Log!$T$2:$T$500="Yes")*USA_Evidence_Log!$R$2:$R$500)/SUMPRODUCT((USA_Evidence_Log!$B$2:$B$500=$A2)*(USA_Evidence_Log!$E$2:$E$500=H$1)*(USA_Evidence_Log!$T$2:$T$500="Yes")*USA_Evidence_Log!$Q$2:$Q$500),1),0)</x:f>
        <x:v>4</x:v>
      </x:c>
      <x:c r="I2" s="94" t="n">
        <x:f>IFERROR(ROUND(SUMPRODUCT((USA_Evidence_Log!$B$2:$B$500=$A2)*(USA_Evidence_Log!$E$2:$E$500=I$1)*(USA_Evidence_Log!$T$2:$T$500="Yes")*USA_Evidence_Log!$R$2:$R$500)/SUMPRODUCT((USA_Evidence_Log!$B$2:$B$500=$A2)*(USA_Evidence_Log!$E$2:$E$500=I$1)*(USA_Evidence_Log!$T$2:$T$500="Yes")*USA_Evidence_Log!$Q$2:$Q$500),1),0)</x:f>
        <x:v>2</x:v>
      </x:c>
      <x:c r="J2" s="95" t="n">
        <x:f>ROUND(AVERAGE(F2:I2),2)</x:f>
        <x:v>4</x:v>
      </x:c>
      <x:c r="K2" s="94" t="str">
        <x:f>IF(J2&gt;=4.5,"Critical",IF(J2&gt;=3.5,"High",IF(J2&gt;=2.5,"Elevated",IF(J2&gt;=1.5,"Moderate",IF(J2&gt;0,"Low","No verified evidence")))))</x:f>
        <x:v>High</x:v>
      </x:c>
      <x:c r="L2" s="94" t="n">
        <x:f>MAX(F2:I2)</x:f>
        <x:v>5</x:v>
      </x:c>
      <x:c r="M2" s="96" t="n">
        <x:f>IFERROR(ROUND(SUMPRODUCT((USA_Evidence_Log!$B$2:$B$500=$A2)*(USA_Evidence_Log!$T$2:$T$500="Yes")*USA_Evidence_Log!$P$2:$P$500)/SUMPRODUCT((USA_Evidence_Log!$B$2:$B$500=$A2)*(USA_Evidence_Log!$T$2:$T$500="Yes")),0),0)</x:f>
        <x:v>80</x:v>
      </x:c>
      <x:c r="N2" s="87" t="str">
        <x:f>IF(M2&gt;=80,"High",IF(M2&gt;=60,"Medium",IF(M2&gt;=40,"Low","Needs review")))</x:f>
        <x:v>High</x:v>
      </x:c>
      <x:c r="O2" s="87" t="str">
        <x:f>IF(AND(M2&gt;=60,COUNTIF(USA_Evidence_Log!$B$2:$B$500,$A2)&gt;=3),"Ready","Review")</x:f>
        <x:v>Ready</x:v>
      </x:c>
      <x:c r="P2" s="87" t="str">
        <x:f>IF(J2&gt;=4.5,"#A63603",IF(J2&gt;=3.5,"#F16913",IF(J2&gt;=2.5,"#FDAE6B",IF(J2&gt;=1.5,"#ADDD8E",IF(J2&gt;0,"#D9F0D3","#F2F2F2")))))</x:f>
        <x:v>#F16913</x:v>
      </x:c>
      <x:c r="Q2" s="95" t="n">
        <x:f>IF(M2&gt;=80,1,IF(M2&gt;=60,0.75,IF(M2&gt;=40,0.45,0.25)))</x:f>
        <x:v>1</x:v>
      </x:c>
      <x:c r="R2" s="87" t="str">
        <x:v>High current U.S. military/security footprint; contractor evidence is grouped with Syria in DoD CENTCOM reporting.</x:v>
      </x:c>
      <x:c r="S2" s="87" t="str">
        <x:v>S002; S003; S004; S005; S019</x:v>
      </x:c>
      <x:c r="T2" s="132" t="n">
        <x:f>J2+ROW()/100000</x:f>
        <x:v>4.00002</x:v>
      </x:c>
    </x:row>
    <x:row r="3">
      <x:c r="A3" s="87" t="str">
        <x:v>Syria</x:v>
      </x:c>
      <x:c r="B3" s="87" t="str">
        <x:v>SYR</x:v>
      </x:c>
      <x:c r="C3" s="87" t="str">
        <x:v>Middle East / West Asia</x:v>
      </x:c>
      <x:c r="D3" s="97" t="n">
        <x:v>34.8021</x:v>
      </x:c>
      <x:c r="E3" s="97" t="n">
        <x:v>38.9968</x:v>
      </x:c>
      <x:c r="F3" s="94" t="n">
        <x:f>IFERROR(ROUND(SUMPRODUCT((USA_Evidence_Log!$B$2:$B$500=$A3)*(USA_Evidence_Log!$E$2:$E$500=F$1)*(USA_Evidence_Log!$T$2:$T$500="Yes")*USA_Evidence_Log!$R$2:$R$500)/SUMPRODUCT((USA_Evidence_Log!$B$2:$B$500=$A3)*(USA_Evidence_Log!$E$2:$E$500=F$1)*(USA_Evidence_Log!$T$2:$T$500="Yes")*USA_Evidence_Log!$Q$2:$Q$500),1),0)</x:f>
        <x:v>4</x:v>
      </x:c>
      <x:c r="G3" s="94" t="n">
        <x:f>IFERROR(ROUND(SUMPRODUCT((USA_Evidence_Log!$B$2:$B$500=$A3)*(USA_Evidence_Log!$E$2:$E$500=G$1)*(USA_Evidence_Log!$T$2:$T$500="Yes")*USA_Evidence_Log!$R$2:$R$500)/SUMPRODUCT((USA_Evidence_Log!$B$2:$B$500=$A3)*(USA_Evidence_Log!$E$2:$E$500=G$1)*(USA_Evidence_Log!$T$2:$T$500="Yes")*USA_Evidence_Log!$Q$2:$Q$500),1),0)</x:f>
        <x:v>4</x:v>
      </x:c>
      <x:c r="H3" s="94" t="n">
        <x:f>IFERROR(ROUND(SUMPRODUCT((USA_Evidence_Log!$B$2:$B$500=$A3)*(USA_Evidence_Log!$E$2:$E$500=H$1)*(USA_Evidence_Log!$T$2:$T$500="Yes")*USA_Evidence_Log!$R$2:$R$500)/SUMPRODUCT((USA_Evidence_Log!$B$2:$B$500=$A3)*(USA_Evidence_Log!$E$2:$E$500=H$1)*(USA_Evidence_Log!$T$2:$T$500="Yes")*USA_Evidence_Log!$Q$2:$Q$500),1),0)</x:f>
        <x:v>3</x:v>
      </x:c>
      <x:c r="I3" s="94" t="n">
        <x:f>IFERROR(ROUND(SUMPRODUCT((USA_Evidence_Log!$B$2:$B$500=$A3)*(USA_Evidence_Log!$E$2:$E$500=I$1)*(USA_Evidence_Log!$T$2:$T$500="Yes")*USA_Evidence_Log!$R$2:$R$500)/SUMPRODUCT((USA_Evidence_Log!$B$2:$B$500=$A3)*(USA_Evidence_Log!$E$2:$E$500=I$1)*(USA_Evidence_Log!$T$2:$T$500="Yes")*USA_Evidence_Log!$Q$2:$Q$500),1),0)</x:f>
        <x:v>1</x:v>
      </x:c>
      <x:c r="J3" s="95" t="n">
        <x:f>ROUND(AVERAGE(F3:I3),2)</x:f>
        <x:v>3</x:v>
      </x:c>
      <x:c r="K3" s="94" t="str">
        <x:f>IF(J3&gt;=4.5,"Critical",IF(J3&gt;=3.5,"High",IF(J3&gt;=2.5,"Elevated",IF(J3&gt;=1.5,"Moderate",IF(J3&gt;0,"Low","No verified evidence")))))</x:f>
        <x:v>Elevated</x:v>
      </x:c>
      <x:c r="L3" s="94" t="n">
        <x:f>MAX(F3:I3)</x:f>
        <x:v>4</x:v>
      </x:c>
      <x:c r="M3" s="96" t="n">
        <x:f>IFERROR(ROUND(SUMPRODUCT((USA_Evidence_Log!$B$2:$B$500=$A3)*(USA_Evidence_Log!$T$2:$T$500="Yes")*USA_Evidence_Log!$P$2:$P$500)/SUMPRODUCT((USA_Evidence_Log!$B$2:$B$500=$A3)*(USA_Evidence_Log!$T$2:$T$500="Yes")),0),0)</x:f>
        <x:v>79</x:v>
      </x:c>
      <x:c r="N3" s="87" t="str">
        <x:f>IF(M3&gt;=80,"High",IF(M3&gt;=60,"Medium",IF(M3&gt;=40,"Low","Needs review")))</x:f>
        <x:v>Medium</x:v>
      </x:c>
      <x:c r="O3" s="87" t="str">
        <x:f>IF(AND(M3&gt;=60,COUNTIF(USA_Evidence_Log!$B$2:$B$500,$A3)&gt;=3),"Ready","Review")</x:f>
        <x:v>Ready</x:v>
      </x:c>
      <x:c r="P3" s="87" t="str">
        <x:f>IF(J3&gt;=4.5,"#A63603",IF(J3&gt;=3.5,"#F16913",IF(J3&gt;=2.5,"#FDAE6B",IF(J3&gt;=1.5,"#ADDD8E",IF(J3&gt;0,"#D9F0D3","#F2F2F2")))))</x:f>
        <x:v>#FDAE6B</x:v>
      </x:c>
      <x:c r="Q3" s="95" t="n">
        <x:f>IF(M3&gt;=80,1,IF(M3&gt;=60,0.75,IF(M3&gt;=40,0.45,0.25)))</x:f>
        <x:v>0.75</x:v>
      </x:c>
      <x:c r="R3" s="87" t="str">
        <x:v>U.S. footprint tied to counter-ISIS posture; contractor evidence is grouped with Iraq in DoD reporting.</x:v>
      </x:c>
      <x:c r="S3" s="87" t="str">
        <x:v>S002; S003; S004; S019</x:v>
      </x:c>
      <x:c r="T3" s="132" t="n">
        <x:f>J3+ROW()/100000</x:f>
        <x:v>3.00003</x:v>
      </x:c>
    </x:row>
    <x:row r="4">
      <x:c r="A4" s="87" t="str">
        <x:v>Afghanistan</x:v>
      </x:c>
      <x:c r="B4" s="87" t="str">
        <x:v>AFG</x:v>
      </x:c>
      <x:c r="C4" s="87" t="str">
        <x:v>Central Asia / South Asia</x:v>
      </x:c>
      <x:c r="D4" s="97" t="n">
        <x:v>33.9391</x:v>
      </x:c>
      <x:c r="E4" s="97" t="n">
        <x:v>67.71</x:v>
      </x:c>
      <x:c r="F4" s="94" t="n">
        <x:f>IFERROR(ROUND(SUMPRODUCT((USA_Evidence_Log!$B$2:$B$500=$A4)*(USA_Evidence_Log!$E$2:$E$500=F$1)*(USA_Evidence_Log!$T$2:$T$500="Yes")*USA_Evidence_Log!$R$2:$R$500)/SUMPRODUCT((USA_Evidence_Log!$B$2:$B$500=$A4)*(USA_Evidence_Log!$E$2:$E$500=F$1)*(USA_Evidence_Log!$T$2:$T$500="Yes")*USA_Evidence_Log!$Q$2:$Q$500),1),0)</x:f>
        <x:v>4</x:v>
      </x:c>
      <x:c r="G4" s="94" t="n">
        <x:f>IFERROR(ROUND(SUMPRODUCT((USA_Evidence_Log!$B$2:$B$500=$A4)*(USA_Evidence_Log!$E$2:$E$500=G$1)*(USA_Evidence_Log!$T$2:$T$500="Yes")*USA_Evidence_Log!$R$2:$R$500)/SUMPRODUCT((USA_Evidence_Log!$B$2:$B$500=$A4)*(USA_Evidence_Log!$E$2:$E$500=G$1)*(USA_Evidence_Log!$T$2:$T$500="Yes")*USA_Evidence_Log!$Q$2:$Q$500),1),0)</x:f>
        <x:v>5</x:v>
      </x:c>
      <x:c r="H4" s="94" t="n">
        <x:f>IFERROR(ROUND(SUMPRODUCT((USA_Evidence_Log!$B$2:$B$500=$A4)*(USA_Evidence_Log!$E$2:$E$500=H$1)*(USA_Evidence_Log!$T$2:$T$500="Yes")*USA_Evidence_Log!$R$2:$R$500)/SUMPRODUCT((USA_Evidence_Log!$B$2:$B$500=$A4)*(USA_Evidence_Log!$E$2:$E$500=H$1)*(USA_Evidence_Log!$T$2:$T$500="Yes")*USA_Evidence_Log!$Q$2:$Q$500),1),0)</x:f>
        <x:v>4</x:v>
      </x:c>
      <x:c r="I4" s="94" t="n">
        <x:f>IFERROR(ROUND(SUMPRODUCT((USA_Evidence_Log!$B$2:$B$500=$A4)*(USA_Evidence_Log!$E$2:$E$500=I$1)*(USA_Evidence_Log!$T$2:$T$500="Yes")*USA_Evidence_Log!$R$2:$R$500)/SUMPRODUCT((USA_Evidence_Log!$B$2:$B$500=$A4)*(USA_Evidence_Log!$E$2:$E$500=I$1)*(USA_Evidence_Log!$T$2:$T$500="Yes")*USA_Evidence_Log!$Q$2:$Q$500),1),0)</x:f>
        <x:v>3</x:v>
      </x:c>
      <x:c r="J4" s="95" t="n">
        <x:f>ROUND(AVERAGE(F4:I4),2)</x:f>
        <x:v>4</x:v>
      </x:c>
      <x:c r="K4" s="94" t="str">
        <x:f>IF(J4&gt;=4.5,"Critical",IF(J4&gt;=3.5,"High",IF(J4&gt;=2.5,"Elevated",IF(J4&gt;=1.5,"Moderate",IF(J4&gt;0,"Low","No verified evidence")))))</x:f>
        <x:v>High</x:v>
      </x:c>
      <x:c r="L4" s="94" t="n">
        <x:f>MAX(F4:I4)</x:f>
        <x:v>5</x:v>
      </x:c>
      <x:c r="M4" s="96" t="n">
        <x:f>IFERROR(ROUND(SUMPRODUCT((USA_Evidence_Log!$B$2:$B$500=$A4)*(USA_Evidence_Log!$T$2:$T$500="Yes")*USA_Evidence_Log!$P$2:$P$500)/SUMPRODUCT((USA_Evidence_Log!$B$2:$B$500=$A4)*(USA_Evidence_Log!$T$2:$T$500="Yes")),0),0)</x:f>
        <x:v>73</x:v>
      </x:c>
      <x:c r="N4" s="87" t="str">
        <x:f>IF(M4&gt;=80,"High",IF(M4&gt;=60,"Medium",IF(M4&gt;=40,"Low","Needs review")))</x:f>
        <x:v>Medium</x:v>
      </x:c>
      <x:c r="O4" s="87" t="str">
        <x:f>IF(AND(M4&gt;=60,COUNTIF(USA_Evidence_Log!$B$2:$B$500,$A4)&gt;=3),"Ready","Review")</x:f>
        <x:v>Ready</x:v>
      </x:c>
      <x:c r="P4" s="87" t="str">
        <x:f>IF(J4&gt;=4.5,"#A63603",IF(J4&gt;=3.5,"#F16913",IF(J4&gt;=2.5,"#FDAE6B",IF(J4&gt;=1.5,"#ADDD8E",IF(J4&gt;0,"#D9F0D3","#F2F2F2")))))</x:f>
        <x:v>#F16913</x:v>
      </x:c>
      <x:c r="Q4" s="95" t="n">
        <x:f>IF(M4&gt;=80,1,IF(M4&gt;=60,0.75,IF(M4&gt;=40,0.45,0.25)))</x:f>
        <x:v>0.75</x:v>
      </x:c>
      <x:c r="R4" s="87" t="str">
        <x:v>Legacy high score due to 2001-2021 intervention; current post-withdrawal direct presence is much lower.</x:v>
      </x:c>
      <x:c r="S4" s="87" t="str">
        <x:v>S023; S024; S004; S006</x:v>
      </x:c>
      <x:c r="T4" s="132" t="n">
        <x:f>J4+ROW()/100000</x:f>
        <x:v>4.00004</x:v>
      </x:c>
    </x:row>
    <x:row r="5">
      <x:c r="A5" s="87" t="str">
        <x:v>Ukraine</x:v>
      </x:c>
      <x:c r="B5" s="87" t="str">
        <x:v>UKR</x:v>
      </x:c>
      <x:c r="C5" s="87" t="str">
        <x:v>Eastern Europe</x:v>
      </x:c>
      <x:c r="D5" s="97" t="n">
        <x:v>48.3794</x:v>
      </x:c>
      <x:c r="E5" s="97" t="n">
        <x:v>31.1656</x:v>
      </x:c>
      <x:c r="F5" s="94" t="n">
        <x:f>IFERROR(ROUND(SUMPRODUCT((USA_Evidence_Log!$B$2:$B$500=$A5)*(USA_Evidence_Log!$E$2:$E$500=F$1)*(USA_Evidence_Log!$T$2:$T$500="Yes")*USA_Evidence_Log!$R$2:$R$500)/SUMPRODUCT((USA_Evidence_Log!$B$2:$B$500=$A5)*(USA_Evidence_Log!$E$2:$E$500=F$1)*(USA_Evidence_Log!$T$2:$T$500="Yes")*USA_Evidence_Log!$Q$2:$Q$500),1),0)</x:f>
        <x:v>5</x:v>
      </x:c>
      <x:c r="G5" s="94" t="n">
        <x:f>IFERROR(ROUND(SUMPRODUCT((USA_Evidence_Log!$B$2:$B$500=$A5)*(USA_Evidence_Log!$E$2:$E$500=G$1)*(USA_Evidence_Log!$T$2:$T$500="Yes")*USA_Evidence_Log!$R$2:$R$500)/SUMPRODUCT((USA_Evidence_Log!$B$2:$B$500=$A5)*(USA_Evidence_Log!$E$2:$E$500=G$1)*(USA_Evidence_Log!$T$2:$T$500="Yes")*USA_Evidence_Log!$Q$2:$Q$500),1),0)</x:f>
        <x:v>2</x:v>
      </x:c>
      <x:c r="H5" s="94" t="n">
        <x:f>IFERROR(ROUND(SUMPRODUCT((USA_Evidence_Log!$B$2:$B$500=$A5)*(USA_Evidence_Log!$E$2:$E$500=H$1)*(USA_Evidence_Log!$T$2:$T$500="Yes")*USA_Evidence_Log!$R$2:$R$500)/SUMPRODUCT((USA_Evidence_Log!$B$2:$B$500=$A5)*(USA_Evidence_Log!$E$2:$E$500=H$1)*(USA_Evidence_Log!$T$2:$T$500="Yes")*USA_Evidence_Log!$Q$2:$Q$500),1),0)</x:f>
        <x:v>4</x:v>
      </x:c>
      <x:c r="I5" s="94" t="n">
        <x:f>IFERROR(ROUND(SUMPRODUCT((USA_Evidence_Log!$B$2:$B$500=$A5)*(USA_Evidence_Log!$E$2:$E$500=I$1)*(USA_Evidence_Log!$T$2:$T$500="Yes")*USA_Evidence_Log!$R$2:$R$500)/SUMPRODUCT((USA_Evidence_Log!$B$2:$B$500=$A5)*(USA_Evidence_Log!$E$2:$E$500=I$1)*(USA_Evidence_Log!$T$2:$T$500="Yes")*USA_Evidence_Log!$Q$2:$Q$500),1),0)</x:f>
        <x:v>1</x:v>
      </x:c>
      <x:c r="J5" s="95" t="n">
        <x:f>ROUND(AVERAGE(F5:I5),2)</x:f>
        <x:v>3</x:v>
      </x:c>
      <x:c r="K5" s="94" t="str">
        <x:f>IF(J5&gt;=4.5,"Critical",IF(J5&gt;=3.5,"High",IF(J5&gt;=2.5,"Elevated",IF(J5&gt;=1.5,"Moderate",IF(J5&gt;0,"Low","No verified evidence")))))</x:f>
        <x:v>Elevated</x:v>
      </x:c>
      <x:c r="L5" s="94" t="n">
        <x:f>MAX(F5:I5)</x:f>
        <x:v>5</x:v>
      </x:c>
      <x:c r="M5" s="96" t="n">
        <x:f>IFERROR(ROUND(SUMPRODUCT((USA_Evidence_Log!$B$2:$B$500=$A5)*(USA_Evidence_Log!$T$2:$T$500="Yes")*USA_Evidence_Log!$P$2:$P$500)/SUMPRODUCT((USA_Evidence_Log!$B$2:$B$500=$A5)*(USA_Evidence_Log!$T$2:$T$500="Yes")),0),0)</x:f>
        <x:v>75</x:v>
      </x:c>
      <x:c r="N5" s="87" t="str">
        <x:f>IF(M5&gt;=80,"High",IF(M5&gt;=60,"Medium",IF(M5&gt;=40,"Low","Needs review")))</x:f>
        <x:v>Medium</x:v>
      </x:c>
      <x:c r="O5" s="87" t="str">
        <x:f>IF(AND(M5&gt;=60,COUNTIF(USA_Evidence_Log!$B$2:$B$500,$A5)&gt;=3),"Ready","Review")</x:f>
        <x:v>Ready</x:v>
      </x:c>
      <x:c r="P5" s="87" t="str">
        <x:f>IF(J5&gt;=4.5,"#A63603",IF(J5&gt;=3.5,"#F16913",IF(J5&gt;=2.5,"#FDAE6B",IF(J5&gt;=1.5,"#ADDD8E",IF(J5&gt;0,"#D9F0D3","#F2F2F2")))))</x:f>
        <x:v>#FDAE6B</x:v>
      </x:c>
      <x:c r="Q5" s="95" t="n">
        <x:f>IF(M5&gt;=80,1,IF(M5&gt;=60,0.75,IF(M5&gt;=40,0.45,0.25)))</x:f>
        <x:v>0.75</x:v>
      </x:c>
      <x:c r="R5" s="87" t="str">
        <x:v>High overt security and financial assistance since Russia's full-scale invasion; no score for covert election manipulation in selected sources.</x:v>
      </x:c>
      <x:c r="S5" s="87" t="str">
        <x:v>S013; S014; S004; S005</x:v>
      </x:c>
      <x:c r="T5" s="132" t="n">
        <x:f>J5+ROW()/100000</x:f>
        <x:v>3.00005</x:v>
      </x:c>
    </x:row>
    <x:row r="6">
      <x:c r="A6" s="87" t="str">
        <x:v>Israel</x:v>
      </x:c>
      <x:c r="B6" s="87" t="str">
        <x:v>ISR</x:v>
      </x:c>
      <x:c r="C6" s="87" t="str">
        <x:v>Middle East / West Asia</x:v>
      </x:c>
      <x:c r="D6" s="97" t="n">
        <x:v>31.0461</x:v>
      </x:c>
      <x:c r="E6" s="97" t="n">
        <x:v>34.8516</x:v>
      </x:c>
      <x:c r="F6" s="94" t="n">
        <x:f>IFERROR(ROUND(SUMPRODUCT((USA_Evidence_Log!$B$2:$B$500=$A6)*(USA_Evidence_Log!$E$2:$E$500=F$1)*(USA_Evidence_Log!$T$2:$T$500="Yes")*USA_Evidence_Log!$R$2:$R$500)/SUMPRODUCT((USA_Evidence_Log!$B$2:$B$500=$A6)*(USA_Evidence_Log!$E$2:$E$500=F$1)*(USA_Evidence_Log!$T$2:$T$500="Yes")*USA_Evidence_Log!$Q$2:$Q$500),1),0)</x:f>
        <x:v>5</x:v>
      </x:c>
      <x:c r="G6" s="94" t="n">
        <x:f>IFERROR(ROUND(SUMPRODUCT((USA_Evidence_Log!$B$2:$B$500=$A6)*(USA_Evidence_Log!$E$2:$E$500=G$1)*(USA_Evidence_Log!$T$2:$T$500="Yes")*USA_Evidence_Log!$R$2:$R$500)/SUMPRODUCT((USA_Evidence_Log!$B$2:$B$500=$A6)*(USA_Evidence_Log!$E$2:$E$500=G$1)*(USA_Evidence_Log!$T$2:$T$500="Yes")*USA_Evidence_Log!$Q$2:$Q$500),1),0)</x:f>
        <x:v>2</x:v>
      </x:c>
      <x:c r="H6" s="94" t="n">
        <x:f>IFERROR(ROUND(SUMPRODUCT((USA_Evidence_Log!$B$2:$B$500=$A6)*(USA_Evidence_Log!$E$2:$E$500=H$1)*(USA_Evidence_Log!$T$2:$T$500="Yes")*USA_Evidence_Log!$R$2:$R$500)/SUMPRODUCT((USA_Evidence_Log!$B$2:$B$500=$A6)*(USA_Evidence_Log!$E$2:$E$500=H$1)*(USA_Evidence_Log!$T$2:$T$500="Yes")*USA_Evidence_Log!$Q$2:$Q$500),1),0)</x:f>
        <x:v>2</x:v>
      </x:c>
      <x:c r="I6" s="94" t="n">
        <x:f>IFERROR(ROUND(SUMPRODUCT((USA_Evidence_Log!$B$2:$B$500=$A6)*(USA_Evidence_Log!$E$2:$E$500=I$1)*(USA_Evidence_Log!$T$2:$T$500="Yes")*USA_Evidence_Log!$R$2:$R$500)/SUMPRODUCT((USA_Evidence_Log!$B$2:$B$500=$A6)*(USA_Evidence_Log!$E$2:$E$500=I$1)*(USA_Evidence_Log!$T$2:$T$500="Yes")*USA_Evidence_Log!$Q$2:$Q$500),1),0)</x:f>
        <x:v>1</x:v>
      </x:c>
      <x:c r="J6" s="95" t="n">
        <x:f>ROUND(AVERAGE(F6:I6),2)</x:f>
        <x:v>2.5</x:v>
      </x:c>
      <x:c r="K6" s="94" t="str">
        <x:f>IF(J6&gt;=4.5,"Critical",IF(J6&gt;=3.5,"High",IF(J6&gt;=2.5,"Elevated",IF(J6&gt;=1.5,"Moderate",IF(J6&gt;0,"Low","No verified evidence")))))</x:f>
        <x:v>Elevated</x:v>
      </x:c>
      <x:c r="L6" s="94" t="n">
        <x:f>MAX(F6:I6)</x:f>
        <x:v>5</x:v>
      </x:c>
      <x:c r="M6" s="96" t="n">
        <x:f>IFERROR(ROUND(SUMPRODUCT((USA_Evidence_Log!$B$2:$B$500=$A6)*(USA_Evidence_Log!$T$2:$T$500="Yes")*USA_Evidence_Log!$P$2:$P$500)/SUMPRODUCT((USA_Evidence_Log!$B$2:$B$500=$A6)*(USA_Evidence_Log!$T$2:$T$500="Yes")),0),0)</x:f>
        <x:v>73</x:v>
      </x:c>
      <x:c r="N6" s="87" t="str">
        <x:f>IF(M6&gt;=80,"High",IF(M6&gt;=60,"Medium",IF(M6&gt;=40,"Low","Needs review")))</x:f>
        <x:v>Medium</x:v>
      </x:c>
      <x:c r="O6" s="87" t="str">
        <x:f>IF(AND(M6&gt;=60,COUNTIF(USA_Evidence_Log!$B$2:$B$500,$A6)&gt;=3),"Ready","Review")</x:f>
        <x:v>Ready</x:v>
      </x:c>
      <x:c r="P6" s="87" t="str">
        <x:f>IF(J6&gt;=4.5,"#A63603",IF(J6&gt;=3.5,"#F16913",IF(J6&gt;=2.5,"#FDAE6B",IF(J6&gt;=1.5,"#ADDD8E",IF(J6&gt;0,"#D9F0D3","#F2F2F2")))))</x:f>
        <x:v>#FDAE6B</x:v>
      </x:c>
      <x:c r="Q6" s="95" t="n">
        <x:f>IF(M6&gt;=80,1,IF(M6&gt;=60,0.75,IF(M6&gt;=40,0.45,0.25)))</x:f>
        <x:v>0.75</x:v>
      </x:c>
      <x:c r="R6" s="87" t="str">
        <x:v>Strong bilateral security-assistance relationship and regional military coordination; election interference not treated as verified.</x:v>
      </x:c>
      <x:c r="S6" s="87" t="str">
        <x:v>S016; S019</x:v>
      </x:c>
      <x:c r="T6" s="132" t="n">
        <x:f>J6+ROW()/100000</x:f>
        <x:v>2.50006</x:v>
      </x:c>
    </x:row>
    <x:row r="7">
      <x:c r="A7" s="87" t="str">
        <x:v>Japan</x:v>
      </x:c>
      <x:c r="B7" s="87" t="str">
        <x:v>JPN</x:v>
      </x:c>
      <x:c r="C7" s="87" t="str">
        <x:v>East Asia</x:v>
      </x:c>
      <x:c r="D7" s="97" t="n">
        <x:v>36.2048</x:v>
      </x:c>
      <x:c r="E7" s="97" t="n">
        <x:v>138.2529</x:v>
      </x:c>
      <x:c r="F7" s="94" t="n">
        <x:f>IFERROR(ROUND(SUMPRODUCT((USA_Evidence_Log!$B$2:$B$500=$A7)*(USA_Evidence_Log!$E$2:$E$500=F$1)*(USA_Evidence_Log!$T$2:$T$500="Yes")*USA_Evidence_Log!$R$2:$R$500)/SUMPRODUCT((USA_Evidence_Log!$B$2:$B$500=$A7)*(USA_Evidence_Log!$E$2:$E$500=F$1)*(USA_Evidence_Log!$T$2:$T$500="Yes")*USA_Evidence_Log!$Q$2:$Q$500),1),0)</x:f>
        <x:v>5</x:v>
      </x:c>
      <x:c r="G7" s="94" t="n">
        <x:f>IFERROR(ROUND(SUMPRODUCT((USA_Evidence_Log!$B$2:$B$500=$A7)*(USA_Evidence_Log!$E$2:$E$500=G$1)*(USA_Evidence_Log!$T$2:$T$500="Yes")*USA_Evidence_Log!$R$2:$R$500)/SUMPRODUCT((USA_Evidence_Log!$B$2:$B$500=$A7)*(USA_Evidence_Log!$E$2:$E$500=G$1)*(USA_Evidence_Log!$T$2:$T$500="Yes")*USA_Evidence_Log!$Q$2:$Q$500),1),0)</x:f>
        <x:v>3</x:v>
      </x:c>
      <x:c r="H7" s="94" t="n">
        <x:f>IFERROR(ROUND(SUMPRODUCT((USA_Evidence_Log!$B$2:$B$500=$A7)*(USA_Evidence_Log!$E$2:$E$500=H$1)*(USA_Evidence_Log!$T$2:$T$500="Yes")*USA_Evidence_Log!$R$2:$R$500)/SUMPRODUCT((USA_Evidence_Log!$B$2:$B$500=$A7)*(USA_Evidence_Log!$E$2:$E$500=H$1)*(USA_Evidence_Log!$T$2:$T$500="Yes")*USA_Evidence_Log!$Q$2:$Q$500),1),0)</x:f>
        <x:v>1</x:v>
      </x:c>
      <x:c r="I7" s="94" t="n">
        <x:f>IFERROR(ROUND(SUMPRODUCT((USA_Evidence_Log!$B$2:$B$500=$A7)*(USA_Evidence_Log!$E$2:$E$500=I$1)*(USA_Evidence_Log!$T$2:$T$500="Yes")*USA_Evidence_Log!$R$2:$R$500)/SUMPRODUCT((USA_Evidence_Log!$B$2:$B$500=$A7)*(USA_Evidence_Log!$E$2:$E$500=I$1)*(USA_Evidence_Log!$T$2:$T$500="Yes")*USA_Evidence_Log!$Q$2:$Q$500),1),0)</x:f>
        <x:v>1</x:v>
      </x:c>
      <x:c r="J7" s="95" t="n">
        <x:f>ROUND(AVERAGE(F7:I7),2)</x:f>
        <x:v>2.5</x:v>
      </x:c>
      <x:c r="K7" s="94" t="str">
        <x:f>IF(J7&gt;=4.5,"Critical",IF(J7&gt;=3.5,"High",IF(J7&gt;=2.5,"Elevated",IF(J7&gt;=1.5,"Moderate",IF(J7&gt;0,"Low","No verified evidence")))))</x:f>
        <x:v>Elevated</x:v>
      </x:c>
      <x:c r="L7" s="94" t="n">
        <x:f>MAX(F7:I7)</x:f>
        <x:v>5</x:v>
      </x:c>
      <x:c r="M7" s="96" t="n">
        <x:f>IFERROR(ROUND(SUMPRODUCT((USA_Evidence_Log!$B$2:$B$500=$A7)*(USA_Evidence_Log!$T$2:$T$500="Yes")*USA_Evidence_Log!$P$2:$P$500)/SUMPRODUCT((USA_Evidence_Log!$B$2:$B$500=$A7)*(USA_Evidence_Log!$T$2:$T$500="Yes")),0),0)</x:f>
        <x:v>76</x:v>
      </x:c>
      <x:c r="N7" s="87" t="str">
        <x:f>IF(M7&gt;=80,"High",IF(M7&gt;=60,"Medium",IF(M7&gt;=40,"Low","Needs review")))</x:f>
        <x:v>Medium</x:v>
      </x:c>
      <x:c r="O7" s="87" t="str">
        <x:f>IF(AND(M7&gt;=60,COUNTIF(USA_Evidence_Log!$B$2:$B$500,$A7)&gt;=3),"Ready","Review")</x:f>
        <x:v>Ready</x:v>
      </x:c>
      <x:c r="P7" s="87" t="str">
        <x:f>IF(J7&gt;=4.5,"#A63603",IF(J7&gt;=3.5,"#F16913",IF(J7&gt;=2.5,"#FDAE6B",IF(J7&gt;=1.5,"#ADDD8E",IF(J7&gt;0,"#D9F0D3","#F2F2F2")))))</x:f>
        <x:v>#FDAE6B</x:v>
      </x:c>
      <x:c r="Q7" s="95" t="n">
        <x:f>IF(M7&gt;=80,1,IF(M7&gt;=60,0.75,IF(M7&gt;=40,0.45,0.25)))</x:f>
        <x:v>0.75</x:v>
      </x:c>
      <x:c r="R7" s="87" t="str">
        <x:v>Major long-term U.S. basing/alliance presence; contractor score reflects base-support ecosystem, not armed PMCs.</x:v>
      </x:c>
      <x:c r="S7" s="87" t="str">
        <x:v>S001</x:v>
      </x:c>
      <x:c r="T7" s="132" t="n">
        <x:f>J7+ROW()/100000</x:f>
        <x:v>2.50007</x:v>
      </x:c>
    </x:row>
    <x:row r="8">
      <x:c r="A8" s="87" t="str">
        <x:v>South Korea</x:v>
      </x:c>
      <x:c r="B8" s="87" t="str">
        <x:v>KOR</x:v>
      </x:c>
      <x:c r="C8" s="87" t="str">
        <x:v>East Asia</x:v>
      </x:c>
      <x:c r="D8" s="97" t="n">
        <x:v>35.9078</x:v>
      </x:c>
      <x:c r="E8" s="97" t="n">
        <x:v>127.7669</x:v>
      </x:c>
      <x:c r="F8" s="94" t="n">
        <x:f>IFERROR(ROUND(SUMPRODUCT((USA_Evidence_Log!$B$2:$B$500=$A8)*(USA_Evidence_Log!$E$2:$E$500=F$1)*(USA_Evidence_Log!$T$2:$T$500="Yes")*USA_Evidence_Log!$R$2:$R$500)/SUMPRODUCT((USA_Evidence_Log!$B$2:$B$500=$A8)*(USA_Evidence_Log!$E$2:$E$500=F$1)*(USA_Evidence_Log!$T$2:$T$500="Yes")*USA_Evidence_Log!$Q$2:$Q$500),1),0)</x:f>
        <x:v>5</x:v>
      </x:c>
      <x:c r="G8" s="94" t="n">
        <x:f>IFERROR(ROUND(SUMPRODUCT((USA_Evidence_Log!$B$2:$B$500=$A8)*(USA_Evidence_Log!$E$2:$E$500=G$1)*(USA_Evidence_Log!$T$2:$T$500="Yes")*USA_Evidence_Log!$R$2:$R$500)/SUMPRODUCT((USA_Evidence_Log!$B$2:$B$500=$A8)*(USA_Evidence_Log!$E$2:$E$500=G$1)*(USA_Evidence_Log!$T$2:$T$500="Yes")*USA_Evidence_Log!$Q$2:$Q$500),1),0)</x:f>
        <x:v>3</x:v>
      </x:c>
      <x:c r="H8" s="94" t="n">
        <x:f>IFERROR(ROUND(SUMPRODUCT((USA_Evidence_Log!$B$2:$B$500=$A8)*(USA_Evidence_Log!$E$2:$E$500=H$1)*(USA_Evidence_Log!$T$2:$T$500="Yes")*USA_Evidence_Log!$R$2:$R$500)/SUMPRODUCT((USA_Evidence_Log!$B$2:$B$500=$A8)*(USA_Evidence_Log!$E$2:$E$500=H$1)*(USA_Evidence_Log!$T$2:$T$500="Yes")*USA_Evidence_Log!$Q$2:$Q$500),1),0)</x:f>
        <x:v>1</x:v>
      </x:c>
      <x:c r="I8" s="94" t="n">
        <x:f>IFERROR(ROUND(SUMPRODUCT((USA_Evidence_Log!$B$2:$B$500=$A8)*(USA_Evidence_Log!$E$2:$E$500=I$1)*(USA_Evidence_Log!$T$2:$T$500="Yes")*USA_Evidence_Log!$R$2:$R$500)/SUMPRODUCT((USA_Evidence_Log!$B$2:$B$500=$A8)*(USA_Evidence_Log!$E$2:$E$500=I$1)*(USA_Evidence_Log!$T$2:$T$500="Yes")*USA_Evidence_Log!$Q$2:$Q$500),1),0)</x:f>
        <x:v>1</x:v>
      </x:c>
      <x:c r="J8" s="95" t="n">
        <x:f>ROUND(AVERAGE(F8:I8),2)</x:f>
        <x:v>2.5</x:v>
      </x:c>
      <x:c r="K8" s="94" t="str">
        <x:f>IF(J8&gt;=4.5,"Critical",IF(J8&gt;=3.5,"High",IF(J8&gt;=2.5,"Elevated",IF(J8&gt;=1.5,"Moderate",IF(J8&gt;0,"Low","No verified evidence")))))</x:f>
        <x:v>Elevated</x:v>
      </x:c>
      <x:c r="L8" s="94" t="n">
        <x:f>MAX(F8:I8)</x:f>
        <x:v>5</x:v>
      </x:c>
      <x:c r="M8" s="96" t="n">
        <x:f>IFERROR(ROUND(SUMPRODUCT((USA_Evidence_Log!$B$2:$B$500=$A8)*(USA_Evidence_Log!$T$2:$T$500="Yes")*USA_Evidence_Log!$P$2:$P$500)/SUMPRODUCT((USA_Evidence_Log!$B$2:$B$500=$A8)*(USA_Evidence_Log!$T$2:$T$500="Yes")),0),0)</x:f>
        <x:v>76</x:v>
      </x:c>
      <x:c r="N8" s="87" t="str">
        <x:f>IF(M8&gt;=80,"High",IF(M8&gt;=60,"Medium",IF(M8&gt;=40,"Low","Needs review")))</x:f>
        <x:v>Medium</x:v>
      </x:c>
      <x:c r="O8" s="87" t="str">
        <x:f>IF(AND(M8&gt;=60,COUNTIF(USA_Evidence_Log!$B$2:$B$500,$A8)&gt;=3),"Ready","Review")</x:f>
        <x:v>Ready</x:v>
      </x:c>
      <x:c r="P8" s="87" t="str">
        <x:f>IF(J8&gt;=4.5,"#A63603",IF(J8&gt;=3.5,"#F16913",IF(J8&gt;=2.5,"#FDAE6B",IF(J8&gt;=1.5,"#ADDD8E",IF(J8&gt;0,"#D9F0D3","#F2F2F2")))))</x:f>
        <x:v>#FDAE6B</x:v>
      </x:c>
      <x:c r="Q8" s="95" t="n">
        <x:f>IF(M8&gt;=80,1,IF(M8&gt;=60,0.75,IF(M8&gt;=40,0.45,0.25)))</x:f>
        <x:v>0.75</x:v>
      </x:c>
      <x:c r="R8" s="87" t="str">
        <x:v>Major long-term U.S. basing/alliance presence; contractor score reflects base-support ecosystem, not armed PMCs.</x:v>
      </x:c>
      <x:c r="S8" s="87" t="str">
        <x:v>S001</x:v>
      </x:c>
      <x:c r="T8" s="132" t="n">
        <x:f>J8+ROW()/100000</x:f>
        <x:v>2.50008</x:v>
      </x:c>
    </x:row>
    <x:row r="9">
      <x:c r="A9" s="87" t="str">
        <x:v>Germany</x:v>
      </x:c>
      <x:c r="B9" s="87" t="str">
        <x:v>DEU</x:v>
      </x:c>
      <x:c r="C9" s="87" t="str">
        <x:v>Europe</x:v>
      </x:c>
      <x:c r="D9" s="97" t="n">
        <x:v>51.1657</x:v>
      </x:c>
      <x:c r="E9" s="97" t="n">
        <x:v>10.4515</x:v>
      </x:c>
      <x:c r="F9" s="94" t="n">
        <x:f>IFERROR(ROUND(SUMPRODUCT((USA_Evidence_Log!$B$2:$B$500=$A9)*(USA_Evidence_Log!$E$2:$E$500=F$1)*(USA_Evidence_Log!$T$2:$T$500="Yes")*USA_Evidence_Log!$R$2:$R$500)/SUMPRODUCT((USA_Evidence_Log!$B$2:$B$500=$A9)*(USA_Evidence_Log!$E$2:$E$500=F$1)*(USA_Evidence_Log!$T$2:$T$500="Yes")*USA_Evidence_Log!$Q$2:$Q$500),1),0)</x:f>
        <x:v>4</x:v>
      </x:c>
      <x:c r="G9" s="94" t="n">
        <x:f>IFERROR(ROUND(SUMPRODUCT((USA_Evidence_Log!$B$2:$B$500=$A9)*(USA_Evidence_Log!$E$2:$E$500=G$1)*(USA_Evidence_Log!$T$2:$T$500="Yes")*USA_Evidence_Log!$R$2:$R$500)/SUMPRODUCT((USA_Evidence_Log!$B$2:$B$500=$A9)*(USA_Evidence_Log!$E$2:$E$500=G$1)*(USA_Evidence_Log!$T$2:$T$500="Yes")*USA_Evidence_Log!$Q$2:$Q$500),1),0)</x:f>
        <x:v>3</x:v>
      </x:c>
      <x:c r="H9" s="94" t="n">
        <x:f>IFERROR(ROUND(SUMPRODUCT((USA_Evidence_Log!$B$2:$B$500=$A9)*(USA_Evidence_Log!$E$2:$E$500=H$1)*(USA_Evidence_Log!$T$2:$T$500="Yes")*USA_Evidence_Log!$R$2:$R$500)/SUMPRODUCT((USA_Evidence_Log!$B$2:$B$500=$A9)*(USA_Evidence_Log!$E$2:$E$500=H$1)*(USA_Evidence_Log!$T$2:$T$500="Yes")*USA_Evidence_Log!$Q$2:$Q$500),1),0)</x:f>
        <x:v>2</x:v>
      </x:c>
      <x:c r="I9" s="94" t="n">
        <x:f>IFERROR(ROUND(SUMPRODUCT((USA_Evidence_Log!$B$2:$B$500=$A9)*(USA_Evidence_Log!$E$2:$E$500=I$1)*(USA_Evidence_Log!$T$2:$T$500="Yes")*USA_Evidence_Log!$R$2:$R$500)/SUMPRODUCT((USA_Evidence_Log!$B$2:$B$500=$A9)*(USA_Evidence_Log!$E$2:$E$500=I$1)*(USA_Evidence_Log!$T$2:$T$500="Yes")*USA_Evidence_Log!$Q$2:$Q$500),1),0)</x:f>
        <x:v>1</x:v>
      </x:c>
      <x:c r="J9" s="95" t="n">
        <x:f>ROUND(AVERAGE(F9:I9),2)</x:f>
        <x:v>2.5</x:v>
      </x:c>
      <x:c r="K9" s="94" t="str">
        <x:f>IF(J9&gt;=4.5,"Critical",IF(J9&gt;=3.5,"High",IF(J9&gt;=2.5,"Elevated",IF(J9&gt;=1.5,"Moderate",IF(J9&gt;0,"Low","No verified evidence")))))</x:f>
        <x:v>Elevated</x:v>
      </x:c>
      <x:c r="L9" s="94" t="n">
        <x:f>MAX(F9:I9)</x:f>
        <x:v>4</x:v>
      </x:c>
      <x:c r="M9" s="96" t="n">
        <x:f>IFERROR(ROUND(SUMPRODUCT((USA_Evidence_Log!$B$2:$B$500=$A9)*(USA_Evidence_Log!$T$2:$T$500="Yes")*USA_Evidence_Log!$P$2:$P$500)/SUMPRODUCT((USA_Evidence_Log!$B$2:$B$500=$A9)*(USA_Evidence_Log!$T$2:$T$500="Yes")),0),0)</x:f>
        <x:v>76</x:v>
      </x:c>
      <x:c r="N9" s="87" t="str">
        <x:f>IF(M9&gt;=80,"High",IF(M9&gt;=60,"Medium",IF(M9&gt;=40,"Low","Needs review")))</x:f>
        <x:v>Medium</x:v>
      </x:c>
      <x:c r="O9" s="87" t="str">
        <x:f>IF(AND(M9&gt;=60,COUNTIF(USA_Evidence_Log!$B$2:$B$500,$A9)&gt;=3),"Ready","Review")</x:f>
        <x:v>Ready</x:v>
      </x:c>
      <x:c r="P9" s="87" t="str">
        <x:f>IF(J9&gt;=4.5,"#A63603",IF(J9&gt;=3.5,"#F16913",IF(J9&gt;=2.5,"#FDAE6B",IF(J9&gt;=1.5,"#ADDD8E",IF(J9&gt;0,"#D9F0D3","#F2F2F2")))))</x:f>
        <x:v>#FDAE6B</x:v>
      </x:c>
      <x:c r="Q9" s="95" t="n">
        <x:f>IF(M9&gt;=80,1,IF(M9&gt;=60,0.75,IF(M9&gt;=40,0.45,0.25)))</x:f>
        <x:v>0.75</x:v>
      </x:c>
      <x:c r="R9" s="87" t="str">
        <x:v>Large enduring U.S. military infrastructure in Europe; contractor score reflects support/logistics contracting.</x:v>
      </x:c>
      <x:c r="S9" s="87" t="str">
        <x:v>S001</x:v>
      </x:c>
      <x:c r="T9" s="132" t="n">
        <x:f>J9+ROW()/100000</x:f>
        <x:v>2.50009</x:v>
      </x:c>
    </x:row>
    <x:row r="10">
      <x:c r="A10" s="87" t="str">
        <x:v>Philippines</x:v>
      </x:c>
      <x:c r="B10" s="87" t="str">
        <x:v>PHL</x:v>
      </x:c>
      <x:c r="C10" s="87" t="str">
        <x:v>Southeast Asia</x:v>
      </x:c>
      <x:c r="D10" s="97" t="n">
        <x:v>12.8797</x:v>
      </x:c>
      <x:c r="E10" s="97" t="n">
        <x:v>121.774</x:v>
      </x:c>
      <x:c r="F10" s="94" t="n">
        <x:f>IFERROR(ROUND(SUMPRODUCT((USA_Evidence_Log!$B$2:$B$500=$A10)*(USA_Evidence_Log!$E$2:$E$500=F$1)*(USA_Evidence_Log!$T$2:$T$500="Yes")*USA_Evidence_Log!$R$2:$R$500)/SUMPRODUCT((USA_Evidence_Log!$B$2:$B$500=$A10)*(USA_Evidence_Log!$E$2:$E$500=F$1)*(USA_Evidence_Log!$T$2:$T$500="Yes")*USA_Evidence_Log!$Q$2:$Q$500),1),0)</x:f>
        <x:v>4</x:v>
      </x:c>
      <x:c r="G10" s="94" t="n">
        <x:f>IFERROR(ROUND(SUMPRODUCT((USA_Evidence_Log!$B$2:$B$500=$A10)*(USA_Evidence_Log!$E$2:$E$500=G$1)*(USA_Evidence_Log!$T$2:$T$500="Yes")*USA_Evidence_Log!$R$2:$R$500)/SUMPRODUCT((USA_Evidence_Log!$B$2:$B$500=$A10)*(USA_Evidence_Log!$E$2:$E$500=G$1)*(USA_Evidence_Log!$T$2:$T$500="Yes")*USA_Evidence_Log!$Q$2:$Q$500),1),0)</x:f>
        <x:v>2</x:v>
      </x:c>
      <x:c r="H10" s="94" t="n">
        <x:f>IFERROR(ROUND(SUMPRODUCT((USA_Evidence_Log!$B$2:$B$500=$A10)*(USA_Evidence_Log!$E$2:$E$500=H$1)*(USA_Evidence_Log!$T$2:$T$500="Yes")*USA_Evidence_Log!$R$2:$R$500)/SUMPRODUCT((USA_Evidence_Log!$B$2:$B$500=$A10)*(USA_Evidence_Log!$E$2:$E$500=H$1)*(USA_Evidence_Log!$T$2:$T$500="Yes")*USA_Evidence_Log!$Q$2:$Q$500),1),0)</x:f>
        <x:v>2</x:v>
      </x:c>
      <x:c r="I10" s="94" t="n">
        <x:f>IFERROR(ROUND(SUMPRODUCT((USA_Evidence_Log!$B$2:$B$500=$A10)*(USA_Evidence_Log!$E$2:$E$500=I$1)*(USA_Evidence_Log!$T$2:$T$500="Yes")*USA_Evidence_Log!$R$2:$R$500)/SUMPRODUCT((USA_Evidence_Log!$B$2:$B$500=$A10)*(USA_Evidence_Log!$E$2:$E$500=I$1)*(USA_Evidence_Log!$T$2:$T$500="Yes")*USA_Evidence_Log!$Q$2:$Q$500),1),0)</x:f>
        <x:v>1</x:v>
      </x:c>
      <x:c r="J10" s="95" t="n">
        <x:f>ROUND(AVERAGE(F10:I10),2)</x:f>
        <x:v>2.25</x:v>
      </x:c>
      <x:c r="K10" s="94" t="str">
        <x:f>IF(J10&gt;=4.5,"Critical",IF(J10&gt;=3.5,"High",IF(J10&gt;=2.5,"Elevated",IF(J10&gt;=1.5,"Moderate",IF(J10&gt;0,"Low","No verified evidence")))))</x:f>
        <x:v>Moderate</x:v>
      </x:c>
      <x:c r="L10" s="94" t="n">
        <x:f>MAX(F10:I10)</x:f>
        <x:v>4</x:v>
      </x:c>
      <x:c r="M10" s="96" t="n">
        <x:f>IFERROR(ROUND(SUMPRODUCT((USA_Evidence_Log!$B$2:$B$500=$A10)*(USA_Evidence_Log!$T$2:$T$500="Yes")*USA_Evidence_Log!$P$2:$P$500)/SUMPRODUCT((USA_Evidence_Log!$B$2:$B$500=$A10)*(USA_Evidence_Log!$T$2:$T$500="Yes")),0),0)</x:f>
        <x:v>73</x:v>
      </x:c>
      <x:c r="N10" s="87" t="str">
        <x:f>IF(M10&gt;=80,"High",IF(M10&gt;=60,"Medium",IF(M10&gt;=40,"Low","Needs review")))</x:f>
        <x:v>Medium</x:v>
      </x:c>
      <x:c r="O10" s="87" t="str">
        <x:f>IF(AND(M10&gt;=60,COUNTIF(USA_Evidence_Log!$B$2:$B$500,$A10)&gt;=3),"Ready","Review")</x:f>
        <x:v>Ready</x:v>
      </x:c>
      <x:c r="P10" s="87" t="str">
        <x:f>IF(J10&gt;=4.5,"#A63603",IF(J10&gt;=3.5,"#F16913",IF(J10&gt;=2.5,"#FDAE6B",IF(J10&gt;=1.5,"#ADDD8E",IF(J10&gt;0,"#D9F0D3","#F2F2F2")))))</x:f>
        <x:v>#ADDD8E</x:v>
      </x:c>
      <x:c r="Q10" s="95" t="n">
        <x:f>IF(M10&gt;=80,1,IF(M10&gt;=60,0.75,IF(M10&gt;=40,0.45,0.25)))</x:f>
        <x:v>0.75</x:v>
      </x:c>
      <x:c r="R10" s="87" t="str">
        <x:v>Rotational access expanded under EDCA; no selected-source evidence of current direct U.S. ballot manipulation.</x:v>
      </x:c>
      <x:c r="S10" s="87" t="str">
        <x:v>S001; S022</x:v>
      </x:c>
      <x:c r="T10" s="132" t="n">
        <x:f>J10+ROW()/100000</x:f>
        <x:v>2.2501</x:v>
      </x:c>
    </x:row>
    <x:row r="11">
      <x:c r="A11" s="87" t="str">
        <x:v>Colombia</x:v>
      </x:c>
      <x:c r="B11" s="87" t="str">
        <x:v>COL</x:v>
      </x:c>
      <x:c r="C11" s="87" t="str">
        <x:v>South America</x:v>
      </x:c>
      <x:c r="D11" s="97" t="n">
        <x:v>4.5709</x:v>
      </x:c>
      <x:c r="E11" s="97" t="n">
        <x:v>-74.2973</x:v>
      </x:c>
      <x:c r="F11" s="94" t="n">
        <x:f>IFERROR(ROUND(SUMPRODUCT((USA_Evidence_Log!$B$2:$B$500=$A11)*(USA_Evidence_Log!$E$2:$E$500=F$1)*(USA_Evidence_Log!$T$2:$T$500="Yes")*USA_Evidence_Log!$R$2:$R$500)/SUMPRODUCT((USA_Evidence_Log!$B$2:$B$500=$A11)*(USA_Evidence_Log!$E$2:$E$500=F$1)*(USA_Evidence_Log!$T$2:$T$500="Yes")*USA_Evidence_Log!$Q$2:$Q$500),1),0)</x:f>
        <x:v>4</x:v>
      </x:c>
      <x:c r="G11" s="94" t="n">
        <x:f>IFERROR(ROUND(SUMPRODUCT((USA_Evidence_Log!$B$2:$B$500=$A11)*(USA_Evidence_Log!$E$2:$E$500=G$1)*(USA_Evidence_Log!$T$2:$T$500="Yes")*USA_Evidence_Log!$R$2:$R$500)/SUMPRODUCT((USA_Evidence_Log!$B$2:$B$500=$A11)*(USA_Evidence_Log!$E$2:$E$500=G$1)*(USA_Evidence_Log!$T$2:$T$500="Yes")*USA_Evidence_Log!$Q$2:$Q$500),1),0)</x:f>
        <x:v>3</x:v>
      </x:c>
      <x:c r="H11" s="94" t="n">
        <x:f>IFERROR(ROUND(SUMPRODUCT((USA_Evidence_Log!$B$2:$B$500=$A11)*(USA_Evidence_Log!$E$2:$E$500=H$1)*(USA_Evidence_Log!$T$2:$T$500="Yes")*USA_Evidence_Log!$R$2:$R$500)/SUMPRODUCT((USA_Evidence_Log!$B$2:$B$500=$A11)*(USA_Evidence_Log!$E$2:$E$500=H$1)*(USA_Evidence_Log!$T$2:$T$500="Yes")*USA_Evidence_Log!$Q$2:$Q$500),1),0)</x:f>
        <x:v>2</x:v>
      </x:c>
      <x:c r="I11" s="94" t="n">
        <x:f>IFERROR(ROUND(SUMPRODUCT((USA_Evidence_Log!$B$2:$B$500=$A11)*(USA_Evidence_Log!$E$2:$E$500=I$1)*(USA_Evidence_Log!$T$2:$T$500="Yes")*USA_Evidence_Log!$R$2:$R$500)/SUMPRODUCT((USA_Evidence_Log!$B$2:$B$500=$A11)*(USA_Evidence_Log!$E$2:$E$500=I$1)*(USA_Evidence_Log!$T$2:$T$500="Yes")*USA_Evidence_Log!$Q$2:$Q$500),1),0)</x:f>
        <x:v>1</x:v>
      </x:c>
      <x:c r="J11" s="95" t="n">
        <x:f>ROUND(AVERAGE(F11:I11),2)</x:f>
        <x:v>2.5</x:v>
      </x:c>
      <x:c r="K11" s="94" t="str">
        <x:f>IF(J11&gt;=4.5,"Critical",IF(J11&gt;=3.5,"High",IF(J11&gt;=2.5,"Elevated",IF(J11&gt;=1.5,"Moderate",IF(J11&gt;0,"Low","No verified evidence")))))</x:f>
        <x:v>Elevated</x:v>
      </x:c>
      <x:c r="L11" s="94" t="n">
        <x:f>MAX(F11:I11)</x:f>
        <x:v>4</x:v>
      </x:c>
      <x:c r="M11" s="96" t="n">
        <x:f>IFERROR(ROUND(SUMPRODUCT((USA_Evidence_Log!$B$2:$B$500=$A11)*(USA_Evidence_Log!$T$2:$T$500="Yes")*USA_Evidence_Log!$P$2:$P$500)/SUMPRODUCT((USA_Evidence_Log!$B$2:$B$500=$A11)*(USA_Evidence_Log!$T$2:$T$500="Yes")),0),0)</x:f>
        <x:v>76</x:v>
      </x:c>
      <x:c r="N11" s="87" t="str">
        <x:f>IF(M11&gt;=80,"High",IF(M11&gt;=60,"Medium",IF(M11&gt;=40,"Low","Needs review")))</x:f>
        <x:v>Medium</x:v>
      </x:c>
      <x:c r="O11" s="87" t="str">
        <x:f>IF(AND(M11&gt;=60,COUNTIF(USA_Evidence_Log!$B$2:$B$500,$A11)&gt;=3),"Ready","Review")</x:f>
        <x:v>Ready</x:v>
      </x:c>
      <x:c r="P11" s="87" t="str">
        <x:f>IF(J11&gt;=4.5,"#A63603",IF(J11&gt;=3.5,"#F16913",IF(J11&gt;=2.5,"#FDAE6B",IF(J11&gt;=1.5,"#ADDD8E",IF(J11&gt;0,"#D9F0D3","#F2F2F2")))))</x:f>
        <x:v>#FDAE6B</x:v>
      </x:c>
      <x:c r="Q11" s="95" t="n">
        <x:f>IF(M11&gt;=80,1,IF(M11&gt;=60,0.75,IF(M11&gt;=40,0.45,0.25)))</x:f>
        <x:v>0.75</x:v>
      </x:c>
      <x:c r="R11" s="87" t="str">
        <x:v>Longstanding U.S. security/counternarcotics partnership under Plan Colombia; contractor scoring is partly historical.</x:v>
      </x:c>
      <x:c r="S11" s="87" t="str">
        <x:v>S017</x:v>
      </x:c>
      <x:c r="T11" s="132" t="n">
        <x:f>J11+ROW()/100000</x:f>
        <x:v>2.50011</x:v>
      </x:c>
    </x:row>
    <x:row r="12">
      <x:c r="A12" s="87" t="str">
        <x:v>Serbia</x:v>
      </x:c>
      <x:c r="B12" s="87" t="str">
        <x:v>SRB</x:v>
      </x:c>
      <x:c r="C12" s="87" t="str">
        <x:v>Europe / Balkans</x:v>
      </x:c>
      <x:c r="D12" s="97" t="n">
        <x:v>44.0165</x:v>
      </x:c>
      <x:c r="E12" s="97" t="n">
        <x:v>21.0059</x:v>
      </x:c>
      <x:c r="F12" s="94" t="n">
        <x:f>IFERROR(ROUND(SUMPRODUCT((USA_Evidence_Log!$B$2:$B$500=$A12)*(USA_Evidence_Log!$E$2:$E$500=F$1)*(USA_Evidence_Log!$T$2:$T$500="Yes")*USA_Evidence_Log!$R$2:$R$500)/SUMPRODUCT((USA_Evidence_Log!$B$2:$B$500=$A12)*(USA_Evidence_Log!$E$2:$E$500=F$1)*(USA_Evidence_Log!$T$2:$T$500="Yes")*USA_Evidence_Log!$Q$2:$Q$500),1),0)</x:f>
        <x:v>3</x:v>
      </x:c>
      <x:c r="G12" s="94" t="n">
        <x:f>IFERROR(ROUND(SUMPRODUCT((USA_Evidence_Log!$B$2:$B$500=$A12)*(USA_Evidence_Log!$E$2:$E$500=G$1)*(USA_Evidence_Log!$T$2:$T$500="Yes")*USA_Evidence_Log!$R$2:$R$500)/SUMPRODUCT((USA_Evidence_Log!$B$2:$B$500=$A12)*(USA_Evidence_Log!$E$2:$E$500=G$1)*(USA_Evidence_Log!$T$2:$T$500="Yes")*USA_Evidence_Log!$Q$2:$Q$500),1),0)</x:f>
        <x:v>1</x:v>
      </x:c>
      <x:c r="H12" s="94" t="n">
        <x:f>IFERROR(ROUND(SUMPRODUCT((USA_Evidence_Log!$B$2:$B$500=$A12)*(USA_Evidence_Log!$E$2:$E$500=H$1)*(USA_Evidence_Log!$T$2:$T$500="Yes")*USA_Evidence_Log!$R$2:$R$500)/SUMPRODUCT((USA_Evidence_Log!$B$2:$B$500=$A12)*(USA_Evidence_Log!$E$2:$E$500=H$1)*(USA_Evidence_Log!$T$2:$T$500="Yes")*USA_Evidence_Log!$Q$2:$Q$500),1),0)</x:f>
        <x:v>4</x:v>
      </x:c>
      <x:c r="I12" s="94" t="n">
        <x:f>IFERROR(ROUND(SUMPRODUCT((USA_Evidence_Log!$B$2:$B$500=$A12)*(USA_Evidence_Log!$E$2:$E$500=I$1)*(USA_Evidence_Log!$T$2:$T$500="Yes")*USA_Evidence_Log!$R$2:$R$500)/SUMPRODUCT((USA_Evidence_Log!$B$2:$B$500=$A12)*(USA_Evidence_Log!$E$2:$E$500=I$1)*(USA_Evidence_Log!$T$2:$T$500="Yes")*USA_Evidence_Log!$Q$2:$Q$500),1),0)</x:f>
        <x:v>4</x:v>
      </x:c>
      <x:c r="J12" s="95" t="n">
        <x:f>ROUND(AVERAGE(F12:I12),2)</x:f>
        <x:v>3</x:v>
      </x:c>
      <x:c r="K12" s="94" t="str">
        <x:f>IF(J12&gt;=4.5,"Critical",IF(J12&gt;=3.5,"High",IF(J12&gt;=2.5,"Elevated",IF(J12&gt;=1.5,"Moderate",IF(J12&gt;0,"Low","No verified evidence")))))</x:f>
        <x:v>Elevated</x:v>
      </x:c>
      <x:c r="L12" s="94" t="n">
        <x:f>MAX(F12:I12)</x:f>
        <x:v>4</x:v>
      </x:c>
      <x:c r="M12" s="96" t="n">
        <x:f>IFERROR(ROUND(SUMPRODUCT((USA_Evidence_Log!$B$2:$B$500=$A12)*(USA_Evidence_Log!$T$2:$T$500="Yes")*USA_Evidence_Log!$P$2:$P$500)/SUMPRODUCT((USA_Evidence_Log!$B$2:$B$500=$A12)*(USA_Evidence_Log!$T$2:$T$500="Yes")),0),0)</x:f>
        <x:v>75</x:v>
      </x:c>
      <x:c r="N12" s="87" t="str">
        <x:f>IF(M12&gt;=80,"High",IF(M12&gt;=60,"Medium",IF(M12&gt;=40,"Low","Needs review")))</x:f>
        <x:v>Medium</x:v>
      </x:c>
      <x:c r="O12" s="87" t="str">
        <x:f>IF(AND(M12&gt;=60,COUNTIF(USA_Evidence_Log!$B$2:$B$500,$A12)&gt;=3),"Ready","Review")</x:f>
        <x:v>Ready</x:v>
      </x:c>
      <x:c r="P12" s="87" t="str">
        <x:f>IF(J12&gt;=4.5,"#A63603",IF(J12&gt;=3.5,"#F16913",IF(J12&gt;=2.5,"#FDAE6B",IF(J12&gt;=1.5,"#ADDD8E",IF(J12&gt;0,"#D9F0D3","#F2F2F2")))))</x:f>
        <x:v>#FDAE6B</x:v>
      </x:c>
      <x:c r="Q12" s="95" t="n">
        <x:f>IF(M12&gt;=80,1,IF(M12&gt;=60,0.75,IF(M12&gt;=40,0.45,0.25)))</x:f>
        <x:v>0.75</x:v>
      </x:c>
      <x:c r="R12" s="87" t="str">
        <x:v>High election/political-transition score is historical and tied to 2000 anti-Milosevic electoral support, not current verified covert action.</x:v>
      </x:c>
      <x:c r="S12" s="87" t="str">
        <x:v>S004; S005; S011</x:v>
      </x:c>
      <x:c r="T12" s="132" t="n">
        <x:f>J12+ROW()/100000</x:f>
        <x:v>3.00012</x:v>
      </x:c>
    </x:row>
    <x:row r="13">
      <x:c r="A13" s="87" t="str">
        <x:v>Nicaragua</x:v>
      </x:c>
      <x:c r="B13" s="87" t="str">
        <x:v>NIC</x:v>
      </x:c>
      <x:c r="C13" s="87" t="str">
        <x:v>Central America</x:v>
      </x:c>
      <x:c r="D13" s="97" t="n">
        <x:v>12.8654</x:v>
      </x:c>
      <x:c r="E13" s="97" t="n">
        <x:v>-85.2072</x:v>
      </x:c>
      <x:c r="F13" s="94" t="n">
        <x:f>IFERROR(ROUND(SUMPRODUCT((USA_Evidence_Log!$B$2:$B$500=$A13)*(USA_Evidence_Log!$E$2:$E$500=F$1)*(USA_Evidence_Log!$T$2:$T$500="Yes")*USA_Evidence_Log!$R$2:$R$500)/SUMPRODUCT((USA_Evidence_Log!$B$2:$B$500=$A13)*(USA_Evidence_Log!$E$2:$E$500=F$1)*(USA_Evidence_Log!$T$2:$T$500="Yes")*USA_Evidence_Log!$Q$2:$Q$500),1),0)</x:f>
        <x:v>3</x:v>
      </x:c>
      <x:c r="G13" s="94" t="n">
        <x:f>IFERROR(ROUND(SUMPRODUCT((USA_Evidence_Log!$B$2:$B$500=$A13)*(USA_Evidence_Log!$E$2:$E$500=G$1)*(USA_Evidence_Log!$T$2:$T$500="Yes")*USA_Evidence_Log!$R$2:$R$500)/SUMPRODUCT((USA_Evidence_Log!$B$2:$B$500=$A13)*(USA_Evidence_Log!$E$2:$E$500=G$1)*(USA_Evidence_Log!$T$2:$T$500="Yes")*USA_Evidence_Log!$Q$2:$Q$500),1),0)</x:f>
        <x:v>1</x:v>
      </x:c>
      <x:c r="H13" s="94" t="n">
        <x:f>IFERROR(ROUND(SUMPRODUCT((USA_Evidence_Log!$B$2:$B$500=$A13)*(USA_Evidence_Log!$E$2:$E$500=H$1)*(USA_Evidence_Log!$T$2:$T$500="Yes")*USA_Evidence_Log!$R$2:$R$500)/SUMPRODUCT((USA_Evidence_Log!$B$2:$B$500=$A13)*(USA_Evidence_Log!$E$2:$E$500=H$1)*(USA_Evidence_Log!$T$2:$T$500="Yes")*USA_Evidence_Log!$Q$2:$Q$500),1),0)</x:f>
        <x:v>3</x:v>
      </x:c>
      <x:c r="I13" s="94" t="n">
        <x:f>IFERROR(ROUND(SUMPRODUCT((USA_Evidence_Log!$B$2:$B$500=$A13)*(USA_Evidence_Log!$E$2:$E$500=I$1)*(USA_Evidence_Log!$T$2:$T$500="Yes")*USA_Evidence_Log!$R$2:$R$500)/SUMPRODUCT((USA_Evidence_Log!$B$2:$B$500=$A13)*(USA_Evidence_Log!$E$2:$E$500=I$1)*(USA_Evidence_Log!$T$2:$T$500="Yes")*USA_Evidence_Log!$Q$2:$Q$500),1),0)</x:f>
        <x:v>4</x:v>
      </x:c>
      <x:c r="J13" s="95" t="n">
        <x:f>ROUND(AVERAGE(F13:I13),2)</x:f>
        <x:v>2.75</x:v>
      </x:c>
      <x:c r="K13" s="94" t="str">
        <x:f>IF(J13&gt;=4.5,"Critical",IF(J13&gt;=3.5,"High",IF(J13&gt;=2.5,"Elevated",IF(J13&gt;=1.5,"Moderate",IF(J13&gt;0,"Low","No verified evidence")))))</x:f>
        <x:v>Elevated</x:v>
      </x:c>
      <x:c r="L13" s="94" t="n">
        <x:f>MAX(F13:I13)</x:f>
        <x:v>4</x:v>
      </x:c>
      <x:c r="M13" s="96" t="n">
        <x:f>IFERROR(ROUND(SUMPRODUCT((USA_Evidence_Log!$B$2:$B$500=$A13)*(USA_Evidence_Log!$T$2:$T$500="Yes")*USA_Evidence_Log!$P$2:$P$500)/SUMPRODUCT((USA_Evidence_Log!$B$2:$B$500=$A13)*(USA_Evidence_Log!$T$2:$T$500="Yes")),0),0)</x:f>
        <x:v>75</x:v>
      </x:c>
      <x:c r="N13" s="87" t="str">
        <x:f>IF(M13&gt;=80,"High",IF(M13&gt;=60,"Medium",IF(M13&gt;=40,"Low","Needs review")))</x:f>
        <x:v>Medium</x:v>
      </x:c>
      <x:c r="O13" s="87" t="str">
        <x:f>IF(AND(M13&gt;=60,COUNTIF(USA_Evidence_Log!$B$2:$B$500,$A13)&gt;=3),"Ready","Review")</x:f>
        <x:v>Ready</x:v>
      </x:c>
      <x:c r="P13" s="87" t="str">
        <x:f>IF(J13&gt;=4.5,"#A63603",IF(J13&gt;=3.5,"#F16913",IF(J13&gt;=2.5,"#FDAE6B",IF(J13&gt;=1.5,"#ADDD8E",IF(J13&gt;0,"#D9F0D3","#F2F2F2")))))</x:f>
        <x:v>#FDAE6B</x:v>
      </x:c>
      <x:c r="Q13" s="95" t="n">
        <x:f>IF(M13&gt;=80,1,IF(M13&gt;=60,0.75,IF(M13&gt;=40,0.45,0.25)))</x:f>
        <x:v>0.75</x:v>
      </x:c>
      <x:c r="R13" s="87" t="str">
        <x:v>Historical score captures U.S.-backed opposition and conflict/election pressure around the 1990 election.</x:v>
      </x:c>
      <x:c r="S13" s="87" t="str">
        <x:v>S007; S012</x:v>
      </x:c>
      <x:c r="T13" s="132" t="n">
        <x:f>J13+ROW()/100000</x:f>
        <x:v>2.75013</x:v>
      </x:c>
    </x:row>
    <x:row r="14">
      <x:c r="A14" s="87" t="str">
        <x:v>Chile</x:v>
      </x:c>
      <x:c r="B14" s="87" t="str">
        <x:v>CHL</x:v>
      </x:c>
      <x:c r="C14" s="87" t="str">
        <x:v>South America</x:v>
      </x:c>
      <x:c r="D14" s="97" t="n">
        <x:v>-35.6751</x:v>
      </x:c>
      <x:c r="E14" s="97" t="n">
        <x:v>-71.543</x:v>
      </x:c>
      <x:c r="F14" s="94" t="n">
        <x:f>IFERROR(ROUND(SUMPRODUCT((USA_Evidence_Log!$B$2:$B$500=$A14)*(USA_Evidence_Log!$E$2:$E$500=F$1)*(USA_Evidence_Log!$T$2:$T$500="Yes")*USA_Evidence_Log!$R$2:$R$500)/SUMPRODUCT((USA_Evidence_Log!$B$2:$B$500=$A14)*(USA_Evidence_Log!$E$2:$E$500=F$1)*(USA_Evidence_Log!$T$2:$T$500="Yes")*USA_Evidence_Log!$Q$2:$Q$500),1),0)</x:f>
        <x:v>2</x:v>
      </x:c>
      <x:c r="G14" s="94" t="n">
        <x:f>IFERROR(ROUND(SUMPRODUCT((USA_Evidence_Log!$B$2:$B$500=$A14)*(USA_Evidence_Log!$E$2:$E$500=G$1)*(USA_Evidence_Log!$T$2:$T$500="Yes")*USA_Evidence_Log!$R$2:$R$500)/SUMPRODUCT((USA_Evidence_Log!$B$2:$B$500=$A14)*(USA_Evidence_Log!$E$2:$E$500=G$1)*(USA_Evidence_Log!$T$2:$T$500="Yes")*USA_Evidence_Log!$Q$2:$Q$500),1),0)</x:f>
        <x:v>0</x:v>
      </x:c>
      <x:c r="H14" s="94" t="n">
        <x:f>IFERROR(ROUND(SUMPRODUCT((USA_Evidence_Log!$B$2:$B$500=$A14)*(USA_Evidence_Log!$E$2:$E$500=H$1)*(USA_Evidence_Log!$T$2:$T$500="Yes")*USA_Evidence_Log!$R$2:$R$500)/SUMPRODUCT((USA_Evidence_Log!$B$2:$B$500=$A14)*(USA_Evidence_Log!$E$2:$E$500=H$1)*(USA_Evidence_Log!$T$2:$T$500="Yes")*USA_Evidence_Log!$Q$2:$Q$500),1),0)</x:f>
        <x:v>2</x:v>
      </x:c>
      <x:c r="I14" s="94" t="n">
        <x:f>IFERROR(ROUND(SUMPRODUCT((USA_Evidence_Log!$B$2:$B$500=$A14)*(USA_Evidence_Log!$E$2:$E$500=I$1)*(USA_Evidence_Log!$T$2:$T$500="Yes")*USA_Evidence_Log!$R$2:$R$500)/SUMPRODUCT((USA_Evidence_Log!$B$2:$B$500=$A14)*(USA_Evidence_Log!$E$2:$E$500=I$1)*(USA_Evidence_Log!$T$2:$T$500="Yes")*USA_Evidence_Log!$Q$2:$Q$500),1),0)</x:f>
        <x:v>5</x:v>
      </x:c>
      <x:c r="J14" s="95" t="n">
        <x:f>ROUND(AVERAGE(F14:I14),2)</x:f>
        <x:v>2.25</x:v>
      </x:c>
      <x:c r="K14" s="94" t="str">
        <x:f>IF(J14&gt;=4.5,"Critical",IF(J14&gt;=3.5,"High",IF(J14&gt;=2.5,"Elevated",IF(J14&gt;=1.5,"Moderate",IF(J14&gt;0,"Low","No verified evidence")))))</x:f>
        <x:v>Moderate</x:v>
      </x:c>
      <x:c r="L14" s="94" t="n">
        <x:f>MAX(F14:I14)</x:f>
        <x:v>5</x:v>
      </x:c>
      <x:c r="M14" s="96" t="n">
        <x:f>IFERROR(ROUND(SUMPRODUCT((USA_Evidence_Log!$B$2:$B$500=$A14)*(USA_Evidence_Log!$T$2:$T$500="Yes")*USA_Evidence_Log!$P$2:$P$500)/SUMPRODUCT((USA_Evidence_Log!$B$2:$B$500=$A14)*(USA_Evidence_Log!$T$2:$T$500="Yes")),0),0)</x:f>
        <x:v>71</x:v>
      </x:c>
      <x:c r="N14" s="87" t="str">
        <x:f>IF(M14&gt;=80,"High",IF(M14&gt;=60,"Medium",IF(M14&gt;=40,"Low","Needs review")))</x:f>
        <x:v>Medium</x:v>
      </x:c>
      <x:c r="O14" s="87" t="str">
        <x:f>IF(AND(M14&gt;=60,COUNTIF(USA_Evidence_Log!$B$2:$B$500,$A14)&gt;=3),"Ready","Review")</x:f>
        <x:v>Ready</x:v>
      </x:c>
      <x:c r="P14" s="87" t="str">
        <x:f>IF(J14&gt;=4.5,"#A63603",IF(J14&gt;=3.5,"#F16913",IF(J14&gt;=2.5,"#FDAE6B",IF(J14&gt;=1.5,"#ADDD8E",IF(J14&gt;0,"#D9F0D3","#F2F2F2")))))</x:f>
        <x:v>#ADDD8E</x:v>
      </x:c>
      <x:c r="Q14" s="95" t="n">
        <x:f>IF(M14&gt;=80,1,IF(M14&gt;=60,0.75,IF(M14&gt;=40,0.45,0.25)))</x:f>
        <x:v>0.75</x:v>
      </x:c>
      <x:c r="R14" s="87" t="str">
        <x:v>Historical score captures U.S. covert action against Allende-era political transition, not current U.S. posture.</x:v>
      </x:c>
      <x:c r="S14" s="87" t="str">
        <x:v>S007; S009</x:v>
      </x:c>
      <x:c r="T14" s="132" t="n">
        <x:f>J14+ROW()/100000</x:f>
        <x:v>2.25014</x:v>
      </x:c>
    </x:row>
    <x:row r="15">
      <x:c r="A15" s="87" t="str">
        <x:v>Italy</x:v>
      </x:c>
      <x:c r="B15" s="87" t="str">
        <x:v>ITA</x:v>
      </x:c>
      <x:c r="C15" s="87" t="str">
        <x:v>Europe</x:v>
      </x:c>
      <x:c r="D15" s="97" t="n">
        <x:v>41.8719</x:v>
      </x:c>
      <x:c r="E15" s="97" t="n">
        <x:v>12.5674</x:v>
      </x:c>
      <x:c r="F15" s="94" t="n">
        <x:f>IFERROR(ROUND(SUMPRODUCT((USA_Evidence_Log!$B$2:$B$500=$A15)*(USA_Evidence_Log!$E$2:$E$500=F$1)*(USA_Evidence_Log!$T$2:$T$500="Yes")*USA_Evidence_Log!$R$2:$R$500)/SUMPRODUCT((USA_Evidence_Log!$B$2:$B$500=$A15)*(USA_Evidence_Log!$E$2:$E$500=F$1)*(USA_Evidence_Log!$T$2:$T$500="Yes")*USA_Evidence_Log!$Q$2:$Q$500),1),0)</x:f>
        <x:v>3</x:v>
      </x:c>
      <x:c r="G15" s="94" t="n">
        <x:f>IFERROR(ROUND(SUMPRODUCT((USA_Evidence_Log!$B$2:$B$500=$A15)*(USA_Evidence_Log!$E$2:$E$500=G$1)*(USA_Evidence_Log!$T$2:$T$500="Yes")*USA_Evidence_Log!$R$2:$R$500)/SUMPRODUCT((USA_Evidence_Log!$B$2:$B$500=$A15)*(USA_Evidence_Log!$E$2:$E$500=G$1)*(USA_Evidence_Log!$T$2:$T$500="Yes")*USA_Evidence_Log!$Q$2:$Q$500),1),0)</x:f>
        <x:v>1</x:v>
      </x:c>
      <x:c r="H15" s="94" t="n">
        <x:f>IFERROR(ROUND(SUMPRODUCT((USA_Evidence_Log!$B$2:$B$500=$A15)*(USA_Evidence_Log!$E$2:$E$500=H$1)*(USA_Evidence_Log!$T$2:$T$500="Yes")*USA_Evidence_Log!$R$2:$R$500)/SUMPRODUCT((USA_Evidence_Log!$B$2:$B$500=$A15)*(USA_Evidence_Log!$E$2:$E$500=H$1)*(USA_Evidence_Log!$T$2:$T$500="Yes")*USA_Evidence_Log!$Q$2:$Q$500),1),0)</x:f>
        <x:v>2</x:v>
      </x:c>
      <x:c r="I15" s="94" t="n">
        <x:f>IFERROR(ROUND(SUMPRODUCT((USA_Evidence_Log!$B$2:$B$500=$A15)*(USA_Evidence_Log!$E$2:$E$500=I$1)*(USA_Evidence_Log!$T$2:$T$500="Yes")*USA_Evidence_Log!$R$2:$R$500)/SUMPRODUCT((USA_Evidence_Log!$B$2:$B$500=$A15)*(USA_Evidence_Log!$E$2:$E$500=I$1)*(USA_Evidence_Log!$T$2:$T$500="Yes")*USA_Evidence_Log!$Q$2:$Q$500),1),0)</x:f>
        <x:v>5</x:v>
      </x:c>
      <x:c r="J15" s="95" t="n">
        <x:f>ROUND(AVERAGE(F15:I15),2)</x:f>
        <x:v>2.75</x:v>
      </x:c>
      <x:c r="K15" s="94" t="str">
        <x:f>IF(J15&gt;=4.5,"Critical",IF(J15&gt;=3.5,"High",IF(J15&gt;=2.5,"Elevated",IF(J15&gt;=1.5,"Moderate",IF(J15&gt;0,"Low","No verified evidence")))))</x:f>
        <x:v>Elevated</x:v>
      </x:c>
      <x:c r="L15" s="94" t="n">
        <x:f>MAX(F15:I15)</x:f>
        <x:v>5</x:v>
      </x:c>
      <x:c r="M15" s="96" t="n">
        <x:f>IFERROR(ROUND(SUMPRODUCT((USA_Evidence_Log!$B$2:$B$500=$A15)*(USA_Evidence_Log!$T$2:$T$500="Yes")*USA_Evidence_Log!$P$2:$P$500)/SUMPRODUCT((USA_Evidence_Log!$B$2:$B$500=$A15)*(USA_Evidence_Log!$T$2:$T$500="Yes")),0),0)</x:f>
        <x:v>74</x:v>
      </x:c>
      <x:c r="N15" s="87" t="str">
        <x:f>IF(M15&gt;=80,"High",IF(M15&gt;=60,"Medium",IF(M15&gt;=40,"Low","Needs review")))</x:f>
        <x:v>Medium</x:v>
      </x:c>
      <x:c r="O15" s="87" t="str">
        <x:f>IF(AND(M15&gt;=60,COUNTIF(USA_Evidence_Log!$B$2:$B$500,$A15)&gt;=3),"Ready","Review")</x:f>
        <x:v>Ready</x:v>
      </x:c>
      <x:c r="P15" s="87" t="str">
        <x:f>IF(J15&gt;=4.5,"#A63603",IF(J15&gt;=3.5,"#F16913",IF(J15&gt;=2.5,"#FDAE6B",IF(J15&gt;=1.5,"#ADDD8E",IF(J15&gt;0,"#D9F0D3","#F2F2F2")))))</x:f>
        <x:v>#FDAE6B</x:v>
      </x:c>
      <x:c r="Q15" s="95" t="n">
        <x:f>IF(M15&gt;=80,1,IF(M15&gt;=60,0.75,IF(M15&gt;=40,0.45,0.25)))</x:f>
        <x:v>0.75</x:v>
      </x:c>
      <x:c r="R15" s="87" t="str">
        <x:v>Historical score captures CIA financial support in the early Cold War; current score would be much lower if scored separately.</x:v>
      </x:c>
      <x:c r="S15" s="87" t="str">
        <x:v>S001; S007; S010</x:v>
      </x:c>
      <x:c r="T15" s="132" t="n">
        <x:f>J15+ROW()/100000</x:f>
        <x:v>2.75015</x:v>
      </x:c>
    </x:row>
    <x:row r="16">
      <x:c r="A16" s="87" t="str">
        <x:v>Guatemala</x:v>
      </x:c>
      <x:c r="B16" s="87" t="str">
        <x:v>GTM</x:v>
      </x:c>
      <x:c r="C16" s="87" t="str">
        <x:v>Central America</x:v>
      </x:c>
      <x:c r="D16" s="97" t="n">
        <x:v>15.7835</x:v>
      </x:c>
      <x:c r="E16" s="97" t="n">
        <x:v>-90.2308</x:v>
      </x:c>
      <x:c r="F16" s="94" t="n">
        <x:f>IFERROR(ROUND(SUMPRODUCT((USA_Evidence_Log!$B$2:$B$500=$A16)*(USA_Evidence_Log!$E$2:$E$500=F$1)*(USA_Evidence_Log!$T$2:$T$500="Yes")*USA_Evidence_Log!$R$2:$R$500)/SUMPRODUCT((USA_Evidence_Log!$B$2:$B$500=$A16)*(USA_Evidence_Log!$E$2:$E$500=F$1)*(USA_Evidence_Log!$T$2:$T$500="Yes")*USA_Evidence_Log!$Q$2:$Q$500),1),0)</x:f>
        <x:v>3</x:v>
      </x:c>
      <x:c r="G16" s="94" t="n">
        <x:f>IFERROR(ROUND(SUMPRODUCT((USA_Evidence_Log!$B$2:$B$500=$A16)*(USA_Evidence_Log!$E$2:$E$500=G$1)*(USA_Evidence_Log!$T$2:$T$500="Yes")*USA_Evidence_Log!$R$2:$R$500)/SUMPRODUCT((USA_Evidence_Log!$B$2:$B$500=$A16)*(USA_Evidence_Log!$E$2:$E$500=G$1)*(USA_Evidence_Log!$T$2:$T$500="Yes")*USA_Evidence_Log!$Q$2:$Q$500),1),0)</x:f>
        <x:v>1</x:v>
      </x:c>
      <x:c r="H16" s="94" t="n">
        <x:f>IFERROR(ROUND(SUMPRODUCT((USA_Evidence_Log!$B$2:$B$500=$A16)*(USA_Evidence_Log!$E$2:$E$500=H$1)*(USA_Evidence_Log!$T$2:$T$500="Yes")*USA_Evidence_Log!$R$2:$R$500)/SUMPRODUCT((USA_Evidence_Log!$B$2:$B$500=$A16)*(USA_Evidence_Log!$E$2:$E$500=H$1)*(USA_Evidence_Log!$T$2:$T$500="Yes")*USA_Evidence_Log!$Q$2:$Q$500),1),0)</x:f>
        <x:v>4</x:v>
      </x:c>
      <x:c r="I16" s="94" t="n">
        <x:f>IFERROR(ROUND(SUMPRODUCT((USA_Evidence_Log!$B$2:$B$500=$A16)*(USA_Evidence_Log!$E$2:$E$500=I$1)*(USA_Evidence_Log!$T$2:$T$500="Yes")*USA_Evidence_Log!$R$2:$R$500)/SUMPRODUCT((USA_Evidence_Log!$B$2:$B$500=$A16)*(USA_Evidence_Log!$E$2:$E$500=I$1)*(USA_Evidence_Log!$T$2:$T$500="Yes")*USA_Evidence_Log!$Q$2:$Q$500),1),0)</x:f>
        <x:v>5</x:v>
      </x:c>
      <x:c r="J16" s="95" t="n">
        <x:f>ROUND(AVERAGE(F16:I16),2)</x:f>
        <x:v>3.25</x:v>
      </x:c>
      <x:c r="K16" s="94" t="str">
        <x:f>IF(J16&gt;=4.5,"Critical",IF(J16&gt;=3.5,"High",IF(J16&gt;=2.5,"Elevated",IF(J16&gt;=1.5,"Moderate",IF(J16&gt;0,"Low","No verified evidence")))))</x:f>
        <x:v>Elevated</x:v>
      </x:c>
      <x:c r="L16" s="94" t="n">
        <x:f>MAX(F16:I16)</x:f>
        <x:v>5</x:v>
      </x:c>
      <x:c r="M16" s="96" t="n">
        <x:f>IFERROR(ROUND(SUMPRODUCT((USA_Evidence_Log!$B$2:$B$500=$A16)*(USA_Evidence_Log!$T$2:$T$500="Yes")*USA_Evidence_Log!$P$2:$P$500)/SUMPRODUCT((USA_Evidence_Log!$B$2:$B$500=$A16)*(USA_Evidence_Log!$T$2:$T$500="Yes")),0),0)</x:f>
        <x:v>75</x:v>
      </x:c>
      <x:c r="N16" s="87" t="str">
        <x:f>IF(M16&gt;=80,"High",IF(M16&gt;=60,"Medium",IF(M16&gt;=40,"Low","Needs review")))</x:f>
        <x:v>Medium</x:v>
      </x:c>
      <x:c r="O16" s="87" t="str">
        <x:f>IF(AND(M16&gt;=60,COUNTIF(USA_Evidence_Log!$B$2:$B$500,$A16)&gt;=3),"Ready","Review")</x:f>
        <x:v>Ready</x:v>
      </x:c>
      <x:c r="P16" s="87" t="str">
        <x:f>IF(J16&gt;=4.5,"#A63603",IF(J16&gt;=3.5,"#F16913",IF(J16&gt;=2.5,"#FDAE6B",IF(J16&gt;=1.5,"#ADDD8E",IF(J16&gt;0,"#D9F0D3","#F2F2F2")))))</x:f>
        <x:v>#FDAE6B</x:v>
      </x:c>
      <x:c r="Q16" s="95" t="n">
        <x:f>IF(M16&gt;=80,1,IF(M16&gt;=60,0.75,IF(M16&gt;=40,0.45,0.25)))</x:f>
        <x:v>0.75</x:v>
      </x:c>
      <x:c r="R16" s="87" t="str">
        <x:v>Historical score captures the 1954 CIA-supported operation and propaganda pressure.</x:v>
      </x:c>
      <x:c r="S16" s="87" t="str">
        <x:v>S007; S008</x:v>
      </x:c>
      <x:c r="T16" s="132" t="n">
        <x:f>J16+ROW()/100000</x:f>
        <x:v>3.25016</x:v>
      </x:c>
    </x:row>
    <x:row r="17">
      <x:c r="A17" s="87" t="str">
        <x:v>Venezuela</x:v>
      </x:c>
      <x:c r="B17" s="87" t="str">
        <x:v>VEN</x:v>
      </x:c>
      <x:c r="C17" s="87" t="str">
        <x:v>South America</x:v>
      </x:c>
      <x:c r="D17" s="97" t="n">
        <x:v>6.4238</x:v>
      </x:c>
      <x:c r="E17" s="97" t="n">
        <x:v>-66.5897</x:v>
      </x:c>
      <x:c r="F17" s="94" t="n">
        <x:f>IFERROR(ROUND(SUMPRODUCT((USA_Evidence_Log!$B$2:$B$500=$A17)*(USA_Evidence_Log!$E$2:$E$500=F$1)*(USA_Evidence_Log!$T$2:$T$500="Yes")*USA_Evidence_Log!$R$2:$R$500)/SUMPRODUCT((USA_Evidence_Log!$B$2:$B$500=$A17)*(USA_Evidence_Log!$E$2:$E$500=F$1)*(USA_Evidence_Log!$T$2:$T$500="Yes")*USA_Evidence_Log!$Q$2:$Q$500),1),0)</x:f>
        <x:v>4</x:v>
      </x:c>
      <x:c r="G17" s="94" t="n">
        <x:f>IFERROR(ROUND(SUMPRODUCT((USA_Evidence_Log!$B$2:$B$500=$A17)*(USA_Evidence_Log!$E$2:$E$500=G$1)*(USA_Evidence_Log!$T$2:$T$500="Yes")*USA_Evidence_Log!$R$2:$R$500)/SUMPRODUCT((USA_Evidence_Log!$B$2:$B$500=$A17)*(USA_Evidence_Log!$E$2:$E$500=G$1)*(USA_Evidence_Log!$T$2:$T$500="Yes")*USA_Evidence_Log!$Q$2:$Q$500),1),0)</x:f>
        <x:v>0</x:v>
      </x:c>
      <x:c r="H17" s="94" t="n">
        <x:f>IFERROR(ROUND(SUMPRODUCT((USA_Evidence_Log!$B$2:$B$500=$A17)*(USA_Evidence_Log!$E$2:$E$500=H$1)*(USA_Evidence_Log!$T$2:$T$500="Yes")*USA_Evidence_Log!$R$2:$R$500)/SUMPRODUCT((USA_Evidence_Log!$B$2:$B$500=$A17)*(USA_Evidence_Log!$E$2:$E$500=H$1)*(USA_Evidence_Log!$T$2:$T$500="Yes")*USA_Evidence_Log!$Q$2:$Q$500),1),0)</x:f>
        <x:v>3</x:v>
      </x:c>
      <x:c r="I17" s="94" t="n">
        <x:f>IFERROR(ROUND(SUMPRODUCT((USA_Evidence_Log!$B$2:$B$500=$A17)*(USA_Evidence_Log!$E$2:$E$500=I$1)*(USA_Evidence_Log!$T$2:$T$500="Yes")*USA_Evidence_Log!$R$2:$R$500)/SUMPRODUCT((USA_Evidence_Log!$B$2:$B$500=$A17)*(USA_Evidence_Log!$E$2:$E$500=I$1)*(USA_Evidence_Log!$T$2:$T$500="Yes")*USA_Evidence_Log!$Q$2:$Q$500),1),0)</x:f>
        <x:v>3</x:v>
      </x:c>
      <x:c r="J17" s="95" t="n">
        <x:f>ROUND(AVERAGE(F17:I17),2)</x:f>
        <x:v>2.5</x:v>
      </x:c>
      <x:c r="K17" s="94" t="str">
        <x:f>IF(J17&gt;=4.5,"Critical",IF(J17&gt;=3.5,"High",IF(J17&gt;=2.5,"Elevated",IF(J17&gt;=1.5,"Moderate",IF(J17&gt;0,"Low","No verified evidence")))))</x:f>
        <x:v>Elevated</x:v>
      </x:c>
      <x:c r="L17" s="94" t="n">
        <x:f>MAX(F17:I17)</x:f>
        <x:v>4</x:v>
      </x:c>
      <x:c r="M17" s="96" t="n">
        <x:f>IFERROR(ROUND(SUMPRODUCT((USA_Evidence_Log!$B$2:$B$500=$A17)*(USA_Evidence_Log!$T$2:$T$500="Yes")*USA_Evidence_Log!$P$2:$P$500)/SUMPRODUCT((USA_Evidence_Log!$B$2:$B$500=$A17)*(USA_Evidence_Log!$T$2:$T$500="Yes")),0),0)</x:f>
        <x:v>74</x:v>
      </x:c>
      <x:c r="N17" s="87" t="str">
        <x:f>IF(M17&gt;=80,"High",IF(M17&gt;=60,"Medium",IF(M17&gt;=40,"Low","Needs review")))</x:f>
        <x:v>Medium</x:v>
      </x:c>
      <x:c r="O17" s="87" t="str">
        <x:f>IF(AND(M17&gt;=60,COUNTIF(USA_Evidence_Log!$B$2:$B$500,$A17)&gt;=3),"Ready","Review")</x:f>
        <x:v>Ready</x:v>
      </x:c>
      <x:c r="P17" s="87" t="str">
        <x:f>IF(J17&gt;=4.5,"#A63603",IF(J17&gt;=3.5,"#F16913",IF(J17&gt;=2.5,"#FDAE6B",IF(J17&gt;=1.5,"#ADDD8E",IF(J17&gt;0,"#D9F0D3","#F2F2F2")))))</x:f>
        <x:v>#FDAE6B</x:v>
      </x:c>
      <x:c r="Q17" s="95" t="n">
        <x:f>IF(M17&gt;=80,1,IF(M17&gt;=60,0.75,IF(M17&gt;=40,0.45,0.25)))</x:f>
        <x:v>0.75</x:v>
      </x:c>
      <x:c r="R17" s="87" t="str">
        <x:v>Current U.S. posture includes sanctions, democracy assistance, recognition/transition pressure and media/democracy networks.</x:v>
      </x:c>
      <x:c r="S17" s="87" t="str">
        <x:v>S015; S004; S006</x:v>
      </x:c>
      <x:c r="T17" s="132" t="n">
        <x:f>J17+ROW()/100000</x:f>
        <x:v>2.50017</x:v>
      </x:c>
    </x:row>
    <x:row r="18">
      <x:c r="A18" s="87" t="str">
        <x:v>Iran</x:v>
      </x:c>
      <x:c r="B18" s="87" t="str">
        <x:v>IRN</x:v>
      </x:c>
      <x:c r="C18" s="87" t="str">
        <x:v>Middle East / West Asia</x:v>
      </x:c>
      <x:c r="D18" s="97" t="n">
        <x:v>32.4279</x:v>
      </x:c>
      <x:c r="E18" s="97" t="n">
        <x:v>53.688</x:v>
      </x:c>
      <x:c r="F18" s="94" t="n">
        <x:f>IFERROR(ROUND(SUMPRODUCT((USA_Evidence_Log!$B$2:$B$500=$A18)*(USA_Evidence_Log!$E$2:$E$500=F$1)*(USA_Evidence_Log!$T$2:$T$500="Yes")*USA_Evidence_Log!$R$2:$R$500)/SUMPRODUCT((USA_Evidence_Log!$B$2:$B$500=$A18)*(USA_Evidence_Log!$E$2:$E$500=F$1)*(USA_Evidence_Log!$T$2:$T$500="Yes")*USA_Evidence_Log!$Q$2:$Q$500),1),0)</x:f>
        <x:v>2</x:v>
      </x:c>
      <x:c r="G18" s="94" t="n">
        <x:f>IFERROR(ROUND(SUMPRODUCT((USA_Evidence_Log!$B$2:$B$500=$A18)*(USA_Evidence_Log!$E$2:$E$500=G$1)*(USA_Evidence_Log!$T$2:$T$500="Yes")*USA_Evidence_Log!$R$2:$R$500)/SUMPRODUCT((USA_Evidence_Log!$B$2:$B$500=$A18)*(USA_Evidence_Log!$E$2:$E$500=G$1)*(USA_Evidence_Log!$T$2:$T$500="Yes")*USA_Evidence_Log!$Q$2:$Q$500),1),0)</x:f>
        <x:v>0</x:v>
      </x:c>
      <x:c r="H18" s="94" t="n">
        <x:f>IFERROR(ROUND(SUMPRODUCT((USA_Evidence_Log!$B$2:$B$500=$A18)*(USA_Evidence_Log!$E$2:$E$500=H$1)*(USA_Evidence_Log!$T$2:$T$500="Yes")*USA_Evidence_Log!$R$2:$R$500)/SUMPRODUCT((USA_Evidence_Log!$B$2:$B$500=$A18)*(USA_Evidence_Log!$E$2:$E$500=H$1)*(USA_Evidence_Log!$T$2:$T$500="Yes")*USA_Evidence_Log!$Q$2:$Q$500),1),0)</x:f>
        <x:v>4</x:v>
      </x:c>
      <x:c r="I18" s="94" t="n">
        <x:f>IFERROR(ROUND(SUMPRODUCT((USA_Evidence_Log!$B$2:$B$500=$A18)*(USA_Evidence_Log!$E$2:$E$500=I$1)*(USA_Evidence_Log!$T$2:$T$500="Yes")*USA_Evidence_Log!$R$2:$R$500)/SUMPRODUCT((USA_Evidence_Log!$B$2:$B$500=$A18)*(USA_Evidence_Log!$E$2:$E$500=I$1)*(USA_Evidence_Log!$T$2:$T$500="Yes")*USA_Evidence_Log!$Q$2:$Q$500),1),0)</x:f>
        <x:v>4</x:v>
      </x:c>
      <x:c r="J18" s="95" t="n">
        <x:f>ROUND(AVERAGE(F18:I18),2)</x:f>
        <x:v>2.5</x:v>
      </x:c>
      <x:c r="K18" s="94" t="str">
        <x:f>IF(J18&gt;=4.5,"Critical",IF(J18&gt;=3.5,"High",IF(J18&gt;=2.5,"Elevated",IF(J18&gt;=1.5,"Moderate",IF(J18&gt;0,"Low","No verified evidence")))))</x:f>
        <x:v>Elevated</x:v>
      </x:c>
      <x:c r="L18" s="94" t="n">
        <x:f>MAX(F18:I18)</x:f>
        <x:v>4</x:v>
      </x:c>
      <x:c r="M18" s="96" t="n">
        <x:f>IFERROR(ROUND(SUMPRODUCT((USA_Evidence_Log!$B$2:$B$500=$A18)*(USA_Evidence_Log!$T$2:$T$500="Yes")*USA_Evidence_Log!$P$2:$P$500)/SUMPRODUCT((USA_Evidence_Log!$B$2:$B$500=$A18)*(USA_Evidence_Log!$T$2:$T$500="Yes")),0),0)</x:f>
        <x:v>73</x:v>
      </x:c>
      <x:c r="N18" s="87" t="str">
        <x:f>IF(M18&gt;=80,"High",IF(M18&gt;=60,"Medium",IF(M18&gt;=40,"Low","Needs review")))</x:f>
        <x:v>Medium</x:v>
      </x:c>
      <x:c r="O18" s="87" t="str">
        <x:f>IF(AND(M18&gt;=60,COUNTIF(USA_Evidence_Log!$B$2:$B$500,$A18)&gt;=3),"Ready","Review")</x:f>
        <x:v>Ready</x:v>
      </x:c>
      <x:c r="P18" s="87" t="str">
        <x:f>IF(J18&gt;=4.5,"#A63603",IF(J18&gt;=3.5,"#F16913",IF(J18&gt;=2.5,"#FDAE6B",IF(J18&gt;=1.5,"#ADDD8E",IF(J18&gt;0,"#D9F0D3","#F2F2F2")))))</x:f>
        <x:v>#FDAE6B</x:v>
      </x:c>
      <x:c r="Q18" s="95" t="n">
        <x:f>IF(M18&gt;=80,1,IF(M18&gt;=60,0.75,IF(M18&gt;=40,0.45,0.25)))</x:f>
        <x:v>0.75</x:v>
      </x:c>
      <x:c r="R18" s="87" t="str">
        <x:v>Election/political-transition score is historical, tied to 1953 coup; information score reflects USAGM Persian/anti-censorship networks.</x:v>
      </x:c>
      <x:c r="S18" s="87" t="str">
        <x:v>S004; S005; S021</x:v>
      </x:c>
      <x:c r="T18" s="132" t="n">
        <x:f>J18+ROW()/100000</x:f>
        <x:v>2.50018</x:v>
      </x:c>
    </x:row>
    <x:row r="19">
      <x:c r="A19" s="87" t="str">
        <x:v>Cuba</x:v>
      </x:c>
      <x:c r="B19" s="87" t="str">
        <x:v>CUB</x:v>
      </x:c>
      <x:c r="C19" s="87" t="str">
        <x:v>Caribbean</x:v>
      </x:c>
      <x:c r="D19" s="97" t="n">
        <x:v>21.5218</x:v>
      </x:c>
      <x:c r="E19" s="97" t="n">
        <x:v>-77.7812</x:v>
      </x:c>
      <x:c r="F19" s="94" t="n">
        <x:f>IFERROR(ROUND(SUMPRODUCT((USA_Evidence_Log!$B$2:$B$500=$A19)*(USA_Evidence_Log!$E$2:$E$500=F$1)*(USA_Evidence_Log!$T$2:$T$500="Yes")*USA_Evidence_Log!$R$2:$R$500)/SUMPRODUCT((USA_Evidence_Log!$B$2:$B$500=$A19)*(USA_Evidence_Log!$E$2:$E$500=F$1)*(USA_Evidence_Log!$T$2:$T$500="Yes")*USA_Evidence_Log!$Q$2:$Q$500),1),0)</x:f>
        <x:v>3</x:v>
      </x:c>
      <x:c r="G19" s="94" t="n">
        <x:f>IFERROR(ROUND(SUMPRODUCT((USA_Evidence_Log!$B$2:$B$500=$A19)*(USA_Evidence_Log!$E$2:$E$500=G$1)*(USA_Evidence_Log!$T$2:$T$500="Yes")*USA_Evidence_Log!$R$2:$R$500)/SUMPRODUCT((USA_Evidence_Log!$B$2:$B$500=$A19)*(USA_Evidence_Log!$E$2:$E$500=G$1)*(USA_Evidence_Log!$T$2:$T$500="Yes")*USA_Evidence_Log!$Q$2:$Q$500),1),0)</x:f>
        <x:v>0</x:v>
      </x:c>
      <x:c r="H19" s="94" t="n">
        <x:f>IFERROR(ROUND(SUMPRODUCT((USA_Evidence_Log!$B$2:$B$500=$A19)*(USA_Evidence_Log!$E$2:$E$500=H$1)*(USA_Evidence_Log!$T$2:$T$500="Yes")*USA_Evidence_Log!$R$2:$R$500)/SUMPRODUCT((USA_Evidence_Log!$B$2:$B$500=$A19)*(USA_Evidence_Log!$E$2:$E$500=H$1)*(USA_Evidence_Log!$T$2:$T$500="Yes")*USA_Evidence_Log!$Q$2:$Q$500),1),0)</x:f>
        <x:v>5</x:v>
      </x:c>
      <x:c r="I19" s="94" t="n">
        <x:f>IFERROR(ROUND(SUMPRODUCT((USA_Evidence_Log!$B$2:$B$500=$A19)*(USA_Evidence_Log!$E$2:$E$500=I$1)*(USA_Evidence_Log!$T$2:$T$500="Yes")*USA_Evidence_Log!$R$2:$R$500)/SUMPRODUCT((USA_Evidence_Log!$B$2:$B$500=$A19)*(USA_Evidence_Log!$E$2:$E$500=I$1)*(USA_Evidence_Log!$T$2:$T$500="Yes")*USA_Evidence_Log!$Q$2:$Q$500),1),0)</x:f>
        <x:v>3</x:v>
      </x:c>
      <x:c r="J19" s="95" t="n">
        <x:f>ROUND(AVERAGE(F19:I19),2)</x:f>
        <x:v>2.75</x:v>
      </x:c>
      <x:c r="K19" s="94" t="str">
        <x:f>IF(J19&gt;=4.5,"Critical",IF(J19&gt;=3.5,"High",IF(J19&gt;=2.5,"Elevated",IF(J19&gt;=1.5,"Moderate",IF(J19&gt;0,"Low","No verified evidence")))))</x:f>
        <x:v>Elevated</x:v>
      </x:c>
      <x:c r="L19" s="94" t="n">
        <x:f>MAX(F19:I19)</x:f>
        <x:v>5</x:v>
      </x:c>
      <x:c r="M19" s="96" t="n">
        <x:f>IFERROR(ROUND(SUMPRODUCT((USA_Evidence_Log!$B$2:$B$500=$A19)*(USA_Evidence_Log!$T$2:$T$500="Yes")*USA_Evidence_Log!$P$2:$P$500)/SUMPRODUCT((USA_Evidence_Log!$B$2:$B$500=$A19)*(USA_Evidence_Log!$T$2:$T$500="Yes")),0),0)</x:f>
        <x:v>74</x:v>
      </x:c>
      <x:c r="N19" s="87" t="str">
        <x:f>IF(M19&gt;=80,"High",IF(M19&gt;=60,"Medium",IF(M19&gt;=40,"Low","Needs review")))</x:f>
        <x:v>Medium</x:v>
      </x:c>
      <x:c r="O19" s="87" t="str">
        <x:f>IF(AND(M19&gt;=60,COUNTIF(USA_Evidence_Log!$B$2:$B$500,$A19)&gt;=3),"Ready","Review")</x:f>
        <x:v>Ready</x:v>
      </x:c>
      <x:c r="P19" s="87" t="str">
        <x:f>IF(J19&gt;=4.5,"#A63603",IF(J19&gt;=3.5,"#F16913",IF(J19&gt;=2.5,"#FDAE6B",IF(J19&gt;=1.5,"#ADDD8E",IF(J19&gt;0,"#D9F0D3","#F2F2F2")))))</x:f>
        <x:v>#FDAE6B</x:v>
      </x:c>
      <x:c r="Q19" s="95" t="n">
        <x:f>IF(M19&gt;=80,1,IF(M19&gt;=60,0.75,IF(M19&gt;=40,0.45,0.25)))</x:f>
        <x:v>0.75</x:v>
      </x:c>
      <x:c r="R19" s="87" t="str">
        <x:v>Information score is high due to Radio/TV Martí; political interference score is historical/pressure-based and lower-confidence.</x:v>
      </x:c>
      <x:c r="S19" s="87" t="str">
        <x:v>S018; S006</x:v>
      </x:c>
      <x:c r="T19" s="132" t="n">
        <x:f>J19+ROW()/100000</x:f>
        <x:v>2.75019</x:v>
      </x:c>
    </x:row>
    <x:row r="20">
      <x:c r="A20" s="87" t="str">
        <x:v>Qatar</x:v>
      </x:c>
      <x:c r="B20" s="87" t="str">
        <x:v>QAT</x:v>
      </x:c>
      <x:c r="C20" s="87" t="str">
        <x:v>Middle East / West Asia</x:v>
      </x:c>
      <x:c r="D20" s="97" t="n">
        <x:v>25.3548</x:v>
      </x:c>
      <x:c r="E20" s="97" t="n">
        <x:v>51.1839</x:v>
      </x:c>
      <x:c r="F20" s="94" t="n">
        <x:f>IFERROR(ROUND(SUMPRODUCT((USA_Evidence_Log!$B$2:$B$500=$A20)*(USA_Evidence_Log!$E$2:$E$500=F$1)*(USA_Evidence_Log!$T$2:$T$500="Yes")*USA_Evidence_Log!$R$2:$R$500)/SUMPRODUCT((USA_Evidence_Log!$B$2:$B$500=$A20)*(USA_Evidence_Log!$E$2:$E$500=F$1)*(USA_Evidence_Log!$T$2:$T$500="Yes")*USA_Evidence_Log!$Q$2:$Q$500),1),0)</x:f>
        <x:v>4</x:v>
      </x:c>
      <x:c r="G20" s="94" t="n">
        <x:f>IFERROR(ROUND(SUMPRODUCT((USA_Evidence_Log!$B$2:$B$500=$A20)*(USA_Evidence_Log!$E$2:$E$500=G$1)*(USA_Evidence_Log!$T$2:$T$500="Yes")*USA_Evidence_Log!$R$2:$R$500)/SUMPRODUCT((USA_Evidence_Log!$B$2:$B$500=$A20)*(USA_Evidence_Log!$E$2:$E$500=G$1)*(USA_Evidence_Log!$T$2:$T$500="Yes")*USA_Evidence_Log!$Q$2:$Q$500),1),0)</x:f>
        <x:v>4</x:v>
      </x:c>
      <x:c r="H20" s="94" t="n">
        <x:f>IFERROR(ROUND(SUMPRODUCT((USA_Evidence_Log!$B$2:$B$500=$A20)*(USA_Evidence_Log!$E$2:$E$500=H$1)*(USA_Evidence_Log!$T$2:$T$500="Yes")*USA_Evidence_Log!$R$2:$R$500)/SUMPRODUCT((USA_Evidence_Log!$B$2:$B$500=$A20)*(USA_Evidence_Log!$E$2:$E$500=H$1)*(USA_Evidence_Log!$T$2:$T$500="Yes")*USA_Evidence_Log!$Q$2:$Q$500),1),0)</x:f>
        <x:v>2</x:v>
      </x:c>
      <x:c r="I20" s="94" t="n">
        <x:f>IFERROR(ROUND(SUMPRODUCT((USA_Evidence_Log!$B$2:$B$500=$A20)*(USA_Evidence_Log!$E$2:$E$500=I$1)*(USA_Evidence_Log!$T$2:$T$500="Yes")*USA_Evidence_Log!$R$2:$R$500)/SUMPRODUCT((USA_Evidence_Log!$B$2:$B$500=$A20)*(USA_Evidence_Log!$E$2:$E$500=I$1)*(USA_Evidence_Log!$T$2:$T$500="Yes")*USA_Evidence_Log!$Q$2:$Q$500),1),0)</x:f>
        <x:v>0</x:v>
      </x:c>
      <x:c r="J20" s="95" t="n">
        <x:f>ROUND(AVERAGE(F20:I20),2)</x:f>
        <x:v>2.5</x:v>
      </x:c>
      <x:c r="K20" s="94" t="str">
        <x:f>IF(J20&gt;=4.5,"Critical",IF(J20&gt;=3.5,"High",IF(J20&gt;=2.5,"Elevated",IF(J20&gt;=1.5,"Moderate",IF(J20&gt;0,"Low","No verified evidence")))))</x:f>
        <x:v>Elevated</x:v>
      </x:c>
      <x:c r="L20" s="94" t="n">
        <x:f>MAX(F20:I20)</x:f>
        <x:v>4</x:v>
      </x:c>
      <x:c r="M20" s="96" t="n">
        <x:f>IFERROR(ROUND(SUMPRODUCT((USA_Evidence_Log!$B$2:$B$500=$A20)*(USA_Evidence_Log!$T$2:$T$500="Yes")*USA_Evidence_Log!$P$2:$P$500)/SUMPRODUCT((USA_Evidence_Log!$B$2:$B$500=$A20)*(USA_Evidence_Log!$T$2:$T$500="Yes")),0),0)</x:f>
        <x:v>76</x:v>
      </x:c>
      <x:c r="N20" s="87" t="str">
        <x:f>IF(M20&gt;=80,"High",IF(M20&gt;=60,"Medium",IF(M20&gt;=40,"Low","Needs review")))</x:f>
        <x:v>Medium</x:v>
      </x:c>
      <x:c r="O20" s="87" t="str">
        <x:f>IF(AND(M20&gt;=60,COUNTIF(USA_Evidence_Log!$B$2:$B$500,$A20)&gt;=3),"Ready","Review")</x:f>
        <x:v>Ready</x:v>
      </x:c>
      <x:c r="P20" s="87" t="str">
        <x:f>IF(J20&gt;=4.5,"#A63603",IF(J20&gt;=3.5,"#F16913",IF(J20&gt;=2.5,"#FDAE6B",IF(J20&gt;=1.5,"#ADDD8E",IF(J20&gt;0,"#D9F0D3","#F2F2F2")))))</x:f>
        <x:v>#FDAE6B</x:v>
      </x:c>
      <x:c r="Q20" s="95" t="n">
        <x:f>IF(M20&gt;=80,1,IF(M20&gt;=60,0.75,IF(M20&gt;=40,0.45,0.25)))</x:f>
        <x:v>0.75</x:v>
      </x:c>
      <x:c r="R20" s="87" t="str">
        <x:v>High influence/contractor score due to U.S. regional military hub posture; election score is zero in selected sources.</x:v>
      </x:c>
      <x:c r="S20" s="87" t="str">
        <x:v>S002; S019</x:v>
      </x:c>
      <x:c r="T20" s="132" t="n">
        <x:f>J20+ROW()/100000</x:f>
        <x:v>2.5002</x:v>
      </x:c>
    </x:row>
    <x:row r="21">
      <x:c r="A21" s="87" t="str">
        <x:v>Djibouti</x:v>
      </x:c>
      <x:c r="B21" s="87" t="str">
        <x:v>DJI</x:v>
      </x:c>
      <x:c r="C21" s="87" t="str">
        <x:v>Horn of Africa</x:v>
      </x:c>
      <x:c r="D21" s="97" t="n">
        <x:v>11.8251</x:v>
      </x:c>
      <x:c r="E21" s="97" t="n">
        <x:v>42.5903</x:v>
      </x:c>
      <x:c r="F21" s="94" t="n">
        <x:f>IFERROR(ROUND(SUMPRODUCT((USA_Evidence_Log!$B$2:$B$500=$A21)*(USA_Evidence_Log!$E$2:$E$500=F$1)*(USA_Evidence_Log!$T$2:$T$500="Yes")*USA_Evidence_Log!$R$2:$R$500)/SUMPRODUCT((USA_Evidence_Log!$B$2:$B$500=$A21)*(USA_Evidence_Log!$E$2:$E$500=F$1)*(USA_Evidence_Log!$T$2:$T$500="Yes")*USA_Evidence_Log!$Q$2:$Q$500),1),0)</x:f>
        <x:v>4</x:v>
      </x:c>
      <x:c r="G21" s="94" t="n">
        <x:f>IFERROR(ROUND(SUMPRODUCT((USA_Evidence_Log!$B$2:$B$500=$A21)*(USA_Evidence_Log!$E$2:$E$500=G$1)*(USA_Evidence_Log!$T$2:$T$500="Yes")*USA_Evidence_Log!$R$2:$R$500)/SUMPRODUCT((USA_Evidence_Log!$B$2:$B$500=$A21)*(USA_Evidence_Log!$E$2:$E$500=G$1)*(USA_Evidence_Log!$T$2:$T$500="Yes")*USA_Evidence_Log!$Q$2:$Q$500),1),0)</x:f>
        <x:v>3</x:v>
      </x:c>
      <x:c r="H21" s="94" t="n">
        <x:f>IFERROR(ROUND(SUMPRODUCT((USA_Evidence_Log!$B$2:$B$500=$A21)*(USA_Evidence_Log!$E$2:$E$500=H$1)*(USA_Evidence_Log!$T$2:$T$500="Yes")*USA_Evidence_Log!$R$2:$R$500)/SUMPRODUCT((USA_Evidence_Log!$B$2:$B$500=$A21)*(USA_Evidence_Log!$E$2:$E$500=H$1)*(USA_Evidence_Log!$T$2:$T$500="Yes")*USA_Evidence_Log!$Q$2:$Q$500),1),0)</x:f>
        <x:v>2</x:v>
      </x:c>
      <x:c r="I21" s="94" t="n">
        <x:f>IFERROR(ROUND(SUMPRODUCT((USA_Evidence_Log!$B$2:$B$500=$A21)*(USA_Evidence_Log!$E$2:$E$500=I$1)*(USA_Evidence_Log!$T$2:$T$500="Yes")*USA_Evidence_Log!$R$2:$R$500)/SUMPRODUCT((USA_Evidence_Log!$B$2:$B$500=$A21)*(USA_Evidence_Log!$E$2:$E$500=I$1)*(USA_Evidence_Log!$T$2:$T$500="Yes")*USA_Evidence_Log!$Q$2:$Q$500),1),0)</x:f>
        <x:v>0</x:v>
      </x:c>
      <x:c r="J21" s="95" t="n">
        <x:f>ROUND(AVERAGE(F21:I21),2)</x:f>
        <x:v>2.25</x:v>
      </x:c>
      <x:c r="K21" s="94" t="str">
        <x:f>IF(J21&gt;=4.5,"Critical",IF(J21&gt;=3.5,"High",IF(J21&gt;=2.5,"Elevated",IF(J21&gt;=1.5,"Moderate",IF(J21&gt;0,"Low","No verified evidence")))))</x:f>
        <x:v>Moderate</x:v>
      </x:c>
      <x:c r="L21" s="94" t="n">
        <x:f>MAX(F21:I21)</x:f>
        <x:v>4</x:v>
      </x:c>
      <x:c r="M21" s="96" t="n">
        <x:f>IFERROR(ROUND(SUMPRODUCT((USA_Evidence_Log!$B$2:$B$500=$A21)*(USA_Evidence_Log!$T$2:$T$500="Yes")*USA_Evidence_Log!$P$2:$P$500)/SUMPRODUCT((USA_Evidence_Log!$B$2:$B$500=$A21)*(USA_Evidence_Log!$T$2:$T$500="Yes")),0),0)</x:f>
        <x:v>76</x:v>
      </x:c>
      <x:c r="N21" s="87" t="str">
        <x:f>IF(M21&gt;=80,"High",IF(M21&gt;=60,"Medium",IF(M21&gt;=40,"Low","Needs review")))</x:f>
        <x:v>Medium</x:v>
      </x:c>
      <x:c r="O21" s="87" t="str">
        <x:f>IF(AND(M21&gt;=60,COUNTIF(USA_Evidence_Log!$B$2:$B$500,$A21)&gt;=3),"Ready","Review")</x:f>
        <x:v>Ready</x:v>
      </x:c>
      <x:c r="P21" s="87" t="str">
        <x:f>IF(J21&gt;=4.5,"#A63603",IF(J21&gt;=3.5,"#F16913",IF(J21&gt;=2.5,"#FDAE6B",IF(J21&gt;=1.5,"#ADDD8E",IF(J21&gt;0,"#D9F0D3","#F2F2F2")))))</x:f>
        <x:v>#ADDD8E</x:v>
      </x:c>
      <x:c r="Q21" s="95" t="n">
        <x:f>IF(M21&gt;=80,1,IF(M21&gt;=60,0.75,IF(M21&gt;=40,0.45,0.25)))</x:f>
        <x:v>0.75</x:v>
      </x:c>
      <x:c r="R21" s="87" t="str">
        <x:v>High influence score due to Camp Lemonnier; contractor score reflects base operations/maintenance evidence, not armed PMC units.</x:v>
      </x:c>
      <x:c r="S21" s="87" t="str">
        <x:v>S020</x:v>
      </x:c>
      <x:c r="T21" s="132" t="n">
        <x:f>J21+ROW()/100000</x:f>
        <x:v>2.25021</x:v>
      </x:c>
    </x:row>
  </x:sheetData>
  <x:conditionalFormatting sqref="F2:J21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M2:M21">
    <x:cfRule type="dataBar" priority="2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{E443F90D-5BCC-A893-F110-A9ECB162E7EF}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a7911d80908462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443F90D-5BCC-A893-F110-A9ECB162E7EF}">
            <x14:dataBar gradient="1">
              <x14:cfvo type="min"/>
              <x14:cfvo type="max"/>
              <x14:fillColor rgb="2563EB"/>
            </x14:dataBar>
          </x14:cfRule>
          <xm:sqref>M2:M21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8" hidden="0" customWidth="1"/>
    <x:col min="4" max="4" width="22" hidden="0" customWidth="1"/>
    <x:col min="5" max="5" width="34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32" hidden="0" customWidth="1"/>
    <x:col min="11" max="11" width="5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70" hidden="0" customWidth="1"/>
    <x:col min="20" max="20" width="14" hidden="0" customWidth="1"/>
  </x:cols>
  <x:sheetData>
    <x:row r="1">
      <x:c r="A1" s="93" t="str">
        <x:v>Evidence_ID</x:v>
      </x:c>
      <x:c r="B1" s="93" t="str">
        <x:v>Country</x:v>
      </x:c>
      <x:c r="C1" s="93" t="str">
        <x:v>ISO3</x:v>
      </x:c>
      <x:c r="D1" s="93" t="str">
        <x:v>Region</x:v>
      </x:c>
      <x:c r="E1" s="93" t="str">
        <x:v>Factor</x:v>
      </x:c>
      <x:c r="F1" s="93" t="str">
        <x:v>Indicator</x:v>
      </x:c>
      <x:c r="G1" s="93" t="str">
        <x:v>Indicator_Score_0_5</x:v>
      </x:c>
      <x:c r="H1" s="93" t="str">
        <x:v>Indicator_Weight</x:v>
      </x:c>
      <x:c r="I1" s="93" t="str">
        <x:v>Source_Tier</x:v>
      </x:c>
      <x:c r="J1" s="93" t="str">
        <x:v>Source_Name</x:v>
      </x:c>
      <x:c r="K1" s="93" t="str">
        <x:v>Source_URL</x:v>
      </x:c>
      <x:c r="L1" s="93" t="str">
        <x:v>Evidence_Date</x:v>
      </x:c>
      <x:c r="M1" s="93" t="str">
        <x:v>Retrieved_Date</x:v>
      </x:c>
      <x:c r="N1" s="93" t="str">
        <x:v>Reliability_Weight</x:v>
      </x:c>
      <x:c r="O1" s="93" t="str">
        <x:v>Recency_Weight</x:v>
      </x:c>
      <x:c r="P1" s="93" t="str">
        <x:v>Confidence_0_100</x:v>
      </x:c>
      <x:c r="Q1" s="93" t="str">
        <x:v>Evidence_Weight</x:v>
      </x:c>
      <x:c r="R1" s="93" t="str">
        <x:v>Weighted_Score</x:v>
      </x:c>
      <x:c r="S1" s="93" t="str">
        <x:v>Analyst_Notes</x:v>
      </x:c>
      <x:c r="T1" s="93" t="str">
        <x:v>Include_in_Scoring</x:v>
      </x:c>
    </x:row>
    <x:row r="2">
      <x:c r="A2" s="87" t="str">
        <x:v>USA-E001</x:v>
      </x:c>
      <x:c r="B2" s="87" t="str">
        <x:v>Iraq</x:v>
      </x:c>
      <x:c r="C2" s="87" t="str">
        <x:v>IRQ</x:v>
      </x:c>
      <x:c r="D2" s="87" t="str">
        <x:v>Middle East / West Asia</x:v>
      </x:c>
      <x:c r="E2" s="87" t="str">
        <x:v>U.S. influence / leverage</x:v>
      </x:c>
      <x:c r="F2" s="87" t="str">
        <x:v>Military/security assistance, basing, sanctions or alliance leverage</x:v>
      </x:c>
      <x:c r="G2" s="94" t="n">
        <x:v>5</x:v>
      </x:c>
      <x:c r="H2" s="94" t="n">
        <x:v>1</x:v>
      </x:c>
      <x:c r="I2" s="87" t="str">
        <x:v>Tier 2</x:v>
      </x:c>
      <x:c r="J2" s="87" t="str">
        <x:v>CFR: U.S. Forces in the Middle East</x:v>
      </x:c>
      <x:c r="K2" s="87" t="str">
        <x:v>https://www.cfr.org/article/us-forces-middle-east-mapping-military-presence</x:v>
      </x:c>
      <x:c r="L2" s="87" t="str">
        <x:v>2024-10-01</x:v>
      </x:c>
      <x:c r="M2" s="87" t="str">
        <x:v>2026-05-18</x:v>
      </x:c>
      <x:c r="N2" s="95" t="n">
        <x:v>0.9</x:v>
      </x:c>
      <x:c r="O2" s="95" t="n">
        <x:v>1</x:v>
      </x:c>
      <x:c r="P2" s="96" t="n">
        <x:v>85</x:v>
      </x:c>
      <x:c r="Q2" s="95" t="n">
        <x:f>H2*N2*O2</x:f>
        <x:v>0.9</x:v>
      </x:c>
      <x:c r="R2" s="95" t="n">
        <x:f>G2*Q2</x:f>
        <x:v>4.5</x:v>
      </x:c>
      <x:c r="S2" s="87" t="str">
        <x:v>U.S. military presence and regional posture remain substantial; source notes Middle East footprint across more than a dozen countries.</x:v>
      </x:c>
      <x:c r="T2" s="87" t="str">
        <x:v>Yes</x:v>
      </x:c>
    </x:row>
    <x:row r="3">
      <x:c r="A3" s="87" t="str">
        <x:v>USA-E002</x:v>
      </x:c>
      <x:c r="B3" s="87" t="str">
        <x:v>Iraq</x:v>
      </x:c>
      <x:c r="C3" s="87" t="str">
        <x:v>IRQ</x:v>
      </x:c>
      <x:c r="D3" s="87" t="str">
        <x:v>Middle East / West Asia</x:v>
      </x:c>
      <x:c r="E3" s="87" t="str">
        <x:v>PMC / contractor presence</x:v>
      </x:c>
      <x:c r="F3" s="87" t="str">
        <x:v>Private military/security, contractor, logistics or base-support presence</x:v>
      </x:c>
      <x:c r="G3" s="94" t="n">
        <x:v>5</x:v>
      </x:c>
      <x:c r="H3" s="94" t="n">
        <x:v>1</x:v>
      </x:c>
      <x:c r="I3" s="87" t="str">
        <x:v>Tier 1</x:v>
      </x:c>
      <x:c r="J3" s="87" t="str">
        <x:v>DoD CENTCOM contractor report</x:v>
      </x:c>
      <x:c r="K3" s="87" t="str">
        <x:v>https://www.acq.osd.mil/asds/log/cso/ocs/docs/CENTCOM/FY24_4Q_5A_Oct2024.pdf</x:v>
      </x:c>
      <x:c r="L3" s="87" t="str">
        <x:v>2024-10-01</x:v>
      </x:c>
      <x:c r="M3" s="87" t="str">
        <x:v>2026-05-18</x:v>
      </x:c>
      <x:c r="N3" s="95" t="n">
        <x:v>1</x:v>
      </x:c>
      <x:c r="O3" s="95" t="n">
        <x:v>1</x:v>
      </x:c>
      <x:c r="P3" s="96" t="n">
        <x:v>85</x:v>
      </x:c>
      <x:c r="Q3" s="95" t="n">
        <x:f>H3*N3*O3</x:f>
        <x:v>1</x:v>
      </x:c>
      <x:c r="R3" s="95" t="n">
        <x:f>G3*Q3</x:f>
        <x:v>5</x:v>
      </x:c>
      <x:c r="S3" s="87" t="str">
        <x:v>DoD FY2024 Q4 reported 6,450 contractors in Iraq/Syria; CRS documents armed and unarmed security contractors in Iraq.</x:v>
      </x:c>
      <x:c r="T3" s="87" t="str">
        <x:v>Yes</x:v>
      </x:c>
    </x:row>
    <x:row r="4">
      <x:c r="A4" s="87" t="str">
        <x:v>USA-E003</x:v>
      </x:c>
      <x:c r="B4" s="87" t="str">
        <x:v>Iraq</x:v>
      </x:c>
      <x:c r="C4" s="87" t="str">
        <x:v>IRQ</x:v>
      </x:c>
      <x:c r="D4" s="87" t="str">
        <x:v>Middle East / West Asia</x:v>
      </x:c>
      <x:c r="E4" s="87" t="str">
        <x:v>U.S.-backed information ecosystem</x:v>
      </x:c>
      <x:c r="F4" s="87" t="str">
        <x:v>U.S.-funded international media, democracy media, anti-censorship, or political communication ecosystem</x:v>
      </x:c>
      <x:c r="G4" s="94" t="n">
        <x:v>4</x:v>
      </x:c>
      <x:c r="H4" s="94" t="n">
        <x:v>1</x:v>
      </x:c>
      <x:c r="I4" s="87" t="str">
        <x:v>Tier 1</x:v>
      </x:c>
      <x:c r="J4" s="87" t="str">
        <x:v>USAGM FY2024 audience report</x:v>
      </x:c>
      <x:c r="K4" s="87" t="str">
        <x:v>https://www.usagm.gov/2025/01/17/usagm-networks-reached-record-global-audience-in-fy-2024-according-to-new-report/</x:v>
      </x:c>
      <x:c r="L4" s="87" t="str">
        <x:v>2024-10-01</x:v>
      </x:c>
      <x:c r="M4" s="87" t="str">
        <x:v>2026-05-18</x:v>
      </x:c>
      <x:c r="N4" s="95" t="n">
        <x:v>1</x:v>
      </x:c>
      <x:c r="O4" s="95" t="n">
        <x:v>1</x:v>
      </x:c>
      <x:c r="P4" s="96" t="n">
        <x:v>80</x:v>
      </x:c>
      <x:c r="Q4" s="95" t="n">
        <x:f>H4*N4*O4</x:f>
        <x:v>1</x:v>
      </x:c>
      <x:c r="R4" s="95" t="n">
        <x:f>G4*Q4</x:f>
        <x:v>4</x:v>
      </x:c>
      <x:c r="S4" s="87" t="str">
        <x:v>USAGM/MBN and VOA ecosystems operate in Arabic/Kurdish regional information environments; Iraq is listed as a large USAGM audience country.</x:v>
      </x:c>
      <x:c r="T4" s="87" t="str">
        <x:v>Yes</x:v>
      </x:c>
    </x:row>
    <x:row r="5">
      <x:c r="A5" s="87" t="str">
        <x:v>USA-E004</x:v>
      </x:c>
      <x:c r="B5" s="87" t="str">
        <x:v>Iraq</x:v>
      </x:c>
      <x:c r="C5" s="87" t="str">
        <x:v>IRQ</x:v>
      </x:c>
      <x:c r="D5" s="87" t="str">
        <x:v>Middle East / West Asia</x:v>
      </x:c>
      <x:c r="E5" s="87" t="str">
        <x:v>Election / political-transition interference</x:v>
      </x:c>
      <x:c r="F5" s="87" t="str">
        <x:v>Verified election, opposition, political-transition or regime-change interference/pressure</x:v>
      </x:c>
      <x:c r="G5" s="94" t="n">
        <x:v>2</x:v>
      </x:c>
      <x:c r="H5" s="94" t="n">
        <x:v>1</x:v>
      </x:c>
      <x:c r="I5" s="87" t="str">
        <x:v>Tier 2</x:v>
      </x:c>
      <x:c r="J5" s="87" t="str">
        <x:v>CFR election interference report</x:v>
      </x:c>
      <x:c r="K5" s="87" t="str">
        <x:v>https://www.cfr.org/reports/banning-covert-foreign-election-interference</x:v>
      </x:c>
      <x:c r="L5" s="87" t="str">
        <x:v>2024-10-01</x:v>
      </x:c>
      <x:c r="M5" s="87" t="str">
        <x:v>2026-05-18</x:v>
      </x:c>
      <x:c r="N5" s="95" t="n">
        <x:v>0.9</x:v>
      </x:c>
      <x:c r="O5" s="95" t="n">
        <x:v>1</x:v>
      </x:c>
      <x:c r="P5" s="96" t="n">
        <x:v>70</x:v>
      </x:c>
      <x:c r="Q5" s="95" t="n">
        <x:f>H5*N5*O5</x:f>
        <x:v>0.9</x:v>
      </x:c>
      <x:c r="R5" s="95" t="n">
        <x:f>G5*Q5</x:f>
        <x:v>1.8</x:v>
      </x:c>
      <x:c r="S5" s="87" t="str">
        <x:v>Score reflects post-2003 political/electoral influence; selected sources do not verify current direct ballot manipulation.</x:v>
      </x:c>
      <x:c r="T5" s="87" t="str">
        <x:v>Yes</x:v>
      </x:c>
    </x:row>
    <x:row r="6">
      <x:c r="A6" s="87" t="str">
        <x:v>USA-E005</x:v>
      </x:c>
      <x:c r="B6" s="87" t="str">
        <x:v>Syria</x:v>
      </x:c>
      <x:c r="C6" s="87" t="str">
        <x:v>SYR</x:v>
      </x:c>
      <x:c r="D6" s="87" t="str">
        <x:v>Middle East / West Asia</x:v>
      </x:c>
      <x:c r="E6" s="87" t="str">
        <x:v>U.S. influence / leverage</x:v>
      </x:c>
      <x:c r="F6" s="87" t="str">
        <x:v>Military/security assistance, basing, sanctions or alliance leverage</x:v>
      </x:c>
      <x:c r="G6" s="94" t="n">
        <x:v>4</x:v>
      </x:c>
      <x:c r="H6" s="94" t="n">
        <x:v>1</x:v>
      </x:c>
      <x:c r="I6" s="87" t="str">
        <x:v>Tier 2</x:v>
      </x:c>
      <x:c r="J6" s="87" t="str">
        <x:v>CFR: U.S. Forces in the Middle East</x:v>
      </x:c>
      <x:c r="K6" s="87" t="str">
        <x:v>https://www.cfr.org/article/us-forces-middle-east-mapping-military-presence</x:v>
      </x:c>
      <x:c r="L6" s="87" t="str">
        <x:v>2024-10-01</x:v>
      </x:c>
      <x:c r="M6" s="87" t="str">
        <x:v>2026-05-18</x:v>
      </x:c>
      <x:c r="N6" s="95" t="n">
        <x:v>0.9</x:v>
      </x:c>
      <x:c r="O6" s="95" t="n">
        <x:v>1</x:v>
      </x:c>
      <x:c r="P6" s="96" t="n">
        <x:v>85</x:v>
      </x:c>
      <x:c r="Q6" s="95" t="n">
        <x:f>H6*N6*O6</x:f>
        <x:v>0.9</x:v>
      </x:c>
      <x:c r="R6" s="95" t="n">
        <x:f>G6*Q6</x:f>
        <x:v>3.6</x:v>
      </x:c>
      <x:c r="S6" s="87" t="str">
        <x:v>Score reflects counter-ISIS posture and U.S. military presence in regional conflict environment.</x:v>
      </x:c>
      <x:c r="T6" s="87" t="str">
        <x:v>Yes</x:v>
      </x:c>
    </x:row>
    <x:row r="7">
      <x:c r="A7" s="87" t="str">
        <x:v>USA-E006</x:v>
      </x:c>
      <x:c r="B7" s="87" t="str">
        <x:v>Syria</x:v>
      </x:c>
      <x:c r="C7" s="87" t="str">
        <x:v>SYR</x:v>
      </x:c>
      <x:c r="D7" s="87" t="str">
        <x:v>Middle East / West Asia</x:v>
      </x:c>
      <x:c r="E7" s="87" t="str">
        <x:v>PMC / contractor presence</x:v>
      </x:c>
      <x:c r="F7" s="87" t="str">
        <x:v>Private military/security, contractor, logistics or base-support presence</x:v>
      </x:c>
      <x:c r="G7" s="94" t="n">
        <x:v>4</x:v>
      </x:c>
      <x:c r="H7" s="94" t="n">
        <x:v>1</x:v>
      </x:c>
      <x:c r="I7" s="87" t="str">
        <x:v>Tier 1</x:v>
      </x:c>
      <x:c r="J7" s="87" t="str">
        <x:v>DoD CENTCOM contractor report</x:v>
      </x:c>
      <x:c r="K7" s="87" t="str">
        <x:v>https://www.acq.osd.mil/asds/log/cso/ocs/docs/CENTCOM/FY24_4Q_5A_Oct2024.pdf</x:v>
      </x:c>
      <x:c r="L7" s="87" t="str">
        <x:v>2024-10-01</x:v>
      </x:c>
      <x:c r="M7" s="87" t="str">
        <x:v>2026-05-18</x:v>
      </x:c>
      <x:c r="N7" s="95" t="n">
        <x:v>1</x:v>
      </x:c>
      <x:c r="O7" s="95" t="n">
        <x:v>1</x:v>
      </x:c>
      <x:c r="P7" s="96" t="n">
        <x:v>85</x:v>
      </x:c>
      <x:c r="Q7" s="95" t="n">
        <x:f>H7*N7*O7</x:f>
        <x:v>1</x:v>
      </x:c>
      <x:c r="R7" s="95" t="n">
        <x:f>G7*Q7</x:f>
        <x:v>4</x:v>
      </x:c>
      <x:c r="S7" s="87" t="str">
        <x:v>DoD contractor data reports Iraq/Syria as a grouped category; armed-security specificity is not separated by country.</x:v>
      </x:c>
      <x:c r="T7" s="87" t="str">
        <x:v>Yes</x:v>
      </x:c>
    </x:row>
    <x:row r="8">
      <x:c r="A8" s="87" t="str">
        <x:v>USA-E007</x:v>
      </x:c>
      <x:c r="B8" s="87" t="str">
        <x:v>Syria</x:v>
      </x:c>
      <x:c r="C8" s="87" t="str">
        <x:v>SYR</x:v>
      </x:c>
      <x:c r="D8" s="87" t="str">
        <x:v>Middle East / West Asia</x:v>
      </x:c>
      <x:c r="E8" s="87" t="str">
        <x:v>U.S.-backed information ecosystem</x:v>
      </x:c>
      <x:c r="F8" s="87" t="str">
        <x:v>U.S.-funded international media, democracy media, anti-censorship, or political communication ecosystem</x:v>
      </x:c>
      <x:c r="G8" s="94" t="n">
        <x:v>3</x:v>
      </x:c>
      <x:c r="H8" s="94" t="n">
        <x:v>1</x:v>
      </x:c>
      <x:c r="I8" s="87" t="str">
        <x:v>Tier 1</x:v>
      </x:c>
      <x:c r="J8" s="87" t="str">
        <x:v>USAGM Our Work</x:v>
      </x:c>
      <x:c r="K8" s="87" t="str">
        <x:v>https://www.usagm.gov/our-work/</x:v>
      </x:c>
      <x:c r="L8" s="87" t="str">
        <x:v>2024-10-01</x:v>
      </x:c>
      <x:c r="M8" s="87" t="str">
        <x:v>2026-05-18</x:v>
      </x:c>
      <x:c r="N8" s="95" t="n">
        <x:v>1</x:v>
      </x:c>
      <x:c r="O8" s="95" t="n">
        <x:v>1</x:v>
      </x:c>
      <x:c r="P8" s="96" t="n">
        <x:v>80</x:v>
      </x:c>
      <x:c r="Q8" s="95" t="n">
        <x:f>H8*N8*O8</x:f>
        <x:v>1</x:v>
      </x:c>
      <x:c r="R8" s="95" t="n">
        <x:f>G8*Q8</x:f>
        <x:v>3</x:v>
      </x:c>
      <x:c r="S8" s="87" t="str">
        <x:v>Regional U.S.-funded Arabic-language media and anti-censorship infrastructure are relevant but not dominant.</x:v>
      </x:c>
      <x:c r="T8" s="87" t="str">
        <x:v>Yes</x:v>
      </x:c>
    </x:row>
    <x:row r="9">
      <x:c r="A9" s="87" t="str">
        <x:v>USA-E008</x:v>
      </x:c>
      <x:c r="B9" s="87" t="str">
        <x:v>Syria</x:v>
      </x:c>
      <x:c r="C9" s="87" t="str">
        <x:v>SYR</x:v>
      </x:c>
      <x:c r="D9" s="87" t="str">
        <x:v>Middle East / West Asia</x:v>
      </x:c>
      <x:c r="E9" s="87" t="str">
        <x:v>Election / political-transition interference</x:v>
      </x:c>
      <x:c r="F9" s="87" t="str">
        <x:v>Verified election, opposition, political-transition or regime-change interference/pressure</x:v>
      </x:c>
      <x:c r="G9" s="94" t="n">
        <x:v>1</x:v>
      </x:c>
      <x:c r="H9" s="94" t="n">
        <x:v>1</x:v>
      </x:c>
      <x:c r="I9" s="87" t="str">
        <x:v>Tier 2</x:v>
      </x:c>
      <x:c r="J9" s="87" t="str">
        <x:v>CFR election interference report</x:v>
      </x:c>
      <x:c r="K9" s="87" t="str">
        <x:v>https://www.cfr.org/reports/banning-covert-foreign-election-interference</x:v>
      </x:c>
      <x:c r="L9" s="87" t="str">
        <x:v>2024-10-01</x:v>
      </x:c>
      <x:c r="M9" s="87" t="str">
        <x:v>2026-05-18</x:v>
      </x:c>
      <x:c r="N9" s="95" t="n">
        <x:v>0.9</x:v>
      </x:c>
      <x:c r="O9" s="95" t="n">
        <x:v>1</x:v>
      </x:c>
      <x:c r="P9" s="96" t="n">
        <x:v>65</x:v>
      </x:c>
      <x:c r="Q9" s="95" t="n">
        <x:f>H9*N9*O9</x:f>
        <x:v>0.9</x:v>
      </x:c>
      <x:c r="R9" s="95" t="n">
        <x:f>G9*Q9</x:f>
        <x:v>0.9</x:v>
      </x:c>
      <x:c r="S9" s="87" t="str">
        <x:v>No selected-source evidence of direct current U.S. election manipulation; score limited to political-transition pressure context.</x:v>
      </x:c>
      <x:c r="T9" s="87" t="str">
        <x:v>Yes</x:v>
      </x:c>
    </x:row>
    <x:row r="10">
      <x:c r="A10" s="87" t="str">
        <x:v>USA-E009</x:v>
      </x:c>
      <x:c r="B10" s="87" t="str">
        <x:v>Afghanistan</x:v>
      </x:c>
      <x:c r="C10" s="87" t="str">
        <x:v>AFG</x:v>
      </x:c>
      <x:c r="D10" s="87" t="str">
        <x:v>Central Asia / South Asia</x:v>
      </x:c>
      <x:c r="E10" s="87" t="str">
        <x:v>U.S. influence / leverage</x:v>
      </x:c>
      <x:c r="F10" s="87" t="str">
        <x:v>Military/security assistance, basing, sanctions or alliance leverage</x:v>
      </x:c>
      <x:c r="G10" s="94" t="n">
        <x:v>4</x:v>
      </x:c>
      <x:c r="H10" s="94" t="n">
        <x:v>1</x:v>
      </x:c>
      <x:c r="I10" s="87" t="str">
        <x:v>Tier 1</x:v>
      </x:c>
      <x:c r="J10" s="87" t="str">
        <x:v>CRS Afghanistan drawdown FAQ</x:v>
      </x:c>
      <x:c r="K10" s="87" t="str">
        <x:v>https://www.everycrsreport.com/reports/R46670.html</x:v>
      </x:c>
      <x:c r="L10" s="87" t="str">
        <x:v>2021-01-01</x:v>
      </x:c>
      <x:c r="M10" s="87" t="str">
        <x:v>2026-05-18</x:v>
      </x:c>
      <x:c r="N10" s="95" t="n">
        <x:v>1</x:v>
      </x:c>
      <x:c r="O10" s="95" t="n">
        <x:v>0.75</x:v>
      </x:c>
      <x:c r="P10" s="96" t="n">
        <x:v>75</x:v>
      </x:c>
      <x:c r="Q10" s="95" t="n">
        <x:f>H10*N10*O10</x:f>
        <x:v>0.75</x:v>
      </x:c>
      <x:c r="R10" s="95" t="n">
        <x:f>G10*Q10</x:f>
        <x:v>3</x:v>
      </x:c>
      <x:c r="S10" s="87" t="str">
        <x:v>Legacy high score from 2001-2021 U.S.-led intervention and reconstruction; current direct footprint is lower.</x:v>
      </x:c>
      <x:c r="T10" s="87" t="str">
        <x:v>Yes</x:v>
      </x:c>
    </x:row>
    <x:row r="11">
      <x:c r="A11" s="87" t="str">
        <x:v>USA-E010</x:v>
      </x:c>
      <x:c r="B11" s="87" t="str">
        <x:v>Afghanistan</x:v>
      </x:c>
      <x:c r="C11" s="87" t="str">
        <x:v>AFG</x:v>
      </x:c>
      <x:c r="D11" s="87" t="str">
        <x:v>Central Asia / South Asia</x:v>
      </x:c>
      <x:c r="E11" s="87" t="str">
        <x:v>PMC / contractor presence</x:v>
      </x:c>
      <x:c r="F11" s="87" t="str">
        <x:v>Private military/security, contractor, logistics or base-support presence</x:v>
      </x:c>
      <x:c r="G11" s="94" t="n">
        <x:v>5</x:v>
      </x:c>
      <x:c r="H11" s="94" t="n">
        <x:v>1</x:v>
      </x:c>
      <x:c r="I11" s="87" t="str">
        <x:v>Tier 1</x:v>
      </x:c>
      <x:c r="J11" s="87" t="str">
        <x:v>CRS Afghanistan drawdown FAQ</x:v>
      </x:c>
      <x:c r="K11" s="87" t="str">
        <x:v>https://www.everycrsreport.com/reports/R46670.html</x:v>
      </x:c>
      <x:c r="L11" s="87" t="str">
        <x:v>2021-01-01</x:v>
      </x:c>
      <x:c r="M11" s="87" t="str">
        <x:v>2026-05-18</x:v>
      </x:c>
      <x:c r="N11" s="95" t="n">
        <x:v>1</x:v>
      </x:c>
      <x:c r="O11" s="95" t="n">
        <x:v>0.75</x:v>
      </x:c>
      <x:c r="P11" s="96" t="n">
        <x:v>75</x:v>
      </x:c>
      <x:c r="Q11" s="95" t="n">
        <x:f>H11*N11*O11</x:f>
        <x:v>0.75</x:v>
      </x:c>
      <x:c r="R11" s="95" t="n">
        <x:f>G11*Q11</x:f>
        <x:v>3.75</x:v>
      </x:c>
      <x:c r="S11" s="87" t="str">
        <x:v>CRS reported 18,214 DoD contractors and 2,920 private security contractors in Afghanistan in FY2021 Q1.</x:v>
      </x:c>
      <x:c r="T11" s="87" t="str">
        <x:v>Yes</x:v>
      </x:c>
    </x:row>
    <x:row r="12">
      <x:c r="A12" s="87" t="str">
        <x:v>USA-E011</x:v>
      </x:c>
      <x:c r="B12" s="87" t="str">
        <x:v>Afghanistan</x:v>
      </x:c>
      <x:c r="C12" s="87" t="str">
        <x:v>AFG</x:v>
      </x:c>
      <x:c r="D12" s="87" t="str">
        <x:v>Central Asia / South Asia</x:v>
      </x:c>
      <x:c r="E12" s="87" t="str">
        <x:v>U.S.-backed information ecosystem</x:v>
      </x:c>
      <x:c r="F12" s="87" t="str">
        <x:v>U.S.-funded international media, democracy media, anti-censorship, or political communication ecosystem</x:v>
      </x:c>
      <x:c r="G12" s="94" t="n">
        <x:v>4</x:v>
      </x:c>
      <x:c r="H12" s="94" t="n">
        <x:v>1</x:v>
      </x:c>
      <x:c r="I12" s="87" t="str">
        <x:v>Tier 1</x:v>
      </x:c>
      <x:c r="J12" s="87" t="str">
        <x:v>USAGM Our Work</x:v>
      </x:c>
      <x:c r="K12" s="87" t="str">
        <x:v>https://www.usagm.gov/our-work/</x:v>
      </x:c>
      <x:c r="L12" s="87" t="str">
        <x:v>2021-01-01</x:v>
      </x:c>
      <x:c r="M12" s="87" t="str">
        <x:v>2026-05-18</x:v>
      </x:c>
      <x:c r="N12" s="95" t="n">
        <x:v>1</x:v>
      </x:c>
      <x:c r="O12" s="95" t="n">
        <x:v>0.75</x:v>
      </x:c>
      <x:c r="P12" s="96" t="n">
        <x:v>75</x:v>
      </x:c>
      <x:c r="Q12" s="95" t="n">
        <x:f>H12*N12*O12</x:f>
        <x:v>0.75</x:v>
      </x:c>
      <x:c r="R12" s="95" t="n">
        <x:f>G12*Q12</x:f>
        <x:v>3</x:v>
      </x:c>
      <x:c r="S12" s="87" t="str">
        <x:v>USAGM/NED/VOA activity and media-support networks were significant during and after the intervention period.</x:v>
      </x:c>
      <x:c r="T12" s="87" t="str">
        <x:v>Yes</x:v>
      </x:c>
    </x:row>
    <x:row r="13">
      <x:c r="A13" s="87" t="str">
        <x:v>USA-E012</x:v>
      </x:c>
      <x:c r="B13" s="87" t="str">
        <x:v>Afghanistan</x:v>
      </x:c>
      <x:c r="C13" s="87" t="str">
        <x:v>AFG</x:v>
      </x:c>
      <x:c r="D13" s="87" t="str">
        <x:v>Central Asia / South Asia</x:v>
      </x:c>
      <x:c r="E13" s="87" t="str">
        <x:v>Election / political-transition interference</x:v>
      </x:c>
      <x:c r="F13" s="87" t="str">
        <x:v>Verified election, opposition, political-transition or regime-change interference/pressure</x:v>
      </x:c>
      <x:c r="G13" s="94" t="n">
        <x:v>3</x:v>
      </x:c>
      <x:c r="H13" s="94" t="n">
        <x:v>1</x:v>
      </x:c>
      <x:c r="I13" s="87" t="str">
        <x:v>Tier 2</x:v>
      </x:c>
      <x:c r="J13" s="87" t="str">
        <x:v>CFR election interference report</x:v>
      </x:c>
      <x:c r="K13" s="87" t="str">
        <x:v>https://www.cfr.org/reports/banning-covert-foreign-election-interference</x:v>
      </x:c>
      <x:c r="L13" s="87" t="str">
        <x:v>2021-01-01</x:v>
      </x:c>
      <x:c r="M13" s="87" t="str">
        <x:v>2026-05-18</x:v>
      </x:c>
      <x:c r="N13" s="95" t="n">
        <x:v>0.9</x:v>
      </x:c>
      <x:c r="O13" s="95" t="n">
        <x:v>0.75</x:v>
      </x:c>
      <x:c r="P13" s="96" t="n">
        <x:v>65</x:v>
      </x:c>
      <x:c r="Q13" s="95" t="n">
        <x:f>H13*N13*O13</x:f>
        <x:v>0.675</x:v>
      </x:c>
      <x:c r="R13" s="95" t="n">
        <x:f>G13*Q13</x:f>
        <x:v>2.0250000000000004</x:v>
      </x:c>
      <x:c r="S13" s="87" t="str">
        <x:v>Score reflects U.S.-built post-2001 political/election architecture, not a claim of hidden current ballot manipulation.</x:v>
      </x:c>
      <x:c r="T13" s="87" t="str">
        <x:v>Yes</x:v>
      </x:c>
    </x:row>
    <x:row r="14">
      <x:c r="A14" s="87" t="str">
        <x:v>USA-E013</x:v>
      </x:c>
      <x:c r="B14" s="87" t="str">
        <x:v>Ukraine</x:v>
      </x:c>
      <x:c r="C14" s="87" t="str">
        <x:v>UKR</x:v>
      </x:c>
      <x:c r="D14" s="87" t="str">
        <x:v>Eastern Europe</x:v>
      </x:c>
      <x:c r="E14" s="87" t="str">
        <x:v>U.S. influence / leverage</x:v>
      </x:c>
      <x:c r="F14" s="87" t="str">
        <x:v>Military/security assistance, basing, sanctions or alliance leverage</x:v>
      </x:c>
      <x:c r="G14" s="94" t="n">
        <x:v>5</x:v>
      </x:c>
      <x:c r="H14" s="94" t="n">
        <x:v>1</x:v>
      </x:c>
      <x:c r="I14" s="87" t="str">
        <x:v>Tier 1</x:v>
      </x:c>
      <x:c r="J14" s="87" t="str">
        <x:v>CRS U.S. Security Assistance to Ukraine</x:v>
      </x:c>
      <x:c r="K14" s="87" t="str">
        <x:v>https://www.congress.gov/crs-products/product/pdf/IF/IF12040/20</x:v>
      </x:c>
      <x:c r="L14" s="87" t="str">
        <x:v>2024-05-22</x:v>
      </x:c>
      <x:c r="M14" s="87" t="str">
        <x:v>2026-05-18</x:v>
      </x:c>
      <x:c r="N14" s="95" t="n">
        <x:v>1</x:v>
      </x:c>
      <x:c r="O14" s="95" t="n">
        <x:v>1</x:v>
      </x:c>
      <x:c r="P14" s="96" t="n">
        <x:v>85</x:v>
      </x:c>
      <x:c r="Q14" s="95" t="n">
        <x:f>H14*N14*O14</x:f>
        <x:v>1</x:v>
      </x:c>
      <x:c r="R14" s="95" t="n">
        <x:f>G14*Q14</x:f>
        <x:v>5</x:v>
      </x:c>
      <x:c r="S14" s="87" t="str">
        <x:v>Large overt U.S. security/financial assistance after Russia's 2022 full-scale invasion creates high leverage/partnership score.</x:v>
      </x:c>
      <x:c r="T14" s="87" t="str">
        <x:v>Yes</x:v>
      </x:c>
    </x:row>
    <x:row r="15">
      <x:c r="A15" s="87" t="str">
        <x:v>USA-E014</x:v>
      </x:c>
      <x:c r="B15" s="87" t="str">
        <x:v>Ukraine</x:v>
      </x:c>
      <x:c r="C15" s="87" t="str">
        <x:v>UKR</x:v>
      </x:c>
      <x:c r="D15" s="87" t="str">
        <x:v>Eastern Europe</x:v>
      </x:c>
      <x:c r="E15" s="87" t="str">
        <x:v>PMC / contractor presence</x:v>
      </x:c>
      <x:c r="F15" s="87" t="str">
        <x:v>Private military/security, contractor, logistics or base-support presence</x:v>
      </x:c>
      <x:c r="G15" s="94" t="n">
        <x:v>2</x:v>
      </x:c>
      <x:c r="H15" s="94" t="n">
        <x:v>1</x:v>
      </x:c>
      <x:c r="I15" s="87" t="str">
        <x:v>Tier 1</x:v>
      </x:c>
      <x:c r="J15" s="87" t="str">
        <x:v>GAO Ukraine response</x:v>
      </x:c>
      <x:c r="K15" s="87" t="str">
        <x:v>https://www.gao.gov/products/gao-24-107232</x:v>
      </x:c>
      <x:c r="L15" s="87" t="str">
        <x:v>2024-05-22</x:v>
      </x:c>
      <x:c r="M15" s="87" t="str">
        <x:v>2026-05-18</x:v>
      </x:c>
      <x:c r="N15" s="95" t="n">
        <x:v>1</x:v>
      </x:c>
      <x:c r="O15" s="95" t="n">
        <x:v>1</x:v>
      </x:c>
      <x:c r="P15" s="96" t="n">
        <x:v>70</x:v>
      </x:c>
      <x:c r="Q15" s="95" t="n">
        <x:f>H15*N15*O15</x:f>
        <x:v>1</x:v>
      </x:c>
      <x:c r="R15" s="95" t="n">
        <x:f>G15*Q15</x:f>
        <x:v>2</x:v>
      </x:c>
      <x:c r="S15" s="87" t="str">
        <x:v>Contractor/industry support exists but selected sources do not document a mass U.S. PMC/security-contractor footprint comparable to Iraq/Afghanistan.</x:v>
      </x:c>
      <x:c r="T15" s="87" t="str">
        <x:v>Yes</x:v>
      </x:c>
    </x:row>
    <x:row r="16">
      <x:c r="A16" s="87" t="str">
        <x:v>USA-E015</x:v>
      </x:c>
      <x:c r="B16" s="87" t="str">
        <x:v>Ukraine</x:v>
      </x:c>
      <x:c r="C16" s="87" t="str">
        <x:v>UKR</x:v>
      </x:c>
      <x:c r="D16" s="87" t="str">
        <x:v>Eastern Europe</x:v>
      </x:c>
      <x:c r="E16" s="87" t="str">
        <x:v>U.S.-backed information ecosystem</x:v>
      </x:c>
      <x:c r="F16" s="87" t="str">
        <x:v>U.S.-funded international media, democracy media, anti-censorship, or political communication ecosystem</x:v>
      </x:c>
      <x:c r="G16" s="94" t="n">
        <x:v>4</x:v>
      </x:c>
      <x:c r="H16" s="94" t="n">
        <x:v>1</x:v>
      </x:c>
      <x:c r="I16" s="87" t="str">
        <x:v>Tier 1</x:v>
      </x:c>
      <x:c r="J16" s="87" t="str">
        <x:v>USAGM FY2024 audience report</x:v>
      </x:c>
      <x:c r="K16" s="87" t="str">
        <x:v>https://www.usagm.gov/2025/01/17/usagm-networks-reached-record-global-audience-in-fy-2024-according-to-new-report/</x:v>
      </x:c>
      <x:c r="L16" s="87" t="str">
        <x:v>2024-05-22</x:v>
      </x:c>
      <x:c r="M16" s="87" t="str">
        <x:v>2026-05-18</x:v>
      </x:c>
      <x:c r="N16" s="95" t="n">
        <x:v>1</x:v>
      </x:c>
      <x:c r="O16" s="95" t="n">
        <x:v>1</x:v>
      </x:c>
      <x:c r="P16" s="96" t="n">
        <x:v>80</x:v>
      </x:c>
      <x:c r="Q16" s="95" t="n">
        <x:f>H16*N16*O16</x:f>
        <x:v>1</x:v>
      </x:c>
      <x:c r="R16" s="95" t="n">
        <x:f>G16*Q16</x:f>
        <x:v>4</x:v>
      </x:c>
      <x:c r="S16" s="87" t="str">
        <x:v>USAGM reports substantial Ukrainian adult audience reach through RFE/RL and VOA.</x:v>
      </x:c>
      <x:c r="T16" s="87" t="str">
        <x:v>Yes</x:v>
      </x:c>
    </x:row>
    <x:row r="17">
      <x:c r="A17" s="87" t="str">
        <x:v>USA-E016</x:v>
      </x:c>
      <x:c r="B17" s="87" t="str">
        <x:v>Ukraine</x:v>
      </x:c>
      <x:c r="C17" s="87" t="str">
        <x:v>UKR</x:v>
      </x:c>
      <x:c r="D17" s="87" t="str">
        <x:v>Eastern Europe</x:v>
      </x:c>
      <x:c r="E17" s="87" t="str">
        <x:v>Election / political-transition interference</x:v>
      </x:c>
      <x:c r="F17" s="87" t="str">
        <x:v>Verified election, opposition, political-transition or regime-change interference/pressure</x:v>
      </x:c>
      <x:c r="G17" s="94" t="n">
        <x:v>1</x:v>
      </x:c>
      <x:c r="H17" s="94" t="n">
        <x:v>1</x:v>
      </x:c>
      <x:c r="I17" s="87" t="str">
        <x:v>Tier 1/2</x:v>
      </x:c>
      <x:c r="J17" s="87" t="str">
        <x:v>NED Grantmaking</x:v>
      </x:c>
      <x:c r="K17" s="87" t="str">
        <x:v>https://www.ned.org/ned-grantmaking/</x:v>
      </x:c>
      <x:c r="L17" s="87" t="str">
        <x:v>2024-05-22</x:v>
      </x:c>
      <x:c r="M17" s="87" t="str">
        <x:v>2026-05-18</x:v>
      </x:c>
      <x:c r="N17" s="95" t="n">
        <x:v>1</x:v>
      </x:c>
      <x:c r="O17" s="95" t="n">
        <x:v>1</x:v>
      </x:c>
      <x:c r="P17" s="96" t="n">
        <x:v>65</x:v>
      </x:c>
      <x:c r="Q17" s="95" t="n">
        <x:f>H17*N17*O17</x:f>
        <x:v>1</x:v>
      </x:c>
      <x:c r="R17" s="95" t="n">
        <x:f>G17*Q17</x:f>
        <x:v>1</x:v>
      </x:c>
      <x:c r="S17" s="87" t="str">
        <x:v>Democracy assistance/media support is not coded as interference without verified manipulation.</x:v>
      </x:c>
      <x:c r="T17" s="87" t="str">
        <x:v>Yes</x:v>
      </x:c>
    </x:row>
    <x:row r="18">
      <x:c r="A18" s="87" t="str">
        <x:v>USA-E017</x:v>
      </x:c>
      <x:c r="B18" s="87" t="str">
        <x:v>Israel</x:v>
      </x:c>
      <x:c r="C18" s="87" t="str">
        <x:v>ISR</x:v>
      </x:c>
      <x:c r="D18" s="87" t="str">
        <x:v>Middle East / West Asia</x:v>
      </x:c>
      <x:c r="E18" s="87" t="str">
        <x:v>U.S. influence / leverage</x:v>
      </x:c>
      <x:c r="F18" s="87" t="str">
        <x:v>Military/security assistance, basing, sanctions or alliance leverage</x:v>
      </x:c>
      <x:c r="G18" s="94" t="n">
        <x:v>5</x:v>
      </x:c>
      <x:c r="H18" s="94" t="n">
        <x:v>1</x:v>
      </x:c>
      <x:c r="I18" s="87" t="str">
        <x:v>Tier 1</x:v>
      </x:c>
      <x:c r="J18" s="87" t="str">
        <x:v>CRS U.S. Foreign Aid to Israel</x:v>
      </x:c>
      <x:c r="K18" s="87" t="str">
        <x:v>https://www.congress.gov/crs-product/RL33222</x:v>
      </x:c>
      <x:c r="L18" s="87" t="str">
        <x:v>2025-05-28</x:v>
      </x:c>
      <x:c r="M18" s="87" t="str">
        <x:v>2026-05-18</x:v>
      </x:c>
      <x:c r="N18" s="95" t="n">
        <x:v>1</x:v>
      </x:c>
      <x:c r="O18" s="95" t="n">
        <x:v>1</x:v>
      </x:c>
      <x:c r="P18" s="96" t="n">
        <x:v>85</x:v>
      </x:c>
      <x:c r="Q18" s="95" t="n">
        <x:f>H18*N18*O18</x:f>
        <x:v>1</x:v>
      </x:c>
      <x:c r="R18" s="95" t="n">
        <x:f>G18*Q18</x:f>
        <x:v>5</x:v>
      </x:c>
      <x:c r="S18" s="87" t="str">
        <x:v>CRS identifies Israel as the largest cumulative recipient of U.S. foreign assistance since WWII, including major military assistance.</x:v>
      </x:c>
      <x:c r="T18" s="87" t="str">
        <x:v>Yes</x:v>
      </x:c>
    </x:row>
    <x:row r="19">
      <x:c r="A19" s="87" t="str">
        <x:v>USA-E018</x:v>
      </x:c>
      <x:c r="B19" s="87" t="str">
        <x:v>Israel</x:v>
      </x:c>
      <x:c r="C19" s="87" t="str">
        <x:v>ISR</x:v>
      </x:c>
      <x:c r="D19" s="87" t="str">
        <x:v>Middle East / West Asia</x:v>
      </x:c>
      <x:c r="E19" s="87" t="str">
        <x:v>PMC / contractor presence</x:v>
      </x:c>
      <x:c r="F19" s="87" t="str">
        <x:v>Private military/security, contractor, logistics or base-support presence</x:v>
      </x:c>
      <x:c r="G19" s="94" t="n">
        <x:v>2</x:v>
      </x:c>
      <x:c r="H19" s="94" t="n">
        <x:v>1</x:v>
      </x:c>
      <x:c r="I19" s="87" t="str">
        <x:v>Tier 1</x:v>
      </x:c>
      <x:c r="J19" s="87" t="str">
        <x:v>CRS U.S. Foreign Aid to Israel</x:v>
      </x:c>
      <x:c r="K19" s="87" t="str">
        <x:v>https://www.congress.gov/crs-product/RL33222</x:v>
      </x:c>
      <x:c r="L19" s="87" t="str">
        <x:v>2025-05-28</x:v>
      </x:c>
      <x:c r="M19" s="87" t="str">
        <x:v>2026-05-18</x:v>
      </x:c>
      <x:c r="N19" s="95" t="n">
        <x:v>1</x:v>
      </x:c>
      <x:c r="O19" s="95" t="n">
        <x:v>1</x:v>
      </x:c>
      <x:c r="P19" s="96" t="n">
        <x:v>70</x:v>
      </x:c>
      <x:c r="Q19" s="95" t="n">
        <x:f>H19*N19*O19</x:f>
        <x:v>1</x:v>
      </x:c>
      <x:c r="R19" s="95" t="n">
        <x:f>G19*Q19</x:f>
        <x:v>2</x:v>
      </x:c>
      <x:c r="S19" s="87" t="str">
        <x:v>Score captures defense-industrial/security-assistance contractors and support, not an independently verified armed U.S. PMC force.</x:v>
      </x:c>
      <x:c r="T19" s="87" t="str">
        <x:v>Yes</x:v>
      </x:c>
    </x:row>
    <x:row r="20">
      <x:c r="A20" s="87" t="str">
        <x:v>USA-E019</x:v>
      </x:c>
      <x:c r="B20" s="87" t="str">
        <x:v>Israel</x:v>
      </x:c>
      <x:c r="C20" s="87" t="str">
        <x:v>ISR</x:v>
      </x:c>
      <x:c r="D20" s="87" t="str">
        <x:v>Middle East / West Asia</x:v>
      </x:c>
      <x:c r="E20" s="87" t="str">
        <x:v>U.S.-backed information ecosystem</x:v>
      </x:c>
      <x:c r="F20" s="87" t="str">
        <x:v>U.S.-funded international media, democracy media, anti-censorship, or political communication ecosystem</x:v>
      </x:c>
      <x:c r="G20" s="94" t="n">
        <x:v>2</x:v>
      </x:c>
      <x:c r="H20" s="94" t="n">
        <x:v>1</x:v>
      </x:c>
      <x:c r="I20" s="87" t="str">
        <x:v>Tier 1</x:v>
      </x:c>
      <x:c r="J20" s="87" t="str">
        <x:v>USAGM Our Work</x:v>
      </x:c>
      <x:c r="K20" s="87" t="str">
        <x:v>https://www.usagm.gov/our-work/</x:v>
      </x:c>
      <x:c r="L20" s="87" t="str">
        <x:v>2025-05-28</x:v>
      </x:c>
      <x:c r="M20" s="87" t="str">
        <x:v>2026-05-18</x:v>
      </x:c>
      <x:c r="N20" s="95" t="n">
        <x:v>1</x:v>
      </x:c>
      <x:c r="O20" s="95" t="n">
        <x:v>1</x:v>
      </x:c>
      <x:c r="P20" s="96" t="n">
        <x:v>70</x:v>
      </x:c>
      <x:c r="Q20" s="95" t="n">
        <x:f>H20*N20*O20</x:f>
        <x:v>1</x:v>
      </x:c>
      <x:c r="R20" s="95" t="n">
        <x:f>G20*Q20</x:f>
        <x:v>2</x:v>
      </x:c>
      <x:c r="S20" s="87" t="str">
        <x:v>U.S.-funded global media is present but not a dominant country-specific influence channel in selected sources.</x:v>
      </x:c>
      <x:c r="T20" s="87" t="str">
        <x:v>Yes</x:v>
      </x:c>
    </x:row>
    <x:row r="21">
      <x:c r="A21" s="87" t="str">
        <x:v>USA-E020</x:v>
      </x:c>
      <x:c r="B21" s="87" t="str">
        <x:v>Israel</x:v>
      </x:c>
      <x:c r="C21" s="87" t="str">
        <x:v>ISR</x:v>
      </x:c>
      <x:c r="D21" s="87" t="str">
        <x:v>Middle East / West Asia</x:v>
      </x:c>
      <x:c r="E21" s="87" t="str">
        <x:v>Election / political-transition interference</x:v>
      </x:c>
      <x:c r="F21" s="87" t="str">
        <x:v>Verified election, opposition, political-transition or regime-change interference/pressure</x:v>
      </x:c>
      <x:c r="G21" s="94" t="n">
        <x:v>1</x:v>
      </x:c>
      <x:c r="H21" s="94" t="n">
        <x:v>1</x:v>
      </x:c>
      <x:c r="I21" s="87" t="str">
        <x:v>Tier 2</x:v>
      </x:c>
      <x:c r="J21" s="87" t="str">
        <x:v>CFR election interference report</x:v>
      </x:c>
      <x:c r="K21" s="87" t="str">
        <x:v>https://www.cfr.org/reports/banning-covert-foreign-election-interference</x:v>
      </x:c>
      <x:c r="L21" s="87" t="str">
        <x:v>2025-05-28</x:v>
      </x:c>
      <x:c r="M21" s="87" t="str">
        <x:v>2026-05-18</x:v>
      </x:c>
      <x:c r="N21" s="95" t="n">
        <x:v>0.9</x:v>
      </x:c>
      <x:c r="O21" s="95" t="n">
        <x:v>1</x:v>
      </x:c>
      <x:c r="P21" s="96" t="n">
        <x:v>65</x:v>
      </x:c>
      <x:c r="Q21" s="95" t="n">
        <x:f>H21*N21*O21</x:f>
        <x:v>0.9</x:v>
      </x:c>
      <x:c r="R21" s="95" t="n">
        <x:f>G21*Q21</x:f>
        <x:v>0.9</x:v>
      </x:c>
      <x:c r="S21" s="87" t="str">
        <x:v>No selected-source evidence of direct current U.S. election manipulation.</x:v>
      </x:c>
      <x:c r="T21" s="87" t="str">
        <x:v>Yes</x:v>
      </x:c>
    </x:row>
    <x:row r="22">
      <x:c r="A22" s="87" t="str">
        <x:v>USA-E021</x:v>
      </x:c>
      <x:c r="B22" s="87" t="str">
        <x:v>Japan</x:v>
      </x:c>
      <x:c r="C22" s="87" t="str">
        <x:v>JPN</x:v>
      </x:c>
      <x:c r="D22" s="87" t="str">
        <x:v>East Asia</x:v>
      </x:c>
      <x:c r="E22" s="87" t="str">
        <x:v>U.S. influence / leverage</x:v>
      </x:c>
      <x:c r="F22" s="87" t="str">
        <x:v>Military/security assistance, basing, sanctions or alliance leverage</x:v>
      </x:c>
      <x:c r="G22" s="94" t="n">
        <x:v>5</x:v>
      </x:c>
      <x:c r="H22" s="94" t="n">
        <x:v>1</x:v>
      </x:c>
      <x:c r="I22" s="87" t="str">
        <x:v>Tier 1</x:v>
      </x:c>
      <x:c r="J22" s="87" t="str">
        <x:v>CRS U.S. overseas basing</x:v>
      </x:c>
      <x:c r="K22" s="87" t="str">
        <x:v>https://www.everycrsreport.com/reports/R48123.html</x:v>
      </x:c>
      <x:c r="L22" s="87" t="str">
        <x:v>2024-08-20</x:v>
      </x:c>
      <x:c r="M22" s="87" t="str">
        <x:v>2026-05-18</x:v>
      </x:c>
      <x:c r="N22" s="95" t="n">
        <x:v>1</x:v>
      </x:c>
      <x:c r="O22" s="95" t="n">
        <x:v>1</x:v>
      </x:c>
      <x:c r="P22" s="96" t="n">
        <x:v>85</x:v>
      </x:c>
      <x:c r="Q22" s="95" t="n">
        <x:f>H22*N22*O22</x:f>
        <x:v>1</x:v>
      </x:c>
      <x:c r="R22" s="95" t="n">
        <x:f>G22*Q22</x:f>
        <x:v>5</x:v>
      </x:c>
      <x:c r="S22" s="87" t="str">
        <x:v>CRS reports major U.S. basing and roughly 54,774 active-duty U.S. servicemembers assigned to Japan as of March 2024.</x:v>
      </x:c>
      <x:c r="T22" s="87" t="str">
        <x:v>Yes</x:v>
      </x:c>
    </x:row>
    <x:row r="23">
      <x:c r="A23" s="87" t="str">
        <x:v>USA-E022</x:v>
      </x:c>
      <x:c r="B23" s="87" t="str">
        <x:v>Japan</x:v>
      </x:c>
      <x:c r="C23" s="87" t="str">
        <x:v>JPN</x:v>
      </x:c>
      <x:c r="D23" s="87" t="str">
        <x:v>East Asia</x:v>
      </x:c>
      <x:c r="E23" s="87" t="str">
        <x:v>PMC / contractor presence</x:v>
      </x:c>
      <x:c r="F23" s="87" t="str">
        <x:v>Private military/security, contractor, logistics or base-support presence</x:v>
      </x:c>
      <x:c r="G23" s="94" t="n">
        <x:v>3</x:v>
      </x:c>
      <x:c r="H23" s="94" t="n">
        <x:v>1</x:v>
      </x:c>
      <x:c r="I23" s="87" t="str">
        <x:v>Tier 1</x:v>
      </x:c>
      <x:c r="J23" s="87" t="str">
        <x:v>CRS U.S. overseas basing</x:v>
      </x:c>
      <x:c r="K23" s="87" t="str">
        <x:v>https://www.everycrsreport.com/reports/R48123.html</x:v>
      </x:c>
      <x:c r="L23" s="87" t="str">
        <x:v>2024-08-20</x:v>
      </x:c>
      <x:c r="M23" s="87" t="str">
        <x:v>2026-05-18</x:v>
      </x:c>
      <x:c r="N23" s="95" t="n">
        <x:v>1</x:v>
      </x:c>
      <x:c r="O23" s="95" t="n">
        <x:v>1</x:v>
      </x:c>
      <x:c r="P23" s="96" t="n">
        <x:v>85</x:v>
      </x:c>
      <x:c r="Q23" s="95" t="n">
        <x:f>H23*N23*O23</x:f>
        <x:v>1</x:v>
      </x:c>
      <x:c r="R23" s="95" t="n">
        <x:f>G23*Q23</x:f>
        <x:v>3</x:v>
      </x:c>
      <x:c r="S23" s="87" t="str">
        <x:v>Contractor score reflects extensive base support and logistics ecosystems; not a score for armed PMCs.</x:v>
      </x:c>
      <x:c r="T23" s="87" t="str">
        <x:v>Yes</x:v>
      </x:c>
    </x:row>
    <x:row r="24">
      <x:c r="A24" s="87" t="str">
        <x:v>USA-E023</x:v>
      </x:c>
      <x:c r="B24" s="87" t="str">
        <x:v>Japan</x:v>
      </x:c>
      <x:c r="C24" s="87" t="str">
        <x:v>JPN</x:v>
      </x:c>
      <x:c r="D24" s="87" t="str">
        <x:v>East Asia</x:v>
      </x:c>
      <x:c r="E24" s="87" t="str">
        <x:v>U.S.-backed information ecosystem</x:v>
      </x:c>
      <x:c r="F24" s="87" t="str">
        <x:v>U.S.-funded international media, democracy media, anti-censorship, or political communication ecosystem</x:v>
      </x:c>
      <x:c r="G24" s="94" t="n">
        <x:v>1</x:v>
      </x:c>
      <x:c r="H24" s="94" t="n">
        <x:v>1</x:v>
      </x:c>
      <x:c r="I24" s="87" t="str">
        <x:v>Tier 1</x:v>
      </x:c>
      <x:c r="J24" s="87" t="str">
        <x:v>USAGM Our Work</x:v>
      </x:c>
      <x:c r="K24" s="87" t="str">
        <x:v>https://www.usagm.gov/our-work/</x:v>
      </x:c>
      <x:c r="L24" s="87" t="str">
        <x:v>2024-08-20</x:v>
      </x:c>
      <x:c r="M24" s="87" t="str">
        <x:v>2026-05-18</x:v>
      </x:c>
      <x:c r="N24" s="95" t="n">
        <x:v>1</x:v>
      </x:c>
      <x:c r="O24" s="95" t="n">
        <x:v>1</x:v>
      </x:c>
      <x:c r="P24" s="96" t="n">
        <x:v>70</x:v>
      </x:c>
      <x:c r="Q24" s="95" t="n">
        <x:f>H24*N24*O24</x:f>
        <x:v>1</x:v>
      </x:c>
      <x:c r="R24" s="95" t="n">
        <x:f>G24*Q24</x:f>
        <x:v>1</x:v>
      </x:c>
      <x:c r="S24" s="87" t="str">
        <x:v>U.S. media influence is low relative to alliance/basing channels.</x:v>
      </x:c>
      <x:c r="T24" s="87" t="str">
        <x:v>Yes</x:v>
      </x:c>
    </x:row>
    <x:row r="25">
      <x:c r="A25" s="87" t="str">
        <x:v>USA-E024</x:v>
      </x:c>
      <x:c r="B25" s="87" t="str">
        <x:v>Japan</x:v>
      </x:c>
      <x:c r="C25" s="87" t="str">
        <x:v>JPN</x:v>
      </x:c>
      <x:c r="D25" s="87" t="str">
        <x:v>East Asia</x:v>
      </x:c>
      <x:c r="E25" s="87" t="str">
        <x:v>Election / political-transition interference</x:v>
      </x:c>
      <x:c r="F25" s="87" t="str">
        <x:v>Verified election, opposition, political-transition or regime-change interference/pressure</x:v>
      </x:c>
      <x:c r="G25" s="94" t="n">
        <x:v>1</x:v>
      </x:c>
      <x:c r="H25" s="94" t="n">
        <x:v>1</x:v>
      </x:c>
      <x:c r="I25" s="87" t="str">
        <x:v>Tier 2</x:v>
      </x:c>
      <x:c r="J25" s="87" t="str">
        <x:v>CFR election interference report</x:v>
      </x:c>
      <x:c r="K25" s="87" t="str">
        <x:v>https://www.cfr.org/reports/banning-covert-foreign-election-interference</x:v>
      </x:c>
      <x:c r="L25" s="87" t="str">
        <x:v>2024-08-20</x:v>
      </x:c>
      <x:c r="M25" s="87" t="str">
        <x:v>2026-05-18</x:v>
      </x:c>
      <x:c r="N25" s="95" t="n">
        <x:v>0.9</x:v>
      </x:c>
      <x:c r="O25" s="95" t="n">
        <x:v>1</x:v>
      </x:c>
      <x:c r="P25" s="96" t="n">
        <x:v>65</x:v>
      </x:c>
      <x:c r="Q25" s="95" t="n">
        <x:f>H25*N25*O25</x:f>
        <x:v>0.9</x:v>
      </x:c>
      <x:c r="R25" s="95" t="n">
        <x:f>G25*Q25</x:f>
        <x:v>0.9</x:v>
      </x:c>
      <x:c r="S25" s="87" t="str">
        <x:v>No selected-source evidence of current direct U.S. election manipulation.</x:v>
      </x:c>
      <x:c r="T25" s="87" t="str">
        <x:v>Yes</x:v>
      </x:c>
    </x:row>
    <x:row r="26">
      <x:c r="A26" s="87" t="str">
        <x:v>USA-E025</x:v>
      </x:c>
      <x:c r="B26" s="87" t="str">
        <x:v>South Korea</x:v>
      </x:c>
      <x:c r="C26" s="87" t="str">
        <x:v>KOR</x:v>
      </x:c>
      <x:c r="D26" s="87" t="str">
        <x:v>East Asia</x:v>
      </x:c>
      <x:c r="E26" s="87" t="str">
        <x:v>U.S. influence / leverage</x:v>
      </x:c>
      <x:c r="F26" s="87" t="str">
        <x:v>Military/security assistance, basing, sanctions or alliance leverage</x:v>
      </x:c>
      <x:c r="G26" s="94" t="n">
        <x:v>5</x:v>
      </x:c>
      <x:c r="H26" s="94" t="n">
        <x:v>1</x:v>
      </x:c>
      <x:c r="I26" s="87" t="str">
        <x:v>Tier 1</x:v>
      </x:c>
      <x:c r="J26" s="87" t="str">
        <x:v>CRS U.S. overseas basing</x:v>
      </x:c>
      <x:c r="K26" s="87" t="str">
        <x:v>https://www.everycrsreport.com/reports/R48123.html</x:v>
      </x:c>
      <x:c r="L26" s="87" t="str">
        <x:v>2024-08-20</x:v>
      </x:c>
      <x:c r="M26" s="87" t="str">
        <x:v>2026-05-18</x:v>
      </x:c>
      <x:c r="N26" s="95" t="n">
        <x:v>1</x:v>
      </x:c>
      <x:c r="O26" s="95" t="n">
        <x:v>1</x:v>
      </x:c>
      <x:c r="P26" s="96" t="n">
        <x:v>85</x:v>
      </x:c>
      <x:c r="Q26" s="95" t="n">
        <x:f>H26*N26*O26</x:f>
        <x:v>1</x:v>
      </x:c>
      <x:c r="R26" s="95" t="n">
        <x:f>G26*Q26</x:f>
        <x:v>5</x:v>
      </x:c>
      <x:c r="S26" s="87" t="str">
        <x:v>Long-term U.S. basing/alliance structure creates high influence/leverage score.</x:v>
      </x:c>
      <x:c r="T26" s="87" t="str">
        <x:v>Yes</x:v>
      </x:c>
    </x:row>
    <x:row r="27">
      <x:c r="A27" s="87" t="str">
        <x:v>USA-E026</x:v>
      </x:c>
      <x:c r="B27" s="87" t="str">
        <x:v>South Korea</x:v>
      </x:c>
      <x:c r="C27" s="87" t="str">
        <x:v>KOR</x:v>
      </x:c>
      <x:c r="D27" s="87" t="str">
        <x:v>East Asia</x:v>
      </x:c>
      <x:c r="E27" s="87" t="str">
        <x:v>PMC / contractor presence</x:v>
      </x:c>
      <x:c r="F27" s="87" t="str">
        <x:v>Private military/security, contractor, logistics or base-support presence</x:v>
      </x:c>
      <x:c r="G27" s="94" t="n">
        <x:v>3</x:v>
      </x:c>
      <x:c r="H27" s="94" t="n">
        <x:v>1</x:v>
      </x:c>
      <x:c r="I27" s="87" t="str">
        <x:v>Tier 1</x:v>
      </x:c>
      <x:c r="J27" s="87" t="str">
        <x:v>CRS U.S. overseas basing</x:v>
      </x:c>
      <x:c r="K27" s="87" t="str">
        <x:v>https://www.everycrsreport.com/reports/R48123.html</x:v>
      </x:c>
      <x:c r="L27" s="87" t="str">
        <x:v>2024-08-20</x:v>
      </x:c>
      <x:c r="M27" s="87" t="str">
        <x:v>2026-05-18</x:v>
      </x:c>
      <x:c r="N27" s="95" t="n">
        <x:v>1</x:v>
      </x:c>
      <x:c r="O27" s="95" t="n">
        <x:v>1</x:v>
      </x:c>
      <x:c r="P27" s="96" t="n">
        <x:v>85</x:v>
      </x:c>
      <x:c r="Q27" s="95" t="n">
        <x:f>H27*N27*O27</x:f>
        <x:v>1</x:v>
      </x:c>
      <x:c r="R27" s="95" t="n">
        <x:f>G27*Q27</x:f>
        <x:v>3</x:v>
      </x:c>
      <x:c r="S27" s="87" t="str">
        <x:v>Contractor score reflects base support/logistics around U.S. Forces Korea; not evidence of armed PMC operations.</x:v>
      </x:c>
      <x:c r="T27" s="87" t="str">
        <x:v>Yes</x:v>
      </x:c>
    </x:row>
    <x:row r="28">
      <x:c r="A28" s="87" t="str">
        <x:v>USA-E027</x:v>
      </x:c>
      <x:c r="B28" s="87" t="str">
        <x:v>South Korea</x:v>
      </x:c>
      <x:c r="C28" s="87" t="str">
        <x:v>KOR</x:v>
      </x:c>
      <x:c r="D28" s="87" t="str">
        <x:v>East Asia</x:v>
      </x:c>
      <x:c r="E28" s="87" t="str">
        <x:v>U.S.-backed information ecosystem</x:v>
      </x:c>
      <x:c r="F28" s="87" t="str">
        <x:v>U.S.-funded international media, democracy media, anti-censorship, or political communication ecosystem</x:v>
      </x:c>
      <x:c r="G28" s="94" t="n">
        <x:v>1</x:v>
      </x:c>
      <x:c r="H28" s="94" t="n">
        <x:v>1</x:v>
      </x:c>
      <x:c r="I28" s="87" t="str">
        <x:v>Tier 1</x:v>
      </x:c>
      <x:c r="J28" s="87" t="str">
        <x:v>USAGM Our Work</x:v>
      </x:c>
      <x:c r="K28" s="87" t="str">
        <x:v>https://www.usagm.gov/our-work/</x:v>
      </x:c>
      <x:c r="L28" s="87" t="str">
        <x:v>2024-08-20</x:v>
      </x:c>
      <x:c r="M28" s="87" t="str">
        <x:v>2026-05-18</x:v>
      </x:c>
      <x:c r="N28" s="95" t="n">
        <x:v>1</x:v>
      </x:c>
      <x:c r="O28" s="95" t="n">
        <x:v>1</x:v>
      </x:c>
      <x:c r="P28" s="96" t="n">
        <x:v>70</x:v>
      </x:c>
      <x:c r="Q28" s="95" t="n">
        <x:f>H28*N28*O28</x:f>
        <x:v>1</x:v>
      </x:c>
      <x:c r="R28" s="95" t="n">
        <x:f>G28*Q28</x:f>
        <x:v>1</x:v>
      </x:c>
      <x:c r="S28" s="87" t="str">
        <x:v>U.S. media influence is low relative to security alliance channels.</x:v>
      </x:c>
      <x:c r="T28" s="87" t="str">
        <x:v>Yes</x:v>
      </x:c>
    </x:row>
    <x:row r="29">
      <x:c r="A29" s="87" t="str">
        <x:v>USA-E028</x:v>
      </x:c>
      <x:c r="B29" s="87" t="str">
        <x:v>South Korea</x:v>
      </x:c>
      <x:c r="C29" s="87" t="str">
        <x:v>KOR</x:v>
      </x:c>
      <x:c r="D29" s="87" t="str">
        <x:v>East Asia</x:v>
      </x:c>
      <x:c r="E29" s="87" t="str">
        <x:v>Election / political-transition interference</x:v>
      </x:c>
      <x:c r="F29" s="87" t="str">
        <x:v>Verified election, opposition, political-transition or regime-change interference/pressure</x:v>
      </x:c>
      <x:c r="G29" s="94" t="n">
        <x:v>1</x:v>
      </x:c>
      <x:c r="H29" s="94" t="n">
        <x:v>1</x:v>
      </x:c>
      <x:c r="I29" s="87" t="str">
        <x:v>Tier 2</x:v>
      </x:c>
      <x:c r="J29" s="87" t="str">
        <x:v>CFR election interference report</x:v>
      </x:c>
      <x:c r="K29" s="87" t="str">
        <x:v>https://www.cfr.org/reports/banning-covert-foreign-election-interference</x:v>
      </x:c>
      <x:c r="L29" s="87" t="str">
        <x:v>2024-08-20</x:v>
      </x:c>
      <x:c r="M29" s="87" t="str">
        <x:v>2026-05-18</x:v>
      </x:c>
      <x:c r="N29" s="95" t="n">
        <x:v>0.9</x:v>
      </x:c>
      <x:c r="O29" s="95" t="n">
        <x:v>1</x:v>
      </x:c>
      <x:c r="P29" s="96" t="n">
        <x:v>65</x:v>
      </x:c>
      <x:c r="Q29" s="95" t="n">
        <x:f>H29*N29*O29</x:f>
        <x:v>0.9</x:v>
      </x:c>
      <x:c r="R29" s="95" t="n">
        <x:f>G29*Q29</x:f>
        <x:v>0.9</x:v>
      </x:c>
      <x:c r="S29" s="87" t="str">
        <x:v>No selected-source evidence of current direct U.S. election manipulation.</x:v>
      </x:c>
      <x:c r="T29" s="87" t="str">
        <x:v>Yes</x:v>
      </x:c>
    </x:row>
    <x:row r="30">
      <x:c r="A30" s="87" t="str">
        <x:v>USA-E029</x:v>
      </x:c>
      <x:c r="B30" s="87" t="str">
        <x:v>Germany</x:v>
      </x:c>
      <x:c r="C30" s="87" t="str">
        <x:v>DEU</x:v>
      </x:c>
      <x:c r="D30" s="87" t="str">
        <x:v>Europe</x:v>
      </x:c>
      <x:c r="E30" s="87" t="str">
        <x:v>U.S. influence / leverage</x:v>
      </x:c>
      <x:c r="F30" s="87" t="str">
        <x:v>Military/security assistance, basing, sanctions or alliance leverage</x:v>
      </x:c>
      <x:c r="G30" s="94" t="n">
        <x:v>4</x:v>
      </x:c>
      <x:c r="H30" s="94" t="n">
        <x:v>1</x:v>
      </x:c>
      <x:c r="I30" s="87" t="str">
        <x:v>Tier 1</x:v>
      </x:c>
      <x:c r="J30" s="87" t="str">
        <x:v>CRS U.S. overseas basing</x:v>
      </x:c>
      <x:c r="K30" s="87" t="str">
        <x:v>https://www.everycrsreport.com/reports/R48123.html</x:v>
      </x:c>
      <x:c r="L30" s="87" t="str">
        <x:v>2024-08-20</x:v>
      </x:c>
      <x:c r="M30" s="87" t="str">
        <x:v>2026-05-18</x:v>
      </x:c>
      <x:c r="N30" s="95" t="n">
        <x:v>1</x:v>
      </x:c>
      <x:c r="O30" s="95" t="n">
        <x:v>1</x:v>
      </x:c>
      <x:c r="P30" s="96" t="n">
        <x:v>85</x:v>
      </x:c>
      <x:c r="Q30" s="95" t="n">
        <x:f>H30*N30*O30</x:f>
        <x:v>1</x:v>
      </x:c>
      <x:c r="R30" s="95" t="n">
        <x:f>G30*Q30</x:f>
        <x:v>4</x:v>
      </x:c>
      <x:c r="S30" s="87" t="str">
        <x:v>CRS documents a large enduring U.S. military presence and major support bases in Germany.</x:v>
      </x:c>
      <x:c r="T30" s="87" t="str">
        <x:v>Yes</x:v>
      </x:c>
    </x:row>
    <x:row r="31">
      <x:c r="A31" s="87" t="str">
        <x:v>USA-E030</x:v>
      </x:c>
      <x:c r="B31" s="87" t="str">
        <x:v>Germany</x:v>
      </x:c>
      <x:c r="C31" s="87" t="str">
        <x:v>DEU</x:v>
      </x:c>
      <x:c r="D31" s="87" t="str">
        <x:v>Europe</x:v>
      </x:c>
      <x:c r="E31" s="87" t="str">
        <x:v>PMC / contractor presence</x:v>
      </x:c>
      <x:c r="F31" s="87" t="str">
        <x:v>Private military/security, contractor, logistics or base-support presence</x:v>
      </x:c>
      <x:c r="G31" s="94" t="n">
        <x:v>3</x:v>
      </x:c>
      <x:c r="H31" s="94" t="n">
        <x:v>1</x:v>
      </x:c>
      <x:c r="I31" s="87" t="str">
        <x:v>Tier 1</x:v>
      </x:c>
      <x:c r="J31" s="87" t="str">
        <x:v>CRS U.S. overseas basing</x:v>
      </x:c>
      <x:c r="K31" s="87" t="str">
        <x:v>https://www.everycrsreport.com/reports/R48123.html</x:v>
      </x:c>
      <x:c r="L31" s="87" t="str">
        <x:v>2024-08-20</x:v>
      </x:c>
      <x:c r="M31" s="87" t="str">
        <x:v>2026-05-18</x:v>
      </x:c>
      <x:c r="N31" s="95" t="n">
        <x:v>1</x:v>
      </x:c>
      <x:c r="O31" s="95" t="n">
        <x:v>1</x:v>
      </x:c>
      <x:c r="P31" s="96" t="n">
        <x:v>85</x:v>
      </x:c>
      <x:c r="Q31" s="95" t="n">
        <x:f>H31*N31*O31</x:f>
        <x:v>1</x:v>
      </x:c>
      <x:c r="R31" s="95" t="n">
        <x:f>G31*Q31</x:f>
        <x:v>3</x:v>
      </x:c>
      <x:c r="S31" s="87" t="str">
        <x:v>Contractor score reflects base support, logistics and medical/transport infrastructure.</x:v>
      </x:c>
      <x:c r="T31" s="87" t="str">
        <x:v>Yes</x:v>
      </x:c>
    </x:row>
    <x:row r="32">
      <x:c r="A32" s="87" t="str">
        <x:v>USA-E031</x:v>
      </x:c>
      <x:c r="B32" s="87" t="str">
        <x:v>Germany</x:v>
      </x:c>
      <x:c r="C32" s="87" t="str">
        <x:v>DEU</x:v>
      </x:c>
      <x:c r="D32" s="87" t="str">
        <x:v>Europe</x:v>
      </x:c>
      <x:c r="E32" s="87" t="str">
        <x:v>U.S.-backed information ecosystem</x:v>
      </x:c>
      <x:c r="F32" s="87" t="str">
        <x:v>U.S.-funded international media, democracy media, anti-censorship, or political communication ecosystem</x:v>
      </x:c>
      <x:c r="G32" s="94" t="n">
        <x:v>2</x:v>
      </x:c>
      <x:c r="H32" s="94" t="n">
        <x:v>1</x:v>
      </x:c>
      <x:c r="I32" s="87" t="str">
        <x:v>Tier 1</x:v>
      </x:c>
      <x:c r="J32" s="87" t="str">
        <x:v>USAGM Our Work</x:v>
      </x:c>
      <x:c r="K32" s="87" t="str">
        <x:v>https://www.usagm.gov/our-work/</x:v>
      </x:c>
      <x:c r="L32" s="87" t="str">
        <x:v>2024-08-20</x:v>
      </x:c>
      <x:c r="M32" s="87" t="str">
        <x:v>2026-05-18</x:v>
      </x:c>
      <x:c r="N32" s="95" t="n">
        <x:v>1</x:v>
      </x:c>
      <x:c r="O32" s="95" t="n">
        <x:v>1</x:v>
      </x:c>
      <x:c r="P32" s="96" t="n">
        <x:v>70</x:v>
      </x:c>
      <x:c r="Q32" s="95" t="n">
        <x:f>H32*N32*O32</x:f>
        <x:v>1</x:v>
      </x:c>
      <x:c r="R32" s="95" t="n">
        <x:f>G32*Q32</x:f>
        <x:v>2</x:v>
      </x:c>
      <x:c r="S32" s="87" t="str">
        <x:v>Some U.S.-funded media/governance networks exist, but open information environment lowers the score.</x:v>
      </x:c>
      <x:c r="T32" s="87" t="str">
        <x:v>Yes</x:v>
      </x:c>
    </x:row>
    <x:row r="33">
      <x:c r="A33" s="87" t="str">
        <x:v>USA-E032</x:v>
      </x:c>
      <x:c r="B33" s="87" t="str">
        <x:v>Germany</x:v>
      </x:c>
      <x:c r="C33" s="87" t="str">
        <x:v>DEU</x:v>
      </x:c>
      <x:c r="D33" s="87" t="str">
        <x:v>Europe</x:v>
      </x:c>
      <x:c r="E33" s="87" t="str">
        <x:v>Election / political-transition interference</x:v>
      </x:c>
      <x:c r="F33" s="87" t="str">
        <x:v>Verified election, opposition, political-transition or regime-change interference/pressure</x:v>
      </x:c>
      <x:c r="G33" s="94" t="n">
        <x:v>1</x:v>
      </x:c>
      <x:c r="H33" s="94" t="n">
        <x:v>1</x:v>
      </x:c>
      <x:c r="I33" s="87" t="str">
        <x:v>Tier 2</x:v>
      </x:c>
      <x:c r="J33" s="87" t="str">
        <x:v>CFR election interference report</x:v>
      </x:c>
      <x:c r="K33" s="87" t="str">
        <x:v>https://www.cfr.org/reports/banning-covert-foreign-election-interference</x:v>
      </x:c>
      <x:c r="L33" s="87" t="str">
        <x:v>2024-08-20</x:v>
      </x:c>
      <x:c r="M33" s="87" t="str">
        <x:v>2026-05-18</x:v>
      </x:c>
      <x:c r="N33" s="95" t="n">
        <x:v>0.9</x:v>
      </x:c>
      <x:c r="O33" s="95" t="n">
        <x:v>1</x:v>
      </x:c>
      <x:c r="P33" s="96" t="n">
        <x:v>65</x:v>
      </x:c>
      <x:c r="Q33" s="95" t="n">
        <x:f>H33*N33*O33</x:f>
        <x:v>0.9</x:v>
      </x:c>
      <x:c r="R33" s="95" t="n">
        <x:f>G33*Q33</x:f>
        <x:v>0.9</x:v>
      </x:c>
      <x:c r="S33" s="87" t="str">
        <x:v>No selected-source evidence of current direct U.S. election manipulation.</x:v>
      </x:c>
      <x:c r="T33" s="87" t="str">
        <x:v>Yes</x:v>
      </x:c>
    </x:row>
    <x:row r="34">
      <x:c r="A34" s="87" t="str">
        <x:v>USA-E033</x:v>
      </x:c>
      <x:c r="B34" s="87" t="str">
        <x:v>Philippines</x:v>
      </x:c>
      <x:c r="C34" s="87" t="str">
        <x:v>PHL</x:v>
      </x:c>
      <x:c r="D34" s="87" t="str">
        <x:v>Southeast Asia</x:v>
      </x:c>
      <x:c r="E34" s="87" t="str">
        <x:v>U.S. influence / leverage</x:v>
      </x:c>
      <x:c r="F34" s="87" t="str">
        <x:v>Military/security assistance, basing, sanctions or alliance leverage</x:v>
      </x:c>
      <x:c r="G34" s="94" t="n">
        <x:v>4</x:v>
      </x:c>
      <x:c r="H34" s="94" t="n">
        <x:v>1</x:v>
      </x:c>
      <x:c r="I34" s="87" t="str">
        <x:v>Tier 2</x:v>
      </x:c>
      <x:c r="J34" s="87" t="str">
        <x:v>Philippine News Agency EDCA sites</x:v>
      </x:c>
      <x:c r="K34" s="87" t="str">
        <x:v>https://www.pna.gov.ph/index.php/articles/1222643</x:v>
      </x:c>
      <x:c r="L34" s="87" t="str">
        <x:v>2024-04-15</x:v>
      </x:c>
      <x:c r="M34" s="87" t="str">
        <x:v>2026-05-18</x:v>
      </x:c>
      <x:c r="N34" s="95" t="n">
        <x:v>0.9</x:v>
      </x:c>
      <x:c r="O34" s="95" t="n">
        <x:v>1</x:v>
      </x:c>
      <x:c r="P34" s="96" t="n">
        <x:v>85</x:v>
      </x:c>
      <x:c r="Q34" s="95" t="n">
        <x:f>H34*N34*O34</x:f>
        <x:v>0.9</x:v>
      </x:c>
      <x:c r="R34" s="95" t="n">
        <x:f>G34*Q34</x:f>
        <x:v>3.6</x:v>
      </x:c>
      <x:c r="S34" s="87" t="str">
        <x:v>EDCA access expanded U.S. rotational force posture and facilities access.</x:v>
      </x:c>
      <x:c r="T34" s="87" t="str">
        <x:v>Yes</x:v>
      </x:c>
    </x:row>
    <x:row r="35">
      <x:c r="A35" s="87" t="str">
        <x:v>USA-E034</x:v>
      </x:c>
      <x:c r="B35" s="87" t="str">
        <x:v>Philippines</x:v>
      </x:c>
      <x:c r="C35" s="87" t="str">
        <x:v>PHL</x:v>
      </x:c>
      <x:c r="D35" s="87" t="str">
        <x:v>Southeast Asia</x:v>
      </x:c>
      <x:c r="E35" s="87" t="str">
        <x:v>PMC / contractor presence</x:v>
      </x:c>
      <x:c r="F35" s="87" t="str">
        <x:v>Private military/security, contractor, logistics or base-support presence</x:v>
      </x:c>
      <x:c r="G35" s="94" t="n">
        <x:v>2</x:v>
      </x:c>
      <x:c r="H35" s="94" t="n">
        <x:v>1</x:v>
      </x:c>
      <x:c r="I35" s="87" t="str">
        <x:v>Tier 1</x:v>
      </x:c>
      <x:c r="J35" s="87" t="str">
        <x:v>CRS U.S. overseas basing</x:v>
      </x:c>
      <x:c r="K35" s="87" t="str">
        <x:v>https://www.everycrsreport.com/reports/R48123.html</x:v>
      </x:c>
      <x:c r="L35" s="87" t="str">
        <x:v>2024-04-15</x:v>
      </x:c>
      <x:c r="M35" s="87" t="str">
        <x:v>2026-05-18</x:v>
      </x:c>
      <x:c r="N35" s="95" t="n">
        <x:v>1</x:v>
      </x:c>
      <x:c r="O35" s="95" t="n">
        <x:v>1</x:v>
      </x:c>
      <x:c r="P35" s="96" t="n">
        <x:v>70</x:v>
      </x:c>
      <x:c r="Q35" s="95" t="n">
        <x:f>H35*N35*O35</x:f>
        <x:v>1</x:v>
      </x:c>
      <x:c r="R35" s="95" t="n">
        <x:f>G35*Q35</x:f>
        <x:v>2</x:v>
      </x:c>
      <x:c r="S35" s="87" t="str">
        <x:v>Contractor score reflects rotational base support and defense cooperation; armed PMC evidence is limited.</x:v>
      </x:c>
      <x:c r="T35" s="87" t="str">
        <x:v>Yes</x:v>
      </x:c>
    </x:row>
    <x:row r="36">
      <x:c r="A36" s="87" t="str">
        <x:v>USA-E035</x:v>
      </x:c>
      <x:c r="B36" s="87" t="str">
        <x:v>Philippines</x:v>
      </x:c>
      <x:c r="C36" s="87" t="str">
        <x:v>PHL</x:v>
      </x:c>
      <x:c r="D36" s="87" t="str">
        <x:v>Southeast Asia</x:v>
      </x:c>
      <x:c r="E36" s="87" t="str">
        <x:v>U.S.-backed information ecosystem</x:v>
      </x:c>
      <x:c r="F36" s="87" t="str">
        <x:v>U.S.-funded international media, democracy media, anti-censorship, or political communication ecosystem</x:v>
      </x:c>
      <x:c r="G36" s="94" t="n">
        <x:v>2</x:v>
      </x:c>
      <x:c r="H36" s="94" t="n">
        <x:v>1</x:v>
      </x:c>
      <x:c r="I36" s="87" t="str">
        <x:v>Tier 1</x:v>
      </x:c>
      <x:c r="J36" s="87" t="str">
        <x:v>USAGM Our Work</x:v>
      </x:c>
      <x:c r="K36" s="87" t="str">
        <x:v>https://www.usagm.gov/our-work/</x:v>
      </x:c>
      <x:c r="L36" s="87" t="str">
        <x:v>2024-04-15</x:v>
      </x:c>
      <x:c r="M36" s="87" t="str">
        <x:v>2026-05-18</x:v>
      </x:c>
      <x:c r="N36" s="95" t="n">
        <x:v>1</x:v>
      </x:c>
      <x:c r="O36" s="95" t="n">
        <x:v>1</x:v>
      </x:c>
      <x:c r="P36" s="96" t="n">
        <x:v>70</x:v>
      </x:c>
      <x:c r="Q36" s="95" t="n">
        <x:f>H36*N36*O36</x:f>
        <x:v>1</x:v>
      </x:c>
      <x:c r="R36" s="95" t="n">
        <x:f>G36*Q36</x:f>
        <x:v>2</x:v>
      </x:c>
      <x:c r="S36" s="87" t="str">
        <x:v>U.S.-funded media/civil society and global media footprint present but moderate.</x:v>
      </x:c>
      <x:c r="T36" s="87" t="str">
        <x:v>Yes</x:v>
      </x:c>
    </x:row>
    <x:row r="37">
      <x:c r="A37" s="87" t="str">
        <x:v>USA-E036</x:v>
      </x:c>
      <x:c r="B37" s="87" t="str">
        <x:v>Philippines</x:v>
      </x:c>
      <x:c r="C37" s="87" t="str">
        <x:v>PHL</x:v>
      </x:c>
      <x:c r="D37" s="87" t="str">
        <x:v>Southeast Asia</x:v>
      </x:c>
      <x:c r="E37" s="87" t="str">
        <x:v>Election / political-transition interference</x:v>
      </x:c>
      <x:c r="F37" s="87" t="str">
        <x:v>Verified election, opposition, political-transition or regime-change interference/pressure</x:v>
      </x:c>
      <x:c r="G37" s="94" t="n">
        <x:v>1</x:v>
      </x:c>
      <x:c r="H37" s="94" t="n">
        <x:v>1</x:v>
      </x:c>
      <x:c r="I37" s="87" t="str">
        <x:v>Tier 2</x:v>
      </x:c>
      <x:c r="J37" s="87" t="str">
        <x:v>CFR election interference report</x:v>
      </x:c>
      <x:c r="K37" s="87" t="str">
        <x:v>https://www.cfr.org/reports/banning-covert-foreign-election-interference</x:v>
      </x:c>
      <x:c r="L37" s="87" t="str">
        <x:v>2024-04-15</x:v>
      </x:c>
      <x:c r="M37" s="87" t="str">
        <x:v>2026-05-18</x:v>
      </x:c>
      <x:c r="N37" s="95" t="n">
        <x:v>0.9</x:v>
      </x:c>
      <x:c r="O37" s="95" t="n">
        <x:v>1</x:v>
      </x:c>
      <x:c r="P37" s="96" t="n">
        <x:v>65</x:v>
      </x:c>
      <x:c r="Q37" s="95" t="n">
        <x:f>H37*N37*O37</x:f>
        <x:v>0.9</x:v>
      </x:c>
      <x:c r="R37" s="95" t="n">
        <x:f>G37*Q37</x:f>
        <x:v>0.9</x:v>
      </x:c>
      <x:c r="S37" s="87" t="str">
        <x:v>No selected-source evidence of current direct U.S. election manipulation.</x:v>
      </x:c>
      <x:c r="T37" s="87" t="str">
        <x:v>Yes</x:v>
      </x:c>
    </x:row>
    <x:row r="38">
      <x:c r="A38" s="87" t="str">
        <x:v>USA-E037</x:v>
      </x:c>
      <x:c r="B38" s="87" t="str">
        <x:v>Colombia</x:v>
      </x:c>
      <x:c r="C38" s="87" t="str">
        <x:v>COL</x:v>
      </x:c>
      <x:c r="D38" s="87" t="str">
        <x:v>South America</x:v>
      </x:c>
      <x:c r="E38" s="87" t="str">
        <x:v>U.S. influence / leverage</x:v>
      </x:c>
      <x:c r="F38" s="87" t="str">
        <x:v>Military/security assistance, basing, sanctions or alliance leverage</x:v>
      </x:c>
      <x:c r="G38" s="94" t="n">
        <x:v>4</x:v>
      </x:c>
      <x:c r="H38" s="94" t="n">
        <x:v>1</x:v>
      </x:c>
      <x:c r="I38" s="87" t="str">
        <x:v>Tier 1</x:v>
      </x:c>
      <x:c r="J38" s="87" t="str">
        <x:v>CRS Colombia Background and U.S. Relations</x:v>
      </x:c>
      <x:c r="K38" s="87" t="str">
        <x:v>https://www.congress.gov/crs-product/R48287</x:v>
      </x:c>
      <x:c r="L38" s="87" t="str">
        <x:v>2025-05-30</x:v>
      </x:c>
      <x:c r="M38" s="87" t="str">
        <x:v>2026-05-18</x:v>
      </x:c>
      <x:c r="N38" s="95" t="n">
        <x:v>1</x:v>
      </x:c>
      <x:c r="O38" s="95" t="n">
        <x:v>1</x:v>
      </x:c>
      <x:c r="P38" s="96" t="n">
        <x:v>85</x:v>
      </x:c>
      <x:c r="Q38" s="95" t="n">
        <x:f>H38*N38*O38</x:f>
        <x:v>1</x:v>
      </x:c>
      <x:c r="R38" s="95" t="n">
        <x:f>G38*Q38</x:f>
        <x:v>4</x:v>
      </x:c>
      <x:c r="S38" s="87" t="str">
        <x:v>CRS describes Colombia as a key U.S. security/economic partner and top assistance recipient since Plan Colombia.</x:v>
      </x:c>
      <x:c r="T38" s="87" t="str">
        <x:v>Yes</x:v>
      </x:c>
    </x:row>
    <x:row r="39">
      <x:c r="A39" s="87" t="str">
        <x:v>USA-E038</x:v>
      </x:c>
      <x:c r="B39" s="87" t="str">
        <x:v>Colombia</x:v>
      </x:c>
      <x:c r="C39" s="87" t="str">
        <x:v>COL</x:v>
      </x:c>
      <x:c r="D39" s="87" t="str">
        <x:v>South America</x:v>
      </x:c>
      <x:c r="E39" s="87" t="str">
        <x:v>PMC / contractor presence</x:v>
      </x:c>
      <x:c r="F39" s="87" t="str">
        <x:v>Private military/security, contractor, logistics or base-support presence</x:v>
      </x:c>
      <x:c r="G39" s="94" t="n">
        <x:v>3</x:v>
      </x:c>
      <x:c r="H39" s="94" t="n">
        <x:v>1</x:v>
      </x:c>
      <x:c r="I39" s="87" t="str">
        <x:v>Tier 1</x:v>
      </x:c>
      <x:c r="J39" s="87" t="str">
        <x:v>CRS Colombia Background and U.S. Relations</x:v>
      </x:c>
      <x:c r="K39" s="87" t="str">
        <x:v>https://www.congress.gov/crs-product/R48287</x:v>
      </x:c>
      <x:c r="L39" s="87" t="str">
        <x:v>2025-05-30</x:v>
      </x:c>
      <x:c r="M39" s="87" t="str">
        <x:v>2026-05-18</x:v>
      </x:c>
      <x:c r="N39" s="95" t="n">
        <x:v>1</x:v>
      </x:c>
      <x:c r="O39" s="95" t="n">
        <x:v>1</x:v>
      </x:c>
      <x:c r="P39" s="96" t="n">
        <x:v>85</x:v>
      </x:c>
      <x:c r="Q39" s="95" t="n">
        <x:f>H39*N39*O39</x:f>
        <x:v>1</x:v>
      </x:c>
      <x:c r="R39" s="95" t="n">
        <x:f>G39*Q39</x:f>
        <x:v>3</x:v>
      </x:c>
      <x:c r="S39" s="87" t="str">
        <x:v>Score reflects historical contractor/security support around counternarcotics and security assistance; not current armed PMC dominance.</x:v>
      </x:c>
      <x:c r="T39" s="87" t="str">
        <x:v>Yes</x:v>
      </x:c>
    </x:row>
    <x:row r="40">
      <x:c r="A40" s="87" t="str">
        <x:v>USA-E039</x:v>
      </x:c>
      <x:c r="B40" s="87" t="str">
        <x:v>Colombia</x:v>
      </x:c>
      <x:c r="C40" s="87" t="str">
        <x:v>COL</x:v>
      </x:c>
      <x:c r="D40" s="87" t="str">
        <x:v>South America</x:v>
      </x:c>
      <x:c r="E40" s="87" t="str">
        <x:v>U.S.-backed information ecosystem</x:v>
      </x:c>
      <x:c r="F40" s="87" t="str">
        <x:v>U.S.-funded international media, democracy media, anti-censorship, or political communication ecosystem</x:v>
      </x:c>
      <x:c r="G40" s="94" t="n">
        <x:v>2</x:v>
      </x:c>
      <x:c r="H40" s="94" t="n">
        <x:v>1</x:v>
      </x:c>
      <x:c r="I40" s="87" t="str">
        <x:v>Tier 1</x:v>
      </x:c>
      <x:c r="J40" s="87" t="str">
        <x:v>USAGM Our Work</x:v>
      </x:c>
      <x:c r="K40" s="87" t="str">
        <x:v>https://www.usagm.gov/our-work/</x:v>
      </x:c>
      <x:c r="L40" s="87" t="str">
        <x:v>2025-05-30</x:v>
      </x:c>
      <x:c r="M40" s="87" t="str">
        <x:v>2026-05-18</x:v>
      </x:c>
      <x:c r="N40" s="95" t="n">
        <x:v>1</x:v>
      </x:c>
      <x:c r="O40" s="95" t="n">
        <x:v>1</x:v>
      </x:c>
      <x:c r="P40" s="96" t="n">
        <x:v>70</x:v>
      </x:c>
      <x:c r="Q40" s="95" t="n">
        <x:f>H40*N40*O40</x:f>
        <x:v>1</x:v>
      </x:c>
      <x:c r="R40" s="95" t="n">
        <x:f>G40*Q40</x:f>
        <x:v>2</x:v>
      </x:c>
      <x:c r="S40" s="87" t="str">
        <x:v>Information/civil society support is present but not the main channel relative to security assistance.</x:v>
      </x:c>
      <x:c r="T40" s="87" t="str">
        <x:v>Yes</x:v>
      </x:c>
    </x:row>
    <x:row r="41">
      <x:c r="A41" s="87" t="str">
        <x:v>USA-E040</x:v>
      </x:c>
      <x:c r="B41" s="87" t="str">
        <x:v>Colombia</x:v>
      </x:c>
      <x:c r="C41" s="87" t="str">
        <x:v>COL</x:v>
      </x:c>
      <x:c r="D41" s="87" t="str">
        <x:v>South America</x:v>
      </x:c>
      <x:c r="E41" s="87" t="str">
        <x:v>Election / political-transition interference</x:v>
      </x:c>
      <x:c r="F41" s="87" t="str">
        <x:v>Verified election, opposition, political-transition or regime-change interference/pressure</x:v>
      </x:c>
      <x:c r="G41" s="94" t="n">
        <x:v>1</x:v>
      </x:c>
      <x:c r="H41" s="94" t="n">
        <x:v>1</x:v>
      </x:c>
      <x:c r="I41" s="87" t="str">
        <x:v>Tier 1/2</x:v>
      </x:c>
      <x:c r="J41" s="87" t="str">
        <x:v>NED Grantmaking</x:v>
      </x:c>
      <x:c r="K41" s="87" t="str">
        <x:v>https://www.ned.org/ned-grantmaking/</x:v>
      </x:c>
      <x:c r="L41" s="87" t="str">
        <x:v>2025-05-30</x:v>
      </x:c>
      <x:c r="M41" s="87" t="str">
        <x:v>2026-05-18</x:v>
      </x:c>
      <x:c r="N41" s="95" t="n">
        <x:v>1</x:v>
      </x:c>
      <x:c r="O41" s="95" t="n">
        <x:v>1</x:v>
      </x:c>
      <x:c r="P41" s="96" t="n">
        <x:v>65</x:v>
      </x:c>
      <x:c r="Q41" s="95" t="n">
        <x:f>H41*N41*O41</x:f>
        <x:v>1</x:v>
      </x:c>
      <x:c r="R41" s="95" t="n">
        <x:f>G41*Q41</x:f>
        <x:v>1</x:v>
      </x:c>
      <x:c r="S41" s="87" t="str">
        <x:v>Selected sources show democracy assistance rather than verified direct election manipulation.</x:v>
      </x:c>
      <x:c r="T41" s="87" t="str">
        <x:v>Yes</x:v>
      </x:c>
    </x:row>
    <x:row r="42">
      <x:c r="A42" s="87" t="str">
        <x:v>USA-E041</x:v>
      </x:c>
      <x:c r="B42" s="87" t="str">
        <x:v>Serbia</x:v>
      </x:c>
      <x:c r="C42" s="87" t="str">
        <x:v>SRB</x:v>
      </x:c>
      <x:c r="D42" s="87" t="str">
        <x:v>Europe / Balkans</x:v>
      </x:c>
      <x:c r="E42" s="87" t="str">
        <x:v>U.S. influence / leverage</x:v>
      </x:c>
      <x:c r="F42" s="87" t="str">
        <x:v>Military/security assistance, basing, sanctions or alliance leverage</x:v>
      </x:c>
      <x:c r="G42" s="94" t="n">
        <x:v>3</x:v>
      </x:c>
      <x:c r="H42" s="94" t="n">
        <x:v>1</x:v>
      </x:c>
      <x:c r="I42" s="87" t="str">
        <x:v>Tier 3</x:v>
      </x:c>
      <x:c r="J42" s="87" t="str">
        <x:v>Washington Post Serbia 2000</x:v>
      </x:c>
      <x:c r="K42" s="87" t="str">
        <x:v>https://www.washingtonpost.com/archive/politics/2000/12/11/us-advice-guided-milosevic-opposition/ba9e87e5-bdca-45dc-8aad-da6571e89448/</x:v>
      </x:c>
      <x:c r="L42" s="87" t="str">
        <x:v>2000-12-11</x:v>
      </x:c>
      <x:c r="M42" s="87" t="str">
        <x:v>2026-05-18</x:v>
      </x:c>
      <x:c r="N42" s="95" t="n">
        <x:v>0.75</x:v>
      </x:c>
      <x:c r="O42" s="95" t="n">
        <x:v>0.6</x:v>
      </x:c>
      <x:c r="P42" s="96" t="n">
        <x:v>70</x:v>
      </x:c>
      <x:c r="Q42" s="95" t="n">
        <x:f>H42*N42*O42</x:f>
        <x:v>0.44999999999999996</x:v>
      </x:c>
      <x:c r="R42" s="95" t="n">
        <x:f>G42*Q42</x:f>
        <x:v>1.3499999999999999</x:v>
      </x:c>
      <x:c r="S42" s="87" t="str">
        <x:v>Score reflects targeted political/democracy support around 2000 rather than a high current military footprint.</x:v>
      </x:c>
      <x:c r="T42" s="87" t="str">
        <x:v>Yes</x:v>
      </x:c>
    </x:row>
    <x:row r="43">
      <x:c r="A43" s="87" t="str">
        <x:v>USA-E042</x:v>
      </x:c>
      <x:c r="B43" s="87" t="str">
        <x:v>Serbia</x:v>
      </x:c>
      <x:c r="C43" s="87" t="str">
        <x:v>SRB</x:v>
      </x:c>
      <x:c r="D43" s="87" t="str">
        <x:v>Europe / Balkans</x:v>
      </x:c>
      <x:c r="E43" s="87" t="str">
        <x:v>PMC / contractor presence</x:v>
      </x:c>
      <x:c r="F43" s="87" t="str">
        <x:v>Private military/security, contractor, logistics or base-support presence</x:v>
      </x:c>
      <x:c r="G43" s="94" t="n">
        <x:v>1</x:v>
      </x:c>
      <x:c r="H43" s="94" t="n">
        <x:v>1</x:v>
      </x:c>
      <x:c r="I43" s="87" t="str">
        <x:v>Tier 1</x:v>
      </x:c>
      <x:c r="J43" s="87" t="str">
        <x:v>CRS U.S. overseas basing</x:v>
      </x:c>
      <x:c r="K43" s="87" t="str">
        <x:v>https://www.everycrsreport.com/reports/R48123.html</x:v>
      </x:c>
      <x:c r="L43" s="87" t="str">
        <x:v>2000-12-11</x:v>
      </x:c>
      <x:c r="M43" s="87" t="str">
        <x:v>2026-05-18</x:v>
      </x:c>
      <x:c r="N43" s="95" t="n">
        <x:v>1</x:v>
      </x:c>
      <x:c r="O43" s="95" t="n">
        <x:v>0.6</x:v>
      </x:c>
      <x:c r="P43" s="96" t="n">
        <x:v>70</x:v>
      </x:c>
      <x:c r="Q43" s="95" t="n">
        <x:f>H43*N43*O43</x:f>
        <x:v>0.6</x:v>
      </x:c>
      <x:c r="R43" s="95" t="n">
        <x:f>G43*Q43</x:f>
        <x:v>0.6</x:v>
      </x:c>
      <x:c r="S43" s="87" t="str">
        <x:v>No strong selected-source evidence of U.S. PMC footprint.</x:v>
      </x:c>
      <x:c r="T43" s="87" t="str">
        <x:v>Yes</x:v>
      </x:c>
    </x:row>
    <x:row r="44">
      <x:c r="A44" s="87" t="str">
        <x:v>USA-E043</x:v>
      </x:c>
      <x:c r="B44" s="87" t="str">
        <x:v>Serbia</x:v>
      </x:c>
      <x:c r="C44" s="87" t="str">
        <x:v>SRB</x:v>
      </x:c>
      <x:c r="D44" s="87" t="str">
        <x:v>Europe / Balkans</x:v>
      </x:c>
      <x:c r="E44" s="87" t="str">
        <x:v>U.S.-backed information ecosystem</x:v>
      </x:c>
      <x:c r="F44" s="87" t="str">
        <x:v>U.S.-funded international media, democracy media, anti-censorship, or political communication ecosystem</x:v>
      </x:c>
      <x:c r="G44" s="94" t="n">
        <x:v>4</x:v>
      </x:c>
      <x:c r="H44" s="94" t="n">
        <x:v>1</x:v>
      </x:c>
      <x:c r="I44" s="87" t="str">
        <x:v>Tier 1</x:v>
      </x:c>
      <x:c r="J44" s="87" t="str">
        <x:v>USAGM FY2024 audience report</x:v>
      </x:c>
      <x:c r="K44" s="87" t="str">
        <x:v>https://www.usagm.gov/2025/01/17/usagm-networks-reached-record-global-audience-in-fy-2024-according-to-new-report/</x:v>
      </x:c>
      <x:c r="L44" s="87" t="str">
        <x:v>2000-12-11</x:v>
      </x:c>
      <x:c r="M44" s="87" t="str">
        <x:v>2026-05-18</x:v>
      </x:c>
      <x:c r="N44" s="95" t="n">
        <x:v>1</x:v>
      </x:c>
      <x:c r="O44" s="95" t="n">
        <x:v>0.6</x:v>
      </x:c>
      <x:c r="P44" s="96" t="n">
        <x:v>75</x:v>
      </x:c>
      <x:c r="Q44" s="95" t="n">
        <x:f>H44*N44*O44</x:f>
        <x:v>0.6</x:v>
      </x:c>
      <x:c r="R44" s="95" t="n">
        <x:f>G44*Q44</x:f>
        <x:v>2.4</x:v>
      </x:c>
      <x:c r="S44" s="87" t="str">
        <x:v>USAGM/VOA/RFE-type reach in Serbia is significant in USAGM-reported regional examples.</x:v>
      </x:c>
      <x:c r="T44" s="87" t="str">
        <x:v>Yes</x:v>
      </x:c>
    </x:row>
    <x:row r="45">
      <x:c r="A45" s="87" t="str">
        <x:v>USA-E044</x:v>
      </x:c>
      <x:c r="B45" s="87" t="str">
        <x:v>Serbia</x:v>
      </x:c>
      <x:c r="C45" s="87" t="str">
        <x:v>SRB</x:v>
      </x:c>
      <x:c r="D45" s="87" t="str">
        <x:v>Europe / Balkans</x:v>
      </x:c>
      <x:c r="E45" s="87" t="str">
        <x:v>Election / political-transition interference</x:v>
      </x:c>
      <x:c r="F45" s="87" t="str">
        <x:v>Verified election, opposition, political-transition or regime-change interference/pressure</x:v>
      </x:c>
      <x:c r="G45" s="94" t="n">
        <x:v>4</x:v>
      </x:c>
      <x:c r="H45" s="94" t="n">
        <x:v>1</x:v>
      </x:c>
      <x:c r="I45" s="87" t="str">
        <x:v>Tier 3</x:v>
      </x:c>
      <x:c r="J45" s="87" t="str">
        <x:v>Washington Post Serbia 2000</x:v>
      </x:c>
      <x:c r="K45" s="87" t="str">
        <x:v>https://www.washingtonpost.com/archive/politics/2000/12/11/us-advice-guided-milosevic-opposition/ba9e87e5-bdca-45dc-8aad-da6571e89448/</x:v>
      </x:c>
      <x:c r="L45" s="87" t="str">
        <x:v>2000-12-11</x:v>
      </x:c>
      <x:c r="M45" s="87" t="str">
        <x:v>2026-05-18</x:v>
      </x:c>
      <x:c r="N45" s="95" t="n">
        <x:v>0.75</x:v>
      </x:c>
      <x:c r="O45" s="95" t="n">
        <x:v>0.6</x:v>
      </x:c>
      <x:c r="P45" s="96" t="n">
        <x:v>85</x:v>
      </x:c>
      <x:c r="Q45" s="95" t="n">
        <x:f>H45*N45*O45</x:f>
        <x:v>0.44999999999999996</x:v>
      </x:c>
      <x:c r="R45" s="95" t="n">
        <x:f>G45*Q45</x:f>
        <x:v>1.7999999999999998</x:v>
      </x:c>
      <x:c r="S45" s="87" t="str">
        <x:v>Washington Post reported a $41 million U.S. democracy-building campaign that helped opposition strategy, polling, training and vote-count monitoring in 2000.</x:v>
      </x:c>
      <x:c r="T45" s="87" t="str">
        <x:v>Yes</x:v>
      </x:c>
    </x:row>
    <x:row r="46">
      <x:c r="A46" s="87" t="str">
        <x:v>USA-E045</x:v>
      </x:c>
      <x:c r="B46" s="87" t="str">
        <x:v>Nicaragua</x:v>
      </x:c>
      <x:c r="C46" s="87" t="str">
        <x:v>NIC</x:v>
      </x:c>
      <x:c r="D46" s="87" t="str">
        <x:v>Central America</x:v>
      </x:c>
      <x:c r="E46" s="87" t="str">
        <x:v>U.S. influence / leverage</x:v>
      </x:c>
      <x:c r="F46" s="87" t="str">
        <x:v>Military/security assistance, basing, sanctions or alliance leverage</x:v>
      </x:c>
      <x:c r="G46" s="94" t="n">
        <x:v>3</x:v>
      </x:c>
      <x:c r="H46" s="94" t="n">
        <x:v>1</x:v>
      </x:c>
      <x:c r="I46" s="87" t="str">
        <x:v>Tier 3</x:v>
      </x:c>
      <x:c r="J46" s="87" t="str">
        <x:v>Britannica National Opposition Union</x:v>
      </x:c>
      <x:c r="K46" s="87" t="str">
        <x:v>https://www.britannica.com/topic/National-Opposition-Union</x:v>
      </x:c>
      <x:c r="L46" s="87" t="str">
        <x:v>1990-02-25</x:v>
      </x:c>
      <x:c r="M46" s="87" t="str">
        <x:v>2026-05-18</x:v>
      </x:c>
      <x:c r="N46" s="95" t="n">
        <x:v>0.75</x:v>
      </x:c>
      <x:c r="O46" s="95" t="n">
        <x:v>0.6</x:v>
      </x:c>
      <x:c r="P46" s="96" t="n">
        <x:v>70</x:v>
      </x:c>
      <x:c r="Q46" s="95" t="n">
        <x:f>H46*N46*O46</x:f>
        <x:v>0.44999999999999996</x:v>
      </x:c>
      <x:c r="R46" s="95" t="n">
        <x:f>G46*Q46</x:f>
        <x:v>1.3499999999999999</x:v>
      </x:c>
      <x:c r="S46" s="87" t="str">
        <x:v>Score reflects historical U.S. pressure, conflict support and opposition support around the 1990 transition.</x:v>
      </x:c>
      <x:c r="T46" s="87" t="str">
        <x:v>Yes</x:v>
      </x:c>
    </x:row>
    <x:row r="47">
      <x:c r="A47" s="87" t="str">
        <x:v>USA-E046</x:v>
      </x:c>
      <x:c r="B47" s="87" t="str">
        <x:v>Nicaragua</x:v>
      </x:c>
      <x:c r="C47" s="87" t="str">
        <x:v>NIC</x:v>
      </x:c>
      <x:c r="D47" s="87" t="str">
        <x:v>Central America</x:v>
      </x:c>
      <x:c r="E47" s="87" t="str">
        <x:v>PMC / contractor presence</x:v>
      </x:c>
      <x:c r="F47" s="87" t="str">
        <x:v>Private military/security, contractor, logistics or base-support presence</x:v>
      </x:c>
      <x:c r="G47" s="94" t="n">
        <x:v>1</x:v>
      </x:c>
      <x:c r="H47" s="94" t="n">
        <x:v>1</x:v>
      </x:c>
      <x:c r="I47" s="87" t="str">
        <x:v>Tier 2</x:v>
      </x:c>
      <x:c r="J47" s="87" t="str">
        <x:v>CFR election interference report</x:v>
      </x:c>
      <x:c r="K47" s="87" t="str">
        <x:v>https://www.cfr.org/reports/banning-covert-foreign-election-interference</x:v>
      </x:c>
      <x:c r="L47" s="87" t="str">
        <x:v>1990-02-25</x:v>
      </x:c>
      <x:c r="M47" s="87" t="str">
        <x:v>2026-05-18</x:v>
      </x:c>
      <x:c r="N47" s="95" t="n">
        <x:v>0.9</x:v>
      </x:c>
      <x:c r="O47" s="95" t="n">
        <x:v>0.6</x:v>
      </x:c>
      <x:c r="P47" s="96" t="n">
        <x:v>70</x:v>
      </x:c>
      <x:c r="Q47" s="95" t="n">
        <x:f>H47*N47*O47</x:f>
        <x:v>0.54</x:v>
      </x:c>
      <x:c r="R47" s="95" t="n">
        <x:f>G47*Q47</x:f>
        <x:v>0.54</x:v>
      </x:c>
      <x:c r="S47" s="87" t="str">
        <x:v>No strong selected-source evidence of U.S. PMC presence; score limited to historical proxy/security support context.</x:v>
      </x:c>
      <x:c r="T47" s="87" t="str">
        <x:v>Yes</x:v>
      </x:c>
    </x:row>
    <x:row r="48">
      <x:c r="A48" s="87" t="str">
        <x:v>USA-E047</x:v>
      </x:c>
      <x:c r="B48" s="87" t="str">
        <x:v>Nicaragua</x:v>
      </x:c>
      <x:c r="C48" s="87" t="str">
        <x:v>NIC</x:v>
      </x:c>
      <x:c r="D48" s="87" t="str">
        <x:v>Central America</x:v>
      </x:c>
      <x:c r="E48" s="87" t="str">
        <x:v>U.S.-backed information ecosystem</x:v>
      </x:c>
      <x:c r="F48" s="87" t="str">
        <x:v>U.S.-funded international media, democracy media, anti-censorship, or political communication ecosystem</x:v>
      </x:c>
      <x:c r="G48" s="94" t="n">
        <x:v>3</x:v>
      </x:c>
      <x:c r="H48" s="94" t="n">
        <x:v>1</x:v>
      </x:c>
      <x:c r="I48" s="87" t="str">
        <x:v>Tier 1</x:v>
      </x:c>
      <x:c r="J48" s="87" t="str">
        <x:v>USAGM Our Work</x:v>
      </x:c>
      <x:c r="K48" s="87" t="str">
        <x:v>https://www.usagm.gov/our-work/</x:v>
      </x:c>
      <x:c r="L48" s="87" t="str">
        <x:v>1990-02-25</x:v>
      </x:c>
      <x:c r="M48" s="87" t="str">
        <x:v>2026-05-18</x:v>
      </x:c>
      <x:c r="N48" s="95" t="n">
        <x:v>1</x:v>
      </x:c>
      <x:c r="O48" s="95" t="n">
        <x:v>0.6</x:v>
      </x:c>
      <x:c r="P48" s="96" t="n">
        <x:v>75</x:v>
      </x:c>
      <x:c r="Q48" s="95" t="n">
        <x:f>H48*N48*O48</x:f>
        <x:v>0.6</x:v>
      </x:c>
      <x:c r="R48" s="95" t="n">
        <x:f>G48*Q48</x:f>
        <x:v>1.7999999999999998</x:v>
      </x:c>
      <x:c r="S48" s="87" t="str">
        <x:v>U.S.-funded international media and democracy networks have relevance but country-specific evidence is moderate.</x:v>
      </x:c>
      <x:c r="T48" s="87" t="str">
        <x:v>Yes</x:v>
      </x:c>
    </x:row>
    <x:row r="49">
      <x:c r="A49" s="87" t="str">
        <x:v>USA-E048</x:v>
      </x:c>
      <x:c r="B49" s="87" t="str">
        <x:v>Nicaragua</x:v>
      </x:c>
      <x:c r="C49" s="87" t="str">
        <x:v>NIC</x:v>
      </x:c>
      <x:c r="D49" s="87" t="str">
        <x:v>Central America</x:v>
      </x:c>
      <x:c r="E49" s="87" t="str">
        <x:v>Election / political-transition interference</x:v>
      </x:c>
      <x:c r="F49" s="87" t="str">
        <x:v>Verified election, opposition, political-transition or regime-change interference/pressure</x:v>
      </x:c>
      <x:c r="G49" s="94" t="n">
        <x:v>4</x:v>
      </x:c>
      <x:c r="H49" s="94" t="n">
        <x:v>1</x:v>
      </x:c>
      <x:c r="I49" s="87" t="str">
        <x:v>Tier 3</x:v>
      </x:c>
      <x:c r="J49" s="87" t="str">
        <x:v>Britannica National Opposition Union</x:v>
      </x:c>
      <x:c r="K49" s="87" t="str">
        <x:v>https://www.britannica.com/topic/National-Opposition-Union</x:v>
      </x:c>
      <x:c r="L49" s="87" t="str">
        <x:v>1990-02-25</x:v>
      </x:c>
      <x:c r="M49" s="87" t="str">
        <x:v>2026-05-18</x:v>
      </x:c>
      <x:c r="N49" s="95" t="n">
        <x:v>0.75</x:v>
      </x:c>
      <x:c r="O49" s="95" t="n">
        <x:v>0.6</x:v>
      </x:c>
      <x:c r="P49" s="96" t="n">
        <x:v>85</x:v>
      </x:c>
      <x:c r="Q49" s="95" t="n">
        <x:f>H49*N49*O49</x:f>
        <x:v>0.44999999999999996</x:v>
      </x:c>
      <x:c r="R49" s="95" t="n">
        <x:f>G49*Q49</x:f>
        <x:v>1.7999999999999998</x:v>
      </x:c>
      <x:c r="S49" s="87" t="str">
        <x:v>Britannica notes U.S.-financed UNO coalition victory in 1990; CFR covers U.S. historical election interference patterns.</x:v>
      </x:c>
      <x:c r="T49" s="87" t="str">
        <x:v>Yes</x:v>
      </x:c>
    </x:row>
    <x:row r="50">
      <x:c r="A50" s="87" t="str">
        <x:v>USA-E049</x:v>
      </x:c>
      <x:c r="B50" s="87" t="str">
        <x:v>Chile</x:v>
      </x:c>
      <x:c r="C50" s="87" t="str">
        <x:v>CHL</x:v>
      </x:c>
      <x:c r="D50" s="87" t="str">
        <x:v>South America</x:v>
      </x:c>
      <x:c r="E50" s="87" t="str">
        <x:v>U.S. influence / leverage</x:v>
      </x:c>
      <x:c r="F50" s="87" t="str">
        <x:v>Military/security assistance, basing, sanctions or alliance leverage</x:v>
      </x:c>
      <x:c r="G50" s="94" t="n">
        <x:v>2</x:v>
      </x:c>
      <x:c r="H50" s="94" t="n">
        <x:v>1</x:v>
      </x:c>
      <x:c r="I50" s="87" t="str">
        <x:v>Tier 2</x:v>
      </x:c>
      <x:c r="J50" s="87" t="str">
        <x:v>National Security Archive Chile</x:v>
      </x:c>
      <x:c r="K50" s="87" t="str">
        <x:v>https://nsarchive.gwu.edu/briefing-book/chile/2020-10-22/cia-chile-anatomy-assassination</x:v>
      </x:c>
      <x:c r="L50" s="87" t="str">
        <x:v>1970-10-01</x:v>
      </x:c>
      <x:c r="M50" s="87" t="str">
        <x:v>2026-05-18</x:v>
      </x:c>
      <x:c r="N50" s="95" t="n">
        <x:v>0.9</x:v>
      </x:c>
      <x:c r="O50" s="95" t="n">
        <x:v>0.6</x:v>
      </x:c>
      <x:c r="P50" s="96" t="n">
        <x:v>70</x:v>
      </x:c>
      <x:c r="Q50" s="95" t="n">
        <x:f>H50*N50*O50</x:f>
        <x:v>0.54</x:v>
      </x:c>
      <x:c r="R50" s="95" t="n">
        <x:f>G50*Q50</x:f>
        <x:v>1.08</x:v>
      </x:c>
      <x:c r="S50" s="87" t="str">
        <x:v>Historical U.S. influence was substantial around Allende-era political transition; current direct score would be lower.</x:v>
      </x:c>
      <x:c r="T50" s="87" t="str">
        <x:v>Yes</x:v>
      </x:c>
    </x:row>
    <x:row r="51">
      <x:c r="A51" s="87" t="str">
        <x:v>USA-E050</x:v>
      </x:c>
      <x:c r="B51" s="87" t="str">
        <x:v>Chile</x:v>
      </x:c>
      <x:c r="C51" s="87" t="str">
        <x:v>CHL</x:v>
      </x:c>
      <x:c r="D51" s="87" t="str">
        <x:v>South America</x:v>
      </x:c>
      <x:c r="E51" s="87" t="str">
        <x:v>PMC / contractor presence</x:v>
      </x:c>
      <x:c r="F51" s="87" t="str">
        <x:v>Private military/security, contractor, logistics or base-support presence</x:v>
      </x:c>
      <x:c r="G51" s="94" t="n">
        <x:v>0</x:v>
      </x:c>
      <x:c r="H51" s="94" t="n">
        <x:v>1</x:v>
      </x:c>
      <x:c r="I51" s="87" t="str">
        <x:v>Tier 2</x:v>
      </x:c>
      <x:c r="J51" s="87" t="str">
        <x:v>CFR election interference report</x:v>
      </x:c>
      <x:c r="K51" s="87" t="str">
        <x:v>https://www.cfr.org/reports/banning-covert-foreign-election-interference</x:v>
      </x:c>
      <x:c r="L51" s="87" t="str">
        <x:v>1970-10-01</x:v>
      </x:c>
      <x:c r="M51" s="87" t="str">
        <x:v>2026-05-18</x:v>
      </x:c>
      <x:c r="N51" s="95" t="n">
        <x:v>0.9</x:v>
      </x:c>
      <x:c r="O51" s="95" t="n">
        <x:v>0.6</x:v>
      </x:c>
      <x:c r="P51" s="96" t="n">
        <x:v>60</x:v>
      </x:c>
      <x:c r="Q51" s="95" t="n">
        <x:f>H51*N51*O51</x:f>
        <x:v>0.54</x:v>
      </x:c>
      <x:c r="R51" s="95" t="n">
        <x:f>G51*Q51</x:f>
        <x:v>0</x:v>
      </x:c>
      <x:c r="S51" s="87" t="str">
        <x:v>No selected-source evidence of U.S. PMC presence for this case.</x:v>
      </x:c>
      <x:c r="T51" s="87" t="str">
        <x:v>Yes</x:v>
      </x:c>
    </x:row>
    <x:row r="52">
      <x:c r="A52" s="87" t="str">
        <x:v>USA-E051</x:v>
      </x:c>
      <x:c r="B52" s="87" t="str">
        <x:v>Chile</x:v>
      </x:c>
      <x:c r="C52" s="87" t="str">
        <x:v>CHL</x:v>
      </x:c>
      <x:c r="D52" s="87" t="str">
        <x:v>South America</x:v>
      </x:c>
      <x:c r="E52" s="87" t="str">
        <x:v>U.S.-backed information ecosystem</x:v>
      </x:c>
      <x:c r="F52" s="87" t="str">
        <x:v>U.S.-funded international media, democracy media, anti-censorship, or political communication ecosystem</x:v>
      </x:c>
      <x:c r="G52" s="94" t="n">
        <x:v>2</x:v>
      </x:c>
      <x:c r="H52" s="94" t="n">
        <x:v>1</x:v>
      </x:c>
      <x:c r="I52" s="87" t="str">
        <x:v>Tier 2</x:v>
      </x:c>
      <x:c r="J52" s="87" t="str">
        <x:v>National Security Archive Chile</x:v>
      </x:c>
      <x:c r="K52" s="87" t="str">
        <x:v>https://nsarchive.gwu.edu/briefing-book/chile/2020-10-22/cia-chile-anatomy-assassination</x:v>
      </x:c>
      <x:c r="L52" s="87" t="str">
        <x:v>1970-10-01</x:v>
      </x:c>
      <x:c r="M52" s="87" t="str">
        <x:v>2026-05-18</x:v>
      </x:c>
      <x:c r="N52" s="95" t="n">
        <x:v>0.9</x:v>
      </x:c>
      <x:c r="O52" s="95" t="n">
        <x:v>0.6</x:v>
      </x:c>
      <x:c r="P52" s="96" t="n">
        <x:v>70</x:v>
      </x:c>
      <x:c r="Q52" s="95" t="n">
        <x:f>H52*N52*O52</x:f>
        <x:v>0.54</x:v>
      </x:c>
      <x:c r="R52" s="95" t="n">
        <x:f>G52*Q52</x:f>
        <x:v>1.08</x:v>
      </x:c>
      <x:c r="S52" s="87" t="str">
        <x:v>Score reflects historical pressure/propaganda and media/political support, not a current media ecosystem.</x:v>
      </x:c>
      <x:c r="T52" s="87" t="str">
        <x:v>Yes</x:v>
      </x:c>
    </x:row>
    <x:row r="53">
      <x:c r="A53" s="87" t="str">
        <x:v>USA-E052</x:v>
      </x:c>
      <x:c r="B53" s="87" t="str">
        <x:v>Chile</x:v>
      </x:c>
      <x:c r="C53" s="87" t="str">
        <x:v>CHL</x:v>
      </x:c>
      <x:c r="D53" s="87" t="str">
        <x:v>South America</x:v>
      </x:c>
      <x:c r="E53" s="87" t="str">
        <x:v>Election / political-transition interference</x:v>
      </x:c>
      <x:c r="F53" s="87" t="str">
        <x:v>Verified election, opposition, political-transition or regime-change interference/pressure</x:v>
      </x:c>
      <x:c r="G53" s="94" t="n">
        <x:v>5</x:v>
      </x:c>
      <x:c r="H53" s="94" t="n">
        <x:v>1</x:v>
      </x:c>
      <x:c r="I53" s="87" t="str">
        <x:v>Tier 2</x:v>
      </x:c>
      <x:c r="J53" s="87" t="str">
        <x:v>National Security Archive Chile</x:v>
      </x:c>
      <x:c r="K53" s="87" t="str">
        <x:v>https://nsarchive.gwu.edu/briefing-book/chile/2020-10-22/cia-chile-anatomy-assassination</x:v>
      </x:c>
      <x:c r="L53" s="87" t="str">
        <x:v>1970-10-01</x:v>
      </x:c>
      <x:c r="M53" s="87" t="str">
        <x:v>2026-05-18</x:v>
      </x:c>
      <x:c r="N53" s="95" t="n">
        <x:v>0.9</x:v>
      </x:c>
      <x:c r="O53" s="95" t="n">
        <x:v>0.6</x:v>
      </x:c>
      <x:c r="P53" s="96" t="n">
        <x:v>85</x:v>
      </x:c>
      <x:c r="Q53" s="95" t="n">
        <x:f>H53*N53*O53</x:f>
        <x:v>0.54</x:v>
      </x:c>
      <x:c r="R53" s="95" t="n">
        <x:f>G53*Q53</x:f>
        <x:v>2.7</x:v>
      </x:c>
      <x:c r="S53" s="87" t="str">
        <x:v>Declassified material documents U.S. policy to generate pressure and support coup-related pathways against Allende.</x:v>
      </x:c>
      <x:c r="T53" s="87" t="str">
        <x:v>Yes</x:v>
      </x:c>
    </x:row>
    <x:row r="54">
      <x:c r="A54" s="87" t="str">
        <x:v>USA-E053</x:v>
      </x:c>
      <x:c r="B54" s="87" t="str">
        <x:v>Italy</x:v>
      </x:c>
      <x:c r="C54" s="87" t="str">
        <x:v>ITA</x:v>
      </x:c>
      <x:c r="D54" s="87" t="str">
        <x:v>Europe</x:v>
      </x:c>
      <x:c r="E54" s="87" t="str">
        <x:v>U.S. influence / leverage</x:v>
      </x:c>
      <x:c r="F54" s="87" t="str">
        <x:v>Military/security assistance, basing, sanctions or alliance leverage</x:v>
      </x:c>
      <x:c r="G54" s="94" t="n">
        <x:v>3</x:v>
      </x:c>
      <x:c r="H54" s="94" t="n">
        <x:v>1</x:v>
      </x:c>
      <x:c r="I54" s="87" t="str">
        <x:v>Tier 1</x:v>
      </x:c>
      <x:c r="J54" s="87" t="str">
        <x:v>CRS U.S. overseas basing</x:v>
      </x:c>
      <x:c r="K54" s="87" t="str">
        <x:v>https://www.everycrsreport.com/reports/R48123.html</x:v>
      </x:c>
      <x:c r="L54" s="87" t="str">
        <x:v>1948-04-18</x:v>
      </x:c>
      <x:c r="M54" s="87" t="str">
        <x:v>2026-05-18</x:v>
      </x:c>
      <x:c r="N54" s="95" t="n">
        <x:v>1</x:v>
      </x:c>
      <x:c r="O54" s="95" t="n">
        <x:v>0.6</x:v>
      </x:c>
      <x:c r="P54" s="96" t="n">
        <x:v>70</x:v>
      </x:c>
      <x:c r="Q54" s="95" t="n">
        <x:f>H54*N54*O54</x:f>
        <x:v>0.6</x:v>
      </x:c>
      <x:c r="R54" s="95" t="n">
        <x:f>G54*Q54</x:f>
        <x:v>1.7999999999999998</x:v>
      </x:c>
      <x:c r="S54" s="87" t="str">
        <x:v>U.S. influence is strong historically and via NATO/basing; not scored as covert current influence.</x:v>
      </x:c>
      <x:c r="T54" s="87" t="str">
        <x:v>Yes</x:v>
      </x:c>
    </x:row>
    <x:row r="55">
      <x:c r="A55" s="87" t="str">
        <x:v>USA-E054</x:v>
      </x:c>
      <x:c r="B55" s="87" t="str">
        <x:v>Italy</x:v>
      </x:c>
      <x:c r="C55" s="87" t="str">
        <x:v>ITA</x:v>
      </x:c>
      <x:c r="D55" s="87" t="str">
        <x:v>Europe</x:v>
      </x:c>
      <x:c r="E55" s="87" t="str">
        <x:v>PMC / contractor presence</x:v>
      </x:c>
      <x:c r="F55" s="87" t="str">
        <x:v>Private military/security, contractor, logistics or base-support presence</x:v>
      </x:c>
      <x:c r="G55" s="94" t="n">
        <x:v>1</x:v>
      </x:c>
      <x:c r="H55" s="94" t="n">
        <x:v>1</x:v>
      </x:c>
      <x:c r="I55" s="87" t="str">
        <x:v>Tier 1</x:v>
      </x:c>
      <x:c r="J55" s="87" t="str">
        <x:v>CRS U.S. overseas basing</x:v>
      </x:c>
      <x:c r="K55" s="87" t="str">
        <x:v>https://www.everycrsreport.com/reports/R48123.html</x:v>
      </x:c>
      <x:c r="L55" s="87" t="str">
        <x:v>1948-04-18</x:v>
      </x:c>
      <x:c r="M55" s="87" t="str">
        <x:v>2026-05-18</x:v>
      </x:c>
      <x:c r="N55" s="95" t="n">
        <x:v>1</x:v>
      </x:c>
      <x:c r="O55" s="95" t="n">
        <x:v>0.6</x:v>
      </x:c>
      <x:c r="P55" s="96" t="n">
        <x:v>70</x:v>
      </x:c>
      <x:c r="Q55" s="95" t="n">
        <x:f>H55*N55*O55</x:f>
        <x:v>0.6</x:v>
      </x:c>
      <x:c r="R55" s="95" t="n">
        <x:f>G55*Q55</x:f>
        <x:v>0.6</x:v>
      </x:c>
      <x:c r="S55" s="87" t="str">
        <x:v>Contractor/base-support score is low-moderate and not evidence of armed PMC operations.</x:v>
      </x:c>
      <x:c r="T55" s="87" t="str">
        <x:v>Yes</x:v>
      </x:c>
    </x:row>
    <x:row r="56">
      <x:c r="A56" s="87" t="str">
        <x:v>USA-E055</x:v>
      </x:c>
      <x:c r="B56" s="87" t="str">
        <x:v>Italy</x:v>
      </x:c>
      <x:c r="C56" s="87" t="str">
        <x:v>ITA</x:v>
      </x:c>
      <x:c r="D56" s="87" t="str">
        <x:v>Europe</x:v>
      </x:c>
      <x:c r="E56" s="87" t="str">
        <x:v>U.S.-backed information ecosystem</x:v>
      </x:c>
      <x:c r="F56" s="87" t="str">
        <x:v>U.S.-funded international media, democracy media, anti-censorship, or political communication ecosystem</x:v>
      </x:c>
      <x:c r="G56" s="94" t="n">
        <x:v>2</x:v>
      </x:c>
      <x:c r="H56" s="94" t="n">
        <x:v>1</x:v>
      </x:c>
      <x:c r="I56" s="87" t="str">
        <x:v>Tier 2</x:v>
      </x:c>
      <x:c r="J56" s="87" t="str">
        <x:v>National Security Archive Italy CIA aid</x:v>
      </x:c>
      <x:c r="K56" s="87" t="str">
        <x:v>https://nsarchive.gwu.edu/briefing-book/intelligence/2017-02-07/cia-covert-aid-italy-averaged-5-million-annually-late-1940s</x:v>
      </x:c>
      <x:c r="L56" s="87" t="str">
        <x:v>1948-04-18</x:v>
      </x:c>
      <x:c r="M56" s="87" t="str">
        <x:v>2026-05-18</x:v>
      </x:c>
      <x:c r="N56" s="95" t="n">
        <x:v>0.9</x:v>
      </x:c>
      <x:c r="O56" s="95" t="n">
        <x:v>0.6</x:v>
      </x:c>
      <x:c r="P56" s="96" t="n">
        <x:v>70</x:v>
      </x:c>
      <x:c r="Q56" s="95" t="n">
        <x:f>H56*N56*O56</x:f>
        <x:v>0.54</x:v>
      </x:c>
      <x:c r="R56" s="95" t="n">
        <x:f>G56*Q56</x:f>
        <x:v>1.08</x:v>
      </x:c>
      <x:c r="S56" s="87" t="str">
        <x:v>Covert finance and political messaging had historical salience but not a high current country score.</x:v>
      </x:c>
      <x:c r="T56" s="87" t="str">
        <x:v>Yes</x:v>
      </x:c>
    </x:row>
    <x:row r="57">
      <x:c r="A57" s="87" t="str">
        <x:v>USA-E056</x:v>
      </x:c>
      <x:c r="B57" s="87" t="str">
        <x:v>Italy</x:v>
      </x:c>
      <x:c r="C57" s="87" t="str">
        <x:v>ITA</x:v>
      </x:c>
      <x:c r="D57" s="87" t="str">
        <x:v>Europe</x:v>
      </x:c>
      <x:c r="E57" s="87" t="str">
        <x:v>Election / political-transition interference</x:v>
      </x:c>
      <x:c r="F57" s="87" t="str">
        <x:v>Verified election, opposition, political-transition or regime-change interference/pressure</x:v>
      </x:c>
      <x:c r="G57" s="94" t="n">
        <x:v>5</x:v>
      </x:c>
      <x:c r="H57" s="94" t="n">
        <x:v>1</x:v>
      </x:c>
      <x:c r="I57" s="87" t="str">
        <x:v>Tier 2</x:v>
      </x:c>
      <x:c r="J57" s="87" t="str">
        <x:v>National Security Archive Italy CIA aid</x:v>
      </x:c>
      <x:c r="K57" s="87" t="str">
        <x:v>https://nsarchive.gwu.edu/briefing-book/intelligence/2017-02-07/cia-covert-aid-italy-averaged-5-million-annually-late-1940s</x:v>
      </x:c>
      <x:c r="L57" s="87" t="str">
        <x:v>1948-04-18</x:v>
      </x:c>
      <x:c r="M57" s="87" t="str">
        <x:v>2026-05-18</x:v>
      </x:c>
      <x:c r="N57" s="95" t="n">
        <x:v>0.9</x:v>
      </x:c>
      <x:c r="O57" s="95" t="n">
        <x:v>0.6</x:v>
      </x:c>
      <x:c r="P57" s="96" t="n">
        <x:v>85</x:v>
      </x:c>
      <x:c r="Q57" s="95" t="n">
        <x:f>H57*N57*O57</x:f>
        <x:v>0.54</x:v>
      </x:c>
      <x:c r="R57" s="95" t="n">
        <x:f>G57*Q57</x:f>
        <x:v>2.7</x:v>
      </x:c>
      <x:c r="S57" s="87" t="str">
        <x:v>Declassified records document CIA covert financial support to Italian centrist governments/parties averaging millions annually after 1948.</x:v>
      </x:c>
      <x:c r="T57" s="87" t="str">
        <x:v>Yes</x:v>
      </x:c>
    </x:row>
    <x:row r="58">
      <x:c r="A58" s="87" t="str">
        <x:v>USA-E057</x:v>
      </x:c>
      <x:c r="B58" s="87" t="str">
        <x:v>Guatemala</x:v>
      </x:c>
      <x:c r="C58" s="87" t="str">
        <x:v>GTM</x:v>
      </x:c>
      <x:c r="D58" s="87" t="str">
        <x:v>Central America</x:v>
      </x:c>
      <x:c r="E58" s="87" t="str">
        <x:v>U.S. influence / leverage</x:v>
      </x:c>
      <x:c r="F58" s="87" t="str">
        <x:v>Military/security assistance, basing, sanctions or alliance leverage</x:v>
      </x:c>
      <x:c r="G58" s="94" t="n">
        <x:v>3</x:v>
      </x:c>
      <x:c r="H58" s="94" t="n">
        <x:v>1</x:v>
      </x:c>
      <x:c r="I58" s="87" t="str">
        <x:v>Tier 1</x:v>
      </x:c>
      <x:c r="J58" s="87" t="str">
        <x:v>State Department Guatemala PBSUCCESS</x:v>
      </x:c>
      <x:c r="K58" s="87" t="str">
        <x:v>https://history.state.gov/historicaldocuments/frus1950-55Intel/d154</x:v>
      </x:c>
      <x:c r="L58" s="87" t="str">
        <x:v>1954-06-01</x:v>
      </x:c>
      <x:c r="M58" s="87" t="str">
        <x:v>2026-05-18</x:v>
      </x:c>
      <x:c r="N58" s="95" t="n">
        <x:v>1</x:v>
      </x:c>
      <x:c r="O58" s="95" t="n">
        <x:v>0.6</x:v>
      </x:c>
      <x:c r="P58" s="96" t="n">
        <x:v>70</x:v>
      </x:c>
      <x:c r="Q58" s="95" t="n">
        <x:f>H58*N58*O58</x:f>
        <x:v>0.6</x:v>
      </x:c>
      <x:c r="R58" s="95" t="n">
        <x:f>G58*Q58</x:f>
        <x:v>1.7999999999999998</x:v>
      </x:c>
      <x:c r="S58" s="87" t="str">
        <x:v>Score captures the 1954 U.S.-backed regime-change operation and pressure campaign.</x:v>
      </x:c>
      <x:c r="T58" s="87" t="str">
        <x:v>Yes</x:v>
      </x:c>
    </x:row>
    <x:row r="59">
      <x:c r="A59" s="87" t="str">
        <x:v>USA-E058</x:v>
      </x:c>
      <x:c r="B59" s="87" t="str">
        <x:v>Guatemala</x:v>
      </x:c>
      <x:c r="C59" s="87" t="str">
        <x:v>GTM</x:v>
      </x:c>
      <x:c r="D59" s="87" t="str">
        <x:v>Central America</x:v>
      </x:c>
      <x:c r="E59" s="87" t="str">
        <x:v>PMC / contractor presence</x:v>
      </x:c>
      <x:c r="F59" s="87" t="str">
        <x:v>Private military/security, contractor, logistics or base-support presence</x:v>
      </x:c>
      <x:c r="G59" s="94" t="n">
        <x:v>1</x:v>
      </x:c>
      <x:c r="H59" s="94" t="n">
        <x:v>1</x:v>
      </x:c>
      <x:c r="I59" s="87" t="str">
        <x:v>Tier 1</x:v>
      </x:c>
      <x:c r="J59" s="87" t="str">
        <x:v>State Department Guatemala PBSUCCESS</x:v>
      </x:c>
      <x:c r="K59" s="87" t="str">
        <x:v>https://history.state.gov/historicaldocuments/frus1950-55Intel/d154</x:v>
      </x:c>
      <x:c r="L59" s="87" t="str">
        <x:v>1954-06-01</x:v>
      </x:c>
      <x:c r="M59" s="87" t="str">
        <x:v>2026-05-18</x:v>
      </x:c>
      <x:c r="N59" s="95" t="n">
        <x:v>1</x:v>
      </x:c>
      <x:c r="O59" s="95" t="n">
        <x:v>0.6</x:v>
      </x:c>
      <x:c r="P59" s="96" t="n">
        <x:v>70</x:v>
      </x:c>
      <x:c r="Q59" s="95" t="n">
        <x:f>H59*N59*O59</x:f>
        <x:v>0.6</x:v>
      </x:c>
      <x:c r="R59" s="95" t="n">
        <x:f>G59*Q59</x:f>
        <x:v>0.6</x:v>
      </x:c>
      <x:c r="S59" s="87" t="str">
        <x:v>Score reflects CIA-trained/support personnel and operational assistance; not a modern PMC footprint.</x:v>
      </x:c>
      <x:c r="T59" s="87" t="str">
        <x:v>Yes</x:v>
      </x:c>
    </x:row>
    <x:row r="60">
      <x:c r="A60" s="87" t="str">
        <x:v>USA-E059</x:v>
      </x:c>
      <x:c r="B60" s="87" t="str">
        <x:v>Guatemala</x:v>
      </x:c>
      <x:c r="C60" s="87" t="str">
        <x:v>GTM</x:v>
      </x:c>
      <x:c r="D60" s="87" t="str">
        <x:v>Central America</x:v>
      </x:c>
      <x:c r="E60" s="87" t="str">
        <x:v>U.S.-backed information ecosystem</x:v>
      </x:c>
      <x:c r="F60" s="87" t="str">
        <x:v>U.S.-funded international media, democracy media, anti-censorship, or political communication ecosystem</x:v>
      </x:c>
      <x:c r="G60" s="94" t="n">
        <x:v>4</x:v>
      </x:c>
      <x:c r="H60" s="94" t="n">
        <x:v>1</x:v>
      </x:c>
      <x:c r="I60" s="87" t="str">
        <x:v>Tier 1</x:v>
      </x:c>
      <x:c r="J60" s="87" t="str">
        <x:v>State Department Guatemala PBSUCCESS</x:v>
      </x:c>
      <x:c r="K60" s="87" t="str">
        <x:v>https://history.state.gov/historicaldocuments/frus1950-55Intel/d154</x:v>
      </x:c>
      <x:c r="L60" s="87" t="str">
        <x:v>1954-06-01</x:v>
      </x:c>
      <x:c r="M60" s="87" t="str">
        <x:v>2026-05-18</x:v>
      </x:c>
      <x:c r="N60" s="95" t="n">
        <x:v>1</x:v>
      </x:c>
      <x:c r="O60" s="95" t="n">
        <x:v>0.6</x:v>
      </x:c>
      <x:c r="P60" s="96" t="n">
        <x:v>75</x:v>
      </x:c>
      <x:c r="Q60" s="95" t="n">
        <x:f>H60*N60*O60</x:f>
        <x:v>0.6</x:v>
      </x:c>
      <x:c r="R60" s="95" t="n">
        <x:f>G60*Q60</x:f>
        <x:v>2.4</x:v>
      </x:c>
      <x:c r="S60" s="87" t="str">
        <x:v>State Department history documents intense propaganda pressure as part of PBSUCCESS.</x:v>
      </x:c>
      <x:c r="T60" s="87" t="str">
        <x:v>Yes</x:v>
      </x:c>
    </x:row>
    <x:row r="61">
      <x:c r="A61" s="87" t="str">
        <x:v>USA-E060</x:v>
      </x:c>
      <x:c r="B61" s="87" t="str">
        <x:v>Guatemala</x:v>
      </x:c>
      <x:c r="C61" s="87" t="str">
        <x:v>GTM</x:v>
      </x:c>
      <x:c r="D61" s="87" t="str">
        <x:v>Central America</x:v>
      </x:c>
      <x:c r="E61" s="87" t="str">
        <x:v>Election / political-transition interference</x:v>
      </x:c>
      <x:c r="F61" s="87" t="str">
        <x:v>Verified election, opposition, political-transition or regime-change interference/pressure</x:v>
      </x:c>
      <x:c r="G61" s="94" t="n">
        <x:v>5</x:v>
      </x:c>
      <x:c r="H61" s="94" t="n">
        <x:v>1</x:v>
      </x:c>
      <x:c r="I61" s="87" t="str">
        <x:v>Tier 1</x:v>
      </x:c>
      <x:c r="J61" s="87" t="str">
        <x:v>State Department Guatemala PBSUCCESS</x:v>
      </x:c>
      <x:c r="K61" s="87" t="str">
        <x:v>https://history.state.gov/historicaldocuments/frus1950-55Intel/d154</x:v>
      </x:c>
      <x:c r="L61" s="87" t="str">
        <x:v>1954-06-01</x:v>
      </x:c>
      <x:c r="M61" s="87" t="str">
        <x:v>2026-05-18</x:v>
      </x:c>
      <x:c r="N61" s="95" t="n">
        <x:v>1</x:v>
      </x:c>
      <x:c r="O61" s="95" t="n">
        <x:v>0.6</x:v>
      </x:c>
      <x:c r="P61" s="96" t="n">
        <x:v>85</x:v>
      </x:c>
      <x:c r="Q61" s="95" t="n">
        <x:f>H61*N61*O61</x:f>
        <x:v>0.6</x:v>
      </x:c>
      <x:c r="R61" s="95" t="n">
        <x:f>G61*Q61</x:f>
        <x:v>3</x:v>
      </x:c>
      <x:c r="S61" s="87" t="str">
        <x:v>State Department history describes CIA contact, funding, training, propaganda pressure and Arbenz's ouster.</x:v>
      </x:c>
      <x:c r="T61" s="87" t="str">
        <x:v>Yes</x:v>
      </x:c>
    </x:row>
    <x:row r="62">
      <x:c r="A62" s="87" t="str">
        <x:v>USA-E061</x:v>
      </x:c>
      <x:c r="B62" s="87" t="str">
        <x:v>Venezuela</x:v>
      </x:c>
      <x:c r="C62" s="87" t="str">
        <x:v>VEN</x:v>
      </x:c>
      <x:c r="D62" s="87" t="str">
        <x:v>South America</x:v>
      </x:c>
      <x:c r="E62" s="87" t="str">
        <x:v>U.S. influence / leverage</x:v>
      </x:c>
      <x:c r="F62" s="87" t="str">
        <x:v>Military/security assistance, basing, sanctions or alliance leverage</x:v>
      </x:c>
      <x:c r="G62" s="94" t="n">
        <x:v>4</x:v>
      </x:c>
      <x:c r="H62" s="94" t="n">
        <x:v>1</x:v>
      </x:c>
      <x:c r="I62" s="87" t="str">
        <x:v>Tier 1</x:v>
      </x:c>
      <x:c r="J62" s="87" t="str">
        <x:v>CRS Venezuela: Political Crisis and U.S. Policy</x:v>
      </x:c>
      <x:c r="K62" s="87" t="str">
        <x:v>https://www.congress.gov/crs-products/product/pdf/IF/IF10230/42</x:v>
      </x:c>
      <x:c r="L62" s="87" t="str">
        <x:v>2025-09-30</x:v>
      </x:c>
      <x:c r="M62" s="87" t="str">
        <x:v>2026-05-18</x:v>
      </x:c>
      <x:c r="N62" s="95" t="n">
        <x:v>1</x:v>
      </x:c>
      <x:c r="O62" s="95" t="n">
        <x:v>1</x:v>
      </x:c>
      <x:c r="P62" s="96" t="n">
        <x:v>85</x:v>
      </x:c>
      <x:c r="Q62" s="95" t="n">
        <x:f>H62*N62*O62</x:f>
        <x:v>1</x:v>
      </x:c>
      <x:c r="R62" s="95" t="n">
        <x:f>G62*Q62</x:f>
        <x:v>4</x:v>
      </x:c>
      <x:c r="S62" s="87" t="str">
        <x:v>CRS documents U.S. democracy assistance, sanctions, humanitarian assistance and political-transition posture.</x:v>
      </x:c>
      <x:c r="T62" s="87" t="str">
        <x:v>Yes</x:v>
      </x:c>
    </x:row>
    <x:row r="63">
      <x:c r="A63" s="87" t="str">
        <x:v>USA-E062</x:v>
      </x:c>
      <x:c r="B63" s="87" t="str">
        <x:v>Venezuela</x:v>
      </x:c>
      <x:c r="C63" s="87" t="str">
        <x:v>VEN</x:v>
      </x:c>
      <x:c r="D63" s="87" t="str">
        <x:v>South America</x:v>
      </x:c>
      <x:c r="E63" s="87" t="str">
        <x:v>PMC / contractor presence</x:v>
      </x:c>
      <x:c r="F63" s="87" t="str">
        <x:v>Private military/security, contractor, logistics or base-support presence</x:v>
      </x:c>
      <x:c r="G63" s="94" t="n">
        <x:v>0</x:v>
      </x:c>
      <x:c r="H63" s="94" t="n">
        <x:v>1</x:v>
      </x:c>
      <x:c r="I63" s="87" t="str">
        <x:v>Tier 1</x:v>
      </x:c>
      <x:c r="J63" s="87" t="str">
        <x:v>CRS Venezuela: Political Crisis and U.S. Policy</x:v>
      </x:c>
      <x:c r="K63" s="87" t="str">
        <x:v>https://www.congress.gov/crs-products/product/pdf/IF/IF10230/42</x:v>
      </x:c>
      <x:c r="L63" s="87" t="str">
        <x:v>2025-09-30</x:v>
      </x:c>
      <x:c r="M63" s="87" t="str">
        <x:v>2026-05-18</x:v>
      </x:c>
      <x:c r="N63" s="95" t="n">
        <x:v>1</x:v>
      </x:c>
      <x:c r="O63" s="95" t="n">
        <x:v>1</x:v>
      </x:c>
      <x:c r="P63" s="96" t="n">
        <x:v>60</x:v>
      </x:c>
      <x:c r="Q63" s="95" t="n">
        <x:f>H63*N63*O63</x:f>
        <x:v>1</x:v>
      </x:c>
      <x:c r="R63" s="95" t="n">
        <x:f>G63*Q63</x:f>
        <x:v>0</x:v>
      </x:c>
      <x:c r="S63" s="87" t="str">
        <x:v>No selected-source evidence of a large U.S. PMC presence.</x:v>
      </x:c>
      <x:c r="T63" s="87" t="str">
        <x:v>Yes</x:v>
      </x:c>
    </x:row>
    <x:row r="64">
      <x:c r="A64" s="87" t="str">
        <x:v>USA-E063</x:v>
      </x:c>
      <x:c r="B64" s="87" t="str">
        <x:v>Venezuela</x:v>
      </x:c>
      <x:c r="C64" s="87" t="str">
        <x:v>VEN</x:v>
      </x:c>
      <x:c r="D64" s="87" t="str">
        <x:v>South America</x:v>
      </x:c>
      <x:c r="E64" s="87" t="str">
        <x:v>U.S.-backed information ecosystem</x:v>
      </x:c>
      <x:c r="F64" s="87" t="str">
        <x:v>U.S.-funded international media, democracy media, anti-censorship, or political communication ecosystem</x:v>
      </x:c>
      <x:c r="G64" s="94" t="n">
        <x:v>3</x:v>
      </x:c>
      <x:c r="H64" s="94" t="n">
        <x:v>1</x:v>
      </x:c>
      <x:c r="I64" s="87" t="str">
        <x:v>Tier 1</x:v>
      </x:c>
      <x:c r="J64" s="87" t="str">
        <x:v>USAGM Our Work</x:v>
      </x:c>
      <x:c r="K64" s="87" t="str">
        <x:v>https://www.usagm.gov/our-work/</x:v>
      </x:c>
      <x:c r="L64" s="87" t="str">
        <x:v>2025-09-30</x:v>
      </x:c>
      <x:c r="M64" s="87" t="str">
        <x:v>2026-05-18</x:v>
      </x:c>
      <x:c r="N64" s="95" t="n">
        <x:v>1</x:v>
      </x:c>
      <x:c r="O64" s="95" t="n">
        <x:v>1</x:v>
      </x:c>
      <x:c r="P64" s="96" t="n">
        <x:v>80</x:v>
      </x:c>
      <x:c r="Q64" s="95" t="n">
        <x:f>H64*N64*O64</x:f>
        <x:v>1</x:v>
      </x:c>
      <x:c r="R64" s="95" t="n">
        <x:f>G64*Q64</x:f>
        <x:v>3</x:v>
      </x:c>
      <x:c r="S64" s="87" t="str">
        <x:v>U.S. Spanish-language media and democracy-grant ecosystem create moderate information score.</x:v>
      </x:c>
      <x:c r="T64" s="87" t="str">
        <x:v>Yes</x:v>
      </x:c>
    </x:row>
    <x:row r="65">
      <x:c r="A65" s="87" t="str">
        <x:v>USA-E064</x:v>
      </x:c>
      <x:c r="B65" s="87" t="str">
        <x:v>Venezuela</x:v>
      </x:c>
      <x:c r="C65" s="87" t="str">
        <x:v>VEN</x:v>
      </x:c>
      <x:c r="D65" s="87" t="str">
        <x:v>South America</x:v>
      </x:c>
      <x:c r="E65" s="87" t="str">
        <x:v>Election / political-transition interference</x:v>
      </x:c>
      <x:c r="F65" s="87" t="str">
        <x:v>Verified election, opposition, political-transition or regime-change interference/pressure</x:v>
      </x:c>
      <x:c r="G65" s="94" t="n">
        <x:v>3</x:v>
      </x:c>
      <x:c r="H65" s="94" t="n">
        <x:v>1</x:v>
      </x:c>
      <x:c r="I65" s="87" t="str">
        <x:v>Tier 1</x:v>
      </x:c>
      <x:c r="J65" s="87" t="str">
        <x:v>CRS Venezuela: Political Crisis and U.S. Policy</x:v>
      </x:c>
      <x:c r="K65" s="87" t="str">
        <x:v>https://www.congress.gov/crs-products/product/pdf/IF/IF10230/42</x:v>
      </x:c>
      <x:c r="L65" s="87" t="str">
        <x:v>2025-09-30</x:v>
      </x:c>
      <x:c r="M65" s="87" t="str">
        <x:v>2026-05-18</x:v>
      </x:c>
      <x:c r="N65" s="95" t="n">
        <x:v>1</x:v>
      </x:c>
      <x:c r="O65" s="95" t="n">
        <x:v>1</x:v>
      </x:c>
      <x:c r="P65" s="96" t="n">
        <x:v>70</x:v>
      </x:c>
      <x:c r="Q65" s="95" t="n">
        <x:f>H65*N65*O65</x:f>
        <x:v>1</x:v>
      </x:c>
      <x:c r="R65" s="95" t="n">
        <x:f>G65*Q65</x:f>
        <x:v>3</x:v>
      </x:c>
      <x:c r="S65" s="87" t="str">
        <x:v>Score reflects overt recognition/sanctions/election-pressure context; not a claim of hidden ballot manipulation.</x:v>
      </x:c>
      <x:c r="T65" s="87" t="str">
        <x:v>Yes</x:v>
      </x:c>
    </x:row>
    <x:row r="66">
      <x:c r="A66" s="87" t="str">
        <x:v>USA-E065</x:v>
      </x:c>
      <x:c r="B66" s="87" t="str">
        <x:v>Iran</x:v>
      </x:c>
      <x:c r="C66" s="87" t="str">
        <x:v>IRN</x:v>
      </x:c>
      <x:c r="D66" s="87" t="str">
        <x:v>Middle East / West Asia</x:v>
      </x:c>
      <x:c r="E66" s="87" t="str">
        <x:v>U.S. influence / leverage</x:v>
      </x:c>
      <x:c r="F66" s="87" t="str">
        <x:v>Military/security assistance, basing, sanctions or alliance leverage</x:v>
      </x:c>
      <x:c r="G66" s="94" t="n">
        <x:v>2</x:v>
      </x:c>
      <x:c r="H66" s="94" t="n">
        <x:v>1</x:v>
      </x:c>
      <x:c r="I66" s="87" t="str">
        <x:v>Tier 2</x:v>
      </x:c>
      <x:c r="J66" s="87" t="str">
        <x:v>National Security Archive Iran 1953 coup</x:v>
      </x:c>
      <x:c r="K66" s="87" t="str">
        <x:v>https://nsarchive.gwu.edu/briefing-book/iran/2018-02-12/cia-declassifies-more-zendebad-shah-internal-study-1953-iran-coup</x:v>
      </x:c>
      <x:c r="L66" s="87" t="str">
        <x:v>1953-08-19</x:v>
      </x:c>
      <x:c r="M66" s="87" t="str">
        <x:v>2026-05-18</x:v>
      </x:c>
      <x:c r="N66" s="95" t="n">
        <x:v>0.9</x:v>
      </x:c>
      <x:c r="O66" s="95" t="n">
        <x:v>0.6</x:v>
      </x:c>
      <x:c r="P66" s="96" t="n">
        <x:v>70</x:v>
      </x:c>
      <x:c r="Q66" s="95" t="n">
        <x:f>H66*N66*O66</x:f>
        <x:v>0.54</x:v>
      </x:c>
      <x:c r="R66" s="95" t="n">
        <x:f>G66*Q66</x:f>
        <x:v>1.08</x:v>
      </x:c>
      <x:c r="S66" s="87" t="str">
        <x:v>Current U.S. influence is adversarial/pressure-based rather than embedded; historical 1953 legacy increases score.</x:v>
      </x:c>
      <x:c r="T66" s="87" t="str">
        <x:v>Yes</x:v>
      </x:c>
    </x:row>
    <x:row r="67">
      <x:c r="A67" s="87" t="str">
        <x:v>USA-E066</x:v>
      </x:c>
      <x:c r="B67" s="87" t="str">
        <x:v>Iran</x:v>
      </x:c>
      <x:c r="C67" s="87" t="str">
        <x:v>IRN</x:v>
      </x:c>
      <x:c r="D67" s="87" t="str">
        <x:v>Middle East / West Asia</x:v>
      </x:c>
      <x:c r="E67" s="87" t="str">
        <x:v>PMC / contractor presence</x:v>
      </x:c>
      <x:c r="F67" s="87" t="str">
        <x:v>Private military/security, contractor, logistics or base-support presence</x:v>
      </x:c>
      <x:c r="G67" s="94" t="n">
        <x:v>0</x:v>
      </x:c>
      <x:c r="H67" s="94" t="n">
        <x:v>1</x:v>
      </x:c>
      <x:c r="I67" s="87" t="str">
        <x:v>Tier 2</x:v>
      </x:c>
      <x:c r="J67" s="87" t="str">
        <x:v>CFR election interference report</x:v>
      </x:c>
      <x:c r="K67" s="87" t="str">
        <x:v>https://www.cfr.org/reports/banning-covert-foreign-election-interference</x:v>
      </x:c>
      <x:c r="L67" s="87" t="str">
        <x:v>1953-08-19</x:v>
      </x:c>
      <x:c r="M67" s="87" t="str">
        <x:v>2026-05-18</x:v>
      </x:c>
      <x:c r="N67" s="95" t="n">
        <x:v>0.9</x:v>
      </x:c>
      <x:c r="O67" s="95" t="n">
        <x:v>0.6</x:v>
      </x:c>
      <x:c r="P67" s="96" t="n">
        <x:v>60</x:v>
      </x:c>
      <x:c r="Q67" s="95" t="n">
        <x:f>H67*N67*O67</x:f>
        <x:v>0.54</x:v>
      </x:c>
      <x:c r="R67" s="95" t="n">
        <x:f>G67*Q67</x:f>
        <x:v>0</x:v>
      </x:c>
      <x:c r="S67" s="87" t="str">
        <x:v>No selected-source evidence of U.S. PMC presence in Iran.</x:v>
      </x:c>
      <x:c r="T67" s="87" t="str">
        <x:v>Yes</x:v>
      </x:c>
    </x:row>
    <x:row r="68">
      <x:c r="A68" s="87" t="str">
        <x:v>USA-E067</x:v>
      </x:c>
      <x:c r="B68" s="87" t="str">
        <x:v>Iran</x:v>
      </x:c>
      <x:c r="C68" s="87" t="str">
        <x:v>IRN</x:v>
      </x:c>
      <x:c r="D68" s="87" t="str">
        <x:v>Middle East / West Asia</x:v>
      </x:c>
      <x:c r="E68" s="87" t="str">
        <x:v>U.S.-backed information ecosystem</x:v>
      </x:c>
      <x:c r="F68" s="87" t="str">
        <x:v>U.S.-funded international media, democracy media, anti-censorship, or political communication ecosystem</x:v>
      </x:c>
      <x:c r="G68" s="94" t="n">
        <x:v>4</x:v>
      </x:c>
      <x:c r="H68" s="94" t="n">
        <x:v>1</x:v>
      </x:c>
      <x:c r="I68" s="87" t="str">
        <x:v>Tier 1</x:v>
      </x:c>
      <x:c r="J68" s="87" t="str">
        <x:v>USAGM FY2024 audience report</x:v>
      </x:c>
      <x:c r="K68" s="87" t="str">
        <x:v>https://www.usagm.gov/2025/01/17/usagm-networks-reached-record-global-audience-in-fy-2024-according-to-new-report/</x:v>
      </x:c>
      <x:c r="L68" s="87" t="str">
        <x:v>1953-08-19</x:v>
      </x:c>
      <x:c r="M68" s="87" t="str">
        <x:v>2026-05-18</x:v>
      </x:c>
      <x:c r="N68" s="95" t="n">
        <x:v>1</x:v>
      </x:c>
      <x:c r="O68" s="95" t="n">
        <x:v>0.6</x:v>
      </x:c>
      <x:c r="P68" s="96" t="n">
        <x:v>75</x:v>
      </x:c>
      <x:c r="Q68" s="95" t="n">
        <x:f>H68*N68*O68</x:f>
        <x:v>0.6</x:v>
      </x:c>
      <x:c r="R68" s="95" t="n">
        <x:f>G68*Q68</x:f>
        <x:v>2.4</x:v>
      </x:c>
      <x:c r="S68" s="87" t="str">
        <x:v>USAGM Persian-language and anti-censorship networks are relevant to Iranian information space.</x:v>
      </x:c>
      <x:c r="T68" s="87" t="str">
        <x:v>Yes</x:v>
      </x:c>
    </x:row>
    <x:row r="69">
      <x:c r="A69" s="87" t="str">
        <x:v>USA-E068</x:v>
      </x:c>
      <x:c r="B69" s="87" t="str">
        <x:v>Iran</x:v>
      </x:c>
      <x:c r="C69" s="87" t="str">
        <x:v>IRN</x:v>
      </x:c>
      <x:c r="D69" s="87" t="str">
        <x:v>Middle East / West Asia</x:v>
      </x:c>
      <x:c r="E69" s="87" t="str">
        <x:v>Election / political-transition interference</x:v>
      </x:c>
      <x:c r="F69" s="87" t="str">
        <x:v>Verified election, opposition, political-transition or regime-change interference/pressure</x:v>
      </x:c>
      <x:c r="G69" s="94" t="n">
        <x:v>4</x:v>
      </x:c>
      <x:c r="H69" s="94" t="n">
        <x:v>1</x:v>
      </x:c>
      <x:c r="I69" s="87" t="str">
        <x:v>Tier 2</x:v>
      </x:c>
      <x:c r="J69" s="87" t="str">
        <x:v>National Security Archive Iran 1953 coup</x:v>
      </x:c>
      <x:c r="K69" s="87" t="str">
        <x:v>https://nsarchive.gwu.edu/briefing-book/iran/2018-02-12/cia-declassifies-more-zendebad-shah-internal-study-1953-iran-coup</x:v>
      </x:c>
      <x:c r="L69" s="87" t="str">
        <x:v>1953-08-19</x:v>
      </x:c>
      <x:c r="M69" s="87" t="str">
        <x:v>2026-05-18</x:v>
      </x:c>
      <x:c r="N69" s="95" t="n">
        <x:v>0.9</x:v>
      </x:c>
      <x:c r="O69" s="95" t="n">
        <x:v>0.6</x:v>
      </x:c>
      <x:c r="P69" s="96" t="n">
        <x:v>85</x:v>
      </x:c>
      <x:c r="Q69" s="95" t="n">
        <x:f>H69*N69*O69</x:f>
        <x:v>0.54</x:v>
      </x:c>
      <x:c r="R69" s="95" t="n">
        <x:f>G69*Q69</x:f>
        <x:v>2.16</x:v>
      </x:c>
      <x:c r="S69" s="87" t="str">
        <x:v>Declassified CIA history/National Security Archive material supports high historical political-transition interference score for 1953.</x:v>
      </x:c>
      <x:c r="T69" s="87" t="str">
        <x:v>Yes</x:v>
      </x:c>
    </x:row>
    <x:row r="70">
      <x:c r="A70" s="87" t="str">
        <x:v>USA-E069</x:v>
      </x:c>
      <x:c r="B70" s="87" t="str">
        <x:v>Cuba</x:v>
      </x:c>
      <x:c r="C70" s="87" t="str">
        <x:v>CUB</x:v>
      </x:c>
      <x:c r="D70" s="87" t="str">
        <x:v>Caribbean</x:v>
      </x:c>
      <x:c r="E70" s="87" t="str">
        <x:v>U.S. influence / leverage</x:v>
      </x:c>
      <x:c r="F70" s="87" t="str">
        <x:v>Military/security assistance, basing, sanctions or alliance leverage</x:v>
      </x:c>
      <x:c r="G70" s="94" t="n">
        <x:v>3</x:v>
      </x:c>
      <x:c r="H70" s="94" t="n">
        <x:v>1</x:v>
      </x:c>
      <x:c r="I70" s="87" t="str">
        <x:v>Tier 1</x:v>
      </x:c>
      <x:c r="J70" s="87" t="str">
        <x:v>USAGM Office of Cuba Broadcasting</x:v>
      </x:c>
      <x:c r="K70" s="87" t="str">
        <x:v>https://www.usagm.gov/networks/ocb/</x:v>
      </x:c>
      <x:c r="L70" s="87" t="str">
        <x:v>2024-01-01</x:v>
      </x:c>
      <x:c r="M70" s="87" t="str">
        <x:v>2026-05-18</x:v>
      </x:c>
      <x:c r="N70" s="95" t="n">
        <x:v>1</x:v>
      </x:c>
      <x:c r="O70" s="95" t="n">
        <x:v>1</x:v>
      </x:c>
      <x:c r="P70" s="96" t="n">
        <x:v>85</x:v>
      </x:c>
      <x:c r="Q70" s="95" t="n">
        <x:f>H70*N70*O70</x:f>
        <x:v>1</x:v>
      </x:c>
      <x:c r="R70" s="95" t="n">
        <x:f>G70*Q70</x:f>
        <x:v>3</x:v>
      </x:c>
      <x:c r="S70" s="87" t="str">
        <x:v>U.S. pressure and democracy-support posture is persistent, but direct state leverage inside Cuba is constrained.</x:v>
      </x:c>
      <x:c r="T70" s="87" t="str">
        <x:v>Yes</x:v>
      </x:c>
    </x:row>
    <x:row r="71">
      <x:c r="A71" s="87" t="str">
        <x:v>USA-E070</x:v>
      </x:c>
      <x:c r="B71" s="87" t="str">
        <x:v>Cuba</x:v>
      </x:c>
      <x:c r="C71" s="87" t="str">
        <x:v>CUB</x:v>
      </x:c>
      <x:c r="D71" s="87" t="str">
        <x:v>Caribbean</x:v>
      </x:c>
      <x:c r="E71" s="87" t="str">
        <x:v>PMC / contractor presence</x:v>
      </x:c>
      <x:c r="F71" s="87" t="str">
        <x:v>Private military/security, contractor, logistics or base-support presence</x:v>
      </x:c>
      <x:c r="G71" s="94" t="n">
        <x:v>0</x:v>
      </x:c>
      <x:c r="H71" s="94" t="n">
        <x:v>1</x:v>
      </x:c>
      <x:c r="I71" s="87" t="str">
        <x:v>Tier 2</x:v>
      </x:c>
      <x:c r="J71" s="87" t="str">
        <x:v>CFR election interference report</x:v>
      </x:c>
      <x:c r="K71" s="87" t="str">
        <x:v>https://www.cfr.org/reports/banning-covert-foreign-election-interference</x:v>
      </x:c>
      <x:c r="L71" s="87" t="str">
        <x:v>2024-01-01</x:v>
      </x:c>
      <x:c r="M71" s="87" t="str">
        <x:v>2026-05-18</x:v>
      </x:c>
      <x:c r="N71" s="95" t="n">
        <x:v>0.9</x:v>
      </x:c>
      <x:c r="O71" s="95" t="n">
        <x:v>1</x:v>
      </x:c>
      <x:c r="P71" s="96" t="n">
        <x:v>60</x:v>
      </x:c>
      <x:c r="Q71" s="95" t="n">
        <x:f>H71*N71*O71</x:f>
        <x:v>0.9</x:v>
      </x:c>
      <x:c r="R71" s="95" t="n">
        <x:f>G71*Q71</x:f>
        <x:v>0</x:v>
      </x:c>
      <x:c r="S71" s="87" t="str">
        <x:v>No selected-source evidence of U.S. PMC presence.</x:v>
      </x:c>
      <x:c r="T71" s="87" t="str">
        <x:v>Yes</x:v>
      </x:c>
    </x:row>
    <x:row r="72">
      <x:c r="A72" s="87" t="str">
        <x:v>USA-E071</x:v>
      </x:c>
      <x:c r="B72" s="87" t="str">
        <x:v>Cuba</x:v>
      </x:c>
      <x:c r="C72" s="87" t="str">
        <x:v>CUB</x:v>
      </x:c>
      <x:c r="D72" s="87" t="str">
        <x:v>Caribbean</x:v>
      </x:c>
      <x:c r="E72" s="87" t="str">
        <x:v>U.S.-backed information ecosystem</x:v>
      </x:c>
      <x:c r="F72" s="87" t="str">
        <x:v>U.S.-funded international media, democracy media, anti-censorship, or political communication ecosystem</x:v>
      </x:c>
      <x:c r="G72" s="94" t="n">
        <x:v>5</x:v>
      </x:c>
      <x:c r="H72" s="94" t="n">
        <x:v>1</x:v>
      </x:c>
      <x:c r="I72" s="87" t="str">
        <x:v>Tier 1</x:v>
      </x:c>
      <x:c r="J72" s="87" t="str">
        <x:v>USAGM Office of Cuba Broadcasting</x:v>
      </x:c>
      <x:c r="K72" s="87" t="str">
        <x:v>https://www.usagm.gov/networks/ocb/</x:v>
      </x:c>
      <x:c r="L72" s="87" t="str">
        <x:v>2024-01-01</x:v>
      </x:c>
      <x:c r="M72" s="87" t="str">
        <x:v>2026-05-18</x:v>
      </x:c>
      <x:c r="N72" s="95" t="n">
        <x:v>1</x:v>
      </x:c>
      <x:c r="O72" s="95" t="n">
        <x:v>1</x:v>
      </x:c>
      <x:c r="P72" s="96" t="n">
        <x:v>80</x:v>
      </x:c>
      <x:c r="Q72" s="95" t="n">
        <x:f>H72*N72*O72</x:f>
        <x:v>1</x:v>
      </x:c>
      <x:c r="R72" s="95" t="n">
        <x:f>G72*Q72</x:f>
        <x:v>5</x:v>
      </x:c>
      <x:c r="S72" s="87" t="str">
        <x:v>USAGM Office of Cuba Broadcasting reports Radio/TV Martí with dedicated budget and audience estimate.</x:v>
      </x:c>
      <x:c r="T72" s="87" t="str">
        <x:v>Yes</x:v>
      </x:c>
    </x:row>
    <x:row r="73">
      <x:c r="A73" s="87" t="str">
        <x:v>USA-E072</x:v>
      </x:c>
      <x:c r="B73" s="87" t="str">
        <x:v>Cuba</x:v>
      </x:c>
      <x:c r="C73" s="87" t="str">
        <x:v>CUB</x:v>
      </x:c>
      <x:c r="D73" s="87" t="str">
        <x:v>Caribbean</x:v>
      </x:c>
      <x:c r="E73" s="87" t="str">
        <x:v>Election / political-transition interference</x:v>
      </x:c>
      <x:c r="F73" s="87" t="str">
        <x:v>Verified election, opposition, political-transition or regime-change interference/pressure</x:v>
      </x:c>
      <x:c r="G73" s="94" t="n">
        <x:v>3</x:v>
      </x:c>
      <x:c r="H73" s="94" t="n">
        <x:v>1</x:v>
      </x:c>
      <x:c r="I73" s="87" t="str">
        <x:v>Tier 1/2</x:v>
      </x:c>
      <x:c r="J73" s="87" t="str">
        <x:v>NED Grantmaking</x:v>
      </x:c>
      <x:c r="K73" s="87" t="str">
        <x:v>https://www.ned.org/ned-grantmaking/</x:v>
      </x:c>
      <x:c r="L73" s="87" t="str">
        <x:v>2024-01-01</x:v>
      </x:c>
      <x:c r="M73" s="87" t="str">
        <x:v>2026-05-18</x:v>
      </x:c>
      <x:c r="N73" s="95" t="n">
        <x:v>1</x:v>
      </x:c>
      <x:c r="O73" s="95" t="n">
        <x:v>1</x:v>
      </x:c>
      <x:c r="P73" s="96" t="n">
        <x:v>70</x:v>
      </x:c>
      <x:c r="Q73" s="95" t="n">
        <x:f>H73*N73*O73</x:f>
        <x:v>1</x:v>
      </x:c>
      <x:c r="R73" s="95" t="n">
        <x:f>G73*Q73</x:f>
        <x:v>3</x:v>
      </x:c>
      <x:c r="S73" s="87" t="str">
        <x:v>Score reflects democracy-support/pressure history and funding, but selected sources do not establish current direct election manipulation.</x:v>
      </x:c>
      <x:c r="T73" s="87" t="str">
        <x:v>Yes</x:v>
      </x:c>
    </x:row>
    <x:row r="74">
      <x:c r="A74" s="87" t="str">
        <x:v>USA-E073</x:v>
      </x:c>
      <x:c r="B74" s="87" t="str">
        <x:v>Qatar</x:v>
      </x:c>
      <x:c r="C74" s="87" t="str">
        <x:v>QAT</x:v>
      </x:c>
      <x:c r="D74" s="87" t="str">
        <x:v>Middle East / West Asia</x:v>
      </x:c>
      <x:c r="E74" s="87" t="str">
        <x:v>U.S. influence / leverage</x:v>
      </x:c>
      <x:c r="F74" s="87" t="str">
        <x:v>Military/security assistance, basing, sanctions or alliance leverage</x:v>
      </x:c>
      <x:c r="G74" s="94" t="n">
        <x:v>4</x:v>
      </x:c>
      <x:c r="H74" s="94" t="n">
        <x:v>1</x:v>
      </x:c>
      <x:c r="I74" s="87" t="str">
        <x:v>Tier 2</x:v>
      </x:c>
      <x:c r="J74" s="87" t="str">
        <x:v>CFR U.S. Forces in the Middle East</x:v>
      </x:c>
      <x:c r="K74" s="87" t="str">
        <x:v>https://www.cfr.org/article/us-forces-middle-east-mapping-military-presence</x:v>
      </x:c>
      <x:c r="L74" s="87" t="str">
        <x:v>2024-10-01</x:v>
      </x:c>
      <x:c r="M74" s="87" t="str">
        <x:v>2026-05-18</x:v>
      </x:c>
      <x:c r="N74" s="95" t="n">
        <x:v>0.9</x:v>
      </x:c>
      <x:c r="O74" s="95" t="n">
        <x:v>1</x:v>
      </x:c>
      <x:c r="P74" s="96" t="n">
        <x:v>85</x:v>
      </x:c>
      <x:c r="Q74" s="95" t="n">
        <x:f>H74*N74*O74</x:f>
        <x:v>0.9</x:v>
      </x:c>
      <x:c r="R74" s="95" t="n">
        <x:f>G74*Q74</x:f>
        <x:v>3.6</x:v>
      </x:c>
      <x:c r="S74" s="87" t="str">
        <x:v>Qatar hosts a major U.S. regional military hub; CFR describes extensive Middle East military footprint including permanent bases.</x:v>
      </x:c>
      <x:c r="T74" s="87" t="str">
        <x:v>Yes</x:v>
      </x:c>
    </x:row>
    <x:row r="75">
      <x:c r="A75" s="87" t="str">
        <x:v>USA-E074</x:v>
      </x:c>
      <x:c r="B75" s="87" t="str">
        <x:v>Qatar</x:v>
      </x:c>
      <x:c r="C75" s="87" t="str">
        <x:v>QAT</x:v>
      </x:c>
      <x:c r="D75" s="87" t="str">
        <x:v>Middle East / West Asia</x:v>
      </x:c>
      <x:c r="E75" s="87" t="str">
        <x:v>PMC / contractor presence</x:v>
      </x:c>
      <x:c r="F75" s="87" t="str">
        <x:v>Private military/security, contractor, logistics or base-support presence</x:v>
      </x:c>
      <x:c r="G75" s="94" t="n">
        <x:v>4</x:v>
      </x:c>
      <x:c r="H75" s="94" t="n">
        <x:v>1</x:v>
      </x:c>
      <x:c r="I75" s="87" t="str">
        <x:v>Tier 1</x:v>
      </x:c>
      <x:c r="J75" s="87" t="str">
        <x:v>DoD CENTCOM contractor report</x:v>
      </x:c>
      <x:c r="K75" s="87" t="str">
        <x:v>https://www.acq.osd.mil/asds/log/cso/ocs/docs/CENTCOM/FY24_4Q_5A_Oct2024.pdf</x:v>
      </x:c>
      <x:c r="L75" s="87" t="str">
        <x:v>2024-10-01</x:v>
      </x:c>
      <x:c r="M75" s="87" t="str">
        <x:v>2026-05-18</x:v>
      </x:c>
      <x:c r="N75" s="95" t="n">
        <x:v>1</x:v>
      </x:c>
      <x:c r="O75" s="95" t="n">
        <x:v>1</x:v>
      </x:c>
      <x:c r="P75" s="96" t="n">
        <x:v>85</x:v>
      </x:c>
      <x:c r="Q75" s="95" t="n">
        <x:f>H75*N75*O75</x:f>
        <x:v>1</x:v>
      </x:c>
      <x:c r="R75" s="95" t="n">
        <x:f>G75*Q75</x:f>
        <x:v>4</x:v>
      </x:c>
      <x:c r="S75" s="87" t="str">
        <x:v>DoD CENTCOM contractor data for other regional locations supports a high contractor/base-support score.</x:v>
      </x:c>
      <x:c r="T75" s="87" t="str">
        <x:v>Yes</x:v>
      </x:c>
    </x:row>
    <x:row r="76">
      <x:c r="A76" s="87" t="str">
        <x:v>USA-E075</x:v>
      </x:c>
      <x:c r="B76" s="87" t="str">
        <x:v>Qatar</x:v>
      </x:c>
      <x:c r="C76" s="87" t="str">
        <x:v>QAT</x:v>
      </x:c>
      <x:c r="D76" s="87" t="str">
        <x:v>Middle East / West Asia</x:v>
      </x:c>
      <x:c r="E76" s="87" t="str">
        <x:v>U.S.-backed information ecosystem</x:v>
      </x:c>
      <x:c r="F76" s="87" t="str">
        <x:v>U.S.-funded international media, democracy media, anti-censorship, or political communication ecosystem</x:v>
      </x:c>
      <x:c r="G76" s="94" t="n">
        <x:v>2</x:v>
      </x:c>
      <x:c r="H76" s="94" t="n">
        <x:v>1</x:v>
      </x:c>
      <x:c r="I76" s="87" t="str">
        <x:v>Tier 1</x:v>
      </x:c>
      <x:c r="J76" s="87" t="str">
        <x:v>USAGM Our Work</x:v>
      </x:c>
      <x:c r="K76" s="87" t="str">
        <x:v>https://www.usagm.gov/our-work/</x:v>
      </x:c>
      <x:c r="L76" s="87" t="str">
        <x:v>2024-10-01</x:v>
      </x:c>
      <x:c r="M76" s="87" t="str">
        <x:v>2026-05-18</x:v>
      </x:c>
      <x:c r="N76" s="95" t="n">
        <x:v>1</x:v>
      </x:c>
      <x:c r="O76" s="95" t="n">
        <x:v>1</x:v>
      </x:c>
      <x:c r="P76" s="96" t="n">
        <x:v>70</x:v>
      </x:c>
      <x:c r="Q76" s="95" t="n">
        <x:f>H76*N76*O76</x:f>
        <x:v>1</x:v>
      </x:c>
      <x:c r="R76" s="95" t="n">
        <x:f>G76*Q76</x:f>
        <x:v>2</x:v>
      </x:c>
      <x:c r="S76" s="87" t="str">
        <x:v>U.S.-funded media is present regionally but not a dominant Qatar-specific channel.</x:v>
      </x:c>
      <x:c r="T76" s="87" t="str">
        <x:v>Yes</x:v>
      </x:c>
    </x:row>
    <x:row r="77">
      <x:c r="A77" s="87" t="str">
        <x:v>USA-E076</x:v>
      </x:c>
      <x:c r="B77" s="87" t="str">
        <x:v>Qatar</x:v>
      </x:c>
      <x:c r="C77" s="87" t="str">
        <x:v>QAT</x:v>
      </x:c>
      <x:c r="D77" s="87" t="str">
        <x:v>Middle East / West Asia</x:v>
      </x:c>
      <x:c r="E77" s="87" t="str">
        <x:v>Election / political-transition interference</x:v>
      </x:c>
      <x:c r="F77" s="87" t="str">
        <x:v>Verified election, opposition, political-transition or regime-change interference/pressure</x:v>
      </x:c>
      <x:c r="G77" s="94" t="n">
        <x:v>0</x:v>
      </x:c>
      <x:c r="H77" s="94" t="n">
        <x:v>1</x:v>
      </x:c>
      <x:c r="I77" s="87" t="str">
        <x:v>Tier 2</x:v>
      </x:c>
      <x:c r="J77" s="87" t="str">
        <x:v>CFR election interference report</x:v>
      </x:c>
      <x:c r="K77" s="87" t="str">
        <x:v>https://www.cfr.org/reports/banning-covert-foreign-election-interference</x:v>
      </x:c>
      <x:c r="L77" s="87" t="str">
        <x:v>2024-10-01</x:v>
      </x:c>
      <x:c r="M77" s="87" t="str">
        <x:v>2026-05-18</x:v>
      </x:c>
      <x:c r="N77" s="95" t="n">
        <x:v>0.9</x:v>
      </x:c>
      <x:c r="O77" s="95" t="n">
        <x:v>1</x:v>
      </x:c>
      <x:c r="P77" s="96" t="n">
        <x:v>65</x:v>
      </x:c>
      <x:c r="Q77" s="95" t="n">
        <x:f>H77*N77*O77</x:f>
        <x:v>0.9</x:v>
      </x:c>
      <x:c r="R77" s="95" t="n">
        <x:f>G77*Q77</x:f>
        <x:v>0</x:v>
      </x:c>
      <x:c r="S77" s="87" t="str">
        <x:v>No selected-source evidence of U.S. election interference.</x:v>
      </x:c>
      <x:c r="T77" s="87" t="str">
        <x:v>Yes</x:v>
      </x:c>
    </x:row>
    <x:row r="78">
      <x:c r="A78" s="87" t="str">
        <x:v>USA-E077</x:v>
      </x:c>
      <x:c r="B78" s="87" t="str">
        <x:v>Djibouti</x:v>
      </x:c>
      <x:c r="C78" s="87" t="str">
        <x:v>DJI</x:v>
      </x:c>
      <x:c r="D78" s="87" t="str">
        <x:v>Horn of Africa</x:v>
      </x:c>
      <x:c r="E78" s="87" t="str">
        <x:v>U.S. influence / leverage</x:v>
      </x:c>
      <x:c r="F78" s="87" t="str">
        <x:v>Military/security assistance, basing, sanctions or alliance leverage</x:v>
      </x:c>
      <x:c r="G78" s="94" t="n">
        <x:v>4</x:v>
      </x:c>
      <x:c r="H78" s="94" t="n">
        <x:v>1</x:v>
      </x:c>
      <x:c r="I78" s="87" t="str">
        <x:v>Tier 1</x:v>
      </x:c>
      <x:c r="J78" s="87" t="str">
        <x:v>DoD OIG Camp Lemonnier inspection</x:v>
      </x:c>
      <x:c r="K78" s="87" t="str">
        <x:v>https://www.dodig.mil/reports.html/Article/1212353/uscontrolled-and-occupied-military-facilities-inspection-camp-lemonnier-djibouti/</x:v>
      </x:c>
      <x:c r="L78" s="87" t="str">
        <x:v>2017-06-07</x:v>
      </x:c>
      <x:c r="M78" s="87" t="str">
        <x:v>2026-05-18</x:v>
      </x:c>
      <x:c r="N78" s="95" t="n">
        <x:v>1</x:v>
      </x:c>
      <x:c r="O78" s="95" t="n">
        <x:v>1</x:v>
      </x:c>
      <x:c r="P78" s="96" t="n">
        <x:v>85</x:v>
      </x:c>
      <x:c r="Q78" s="95" t="n">
        <x:f>H78*N78*O78</x:f>
        <x:v>1</x:v>
      </x:c>
      <x:c r="R78" s="95" t="n">
        <x:f>G78*Q78</x:f>
        <x:v>4</x:v>
      </x:c>
      <x:c r="S78" s="87" t="str">
        <x:v>Camp Lemonnier is a major U.S. military-occupied facility and regional hub.</x:v>
      </x:c>
      <x:c r="T78" s="87" t="str">
        <x:v>Yes</x:v>
      </x:c>
    </x:row>
    <x:row r="79">
      <x:c r="A79" s="87" t="str">
        <x:v>USA-E078</x:v>
      </x:c>
      <x:c r="B79" s="87" t="str">
        <x:v>Djibouti</x:v>
      </x:c>
      <x:c r="C79" s="87" t="str">
        <x:v>DJI</x:v>
      </x:c>
      <x:c r="D79" s="87" t="str">
        <x:v>Horn of Africa</x:v>
      </x:c>
      <x:c r="E79" s="87" t="str">
        <x:v>PMC / contractor presence</x:v>
      </x:c>
      <x:c r="F79" s="87" t="str">
        <x:v>Private military/security, contractor, logistics or base-support presence</x:v>
      </x:c>
      <x:c r="G79" s="94" t="n">
        <x:v>3</x:v>
      </x:c>
      <x:c r="H79" s="94" t="n">
        <x:v>1</x:v>
      </x:c>
      <x:c r="I79" s="87" t="str">
        <x:v>Tier 1</x:v>
      </x:c>
      <x:c r="J79" s="87" t="str">
        <x:v>DoD OIG Camp Lemonnier inspection</x:v>
      </x:c>
      <x:c r="K79" s="87" t="str">
        <x:v>https://www.dodig.mil/reports.html/Article/1212353/uscontrolled-and-occupied-military-facilities-inspection-camp-lemonnier-djibouti/</x:v>
      </x:c>
      <x:c r="L79" s="87" t="str">
        <x:v>2017-06-07</x:v>
      </x:c>
      <x:c r="M79" s="87" t="str">
        <x:v>2026-05-18</x:v>
      </x:c>
      <x:c r="N79" s="95" t="n">
        <x:v>1</x:v>
      </x:c>
      <x:c r="O79" s="95" t="n">
        <x:v>1</x:v>
      </x:c>
      <x:c r="P79" s="96" t="n">
        <x:v>85</x:v>
      </x:c>
      <x:c r="Q79" s="95" t="n">
        <x:f>H79*N79*O79</x:f>
        <x:v>1</x:v>
      </x:c>
      <x:c r="R79" s="95" t="n">
        <x:f>G79*Q79</x:f>
        <x:v>3</x:v>
      </x:c>
      <x:c r="S79" s="87" t="str">
        <x:v>DoD OIG inspection documents contractor maintenance and base operating services issues.</x:v>
      </x:c>
      <x:c r="T79" s="87" t="str">
        <x:v>Yes</x:v>
      </x:c>
    </x:row>
    <x:row r="80">
      <x:c r="A80" s="87" t="str">
        <x:v>USA-E079</x:v>
      </x:c>
      <x:c r="B80" s="87" t="str">
        <x:v>Djibouti</x:v>
      </x:c>
      <x:c r="C80" s="87" t="str">
        <x:v>DJI</x:v>
      </x:c>
      <x:c r="D80" s="87" t="str">
        <x:v>Horn of Africa</x:v>
      </x:c>
      <x:c r="E80" s="87" t="str">
        <x:v>U.S.-backed information ecosystem</x:v>
      </x:c>
      <x:c r="F80" s="87" t="str">
        <x:v>U.S.-funded international media, democracy media, anti-censorship, or political communication ecosystem</x:v>
      </x:c>
      <x:c r="G80" s="94" t="n">
        <x:v>2</x:v>
      </x:c>
      <x:c r="H80" s="94" t="n">
        <x:v>1</x:v>
      </x:c>
      <x:c r="I80" s="87" t="str">
        <x:v>Tier 1</x:v>
      </x:c>
      <x:c r="J80" s="87" t="str">
        <x:v>USAGM Our Work</x:v>
      </x:c>
      <x:c r="K80" s="87" t="str">
        <x:v>https://www.usagm.gov/our-work/</x:v>
      </x:c>
      <x:c r="L80" s="87" t="str">
        <x:v>2017-06-07</x:v>
      </x:c>
      <x:c r="M80" s="87" t="str">
        <x:v>2026-05-18</x:v>
      </x:c>
      <x:c r="N80" s="95" t="n">
        <x:v>1</x:v>
      </x:c>
      <x:c r="O80" s="95" t="n">
        <x:v>1</x:v>
      </x:c>
      <x:c r="P80" s="96" t="n">
        <x:v>70</x:v>
      </x:c>
      <x:c r="Q80" s="95" t="n">
        <x:f>H80*N80*O80</x:f>
        <x:v>1</x:v>
      </x:c>
      <x:c r="R80" s="95" t="n">
        <x:f>G80*Q80</x:f>
        <x:v>2</x:v>
      </x:c>
      <x:c r="S80" s="87" t="str">
        <x:v>U.S.-funded media is present regionally but not a dominant Djibouti-specific channel.</x:v>
      </x:c>
      <x:c r="T80" s="87" t="str">
        <x:v>Yes</x:v>
      </x:c>
    </x:row>
    <x:row r="81">
      <x:c r="A81" s="87" t="str">
        <x:v>USA-E080</x:v>
      </x:c>
      <x:c r="B81" s="87" t="str">
        <x:v>Djibouti</x:v>
      </x:c>
      <x:c r="C81" s="87" t="str">
        <x:v>DJI</x:v>
      </x:c>
      <x:c r="D81" s="87" t="str">
        <x:v>Horn of Africa</x:v>
      </x:c>
      <x:c r="E81" s="87" t="str">
        <x:v>Election / political-transition interference</x:v>
      </x:c>
      <x:c r="F81" s="87" t="str">
        <x:v>Verified election, opposition, political-transition or regime-change interference/pressure</x:v>
      </x:c>
      <x:c r="G81" s="94" t="n">
        <x:v>0</x:v>
      </x:c>
      <x:c r="H81" s="94" t="n">
        <x:v>1</x:v>
      </x:c>
      <x:c r="I81" s="87" t="str">
        <x:v>Tier 2</x:v>
      </x:c>
      <x:c r="J81" s="87" t="str">
        <x:v>CFR election interference report</x:v>
      </x:c>
      <x:c r="K81" s="87" t="str">
        <x:v>https://www.cfr.org/reports/banning-covert-foreign-election-interference</x:v>
      </x:c>
      <x:c r="L81" s="87" t="str">
        <x:v>2017-06-07</x:v>
      </x:c>
      <x:c r="M81" s="87" t="str">
        <x:v>2026-05-18</x:v>
      </x:c>
      <x:c r="N81" s="95" t="n">
        <x:v>0.9</x:v>
      </x:c>
      <x:c r="O81" s="95" t="n">
        <x:v>1</x:v>
      </x:c>
      <x:c r="P81" s="96" t="n">
        <x:v>65</x:v>
      </x:c>
      <x:c r="Q81" s="95" t="n">
        <x:f>H81*N81*O81</x:f>
        <x:v>0.9</x:v>
      </x:c>
      <x:c r="R81" s="95" t="n">
        <x:f>G81*Q81</x:f>
        <x:v>0</x:v>
      </x:c>
      <x:c r="S81" s="87" t="str">
        <x:v>No selected-source evidence of U.S. election interference.</x:v>
      </x:c>
      <x:c r="T81" s="87" t="str">
        <x:v>Yes</x:v>
      </x:c>
    </x:row>
  </x:sheetData>
  <x:conditionalFormatting sqref="G2:G81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P2:P81">
    <x:cfRule type="dataBar" priority="2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{EA7FE9F5-8FE8-D6D1-4905-EBBED4671B2C}</x14:id>
        </x:ext>
      </x:extLst>
    </x:cfRule>
  </x:conditionalFormatting>
  <x:dataValidations count="1">
    <x:dataValidation type="list" sqref="T2:T8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7451f683404a8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A7FE9F5-8FE8-D6D1-4905-EBBED4671B2C}">
            <x14:dataBar gradient="1">
              <x14:cfvo type="min"/>
              <x14:cfvo type="max"/>
              <x14:fillColor rgb="2563EB"/>
            </x14:dataBar>
          </x14:cfRule>
          <xm:sqref>P2:P81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4" hidden="0" customWidth="1"/>
    <x:col min="8" max="8" width="10" hidden="0" customWidth="1"/>
  </x:cols>
  <x:sheetData>
    <x:row r="1">
      <x:c r="A1" s="86" t="str">
        <x:v>USA Influence Scoring Rubric</x:v>
      </x:c>
      <x:c r="B1" s="87"/>
      <x:c r="C1" s="87"/>
      <x:c r="D1" s="87"/>
      <x:c r="E1" s="87"/>
      <x:c r="F1" s="87"/>
      <x:c r="G1" s="87"/>
      <x:c r="H1" s="87"/>
    </x:row>
    <x:row r="2">
      <x:c r="A2" s="87"/>
      <x:c r="B2" s="87"/>
      <x:c r="C2" s="87"/>
      <x:c r="D2" s="87"/>
      <x:c r="E2" s="87"/>
      <x:c r="F2" s="87"/>
      <x:c r="G2" s="87"/>
      <x:c r="H2" s="87"/>
    </x:row>
    <x:row r="3">
      <x:c r="A3" s="93" t="str">
        <x:v>Factor</x:v>
      </x:c>
      <x:c r="B3" s="93" t="str">
        <x:v>Score 0</x:v>
      </x:c>
      <x:c r="C3" s="93" t="str">
        <x:v>Score 1</x:v>
      </x:c>
      <x:c r="D3" s="93" t="str">
        <x:v>Score 2</x:v>
      </x:c>
      <x:c r="E3" s="93" t="str">
        <x:v>Score 3</x:v>
      </x:c>
      <x:c r="F3" s="93" t="str">
        <x:v>Score 4</x:v>
      </x:c>
      <x:c r="G3" s="93" t="str">
        <x:v>Score 5</x:v>
      </x:c>
      <x:c r="H3" s="93" t="str">
        <x:v>Weight</x:v>
      </x:c>
    </x:row>
    <x:row r="4">
      <x:c r="A4" s="80" t="str">
        <x:v>U.S. influence / leverage</x:v>
      </x:c>
      <x:c r="B4" s="80" t="str">
        <x:v>No verified U.S. leverage</x:v>
      </x:c>
      <x:c r="C4" s="80" t="str">
        <x:v>Symbolic/diplomatic signal</x:v>
      </x:c>
      <x:c r="D4" s="80" t="str">
        <x:v>Limited aid or episodic pressure</x:v>
      </x:c>
      <x:c r="E4" s="80" t="str">
        <x:v>Substantial aid/security/political leverage</x:v>
      </x:c>
      <x:c r="F4" s="80" t="str">
        <x:v>Major basing, sanctions, or security relationship</x:v>
      </x:c>
      <x:c r="G4" s="80" t="str">
        <x:v>Decisive occupation/alliance/basing or large assistance leverage</x:v>
      </x:c>
      <x:c r="H4" s="80" t="n">
        <x:v>1</x:v>
      </x:c>
    </x:row>
    <x:row r="5">
      <x:c r="A5" s="80" t="str">
        <x:v>PMC / contractor presence</x:v>
      </x:c>
      <x:c r="B5" s="80" t="str">
        <x:v>No verified PMC/contractor presence</x:v>
      </x:c>
      <x:c r="C5" s="80" t="str">
        <x:v>Weak/legacy contracting signal</x:v>
      </x:c>
      <x:c r="D5" s="80" t="str">
        <x:v>Limited support/logistics contracting</x:v>
      </x:c>
      <x:c r="E5" s="80" t="str">
        <x:v>Sustained contractor/base-support ecosystem</x:v>
      </x:c>
      <x:c r="F5" s="80" t="str">
        <x:v>Large contractor/security-support presence</x:v>
      </x:c>
      <x:c r="G5" s="80" t="str">
        <x:v>Large verified armed/private security or contractor-heavy intervention</x:v>
      </x:c>
      <x:c r="H5" s="80" t="n">
        <x:v>1</x:v>
      </x:c>
    </x:row>
    <x:row r="6">
      <x:c r="A6" s="80" t="str">
        <x:v>U.S.-backed information ecosystem</x:v>
      </x:c>
      <x:c r="B6" s="80" t="str">
        <x:v>No verified U.S.-funded information ecosystem</x:v>
      </x:c>
      <x:c r="C6" s="80" t="str">
        <x:v>Small or indirect media/civil-society signal</x:v>
      </x:c>
      <x:c r="D6" s="80" t="str">
        <x:v>Moderate media/democracy/anti-censorship network</x:v>
      </x:c>
      <x:c r="E6" s="80" t="str">
        <x:v>Substantial U.S.-funded media/civil society reach</x:v>
      </x:c>
      <x:c r="F6" s="80" t="str">
        <x:v>Large audience or highly targeted information ecosystem</x:v>
      </x:c>
      <x:c r="G6" s="80" t="str">
        <x:v>Dedicated country-specific broadcasting/propaganda or decisive influence infrastructure</x:v>
      </x:c>
      <x:c r="H6" s="80" t="n">
        <x:v>1</x:v>
      </x:c>
    </x:row>
    <x:row r="7">
      <x:c r="A7" s="80" t="str">
        <x:v>Election / political-transition interference</x:v>
      </x:c>
      <x:c r="B7" s="80" t="str">
        <x:v>No verified interference</x:v>
      </x:c>
      <x:c r="C7" s="80" t="str">
        <x:v>Low/indirect political assistance only</x:v>
      </x:c>
      <x:c r="D7" s="80" t="str">
        <x:v>Overt electoral pressure or post-conflict election architecture</x:v>
      </x:c>
      <x:c r="E7" s="80" t="str">
        <x:v>Strong direct support to opposition/election strategy or transition pressure</x:v>
      </x:c>
      <x:c r="F7" s="80" t="str">
        <x:v>Major verified campaign, financing, or transition interference</x:v>
      </x:c>
      <x:c r="G7" s="80" t="str">
        <x:v>Covert coup, decisive election interference, or regime-change operation</x:v>
      </x:c>
      <x:c r="H7" s="80" t="n">
        <x:v>1</x:v>
      </x:c>
    </x:row>
    <x:row r="8">
      <x:c r="A8" s="87"/>
      <x:c r="B8" s="87"/>
      <x:c r="C8" s="87"/>
      <x:c r="D8" s="87"/>
      <x:c r="E8" s="87"/>
      <x:c r="F8" s="87"/>
      <x:c r="G8" s="87"/>
      <x:c r="H8" s="87"/>
    </x:row>
    <x:row r="9">
      <x:c r="A9" s="88" t="str">
        <x:v>Confidence rubric</x:v>
      </x:c>
      <x:c r="B9" s="87"/>
      <x:c r="C9" s="87"/>
      <x:c r="D9" s="87"/>
      <x:c r="E9" s="87"/>
      <x:c r="F9" s="87"/>
      <x:c r="G9" s="87"/>
      <x:c r="H9" s="87"/>
    </x:row>
    <x:row r="10">
      <x:c r="A10" s="93" t="str">
        <x:v>Band</x:v>
      </x:c>
      <x:c r="B10" s="93" t="str">
        <x:v>Range</x:v>
      </x:c>
      <x:c r="C10" s="93" t="str">
        <x:v>Interpretation</x:v>
      </x:c>
      <x:c r="D10" s="87"/>
      <x:c r="E10" s="87"/>
      <x:c r="F10" s="87"/>
      <x:c r="G10" s="87"/>
      <x:c r="H10" s="87"/>
    </x:row>
    <x:row r="11">
      <x:c r="A11" s="80" t="str">
        <x:v>High</x:v>
      </x:c>
      <x:c r="B11" s="80" t="str">
        <x:v>80-100</x:v>
      </x:c>
      <x:c r="C11" s="80" t="str">
        <x:v>Multiple direct or official sources; country/factor-specific evidence; current data where relevant.</x:v>
      </x:c>
      <x:c r="D11" s="87"/>
      <x:c r="E11" s="87"/>
      <x:c r="F11" s="87"/>
      <x:c r="G11" s="87"/>
      <x:c r="H11" s="87"/>
    </x:row>
    <x:row r="12">
      <x:c r="A12" s="80" t="str">
        <x:v>Medium</x:v>
      </x:c>
      <x:c r="B12" s="80" t="str">
        <x:v>60-79</x:v>
      </x:c>
      <x:c r="C12" s="80" t="str">
        <x:v>Reliable sources but some evidence is historical, regional, or inferential.</x:v>
      </x:c>
      <x:c r="D12" s="87"/>
      <x:c r="E12" s="87"/>
      <x:c r="F12" s="87"/>
      <x:c r="G12" s="87"/>
      <x:c r="H12" s="87"/>
    </x:row>
    <x:row r="13">
      <x:c r="A13" s="80" t="str">
        <x:v>Low</x:v>
      </x:c>
      <x:c r="B13" s="80" t="str">
        <x:v>40-59</x:v>
      </x:c>
      <x:c r="C13" s="80" t="str">
        <x:v>Evidence is thin or indirect; score should be reviewed before publication.</x:v>
      </x:c>
      <x:c r="D13" s="87"/>
      <x:c r="E13" s="87"/>
      <x:c r="F13" s="87"/>
      <x:c r="G13" s="87"/>
      <x:c r="H13" s="87"/>
    </x:row>
    <x:row r="14">
      <x:c r="A14" s="80" t="str">
        <x:v>Needs review</x:v>
      </x:c>
      <x:c r="B14" s="80" t="str">
        <x:v>0-39</x:v>
      </x:c>
      <x:c r="C14" s="80" t="str">
        <x:v>Insufficient or contradictory evidence; not publication-ready.</x:v>
      </x:c>
      <x:c r="D14" s="87"/>
      <x:c r="E14" s="87"/>
      <x:c r="F14" s="87"/>
      <x:c r="G14" s="87"/>
      <x:c r="H14" s="87"/>
    </x:row>
  </x:sheetData>
  <x:mergeCells>
    <x:mergeCell ref="A1:H1"/>
    <x:mergeCell ref="A9:H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6" hidden="0" customWidth="1"/>
    <x:col min="4" max="4" width="22" hidden="0" customWidth="1"/>
    <x:col min="5" max="5" width="62" hidden="0" customWidth="1"/>
    <x:col min="6" max="6" width="38" hidden="0" customWidth="1"/>
    <x:col min="7" max="7" width="70" hidden="0" customWidth="1"/>
    <x:col min="8" max="8" width="14" hidden="0" customWidth="1"/>
  </x:cols>
  <x:sheetData>
    <x:row r="1">
      <x:c r="A1" s="93" t="str">
        <x:v>Source_ID</x:v>
      </x:c>
      <x:c r="B1" s="93" t="str">
        <x:v>Source_Name</x:v>
      </x:c>
      <x:c r="C1" s="93" t="str">
        <x:v>Organization_Type</x:v>
      </x:c>
      <x:c r="D1" s="93" t="str">
        <x:v>Reliability_Tier</x:v>
      </x:c>
      <x:c r="E1" s="93" t="str">
        <x:v>URL</x:v>
      </x:c>
      <x:c r="F1" s="93" t="str">
        <x:v>Use_in_Model</x:v>
      </x:c>
      <x:c r="G1" s="93" t="str">
        <x:v>Notes</x:v>
      </x:c>
      <x:c r="H1" s="93" t="str">
        <x:v>Retrieved_Date</x:v>
      </x:c>
    </x:row>
    <x:row r="2">
      <x:c r="A2" s="87" t="str">
        <x:v>S001</x:v>
      </x:c>
      <x:c r="B2" s="87" t="str">
        <x:v>CRS / EveryCRS: U.S. Overseas Basing</x:v>
      </x:c>
      <x:c r="C2" s="87" t="str">
        <x:v>Congressional Research Service</x:v>
      </x:c>
      <x:c r="D2" s="87" t="str">
        <x:v>Tier 1 / official analysis</x:v>
      </x:c>
      <x:c r="E2" s="87" t="str">
        <x:v>https://www.everycrsreport.com/reports/R48123.html</x:v>
      </x:c>
      <x:c r="F2" s="87" t="str">
        <x:v>U.S. overseas military basing, posture, and power projection</x:v>
      </x:c>
      <x:c r="G2" s="87" t="str">
        <x:v>Used for U.S. influence / leverage and base-presence indicators.</x:v>
      </x:c>
      <x:c r="H2" s="87" t="str">
        <x:v>2026-05-18</x:v>
      </x:c>
    </x:row>
    <x:row r="3">
      <x:c r="A3" s="87" t="str">
        <x:v>S002</x:v>
      </x:c>
      <x:c r="B3" s="87" t="str">
        <x:v>DoD: Contractor Support of U.S. Operations in USCENTCOM AOR, FY2024 Q4</x:v>
      </x:c>
      <x:c r="C3" s="87" t="str">
        <x:v>U.S. Department of Defense</x:v>
      </x:c>
      <x:c r="D3" s="87" t="str">
        <x:v>Tier 1 / official data</x:v>
      </x:c>
      <x:c r="E3" s="87" t="str">
        <x:v>https://www.acq.osd.mil/asds/log/cso/ocs/docs/CENTCOM/FY24_4Q_5A_Oct2024.pdf</x:v>
      </x:c>
      <x:c r="F3" s="87" t="str">
        <x:v>DoD contractor counts in Iraq/Syria and other CENTCOM locations</x:v>
      </x:c>
      <x:c r="G3" s="87" t="str">
        <x:v>Counts broad contractor personnel; not all are armed private military/security contractors.</x:v>
      </x:c>
      <x:c r="H3" s="87" t="str">
        <x:v>2026-05-18</x:v>
      </x:c>
    </x:row>
    <x:row r="4">
      <x:c r="A4" s="87" t="str">
        <x:v>S003</x:v>
      </x:c>
      <x:c r="B4" s="87" t="str">
        <x:v>CRS: Defense Primer: Department of Defense Contractors</x:v>
      </x:c>
      <x:c r="C4" s="87" t="str">
        <x:v>Congressional Research Service</x:v>
      </x:c>
      <x:c r="D4" s="87" t="str">
        <x:v>Tier 1 / official analysis</x:v>
      </x:c>
      <x:c r="E4" s="87" t="str">
        <x:v>https://www.congress.gov/crs-products/product/pdf/IF/IF10600/14</x:v>
      </x:c>
      <x:c r="F4" s="87" t="str">
        <x:v>Definition and use of DoD contractors, including security contractors in Iraq</x:v>
      </x:c>
      <x:c r="G4" s="87" t="str">
        <x:v>Used to distinguish contractors from uniformed military personnel.</x:v>
      </x:c>
      <x:c r="H4" s="87" t="str">
        <x:v>2026-05-18</x:v>
      </x:c>
    </x:row>
    <x:row r="5">
      <x:c r="A5" s="87" t="str">
        <x:v>S004</x:v>
      </x:c>
      <x:c r="B5" s="87" t="str">
        <x:v>USAGM: Our Work</x:v>
      </x:c>
      <x:c r="C5" s="87" t="str">
        <x:v>U.S. Agency for Global Media</x:v>
      </x:c>
      <x:c r="D5" s="87" t="str">
        <x:v>Tier 1 / official data</x:v>
      </x:c>
      <x:c r="E5" s="87" t="str">
        <x:v>https://www.usagm.gov/our-work/</x:v>
      </x:c>
      <x:c r="F5" s="87" t="str">
        <x:v>U.S.-funded international media networks; global reach and languages</x:v>
      </x:c>
      <x:c r="G5" s="87" t="str">
        <x:v>Used for information ecosystem / propaganda infrastructure scoring.</x:v>
      </x:c>
      <x:c r="H5" s="87" t="str">
        <x:v>2026-05-18</x:v>
      </x:c>
    </x:row>
    <x:row r="6">
      <x:c r="A6" s="87" t="str">
        <x:v>S005</x:v>
      </x:c>
      <x:c r="B6" s="87" t="str">
        <x:v>USAGM: FY2024 record global audience</x:v>
      </x:c>
      <x:c r="C6" s="87" t="str">
        <x:v>U.S. Agency for Global Media</x:v>
      </x:c>
      <x:c r="D6" s="87" t="str">
        <x:v>Tier 1 / official data</x:v>
      </x:c>
      <x:c r="E6" s="87" t="str">
        <x:v>https://www.usagm.gov/2025/01/17/usagm-networks-reached-record-global-audience-in-fy-2024-according-to-new-report/</x:v>
      </x:c>
      <x:c r="F6" s="87" t="str">
        <x:v>USAGM weekly measured audience; regional/country examples</x:v>
      </x:c>
      <x:c r="G6" s="87" t="str">
        <x:v>Used for information ecosystem scoring.</x:v>
      </x:c>
      <x:c r="H6" s="87" t="str">
        <x:v>2026-05-18</x:v>
      </x:c>
    </x:row>
    <x:row r="7">
      <x:c r="A7" s="87" t="str">
        <x:v>S006</x:v>
      </x:c>
      <x:c r="B7" s="87" t="str">
        <x:v>NED: Grantmaking</x:v>
      </x:c>
      <x:c r="C7" s="87" t="str">
        <x:v>National Endowment for Democracy</x:v>
      </x:c>
      <x:c r="D7" s="87" t="str">
        <x:v>Tier 1/2 / public grantmaker</x:v>
      </x:c>
      <x:c r="E7" s="87" t="str">
        <x:v>https://www.ned.org/ned-grantmaking/</x:v>
      </x:c>
      <x:c r="F7" s="87" t="str">
        <x:v>Democracy-assistance grants to civil society, media, think tanks, parties/labor/business institutes</x:v>
      </x:c>
      <x:c r="G7" s="87" t="str">
        <x:v>Used as open evidence of U.S.-funded political/civil-society networks; not automatically coded as election interference.</x:v>
      </x:c>
      <x:c r="H7" s="87" t="str">
        <x:v>2026-05-18</x:v>
      </x:c>
    </x:row>
    <x:row r="8">
      <x:c r="A8" s="87" t="str">
        <x:v>S007</x:v>
      </x:c>
      <x:c r="B8" s="87" t="str">
        <x:v>CFR: Banning Covert Foreign Election Interference</x:v>
      </x:c>
      <x:c r="C8" s="87" t="str">
        <x:v>Council on Foreign Relations</x:v>
      </x:c>
      <x:c r="D8" s="87" t="str">
        <x:v>Tier 2 / think-tank synthesis</x:v>
      </x:c>
      <x:c r="E8" s="87" t="str">
        <x:v>https://www.cfr.org/reports/banning-covert-foreign-election-interference</x:v>
      </x:c>
      <x:c r="F8" s="87" t="str">
        <x:v>Historical U.S. and Soviet/Russian election interference; Dov Levin dataset summary</x:v>
      </x:c>
      <x:c r="G8" s="87" t="str">
        <x:v>Used as cross-national evidence for election/political interference categories.</x:v>
      </x:c>
      <x:c r="H8" s="87" t="str">
        <x:v>2026-05-18</x:v>
      </x:c>
    </x:row>
    <x:row r="9">
      <x:c r="A9" s="87" t="str">
        <x:v>S008</x:v>
      </x:c>
      <x:c r="B9" s="87" t="str">
        <x:v>State Department Office of Historian: Guatemala PBSUCCESS</x:v>
      </x:c>
      <x:c r="C9" s="87" t="str">
        <x:v>U.S. Department of State</x:v>
      </x:c>
      <x:c r="D9" s="87" t="str">
        <x:v>Tier 1 / official history</x:v>
      </x:c>
      <x:c r="E9" s="87" t="str">
        <x:v>https://history.state.gov/historicaldocuments/frus1950-55Intel/d154</x:v>
      </x:c>
      <x:c r="F9" s="87" t="str">
        <x:v>CIA-supported 1954 Guatemala operation, propaganda pressure and coup support</x:v>
      </x:c>
      <x:c r="G9" s="87" t="str">
        <x:v>Used for Guatemala election/political-transition interference and information operations.</x:v>
      </x:c>
      <x:c r="H9" s="87" t="str">
        <x:v>2026-05-18</x:v>
      </x:c>
    </x:row>
    <x:row r="10">
      <x:c r="A10" s="87" t="str">
        <x:v>S009</x:v>
      </x:c>
      <x:c r="B10" s="87" t="str">
        <x:v>National Security Archive: Chile and CIA covert action</x:v>
      </x:c>
      <x:c r="C10" s="87" t="str">
        <x:v>George Washington University National Security Archive</x:v>
      </x:c>
      <x:c r="D10" s="87" t="str">
        <x:v>Tier 2 / declassified archive</x:v>
      </x:c>
      <x:c r="E10" s="87" t="str">
        <x:v>https://nsarchive.gwu.edu/briefing-book/chile/2020-10-22/cia-chile-anatomy-assassination</x:v>
      </x:c>
      <x:c r="F10" s="87" t="str">
        <x:v>Declassified U.S. policy and CIA documentation on Chile/Allende</x:v>
      </x:c>
      <x:c r="G10" s="87" t="str">
        <x:v>Used for Chile political-transition interference.</x:v>
      </x:c>
      <x:c r="H10" s="87" t="str">
        <x:v>2026-05-18</x:v>
      </x:c>
    </x:row>
    <x:row r="11">
      <x:c r="A11" s="87" t="str">
        <x:v>S010</x:v>
      </x:c>
      <x:c r="B11" s="87" t="str">
        <x:v>National Security Archive: CIA covert aid to Italy</x:v>
      </x:c>
      <x:c r="C11" s="87" t="str">
        <x:v>George Washington University National Security Archive</x:v>
      </x:c>
      <x:c r="D11" s="87" t="str">
        <x:v>Tier 2 / declassified archive</x:v>
      </x:c>
      <x:c r="E11" s="87" t="str">
        <x:v>https://nsarchive.gwu.edu/briefing-book/intelligence/2017-02-07/cia-covert-aid-italy-averaged-5-million-annually-late-1940s</x:v>
      </x:c>
      <x:c r="F11" s="87" t="str">
        <x:v>CIA covert financial support to Italian centrist governments/parties</x:v>
      </x:c>
      <x:c r="G11" s="87" t="str">
        <x:v>Used for Italy election interference scoring.</x:v>
      </x:c>
      <x:c r="H11" s="87" t="str">
        <x:v>2026-05-18</x:v>
      </x:c>
    </x:row>
    <x:row r="12">
      <x:c r="A12" s="87" t="str">
        <x:v>S011</x:v>
      </x:c>
      <x:c r="B12" s="87" t="str">
        <x:v>Washington Post: U.S. advice guided Milosevic opposition</x:v>
      </x:c>
      <x:c r="C12" s="87" t="str">
        <x:v>Washington Post</x:v>
      </x:c>
      <x:c r="D12" s="87" t="str">
        <x:v>Tier 3 / major reporting</x:v>
      </x:c>
      <x:c r="E12" s="87" t="str">
        <x:v>https://www.washingtonpost.com/archive/politics/2000/12/11/us-advice-guided-milosevic-opposition/ba9e87e5-bdca-45dc-8aad-da6571e89448/</x:v>
      </x:c>
      <x:c r="F12" s="87" t="str">
        <x:v>U.S. democracy-building support and electoral strategy in Serbia 2000</x:v>
      </x:c>
      <x:c r="G12" s="87" t="str">
        <x:v>Used for Serbia election/political-transition interference and information ecosystem scoring.</x:v>
      </x:c>
      <x:c r="H12" s="87" t="str">
        <x:v>2026-05-18</x:v>
      </x:c>
    </x:row>
    <x:row r="13">
      <x:c r="A13" s="87" t="str">
        <x:v>S012</x:v>
      </x:c>
      <x:c r="B13" s="87" t="str">
        <x:v>Britannica: National Opposition Union / Nicaragua</x:v>
      </x:c>
      <x:c r="C13" s="87" t="str">
        <x:v>Encyclopaedia Britannica</x:v>
      </x:c>
      <x:c r="D13" s="87" t="str">
        <x:v>Tier 3 / reference</x:v>
      </x:c>
      <x:c r="E13" s="87" t="str">
        <x:v>https://www.britannica.com/topic/National-Opposition-Union</x:v>
      </x:c>
      <x:c r="F13" s="87" t="str">
        <x:v>U.S.-financed opposition coalition in Nicaragua 1990 election context</x:v>
      </x:c>
      <x:c r="G13" s="87" t="str">
        <x:v>Used for Nicaragua election/political interference scoring.</x:v>
      </x:c>
      <x:c r="H13" s="87" t="str">
        <x:v>2026-05-18</x:v>
      </x:c>
    </x:row>
    <x:row r="14">
      <x:c r="A14" s="87" t="str">
        <x:v>S013</x:v>
      </x:c>
      <x:c r="B14" s="87" t="str">
        <x:v>CRS: U.S. Security Assistance to Ukraine</x:v>
      </x:c>
      <x:c r="C14" s="87" t="str">
        <x:v>Congressional Research Service</x:v>
      </x:c>
      <x:c r="D14" s="87" t="str">
        <x:v>Tier 1 / official analysis</x:v>
      </x:c>
      <x:c r="E14" s="87" t="str">
        <x:v>https://www.congress.gov/crs-products/product/pdf/IF/IF12040/20</x:v>
      </x:c>
      <x:c r="F14" s="87" t="str">
        <x:v>U.S. security assistance commitments to Ukraine since 2022</x:v>
      </x:c>
      <x:c r="G14" s="87" t="str">
        <x:v>Used for Ukraine U.S. influence / leverage score.</x:v>
      </x:c>
      <x:c r="H14" s="87" t="str">
        <x:v>2026-05-18</x:v>
      </x:c>
    </x:row>
    <x:row r="15">
      <x:c r="A15" s="87" t="str">
        <x:v>S014</x:v>
      </x:c>
      <x:c r="B15" s="87" t="str">
        <x:v>GAO: U.S. response to Russia's war against Ukraine</x:v>
      </x:c>
      <x:c r="C15" s="87" t="str">
        <x:v>U.S. Government Accountability Office</x:v>
      </x:c>
      <x:c r="D15" s="87" t="str">
        <x:v>Tier 1 / official oversight</x:v>
      </x:c>
      <x:c r="E15" s="87" t="str">
        <x:v>https://www.gao.gov/products/gao-24-107232</x:v>
      </x:c>
      <x:c r="F15" s="87" t="str">
        <x:v>Allocated/obligated/disbursed U.S. assistance to Ukraine</x:v>
      </x:c>
      <x:c r="G15" s="87" t="str">
        <x:v>Used for Ukraine U.S. influence / leverage score.</x:v>
      </x:c>
      <x:c r="H15" s="87" t="str">
        <x:v>2026-05-18</x:v>
      </x:c>
    </x:row>
    <x:row r="16">
      <x:c r="A16" s="87" t="str">
        <x:v>S015</x:v>
      </x:c>
      <x:c r="B16" s="87" t="str">
        <x:v>CRS: Venezuela: Political Crisis and U.S. Policy</x:v>
      </x:c>
      <x:c r="C16" s="87" t="str">
        <x:v>Congressional Research Service</x:v>
      </x:c>
      <x:c r="D16" s="87" t="str">
        <x:v>Tier 1 / official analysis</x:v>
      </x:c>
      <x:c r="E16" s="87" t="str">
        <x:v>https://www.congress.gov/crs-products/product/pdf/IF/IF10230/42</x:v>
      </x:c>
      <x:c r="F16" s="87" t="str">
        <x:v>U.S. democracy assistance, sanctions, humanitarian assistance and political recognition posture</x:v>
      </x:c>
      <x:c r="G16" s="87" t="str">
        <x:v>Used for Venezuela influence and election/political pressure scoring.</x:v>
      </x:c>
      <x:c r="H16" s="87" t="str">
        <x:v>2026-05-18</x:v>
      </x:c>
    </x:row>
    <x:row r="17">
      <x:c r="A17" s="87" t="str">
        <x:v>S016</x:v>
      </x:c>
      <x:c r="B17" s="87" t="str">
        <x:v>CRS: U.S. Foreign Aid to Israel</x:v>
      </x:c>
      <x:c r="C17" s="87" t="str">
        <x:v>Congressional Research Service</x:v>
      </x:c>
      <x:c r="D17" s="87" t="str">
        <x:v>Tier 1 / official analysis</x:v>
      </x:c>
      <x:c r="E17" s="87" t="str">
        <x:v>https://www.congress.gov/crs-product/RL33222</x:v>
      </x:c>
      <x:c r="F17" s="87" t="str">
        <x:v>Total U.S. foreign aid obligations to Israel; military assistance relationship</x:v>
      </x:c>
      <x:c r="G17" s="87" t="str">
        <x:v>Used for Israel influence / leverage scoring.</x:v>
      </x:c>
      <x:c r="H17" s="87" t="str">
        <x:v>2026-05-18</x:v>
      </x:c>
    </x:row>
    <x:row r="18">
      <x:c r="A18" s="87" t="str">
        <x:v>S017</x:v>
      </x:c>
      <x:c r="B18" s="87" t="str">
        <x:v>CRS: Colombia Background and U.S. Relations</x:v>
      </x:c>
      <x:c r="C18" s="87" t="str">
        <x:v>Congressional Research Service</x:v>
      </x:c>
      <x:c r="D18" s="87" t="str">
        <x:v>Tier 1 / official analysis</x:v>
      </x:c>
      <x:c r="E18" s="87" t="str">
        <x:v>https://www.congress.gov/crs-product/R48287</x:v>
      </x:c>
      <x:c r="F18" s="87" t="str">
        <x:v>Plan Colombia and U.S. security/economic partnership</x:v>
      </x:c>
      <x:c r="G18" s="87" t="str">
        <x:v>Used for Colombia influence and contractor/counter-narcotics scoring.</x:v>
      </x:c>
      <x:c r="H18" s="87" t="str">
        <x:v>2026-05-18</x:v>
      </x:c>
    </x:row>
    <x:row r="19">
      <x:c r="A19" s="87" t="str">
        <x:v>S018</x:v>
      </x:c>
      <x:c r="B19" s="87" t="str">
        <x:v>USAGM: Office of Cuba Broadcasting</x:v>
      </x:c>
      <x:c r="C19" s="87" t="str">
        <x:v>U.S. Agency for Global Media</x:v>
      </x:c>
      <x:c r="D19" s="87" t="str">
        <x:v>Tier 1 / official data</x:v>
      </x:c>
      <x:c r="E19" s="87" t="str">
        <x:v>https://www.usagm.gov/networks/ocb/</x:v>
      </x:c>
      <x:c r="F19" s="87" t="str">
        <x:v>Radio/TV Martí budget, language and audience estimate</x:v>
      </x:c>
      <x:c r="G19" s="87" t="str">
        <x:v>Used for Cuba information ecosystem scoring.</x:v>
      </x:c>
      <x:c r="H19" s="87" t="str">
        <x:v>2026-05-18</x:v>
      </x:c>
    </x:row>
    <x:row r="20">
      <x:c r="A20" s="87" t="str">
        <x:v>S019</x:v>
      </x:c>
      <x:c r="B20" s="87" t="str">
        <x:v>CFR: U.S. Forces in the Middle East</x:v>
      </x:c>
      <x:c r="C20" s="87" t="str">
        <x:v>Council on Foreign Relations</x:v>
      </x:c>
      <x:c r="D20" s="87" t="str">
        <x:v>Tier 2 / think-tank synthesis</x:v>
      </x:c>
      <x:c r="E20" s="87" t="str">
        <x:v>https://www.cfr.org/article/us-forces-middle-east-mapping-military-presence</x:v>
      </x:c>
      <x:c r="F20" s="87" t="str">
        <x:v>U.S. military presence in more than a dozen Middle Eastern countries and regional posture</x:v>
      </x:c>
      <x:c r="G20" s="87" t="str">
        <x:v>Used for Iraq, Syria, Qatar, Israel regional posture scoring.</x:v>
      </x:c>
      <x:c r="H20" s="87" t="str">
        <x:v>2026-05-18</x:v>
      </x:c>
    </x:row>
    <x:row r="21">
      <x:c r="A21" s="87" t="str">
        <x:v>S020</x:v>
      </x:c>
      <x:c r="B21" s="87" t="str">
        <x:v>DoD OIG: Camp Lemonnier inspection</x:v>
      </x:c>
      <x:c r="C21" s="87" t="str">
        <x:v>U.S. Department of Defense OIG</x:v>
      </x:c>
      <x:c r="D21" s="87" t="str">
        <x:v>Tier 1 / official oversight</x:v>
      </x:c>
      <x:c r="E21" s="87" t="str">
        <x:v>https://www.dodig.mil/reports.html/Article/1212353/uscontrolled-and-occupied-military-facilities-inspection-camp-lemonnier-djibouti/</x:v>
      </x:c>
      <x:c r="F21" s="87" t="str">
        <x:v>U.S. military-occupied facilities and contractor maintenance at Camp Lemonnier</x:v>
      </x:c>
      <x:c r="G21" s="87" t="str">
        <x:v>Used for Djibouti U.S. influence and contractor presence scoring.</x:v>
      </x:c>
      <x:c r="H21" s="87" t="str">
        <x:v>2026-05-18</x:v>
      </x:c>
    </x:row>
    <x:row r="22">
      <x:c r="A22" s="87" t="str">
        <x:v>S021</x:v>
      </x:c>
      <x:c r="B22" s="87" t="str">
        <x:v>National Security Archive: CIA declassified Iran 1953 coup history</x:v>
      </x:c>
      <x:c r="C22" s="87" t="str">
        <x:v>George Washington University National Security Archive</x:v>
      </x:c>
      <x:c r="D22" s="87" t="str">
        <x:v>Tier 2 / declassified archive</x:v>
      </x:c>
      <x:c r="E22" s="87" t="str">
        <x:v>https://nsarchive.gwu.edu/briefing-book/iran/2018-02-12/cia-declassifies-more-zendebad-shah-internal-study-1953-iran-coup</x:v>
      </x:c>
      <x:c r="F22" s="87" t="str">
        <x:v>Declassified CIA history of the 1953 Iran coup</x:v>
      </x:c>
      <x:c r="G22" s="87" t="str">
        <x:v>Used for Iran historical political-transition interference scoring.</x:v>
      </x:c>
      <x:c r="H22" s="87" t="str">
        <x:v>2026-05-18</x:v>
      </x:c>
    </x:row>
    <x:row r="23">
      <x:c r="A23" s="87" t="str">
        <x:v>S022</x:v>
      </x:c>
      <x:c r="B23" s="87" t="str">
        <x:v>Philippine News Agency: EDCA sites</x:v>
      </x:c>
      <x:c r="C23" s="87" t="str">
        <x:v>Philippine News Agency</x:v>
      </x:c>
      <x:c r="D23" s="87" t="str">
        <x:v>Tier 2 / official national media</x:v>
      </x:c>
      <x:c r="E23" s="87" t="str">
        <x:v>https://www.pna.gov.ph/index.php/articles/1222643</x:v>
      </x:c>
      <x:c r="F23" s="87" t="str">
        <x:v>Philippines expanded U.S. access to military sites under EDCA</x:v>
      </x:c>
      <x:c r="G23" s="87" t="str">
        <x:v>Used for Philippines U.S. influence / leverage scoring.</x:v>
      </x:c>
      <x:c r="H23" s="87" t="str">
        <x:v>2026-05-18</x:v>
      </x:c>
    </x:row>
    <x:row r="24">
      <x:c r="A24" s="87" t="str">
        <x:v>S023</x:v>
      </x:c>
      <x:c r="B24" s="87" t="str">
        <x:v>CRS: U.S. Military Drawdown in Afghanistan FAQ</x:v>
      </x:c>
      <x:c r="C24" s="87" t="str">
        <x:v>Congressional Research Service / EveryCRS</x:v>
      </x:c>
      <x:c r="D24" s="87" t="str">
        <x:v>Tier 1 / official analysis</x:v>
      </x:c>
      <x:c r="E24" s="87" t="str">
        <x:v>https://www.everycrsreport.com/reports/R46670.html</x:v>
      </x:c>
      <x:c r="F24" s="87" t="str">
        <x:v>Afghanistan DoD contractor and private security contractor counts during drawdown</x:v>
      </x:c>
      <x:c r="G24" s="87" t="str">
        <x:v>Used for Afghanistan contractor and legacy influence scoring.</x:v>
      </x:c>
      <x:c r="H24" s="87" t="str">
        <x:v>2026-05-18</x:v>
      </x:c>
    </x:row>
    <x:row r="25">
      <x:c r="A25" s="87" t="str">
        <x:v>S024</x:v>
      </x:c>
      <x:c r="B25" s="87" t="str">
        <x:v>Brown University Costs of War: U.S. Military, Veterans, Contractors &amp; Allies</x:v>
      </x:c>
      <x:c r="C25" s="87" t="str">
        <x:v>Brown University Costs of War</x:v>
      </x:c>
      <x:c r="D25" s="87" t="str">
        <x:v>Tier 2 / academic project</x:v>
      </x:c>
      <x:c r="E25" s="87" t="str">
        <x:v>https://costsofwar.watson.brown.edu/costs/human/us-military-veterans-contractors-allies</x:v>
      </x:c>
      <x:c r="F25" s="87" t="str">
        <x:v>Post-9/11 war contractor deaths and contractor dependence</x:v>
      </x:c>
      <x:c r="G25" s="87" t="str">
        <x:v>Used for Afghanistan/Iraq contractor context and confidence notes.</x:v>
      </x:c>
      <x:c r="H25" s="87" t="str">
        <x:v>2026-05-18</x:v>
      </x:c>
    </x:row>
  </x:sheetData>
  <x:pageMargins left="0.7" right="0.7" top="0.75" bottom="0.75" header="0.3" footer="0.3"/>
  <x:tableParts count="1">
    <x:tablePart xmlns:r="http://schemas.openxmlformats.org/officeDocument/2006/relationships" r:id="Rd31629e8079c4c0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2" hidden="0" customWidth="1"/>
    <x:col min="4" max="4" width="11" hidden="0" customWidth="1"/>
    <x:col min="5" max="5" width="11" hidden="0" customWidth="1"/>
    <x:col min="6" max="6" width="15" hidden="0" customWidth="1"/>
    <x:col min="7" max="7" width="12" hidden="0" customWidth="1"/>
    <x:col min="8" max="8" width="10" hidden="0" customWidth="1"/>
    <x:col min="9" max="9" width="14" hidden="0" customWidth="1"/>
    <x:col min="10" max="10" width="13" hidden="0" customWidth="1"/>
    <x:col min="11" max="11" width="16" hidden="0" customWidth="1"/>
    <x:col min="12" max="12" width="18" hidden="0" customWidth="1"/>
    <x:col min="13" max="13" width="18" hidden="0" customWidth="1"/>
    <x:col min="14" max="14" width="14" hidden="0" customWidth="1"/>
    <x:col min="15" max="15" width="26" hidden="0" customWidth="1"/>
  </x:cols>
  <x:sheetData>
    <x:row r="1">
      <x:c r="A1" s="93" t="str">
        <x:v>Country</x:v>
      </x:c>
      <x:c r="B1" s="93" t="str">
        <x:v>ISO3</x:v>
      </x:c>
      <x:c r="C1" s="93" t="str">
        <x:v>Region</x:v>
      </x:c>
      <x:c r="D1" s="93" t="str">
        <x:v>Latitude</x:v>
      </x:c>
      <x:c r="E1" s="93" t="str">
        <x:v>Longitude</x:v>
      </x:c>
      <x:c r="F1" s="93" t="str">
        <x:v>Composite_Score</x:v>
      </x:c>
      <x:c r="G1" s="93" t="str">
        <x:v>Map_Color</x:v>
      </x:c>
      <x:c r="H1" s="93" t="str">
        <x:v>Opacity</x:v>
      </x:c>
      <x:c r="I1" s="93" t="str">
        <x:v>Confidence_Band</x:v>
      </x:c>
      <x:c r="J1" s="93" t="str">
        <x:v>U.S. influence</x:v>
      </x:c>
      <x:c r="K1" s="93" t="str">
        <x:v>PMC / contractor</x:v>
      </x:c>
      <x:c r="L1" s="93" t="str">
        <x:v>Information ecosystem</x:v>
      </x:c>
      <x:c r="M1" s="93" t="str">
        <x:v>Election interference</x:v>
      </x:c>
      <x:c r="N1" s="93" t="str">
        <x:v>Score_Band</x:v>
      </x:c>
      <x:c r="O1" s="93" t="str">
        <x:v>Source_IDs</x:v>
      </x:c>
    </x:row>
    <x:row r="2">
      <x:c r="A2" s="87" t="str">
        <x:f>USA_Country_Scores!A2</x:f>
        <x:v>Iraq</x:v>
      </x:c>
      <x:c r="B2" s="87" t="str">
        <x:f>USA_Country_Scores!B2</x:f>
        <x:v>IRQ</x:v>
      </x:c>
      <x:c r="C2" s="87" t="str">
        <x:f>USA_Country_Scores!C2</x:f>
        <x:v>Middle East / West Asia</x:v>
      </x:c>
      <x:c r="D2" s="95" t="n">
        <x:f>USA_Country_Scores!D2</x:f>
        <x:v>33.2232</x:v>
      </x:c>
      <x:c r="E2" s="95" t="n">
        <x:f>USA_Country_Scores!E2</x:f>
        <x:v>43.6793</x:v>
      </x:c>
      <x:c r="F2" s="95" t="n">
        <x:f>USA_Country_Scores!J2</x:f>
        <x:v>4</x:v>
      </x:c>
      <x:c r="G2" s="87" t="e">
        <x:f>USA_Country_Scores!P2</x:f>
      </x:c>
      <x:c r="H2" s="95" t="n">
        <x:f>USA_Country_Scores!Q2</x:f>
        <x:v>1</x:v>
      </x:c>
      <x:c r="I2" s="87" t="str">
        <x:f>USA_Country_Scores!N2</x:f>
        <x:v>High</x:v>
      </x:c>
      <x:c r="J2" s="94" t="n">
        <x:f>USA_Country_Scores!F2</x:f>
        <x:v>5</x:v>
      </x:c>
      <x:c r="K2" s="94" t="n">
        <x:f>USA_Country_Scores!G2</x:f>
        <x:v>5</x:v>
      </x:c>
      <x:c r="L2" s="94" t="n">
        <x:f>USA_Country_Scores!H2</x:f>
        <x:v>4</x:v>
      </x:c>
      <x:c r="M2" s="94" t="n">
        <x:f>USA_Country_Scores!I2</x:f>
        <x:v>2</x:v>
      </x:c>
      <x:c r="N2" s="87" t="str">
        <x:f>USA_Country_Scores!K2</x:f>
        <x:v>High</x:v>
      </x:c>
      <x:c r="O2" s="87" t="str">
        <x:f>USA_Country_Scores!S2</x:f>
        <x:v>S002; S003; S004; S005; S019</x:v>
      </x:c>
    </x:row>
    <x:row r="3">
      <x:c r="A3" s="87" t="str">
        <x:f>USA_Country_Scores!A3</x:f>
        <x:v>Syria</x:v>
      </x:c>
      <x:c r="B3" s="87" t="str">
        <x:f>USA_Country_Scores!B3</x:f>
        <x:v>SYR</x:v>
      </x:c>
      <x:c r="C3" s="87" t="str">
        <x:f>USA_Country_Scores!C3</x:f>
        <x:v>Middle East / West Asia</x:v>
      </x:c>
      <x:c r="D3" s="95" t="n">
        <x:f>USA_Country_Scores!D3</x:f>
        <x:v>34.8021</x:v>
      </x:c>
      <x:c r="E3" s="95" t="n">
        <x:f>USA_Country_Scores!E3</x:f>
        <x:v>38.9968</x:v>
      </x:c>
      <x:c r="F3" s="95" t="n">
        <x:f>USA_Country_Scores!J3</x:f>
        <x:v>3</x:v>
      </x:c>
      <x:c r="G3" s="87" t="e">
        <x:f>USA_Country_Scores!P3</x:f>
      </x:c>
      <x:c r="H3" s="95" t="n">
        <x:f>USA_Country_Scores!Q3</x:f>
        <x:v>0.75</x:v>
      </x:c>
      <x:c r="I3" s="87" t="str">
        <x:f>USA_Country_Scores!N3</x:f>
        <x:v>Medium</x:v>
      </x:c>
      <x:c r="J3" s="94" t="n">
        <x:f>USA_Country_Scores!F3</x:f>
        <x:v>4</x:v>
      </x:c>
      <x:c r="K3" s="94" t="n">
        <x:f>USA_Country_Scores!G3</x:f>
        <x:v>4</x:v>
      </x:c>
      <x:c r="L3" s="94" t="n">
        <x:f>USA_Country_Scores!H3</x:f>
        <x:v>3</x:v>
      </x:c>
      <x:c r="M3" s="94" t="n">
        <x:f>USA_Country_Scores!I3</x:f>
        <x:v>1</x:v>
      </x:c>
      <x:c r="N3" s="87" t="str">
        <x:f>USA_Country_Scores!K3</x:f>
        <x:v>Elevated</x:v>
      </x:c>
      <x:c r="O3" s="87" t="str">
        <x:f>USA_Country_Scores!S3</x:f>
        <x:v>S002; S003; S004; S019</x:v>
      </x:c>
    </x:row>
    <x:row r="4">
      <x:c r="A4" s="87" t="str">
        <x:f>USA_Country_Scores!A4</x:f>
        <x:v>Afghanistan</x:v>
      </x:c>
      <x:c r="B4" s="87" t="str">
        <x:f>USA_Country_Scores!B4</x:f>
        <x:v>AFG</x:v>
      </x:c>
      <x:c r="C4" s="87" t="str">
        <x:f>USA_Country_Scores!C4</x:f>
        <x:v>Central Asia / South Asia</x:v>
      </x:c>
      <x:c r="D4" s="95" t="n">
        <x:f>USA_Country_Scores!D4</x:f>
        <x:v>33.9391</x:v>
      </x:c>
      <x:c r="E4" s="95" t="n">
        <x:f>USA_Country_Scores!E4</x:f>
        <x:v>67.71</x:v>
      </x:c>
      <x:c r="F4" s="95" t="n">
        <x:f>USA_Country_Scores!J4</x:f>
        <x:v>4</x:v>
      </x:c>
      <x:c r="G4" s="87" t="e">
        <x:f>USA_Country_Scores!P4</x:f>
      </x:c>
      <x:c r="H4" s="95" t="n">
        <x:f>USA_Country_Scores!Q4</x:f>
        <x:v>0.75</x:v>
      </x:c>
      <x:c r="I4" s="87" t="str">
        <x:f>USA_Country_Scores!N4</x:f>
        <x:v>Medium</x:v>
      </x:c>
      <x:c r="J4" s="94" t="n">
        <x:f>USA_Country_Scores!F4</x:f>
        <x:v>4</x:v>
      </x:c>
      <x:c r="K4" s="94" t="n">
        <x:f>USA_Country_Scores!G4</x:f>
        <x:v>5</x:v>
      </x:c>
      <x:c r="L4" s="94" t="n">
        <x:f>USA_Country_Scores!H4</x:f>
        <x:v>4</x:v>
      </x:c>
      <x:c r="M4" s="94" t="n">
        <x:f>USA_Country_Scores!I4</x:f>
        <x:v>3</x:v>
      </x:c>
      <x:c r="N4" s="87" t="str">
        <x:f>USA_Country_Scores!K4</x:f>
        <x:v>High</x:v>
      </x:c>
      <x:c r="O4" s="87" t="str">
        <x:f>USA_Country_Scores!S4</x:f>
        <x:v>S023; S024; S004; S006</x:v>
      </x:c>
    </x:row>
    <x:row r="5">
      <x:c r="A5" s="87" t="str">
        <x:f>USA_Country_Scores!A5</x:f>
        <x:v>Ukraine</x:v>
      </x:c>
      <x:c r="B5" s="87" t="str">
        <x:f>USA_Country_Scores!B5</x:f>
        <x:v>UKR</x:v>
      </x:c>
      <x:c r="C5" s="87" t="str">
        <x:f>USA_Country_Scores!C5</x:f>
        <x:v>Eastern Europe</x:v>
      </x:c>
      <x:c r="D5" s="95" t="n">
        <x:f>USA_Country_Scores!D5</x:f>
        <x:v>48.3794</x:v>
      </x:c>
      <x:c r="E5" s="95" t="n">
        <x:f>USA_Country_Scores!E5</x:f>
        <x:v>31.1656</x:v>
      </x:c>
      <x:c r="F5" s="95" t="n">
        <x:f>USA_Country_Scores!J5</x:f>
        <x:v>3</x:v>
      </x:c>
      <x:c r="G5" s="87" t="e">
        <x:f>USA_Country_Scores!P5</x:f>
      </x:c>
      <x:c r="H5" s="95" t="n">
        <x:f>USA_Country_Scores!Q5</x:f>
        <x:v>0.75</x:v>
      </x:c>
      <x:c r="I5" s="87" t="str">
        <x:f>USA_Country_Scores!N5</x:f>
        <x:v>Medium</x:v>
      </x:c>
      <x:c r="J5" s="94" t="n">
        <x:f>USA_Country_Scores!F5</x:f>
        <x:v>5</x:v>
      </x:c>
      <x:c r="K5" s="94" t="n">
        <x:f>USA_Country_Scores!G5</x:f>
        <x:v>2</x:v>
      </x:c>
      <x:c r="L5" s="94" t="n">
        <x:f>USA_Country_Scores!H5</x:f>
        <x:v>4</x:v>
      </x:c>
      <x:c r="M5" s="94" t="n">
        <x:f>USA_Country_Scores!I5</x:f>
        <x:v>1</x:v>
      </x:c>
      <x:c r="N5" s="87" t="str">
        <x:f>USA_Country_Scores!K5</x:f>
        <x:v>Elevated</x:v>
      </x:c>
      <x:c r="O5" s="87" t="str">
        <x:f>USA_Country_Scores!S5</x:f>
        <x:v>S013; S014; S004; S005</x:v>
      </x:c>
    </x:row>
    <x:row r="6">
      <x:c r="A6" s="87" t="str">
        <x:f>USA_Country_Scores!A6</x:f>
        <x:v>Israel</x:v>
      </x:c>
      <x:c r="B6" s="87" t="str">
        <x:f>USA_Country_Scores!B6</x:f>
        <x:v>ISR</x:v>
      </x:c>
      <x:c r="C6" s="87" t="str">
        <x:f>USA_Country_Scores!C6</x:f>
        <x:v>Middle East / West Asia</x:v>
      </x:c>
      <x:c r="D6" s="95" t="n">
        <x:f>USA_Country_Scores!D6</x:f>
        <x:v>31.0461</x:v>
      </x:c>
      <x:c r="E6" s="95" t="n">
        <x:f>USA_Country_Scores!E6</x:f>
        <x:v>34.8516</x:v>
      </x:c>
      <x:c r="F6" s="95" t="n">
        <x:f>USA_Country_Scores!J6</x:f>
        <x:v>2.5</x:v>
      </x:c>
      <x:c r="G6" s="87" t="e">
        <x:f>USA_Country_Scores!P6</x:f>
      </x:c>
      <x:c r="H6" s="95" t="n">
        <x:f>USA_Country_Scores!Q6</x:f>
        <x:v>0.75</x:v>
      </x:c>
      <x:c r="I6" s="87" t="str">
        <x:f>USA_Country_Scores!N6</x:f>
        <x:v>Medium</x:v>
      </x:c>
      <x:c r="J6" s="94" t="n">
        <x:f>USA_Country_Scores!F6</x:f>
        <x:v>5</x:v>
      </x:c>
      <x:c r="K6" s="94" t="n">
        <x:f>USA_Country_Scores!G6</x:f>
        <x:v>2</x:v>
      </x:c>
      <x:c r="L6" s="94" t="n">
        <x:f>USA_Country_Scores!H6</x:f>
        <x:v>2</x:v>
      </x:c>
      <x:c r="M6" s="94" t="n">
        <x:f>USA_Country_Scores!I6</x:f>
        <x:v>1</x:v>
      </x:c>
      <x:c r="N6" s="87" t="str">
        <x:f>USA_Country_Scores!K6</x:f>
        <x:v>Elevated</x:v>
      </x:c>
      <x:c r="O6" s="87" t="str">
        <x:f>USA_Country_Scores!S6</x:f>
        <x:v>S016; S019</x:v>
      </x:c>
    </x:row>
    <x:row r="7">
      <x:c r="A7" s="87" t="str">
        <x:f>USA_Country_Scores!A7</x:f>
        <x:v>Japan</x:v>
      </x:c>
      <x:c r="B7" s="87" t="str">
        <x:f>USA_Country_Scores!B7</x:f>
        <x:v>JPN</x:v>
      </x:c>
      <x:c r="C7" s="87" t="str">
        <x:f>USA_Country_Scores!C7</x:f>
        <x:v>East Asia</x:v>
      </x:c>
      <x:c r="D7" s="95" t="n">
        <x:f>USA_Country_Scores!D7</x:f>
        <x:v>36.2048</x:v>
      </x:c>
      <x:c r="E7" s="95" t="n">
        <x:f>USA_Country_Scores!E7</x:f>
        <x:v>138.2529</x:v>
      </x:c>
      <x:c r="F7" s="95" t="n">
        <x:f>USA_Country_Scores!J7</x:f>
        <x:v>2.5</x:v>
      </x:c>
      <x:c r="G7" s="87" t="e">
        <x:f>USA_Country_Scores!P7</x:f>
      </x:c>
      <x:c r="H7" s="95" t="n">
        <x:f>USA_Country_Scores!Q7</x:f>
        <x:v>0.75</x:v>
      </x:c>
      <x:c r="I7" s="87" t="str">
        <x:f>USA_Country_Scores!N7</x:f>
        <x:v>Medium</x:v>
      </x:c>
      <x:c r="J7" s="94" t="n">
        <x:f>USA_Country_Scores!F7</x:f>
        <x:v>5</x:v>
      </x:c>
      <x:c r="K7" s="94" t="n">
        <x:f>USA_Country_Scores!G7</x:f>
        <x:v>3</x:v>
      </x:c>
      <x:c r="L7" s="94" t="n">
        <x:f>USA_Country_Scores!H7</x:f>
        <x:v>1</x:v>
      </x:c>
      <x:c r="M7" s="94" t="n">
        <x:f>USA_Country_Scores!I7</x:f>
        <x:v>1</x:v>
      </x:c>
      <x:c r="N7" s="87" t="str">
        <x:f>USA_Country_Scores!K7</x:f>
        <x:v>Elevated</x:v>
      </x:c>
      <x:c r="O7" s="87" t="str">
        <x:f>USA_Country_Scores!S7</x:f>
        <x:v>S001</x:v>
      </x:c>
    </x:row>
    <x:row r="8">
      <x:c r="A8" s="87" t="str">
        <x:f>USA_Country_Scores!A8</x:f>
        <x:v>South Korea</x:v>
      </x:c>
      <x:c r="B8" s="87" t="str">
        <x:f>USA_Country_Scores!B8</x:f>
        <x:v>KOR</x:v>
      </x:c>
      <x:c r="C8" s="87" t="str">
        <x:f>USA_Country_Scores!C8</x:f>
        <x:v>East Asia</x:v>
      </x:c>
      <x:c r="D8" s="95" t="n">
        <x:f>USA_Country_Scores!D8</x:f>
        <x:v>35.9078</x:v>
      </x:c>
      <x:c r="E8" s="95" t="n">
        <x:f>USA_Country_Scores!E8</x:f>
        <x:v>127.7669</x:v>
      </x:c>
      <x:c r="F8" s="95" t="n">
        <x:f>USA_Country_Scores!J8</x:f>
        <x:v>2.5</x:v>
      </x:c>
      <x:c r="G8" s="87" t="e">
        <x:f>USA_Country_Scores!P8</x:f>
      </x:c>
      <x:c r="H8" s="95" t="n">
        <x:f>USA_Country_Scores!Q8</x:f>
        <x:v>0.75</x:v>
      </x:c>
      <x:c r="I8" s="87" t="str">
        <x:f>USA_Country_Scores!N8</x:f>
        <x:v>Medium</x:v>
      </x:c>
      <x:c r="J8" s="94" t="n">
        <x:f>USA_Country_Scores!F8</x:f>
        <x:v>5</x:v>
      </x:c>
      <x:c r="K8" s="94" t="n">
        <x:f>USA_Country_Scores!G8</x:f>
        <x:v>3</x:v>
      </x:c>
      <x:c r="L8" s="94" t="n">
        <x:f>USA_Country_Scores!H8</x:f>
        <x:v>1</x:v>
      </x:c>
      <x:c r="M8" s="94" t="n">
        <x:f>USA_Country_Scores!I8</x:f>
        <x:v>1</x:v>
      </x:c>
      <x:c r="N8" s="87" t="str">
        <x:f>USA_Country_Scores!K8</x:f>
        <x:v>Elevated</x:v>
      </x:c>
      <x:c r="O8" s="87" t="str">
        <x:f>USA_Country_Scores!S8</x:f>
        <x:v>S001</x:v>
      </x:c>
    </x:row>
    <x:row r="9">
      <x:c r="A9" s="87" t="str">
        <x:f>USA_Country_Scores!A9</x:f>
        <x:v>Germany</x:v>
      </x:c>
      <x:c r="B9" s="87" t="str">
        <x:f>USA_Country_Scores!B9</x:f>
        <x:v>DEU</x:v>
      </x:c>
      <x:c r="C9" s="87" t="str">
        <x:f>USA_Country_Scores!C9</x:f>
        <x:v>Europe</x:v>
      </x:c>
      <x:c r="D9" s="95" t="n">
        <x:f>USA_Country_Scores!D9</x:f>
        <x:v>51.1657</x:v>
      </x:c>
      <x:c r="E9" s="95" t="n">
        <x:f>USA_Country_Scores!E9</x:f>
        <x:v>10.4515</x:v>
      </x:c>
      <x:c r="F9" s="95" t="n">
        <x:f>USA_Country_Scores!J9</x:f>
        <x:v>2.5</x:v>
      </x:c>
      <x:c r="G9" s="87" t="e">
        <x:f>USA_Country_Scores!P9</x:f>
      </x:c>
      <x:c r="H9" s="95" t="n">
        <x:f>USA_Country_Scores!Q9</x:f>
        <x:v>0.75</x:v>
      </x:c>
      <x:c r="I9" s="87" t="str">
        <x:f>USA_Country_Scores!N9</x:f>
        <x:v>Medium</x:v>
      </x:c>
      <x:c r="J9" s="94" t="n">
        <x:f>USA_Country_Scores!F9</x:f>
        <x:v>4</x:v>
      </x:c>
      <x:c r="K9" s="94" t="n">
        <x:f>USA_Country_Scores!G9</x:f>
        <x:v>3</x:v>
      </x:c>
      <x:c r="L9" s="94" t="n">
        <x:f>USA_Country_Scores!H9</x:f>
        <x:v>2</x:v>
      </x:c>
      <x:c r="M9" s="94" t="n">
        <x:f>USA_Country_Scores!I9</x:f>
        <x:v>1</x:v>
      </x:c>
      <x:c r="N9" s="87" t="str">
        <x:f>USA_Country_Scores!K9</x:f>
        <x:v>Elevated</x:v>
      </x:c>
      <x:c r="O9" s="87" t="str">
        <x:f>USA_Country_Scores!S9</x:f>
        <x:v>S001</x:v>
      </x:c>
    </x:row>
    <x:row r="10">
      <x:c r="A10" s="87" t="str">
        <x:f>USA_Country_Scores!A10</x:f>
        <x:v>Philippines</x:v>
      </x:c>
      <x:c r="B10" s="87" t="str">
        <x:f>USA_Country_Scores!B10</x:f>
        <x:v>PHL</x:v>
      </x:c>
      <x:c r="C10" s="87" t="str">
        <x:f>USA_Country_Scores!C10</x:f>
        <x:v>Southeast Asia</x:v>
      </x:c>
      <x:c r="D10" s="95" t="n">
        <x:f>USA_Country_Scores!D10</x:f>
        <x:v>12.8797</x:v>
      </x:c>
      <x:c r="E10" s="95" t="n">
        <x:f>USA_Country_Scores!E10</x:f>
        <x:v>121.774</x:v>
      </x:c>
      <x:c r="F10" s="95" t="n">
        <x:f>USA_Country_Scores!J10</x:f>
        <x:v>2.25</x:v>
      </x:c>
      <x:c r="G10" s="87" t="e">
        <x:f>USA_Country_Scores!P10</x:f>
      </x:c>
      <x:c r="H10" s="95" t="n">
        <x:f>USA_Country_Scores!Q10</x:f>
        <x:v>0.75</x:v>
      </x:c>
      <x:c r="I10" s="87" t="str">
        <x:f>USA_Country_Scores!N10</x:f>
        <x:v>Medium</x:v>
      </x:c>
      <x:c r="J10" s="94" t="n">
        <x:f>USA_Country_Scores!F10</x:f>
        <x:v>4</x:v>
      </x:c>
      <x:c r="K10" s="94" t="n">
        <x:f>USA_Country_Scores!G10</x:f>
        <x:v>2</x:v>
      </x:c>
      <x:c r="L10" s="94" t="n">
        <x:f>USA_Country_Scores!H10</x:f>
        <x:v>2</x:v>
      </x:c>
      <x:c r="M10" s="94" t="n">
        <x:f>USA_Country_Scores!I10</x:f>
        <x:v>1</x:v>
      </x:c>
      <x:c r="N10" s="87" t="str">
        <x:f>USA_Country_Scores!K10</x:f>
        <x:v>Moderate</x:v>
      </x:c>
      <x:c r="O10" s="87" t="str">
        <x:f>USA_Country_Scores!S10</x:f>
        <x:v>S001; S022</x:v>
      </x:c>
    </x:row>
    <x:row r="11">
      <x:c r="A11" s="87" t="str">
        <x:f>USA_Country_Scores!A11</x:f>
        <x:v>Colombia</x:v>
      </x:c>
      <x:c r="B11" s="87" t="str">
        <x:f>USA_Country_Scores!B11</x:f>
        <x:v>COL</x:v>
      </x:c>
      <x:c r="C11" s="87" t="str">
        <x:f>USA_Country_Scores!C11</x:f>
        <x:v>South America</x:v>
      </x:c>
      <x:c r="D11" s="95" t="n">
        <x:f>USA_Country_Scores!D11</x:f>
        <x:v>4.5709</x:v>
      </x:c>
      <x:c r="E11" s="95" t="n">
        <x:f>USA_Country_Scores!E11</x:f>
        <x:v>-74.2973</x:v>
      </x:c>
      <x:c r="F11" s="95" t="n">
        <x:f>USA_Country_Scores!J11</x:f>
        <x:v>2.5</x:v>
      </x:c>
      <x:c r="G11" s="87" t="e">
        <x:f>USA_Country_Scores!P11</x:f>
      </x:c>
      <x:c r="H11" s="95" t="n">
        <x:f>USA_Country_Scores!Q11</x:f>
        <x:v>0.75</x:v>
      </x:c>
      <x:c r="I11" s="87" t="str">
        <x:f>USA_Country_Scores!N11</x:f>
        <x:v>Medium</x:v>
      </x:c>
      <x:c r="J11" s="94" t="n">
        <x:f>USA_Country_Scores!F11</x:f>
        <x:v>4</x:v>
      </x:c>
      <x:c r="K11" s="94" t="n">
        <x:f>USA_Country_Scores!G11</x:f>
        <x:v>3</x:v>
      </x:c>
      <x:c r="L11" s="94" t="n">
        <x:f>USA_Country_Scores!H11</x:f>
        <x:v>2</x:v>
      </x:c>
      <x:c r="M11" s="94" t="n">
        <x:f>USA_Country_Scores!I11</x:f>
        <x:v>1</x:v>
      </x:c>
      <x:c r="N11" s="87" t="str">
        <x:f>USA_Country_Scores!K11</x:f>
        <x:v>Elevated</x:v>
      </x:c>
      <x:c r="O11" s="87" t="str">
        <x:f>USA_Country_Scores!S11</x:f>
        <x:v>S017</x:v>
      </x:c>
    </x:row>
    <x:row r="12">
      <x:c r="A12" s="87" t="str">
        <x:f>USA_Country_Scores!A12</x:f>
        <x:v>Serbia</x:v>
      </x:c>
      <x:c r="B12" s="87" t="str">
        <x:f>USA_Country_Scores!B12</x:f>
        <x:v>SRB</x:v>
      </x:c>
      <x:c r="C12" s="87" t="str">
        <x:f>USA_Country_Scores!C12</x:f>
        <x:v>Europe / Balkans</x:v>
      </x:c>
      <x:c r="D12" s="95" t="n">
        <x:f>USA_Country_Scores!D12</x:f>
        <x:v>44.0165</x:v>
      </x:c>
      <x:c r="E12" s="95" t="n">
        <x:f>USA_Country_Scores!E12</x:f>
        <x:v>21.0059</x:v>
      </x:c>
      <x:c r="F12" s="95" t="n">
        <x:f>USA_Country_Scores!J12</x:f>
        <x:v>3</x:v>
      </x:c>
      <x:c r="G12" s="87" t="e">
        <x:f>USA_Country_Scores!P12</x:f>
      </x:c>
      <x:c r="H12" s="95" t="n">
        <x:f>USA_Country_Scores!Q12</x:f>
        <x:v>0.75</x:v>
      </x:c>
      <x:c r="I12" s="87" t="str">
        <x:f>USA_Country_Scores!N12</x:f>
        <x:v>Medium</x:v>
      </x:c>
      <x:c r="J12" s="94" t="n">
        <x:f>USA_Country_Scores!F12</x:f>
        <x:v>3</x:v>
      </x:c>
      <x:c r="K12" s="94" t="n">
        <x:f>USA_Country_Scores!G12</x:f>
        <x:v>1</x:v>
      </x:c>
      <x:c r="L12" s="94" t="n">
        <x:f>USA_Country_Scores!H12</x:f>
        <x:v>4</x:v>
      </x:c>
      <x:c r="M12" s="94" t="n">
        <x:f>USA_Country_Scores!I12</x:f>
        <x:v>4</x:v>
      </x:c>
      <x:c r="N12" s="87" t="str">
        <x:f>USA_Country_Scores!K12</x:f>
        <x:v>Elevated</x:v>
      </x:c>
      <x:c r="O12" s="87" t="str">
        <x:f>USA_Country_Scores!S12</x:f>
        <x:v>S004; S005; S011</x:v>
      </x:c>
    </x:row>
    <x:row r="13">
      <x:c r="A13" s="87" t="str">
        <x:f>USA_Country_Scores!A13</x:f>
        <x:v>Nicaragua</x:v>
      </x:c>
      <x:c r="B13" s="87" t="str">
        <x:f>USA_Country_Scores!B13</x:f>
        <x:v>NIC</x:v>
      </x:c>
      <x:c r="C13" s="87" t="str">
        <x:f>USA_Country_Scores!C13</x:f>
        <x:v>Central America</x:v>
      </x:c>
      <x:c r="D13" s="95" t="n">
        <x:f>USA_Country_Scores!D13</x:f>
        <x:v>12.8654</x:v>
      </x:c>
      <x:c r="E13" s="95" t="n">
        <x:f>USA_Country_Scores!E13</x:f>
        <x:v>-85.2072</x:v>
      </x:c>
      <x:c r="F13" s="95" t="n">
        <x:f>USA_Country_Scores!J13</x:f>
        <x:v>2.75</x:v>
      </x:c>
      <x:c r="G13" s="87" t="e">
        <x:f>USA_Country_Scores!P13</x:f>
      </x:c>
      <x:c r="H13" s="95" t="n">
        <x:f>USA_Country_Scores!Q13</x:f>
        <x:v>0.75</x:v>
      </x:c>
      <x:c r="I13" s="87" t="str">
        <x:f>USA_Country_Scores!N13</x:f>
        <x:v>Medium</x:v>
      </x:c>
      <x:c r="J13" s="94" t="n">
        <x:f>USA_Country_Scores!F13</x:f>
        <x:v>3</x:v>
      </x:c>
      <x:c r="K13" s="94" t="n">
        <x:f>USA_Country_Scores!G13</x:f>
        <x:v>1</x:v>
      </x:c>
      <x:c r="L13" s="94" t="n">
        <x:f>USA_Country_Scores!H13</x:f>
        <x:v>3</x:v>
      </x:c>
      <x:c r="M13" s="94" t="n">
        <x:f>USA_Country_Scores!I13</x:f>
        <x:v>4</x:v>
      </x:c>
      <x:c r="N13" s="87" t="str">
        <x:f>USA_Country_Scores!K13</x:f>
        <x:v>Elevated</x:v>
      </x:c>
      <x:c r="O13" s="87" t="str">
        <x:f>USA_Country_Scores!S13</x:f>
        <x:v>S007; S012</x:v>
      </x:c>
    </x:row>
    <x:row r="14">
      <x:c r="A14" s="87" t="str">
        <x:f>USA_Country_Scores!A14</x:f>
        <x:v>Chile</x:v>
      </x:c>
      <x:c r="B14" s="87" t="str">
        <x:f>USA_Country_Scores!B14</x:f>
        <x:v>CHL</x:v>
      </x:c>
      <x:c r="C14" s="87" t="str">
        <x:f>USA_Country_Scores!C14</x:f>
        <x:v>South America</x:v>
      </x:c>
      <x:c r="D14" s="95" t="n">
        <x:f>USA_Country_Scores!D14</x:f>
        <x:v>-35.6751</x:v>
      </x:c>
      <x:c r="E14" s="95" t="n">
        <x:f>USA_Country_Scores!E14</x:f>
        <x:v>-71.543</x:v>
      </x:c>
      <x:c r="F14" s="95" t="n">
        <x:f>USA_Country_Scores!J14</x:f>
        <x:v>2.25</x:v>
      </x:c>
      <x:c r="G14" s="87" t="e">
        <x:f>USA_Country_Scores!P14</x:f>
      </x:c>
      <x:c r="H14" s="95" t="n">
        <x:f>USA_Country_Scores!Q14</x:f>
        <x:v>0.75</x:v>
      </x:c>
      <x:c r="I14" s="87" t="str">
        <x:f>USA_Country_Scores!N14</x:f>
        <x:v>Medium</x:v>
      </x:c>
      <x:c r="J14" s="94" t="n">
        <x:f>USA_Country_Scores!F14</x:f>
        <x:v>2</x:v>
      </x:c>
      <x:c r="K14" s="94" t="n">
        <x:f>USA_Country_Scores!G14</x:f>
        <x:v>0</x:v>
      </x:c>
      <x:c r="L14" s="94" t="n">
        <x:f>USA_Country_Scores!H14</x:f>
        <x:v>2</x:v>
      </x:c>
      <x:c r="M14" s="94" t="n">
        <x:f>USA_Country_Scores!I14</x:f>
        <x:v>5</x:v>
      </x:c>
      <x:c r="N14" s="87" t="str">
        <x:f>USA_Country_Scores!K14</x:f>
        <x:v>Moderate</x:v>
      </x:c>
      <x:c r="O14" s="87" t="str">
        <x:f>USA_Country_Scores!S14</x:f>
        <x:v>S007; S009</x:v>
      </x:c>
    </x:row>
    <x:row r="15">
      <x:c r="A15" s="87" t="str">
        <x:f>USA_Country_Scores!A15</x:f>
        <x:v>Italy</x:v>
      </x:c>
      <x:c r="B15" s="87" t="str">
        <x:f>USA_Country_Scores!B15</x:f>
        <x:v>ITA</x:v>
      </x:c>
      <x:c r="C15" s="87" t="str">
        <x:f>USA_Country_Scores!C15</x:f>
        <x:v>Europe</x:v>
      </x:c>
      <x:c r="D15" s="95" t="n">
        <x:f>USA_Country_Scores!D15</x:f>
        <x:v>41.8719</x:v>
      </x:c>
      <x:c r="E15" s="95" t="n">
        <x:f>USA_Country_Scores!E15</x:f>
        <x:v>12.5674</x:v>
      </x:c>
      <x:c r="F15" s="95" t="n">
        <x:f>USA_Country_Scores!J15</x:f>
        <x:v>2.75</x:v>
      </x:c>
      <x:c r="G15" s="87" t="e">
        <x:f>USA_Country_Scores!P15</x:f>
      </x:c>
      <x:c r="H15" s="95" t="n">
        <x:f>USA_Country_Scores!Q15</x:f>
        <x:v>0.75</x:v>
      </x:c>
      <x:c r="I15" s="87" t="str">
        <x:f>USA_Country_Scores!N15</x:f>
        <x:v>Medium</x:v>
      </x:c>
      <x:c r="J15" s="94" t="n">
        <x:f>USA_Country_Scores!F15</x:f>
        <x:v>3</x:v>
      </x:c>
      <x:c r="K15" s="94" t="n">
        <x:f>USA_Country_Scores!G15</x:f>
        <x:v>1</x:v>
      </x:c>
      <x:c r="L15" s="94" t="n">
        <x:f>USA_Country_Scores!H15</x:f>
        <x:v>2</x:v>
      </x:c>
      <x:c r="M15" s="94" t="n">
        <x:f>USA_Country_Scores!I15</x:f>
        <x:v>5</x:v>
      </x:c>
      <x:c r="N15" s="87" t="str">
        <x:f>USA_Country_Scores!K15</x:f>
        <x:v>Elevated</x:v>
      </x:c>
      <x:c r="O15" s="87" t="str">
        <x:f>USA_Country_Scores!S15</x:f>
        <x:v>S001; S007; S010</x:v>
      </x:c>
    </x:row>
    <x:row r="16">
      <x:c r="A16" s="87" t="str">
        <x:f>USA_Country_Scores!A16</x:f>
        <x:v>Guatemala</x:v>
      </x:c>
      <x:c r="B16" s="87" t="str">
        <x:f>USA_Country_Scores!B16</x:f>
        <x:v>GTM</x:v>
      </x:c>
      <x:c r="C16" s="87" t="str">
        <x:f>USA_Country_Scores!C16</x:f>
        <x:v>Central America</x:v>
      </x:c>
      <x:c r="D16" s="95" t="n">
        <x:f>USA_Country_Scores!D16</x:f>
        <x:v>15.7835</x:v>
      </x:c>
      <x:c r="E16" s="95" t="n">
        <x:f>USA_Country_Scores!E16</x:f>
        <x:v>-90.2308</x:v>
      </x:c>
      <x:c r="F16" s="95" t="n">
        <x:f>USA_Country_Scores!J16</x:f>
        <x:v>3.25</x:v>
      </x:c>
      <x:c r="G16" s="87" t="e">
        <x:f>USA_Country_Scores!P16</x:f>
      </x:c>
      <x:c r="H16" s="95" t="n">
        <x:f>USA_Country_Scores!Q16</x:f>
        <x:v>0.75</x:v>
      </x:c>
      <x:c r="I16" s="87" t="str">
        <x:f>USA_Country_Scores!N16</x:f>
        <x:v>Medium</x:v>
      </x:c>
      <x:c r="J16" s="94" t="n">
        <x:f>USA_Country_Scores!F16</x:f>
        <x:v>3</x:v>
      </x:c>
      <x:c r="K16" s="94" t="n">
        <x:f>USA_Country_Scores!G16</x:f>
        <x:v>1</x:v>
      </x:c>
      <x:c r="L16" s="94" t="n">
        <x:f>USA_Country_Scores!H16</x:f>
        <x:v>4</x:v>
      </x:c>
      <x:c r="M16" s="94" t="n">
        <x:f>USA_Country_Scores!I16</x:f>
        <x:v>5</x:v>
      </x:c>
      <x:c r="N16" s="87" t="str">
        <x:f>USA_Country_Scores!K16</x:f>
        <x:v>Elevated</x:v>
      </x:c>
      <x:c r="O16" s="87" t="str">
        <x:f>USA_Country_Scores!S16</x:f>
        <x:v>S007; S008</x:v>
      </x:c>
    </x:row>
    <x:row r="17">
      <x:c r="A17" s="87" t="str">
        <x:f>USA_Country_Scores!A17</x:f>
        <x:v>Venezuela</x:v>
      </x:c>
      <x:c r="B17" s="87" t="str">
        <x:f>USA_Country_Scores!B17</x:f>
        <x:v>VEN</x:v>
      </x:c>
      <x:c r="C17" s="87" t="str">
        <x:f>USA_Country_Scores!C17</x:f>
        <x:v>South America</x:v>
      </x:c>
      <x:c r="D17" s="95" t="n">
        <x:f>USA_Country_Scores!D17</x:f>
        <x:v>6.4238</x:v>
      </x:c>
      <x:c r="E17" s="95" t="n">
        <x:f>USA_Country_Scores!E17</x:f>
        <x:v>-66.5897</x:v>
      </x:c>
      <x:c r="F17" s="95" t="n">
        <x:f>USA_Country_Scores!J17</x:f>
        <x:v>2.5</x:v>
      </x:c>
      <x:c r="G17" s="87" t="e">
        <x:f>USA_Country_Scores!P17</x:f>
      </x:c>
      <x:c r="H17" s="95" t="n">
        <x:f>USA_Country_Scores!Q17</x:f>
        <x:v>0.75</x:v>
      </x:c>
      <x:c r="I17" s="87" t="str">
        <x:f>USA_Country_Scores!N17</x:f>
        <x:v>Medium</x:v>
      </x:c>
      <x:c r="J17" s="94" t="n">
        <x:f>USA_Country_Scores!F17</x:f>
        <x:v>4</x:v>
      </x:c>
      <x:c r="K17" s="94" t="n">
        <x:f>USA_Country_Scores!G17</x:f>
        <x:v>0</x:v>
      </x:c>
      <x:c r="L17" s="94" t="n">
        <x:f>USA_Country_Scores!H17</x:f>
        <x:v>3</x:v>
      </x:c>
      <x:c r="M17" s="94" t="n">
        <x:f>USA_Country_Scores!I17</x:f>
        <x:v>3</x:v>
      </x:c>
      <x:c r="N17" s="87" t="str">
        <x:f>USA_Country_Scores!K17</x:f>
        <x:v>Elevated</x:v>
      </x:c>
      <x:c r="O17" s="87" t="str">
        <x:f>USA_Country_Scores!S17</x:f>
        <x:v>S015; S004; S006</x:v>
      </x:c>
    </x:row>
    <x:row r="18">
      <x:c r="A18" s="87" t="str">
        <x:f>USA_Country_Scores!A18</x:f>
        <x:v>Iran</x:v>
      </x:c>
      <x:c r="B18" s="87" t="str">
        <x:f>USA_Country_Scores!B18</x:f>
        <x:v>IRN</x:v>
      </x:c>
      <x:c r="C18" s="87" t="str">
        <x:f>USA_Country_Scores!C18</x:f>
        <x:v>Middle East / West Asia</x:v>
      </x:c>
      <x:c r="D18" s="95" t="n">
        <x:f>USA_Country_Scores!D18</x:f>
        <x:v>32.4279</x:v>
      </x:c>
      <x:c r="E18" s="95" t="n">
        <x:f>USA_Country_Scores!E18</x:f>
        <x:v>53.688</x:v>
      </x:c>
      <x:c r="F18" s="95" t="n">
        <x:f>USA_Country_Scores!J18</x:f>
        <x:v>2.5</x:v>
      </x:c>
      <x:c r="G18" s="87" t="e">
        <x:f>USA_Country_Scores!P18</x:f>
      </x:c>
      <x:c r="H18" s="95" t="n">
        <x:f>USA_Country_Scores!Q18</x:f>
        <x:v>0.75</x:v>
      </x:c>
      <x:c r="I18" s="87" t="str">
        <x:f>USA_Country_Scores!N18</x:f>
        <x:v>Medium</x:v>
      </x:c>
      <x:c r="J18" s="94" t="n">
        <x:f>USA_Country_Scores!F18</x:f>
        <x:v>2</x:v>
      </x:c>
      <x:c r="K18" s="94" t="n">
        <x:f>USA_Country_Scores!G18</x:f>
        <x:v>0</x:v>
      </x:c>
      <x:c r="L18" s="94" t="n">
        <x:f>USA_Country_Scores!H18</x:f>
        <x:v>4</x:v>
      </x:c>
      <x:c r="M18" s="94" t="n">
        <x:f>USA_Country_Scores!I18</x:f>
        <x:v>4</x:v>
      </x:c>
      <x:c r="N18" s="87" t="str">
        <x:f>USA_Country_Scores!K18</x:f>
        <x:v>Elevated</x:v>
      </x:c>
      <x:c r="O18" s="87" t="str">
        <x:f>USA_Country_Scores!S18</x:f>
        <x:v>S004; S005; S021</x:v>
      </x:c>
    </x:row>
    <x:row r="19">
      <x:c r="A19" s="87" t="str">
        <x:f>USA_Country_Scores!A19</x:f>
        <x:v>Cuba</x:v>
      </x:c>
      <x:c r="B19" s="87" t="str">
        <x:f>USA_Country_Scores!B19</x:f>
        <x:v>CUB</x:v>
      </x:c>
      <x:c r="C19" s="87" t="str">
        <x:f>USA_Country_Scores!C19</x:f>
        <x:v>Caribbean</x:v>
      </x:c>
      <x:c r="D19" s="95" t="n">
        <x:f>USA_Country_Scores!D19</x:f>
        <x:v>21.5218</x:v>
      </x:c>
      <x:c r="E19" s="95" t="n">
        <x:f>USA_Country_Scores!E19</x:f>
        <x:v>-77.7812</x:v>
      </x:c>
      <x:c r="F19" s="95" t="n">
        <x:f>USA_Country_Scores!J19</x:f>
        <x:v>2.75</x:v>
      </x:c>
      <x:c r="G19" s="87" t="e">
        <x:f>USA_Country_Scores!P19</x:f>
      </x:c>
      <x:c r="H19" s="95" t="n">
        <x:f>USA_Country_Scores!Q19</x:f>
        <x:v>0.75</x:v>
      </x:c>
      <x:c r="I19" s="87" t="str">
        <x:f>USA_Country_Scores!N19</x:f>
        <x:v>Medium</x:v>
      </x:c>
      <x:c r="J19" s="94" t="n">
        <x:f>USA_Country_Scores!F19</x:f>
        <x:v>3</x:v>
      </x:c>
      <x:c r="K19" s="94" t="n">
        <x:f>USA_Country_Scores!G19</x:f>
        <x:v>0</x:v>
      </x:c>
      <x:c r="L19" s="94" t="n">
        <x:f>USA_Country_Scores!H19</x:f>
        <x:v>5</x:v>
      </x:c>
      <x:c r="M19" s="94" t="n">
        <x:f>USA_Country_Scores!I19</x:f>
        <x:v>3</x:v>
      </x:c>
      <x:c r="N19" s="87" t="str">
        <x:f>USA_Country_Scores!K19</x:f>
        <x:v>Elevated</x:v>
      </x:c>
      <x:c r="O19" s="87" t="str">
        <x:f>USA_Country_Scores!S19</x:f>
        <x:v>S018; S006</x:v>
      </x:c>
    </x:row>
    <x:row r="20">
      <x:c r="A20" s="87" t="str">
        <x:f>USA_Country_Scores!A20</x:f>
        <x:v>Qatar</x:v>
      </x:c>
      <x:c r="B20" s="87" t="str">
        <x:f>USA_Country_Scores!B20</x:f>
        <x:v>QAT</x:v>
      </x:c>
      <x:c r="C20" s="87" t="str">
        <x:f>USA_Country_Scores!C20</x:f>
        <x:v>Middle East / West Asia</x:v>
      </x:c>
      <x:c r="D20" s="95" t="n">
        <x:f>USA_Country_Scores!D20</x:f>
        <x:v>25.3548</x:v>
      </x:c>
      <x:c r="E20" s="95" t="n">
        <x:f>USA_Country_Scores!E20</x:f>
        <x:v>51.1839</x:v>
      </x:c>
      <x:c r="F20" s="95" t="n">
        <x:f>USA_Country_Scores!J20</x:f>
        <x:v>2.5</x:v>
      </x:c>
      <x:c r="G20" s="87" t="e">
        <x:f>USA_Country_Scores!P20</x:f>
      </x:c>
      <x:c r="H20" s="95" t="n">
        <x:f>USA_Country_Scores!Q20</x:f>
        <x:v>0.75</x:v>
      </x:c>
      <x:c r="I20" s="87" t="str">
        <x:f>USA_Country_Scores!N20</x:f>
        <x:v>Medium</x:v>
      </x:c>
      <x:c r="J20" s="94" t="n">
        <x:f>USA_Country_Scores!F20</x:f>
        <x:v>4</x:v>
      </x:c>
      <x:c r="K20" s="94" t="n">
        <x:f>USA_Country_Scores!G20</x:f>
        <x:v>4</x:v>
      </x:c>
      <x:c r="L20" s="94" t="n">
        <x:f>USA_Country_Scores!H20</x:f>
        <x:v>2</x:v>
      </x:c>
      <x:c r="M20" s="94" t="n">
        <x:f>USA_Country_Scores!I20</x:f>
        <x:v>0</x:v>
      </x:c>
      <x:c r="N20" s="87" t="str">
        <x:f>USA_Country_Scores!K20</x:f>
        <x:v>Elevated</x:v>
      </x:c>
      <x:c r="O20" s="87" t="str">
        <x:f>USA_Country_Scores!S20</x:f>
        <x:v>S002; S019</x:v>
      </x:c>
    </x:row>
    <x:row r="21">
      <x:c r="A21" s="87" t="str">
        <x:f>USA_Country_Scores!A21</x:f>
        <x:v>Djibouti</x:v>
      </x:c>
      <x:c r="B21" s="87" t="str">
        <x:f>USA_Country_Scores!B21</x:f>
        <x:v>DJI</x:v>
      </x:c>
      <x:c r="C21" s="87" t="str">
        <x:f>USA_Country_Scores!C21</x:f>
        <x:v>Horn of Africa</x:v>
      </x:c>
      <x:c r="D21" s="95" t="n">
        <x:f>USA_Country_Scores!D21</x:f>
        <x:v>11.8251</x:v>
      </x:c>
      <x:c r="E21" s="95" t="n">
        <x:f>USA_Country_Scores!E21</x:f>
        <x:v>42.5903</x:v>
      </x:c>
      <x:c r="F21" s="95" t="n">
        <x:f>USA_Country_Scores!J21</x:f>
        <x:v>2.25</x:v>
      </x:c>
      <x:c r="G21" s="87" t="e">
        <x:f>USA_Country_Scores!P21</x:f>
      </x:c>
      <x:c r="H21" s="95" t="n">
        <x:f>USA_Country_Scores!Q21</x:f>
        <x:v>0.75</x:v>
      </x:c>
      <x:c r="I21" s="87" t="str">
        <x:f>USA_Country_Scores!N21</x:f>
        <x:v>Medium</x:v>
      </x:c>
      <x:c r="J21" s="94" t="n">
        <x:f>USA_Country_Scores!F21</x:f>
        <x:v>4</x:v>
      </x:c>
      <x:c r="K21" s="94" t="n">
        <x:f>USA_Country_Scores!G21</x:f>
        <x:v>3</x:v>
      </x:c>
      <x:c r="L21" s="94" t="n">
        <x:f>USA_Country_Scores!H21</x:f>
        <x:v>2</x:v>
      </x:c>
      <x:c r="M21" s="94" t="n">
        <x:f>USA_Country_Scores!I21</x:f>
        <x:v>0</x:v>
      </x:c>
      <x:c r="N21" s="87" t="str">
        <x:f>USA_Country_Scores!K21</x:f>
        <x:v>Moderate</x:v>
      </x:c>
      <x:c r="O21" s="87" t="str">
        <x:f>USA_Country_Scores!S21</x:f>
        <x:v>S020</x:v>
      </x:c>
    </x:row>
  </x:sheetData>
  <x:conditionalFormatting sqref="F2:F21">
    <x:cfRule type="dataBar" priority="1">
      <x:dataBar>
        <x:cfvo type="min"/>
        <x:cfvo type="max"/>
        <x:color rgb="F97316"/>
      </x:dataBar>
      <x:extLst>
        <x:ext xmlns:x14="http://schemas.microsoft.com/office/spreadsheetml/2009/9/main" uri="{B025F937-C7B1-47D3-B67F-A62EFF666E3E}">
          <x14:id>{9A183E09-CA2D-B6B8-1DFA-0AF63CE8D1BD}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1209d4b1ba743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183E09-CA2D-B6B8-1DFA-0AF63CE8D1BD}">
            <x14:dataBar gradient="1">
              <x14:cfvo type="min"/>
              <x14:cfvo type="max"/>
              <x14:fillColor rgb="F97316"/>
            </x14:dataBar>
          </x14:cfRule>
          <xm:sqref>F2:F21</xm:sqref>
        </x14:conditionalFormatting>
      </x14:conditionalFormattings>
    </x:ext>
  </x:extLst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72" t="str">
        <x:v>Point GeoJSON Export for USA Influence Layer</x:v>
      </x:c>
    </x:row>
    <x:row r="3">
      <x:c r="A3" s="76" t="str">
        <x:v>GeoJSON_FeatureCollection</x:v>
      </x:c>
    </x:row>
    <x:row r="4" ht="320" customHeight="1">
      <x:c r="A4" s="100" t="str">
        <x:v>{
  "type": "FeatureCollection",
  "features": [
    {
      "type": "Feature",
      "properties": {
        "country": "Iraq",
        "iso3": "IRQ",
        "region": "Middle East / West Asia",
        "score": 4.0,
        "score_band": "High",
        "color": "#F16913",
        "us_influence": 5,
        "pmc_contractor": 5,
        "information_ecosystem": 4,
        "election_interference": 2,
        "source_ids": "S002; S003; S004; S005; S019"
      },
      "geometry": {
        "type": "Point",
        "coordinates": [
          43.6793,
          33.2232
        ]
      }
    },
    {
      "type": "Feature",
      "properties": {
        "country": "Syria",
        "iso3": "SYR",
        "region": "Middle East / West Asia",
        "score": 3.0,
        "score_band": "Elevated",
        "color": "#FDAE6B",
        "us_influence": 4,
        "pmc_contractor": 4,
        "information_ecosystem": 3,
        "election_interference": 1,
        "source_ids": "S002; S003; S004; S019"
      },
      "geometry": {
        "type": "Point",
        "coordinates": [
          38.9968,
          34.8021
        ]
      }
    },
    {
      "type": "Feature",
      "properties": {
        "country": "Afghanistan",
        "iso3": "AFG",
        "region": "Central Asia / South Asia",
        "score": 4.0,
        "score_band": "High",
        "color": "#F16913",
        "us_influence": 4,
        "pmc_contractor": 5,
        "information_ecosystem": 4,
        "election_interference": 3,
        "source_ids": "S023; S024; S004; S006"
      },
      "geometry": {
        "type": "Point",
        "coordinates": [
          67.71,
          33.9391
        ]
      }
    },
    {
      "type": "Feature",
      "properties": {
        "country": "Ukraine",
        "iso3": "UKR",
        "region": "Eastern Europe",
        "score": 3.0,
        "score_band": "Elevated",
        "color": "#FDAE6B",
        "us_influence": 5,
        "pmc_contractor": 2,
        "information_ecosystem": 4,
        "election_interference": 1,
        "source_ids": "S013; S014; S004; S005"
      },
      "geometry": {
        "type": "Point",
        "coordinates": [
          31.1656,
          48.3794
        ]
      }
    },
    {
      "type": "Feature",
      "properties": {
        "country": "Israel",
        "iso3": "ISR",
        "region": "Middle East / West Asia",
        "score": 2.5,
        "score_band": "Elevated",
        "color": "#FDAE6B",
        "us_influence": 5,
        "pmc_contractor": 2,
        "information_ecosystem": 2,
        "election_interference": 1,
        "source_ids": "S016; S019"
      },
      "geometry": {
        "type": "Point",
        "coordinates": [
          34.8516,
          31.0461
        ]
      }
    },
    {
      "type": "Feature",
      "properties": {
        "country": "Japan",
        "iso3": "JPN",
        "region": "East Asia",
        "score": 2.5,
        "score_band": "Elevated",
        "color": "#FDAE6B",
        "us_influence": 5,
        "pmc_contractor": 3,
        "information_ecosystem": 1,
        "election_interference": 1,
        "source_ids": "S001"
      },
      "geometry": {
        "type": "Point",
        "coordinates": [
          138.2529,
          36.2048
        ]
      }
    },
    {
      "type": "Feature",
      "properties": {
        "country": "South Korea",
        "iso3": "KOR",
        "region": "East Asia",
        "score": 2.5,
        "score_band": "Elevated",
        "color": "#FDAE6B",
        "us_influence": 5,
        "pmc_contractor": 3,
        "information_ecosystem": 1,
        "election_interference": 1,
        "source_ids": "S001"
      },
      "geometry": {
        "type": "Point",
        "coordinates": [
          127.7669,
          35.9078
        ]
      }
    },
    {
      "type": "Feature",
      "properties": {
        "country": "Germany",
        "iso3": "DEU",
        "region": "Europe",
        "score": 2.5,
        "score_band": "Elevated",
        "color": "#FDAE6B",
        "us_influence": 4,
        "pmc_contractor": 3,
        "information_ecosystem": 2,
        "election_interference": 1,
        "source_ids": "S001"
      },
      "geometry": {
        "type": "Point",
        "coordinates": [
          10.4515,
          51.1657
        ]
      }
    },
    {
      "type": "Feature",
      "properties": {
        "country": "Philippines",
        "iso3": "PHL",
        "region": "Southeast Asia",
        "score": 2.25,
        "score_band": "Moderate",
        "color": "#ADDD8E",
        "us_influence": 4,
        "pmc_contractor": 2,
        "information_ecosystem": 2,
        "election_interference": 1,
        "source_ids": "S001; S022"
      },
      "geometry": {
        "type": "Point",
        "coordinates": [
          121.774,
          12.8797
        ]
      }
    },
    {
      "type": "Feature",
      "properties": {
        "country": "Colombia",
        "iso3": "COL",
        "region": "South America",
        "score": 2.5,
        "score_band": "Elevated",
        "color": "#FDAE6B",
        "us_influence": 4,
        "pmc_contractor": 3,
        "information_ecosystem": 2,
        "election_interference": 1,
        "source_ids": "S017"
      },
      "geometry": {
        "type": "Point",
        "coordinates": [
          -74.2973,
          4.5709
        ]
      }
    },
    {
      "type": "Feature",
      "properties": {
        "country": "Serbia",
        "iso3": "SRB",
        "region": "Europe / Balkans",
        "score": 3.0,
        "score_band": "Elevated",
        "color": "#FDAE6B",
        "us_influence": 3,
        "pmc_contractor": 1,
        "information_ecosystem": 4,
        "election_interference": 4,
        "source_ids": "S004; S005; S011"
      },
      "geometry": {
        "type": "Point",
        "coordinates": [
          21.0059,
          44.0165
        ]
      }
    },
    {
      "type": "Feature",
      "properties": {
        "country": "Nicaragua",
        "iso3": "NIC",
        "region": "Central America",
        "score": 2.75,
        "score_band": "Elevated",
        "color": "#FDAE6B",
        "us_influence": 3,
        "pmc_contractor": 1,
        "information_ecosystem": 3,
        "election_interference": 4,
        "source_ids": "S007; S012"
      },
      "geometry": {
        "type": "Point",
        "coordinates": [
          -85.2072,
          12.8654
        ]
      }
    },
    {
      "type": "Feature",
      "properties": {
        "country": "Chile",
        "iso3": "CHL",
        "region": "South America",
        "score": 2.25,
        "score_band": "Moderate",
        "color": "#ADDD8E",
        "us_influence": 2,
        "pmc_contractor": 0,
        "information_ecosystem": 2,
        "election_interference": 5,
        "source_ids": "S007; S009"
      },
      "geometry": {
        "type": "Point",
        "coordinates": [
          -71.543,
          -35.6751
        ]
      }
    },
    {
      "type": "Feature",
      "properties": {
        "country": "Italy",
        "iso3": "ITA",
        "region": "Europe",
        "score": 2.75,
        "score_band": "Elevated",
        "color": "#FDAE6B",
        "us_influence": 3,
        "pmc_contractor": 1,
        "information_ecosystem": 2,
        "election_interference": 5,
        "source_ids": "S001; S007; S010"
      },
      "geometry": {
        "type": "Point",
        "coordinates": [
          12.5674,
          41.8719
        ]
      }
    },
    {
      "type": "Feature",
      "properties": {
        "country": "Guatemala",
        "iso3": "GTM",
        "region": "Central America",
        "score": 3.25,
        "score_band": "Elevated",
        "color": "#FDAE6B",
        "us_influence": 3,
        "pmc_contractor": 1,
        "information_ecosystem": 4,
        "election_interference": 5,
        "source_ids": "S007; S008"
      },
      "geometry": {
        "type": "Point",
        "coordinates": [
          -90.2308,
          15.7835
        ]
      }
    },
    {
      "type": "Feature",
      "properties": {
        "country": "Venezuela",
        "iso3": "VEN",
        "region": "South America",
        "score": 2.5,
        "score_band": "Elevated",
        "color": "#FDAE6B",
        "us_influence": 4,
        "pmc_contractor": 0,
        "information_ecosystem": 3,
        "election_interference": 3,
        "source_ids": "S015; S004; S006"
      },
      "geometry": {
        "type": "Point",
        "coordinates": [
          -66.5897,
          6.4238
        ]
      }
    },
    {
      "type": "Feature",
      "properties": {
        "country": "Iran",
        "iso3": "IRN",
        "region": "Middle East / West Asia",
        "score": 2.5,
        "score_band": "Elevated",
        "color": "#FDAE6B",
        "us_influence": 2,
        "pmc_contractor": 0,
        "information_ecosystem": 4,
        "election_interference": 4,
        "source_ids": "S004; S005; S021"
      },
      "geometry": {
        "type": "Point",
        "coordinates": [
          53.688,
          32.4279
        ]
      }
    },
    {
      "type": "Feature",
      "properties": {
        "country": "Cuba",
        "iso3": "CUB",
        "region": "Caribbean",
        "score": 2.75,
        "score_band": "Elevated",
        "color": "#FDAE6B",
        "us_influence": 3,
        "pmc_contractor": 0,
        "information_ecosystem": 5,
        "election_interference": 3,
        "source_ids": "S018; S006"
      },
      "geometry": {
        "type": "Point",
        "coordinates": [
          -77.7812,
          21.5218
        ]
      }
    },
    {
      "type": "Feature",
      "properties": {
        "country": "Qatar",
        "iso3": "QAT",
        "region": "Middle East / West Asia",
        "score": 2.5,
        "score_band": "Elevated",
        "color": "#FDAE6B",
        "us_influence": 4,
        "pmc_contractor": 4,
        "information_ecosystem": 2,
        "election_interference": 0,
        "source_ids": "S002; S019"
      },
      "geometry": {
        "type": "Point",
        "coordinates": [
          51.1839,
          25.3548
        ]
      }
    },
    {
      "type": "Feature",
      "properties": {
        "country": "Djibouti",
        "iso3": "DJI",
        "region": "Horn of Africa",
        "score": 2.25,
        "score_band": "Moderate",
        "color": "#ADDD8E",
        "us_influence": 4,
        "pmc_contractor": 3,
        "information_ecosystem": 2,
        "election_interference": 0,
        "source_ids": "S020"
      },
      "geometry": {
        "type": "Point",
        "coordinates": [
          42.5903,
          11.8251
        ]
      }
    }
  ]
}</x:v>
      </x:c>
    </x:row>
  </x:sheetData>
  <x:mergeCells>
    <x:mergeCell ref="A1:D1"/>
    <x:mergeCell ref="A4:D30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5" hidden="0" customWidth="1"/>
    <x:col min="4" max="4" width="55" hidden="0" customWidth="1"/>
    <x:col min="5" max="5" width="55" hidden="0" customWidth="1"/>
    <x:col min="6" max="6" width="12" hidden="0" customWidth="1"/>
  </x:cols>
  <x:sheetData>
    <x:row r="1">
      <x:c r="A1" s="93" t="str">
        <x:v>Issue_ID</x:v>
      </x:c>
      <x:c r="B1" s="93" t="str">
        <x:v>Country_or_Scope</x:v>
      </x:c>
      <x:c r="C1" s="93" t="str">
        <x:v>Gap</x:v>
      </x:c>
      <x:c r="D1" s="93" t="str">
        <x:v>Risk_to_Score</x:v>
      </x:c>
      <x:c r="E1" s="93" t="str">
        <x:v>Recommended_Next_Check</x:v>
      </x:c>
      <x:c r="F1" s="93" t="str">
        <x:v>Priority</x:v>
      </x:c>
    </x:row>
    <x:row r="2">
      <x:c r="A2" s="87" t="str">
        <x:v>G001</x:v>
      </x:c>
      <x:c r="B2" s="87" t="str">
        <x:v>All countries</x:v>
      </x:c>
      <x:c r="C2" s="87" t="str">
        <x:v>The score is not a legal finding; it is an open-source influence-risk index.</x:v>
      </x:c>
      <x:c r="D2" s="87" t="str">
        <x:v>Readers may overinterpret composite score as proof of illegality.</x:v>
      </x:c>
      <x:c r="E2" s="87" t="str">
        <x:v>Add a front-end disclaimer in the interactive map tooltip.</x:v>
      </x:c>
      <x:c r="F2" s="87" t="str">
        <x:v>High</x:v>
      </x:c>
    </x:row>
    <x:row r="3">
      <x:c r="A3" s="87" t="str">
        <x:v>G002</x:v>
      </x:c>
      <x:c r="B3" s="87" t="str">
        <x:v>PMC factor</x:v>
      </x:c>
      <x:c r="C3" s="87" t="str">
        <x:v>DoD reporting usually counts broad contractors; it often does not separate armed PMCs from logistics/base operations.</x:v>
      </x:c>
      <x:c r="D3" s="87" t="str">
        <x:v>Contractor scores can overstate armed/security presence if not explained.</x:v>
      </x:c>
      <x:c r="E3" s="87" t="str">
        <x:v>Add sub-indicators for armed private security vs logistics/base support.</x:v>
      </x:c>
      <x:c r="F3" s="87" t="str">
        <x:v>High</x:v>
      </x:c>
    </x:row>
    <x:row r="4">
      <x:c r="A4" s="87" t="str">
        <x:v>G003</x:v>
      </x:c>
      <x:c r="B4" s="87" t="str">
        <x:v>Historical cases</x:v>
      </x:c>
      <x:c r="C4" s="87" t="str">
        <x:v>Chile, Guatemala, Italy, Iran, Nicaragua and Serbia contain older historical evidence.</x:v>
      </x:c>
      <x:c r="D4" s="87" t="str">
        <x:v>Composite mixes legacy and current influence if used without filtering.</x:v>
      </x:c>
      <x:c r="E4" s="87" t="str">
        <x:v>Add a Current_Only filter or time-decay coefficient in map UI.</x:v>
      </x:c>
      <x:c r="F4" s="87" t="str">
        <x:v>High</x:v>
      </x:c>
    </x:row>
    <x:row r="5">
      <x:c r="A5" s="87" t="str">
        <x:v>G004</x:v>
      </x:c>
      <x:c r="B5" s="87" t="str">
        <x:v>Afghanistan</x:v>
      </x:c>
      <x:c r="C5" s="87" t="str">
        <x:v>Legacy and current post-withdrawal scores differ substantially.</x:v>
      </x:c>
      <x:c r="D5" s="87" t="str">
        <x:v>A single composite may mislead users on current U.S. direct presence.</x:v>
      </x:c>
      <x:c r="E5" s="87" t="str">
        <x:v>Split into Current_2026 and Legacy_2001_2021 versions.</x:v>
      </x:c>
      <x:c r="F5" s="87" t="str">
        <x:v>High</x:v>
      </x:c>
    </x:row>
    <x:row r="6">
      <x:c r="A6" s="87" t="str">
        <x:v>G005</x:v>
      </x:c>
      <x:c r="B6" s="87" t="str">
        <x:v>Ukraine</x:v>
      </x:c>
      <x:c r="C6" s="87" t="str">
        <x:v>U.S. assistance is high, but selected sources do not verify U.S. election manipulation.</x:v>
      </x:c>
      <x:c r="D6" s="87" t="str">
        <x:v>Users may confuse democracy/security assistance with election interference.</x:v>
      </x:c>
      <x:c r="E6" s="87" t="str">
        <x:v>Keep election score low unless direct manipulation evidence is added.</x:v>
      </x:c>
      <x:c r="F6" s="87" t="str">
        <x:v>Medium</x:v>
      </x:c>
    </x:row>
    <x:row r="7">
      <x:c r="A7" s="87" t="str">
        <x:v>G006</x:v>
      </x:c>
      <x:c r="B7" s="87" t="str">
        <x:v>Israel</x:v>
      </x:c>
      <x:c r="C7" s="87" t="str">
        <x:v>High security-assistance score does not equal electoral interference.</x:v>
      </x:c>
      <x:c r="D7" s="87" t="str">
        <x:v>Map could imply domestic political manipulation without evidence.</x:v>
      </x:c>
      <x:c r="E7" s="87" t="str">
        <x:v>Separate military assistance from election category in tooltip.</x:v>
      </x:c>
      <x:c r="F7" s="87" t="str">
        <x:v>Medium</x:v>
      </x:c>
    </x:row>
    <x:row r="8">
      <x:c r="A8" s="87" t="str">
        <x:v>G007</x:v>
      </x:c>
      <x:c r="B8" s="87" t="str">
        <x:v>Qatar/Djibouti</x:v>
      </x:c>
      <x:c r="C8" s="87" t="str">
        <x:v>High base/contractor scores are driven by military infrastructure, not domestic political control.</x:v>
      </x:c>
      <x:c r="D8" s="87" t="str">
        <x:v>Overinterpretation risk in authoritarian-map context.</x:v>
      </x:c>
      <x:c r="E8" s="87" t="str">
        <x:v>Use a 'basing hub' flag in map layer.</x:v>
      </x:c>
      <x:c r="F8" s="87" t="str">
        <x:v>Medium</x:v>
      </x:c>
    </x:row>
    <x:row r="9">
      <x:c r="A9" s="87" t="str">
        <x:v>G008</x:v>
      </x:c>
      <x:c r="B9" s="87" t="str">
        <x:v>Country coverage</x:v>
      </x:c>
      <x:c r="C9" s="87" t="str">
        <x:v>Many countries with U.S. security assistance or media activity are not scored in this initial pass.</x:v>
      </x:c>
      <x:c r="D9" s="87" t="str">
        <x:v>Map is not exhaustive.</x:v>
      </x:c>
      <x:c r="E9" s="87" t="str">
        <x:v>Add Mexico, Egypt, Jordan, Kosovo, Bosnia, Taiwan, Pakistan, Panama and Honduras in next pass.</x:v>
      </x:c>
      <x:c r="F9" s="87" t="str">
        <x:v>Medium</x:v>
      </x:c>
    </x:row>
  </x:sheetData>
  <x:dataValidations count="1">
    <x:dataValidation type="list" sqref="F2:F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e26f813af84283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24" hidden="0" customWidth="1"/>
    <x:col min="4" max="4" width="70" hidden="0" customWidth="1"/>
  </x:cols>
  <x:sheetData>
    <x:row r="1">
      <x:c r="A1" s="93" t="str">
        <x:v>Date</x:v>
      </x:c>
      <x:c r="B1" s="93" t="str">
        <x:v>Change</x:v>
      </x:c>
      <x:c r="C1" s="93" t="str">
        <x:v>Analyst</x:v>
      </x:c>
      <x:c r="D1" s="93" t="str">
        <x:v>Notes</x:v>
      </x:c>
    </x:row>
    <x:row r="2">
      <x:c r="A2" s="87" t="str">
        <x:v>2026-05-18</x:v>
      </x:c>
      <x:c r="B2" s="87" t="str">
        <x:v>Created USA influence scoring layer</x:v>
      </x:c>
      <x:c r="C2" s="87" t="str">
        <x:v>OpenAI GPT-5.5 Pro</x:v>
      </x:c>
      <x:c r="D2" s="87" t="str">
        <x:v>Built from verified official, academic/think-tank, declassified archive and reputable media/reference sources.</x:v>
      </x:c>
    </x:row>
    <x:row r="3">
      <x:c r="A3" s="87" t="str">
        <x:v>2026-05-18</x:v>
      </x:c>
      <x:c r="B3" s="87" t="str">
        <x:v>Added evidence log and source register</x:v>
      </x:c>
      <x:c r="C3" s="87" t="str">
        <x:v>OpenAI GPT-5.5 Pro</x:v>
      </x:c>
      <x:c r="D3" s="87" t="str">
        <x:v>Every country/factor score has a source URL and confidence score.</x:v>
      </x:c>
    </x:row>
    <x:row r="4">
      <x:c r="A4" s="87" t="str">
        <x:v>2026-05-18</x:v>
      </x:c>
      <x:c r="B4" s="87" t="str">
        <x:v>Added map data and point GeoJSON export</x:v>
      </x:c>
      <x:c r="C4" s="87" t="str">
        <x:v>OpenAI GPT-5.5 Pro</x:v>
      </x:c>
      <x:c r="D4" s="87" t="str">
        <x:v>Ready for interactive map integration or downstream conversion to polygon joins by ISO3.</x:v>
      </x:c>
    </x:row>
  </x:sheetData>
  <x:pageMargins left="0.7" right="0.7" top="0.75" bottom="0.75" header="0.3" footer="0.3"/>
</x:worksheet>
</file>